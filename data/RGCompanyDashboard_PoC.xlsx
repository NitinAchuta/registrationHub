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yDashboard" sheetId="1" r:id="rId4"/>
    <sheet state="visible" name="CompanyList" sheetId="2" r:id="rId5"/>
    <sheet state="visible" name="S26_CF" sheetId="3" r:id="rId6"/>
    <sheet state="visible" name="F25_CF" sheetId="4" r:id="rId7"/>
    <sheet state="visible" name="S25_CF" sheetId="5" r:id="rId8"/>
    <sheet state="visible" name="F24_CF" sheetId="6" r:id="rId9"/>
    <sheet state="visible" name="S24_CF" sheetId="7" r:id="rId10"/>
    <sheet state="visible" name="S26_Emp" sheetId="8" r:id="rId11"/>
    <sheet state="visible" name="F25_Emp" sheetId="9" r:id="rId12"/>
    <sheet state="visible" name="S25_Emp" sheetId="10" r:id="rId13"/>
    <sheet state="visible" name="F24_Emp" sheetId="11" r:id="rId14"/>
    <sheet state="visible" name="S24_Emp" sheetId="12" r:id="rId15"/>
    <sheet state="visible" name="F23_Emp" sheetId="13" r:id="rId16"/>
    <sheet state="visible" name="S23_Emp" sheetId="14" r:id="rId17"/>
    <sheet state="visible" name="S22_Emp" sheetId="15" r:id="rId18"/>
    <sheet state="visible" name="F22_Emp" sheetId="16" r:id="rId19"/>
    <sheet state="visible" name="S22_S25_Emp" sheetId="17" r:id="rId20"/>
  </sheets>
  <definedNames>
    <definedName hidden="1" localSheetId="2" name="_xlnm._FilterDatabase">S26_CF!$A$1:$A$312</definedName>
    <definedName hidden="1" localSheetId="3" name="_xlnm._FilterDatabase">F25_CF!$A$1:$A$522</definedName>
    <definedName hidden="1" localSheetId="4" name="_xlnm._FilterDatabase">S25_CF!$A$1:$A$349</definedName>
    <definedName hidden="1" localSheetId="5" name="_xlnm._FilterDatabase">F24_CF!$A$1:$A$587</definedName>
    <definedName hidden="1" localSheetId="6" name="_xlnm._FilterDatabase">S24_CF!$A$1:$A$435</definedName>
  </definedNames>
  <calcPr/>
  <extLst>
    <ext uri="GoogleSheetsCustomDataVersion2">
      <go:sheetsCustomData xmlns:go="http://customooxmlschemas.google.com/" r:id="rId21" roundtripDataChecksum="1svT9E7PX3YLqZveEWULoVwtl9tj16bAjZInY1q6XB4="/>
    </ext>
  </extLst>
</workbook>
</file>

<file path=xl/sharedStrings.xml><?xml version="1.0" encoding="utf-8"?>
<sst xmlns="http://schemas.openxmlformats.org/spreadsheetml/2006/main" count="75855" uniqueCount="14537">
  <si>
    <t>Company Name:</t>
  </si>
  <si>
    <t>A&amp;S Engineers, Inc.</t>
  </si>
  <si>
    <t>RG Dashboard Proof-of-Concept</t>
  </si>
  <si>
    <t>Company Overview</t>
  </si>
  <si>
    <t>Willing to Sponsor?</t>
  </si>
  <si>
    <t>Hiring (since 2022)</t>
  </si>
  <si>
    <t>Type:</t>
  </si>
  <si>
    <t>Bachelors</t>
  </si>
  <si>
    <t>2025 Rev</t>
  </si>
  <si>
    <t>M $USD</t>
  </si>
  <si>
    <t>Masters</t>
  </si>
  <si>
    <t>Market Cap</t>
  </si>
  <si>
    <t>B $USD</t>
  </si>
  <si>
    <t>Doctorate</t>
  </si>
  <si>
    <t># Emp</t>
  </si>
  <si>
    <t>Target Majors</t>
  </si>
  <si>
    <t>WIP</t>
  </si>
  <si>
    <t>Yearly Overview</t>
  </si>
  <si>
    <t>S24</t>
  </si>
  <si>
    <t>F24</t>
  </si>
  <si>
    <t>S25</t>
  </si>
  <si>
    <t>F25</t>
  </si>
  <si>
    <t>S26</t>
  </si>
  <si>
    <t>Attended CF?</t>
  </si>
  <si>
    <t>Package</t>
  </si>
  <si>
    <t># Hired</t>
  </si>
  <si>
    <t>Company Name</t>
  </si>
  <si>
    <t>Type</t>
  </si>
  <si>
    <t>2025 Revenue (M USD)</t>
  </si>
  <si>
    <t>2025 Employees</t>
  </si>
  <si>
    <t>Market Cap (Billion USD)</t>
  </si>
  <si>
    <t>S26 Hiring</t>
  </si>
  <si>
    <t>F25 Hiring</t>
  </si>
  <si>
    <t>S25 Hiring</t>
  </si>
  <si>
    <t>F24 Hiring</t>
  </si>
  <si>
    <t>S24 Hiring</t>
  </si>
  <si>
    <t>F23 Hiring</t>
  </si>
  <si>
    <t>S23 Hiring</t>
  </si>
  <si>
    <t>F22 Hiring</t>
  </si>
  <si>
    <t>S22 Hiring</t>
  </si>
  <si>
    <t>Bachelor</t>
  </si>
  <si>
    <t>Master</t>
  </si>
  <si>
    <t>Attended S26?</t>
  </si>
  <si>
    <t>Package, S26</t>
  </si>
  <si>
    <t>Attended F25?</t>
  </si>
  <si>
    <t>Package, F25</t>
  </si>
  <si>
    <t>Attended S25?</t>
  </si>
  <si>
    <t>Package, S25</t>
  </si>
  <si>
    <t>Attended F24?</t>
  </si>
  <si>
    <t>Package, F24</t>
  </si>
  <si>
    <t>Attended S24?</t>
  </si>
  <si>
    <t>Package, S24</t>
  </si>
  <si>
    <t>Private</t>
  </si>
  <si>
    <t>ABB Inc.</t>
  </si>
  <si>
    <t>Public</t>
  </si>
  <si>
    <t>AG&amp;E</t>
  </si>
  <si>
    <t>Aguirre &amp; Fields LP</t>
  </si>
  <si>
    <t>Air Liquide</t>
  </si>
  <si>
    <t>Albers Aerospace</t>
  </si>
  <si>
    <t>ALL4 LLC</t>
  </si>
  <si>
    <t>America's Navy</t>
  </si>
  <si>
    <t>Government</t>
  </si>
  <si>
    <t>Andersen Corporation</t>
  </si>
  <si>
    <t>Applied Research Laboratories</t>
  </si>
  <si>
    <t>Government/Univ</t>
  </si>
  <si>
    <t>Arbin Instruments</t>
  </si>
  <si>
    <t>ARCO/Murray National Construction Company</t>
  </si>
  <si>
    <t>Ardurra Group</t>
  </si>
  <si>
    <t>Arion Blue, LLC</t>
  </si>
  <si>
    <t>AtkinsRéalis</t>
  </si>
  <si>
    <t>Atlas Energy Solutions</t>
  </si>
  <si>
    <t>Atmos Energy</t>
  </si>
  <si>
    <t>Atwell, LLC</t>
  </si>
  <si>
    <t>Audubon Companies</t>
  </si>
  <si>
    <t>Austin Bridge &amp; Road, L.P.</t>
  </si>
  <si>
    <t>Baird, Hampton &amp; Brown</t>
  </si>
  <si>
    <t>Baker Concrete Construction</t>
  </si>
  <si>
    <t>Baker Hughes</t>
  </si>
  <si>
    <t>Beckhoff Automation</t>
  </si>
  <si>
    <t>Bernhard</t>
  </si>
  <si>
    <t>BGE, Inc</t>
  </si>
  <si>
    <t>Black &amp; Veatch</t>
  </si>
  <si>
    <t>BNSF Railway</t>
  </si>
  <si>
    <t>Private (Sub of Berkshire)</t>
  </si>
  <si>
    <t>Bowman</t>
  </si>
  <si>
    <t>Brasfield &amp; Gorrie, LLC</t>
  </si>
  <si>
    <t>Bray International, Inc</t>
  </si>
  <si>
    <t>Brock Solutions</t>
  </si>
  <si>
    <t>Bryan Research &amp; Engineering</t>
  </si>
  <si>
    <t>Burns &amp; McDonnell</t>
  </si>
  <si>
    <t>Cadence</t>
  </si>
  <si>
    <t>Calpine Corporation</t>
  </si>
  <si>
    <t>Capco</t>
  </si>
  <si>
    <t>CAPSHER Technology</t>
  </si>
  <si>
    <t>Cargill (Maroon Partner)</t>
  </si>
  <si>
    <t>CB&amp;I</t>
  </si>
  <si>
    <t>Centerpoint Energy</t>
  </si>
  <si>
    <t>Champion Technology Services</t>
  </si>
  <si>
    <t>Chart Industries</t>
  </si>
  <si>
    <t>Civil &amp; Environmental Consultants, Inc.</t>
  </si>
  <si>
    <t>CMC Steel Texas</t>
  </si>
  <si>
    <t>Cobb, Fendley &amp; Associates, Inc.</t>
  </si>
  <si>
    <t>Colliers Engineering &amp; Design</t>
  </si>
  <si>
    <t>Contech</t>
  </si>
  <si>
    <t>Daily Thermetrics</t>
  </si>
  <si>
    <t>Dally + Associates, Inc.</t>
  </si>
  <si>
    <t>Dashiell Corp.</t>
  </si>
  <si>
    <t>DBI Construction Consultants</t>
  </si>
  <si>
    <t>Defense Intelligence Agency (DIA)</t>
  </si>
  <si>
    <t>Det Norske Veritas (DNV)</t>
  </si>
  <si>
    <t>Dunaway</t>
  </si>
  <si>
    <t>Dynamic Engineering Consultants, PC</t>
  </si>
  <si>
    <t>Dynamic Systems, Inc.</t>
  </si>
  <si>
    <t>EDG</t>
  </si>
  <si>
    <t>Electric Reliability Council of Texas (ERCOT)</t>
  </si>
  <si>
    <t>Government/Non-profit</t>
  </si>
  <si>
    <t>Electronic Power Design (EPD)</t>
  </si>
  <si>
    <t>Elevation Land Solutions</t>
  </si>
  <si>
    <t>Enercon Services, Inc.</t>
  </si>
  <si>
    <t>Engineering Consulting Services (ECS)</t>
  </si>
  <si>
    <t>Engineering Dynamics Inc.</t>
  </si>
  <si>
    <t>ENTACT, LLC</t>
  </si>
  <si>
    <t>Entergy Enterprises, Inc.</t>
  </si>
  <si>
    <t>Enterprise Products Company</t>
  </si>
  <si>
    <t>Epic</t>
  </si>
  <si>
    <t>F.H. Paschen</t>
  </si>
  <si>
    <t>Federal Aviation Administration (FAA)</t>
  </si>
  <si>
    <t>Ferrovial Construction</t>
  </si>
  <si>
    <t>Flowserve Corporation</t>
  </si>
  <si>
    <t>Fluor Corporation</t>
  </si>
  <si>
    <t>Formosa Plastics Corporation</t>
  </si>
  <si>
    <t>Freese and Nichols</t>
  </si>
  <si>
    <t>FTI Consulting</t>
  </si>
  <si>
    <t>GAF</t>
  </si>
  <si>
    <t>GBA Companies</t>
  </si>
  <si>
    <t>General Dynamics Electric Boat</t>
  </si>
  <si>
    <t>GMcivil</t>
  </si>
  <si>
    <t>Great Lakes Dredge &amp; Dock Company</t>
  </si>
  <si>
    <t>Gulf Companies</t>
  </si>
  <si>
    <t>H2B, Inc.</t>
  </si>
  <si>
    <t>Halff</t>
  </si>
  <si>
    <t>Halliburton</t>
  </si>
  <si>
    <t>Hargrove Engineers + Constructors</t>
  </si>
  <si>
    <t>Hart Gaugler + Associates</t>
  </si>
  <si>
    <t>Hatch Engineering and Consulting Associates</t>
  </si>
  <si>
    <t>HDR Engineering</t>
  </si>
  <si>
    <t>Henderson Rogers Structural Engineers, LLC</t>
  </si>
  <si>
    <t>HMT Engineering &amp; Surveying</t>
  </si>
  <si>
    <t>HNTB Corporation</t>
  </si>
  <si>
    <t>Patterson UTI</t>
  </si>
  <si>
    <t>HR Green</t>
  </si>
  <si>
    <t>HTS Texas</t>
  </si>
  <si>
    <t>Huitt-Zollars, Inc.</t>
  </si>
  <si>
    <t>IBM</t>
  </si>
  <si>
    <t>iD Tech Camps</t>
  </si>
  <si>
    <t>IDS Engineering Group</t>
  </si>
  <si>
    <t>IEA Inc</t>
  </si>
  <si>
    <t>INEOS Olefins &amp; Polymers USA</t>
  </si>
  <si>
    <t>Intelligent Engineering Services</t>
  </si>
  <si>
    <t>Jacobs</t>
  </si>
  <si>
    <t>Jay Cashman, Inc.</t>
  </si>
  <si>
    <t>JE Dunn Construction</t>
  </si>
  <si>
    <t>Johnson &amp; Johnson</t>
  </si>
  <si>
    <t>KCI Technologies, Inc.</t>
  </si>
  <si>
    <t>Keystone Engineering</t>
  </si>
  <si>
    <t>KFM Engineering &amp; Design</t>
  </si>
  <si>
    <t>Kiewit</t>
  </si>
  <si>
    <t>Kimberly-Clark</t>
  </si>
  <si>
    <t>Kimley-Horn</t>
  </si>
  <si>
    <t>Kirkman Engineering</t>
  </si>
  <si>
    <t>Klein Tools</t>
  </si>
  <si>
    <t>Komatsu Mining Corporation</t>
  </si>
  <si>
    <t>KTCivil</t>
  </si>
  <si>
    <t>Labatt Food Service</t>
  </si>
  <si>
    <t>LCRA - Austin</t>
  </si>
  <si>
    <t>Leonardo DRS</t>
  </si>
  <si>
    <t>Lhoist North America, Inc.</t>
  </si>
  <si>
    <t>Lina T. Ramey and Associates, Inc.</t>
  </si>
  <si>
    <t>Linde Engineering</t>
  </si>
  <si>
    <t>LJA Engineering</t>
  </si>
  <si>
    <t>Lockwood, Andrews, and Newnam, Inc.</t>
  </si>
  <si>
    <t>Lone Star Blower and Compressor</t>
  </si>
  <si>
    <t>LTY Engineers, PLLC</t>
  </si>
  <si>
    <t>Lubrizol</t>
  </si>
  <si>
    <t>LyondellBasell</t>
  </si>
  <si>
    <t>M&amp;S Engineering, LLC</t>
  </si>
  <si>
    <t>Mahoney Engineering</t>
  </si>
  <si>
    <t>Mammoet USA</t>
  </si>
  <si>
    <t>Manhard Consulting</t>
  </si>
  <si>
    <t>Manhattan Associates</t>
  </si>
  <si>
    <t>Manson Construction Co.</t>
  </si>
  <si>
    <t>Marathon Petroleum Company</t>
  </si>
  <si>
    <t>Massman Construction Co.</t>
  </si>
  <si>
    <t>Matador Resources</t>
  </si>
  <si>
    <t>MatkinHoover Engineering &amp; Surveying</t>
  </si>
  <si>
    <t>Matrix Structural Engineers</t>
  </si>
  <si>
    <t>McCarthy Building Companies, Inc.</t>
  </si>
  <si>
    <t>MEGlobal Americas Inc.</t>
  </si>
  <si>
    <t>MiTek USA, Inc.</t>
  </si>
  <si>
    <t>MMA Texas</t>
  </si>
  <si>
    <t>Mortenson Construction</t>
  </si>
  <si>
    <t>MP Materials</t>
  </si>
  <si>
    <t>Nabors Industries</t>
  </si>
  <si>
    <t>National Security Agency (NSA)</t>
  </si>
  <si>
    <t>Naval Nuclear Laboratory</t>
  </si>
  <si>
    <t>Naval Surface Warfare Center Carderock</t>
  </si>
  <si>
    <t>NCR Atleos</t>
  </si>
  <si>
    <t>NORFOLK NAVAL SHIPYARD</t>
  </si>
  <si>
    <t>NOV</t>
  </si>
  <si>
    <t>Nucor Texas</t>
  </si>
  <si>
    <t>NXP Semiconductors</t>
  </si>
  <si>
    <t>Oceaneering International, Inc.</t>
  </si>
  <si>
    <t>Odin Environmental Solutions, LLC</t>
  </si>
  <si>
    <t>Odyssey Space Research</t>
  </si>
  <si>
    <t>Olsson</t>
  </si>
  <si>
    <t>ONCOR Electric Delivery</t>
  </si>
  <si>
    <t>Oscar Orduno, Inc</t>
  </si>
  <si>
    <t>Pape-Dawson Engineers</t>
  </si>
  <si>
    <t>Paycom</t>
  </si>
  <si>
    <t>Peloton Computer Enterprises</t>
  </si>
  <si>
    <t>PepsiCo</t>
  </si>
  <si>
    <t>Plummer Associates, Inc.</t>
  </si>
  <si>
    <t>POWER Engineers</t>
  </si>
  <si>
    <t>Primoris Services Corporation</t>
  </si>
  <si>
    <t>QTS Data Centers</t>
  </si>
  <si>
    <t>Quiddity Engineering</t>
  </si>
  <si>
    <t>Ragle Inc</t>
  </si>
  <si>
    <t>Republic Engineering &amp; Development Services</t>
  </si>
  <si>
    <t>Rocrich AGV Solutions</t>
  </si>
  <si>
    <t>ROSEN USA</t>
  </si>
  <si>
    <t>RoviSys</t>
  </si>
  <si>
    <t>S&amp;B Engineers and Constructors, Ltd.</t>
  </si>
  <si>
    <t>Saber Power Services</t>
  </si>
  <si>
    <t>Sandia National Laboratories</t>
  </si>
  <si>
    <t>Savannah River Mission Completion</t>
  </si>
  <si>
    <t>Scheibe Consulting, LLC</t>
  </si>
  <si>
    <t>Schnabel Engineering</t>
  </si>
  <si>
    <t>Schweitzer Engineering Laboratories, Inc.</t>
  </si>
  <si>
    <t>Science Applications International Corporation (SAIC)</t>
  </si>
  <si>
    <t>Secretariat International</t>
  </si>
  <si>
    <t>Shah Smith &amp; Associates, Inc.</t>
  </si>
  <si>
    <t>Siemens Energy</t>
  </si>
  <si>
    <t>SLB</t>
  </si>
  <si>
    <t>Southwest Engineers Inc</t>
  </si>
  <si>
    <t>Southwest Research Institute</t>
  </si>
  <si>
    <t>Spiars Engineering &amp; Surveying</t>
  </si>
  <si>
    <t>Stantec</t>
  </si>
  <si>
    <t>Steger &amp; Bizzell Engineering</t>
  </si>
  <si>
    <t>STP Nuclear Operating Company</t>
  </si>
  <si>
    <t>Government/Utility</t>
  </si>
  <si>
    <t>STV Inc</t>
  </si>
  <si>
    <t>Sulzer Turbo Services</t>
  </si>
  <si>
    <t>Supreme Integrated Technology</t>
  </si>
  <si>
    <t>SynchroGrid</t>
  </si>
  <si>
    <t>Technip Energies</t>
  </si>
  <si>
    <t>TechnipFMC</t>
  </si>
  <si>
    <t>Tenaris</t>
  </si>
  <si>
    <t>Terracon</t>
  </si>
  <si>
    <t>Texas A&amp;M Institute of Data Science</t>
  </si>
  <si>
    <t>University</t>
  </si>
  <si>
    <t>Texas A&amp;M University - Department of Construction Science</t>
  </si>
  <si>
    <t>Texas Department of Transportation (TXDOT)</t>
  </si>
  <si>
    <t>Texas Instruments (TI)</t>
  </si>
  <si>
    <t>The Brandt Companies, LLC</t>
  </si>
  <si>
    <t>The Timken Company</t>
  </si>
  <si>
    <t>Tinker AFB Science &amp; Engineering</t>
  </si>
  <si>
    <t>TKE Engineering &amp; Design, Inc.</t>
  </si>
  <si>
    <t>TNP</t>
  </si>
  <si>
    <t>Toshiba International Corporation</t>
  </si>
  <si>
    <t>Trane Technologies</t>
  </si>
  <si>
    <t>Trihydro Corp</t>
  </si>
  <si>
    <t>TSMC Arizona Corporation</t>
  </si>
  <si>
    <t>United States Postal Service</t>
  </si>
  <si>
    <t>US Army Corps of Engineers - Omaha District</t>
  </si>
  <si>
    <t>USAA</t>
  </si>
  <si>
    <t>Valent Partners</t>
  </si>
  <si>
    <t>Venture Global LNG</t>
  </si>
  <si>
    <t>VEX Robotics</t>
  </si>
  <si>
    <t>Walker Partners</t>
  </si>
  <si>
    <t>Weaver Consultants Group</t>
  </si>
  <si>
    <t>Webber LLC</t>
  </si>
  <si>
    <t>Westwood Professional Services</t>
  </si>
  <si>
    <t>WGA</t>
  </si>
  <si>
    <t>Wind Energy Transmission Texas</t>
  </si>
  <si>
    <t>Wood</t>
  </si>
  <si>
    <t>Worley</t>
  </si>
  <si>
    <t>WSP</t>
  </si>
  <si>
    <t>Wylie Engineering</t>
  </si>
  <si>
    <t>Yalgo, LLC</t>
  </si>
  <si>
    <t>Alfa Laval</t>
  </si>
  <si>
    <t>AWC, Inc.</t>
  </si>
  <si>
    <t>BOE Consulting Services LLC</t>
  </si>
  <si>
    <t>Brownsville Public Utilities Board</t>
  </si>
  <si>
    <t>Bush School Online</t>
  </si>
  <si>
    <t>Caterpillar Inc.</t>
  </si>
  <si>
    <t>Ceco Concrete Construction, LLC</t>
  </si>
  <si>
    <t>CMTA</t>
  </si>
  <si>
    <t>DMC Inc.</t>
  </si>
  <si>
    <t>Eastman Chemical</t>
  </si>
  <si>
    <t>Encotech Engineering</t>
  </si>
  <si>
    <t>Energy Transfer</t>
  </si>
  <si>
    <t>Entegris</t>
  </si>
  <si>
    <t>Great Plains Manufacturing</t>
  </si>
  <si>
    <t>H+M Industrial EPC</t>
  </si>
  <si>
    <t>Harris County Toll Road Authority</t>
  </si>
  <si>
    <t>HASKELL</t>
  </si>
  <si>
    <t>Heidelberg Materials</t>
  </si>
  <si>
    <t>Hewlett Packard Enterprise (HPE)</t>
  </si>
  <si>
    <t>Hoffman Construction Company</t>
  </si>
  <si>
    <t>Indorama Ventures</t>
  </si>
  <si>
    <t>Infineon Technologies</t>
  </si>
  <si>
    <t>Kinectrics AES, Inc.</t>
  </si>
  <si>
    <t>L3Harris Technologies</t>
  </si>
  <si>
    <t>Mays Business School - Department of Information &amp; Operations Management</t>
  </si>
  <si>
    <t>Micron Technology, Inc.</t>
  </si>
  <si>
    <t>Nouryon</t>
  </si>
  <si>
    <t>RTX</t>
  </si>
  <si>
    <t>Samson Controls, Inc</t>
  </si>
  <si>
    <t>San Jacinto River Authority</t>
  </si>
  <si>
    <t>SESCO Cement Corp.</t>
  </si>
  <si>
    <t>Shield Engineering Group</t>
  </si>
  <si>
    <t>Stress Engineering Services</t>
  </si>
  <si>
    <t>TRC Companies Inc.</t>
  </si>
  <si>
    <t>US Conec, Ltd.</t>
  </si>
  <si>
    <t>Valero</t>
  </si>
  <si>
    <t>Viridien</t>
  </si>
  <si>
    <t>Whitman, Requardt and Associates, LLP</t>
  </si>
  <si>
    <t>Amentum</t>
  </si>
  <si>
    <t>Barnhart Crane and Rigging</t>
  </si>
  <si>
    <t>BW Design Group</t>
  </si>
  <si>
    <t>Carollo Engineers</t>
  </si>
  <si>
    <t>Nikkiso Clean Energy &amp; Industrial Gases</t>
  </si>
  <si>
    <t>Nucor</t>
  </si>
  <si>
    <t>Pantex</t>
  </si>
  <si>
    <t>Ramboll</t>
  </si>
  <si>
    <t>Westinghouse Electric Company</t>
  </si>
  <si>
    <t>Organization Name</t>
  </si>
  <si>
    <t>Representative Registering Full Name</t>
  </si>
  <si>
    <t>Representative Email</t>
  </si>
  <si>
    <t>Personal Phone</t>
  </si>
  <si>
    <t>Industry</t>
  </si>
  <si>
    <t>Top Major Recruited</t>
  </si>
  <si>
    <t>Major(s) Recruited</t>
  </si>
  <si>
    <t>Degree Levels Recruited</t>
  </si>
  <si>
    <t>Position Types</t>
  </si>
  <si>
    <t>Work Authorization Accepted</t>
  </si>
  <si>
    <t>Virtual Fair</t>
  </si>
  <si>
    <t>Additional Representatives Day 1</t>
  </si>
  <si>
    <t>Additional Representatives Day 2</t>
  </si>
  <si>
    <t>Sister Company Placement</t>
  </si>
  <si>
    <t>Anticipated Wi-Fi Connections</t>
  </si>
  <si>
    <t>Representative Information</t>
  </si>
  <si>
    <t>Booth Location</t>
  </si>
  <si>
    <t>Attendee Type</t>
  </si>
  <si>
    <t>Days Attending</t>
  </si>
  <si>
    <t>Status</t>
  </si>
  <si>
    <t>Registered On</t>
  </si>
  <si>
    <t>Sponosor? (MANUALLY ADDED)</t>
  </si>
  <si>
    <t>1Finity, a Fujitsu Company</t>
  </si>
  <si>
    <t>Lissette Lopez</t>
  </si>
  <si>
    <t>studentprograms@fujitsu.com</t>
  </si>
  <si>
    <t>Engineering</t>
  </si>
  <si>
    <t>Computer Science (CPSC)</t>
  </si>
  <si>
    <t>Computer Engineering (CPEN), Computer Science (CPSC), Electrical Engineering (ELEN)</t>
  </si>
  <si>
    <t>Bachelor's, Master's</t>
  </si>
  <si>
    <t>Full-Time, Intern</t>
  </si>
  <si>
    <t>US Citizen or US National, Legally authorized to work in US (Permanent US Resident, Political Asylee, Refugee or DACA)</t>
  </si>
  <si>
    <t>Basic One-Day: Thursday, January 29th [$1000.00]</t>
  </si>
  <si>
    <t>no</t>
  </si>
  <si>
    <t>NA</t>
  </si>
  <si>
    <t>Jason Sze
Sai Tharun Pathakota</t>
  </si>
  <si>
    <t>B26</t>
  </si>
  <si>
    <t>Day 2 (Thursday, January 29th)</t>
  </si>
  <si>
    <t>Confirmed</t>
  </si>
  <si>
    <t>Dec 18, 2025, 3:17 PM</t>
  </si>
  <si>
    <t>Ronald Anderson</t>
  </si>
  <si>
    <t>rda@as-engineers.com</t>
  </si>
  <si>
    <t>Civil Engineering (CVEN)</t>
  </si>
  <si>
    <t>Civil Engineering (CVEN), Environmental Engineering (EVEN)</t>
  </si>
  <si>
    <t>Bachelor's</t>
  </si>
  <si>
    <t>Full-Time, Intern, Co-op</t>
  </si>
  <si>
    <t>Basic Two-Day [$2000.00]</t>
  </si>
  <si>
    <t>N/A</t>
  </si>
  <si>
    <t>Ronald Anderson II, PE</t>
  </si>
  <si>
    <t>D28</t>
  </si>
  <si>
    <t>Day 1 (Wednesday, January 28th)
Day 2 (Thursday, January 29th)</t>
  </si>
  <si>
    <t>Nov 12, 2025, 12:27 PM</t>
  </si>
  <si>
    <t>Elizabeth Lipstreu</t>
  </si>
  <si>
    <t>elizabeth.lipstreu@us.abb.com</t>
  </si>
  <si>
    <t>Manufacturing</t>
  </si>
  <si>
    <t>Mechanical Engineering (MEEN)</t>
  </si>
  <si>
    <t>Electrical Engineering (ELEN), Industrial Engineering (INEN), Mechanical Engineering (MEEN)</t>
  </si>
  <si>
    <t>Gold One-Day: Wednesday, January 28th [$2500.00]</t>
  </si>
  <si>
    <t>Day 1 (Wednesday, January 28th)</t>
  </si>
  <si>
    <t>Canceled</t>
  </si>
  <si>
    <t>Nov 12, 2025, 8:46 AM</t>
  </si>
  <si>
    <t>Sowmya Sivakumar</t>
  </si>
  <si>
    <t>ssivakumar@age-se.com</t>
  </si>
  <si>
    <t>Architectural Engineering (AREN), Civil Engineering (CVEN)</t>
  </si>
  <si>
    <t>Bachelor's, Master's, Doctorate</t>
  </si>
  <si>
    <t>Basic One-Day: Wednesday, January 28th [$1000.00]</t>
  </si>
  <si>
    <t>C19</t>
  </si>
  <si>
    <t>Nov 12, 2025, 3:52 PM</t>
  </si>
  <si>
    <t>Shirley Faust</t>
  </si>
  <si>
    <t>shirley.faust@aguirre-fields.com</t>
  </si>
  <si>
    <t>Intern</t>
  </si>
  <si>
    <t>Nov 12, 2025, 10:34 AM</t>
  </si>
  <si>
    <t>Dana Barrow</t>
  </si>
  <si>
    <t>airliquide@nc3.com</t>
  </si>
  <si>
    <t>Other</t>
  </si>
  <si>
    <t>Chemical Engineering (CHEN)</t>
  </si>
  <si>
    <t>Chemical Engineering (CHEN), Electrical Engineering (ELEN), Mechanical Engineering (MEEN)</t>
  </si>
  <si>
    <t>Full-Time</t>
  </si>
  <si>
    <t>US Citizen or US National</t>
  </si>
  <si>
    <t>n/a</t>
  </si>
  <si>
    <t>J10</t>
  </si>
  <si>
    <t>Nov 12, 2025, 9:32 AM</t>
  </si>
  <si>
    <t>Ajinomoto Foods North America</t>
  </si>
  <si>
    <t>Matthew Rockwell</t>
  </si>
  <si>
    <t>matthew.rockwell@ajinomotofoods.com</t>
  </si>
  <si>
    <t>Food Services</t>
  </si>
  <si>
    <t>Manufacturing and Mechanical Engineering Technology (MMET)</t>
  </si>
  <si>
    <t>Electrical Engineering (ELEN), Industrial Engineering (INEN), Manufacturing and Mechanical Engineering Technology (MMET)</t>
  </si>
  <si>
    <t>yes</t>
  </si>
  <si>
    <t>A7</t>
  </si>
  <si>
    <t>Nov 21, 2025, 11:33 AM</t>
  </si>
  <si>
    <t>Alber's Aerospace</t>
  </si>
  <si>
    <t>Kaley Young</t>
  </si>
  <si>
    <t>kyoung@albers.aero</t>
  </si>
  <si>
    <t>Aerospace / Aviation, Engineering, Government / Military / Defense</t>
  </si>
  <si>
    <t>Aerospace Engineering (AERO), Electrical Engineering (ELEN), Electronic Systems Engineering Technology (ESET), Mechanical Engineering (MEEN)</t>
  </si>
  <si>
    <t>Brendan McIntyre
Kaley Young
Noah Ferguson</t>
  </si>
  <si>
    <t>J28</t>
  </si>
  <si>
    <t>Dec 18, 2025, 8:41 AM</t>
  </si>
  <si>
    <t>Dameon Middleton</t>
  </si>
  <si>
    <t>dameon.middleton@alfalaval.com</t>
  </si>
  <si>
    <t>Aerospace Engineering (AERO), Architectural Engineering (AREN), Biological and Agricultural Engineering (BAEN), Biomedical Engineering (BMEN), Chemical Engineering (CHEN), Civil Engineering (CVEN), Computer Engineering (CPEN), Computer Science (CPSC), Data Engineering (DAEN), Electrical Engineering (ELEN), Energy (ENGY), Energy Management (EGMT), Engineering Technology (ENTC), Electronic Systems Engineering Technology (ESET), Environmental Engineering (EVEN), Industrial Distribution (IDIS), Industrial Engineering (INEN), Manufacturing and Mechanical Engineering Technology (MMET), Materials Science and Engineering (MSEN), Mechanical Engineering (MEEN), Multidisciplinary Engineering Technology (MXET), Nuclear Engineering (NUEN), Ocean Engineering (OCEN), Petroleum Engineering (PETE), Safety Engineering (SENG)</t>
  </si>
  <si>
    <t>F2</t>
  </si>
  <si>
    <t>Dec 03, 2025, 5:57 PM</t>
  </si>
  <si>
    <t>Alpha Omega Co. USA, Inc</t>
  </si>
  <si>
    <t>Rigoberto</t>
  </si>
  <si>
    <t>r.rodriguez@alphaomega-eng.com</t>
  </si>
  <si>
    <t>Health Care</t>
  </si>
  <si>
    <t>Biomedical Engineering (BMEN)</t>
  </si>
  <si>
    <t>Biomedical Engineering (BMEN), Electrical Engineering (ELEN)</t>
  </si>
  <si>
    <t>Jorge Quintero
Rigo Rodriguez
Said Kadadu</t>
  </si>
  <si>
    <t>G21</t>
  </si>
  <si>
    <t>Jan 09, 2026, 2:33 PM</t>
  </si>
  <si>
    <t>Altran Magnetics</t>
  </si>
  <si>
    <t>Grayson Griffin</t>
  </si>
  <si>
    <t>grayson@altranmagnetics.com</t>
  </si>
  <si>
    <t>Manufacturing, Sales</t>
  </si>
  <si>
    <t>Electrical Engineering (ELEN)</t>
  </si>
  <si>
    <t>Electrical Engineering (ELEN), Mechanical Engineering (MEEN)</t>
  </si>
  <si>
    <t>E2</t>
  </si>
  <si>
    <t>Jan 06, 2026, 8:36 AM</t>
  </si>
  <si>
    <t>Heather Hancock</t>
  </si>
  <si>
    <t>heather.hancock@us.amentum.com</t>
  </si>
  <si>
    <t>Aerospace / Aviation</t>
  </si>
  <si>
    <t>Aerospace Engineering (AERO)</t>
  </si>
  <si>
    <t>Aerospace Engineering (AERO), Computer Engineering (CPEN), Electrical Engineering (ELEN), Engineering Technology (ENTC), Materials Science and Engineering (MSEN), Mechanical Engineering (MEEN)</t>
  </si>
  <si>
    <t>F30</t>
  </si>
  <si>
    <t>Nov 12, 2025, 9:02 AM</t>
  </si>
  <si>
    <t>American Cast Iron Pipe Company</t>
  </si>
  <si>
    <t>Emily House</t>
  </si>
  <si>
    <t>ehouse@american-usa.com</t>
  </si>
  <si>
    <t>Engineering, Manufacturing</t>
  </si>
  <si>
    <t>Aerospace Engineering (AERO), Architectural Engineering (AREN), Biological and Agricultural Engineering (BAEN), Chemical Engineering (CHEN), Civil Engineering (CVEN), Electrical Engineering (ELEN), Environmental Engineering (EVEN), Industrial Distribution (IDIS), Industrial Engineering (INEN), Manufacturing and Mechanical Engineering Technology (MMET), Materials Science and Engineering (MSEN), Mechanical Engineering (MEEN)</t>
  </si>
  <si>
    <t>Ayon Herron</t>
  </si>
  <si>
    <t>F20</t>
  </si>
  <si>
    <t>Nov 17, 2025, 2:45 PM</t>
  </si>
  <si>
    <t>American Electric Power (AEP)</t>
  </si>
  <si>
    <t>Haley Gardner</t>
  </si>
  <si>
    <t>hgardner@aep.com</t>
  </si>
  <si>
    <t>Engineering, Other</t>
  </si>
  <si>
    <t>Civil Engineering (CVEN), Electrical Engineering (ELEN), Engineering Technology (ENTC), Electronic Systems Engineering Technology (ESET), Mechanical Engineering (MEEN)</t>
  </si>
  <si>
    <t>Melissa Radford</t>
  </si>
  <si>
    <t>G7</t>
  </si>
  <si>
    <t>Dec 02, 2025, 10:17 AM</t>
  </si>
  <si>
    <t>Eva Lee</t>
  </si>
  <si>
    <t>eva.lee@andersencorp.com</t>
  </si>
  <si>
    <t>651-399-2514</t>
  </si>
  <si>
    <t>Aerospace Engineering (AERO), Civil Engineering (CVEN), Computer Science (CPSC), Industrial Engineering (INEN), Manufacturing and Mechanical Engineering Technology (MMET), Materials Science and Engineering (MSEN), Mechanical Engineering (MEEN)</t>
  </si>
  <si>
    <t>Silver Two-Day [$3000.00]</t>
  </si>
  <si>
    <t>F9</t>
  </si>
  <si>
    <t>Nov 12, 2025, 8:06 AM</t>
  </si>
  <si>
    <t>ANDRES Construction Services</t>
  </si>
  <si>
    <t>Landon Anderson</t>
  </si>
  <si>
    <t>landon@andresconstruction.com</t>
  </si>
  <si>
    <t>Construction</t>
  </si>
  <si>
    <t>Architectural Engineering (AREN), Industrial Engineering (INEN), Mechanical Engineering (MEEN), Safety Engineering (SENG)</t>
  </si>
  <si>
    <t>J8</t>
  </si>
  <si>
    <t>Nov 19, 2025, 9:48 AM</t>
  </si>
  <si>
    <t>Daniela Castillo-Rocha</t>
  </si>
  <si>
    <t>recruiting@arlut.utexas.edu</t>
  </si>
  <si>
    <t>Aerospace / Aviation, Government / Military / Defense</t>
  </si>
  <si>
    <t>Aerospace Engineering (AERO), Computer Science (CPSC), Electrical Engineering (ELEN), Mechanical Engineering (MEEN)</t>
  </si>
  <si>
    <t>Gold Two-Day [$5500.00]</t>
  </si>
  <si>
    <t>K13, K14</t>
  </si>
  <si>
    <t>Nov 12, 2025, 8:22 AM</t>
  </si>
  <si>
    <t>APTIM</t>
  </si>
  <si>
    <t>Kelvin Burns</t>
  </si>
  <si>
    <t>kelvin.burns@aptim.com</t>
  </si>
  <si>
    <t>Construction, Energy, Engineering, Government / Military / Defense, Logistics</t>
  </si>
  <si>
    <t>Engineering Technology (ENTC)</t>
  </si>
  <si>
    <t>Civil Engineering (CVEN), Energy (ENGY), Engineering Technology (ENTC), Industrial Engineering (INEN)</t>
  </si>
  <si>
    <t>I26</t>
  </si>
  <si>
    <t>Jan 09, 2026, 5:18 PM</t>
  </si>
  <si>
    <t>Maddie Meade</t>
  </si>
  <si>
    <t>mmeade@arcomurray.com</t>
  </si>
  <si>
    <t>214-608-3239</t>
  </si>
  <si>
    <t>Construction, Engineering</t>
  </si>
  <si>
    <t>Architectural Engineering (AREN), Civil Engineering (CVEN), Mechanical Engineering (MEEN)</t>
  </si>
  <si>
    <t>US Citizen or US National, Legally authorized to work in US (Permanent US Resident, Political Asylee, Refugee or DACA), Will now or in the future require visa sponsorship</t>
  </si>
  <si>
    <t>Jack Grove
John Tulloh
Maddie Meade
Michael Erceg</t>
  </si>
  <si>
    <t>E3</t>
  </si>
  <si>
    <t>Nov 12, 2025, 8:03 AM</t>
  </si>
  <si>
    <t>Emily Skidmore</t>
  </si>
  <si>
    <t>esanborn@ardurra.com</t>
  </si>
  <si>
    <t>Chemical Engineering (CHEN), Civil Engineering (CVEN), Electrical Engineering (ELEN), Environmental Engineering (EVEN)</t>
  </si>
  <si>
    <t>Full-Time, Intern, Co-op, Part-time</t>
  </si>
  <si>
    <t>D12</t>
  </si>
  <si>
    <t>Jan 15, 2026, 3:25 PM</t>
  </si>
  <si>
    <t>Matt Neal</t>
  </si>
  <si>
    <t>jobs@arionblue.com</t>
  </si>
  <si>
    <t>Energy, Engineering</t>
  </si>
  <si>
    <t>Chemical Engineering (CHEN), Civil Engineering (CVEN), Electrical Engineering (ELEN), Energy (ENGY), Engineering Technology (ENTC), Materials Science and Engineering (MSEN), Mechanical Engineering (MEEN)</t>
  </si>
  <si>
    <t>Mike Levert</t>
  </si>
  <si>
    <t>I28</t>
  </si>
  <si>
    <t>Jan 01, 2026, 4:51 PM</t>
  </si>
  <si>
    <t>Veronica Bernal</t>
  </si>
  <si>
    <t>Veronica.Bernal@atkinsrealis.com</t>
  </si>
  <si>
    <t>Civil Engineering (CVEN), Electrical Engineering (ELEN), Environmental Engineering (EVEN), Mechanical Engineering (MEEN)</t>
  </si>
  <si>
    <t>Armando Valderas
Maisah Majid
Veronica Bernal</t>
  </si>
  <si>
    <t>D1</t>
  </si>
  <si>
    <t>Nov 12, 2025, 8:12 AM</t>
  </si>
  <si>
    <t>Leah Herzog</t>
  </si>
  <si>
    <t>lherzog@atlas.energy</t>
  </si>
  <si>
    <t>Energy, Engineering, Technology</t>
  </si>
  <si>
    <t>Chemical Engineering (CHEN), Computer Science (CPSC), Data Engineering (DAEN), Electrical Engineering (ELEN), Energy (ENGY), Electronic Systems Engineering Technology (ESET), Industrial Engineering (INEN), Manufacturing and Mechanical Engineering Technology (MMET), Mechanical Engineering (MEEN), Multidisciplinary Engineering Technology (MXET)</t>
  </si>
  <si>
    <t>Adam Broughton
Ahnaf Rabbani
Larry Whitley
Orlando De La Torre</t>
  </si>
  <si>
    <t>J11</t>
  </si>
  <si>
    <t>Jan 06, 2026, 10:45 AM</t>
  </si>
  <si>
    <t>Colten Garrett Newsom</t>
  </si>
  <si>
    <t>garrett.newsom@atmosenergy.com</t>
  </si>
  <si>
    <t>Chemical Engineering (CHEN), Civil Engineering (CVEN), Electrical Engineering (ELEN), Mechanical Engineering (MEEN), Petroleum Engineering (PETE)</t>
  </si>
  <si>
    <t>Part-time</t>
  </si>
  <si>
    <t>F18</t>
  </si>
  <si>
    <t>Dec 31, 2025, 2:20 PM</t>
  </si>
  <si>
    <t>Sarah Duwenhoegger</t>
  </si>
  <si>
    <t>sduwenhoegger@atwell.com</t>
  </si>
  <si>
    <t>812-459-0077</t>
  </si>
  <si>
    <t>Consulting, Energy, Engineering</t>
  </si>
  <si>
    <t>Chemical Engineering (CHEN), Civil Engineering (CVEN), Electrical Engineering (ELEN), Energy (ENGY), Mechanical Engineering (MEEN)</t>
  </si>
  <si>
    <t>D25</t>
  </si>
  <si>
    <t>Nov 12, 2025, 8:40 AM</t>
  </si>
  <si>
    <t>Auctane/Stamps.com</t>
  </si>
  <si>
    <t>Riley Durbin</t>
  </si>
  <si>
    <t>riley.durbin@auctane.com</t>
  </si>
  <si>
    <t>Technology</t>
  </si>
  <si>
    <t>Computer Science (CPSC), Data Engineering (DAEN)</t>
  </si>
  <si>
    <t>Silver One-Day: Thursday, January 29th [$1800.00]</t>
  </si>
  <si>
    <t>Joshua Semar
Michael Pearce
Mike Schmoyer
Riley Durbin</t>
  </si>
  <si>
    <t>Dec 16, 2025, 12:20 PM</t>
  </si>
  <si>
    <t>Kara Schnadelbach</t>
  </si>
  <si>
    <t>kschnadelbach@auduboncompanies.com</t>
  </si>
  <si>
    <t>Construction, Consulting, Energy, Engineering, Manufacturing</t>
  </si>
  <si>
    <t>Chemical Engineering (CHEN), Civil Engineering (CVEN), Computer Science (CPSC), Electrical Engineering (ELEN), Mechanical Engineering (MEEN)</t>
  </si>
  <si>
    <t>Colby Burks
Jordan Estridge
Michael McDaniel</t>
  </si>
  <si>
    <t>Nov 26, 2025, 3:18 PM</t>
  </si>
  <si>
    <t>Cesar Gomez</t>
  </si>
  <si>
    <t>ifraga@austin-ind.com</t>
  </si>
  <si>
    <t>469-634-8457</t>
  </si>
  <si>
    <t>Austin Commercial</t>
  </si>
  <si>
    <t>J7</t>
  </si>
  <si>
    <t>Nov 12, 2025, 10:27 AM</t>
  </si>
  <si>
    <t>AUTOSOL</t>
  </si>
  <si>
    <t>Suzzette Rainey</t>
  </si>
  <si>
    <t>srainey@autosoln.com</t>
  </si>
  <si>
    <t>Energy</t>
  </si>
  <si>
    <t>Computer Engineering (CPEN)</t>
  </si>
  <si>
    <t>Computer Engineering (CPEN), Computer Science (CPSC), Data Engineering (DAEN)</t>
  </si>
  <si>
    <t>Chris LaFavers
Kennedy Ryden</t>
  </si>
  <si>
    <t>B28</t>
  </si>
  <si>
    <t>Dec 02, 2025, 1:38 PM</t>
  </si>
  <si>
    <t>Brooke Day</t>
  </si>
  <si>
    <t>brooke.day@awc-inc.com</t>
  </si>
  <si>
    <t>Engineering, Manufacturing, Technology</t>
  </si>
  <si>
    <t>Engineering Technology (ENTC), Industrial Distribution (IDIS), Industrial Engineering (INEN), Manufacturing and Mechanical Engineering Technology (MMET), Mechanical Engineering (MEEN)</t>
  </si>
  <si>
    <t>n/s</t>
  </si>
  <si>
    <t>Heather Lazor
Katie Howell
Mason Mays</t>
  </si>
  <si>
    <t>E18</t>
  </si>
  <si>
    <t>Nov 12, 2025, 8:27 AM</t>
  </si>
  <si>
    <t>Bahr Engineering MBA</t>
  </si>
  <si>
    <t>Brooke Ellen</t>
  </si>
  <si>
    <t>engrmba@mays.tamu.edu</t>
  </si>
  <si>
    <t>A13</t>
  </si>
  <si>
    <t>Nov 12, 2025, 2:57 PM</t>
  </si>
  <si>
    <t>Megan G Halpenny</t>
  </si>
  <si>
    <t>careers@bhbinc.com</t>
  </si>
  <si>
    <t>Architectural Engineering (AREN), Civil Engineering (CVEN), Electrical Engineering (ELEN), Mechanical Engineering (MEEN)</t>
  </si>
  <si>
    <t>I18</t>
  </si>
  <si>
    <t>Nov 12, 2025, 8:51 AM</t>
  </si>
  <si>
    <t>Jared Cruz</t>
  </si>
  <si>
    <t>cruzja@bakerconstruction.com</t>
  </si>
  <si>
    <t>Jesus</t>
  </si>
  <si>
    <t>G24</t>
  </si>
  <si>
    <t>Jan 15, 2026, 2:33 PM</t>
  </si>
  <si>
    <t>Ilham Farehan</t>
  </si>
  <si>
    <t>ilham.farehan@bakerhughes.com</t>
  </si>
  <si>
    <t>Energy, Technology</t>
  </si>
  <si>
    <t>Chemical Engineering (CHEN), Energy (ENGY), Engineering Technology (ENTC), Industrial Engineering (INEN), Manufacturing and Mechanical Engineering Technology (MMET), Mechanical Engineering (MEEN), Petroleum Engineering (PETE)</t>
  </si>
  <si>
    <t>Arianna Dubose
Derek Nelms
Ilham Farehan</t>
  </si>
  <si>
    <t>J11, J12</t>
  </si>
  <si>
    <t>Jan 15, 2026, 2:21 PM</t>
  </si>
  <si>
    <t>Kalynn Quinones</t>
  </si>
  <si>
    <t>kquinonesmixon@barnhartcrane.com</t>
  </si>
  <si>
    <t>Civil Engineering (CVEN), Mechanical Engineering (MEEN)</t>
  </si>
  <si>
    <t>H2</t>
  </si>
  <si>
    <t>Nov 12, 2025, 8:26 AM</t>
  </si>
  <si>
    <t>Bennett and Pless</t>
  </si>
  <si>
    <t>Elan Waite</t>
  </si>
  <si>
    <t>ewaite@bennett-pless.com</t>
  </si>
  <si>
    <t>Nathan Williams
Nikitha Ponaka
Prasad Jayaraman</t>
  </si>
  <si>
    <t>I10</t>
  </si>
  <si>
    <t>Dec 16, 2025, 10:11 AM</t>
  </si>
  <si>
    <t>Johnah Biassou</t>
  </si>
  <si>
    <t>bgecampus@bgeinc.com</t>
  </si>
  <si>
    <t>D13, D14</t>
  </si>
  <si>
    <t>Nov 12, 2025, 8:07 AM</t>
  </si>
  <si>
    <t>Bimbo Bakeries, USA</t>
  </si>
  <si>
    <t>Jacqueline Spinosa</t>
  </si>
  <si>
    <t>jackie.spinosa@grupobimbo.com</t>
  </si>
  <si>
    <t>Agriculture, Consumer Goods, Engineering, Food Services, Manufacturing, Sales</t>
  </si>
  <si>
    <t>Industrial Distribution (IDIS)</t>
  </si>
  <si>
    <t>Chemical Engineering (CHEN), Computer Engineering (CPEN), Engineering Technology (ENTC), Electronic Systems Engineering Technology (ESET), Environmental Engineering (EVEN), Industrial Distribution (IDIS), Industrial Engineering (INEN), Manufacturing and Mechanical Engineering Technology (MMET), Materials Science and Engineering (MSEN), Mechanical Engineering (MEEN)</t>
  </si>
  <si>
    <t>I2</t>
  </si>
  <si>
    <t>Dec 01, 2025, 8:42 AM</t>
  </si>
  <si>
    <t>BIOTRONIK</t>
  </si>
  <si>
    <t>Amanda M Willott</t>
  </si>
  <si>
    <t>amanda.willott@biotronik.com</t>
  </si>
  <si>
    <t>503-828-8507</t>
  </si>
  <si>
    <t>Derek Hermes</t>
  </si>
  <si>
    <t>J6</t>
  </si>
  <si>
    <t>Nov 18, 2025, 1:53 PM</t>
  </si>
  <si>
    <t>BV College Relations</t>
  </si>
  <si>
    <t>earlycareers@bv.com</t>
  </si>
  <si>
    <t>Chemical Engineering (CHEN), Civil Engineering (CVEN), Computer Science (CPSC), Data Engineering (DAEN), Electrical Engineering (ELEN), Engineering Technology (ENTC), Environmental Engineering (EVEN), Mechanical Engineering (MEEN), Nuclear Engineering (NUEN)</t>
  </si>
  <si>
    <t>G12</t>
  </si>
  <si>
    <t>Nov 12, 2025, 8:44 AM</t>
  </si>
  <si>
    <t>College Recruiting</t>
  </si>
  <si>
    <t>TalentAcquisition@bnsf.com</t>
  </si>
  <si>
    <t>682-201-6827</t>
  </si>
  <si>
    <t>Logistics</t>
  </si>
  <si>
    <t>Civil Engineering (CVEN), Computer Science (CPSC), Electrical Engineering (ELEN), Engineering Technology (ENTC), Electronic Systems Engineering Technology (ESET), Industrial Distribution (IDIS), Industrial Engineering (INEN), Manufacturing and Mechanical Engineering Technology (MMET), Mechanical Engineering (MEEN), Multidisciplinary Engineering Technology (MXET), Safety Engineering (SENG)</t>
  </si>
  <si>
    <t>C27</t>
  </si>
  <si>
    <t>Jan 05, 2026, 12:55 PM</t>
  </si>
  <si>
    <t>Boardwalk Pipelines, LP</t>
  </si>
  <si>
    <t>Nicole Hartman</t>
  </si>
  <si>
    <t>nicole.hartman@bwpipelines.com</t>
  </si>
  <si>
    <t>832-712-1575</t>
  </si>
  <si>
    <t>Civil Engineering (CVEN), Electrical Engineering (ELEN), Mechanical Engineering (MEEN), Petroleum Engineering (PETE)</t>
  </si>
  <si>
    <t>G28</t>
  </si>
  <si>
    <t>Dec 08, 2025, 9:52 AM</t>
  </si>
  <si>
    <t>Nick Wetzel</t>
  </si>
  <si>
    <t>nick@boeservices.com</t>
  </si>
  <si>
    <t>737-210-5551</t>
  </si>
  <si>
    <t>Full-Time, Intern, Part-time</t>
  </si>
  <si>
    <t>Matthew St Germain
Saba Hatami</t>
  </si>
  <si>
    <t>D17</t>
  </si>
  <si>
    <t>Nov 12, 2025, 8:23 AM</t>
  </si>
  <si>
    <t>BR+A Consulting Engineers</t>
  </si>
  <si>
    <t>Julia Peters</t>
  </si>
  <si>
    <t>japeters@brplusa.com</t>
  </si>
  <si>
    <t>(617)925-8471</t>
  </si>
  <si>
    <t>Architectural Engineering (AREN)</t>
  </si>
  <si>
    <t>Architectural Engineering (AREN), Electrical Engineering (ELEN), Mechanical Engineering (MEEN)</t>
  </si>
  <si>
    <t>Ashley Flores
Ethan Caligur</t>
  </si>
  <si>
    <t>F27</t>
  </si>
  <si>
    <t>Dec 11, 2025, 3:14 PM</t>
  </si>
  <si>
    <t>Bray Recruiting Team</t>
  </si>
  <si>
    <t>busa.recruiting@bray.com</t>
  </si>
  <si>
    <t>Aerospace Engineering (AERO), Electrical Engineering (ELEN), Industrial Distribution (IDIS), Industrial Engineering (INEN), Manufacturing and Mechanical Engineering Technology (MMET), Mechanical Engineering (MEEN)</t>
  </si>
  <si>
    <t>Alejandra Perez
Erika Everett
Ethan Marsh
Mada Wilburn
Matt Cain
Noah Lane
Rahul Manjunatha
Saul Sanchez
Yuan Si</t>
  </si>
  <si>
    <t>F5, F6</t>
  </si>
  <si>
    <t>Nov 12, 2025, 4:25 PM</t>
  </si>
  <si>
    <t>Joe E. Paredes</t>
  </si>
  <si>
    <t>jvillarreal@brownsville-pub.com</t>
  </si>
  <si>
    <t>956-371-7436</t>
  </si>
  <si>
    <t>Computer Engineering (CPEN), Computer Science (CPSC), Data Engineering (DAEN), Electrical Engineering (ELEN), Energy (ENGY), Energy Management (EGMT)</t>
  </si>
  <si>
    <t>Javier Martinez Jr
Luis Jimenez</t>
  </si>
  <si>
    <t>D16</t>
  </si>
  <si>
    <t>Nov 12, 2025, 4:13 PM</t>
  </si>
  <si>
    <t>BRE Careers</t>
  </si>
  <si>
    <t>careers@bre.com</t>
  </si>
  <si>
    <t>979-777-4293</t>
  </si>
  <si>
    <t>Engineering, Software, Technology</t>
  </si>
  <si>
    <t>Chemical Engineering (CHEN), Computer Science (CPSC), Data Engineering (DAEN)</t>
  </si>
  <si>
    <t>E17</t>
  </si>
  <si>
    <t>Nov 12, 2025, 9:01 AM</t>
  </si>
  <si>
    <t>BMcD Campus Team</t>
  </si>
  <si>
    <t>CampusRecruiting@burnsmcd.com</t>
  </si>
  <si>
    <t>Civil Engineering (CVEN), Electrical Engineering (ELEN), Mechanical Engineering (MEEN)</t>
  </si>
  <si>
    <t>D24, D25</t>
  </si>
  <si>
    <t>Nov 12, 2025, 8:05 AM</t>
  </si>
  <si>
    <t>Sarah Rivera</t>
  </si>
  <si>
    <t>sarivera@tamu.edu</t>
  </si>
  <si>
    <t>This will be provided when a rep is determined.</t>
  </si>
  <si>
    <t>Government / Military / Defense, Non-Profit / Philanthropy, Other</t>
  </si>
  <si>
    <t>Nuclear Engineering (NUEN)</t>
  </si>
  <si>
    <t>Co-op</t>
  </si>
  <si>
    <t>Megan Watson
Sarah Rivera</t>
  </si>
  <si>
    <t>Nov 12, 2025, 8:01 AM</t>
  </si>
  <si>
    <t>Angie Berman</t>
  </si>
  <si>
    <t>angela.berman@bwdesigngroup.com</t>
  </si>
  <si>
    <t>Construction, Consulting, Engineering</t>
  </si>
  <si>
    <t>Multidisciplinary Engineering Technology (MXET)</t>
  </si>
  <si>
    <t>Chemical Engineering (CHEN), Civil Engineering (CVEN), Computer Engineering (CPEN), Electrical Engineering (ELEN), Engineering Technology (ENTC), Electronic Systems Engineering Technology (ESET), Manufacturing and Mechanical Engineering Technology (MMET), Mechanical Engineering (MEEN), Multidisciplinary Engineering Technology (MXET)</t>
  </si>
  <si>
    <t>I22</t>
  </si>
  <si>
    <t>Dec 17, 2025, 10:02 AM</t>
  </si>
  <si>
    <t>Pauline Nguyen</t>
  </si>
  <si>
    <t>npauline@cadence.com</t>
  </si>
  <si>
    <t>Software</t>
  </si>
  <si>
    <t>Silver One-Day: Wednesday, January 28th [$1800.00]</t>
  </si>
  <si>
    <t>Eric Yeung</t>
  </si>
  <si>
    <t>G23</t>
  </si>
  <si>
    <t>Jan 27, 2026, 9:41 AM</t>
  </si>
  <si>
    <t>Cadence McShane Construction Company</t>
  </si>
  <si>
    <t>Mo Green</t>
  </si>
  <si>
    <t>mgreen@cadencemcshane.com</t>
  </si>
  <si>
    <t>Architectural Engineering (AREN), Industrial Engineering (INEN)</t>
  </si>
  <si>
    <t>Jan 16, 2026, 12:24 PM</t>
  </si>
  <si>
    <t>CAM Integrated Solutions, LLC</t>
  </si>
  <si>
    <t>Tiffany M. Burns</t>
  </si>
  <si>
    <t>tburns@camintegrated.com</t>
  </si>
  <si>
    <t>281-615-1270</t>
  </si>
  <si>
    <t>Chemical Engineering (CHEN), Civil Engineering (CVEN), Electrical Engineering (ELEN), Mechanical Engineering (MEEN), Multidisciplinary Engineering Technology (MXET)</t>
  </si>
  <si>
    <t>Tiffany Burns</t>
  </si>
  <si>
    <t>F22</t>
  </si>
  <si>
    <t>Dec 02, 2025, 1:30 PM</t>
  </si>
  <si>
    <t>Campos Engineering, Inc.</t>
  </si>
  <si>
    <t>Claire West</t>
  </si>
  <si>
    <t>camposmarketing@camposengineering.com</t>
  </si>
  <si>
    <t>H25</t>
  </si>
  <si>
    <t>Nov 17, 2025, 12:56 PM</t>
  </si>
  <si>
    <t>Brandon Rich</t>
  </si>
  <si>
    <t>brandon.rich@capco.com</t>
  </si>
  <si>
    <t>Consulting, Energy, Software, Technology</t>
  </si>
  <si>
    <t>Computer Engineering (CPEN), Computer Science (CPSC), Data Engineering (DAEN), Energy (ENGY), Energy Management (EGMT), Engineering Technology (ENTC), Materials Science and Engineering (MSEN)</t>
  </si>
  <si>
    <t>B25</t>
  </si>
  <si>
    <t>Dec 03, 2025, 2:36 PM</t>
  </si>
  <si>
    <t>Lisa Emmons</t>
  </si>
  <si>
    <t>recruiting@capsher.com</t>
  </si>
  <si>
    <t>Software, Technology</t>
  </si>
  <si>
    <t>B22</t>
  </si>
  <si>
    <t>Nov 12, 2025, 9:55 AM</t>
  </si>
  <si>
    <t>Cardinal Paint</t>
  </si>
  <si>
    <t>Bob Rowles</t>
  </si>
  <si>
    <t>bobr@cardinalpaint.com</t>
  </si>
  <si>
    <t>Chemical Engineering (CHEN), Engineering Technology (ENTC), Materials Science and Engineering (MSEN)</t>
  </si>
  <si>
    <t>Bob Rowles
John</t>
  </si>
  <si>
    <t>G13</t>
  </si>
  <si>
    <t>Jan 05, 2026, 4:19 PM</t>
  </si>
  <si>
    <t>Cargill</t>
  </si>
  <si>
    <t>Samantha Auchmuty</t>
  </si>
  <si>
    <t>cargill@nc3.com</t>
  </si>
  <si>
    <t>401-642-1713</t>
  </si>
  <si>
    <t>Chemical Engineering (CHEN), Electrical Engineering (ELEN), Environmental Engineering (EVEN), Industrial Engineering (INEN), Materials Science and Engineering (MSEN), Mechanical Engineering (MEEN)</t>
  </si>
  <si>
    <t>B8, B9</t>
  </si>
  <si>
    <t>Nov 12, 2025, 8:04 AM</t>
  </si>
  <si>
    <t>RANDA HEGAZI</t>
  </si>
  <si>
    <t>rhegazi@carollo.com</t>
  </si>
  <si>
    <t>832-884-5618</t>
  </si>
  <si>
    <t>Architectural Engineering (AREN), Chemical Engineering (CHEN), Civil Engineering (CVEN), Environmental Engineering (EVEN), Industrial Engineering (INEN), Mechanical Engineering (MEEN)</t>
  </si>
  <si>
    <t>C13</t>
  </si>
  <si>
    <t>Nov 12, 2025, 8:43 AM</t>
  </si>
  <si>
    <t>Caterpillar Inc</t>
  </si>
  <si>
    <t>Molly Shock</t>
  </si>
  <si>
    <t>talent_acquisition@cat.com</t>
  </si>
  <si>
    <t>Computer Science (CPSC), Data Engineering (DAEN), Electrical Engineering (ELEN), Energy (ENGY), Energy Management (EGMT), Engineering Technology (ENTC), Environmental Engineering (EVEN), Industrial Engineering (INEN), Manufacturing and Mechanical Engineering Technology (MMET), Materials Science and Engineering (MSEN), Mechanical Engineering (MEEN)</t>
  </si>
  <si>
    <t>H18, H19</t>
  </si>
  <si>
    <t>Nov 14, 2025, 1:56 PM</t>
  </si>
  <si>
    <t>Brad Veath</t>
  </si>
  <si>
    <t>brad.veath@cbi.com</t>
  </si>
  <si>
    <t>Brad Veath
Jade Coleman</t>
  </si>
  <si>
    <t>B1</t>
  </si>
  <si>
    <t>Dec 11, 2025, 8:49 AM</t>
  </si>
  <si>
    <t>CDC Curtain Wall Design and Consulting, Inc.</t>
  </si>
  <si>
    <t>Charles D Clift</t>
  </si>
  <si>
    <t>chclift@cdc-usa.com</t>
  </si>
  <si>
    <t>214-927-9469</t>
  </si>
  <si>
    <t>J4, J5</t>
  </si>
  <si>
    <t>Dec 10, 2025, 1:25 PM</t>
  </si>
  <si>
    <t>Allyssa Gutierrez</t>
  </si>
  <si>
    <t>allyssa.gutierrez@csg.heicocompanies.com</t>
  </si>
  <si>
    <t>Civil Engineering (CVEN), Engineering Technology (ENTC)</t>
  </si>
  <si>
    <t>C15</t>
  </si>
  <si>
    <t>Jan 12, 2026, 11:51 AM</t>
  </si>
  <si>
    <t>Scott yoder</t>
  </si>
  <si>
    <t>scott.r.yoder@centerpointenergy.com</t>
  </si>
  <si>
    <t>713-207-6936</t>
  </si>
  <si>
    <t>Construction, Engineering, Technology, Other</t>
  </si>
  <si>
    <t>Civil Engineering (CVEN), Data Engineering (DAEN), Electrical Engineering (ELEN), Mechanical Engineering (MEEN)</t>
  </si>
  <si>
    <t>H20</t>
  </si>
  <si>
    <t>Dec 16, 2025, 10:13 AM</t>
  </si>
  <si>
    <t>Central Intelligence Agency (CIA)</t>
  </si>
  <si>
    <t>Molly Smith</t>
  </si>
  <si>
    <t>hope4@uce.cia.gov</t>
  </si>
  <si>
    <t>K10, K11</t>
  </si>
  <si>
    <t>Dec 15, 2025, 12:33 PM</t>
  </si>
  <si>
    <t>CHA Consulting, Inc.</t>
  </si>
  <si>
    <t>Amanda Curtin</t>
  </si>
  <si>
    <t>acurtin@chasolutions.com</t>
  </si>
  <si>
    <t>518-210-9189</t>
  </si>
  <si>
    <t>Civil Engineering (CVEN), Electrical Engineering (ELEN), Energy (ENGY), Energy Management (EGMT), Mechanical Engineering (MEEN)</t>
  </si>
  <si>
    <t>Amanda Curtin
Collin Lansdale
Nick Merkord</t>
  </si>
  <si>
    <t>D3</t>
  </si>
  <si>
    <t>Nov 12, 2025, 8:29 AM</t>
  </si>
  <si>
    <t>Laurie Firmin</t>
  </si>
  <si>
    <t>laurie.firmin@champtechnology.com</t>
  </si>
  <si>
    <t>225-603-5352</t>
  </si>
  <si>
    <t>Chemical Engineering (CHEN), Computer Engineering (CPEN), Computer Science (CPSC), Electrical Engineering (ELEN), Engineering Technology (ENTC), Industrial Engineering (INEN), Manufacturing and Mechanical Engineering Technology (MMET), Mechanical Engineering (MEEN)</t>
  </si>
  <si>
    <t>Full-Time, Co-op</t>
  </si>
  <si>
    <t>Laurie Firmin
Seth Keylon
Tyler Longa</t>
  </si>
  <si>
    <t>G10, G11</t>
  </si>
  <si>
    <t>Nov 12, 2025, 1:48 PM</t>
  </si>
  <si>
    <t>Hannah Coleman</t>
  </si>
  <si>
    <t>hannah.coleman@hudsonproducts.com</t>
  </si>
  <si>
    <t>832-600-6255</t>
  </si>
  <si>
    <t>Chemical Engineering (CHEN), Industrial Engineering (INEN), Manufacturing and Mechanical Engineering Technology (MMET), Mechanical Engineering (MEEN), Safety Engineering (SENG)</t>
  </si>
  <si>
    <t>Intern, Co-op</t>
  </si>
  <si>
    <t>G9</t>
  </si>
  <si>
    <t>Nov 12, 2025, 8:52 AM</t>
  </si>
  <si>
    <t>Natalie Wrazen</t>
  </si>
  <si>
    <t>nwrazen@cecinc.com</t>
  </si>
  <si>
    <t>Consulting</t>
  </si>
  <si>
    <t>Nov 24, 2025, 8:18 AM</t>
  </si>
  <si>
    <t>CMC</t>
  </si>
  <si>
    <t>Brooke Vandine</t>
  </si>
  <si>
    <t>brooke.vandine@cmc.com</t>
  </si>
  <si>
    <t>830- 433 - 2460</t>
  </si>
  <si>
    <t>Electrical Engineering (ELEN), Industrial Engineering (INEN), Manufacturing and Mechanical Engineering Technology (MMET), Mechanical Engineering (MEEN)</t>
  </si>
  <si>
    <t>Brooke Vandine
Cayla Headlee
Harley Ullrich</t>
  </si>
  <si>
    <t>I5</t>
  </si>
  <si>
    <t>Arnell Leslie</t>
  </si>
  <si>
    <t>RECRUITING@COBBFENDLEY.COM</t>
  </si>
  <si>
    <t>Dec 23, 2025, 4:08 PM</t>
  </si>
  <si>
    <t>Luke W Seyfert</t>
  </si>
  <si>
    <t>campusrecruiting@collierseng.com</t>
  </si>
  <si>
    <t>Consulting, Engineering</t>
  </si>
  <si>
    <t>Architectural Engineering (AREN), Civil Engineering (CVEN), Environmental Engineering (EVEN)</t>
  </si>
  <si>
    <t>C4</t>
  </si>
  <si>
    <t>Comfort Systems USA</t>
  </si>
  <si>
    <t>Carl Vogel</t>
  </si>
  <si>
    <t>carl.vogel@csusa.us</t>
  </si>
  <si>
    <t>Architectural Engineering (AREN), Civil Engineering (CVEN), Engineering Technology (ENTC), Environmental Engineering (EVEN), Industrial Distribution (IDIS), Industrial Engineering (INEN), Materials Science and Engineering (MSEN), Mechanical Engineering (MEEN), Multidisciplinary Engineering Technology (MXET)</t>
  </si>
  <si>
    <t>Carl Vogel
James Shaw
Travis Moore</t>
  </si>
  <si>
    <t>H14</t>
  </si>
  <si>
    <t>Dec 15, 2025, 4:12 PM</t>
  </si>
  <si>
    <t>Consor Engineers</t>
  </si>
  <si>
    <t>Joseph Holland</t>
  </si>
  <si>
    <t>joey.holland@consoreng.com</t>
  </si>
  <si>
    <t>Chemical Engineering (CHEN), Civil Engineering (CVEN), Environmental Engineering (EVEN)</t>
  </si>
  <si>
    <t>G17</t>
  </si>
  <si>
    <t>Nov 12, 2025, 4:09 PM</t>
  </si>
  <si>
    <t>Angelica Harrell</t>
  </si>
  <si>
    <t>angelica.harrell@contechnet.com</t>
  </si>
  <si>
    <t>Data Engineering (DAEN)</t>
  </si>
  <si>
    <t>Chemical Engineering (CHEN), Computer Engineering (CPEN), Computer Science (CPSC), Data Engineering (DAEN), Electrical Engineering (ELEN), Electronic Systems Engineering Technology (ESET), Manufacturing and Mechanical Engineering Technology (MMET), Mechanical Engineering (MEEN), Multidisciplinary Engineering Technology (MXET)</t>
  </si>
  <si>
    <t>Legally authorized to work in US (Permanent US Resident, Political Asylee, Refugee or DACA)</t>
  </si>
  <si>
    <t>BRADY LANGSTON
Paula Quintero</t>
  </si>
  <si>
    <t>Dec 16, 2025, 9:07 AM</t>
  </si>
  <si>
    <t>Cronus Technology</t>
  </si>
  <si>
    <t>Melissa Morales</t>
  </si>
  <si>
    <t>careers@cronustec.com</t>
  </si>
  <si>
    <t>713-787-9444</t>
  </si>
  <si>
    <t>Consulting, Energy, Engineering, Other</t>
  </si>
  <si>
    <t>Ocean Engineering (OCEN)</t>
  </si>
  <si>
    <t>Civil Engineering (CVEN), Energy (ENGY), Industrial Engineering (INEN), Mechanical Engineering (MEEN), Ocean Engineering (OCEN), Petroleum Engineering (PETE)</t>
  </si>
  <si>
    <t>Chandler Dabbs
Diego Zuniga
Elizabeth Gutierrez
Greg Dodge
Jim Gordon
Lalo Fernandez
Marco Sanchez</t>
  </si>
  <si>
    <t>B7</t>
  </si>
  <si>
    <t>Nov 12, 2025, 7:13 PM</t>
  </si>
  <si>
    <t>Crossland Construction</t>
  </si>
  <si>
    <t>Courtney Jackson</t>
  </si>
  <si>
    <t>cjackson@crossland.com</t>
  </si>
  <si>
    <t>Dec 01, 2025, 10:27 AM</t>
  </si>
  <si>
    <t>Cumulus</t>
  </si>
  <si>
    <t>Rylan Reeder</t>
  </si>
  <si>
    <t>rreeder@cumulusquality.com</t>
  </si>
  <si>
    <t>Construction, Engineering, Technology</t>
  </si>
  <si>
    <t>Aerospace Engineering (AERO), Architectural Engineering (AREN), Chemical Engineering (CHEN), Civil Engineering (CVEN), Computer Engineering (CPEN), Computer Science (CPSC), Data Engineering (DAEN), Electrical Engineering (ELEN), Energy (ENGY), Energy Management (EGMT), Engineering Technology (ENTC), Electronic Systems Engineering Technology (ESET), Industrial Distribution (IDIS), Industrial Engineering (INEN), Manufacturing and Mechanical Engineering Technology (MMET), Materials Science and Engineering (MSEN), Mechanical Engineering (MEEN), Multidisciplinary Engineering Technology (MXET), Nuclear Engineering (NUEN), Ocean Engineering (OCEN), Petroleum Engineering (PETE), Safety Engineering (SENG)</t>
  </si>
  <si>
    <t>Justin Wolf
Meredith Rogers
Rylan Reeder</t>
  </si>
  <si>
    <t>J3</t>
  </si>
  <si>
    <t>Dec 12, 2025, 3:09 PM</t>
  </si>
  <si>
    <t>Leigh Ann Welch</t>
  </si>
  <si>
    <t>humanresources@dailyinst.com</t>
  </si>
  <si>
    <t>Nov 12, 2025, 11:34 AM</t>
  </si>
  <si>
    <t>Tori Smith</t>
  </si>
  <si>
    <t>tori.smith@dashiell.com</t>
  </si>
  <si>
    <t>Civil Engineering (CVEN), Electrical Engineering (ELEN), Electronic Systems Engineering Technology (ESET)</t>
  </si>
  <si>
    <t>E29, E30</t>
  </si>
  <si>
    <t>Nov 17, 2025, 8:43 AM</t>
  </si>
  <si>
    <t>DCCM</t>
  </si>
  <si>
    <t>Michelle Peterson</t>
  </si>
  <si>
    <t>bbi.hr@dccm.com</t>
  </si>
  <si>
    <t>713-302-1733</t>
  </si>
  <si>
    <t>Zoie Malowitz</t>
  </si>
  <si>
    <t>C12</t>
  </si>
  <si>
    <t>Nov 13, 2025, 11:23 AM</t>
  </si>
  <si>
    <t>DDG</t>
  </si>
  <si>
    <t>Mary Grace Chiasson</t>
  </si>
  <si>
    <t>mchiasson@ddgpc.com</t>
  </si>
  <si>
    <t>Engineering, Technology</t>
  </si>
  <si>
    <t>Adam Barnes
Brandon Ballard</t>
  </si>
  <si>
    <t>C17</t>
  </si>
  <si>
    <t>Jan 07, 2026, 11:36 AM</t>
  </si>
  <si>
    <t>Dell Technologies</t>
  </si>
  <si>
    <t>Christina Troiano</t>
  </si>
  <si>
    <t>dell@nc3.com</t>
  </si>
  <si>
    <t>401-642-1707</t>
  </si>
  <si>
    <t>Computer Engineering (CPEN), Computer Science (CPSC), Electrical Engineering (ELEN), Materials Science and Engineering (MSEN), Mechanical Engineering (MEEN)</t>
  </si>
  <si>
    <t>Nov 12, 2025, 9:29 AM</t>
  </si>
  <si>
    <t>Delta Electronics (Americas) Ltd.</t>
  </si>
  <si>
    <t>Nisha Ali</t>
  </si>
  <si>
    <t>Nisha.Ali@deltaww.com</t>
  </si>
  <si>
    <t>Nov 12, 2025, 9:23 AM</t>
  </si>
  <si>
    <t>DFW Consulting Group, Inc.</t>
  </si>
  <si>
    <t>Damian Dominguez</t>
  </si>
  <si>
    <t>ddominguez@dfwcgi.com</t>
  </si>
  <si>
    <t>Andrew Flournoy, PE
Anya Huntley, PE
Daniel Escatel, PE
Gina Groover</t>
  </si>
  <si>
    <t>A5</t>
  </si>
  <si>
    <t>Nov 12, 2025, 3:54 PM</t>
  </si>
  <si>
    <t>Dirac, Inc.</t>
  </si>
  <si>
    <t>Jack Glickstein</t>
  </si>
  <si>
    <t>jack@diracinc.com</t>
  </si>
  <si>
    <t>Aerospace / Aviation, Automotive, Engineering, Government / Military / Defense, Manufacturing, Software</t>
  </si>
  <si>
    <t>Aerospace Engineering (AERO), Computer Engineering (CPEN), Computer Science (CPSC), Electrical Engineering (ELEN), Engineering Technology (ENTC), Industrial Engineering (INEN), Manufacturing and Mechanical Engineering Technology (MMET), Mechanical Engineering (MEEN), Multidisciplinary Engineering Technology (MXET)</t>
  </si>
  <si>
    <t>Dawson Grimm
Jack Glickstein</t>
  </si>
  <si>
    <t>K6</t>
  </si>
  <si>
    <t>Dec 16, 2025, 1:40 PM</t>
  </si>
  <si>
    <t>Paula Mendiola</t>
  </si>
  <si>
    <t>pmendiola@dunaway.com</t>
  </si>
  <si>
    <t>Daniella Toledo
Jennifer Douglas</t>
  </si>
  <si>
    <t>E16</t>
  </si>
  <si>
    <t>Nov 12, 2025, 8:08 AM</t>
  </si>
  <si>
    <t>Dynamic Systems, A Quanta Services Company</t>
  </si>
  <si>
    <t>Amy Davis</t>
  </si>
  <si>
    <t>marketing@dsi.us</t>
  </si>
  <si>
    <t>Industrial Engineering (INEN), Manufacturing and Mechanical Engineering Technology (MMET), Mechanical Engineering (MEEN), Multidisciplinary Engineering Technology (MXET), Safety Engineering (SENG)</t>
  </si>
  <si>
    <t>Quanta Services</t>
  </si>
  <si>
    <t>E24, E25</t>
  </si>
  <si>
    <t>Dec 01, 2025, 10:54 AM</t>
  </si>
  <si>
    <t>EControls | Ethium</t>
  </si>
  <si>
    <t>Dawn Spitz</t>
  </si>
  <si>
    <t>dspitz@genisyscontrols.com</t>
  </si>
  <si>
    <t>Automotive, Engineering, Manufacturing</t>
  </si>
  <si>
    <t>Computer Engineering (CPEN), Electrical Engineering (ELEN), Electronic Systems Engineering Technology (ESET), Industrial Engineering (INEN), Manufacturing and Mechanical Engineering Technology (MMET), Mechanical Engineering (MEEN)</t>
  </si>
  <si>
    <t>Andrew Fisseler
Dawson Moore
Fischer Kingsbery
Pierre Langlois</t>
  </si>
  <si>
    <t>G6</t>
  </si>
  <si>
    <t>Nov 18, 2025, 9:18 AM</t>
  </si>
  <si>
    <t>Mia Perez</t>
  </si>
  <si>
    <t>mia.perez@ercot.com</t>
  </si>
  <si>
    <t>(512) 917-3697</t>
  </si>
  <si>
    <t>Computer Science (CPSC), Data Engineering (DAEN), Electrical Engineering (ELEN), Energy (ENGY), Energy Management (EGMT)</t>
  </si>
  <si>
    <t>Bharati Nepal
Julie Snitman</t>
  </si>
  <si>
    <t>Dec 22, 2025, 8:20 AM</t>
  </si>
  <si>
    <t>Jonelle S. Frazier</t>
  </si>
  <si>
    <t>jonellefrazier@epdltd.com</t>
  </si>
  <si>
    <t>Electrical Engineering (ELEN), Engineering Technology (ENTC), Electronic Systems Engineering Technology (ESET), Manufacturing and Mechanical Engineering Technology (MMET), Mechanical Engineering (MEEN)</t>
  </si>
  <si>
    <t>Esmeralda Almaguer
John Varner
Jonelle Frazier
Paul Horr</t>
  </si>
  <si>
    <t>F1</t>
  </si>
  <si>
    <t>Jan 09, 2026, 10:05 AM</t>
  </si>
  <si>
    <t>Shavanna Browning</t>
  </si>
  <si>
    <t>sbrowning@elevationlandsolutions.com</t>
  </si>
  <si>
    <t>(936) 238-8784</t>
  </si>
  <si>
    <t>Shavanna Browning
Stormy Garcia</t>
  </si>
  <si>
    <t>I13</t>
  </si>
  <si>
    <t>Nov 12, 2025, 8:19 AM</t>
  </si>
  <si>
    <t>Enchanted Rock</t>
  </si>
  <si>
    <t>Landrie Goss</t>
  </si>
  <si>
    <t>lgoss@enchantedrock.com</t>
  </si>
  <si>
    <t>Civil Engineering (CVEN), Computer Engineering (CPEN), Computer Science (CPSC), Data Engineering (DAEN), Electrical Engineering (ELEN), Energy (ENGY), Energy Management (EGMT), Engineering Technology (ENTC), Mechanical Engineering (MEEN), Nuclear Engineering (NUEN), Safety Engineering (SENG)</t>
  </si>
  <si>
    <t>Jan 08, 2026, 1:58 PM</t>
  </si>
  <si>
    <t>Ashley Garrison</t>
  </si>
  <si>
    <t>careers@eec-tx.com</t>
  </si>
  <si>
    <t>Nov 12, 2025, 10:51 AM</t>
  </si>
  <si>
    <t>Megan Cooney</t>
  </si>
  <si>
    <t>mcooney@enercon.com</t>
  </si>
  <si>
    <t>B12</t>
  </si>
  <si>
    <t>Dec 03, 2025, 1:25 PM</t>
  </si>
  <si>
    <t>ENFRA</t>
  </si>
  <si>
    <t>Jennifer Johnson</t>
  </si>
  <si>
    <t>jennifer.johnson@enfrasolutions.com</t>
  </si>
  <si>
    <t>Electrical Engineering (ELEN), Energy (ENGY), Engineering Technology (ENTC), Mechanical Engineering (MEEN)</t>
  </si>
  <si>
    <t>Ben Primes
Kyle Fridley
Stefanie Borger</t>
  </si>
  <si>
    <t>B16</t>
  </si>
  <si>
    <t>Nov 12, 2025, 8:11 AM</t>
  </si>
  <si>
    <t>Lauren Spiers</t>
  </si>
  <si>
    <t>universityprograms@ecslimited.com</t>
  </si>
  <si>
    <t>(227) 249-7589</t>
  </si>
  <si>
    <t>Matt Robbins</t>
  </si>
  <si>
    <t>H26</t>
  </si>
  <si>
    <t>Liz Romer</t>
  </si>
  <si>
    <t>lromer@entact.com</t>
  </si>
  <si>
    <t>Agriculture, Construction, Engineering</t>
  </si>
  <si>
    <t>Chemical Engineering (CHEN), Civil Engineering (CVEN), Environmental Engineering (EVEN), Mechanical Engineering (MEEN), Petroleum Engineering (PETE)</t>
  </si>
  <si>
    <t>Matt Meyers
Thad Penual</t>
  </si>
  <si>
    <t>I19</t>
  </si>
  <si>
    <t>Dec 11, 2025, 9:15 AM</t>
  </si>
  <si>
    <t>Entegris, Inc.</t>
  </si>
  <si>
    <t>McLane Wood</t>
  </si>
  <si>
    <t>mclane.wood@entegris.com</t>
  </si>
  <si>
    <t>Chemical Engineering (CHEN), Electrical Engineering (ELEN), Environmental Engineering (EVEN), Industrial Engineering (INEN), Manufacturing and Mechanical Engineering Technology (MMET), Materials Science and Engineering (MSEN), Mechanical Engineering (MEEN), Safety Engineering (SENG)</t>
  </si>
  <si>
    <t>F28</t>
  </si>
  <si>
    <t>Jan 06, 2026, 10:10 AM</t>
  </si>
  <si>
    <t>Entergy</t>
  </si>
  <si>
    <t>Lisa Henderson</t>
  </si>
  <si>
    <t>lhende9@entergy.com</t>
  </si>
  <si>
    <t>337-412-1011</t>
  </si>
  <si>
    <t>Chemical Engineering (CHEN), Civil Engineering (CVEN), Computer Engineering (CPEN), Computer Science (CPSC), Data Engineering (DAEN), Electrical Engineering (ELEN), Energy (ENGY), Energy Management (EGMT), Engineering Technology (ENTC), Environmental Engineering (EVEN), Industrial Engineering (INEN), Mechanical Engineering (MEEN), Nuclear Engineering (NUEN)</t>
  </si>
  <si>
    <t>Diamond One-Day: Wednesday, January 28th [$4000.00]</t>
  </si>
  <si>
    <t>I5, I6, I7</t>
  </si>
  <si>
    <t>Nov 19, 2025, 2:31 PM</t>
  </si>
  <si>
    <t>Jonathan Barrow Demaris</t>
  </si>
  <si>
    <t>jbarrowdemaris@eprod.com</t>
  </si>
  <si>
    <t>Computer Engineering (CPEN), Computer Science (CPSC), Data Engineering (DAEN), Electrical Engineering (ELEN)</t>
  </si>
  <si>
    <t>G22</t>
  </si>
  <si>
    <t>Dec 05, 2025, 8:52 AM</t>
  </si>
  <si>
    <t>Sara Caruso</t>
  </si>
  <si>
    <t>profiles@epic.com</t>
  </si>
  <si>
    <t>Biotech / Pharmaceuticals, Engineering, Health Care, Software, Technology</t>
  </si>
  <si>
    <t>I24</t>
  </si>
  <si>
    <t>Nov 13, 2025, 9:16 AM</t>
  </si>
  <si>
    <t>Mia Dadian</t>
  </si>
  <si>
    <t>mdadian@fhpaschen.com</t>
  </si>
  <si>
    <t>312-505-1203</t>
  </si>
  <si>
    <t>Non-Profit / Philanthropy</t>
  </si>
  <si>
    <t>C18</t>
  </si>
  <si>
    <t>FBD Partnership, LP</t>
  </si>
  <si>
    <t>Keyla Blanco</t>
  </si>
  <si>
    <t>kblanco@fbdfrozen.com</t>
  </si>
  <si>
    <t>919-413-8689</t>
  </si>
  <si>
    <t>Alejandra Lorenzana
Keyla Blanco</t>
  </si>
  <si>
    <t>Nov 12, 2025, 11:50 AM</t>
  </si>
  <si>
    <t>Ferrovial</t>
  </si>
  <si>
    <t>Julia Hoffman</t>
  </si>
  <si>
    <t>jhoffman@ferrovial.com</t>
  </si>
  <si>
    <t>Construction, Energy, Engineering, Technology</t>
  </si>
  <si>
    <t>Architectural Engineering (AREN), Chemical Engineering (CHEN), Civil Engineering (CVEN), Energy (ENGY), Energy Management (EGMT), Engineering Technology (ENTC), Industrial Engineering (INEN), Manufacturing and Mechanical Engineering Technology (MMET), Safety Engineering (SENG)</t>
  </si>
  <si>
    <t>E8, E9</t>
  </si>
  <si>
    <t>Nov 12, 2025, 11:27 AM</t>
  </si>
  <si>
    <t>Fidelity Investments</t>
  </si>
  <si>
    <t>Charles Lee Carr</t>
  </si>
  <si>
    <t>charles.carr@fmr.com</t>
  </si>
  <si>
    <t>Finance / Banking, Software, Technology</t>
  </si>
  <si>
    <t>Computer Engineering (CPEN), Computer Science (CPSC)</t>
  </si>
  <si>
    <t>B24</t>
  </si>
  <si>
    <t>Jan 09, 2026, 4:01 PM</t>
  </si>
  <si>
    <t>Firefly Aerospace</t>
  </si>
  <si>
    <t>Francesca Rose Demorizi</t>
  </si>
  <si>
    <t>francesca.demorizi@fireflyspace.com</t>
  </si>
  <si>
    <t>Aerospace / Aviation, Engineering</t>
  </si>
  <si>
    <t>Aerospace Engineering (AERO), Chemical Engineering (CHEN), Computer Engineering (CPEN), Computer Science (CPSC), Data Engineering (DAEN), Electrical Engineering (ELEN), Engineering Technology (ENTC), Electronic Systems Engineering Technology (ESET), Manufacturing and Mechanical Engineering Technology (MMET), Materials Science and Engineering (MSEN), Mechanical Engineering (MEEN)</t>
  </si>
  <si>
    <t>Alicia Bonte
Alyssa Yarbrough
Annie Luse
Bailey Mitchell
Chang Liu
Francesca Demorizi
Kevin Breedlove
L Herrera Hernandez
Lauren Christians
Luke Szrama</t>
  </si>
  <si>
    <t>K1</t>
  </si>
  <si>
    <t>Jan 07, 2026, 9:45 AM</t>
  </si>
  <si>
    <t>Flowserve</t>
  </si>
  <si>
    <t>Emily Earl</t>
  </si>
  <si>
    <t>eearl@flowserve.com</t>
  </si>
  <si>
    <t>Chemical Engineering (CHEN), Electrical Engineering (ELEN), Industrial Engineering (INEN), Manufacturing and Mechanical Engineering Technology (MMET), Materials Science and Engineering (MSEN), Mechanical Engineering (MEEN)</t>
  </si>
  <si>
    <t>F3</t>
  </si>
  <si>
    <t>Dec 18, 2025, 11:33 AM</t>
  </si>
  <si>
    <t>Catherine Lamb</t>
  </si>
  <si>
    <t>University.Relations@fluor.com</t>
  </si>
  <si>
    <t>281-325-4964</t>
  </si>
  <si>
    <t>Chemical Engineering (CHEN), Civil Engineering (CVEN), Electrical Engineering (ELEN), Industrial Engineering (INEN), Mechanical Engineering (MEEN), Nuclear Engineering (NUEN)</t>
  </si>
  <si>
    <t>E1</t>
  </si>
  <si>
    <t>Pam Ruddick</t>
  </si>
  <si>
    <t>pamelar@ftpc.fpcusa.com</t>
  </si>
  <si>
    <t>361-987-7184</t>
  </si>
  <si>
    <t>Chemical Engineering (CHEN), Mechanical Engineering (MEEN)</t>
  </si>
  <si>
    <t>na</t>
  </si>
  <si>
    <t>Aether Huang
Daniel Varela</t>
  </si>
  <si>
    <t>E7</t>
  </si>
  <si>
    <t>Jan 15, 2026, 4:37 PM</t>
  </si>
  <si>
    <t>Janelle Casey</t>
  </si>
  <si>
    <t>janelle.casey@freese.com</t>
  </si>
  <si>
    <t>(817) 313-8836</t>
  </si>
  <si>
    <t>Architectural Engineering (AREN), Biological and Agricultural Engineering (BAEN), Civil Engineering (CVEN), Electrical Engineering (ELEN), Environmental Engineering (EVEN), Mechanical Engineering (MEEN)</t>
  </si>
  <si>
    <t>B13, B14</t>
  </si>
  <si>
    <t>Nov 12, 2025, 8:50 AM</t>
  </si>
  <si>
    <t>Freudenberg Flow Technologies</t>
  </si>
  <si>
    <t>Laura Butler</t>
  </si>
  <si>
    <t>laura.butler@ffltech.com</t>
  </si>
  <si>
    <t>Energy (ENGY), Energy Management (EGMT), Engineering Technology (ENTC), Industrial Distribution (IDIS), Industrial Engineering (INEN), Manufacturing and Mechanical Engineering Technology (MMET), Materials Science and Engineering (MSEN), Mechanical Engineering (MEEN), Multidisciplinary Engineering Technology (MXET), Petroleum Engineering (PETE)</t>
  </si>
  <si>
    <t>Erica Patino
Kevin Wilcox
Natalie Statton-Beach</t>
  </si>
  <si>
    <t>Jan 09, 2026, 10:21 AM</t>
  </si>
  <si>
    <t>Fugro, USA</t>
  </si>
  <si>
    <t>Horatio Brooks</t>
  </si>
  <si>
    <t>h.brooks@fugro.com</t>
  </si>
  <si>
    <t>(713)501-9644</t>
  </si>
  <si>
    <t>Energy, Engineering, Sales</t>
  </si>
  <si>
    <t>Civil Engineering (CVEN), Environmental Engineering (EVEN), Ocean Engineering (OCEN)</t>
  </si>
  <si>
    <t>Ashley Morales
Goran Stojcic</t>
  </si>
  <si>
    <t>Jan 09, 2026, 12:06 PM</t>
  </si>
  <si>
    <t>Caroline Manion</t>
  </si>
  <si>
    <t>Studentlife@gaf.com</t>
  </si>
  <si>
    <t>973-264-7351</t>
  </si>
  <si>
    <t>Andrea Skweres
Blake Jones
Caroline Manion
David Tuttle
Troy Duginske</t>
  </si>
  <si>
    <t>E13</t>
  </si>
  <si>
    <t>Dec 15, 2025, 3:56 PM</t>
  </si>
  <si>
    <t>GATX Corporation</t>
  </si>
  <si>
    <t>Kayla Maxey</t>
  </si>
  <si>
    <t>kayla.maxey@gatx.com</t>
  </si>
  <si>
    <t>Industrial Engineering (INEN)</t>
  </si>
  <si>
    <t>Electrical Engineering (ELEN), Industrial Engineering (INEN)</t>
  </si>
  <si>
    <t>Jake Garrett
Kayla Maxey
Keith Caparoni</t>
  </si>
  <si>
    <t>G27</t>
  </si>
  <si>
    <t>Dec 19, 2025, 1:36 PM</t>
  </si>
  <si>
    <t>GBA</t>
  </si>
  <si>
    <t>Jennifer L Morgan</t>
  </si>
  <si>
    <t>jmorgan@gbateam.com</t>
  </si>
  <si>
    <t>Architectural Engineering (AREN), Civil Engineering (CVEN), Electrical Engineering (ELEN)</t>
  </si>
  <si>
    <t>N/a</t>
  </si>
  <si>
    <t>Ally Hughes
Doulton Delaney</t>
  </si>
  <si>
    <t>I27</t>
  </si>
  <si>
    <t>Nov 12, 2025, 8:55 AM</t>
  </si>
  <si>
    <t>GE Vernova</t>
  </si>
  <si>
    <t>Jessica Reynolds</t>
  </si>
  <si>
    <t>jessica.reynolds@gevernova.com</t>
  </si>
  <si>
    <t>414-514-1884</t>
  </si>
  <si>
    <t>G1</t>
  </si>
  <si>
    <t>Gemma Power Systems</t>
  </si>
  <si>
    <t>Geoffrey Kollmer</t>
  </si>
  <si>
    <t>geoffrey.kollmer@gemmapower.com</t>
  </si>
  <si>
    <t>Construction, Energy, Engineering</t>
  </si>
  <si>
    <t>Civil Engineering (CVEN), Electrical Engineering (ELEN), Energy (ENGY), Energy Management (EGMT), Engineering Technology (ENTC), Environmental Engineering (EVEN), Industrial Engineering (INEN), Mechanical Engineering (MEEN), Safety Engineering (SENG)</t>
  </si>
  <si>
    <t>Geoffrey Kollmer
Michael Canouse
Mohan Potti</t>
  </si>
  <si>
    <t>Dec 17, 2025, 11:00 AM</t>
  </si>
  <si>
    <t>Jennifer Kendrigan</t>
  </si>
  <si>
    <t>ebuniversityrelations@gdeb.com</t>
  </si>
  <si>
    <t>860-381-1361</t>
  </si>
  <si>
    <t>Architectural Engineering (AREN), Chemical Engineering (CHEN), Civil Engineering (CVEN), Computer Engineering (CPEN), Computer Science (CPSC), Electrical Engineering (ELEN), Environmental Engineering (EVEN), Industrial Engineering (INEN), Mechanical Engineering (MEEN), Nuclear Engineering (NUEN), Ocean Engineering (OCEN)</t>
  </si>
  <si>
    <t>Nov 17, 2025, 12:32 PM</t>
  </si>
  <si>
    <t>Gessner Engineering</t>
  </si>
  <si>
    <t>hr@gessnereng.com</t>
  </si>
  <si>
    <t>Greg Hanson
Thomas Gessner</t>
  </si>
  <si>
    <t>C28, C29</t>
  </si>
  <si>
    <t>Nov 12, 2025, 2:47 PM</t>
  </si>
  <si>
    <t>Matt Baacke</t>
  </si>
  <si>
    <t>mbaacke@gmcivil.com</t>
  </si>
  <si>
    <t>Biological and Agricultural Engineering (BAEN), Civil Engineering (CVEN), Environmental Engineering (EVEN), Ocean Engineering (OCEN)</t>
  </si>
  <si>
    <t>A12</t>
  </si>
  <si>
    <t>Gray Civil, Inc.</t>
  </si>
  <si>
    <t>Colby Harris</t>
  </si>
  <si>
    <t>info@gray-civil.com</t>
  </si>
  <si>
    <t>Kristal Harris
Richard "RJ" Rychlik</t>
  </si>
  <si>
    <t>B17</t>
  </si>
  <si>
    <t>Nov 24, 2025, 10:32 AM</t>
  </si>
  <si>
    <t>Washington Bryan</t>
  </si>
  <si>
    <t>wbryan@gldd.com</t>
  </si>
  <si>
    <t>(443) 255-0784</t>
  </si>
  <si>
    <t>Civil Engineering (CVEN), Electrical Engineering (ELEN), Environmental Engineering (EVEN), Manufacturing and Mechanical Engineering Technology (MMET), Mechanical Engineering (MEEN), Ocean Engineering (OCEN)</t>
  </si>
  <si>
    <t>Cody Chambers
Dane Nelson</t>
  </si>
  <si>
    <t>I12</t>
  </si>
  <si>
    <t>Nov 20, 2025, 1:53 PM</t>
  </si>
  <si>
    <t>Allison Blake</t>
  </si>
  <si>
    <t>allison.blake@greatplainsmfg.com</t>
  </si>
  <si>
    <t>(316) 259-1957</t>
  </si>
  <si>
    <t>Agriculture, Construction, Manufacturing</t>
  </si>
  <si>
    <t>Electrical Engineering (ELEN), Engineering Technology (ENTC), Electronic Systems Engineering Technology (ESET), Environmental Engineering (EVEN), Industrial Engineering (INEN), Manufacturing and Mechanical Engineering Technology (MMET), Materials Science and Engineering (MSEN), Mechanical Engineering (MEEN), Multidisciplinary Engineering Technology (MXET), Safety Engineering (SENG)</t>
  </si>
  <si>
    <t>Kubota</t>
  </si>
  <si>
    <t>G19</t>
  </si>
  <si>
    <t>Nov 17, 2025, 11:59 AM</t>
  </si>
  <si>
    <t>Renee Grimes</t>
  </si>
  <si>
    <t>reneeg@gie.com</t>
  </si>
  <si>
    <t>713 383 7833</t>
  </si>
  <si>
    <t>Fabian Teran
Rebecca Weldon
Renee Grimes</t>
  </si>
  <si>
    <t>H27</t>
  </si>
  <si>
    <t>Dec 29, 2025, 8:31 AM</t>
  </si>
  <si>
    <t>Carmen Bourns</t>
  </si>
  <si>
    <t>cbourns@hm-ec.com</t>
  </si>
  <si>
    <t>J2</t>
  </si>
  <si>
    <t>Nov 24, 2025, 11:42 AM</t>
  </si>
  <si>
    <t>H-E-B</t>
  </si>
  <si>
    <t>Campus Recruiting</t>
  </si>
  <si>
    <t>collegerecruiting@heb.com</t>
  </si>
  <si>
    <t>210-938-8923</t>
  </si>
  <si>
    <t>Agriculture, Engineering, Logistics, Manufacturing, Sales</t>
  </si>
  <si>
    <t>Architectural Engineering (AREN), Biological and Agricultural Engineering (BAEN), Chemical Engineering (CHEN), Civil Engineering (CVEN), Data Engineering (DAEN), Electrical Engineering (ELEN), Environmental Engineering (EVEN), Industrial Distribution (IDIS), Industrial Engineering (INEN), Manufacturing and Mechanical Engineering Technology (MMET), Materials Science and Engineering (MSEN), Mechanical Engineering (MEEN), Safety Engineering (SENG)</t>
  </si>
  <si>
    <t>Dec 23, 2025, 1:59 PM</t>
  </si>
  <si>
    <t>Milly Sordo</t>
  </si>
  <si>
    <t>milly.sordo@h2bengineers.com</t>
  </si>
  <si>
    <t>Milly Sordo
Travis James</t>
  </si>
  <si>
    <t>D2</t>
  </si>
  <si>
    <t>Nov 18, 2025, 6:09 AM</t>
  </si>
  <si>
    <t>Halff Associates, Inc.</t>
  </si>
  <si>
    <t>Megan - The Gallego</t>
  </si>
  <si>
    <t>mgallego@halff.com</t>
  </si>
  <si>
    <t>832-948-5355</t>
  </si>
  <si>
    <t>D18</t>
  </si>
  <si>
    <t>Dec 03, 2025, 2:31 PM</t>
  </si>
  <si>
    <t>Halliburton (Silver Partner)</t>
  </si>
  <si>
    <t>Michelle Acedera Lobdell</t>
  </si>
  <si>
    <t>resource.hou.fhouuniv@halliburton.com</t>
  </si>
  <si>
    <t>Computer Engineering (CPEN), Computer Science (CPSC), Data Engineering (DAEN), Electrical Engineering (ELEN), Electronic Systems Engineering Technology (ESET), Industrial Distribution (IDIS), Industrial Engineering (INEN), Manufacturing and Mechanical Engineering Technology (MMET), Materials Science and Engineering (MSEN), Mechanical Engineering (MEEN), Multidisciplinary Engineering Technology (MXET), Petroleum Engineering (PETE)</t>
  </si>
  <si>
    <t>10+</t>
  </si>
  <si>
    <t>Michelle Lobdell</t>
  </si>
  <si>
    <t>I16, I17</t>
  </si>
  <si>
    <t>Nov 12, 2025, 8:25 AM</t>
  </si>
  <si>
    <t>Edmund Johnson</t>
  </si>
  <si>
    <t>edmund.johnson@hctra.org</t>
  </si>
  <si>
    <t>Accounting, Communication / Media, Construction, Engineering, Finance / Banking, Government / Military / Defense, Logistics, Sales</t>
  </si>
  <si>
    <t>Edmund Johnson
Patrick Davis
Taylor Houston
Unique Loftis</t>
  </si>
  <si>
    <t>C29</t>
  </si>
  <si>
    <t>Jan 06, 2026, 9:43 AM</t>
  </si>
  <si>
    <t>Hannah Walker</t>
  </si>
  <si>
    <t>hwalker@hartgaugler.com</t>
  </si>
  <si>
    <t>Brent Bartell
Kylie Cox</t>
  </si>
  <si>
    <t>D5</t>
  </si>
  <si>
    <t>Nov 13, 2025, 9:41 AM</t>
  </si>
  <si>
    <t>Deidre Brearley</t>
  </si>
  <si>
    <t>deidre.brearley@haskell.com</t>
  </si>
  <si>
    <t>904.206.3368</t>
  </si>
  <si>
    <t>Construction, Engineering, Manufacturing</t>
  </si>
  <si>
    <t>Architectural Engineering (AREN), Chemical Engineering (CHEN), Civil Engineering (CVEN), Electrical Engineering (ELEN), Electronic Systems Engineering Technology (ESET), Manufacturing and Mechanical Engineering Technology (MMET), Mechanical Engineering (MEEN), Safety Engineering (SENG)</t>
  </si>
  <si>
    <t>G29</t>
  </si>
  <si>
    <t>Nov 12, 2025, 9:10 AM</t>
  </si>
  <si>
    <t>Jonathan Guaetta</t>
  </si>
  <si>
    <t>jonathan.guaetta@hatch.com</t>
  </si>
  <si>
    <t>(814) 322-7103</t>
  </si>
  <si>
    <t>Civil Engineering (CVEN), Electrical Engineering (ELEN), Environmental Engineering (EVEN), Industrial Engineering (INEN), Materials Science and Engineering (MSEN), Mechanical Engineering (MEEN)</t>
  </si>
  <si>
    <t>Dhananjay Mishra
Kathleen Vukovics</t>
  </si>
  <si>
    <t>A2</t>
  </si>
  <si>
    <t>Dec 22, 2025, 1:35 PM</t>
  </si>
  <si>
    <t>Emily Rehler</t>
  </si>
  <si>
    <t>emily.rehler@hdrinc.com</t>
  </si>
  <si>
    <t>512-921-7445</t>
  </si>
  <si>
    <t>Architectural Engineering (AREN), Civil Engineering (CVEN), Environmental Engineering (EVEN), Mechanical Engineering (MEEN)</t>
  </si>
  <si>
    <t>Alec Van Sickle
Benjamin Snow
George Cisneros
Paula Jo Lemonds
Ronke Osibajo
Tom Henry</t>
  </si>
  <si>
    <t>D10, D11</t>
  </si>
  <si>
    <t>Nov 12, 2025, 8:45 AM</t>
  </si>
  <si>
    <t>Alan Aljajeh</t>
  </si>
  <si>
    <t>hpe@nc3.com</t>
  </si>
  <si>
    <t>401-642-1733</t>
  </si>
  <si>
    <t>Computer Engineering (CPEN), Computer Science (CPSC), Electrical Engineering (ELEN), Electronic Systems Engineering Technology (ESET)</t>
  </si>
  <si>
    <t>B16, B17, B18</t>
  </si>
  <si>
    <t>Nov 14, 2025, 1:15 PM</t>
  </si>
  <si>
    <t>HFA (Harrison French and Associates)</t>
  </si>
  <si>
    <t>Rhett Turner</t>
  </si>
  <si>
    <t>rhett.turner@hfa-ae.com</t>
  </si>
  <si>
    <t>Ashley McElroy</t>
  </si>
  <si>
    <t>H9</t>
  </si>
  <si>
    <t>Dec 30, 2025, 4:17 PM</t>
  </si>
  <si>
    <t>Kendra Miller</t>
  </si>
  <si>
    <t>kendram@hmtnb.com</t>
  </si>
  <si>
    <t>Lindsey Setser</t>
  </si>
  <si>
    <t>Dec 19, 2025, 2:04 PM</t>
  </si>
  <si>
    <t>HNTB</t>
  </si>
  <si>
    <t>Megan Winters</t>
  </si>
  <si>
    <t>mwinters@hntb.com</t>
  </si>
  <si>
    <t>913.645.1232</t>
  </si>
  <si>
    <t>Amanda Bergmann
Henry Teel</t>
  </si>
  <si>
    <t>D26</t>
  </si>
  <si>
    <t>Horrocks</t>
  </si>
  <si>
    <t>Gabrielle Wright</t>
  </si>
  <si>
    <t>recruiting@horrocks.com</t>
  </si>
  <si>
    <t>(385) 353-2914</t>
  </si>
  <si>
    <t>F19</t>
  </si>
  <si>
    <t>Nov 12, 2025, 10:29 AM</t>
  </si>
  <si>
    <t>Nitha Nolan</t>
  </si>
  <si>
    <t>campusconnect@hrgreen.com</t>
  </si>
  <si>
    <t>D27</t>
  </si>
  <si>
    <t>Dec 09, 2025, 12:04 PM</t>
  </si>
  <si>
    <t>Misty Proler</t>
  </si>
  <si>
    <t>misty.proler@hts.com</t>
  </si>
  <si>
    <t>Civil Engineering (CVEN), Industrial Distribution (IDIS), Manufacturing and Mechanical Engineering Technology (MMET), Mechanical Engineering (MEEN)</t>
  </si>
  <si>
    <t>I29, I30</t>
  </si>
  <si>
    <t>Nov 12, 2025, 10:06 AM</t>
  </si>
  <si>
    <t>Valerie Santos</t>
  </si>
  <si>
    <t>vsantos@huitt-zollars.com</t>
  </si>
  <si>
    <t>Architectural Engineering (AREN), Civil Engineering (CVEN), Electrical Engineering (ELEN), Environmental Engineering (EVEN), Mechanical Engineering (MEEN)</t>
  </si>
  <si>
    <t>C22</t>
  </si>
  <si>
    <t>Hunt &amp; Joiner, Inc.</t>
  </si>
  <si>
    <t>Clint Cody</t>
  </si>
  <si>
    <t>ccody@h-jinc.com</t>
  </si>
  <si>
    <t>469-583-4218</t>
  </si>
  <si>
    <t>Brian Bowles
Clint Cody
George Waterous</t>
  </si>
  <si>
    <t>E28</t>
  </si>
  <si>
    <t>Nov 12, 2025, 8:42 AM</t>
  </si>
  <si>
    <t>Lori Lutz</t>
  </si>
  <si>
    <t>llutz@idtech.com</t>
  </si>
  <si>
    <t>Computer Engineering (CPEN), Computer Science (CPSC), Electrical Engineering (ELEN), Engineering Technology (ENTC), Mechanical Engineering (MEEN)</t>
  </si>
  <si>
    <t>Intern, Part-time</t>
  </si>
  <si>
    <t>Shelby Turk</t>
  </si>
  <si>
    <t>D22</t>
  </si>
  <si>
    <t>Dec 10, 2025, 1:08 PM</t>
  </si>
  <si>
    <t>Shannon Simpson</t>
  </si>
  <si>
    <t>marketing@idseg.com</t>
  </si>
  <si>
    <t>281.381.5926</t>
  </si>
  <si>
    <t>Biological and Agricultural Engineering (BAEN), Civil Engineering (CVEN), Environmental Engineering (EVEN)</t>
  </si>
  <si>
    <t>Maroon Two-Day [$12500.00]</t>
  </si>
  <si>
    <t>D29, D30</t>
  </si>
  <si>
    <t>Dec 11, 2025, 3:51 PM</t>
  </si>
  <si>
    <t>Emily Babcock</t>
  </si>
  <si>
    <t>aspire@ieaworld.com</t>
  </si>
  <si>
    <t>Nov 12, 2025, 8:16 AM</t>
  </si>
  <si>
    <t>Illinois Department of Transportation ( IDOT)</t>
  </si>
  <si>
    <t>Janean Garrett</t>
  </si>
  <si>
    <t>dot.recruitment@illinois.gov</t>
  </si>
  <si>
    <t>Engineering, Government / Military / Defense</t>
  </si>
  <si>
    <t>Architectural Engineering (AREN), Civil Engineering (CVEN), Electrical Engineering (ELEN), Engineering Technology (ENTC), Electronic Systems Engineering Technology (ESET), Environmental Engineering (EVEN), Industrial Engineering (INEN), Manufacturing and Mechanical Engineering Technology (MMET), Materials Science and Engineering (MSEN), Mechanical Engineering (MEEN), Multidisciplinary Engineering Technology (MXET)</t>
  </si>
  <si>
    <t>Dec 10, 2025, 9:33 AM</t>
  </si>
  <si>
    <t>Kelsey Afagbedzi</t>
  </si>
  <si>
    <t>infineon@nc3.com</t>
  </si>
  <si>
    <t>Computer Engineering (CPEN), Electrical Engineering (ELEN)</t>
  </si>
  <si>
    <t>SkyWater Technology</t>
  </si>
  <si>
    <t>C9</t>
  </si>
  <si>
    <t>Nov 13, 2025, 3:10 PM</t>
  </si>
  <si>
    <t>Innovex</t>
  </si>
  <si>
    <t>Ana Schoua</t>
  </si>
  <si>
    <t>ana.schoua@innovex-inc.com</t>
  </si>
  <si>
    <t>Energy (ENGY)</t>
  </si>
  <si>
    <t>Energy (ENGY), Industrial Engineering (INEN), Manufacturing and Mechanical Engineering Technology (MMET), Mechanical Engineering (MEEN), Petroleum Engineering (PETE)</t>
  </si>
  <si>
    <t>H28</t>
  </si>
  <si>
    <t>Dec 29, 2025, 1:44 PM</t>
  </si>
  <si>
    <t>Integra</t>
  </si>
  <si>
    <t>Charlie Finegan</t>
  </si>
  <si>
    <t>cfinegan@integra.com</t>
  </si>
  <si>
    <t>Avery Cochran
Lexie Roblez</t>
  </si>
  <si>
    <t>H13, H14</t>
  </si>
  <si>
    <t>Jan 07, 2026, 5:41 PM</t>
  </si>
  <si>
    <t>Xochitl Medina</t>
  </si>
  <si>
    <t>xmedina@ie-services.com</t>
  </si>
  <si>
    <t>Vince Guerra</t>
  </si>
  <si>
    <t>F14</t>
  </si>
  <si>
    <t>Nov 12, 2025, 9:06 AM</t>
  </si>
  <si>
    <t>Ashley Landis</t>
  </si>
  <si>
    <t>GlobalFutureTalent@jacobs.com</t>
  </si>
  <si>
    <t>Architectural Engineering (AREN), Biological and Agricultural Engineering (BAEN), Chemical Engineering (CHEN), Civil Engineering (CVEN), Electrical Engineering (ELEN), Environmental Engineering (EVEN), Mechanical Engineering (MEEN)</t>
  </si>
  <si>
    <t>Nandhu Pillay Thulaseedharan</t>
  </si>
  <si>
    <t>B6</t>
  </si>
  <si>
    <t>Dec 08, 2025, 11:07 AM</t>
  </si>
  <si>
    <t>Janicki Industries</t>
  </si>
  <si>
    <t>Gabriela Head</t>
  </si>
  <si>
    <t>gabriela.head@janicki.com</t>
  </si>
  <si>
    <t>Aerospace / Aviation, Engineering, Manufacturing</t>
  </si>
  <si>
    <t>Aerospace Engineering (AERO), Engineering Technology (ENTC), Industrial Engineering (INEN), Manufacturing and Mechanical Engineering Technology (MMET), Mechanical Engineering (MEEN)</t>
  </si>
  <si>
    <t>Lilly Kron
Michaela Bogdanoff</t>
  </si>
  <si>
    <t>K4</t>
  </si>
  <si>
    <t>Jan 07, 2026, 11:07 AM</t>
  </si>
  <si>
    <t>Carol M. Sullivan</t>
  </si>
  <si>
    <t>csullivan@jaycashman.com</t>
  </si>
  <si>
    <t>Civil Engineering (CVEN), Mechanical Engineering (MEEN), Ocean Engineering (OCEN)</t>
  </si>
  <si>
    <t>Roman Davis</t>
  </si>
  <si>
    <t>C26</t>
  </si>
  <si>
    <t>Nov 12, 2025, 9:51 AM</t>
  </si>
  <si>
    <t>JMT - Round Rock</t>
  </si>
  <si>
    <t>Sherita Collins</t>
  </si>
  <si>
    <t>scollins@jmt.com</t>
  </si>
  <si>
    <t>C30</t>
  </si>
  <si>
    <t>Nov 12, 2025, 10:42 AM</t>
  </si>
  <si>
    <t>Kris Lammers Thomas</t>
  </si>
  <si>
    <t>jnj@nc3.com</t>
  </si>
  <si>
    <t>Biomedical Engineering (BMEN), Chemical Engineering (CHEN), Computer Engineering (CPEN), Computer Science (CPSC), Data Engineering (DAEN), Electrical Engineering (ELEN), Engineering Technology (ENTC), Industrial Engineering (INEN), Manufacturing and Mechanical Engineering Technology (MMET), Materials Science and Engineering (MSEN), Mechanical Engineering (MEEN)</t>
  </si>
  <si>
    <t>G16</t>
  </si>
  <si>
    <t>Dec 31, 2025, 11:44 AM</t>
  </si>
  <si>
    <t>Jones Engineering Solutions</t>
  </si>
  <si>
    <t>Casie Luke</t>
  </si>
  <si>
    <t>cluke@jonesengineeringsolutions.com</t>
  </si>
  <si>
    <t>Biological and Agricultural Engineering (BAEN), Civil Engineering (CVEN)</t>
  </si>
  <si>
    <t>B19</t>
  </si>
  <si>
    <t>JT Thorpe</t>
  </si>
  <si>
    <t>Cally F Hesidenz</t>
  </si>
  <si>
    <t>cally.hesidenz@jtthorpe.com</t>
  </si>
  <si>
    <t>412-694-5040</t>
  </si>
  <si>
    <t>Chemical Engineering (CHEN), Civil Engineering (CVEN), Industrial Engineering (INEN), Materials Science and Engineering (MSEN), Mechanical Engineering (MEEN)</t>
  </si>
  <si>
    <t>Cally Hesidenz
Nasime Orozco</t>
  </si>
  <si>
    <t>H12</t>
  </si>
  <si>
    <t>Nov 12, 2025, 12:35 PM</t>
  </si>
  <si>
    <t>Kaspar Companies</t>
  </si>
  <si>
    <t>Katie Greer</t>
  </si>
  <si>
    <t>katie@kasparcompanies.com</t>
  </si>
  <si>
    <t>Computer Engineering (CPEN), Computer Science (CPSC), Industrial Engineering (INEN), Mechanical Engineering (MEEN)</t>
  </si>
  <si>
    <t>Katie Greer
Kendra Krupala
Robin Hamil
Tricia Knezek</t>
  </si>
  <si>
    <t>G18</t>
  </si>
  <si>
    <t>Nov 12, 2025, 12:18 PM</t>
  </si>
  <si>
    <t>KCI</t>
  </si>
  <si>
    <t>Sydni Forcone</t>
  </si>
  <si>
    <t>sydni.forcone@kci.com</t>
  </si>
  <si>
    <t>G25</t>
  </si>
  <si>
    <t>Dec 17, 2025, 9:34 AM</t>
  </si>
  <si>
    <t>Keurig Dr Pepper</t>
  </si>
  <si>
    <t>Shelby Capell</t>
  </si>
  <si>
    <t>Shelby.capell@kdrp.com</t>
  </si>
  <si>
    <t>Food Services, Other</t>
  </si>
  <si>
    <t>Chemical Engineering (CHEN), Computer Engineering (CPEN), Computer Science (CPSC), Data Engineering (DAEN), Electrical Engineering (ELEN), Engineering Technology (ENTC), Electronic Systems Engineering Technology (ESET), Environmental Engineering (EVEN), Industrial Distribution (IDIS), Industrial Engineering (INEN), Manufacturing and Mechanical Engineering Technology (MMET), Materials Science and Engineering (MSEN), Mechanical Engineering (MEEN), Safety Engineering (SENG)</t>
  </si>
  <si>
    <t>Gold One-Day: Thursday, January 29th [$2500.00]</t>
  </si>
  <si>
    <t>Alexa Wood
Shelby Capell</t>
  </si>
  <si>
    <t>A14, A15</t>
  </si>
  <si>
    <t>Dec 05, 2025, 4:47 PM</t>
  </si>
  <si>
    <t>Emma Gorman</t>
  </si>
  <si>
    <t>egorman@keystoneengr.com</t>
  </si>
  <si>
    <t>Chemical Engineering (CHEN), Civil Engineering (CVEN), Electrical Engineering (ELEN)</t>
  </si>
  <si>
    <t>B10</t>
  </si>
  <si>
    <t>Nov 14, 2025, 1:42 PM</t>
  </si>
  <si>
    <t>Spencer Niese</t>
  </si>
  <si>
    <t>sniese@kfm-llc.com</t>
  </si>
  <si>
    <t>Kelley Fowler</t>
  </si>
  <si>
    <t>D19</t>
  </si>
  <si>
    <t>Jan 06, 2026, 11:31 AM</t>
  </si>
  <si>
    <t>Kiewit Representative</t>
  </si>
  <si>
    <t>recruitingsupport@kiewit.com</t>
  </si>
  <si>
    <t>Electrical Engineering (ELEN), Energy (ENGY), Environmental Engineering (EVEN), Industrial Engineering (INEN), Materials Science and Engineering (MSEN), Mechanical Engineering (MEEN), Nuclear Engineering (NUEN), Ocean Engineering (OCEN), Petroleum Engineering (PETE), Safety Engineering (SENG)</t>
  </si>
  <si>
    <t>Madelin Salce
Roberto Portillo
Sam Miller
Sean Ford</t>
  </si>
  <si>
    <t>I8, I9</t>
  </si>
  <si>
    <t>Nov 12, 2025, 8:24 AM</t>
  </si>
  <si>
    <t>Kimley-Horn &amp; Associates Inc</t>
  </si>
  <si>
    <t>Kelsey Shumake</t>
  </si>
  <si>
    <t>kelsey.shumake@kimley-horn.com</t>
  </si>
  <si>
    <t>C24, C25</t>
  </si>
  <si>
    <t>Kinaxis</t>
  </si>
  <si>
    <t>Elham Nezhad Gholi</t>
  </si>
  <si>
    <t>enezhadgholi@kinaxis.com</t>
  </si>
  <si>
    <t>Industrial Distribution (IDIS), Industrial Engineering (INEN)</t>
  </si>
  <si>
    <t>Deva Nair
Jamie Schmidt
Steve Strobl</t>
  </si>
  <si>
    <t>A10</t>
  </si>
  <si>
    <t>Dec 22, 2025, 9:04 AM</t>
  </si>
  <si>
    <t>JoEllen Beedon</t>
  </si>
  <si>
    <t>joellen.beedon@kinectrics.com</t>
  </si>
  <si>
    <t>Rick Easterling</t>
  </si>
  <si>
    <t>I14</t>
  </si>
  <si>
    <t>Jan 09, 2026, 1:36 PM</t>
  </si>
  <si>
    <t>Haley Buesing</t>
  </si>
  <si>
    <t>haley.buesing@trustke.com</t>
  </si>
  <si>
    <t>Raviar Sulaiman
Sydney Foster</t>
  </si>
  <si>
    <t>B18</t>
  </si>
  <si>
    <t>Nov 12, 2025, 9:38 AM</t>
  </si>
  <si>
    <t>Klein Tools, Inc.</t>
  </si>
  <si>
    <t>Alena Doster</t>
  </si>
  <si>
    <t>adoster@kleintools.com</t>
  </si>
  <si>
    <t>Consumer Goods, Manufacturing</t>
  </si>
  <si>
    <t>Industrial Engineering (INEN), Manufacturing and Mechanical Engineering Technology (MMET), Mechanical Engineering (MEEN)</t>
  </si>
  <si>
    <t>A6</t>
  </si>
  <si>
    <t>Koil Energy</t>
  </si>
  <si>
    <t>Kimberley Coble</t>
  </si>
  <si>
    <t>kcoble@koilenergy.com</t>
  </si>
  <si>
    <t>Electrical Engineering (ELEN), Energy (ENGY), Ocean Engineering (OCEN), Petroleum Engineering (PETE)</t>
  </si>
  <si>
    <t>Kate Raanes
Ricky Scholeman</t>
  </si>
  <si>
    <t>Jan 13, 2026, 12:21 PM</t>
  </si>
  <si>
    <t>Luis Ibarra</t>
  </si>
  <si>
    <t>luis.ibarra@global.komatsu</t>
  </si>
  <si>
    <t>Connie Abernathy</t>
  </si>
  <si>
    <t>G3</t>
  </si>
  <si>
    <t>Dec 11, 2025, 3:02 PM</t>
  </si>
  <si>
    <t>Austin Carrasquillo</t>
  </si>
  <si>
    <t>contact@ktcivil.com</t>
  </si>
  <si>
    <t>D8,D9</t>
  </si>
  <si>
    <t>Nov 12, 2025, 9:15 AM</t>
  </si>
  <si>
    <t>L3Harris Technologies (Gold Partner)</t>
  </si>
  <si>
    <t>Christine Lowe</t>
  </si>
  <si>
    <t>L3harris@nc3.com</t>
  </si>
  <si>
    <t>Aerospace / Aviation, Other</t>
  </si>
  <si>
    <t>Aerospace Engineering (AERO), Computer Engineering (CPEN), Computer Science (CPSC), Data Engineering (DAEN), Electrical Engineering (ELEN), Engineering Technology (ENTC), Industrial Engineering (INEN), Manufacturing and Mechanical Engineering Technology (MMET), Mechanical Engineering (MEEN)</t>
  </si>
  <si>
    <t>Diamond Two-Day [$8000.00]</t>
  </si>
  <si>
    <t>J16, J17, J18</t>
  </si>
  <si>
    <t>Nov 19, 2025, 11:42 AM</t>
  </si>
  <si>
    <t>Kayla Kloesel</t>
  </si>
  <si>
    <t>kkloesel@labattfood.com</t>
  </si>
  <si>
    <t>Food Services, Logistics, Software</t>
  </si>
  <si>
    <t>Computer Engineering (CPEN), Computer Science (CPSC), Industrial Distribution (IDIS), Industrial Engineering (INEN)</t>
  </si>
  <si>
    <t>Carter Colihan
Grant Martinez
Kayla Kloesel</t>
  </si>
  <si>
    <t>Roger Ethridge</t>
  </si>
  <si>
    <t>eoistalentacquisition@drs.com</t>
  </si>
  <si>
    <t>214-996-2290</t>
  </si>
  <si>
    <t>Computer Science (CPSC), Electrical Engineering (ELEN), Manufacturing and Mechanical Engineering Technology (MMET), Materials Science and Engineering (MSEN), Mechanical Engineering (MEEN)</t>
  </si>
  <si>
    <t>Alton Drayden
Roger Ethridge</t>
  </si>
  <si>
    <t>E5</t>
  </si>
  <si>
    <t>Dec 21, 2025, 9:40 PM</t>
  </si>
  <si>
    <t>Gia Bryant</t>
  </si>
  <si>
    <t>gia.bryant@lhoist.com</t>
  </si>
  <si>
    <t>Manufacturing, Other</t>
  </si>
  <si>
    <t>Chemical Engineering (CHEN), Electrical Engineering (ELEN), Industrial Engineering (INEN), Manufacturing and Mechanical Engineering Technology (MMET), Mechanical Engineering (MEEN)</t>
  </si>
  <si>
    <t>Nov 14, 2025, 11:18 AM</t>
  </si>
  <si>
    <t>Matt Jackson</t>
  </si>
  <si>
    <t>mjackson@lja.com</t>
  </si>
  <si>
    <t>217-899-7242</t>
  </si>
  <si>
    <t>Clayton Weishuhn
Giselle Guevara
Kim Mendez
Matt Jackson
Melony Gay
Vanessa Valdez</t>
  </si>
  <si>
    <t>F10, F11</t>
  </si>
  <si>
    <t>Nov 12, 2025, 12:24 PM</t>
  </si>
  <si>
    <t>Locke Solutions</t>
  </si>
  <si>
    <t>Barbara Serna</t>
  </si>
  <si>
    <t>barbara.serna@lockesolutions.com</t>
  </si>
  <si>
    <t>832-476-5457</t>
  </si>
  <si>
    <t>Construction, Manufacturing</t>
  </si>
  <si>
    <t>Barbara Serna
Julie Winn</t>
  </si>
  <si>
    <t>J9</t>
  </si>
  <si>
    <t>Nov 13, 2025, 4:38 PM</t>
  </si>
  <si>
    <t>LAN Recruitment</t>
  </si>
  <si>
    <t>talent@lan-inc.com</t>
  </si>
  <si>
    <t>Dec 02, 2025, 7:55 AM</t>
  </si>
  <si>
    <t>Loenbro</t>
  </si>
  <si>
    <t>Rachel Crane</t>
  </si>
  <si>
    <t>rcrane@loenbro.com</t>
  </si>
  <si>
    <t>Civil Engineering (CVEN), Electrical Engineering (ELEN), Industrial Engineering (INEN), Mechanical Engineering (MEEN), Multidisciplinary Engineering Technology (MXET)</t>
  </si>
  <si>
    <t>H29</t>
  </si>
  <si>
    <t>Dec 04, 2025, 6:24 PM</t>
  </si>
  <si>
    <t>Lone Star Turbo</t>
  </si>
  <si>
    <t>Kelli Gill</t>
  </si>
  <si>
    <t>kgill@lonestarturbo.com</t>
  </si>
  <si>
    <t>Kelli GIll
Richard Daugherty</t>
  </si>
  <si>
    <t>H1</t>
  </si>
  <si>
    <t>Nov 13, 2025, 3:25 PM</t>
  </si>
  <si>
    <t>LPL Financial</t>
  </si>
  <si>
    <t>Bexley Knight</t>
  </si>
  <si>
    <t>bexley.knight@lplfinancial.com</t>
  </si>
  <si>
    <t>Accounting, Engineering, Finance / Banking, Sales, Software, Technology</t>
  </si>
  <si>
    <t>Computer Engineering (CPEN), Computer Science (CPSC), Data Engineering (DAEN), Engineering Technology (ENTC)</t>
  </si>
  <si>
    <t>Nov 21, 2025, 9:50 AM</t>
  </si>
  <si>
    <t>Carla Clack</t>
  </si>
  <si>
    <t>carla.clack@lty-engineers.com</t>
  </si>
  <si>
    <t>E19</t>
  </si>
  <si>
    <t>Jan 08, 2026, 8:42 AM</t>
  </si>
  <si>
    <t>Bret A Martinets '87</t>
  </si>
  <si>
    <t>bmartinets@msengr.com</t>
  </si>
  <si>
    <t>Civil Engineering (CVEN), Electrical Engineering (ELEN), Energy (ENGY), Manufacturing and Mechanical Engineering Technology (MMET), Mechanical Engineering (MEEN), Multidisciplinary Engineering Technology (MXET)</t>
  </si>
  <si>
    <t>Bret Martinets
Kendall Simpson</t>
  </si>
  <si>
    <t>J15</t>
  </si>
  <si>
    <t>Hillary Traylor</t>
  </si>
  <si>
    <t>hillary.traylor@mammoet.com</t>
  </si>
  <si>
    <t>F15</t>
  </si>
  <si>
    <t>Nov 18, 2025, 10:34 AM</t>
  </si>
  <si>
    <t>Michelle Gofman</t>
  </si>
  <si>
    <t>mgofman@manh.com</t>
  </si>
  <si>
    <t>Chemical Engineering (CHEN), Civil Engineering (CVEN), Computer Engineering (CPEN), Computer Science (CPSC), Electrical Engineering (ELEN), Industrial Engineering (INEN), Mechanical Engineering (MEEN)</t>
  </si>
  <si>
    <t>Bacio Guido
Luis Moreno
Remington Blansett
Spencer Dunn</t>
  </si>
  <si>
    <t>B4</t>
  </si>
  <si>
    <t>Jan 02, 2026, 12:49 PM</t>
  </si>
  <si>
    <t>Human Resources</t>
  </si>
  <si>
    <t>eeo@mansonconstruction.com</t>
  </si>
  <si>
    <t>206-473-8273</t>
  </si>
  <si>
    <t>Engineering, Non-Profit / Philanthropy</t>
  </si>
  <si>
    <t>Civil Engineering (CVEN), Industrial Engineering (INEN), Mechanical Engineering (MEEN), Ocean Engineering (OCEN)</t>
  </si>
  <si>
    <t>Kyle Dickens
Patrick Coder Jr</t>
  </si>
  <si>
    <t>Nov 12, 2025, 8:59 AM</t>
  </si>
  <si>
    <t>Melissa Jeffries</t>
  </si>
  <si>
    <t>mjeffries@massman.net</t>
  </si>
  <si>
    <t>Civil Engineering (CVEN), Engineering Technology (ENTC), Mechanical Engineering (MEEN), Ocean Engineering (OCEN)</t>
  </si>
  <si>
    <t>I3</t>
  </si>
  <si>
    <t>Nov 18, 2025, 11:01 AM</t>
  </si>
  <si>
    <t>Annabel Williams</t>
  </si>
  <si>
    <t>careers@matadorresources.com</t>
  </si>
  <si>
    <t>972-371-5200</t>
  </si>
  <si>
    <t>Petroleum Engineering (PETE)</t>
  </si>
  <si>
    <t>Chemical Engineering (CHEN), Mechanical Engineering (MEEN), Petroleum Engineering (PETE)</t>
  </si>
  <si>
    <t>I10, I11</t>
  </si>
  <si>
    <t>Nov 12, 2025, 10:33 AM</t>
  </si>
  <si>
    <t>Josh Valenta</t>
  </si>
  <si>
    <t>jharbuck@matkinhoover.com</t>
  </si>
  <si>
    <t>Nov 25, 2025, 2:45 PM</t>
  </si>
  <si>
    <t>Selina Kraheck</t>
  </si>
  <si>
    <t>sekraheck@matrixstructural.com</t>
  </si>
  <si>
    <t>Mr. Khalil Tabaja, P.E.
Mr. Travis Koehring, P.E.</t>
  </si>
  <si>
    <t>Jan 09, 2026, 10:41 AM</t>
  </si>
  <si>
    <t>Mays Business School - Graduate School Opportunities</t>
  </si>
  <si>
    <t>Jana Sprayberry</t>
  </si>
  <si>
    <t>jsprayberry@mays.tamu.edu</t>
  </si>
  <si>
    <t>Computer Science (CPSC), Industrial Distribution (IDIS), Industrial Engineering (INEN)</t>
  </si>
  <si>
    <t>Jana Sprayberry
Sarah Warwick</t>
  </si>
  <si>
    <t>A11</t>
  </si>
  <si>
    <t>Nov 21, 2025, 1:36 PM</t>
  </si>
  <si>
    <t>Manuel Alejandro Velez Rodriguez</t>
  </si>
  <si>
    <t>mvelezrodriguez@mccarthy.com</t>
  </si>
  <si>
    <t>I1</t>
  </si>
  <si>
    <t>Nov 14, 2025, 9:37 AM</t>
  </si>
  <si>
    <t>McMaster-Carr</t>
  </si>
  <si>
    <t>Thomas Platt</t>
  </si>
  <si>
    <t>sandra.lopez@mcmaster.com</t>
  </si>
  <si>
    <t>D20</t>
  </si>
  <si>
    <t>Dec 30, 2025, 4:10 PM</t>
  </si>
  <si>
    <t>Shelley Bielamowicz</t>
  </si>
  <si>
    <t>sbielamowicz@meglobal.biz</t>
  </si>
  <si>
    <t>806-236-8404</t>
  </si>
  <si>
    <t>Clay Hammontree
Stewart Christensen</t>
  </si>
  <si>
    <t>G5</t>
  </si>
  <si>
    <t>Nov 12, 2025, 9:50 AM</t>
  </si>
  <si>
    <t>Lenee Young</t>
  </si>
  <si>
    <t>leneeyoung@micron.com</t>
  </si>
  <si>
    <t>Chemical Engineering (CHEN), Computer Engineering (CPEN), Computer Science (CPSC), Electrical Engineering (ELEN), Industrial Engineering (INEN), Materials Science and Engineering (MSEN), Mechanical Engineering (MEEN)</t>
  </si>
  <si>
    <t>Nov 12, 2025, 10:11 AM</t>
  </si>
  <si>
    <t>KayLee Ball</t>
  </si>
  <si>
    <t>collegerecruiting@mortenson.com</t>
  </si>
  <si>
    <t>Civil Engineering (CVEN), Electrical Engineering (ELEN), Industrial Engineering (INEN), Mechanical Engineering (MEEN), Safety Engineering (SENG)</t>
  </si>
  <si>
    <t>Allen Philip
Ashley Kersey
Austin Akin
Jason Hopper
Mohit Dwivedi</t>
  </si>
  <si>
    <t>H17</t>
  </si>
  <si>
    <t>Steven Young</t>
  </si>
  <si>
    <t>syoung@mpmaterials.com</t>
  </si>
  <si>
    <t>817-320-5288</t>
  </si>
  <si>
    <t>Materials Science and Engineering (MSEN)</t>
  </si>
  <si>
    <t>Chemical Engineering (CHEN), Electrical Engineering (ELEN), Manufacturing and Mechanical Engineering Technology (MMET), Materials Science and Engineering (MSEN), Mechanical Engineering (MEEN)</t>
  </si>
  <si>
    <t>Chase Katz
Nathaniel Lies
Steven Young</t>
  </si>
  <si>
    <t>Jan 02, 2026, 8:01 AM</t>
  </si>
  <si>
    <t>Kaley Metz</t>
  </si>
  <si>
    <t>kaley.metz@caci.com</t>
  </si>
  <si>
    <t>Government / Military / Defense</t>
  </si>
  <si>
    <t>Computer Engineering (CPEN), Computer Science (CPSC), Data Engineering (DAEN), Electrical Engineering (ELEN), Engineering Technology (ENTC), Electronic Systems Engineering Technology (ESET), Industrial Engineering (INEN), Materials Science and Engineering (MSEN), Mechanical Engineering (MEEN)</t>
  </si>
  <si>
    <t>Nov 25, 2025, 2:23 PM</t>
  </si>
  <si>
    <t>Russell Mendoza</t>
  </si>
  <si>
    <t>russell.mendoza@unnpp.gov</t>
  </si>
  <si>
    <t>254-721-8955</t>
  </si>
  <si>
    <t>Aerospace Engineering (AERO), Civil Engineering (CVEN), Computer Engineering (CPEN), Computer Science (CPSC), Data Engineering (DAEN), Electrical Engineering (ELEN), Energy (ENGY), Industrial Engineering (INEN), Materials Science and Engineering (MSEN), Mechanical Engineering (MEEN), Nuclear Engineering (NUEN)</t>
  </si>
  <si>
    <t>Anyone Navy/shipyard related</t>
  </si>
  <si>
    <t>Baha Bachnak
Eric Cornell
Hanniel Honang
Jared Ashmun
Kalvin Martin</t>
  </si>
  <si>
    <t>G4</t>
  </si>
  <si>
    <t>Dec 09, 2025, 3:06 PM</t>
  </si>
  <si>
    <t>Neel-Schaffer, Inc.</t>
  </si>
  <si>
    <t>Chamar McDonald</t>
  </si>
  <si>
    <t>chamar.mcdonald@neel-schaffer.com</t>
  </si>
  <si>
    <t>Chamar McDonald
Garret Korb
Hady Bou Serhal
Jamal Kahn</t>
  </si>
  <si>
    <t>C10</t>
  </si>
  <si>
    <t>Nov 12, 2025, 2:02 PM</t>
  </si>
  <si>
    <t>Leah Cabusao</t>
  </si>
  <si>
    <t>leah.cabusao@nikkisoceig.com</t>
  </si>
  <si>
    <t>E14, E15</t>
  </si>
  <si>
    <t>Jan 12, 2026, 2:05 PM</t>
  </si>
  <si>
    <t>Michael J Holzheimer</t>
  </si>
  <si>
    <t>NNSY_Engineer_Recruiting@navy.mil</t>
  </si>
  <si>
    <t>Aerospace Engineering (AERO), Architectural Engineering (AREN), Electrical Engineering (ELEN), Environmental Engineering (EVEN), Materials Science and Engineering (MSEN), Mechanical Engineering (MEEN), Nuclear Engineering (NUEN), Ocean Engineering (OCEN), Petroleum Engineering (PETE), Safety Engineering (SENG)</t>
  </si>
  <si>
    <t>F21</t>
  </si>
  <si>
    <t>Jan 12, 2026, 5:25 AM</t>
  </si>
  <si>
    <t>Lidia Chach</t>
  </si>
  <si>
    <t>lidia.chach@nov.com</t>
  </si>
  <si>
    <t>Computer Engineering (CPEN), Industrial Engineering (INEN), Mechanical Engineering (MEEN)</t>
  </si>
  <si>
    <t>F12, F13</t>
  </si>
  <si>
    <t>Nov 12, 2025, 9:48 AM</t>
  </si>
  <si>
    <t>NTN Bearing Corporation of America</t>
  </si>
  <si>
    <t>Jill Moore</t>
  </si>
  <si>
    <t>jmoore@ntnusa.com</t>
  </si>
  <si>
    <t>224-246-2457</t>
  </si>
  <si>
    <t>Engineering, Manufacturing, Sales, Technology</t>
  </si>
  <si>
    <t>Aerospace Engineering (AERO), Engineering Technology (ENTC), Industrial Distribution (IDIS), Industrial Engineering (INEN), Manufacturing and Mechanical Engineering Technology (MMET), Mechanical Engineering (MEEN), Multidisciplinary Engineering Technology (MXET)</t>
  </si>
  <si>
    <t>Bill Barker
Phyllis Jones</t>
  </si>
  <si>
    <t>H19</t>
  </si>
  <si>
    <t>Nov 21, 2025, 9:15 AM</t>
  </si>
  <si>
    <t>Allison Best</t>
  </si>
  <si>
    <t>allison.best@nucor.com</t>
  </si>
  <si>
    <t>Allison Best
Francisco Cortez
Sean Mackey</t>
  </si>
  <si>
    <t>Nov 12, 2025, 5:58 PM</t>
  </si>
  <si>
    <t>Baley Cody</t>
  </si>
  <si>
    <t>baley.cody@nxp.com</t>
  </si>
  <si>
    <t>Chemical Engineering (CHEN), Computer Engineering (CPEN), Electrical Engineering (ELEN), Mechanical Engineering (MEEN)</t>
  </si>
  <si>
    <t>I14, I15</t>
  </si>
  <si>
    <t>Dec 01, 2025, 1:04 PM</t>
  </si>
  <si>
    <t>Billy Stein</t>
  </si>
  <si>
    <t>wstein@oceaneering.com</t>
  </si>
  <si>
    <t>281-841-4637</t>
  </si>
  <si>
    <t>Engineering, Government / Military / Defense, Manufacturing</t>
  </si>
  <si>
    <t>Aerospace Engineering (AERO), Computer Engineering (CPEN), Data Engineering (DAEN), Electrical Engineering (ELEN), Electronic Systems Engineering Technology (ESET), Industrial Engineering (INEN), Manufacturing and Mechanical Engineering Technology (MMET), Mechanical Engineering (MEEN), Multidisciplinary Engineering Technology (MXET), Ocean Engineering (OCEN), Petroleum Engineering (PETE)</t>
  </si>
  <si>
    <t>Courtney Trent
Maria Maciel</t>
  </si>
  <si>
    <t>F26</t>
  </si>
  <si>
    <t>Paige Pool</t>
  </si>
  <si>
    <t>ppool@odinenv.com</t>
  </si>
  <si>
    <t>Joe Belluomini
Stephen Christopherson</t>
  </si>
  <si>
    <t>J13</t>
  </si>
  <si>
    <t>Nov 12, 2025, 9:59 AM</t>
  </si>
  <si>
    <t>Amy Lunney</t>
  </si>
  <si>
    <t>amori.lunney@odysseysr.com</t>
  </si>
  <si>
    <t>281-785-2444</t>
  </si>
  <si>
    <t>Aerospace / Aviation, Engineering, Government / Military / Defense, Software</t>
  </si>
  <si>
    <t>Aerospace Engineering (AERO), Computer Science (CPSC), Electrical Engineering (ELEN), Electronic Systems Engineering Technology (ESET), Mechanical Engineering (MEEN)</t>
  </si>
  <si>
    <t>Bryan Lunney
Conner White
William Maddox</t>
  </si>
  <si>
    <t>K3</t>
  </si>
  <si>
    <t>Nov 12, 2025, 10:52 AM</t>
  </si>
  <si>
    <t>Haley Christensen</t>
  </si>
  <si>
    <t>hchristensen@olsson.com</t>
  </si>
  <si>
    <t>Architectural Engineering (AREN), Civil Engineering (CVEN), Electrical Engineering (ELEN), Environmental Engineering (EVEN)</t>
  </si>
  <si>
    <t>Akshay Goyal
Haley Christensen</t>
  </si>
  <si>
    <t>Dec 15, 2025, 9:32 AM</t>
  </si>
  <si>
    <t>Derek Aquiningoc</t>
  </si>
  <si>
    <t>derek.aquiningoc@oncor.com</t>
  </si>
  <si>
    <t>Civil Engineering (CVEN), Electrical Engineering (ELEN), Electronic Systems Engineering Technology (ESET), Mechanical Engineering (MEEN), Multidisciplinary Engineering Technology (MXET)</t>
  </si>
  <si>
    <t>Derek Aquiningoc
Josh Kennemur</t>
  </si>
  <si>
    <t>I20, I21</t>
  </si>
  <si>
    <t>OneFourTwo Design Group</t>
  </si>
  <si>
    <t>Meredith Gillespie</t>
  </si>
  <si>
    <t>mgillespie@142dg.com</t>
  </si>
  <si>
    <t>832.570.6514</t>
  </si>
  <si>
    <t>ARCO Design/Build</t>
  </si>
  <si>
    <t>Caleb Stevenson</t>
  </si>
  <si>
    <t>E4</t>
  </si>
  <si>
    <t>Dec 17, 2025, 8:34 PM</t>
  </si>
  <si>
    <t>Orion Marine Group</t>
  </si>
  <si>
    <t>Ramon Mendoza</t>
  </si>
  <si>
    <t>rmendoza@orn.net</t>
  </si>
  <si>
    <t>832-877-6735</t>
  </si>
  <si>
    <t>J23</t>
  </si>
  <si>
    <t>Jan 07, 2026, 12:32 PM</t>
  </si>
  <si>
    <t>Maria Lopez</t>
  </si>
  <si>
    <t>mlopez@oscarordunoinc.com</t>
  </si>
  <si>
    <t>Architectural Engineering (AREN), Civil Engineering (CVEN), Industrial Engineering (INEN)</t>
  </si>
  <si>
    <t>Cody Causey
Ryan Watson</t>
  </si>
  <si>
    <t>Nov 14, 2025, 10:27 AM</t>
  </si>
  <si>
    <t>Pacific Northwest National Laboratory</t>
  </si>
  <si>
    <t>Barbara Gillow</t>
  </si>
  <si>
    <t>barbara.gillow@pnnl.gov</t>
  </si>
  <si>
    <t>Biomedical Engineering (BMEN), Chemical Engineering (CHEN), Civil Engineering (CVEN), Computer Engineering (CPEN), Computer Science (CPSC), Data Engineering (DAEN), Electrical Engineering (ELEN), Energy (ENGY), Engineering Technology (ENTC), Environmental Engineering (EVEN), Manufacturing and Mechanical Engineering Technology (MMET), Materials Science and Engineering (MSEN), Mechanical Engineering (MEEN), Nuclear Engineering (NUEN), Ocean Engineering (OCEN)</t>
  </si>
  <si>
    <t>Sarah Russell</t>
  </si>
  <si>
    <t>B20</t>
  </si>
  <si>
    <t>Dec 15, 2025, 5:25 PM</t>
  </si>
  <si>
    <t>Steve Sellars</t>
  </si>
  <si>
    <t>james.sellars@pantex.doe.gov</t>
  </si>
  <si>
    <t>(806) 654-4737</t>
  </si>
  <si>
    <t>Chemical Engineering (CHEN), Civil Engineering (CVEN), Computer Engineering (CPEN), Computer Science (CPSC), Electrical Engineering (ELEN), Industrial Engineering (INEN), Manufacturing and Mechanical Engineering Technology (MMET), Materials Science and Engineering (MSEN), Mechanical Engineering (MEEN)</t>
  </si>
  <si>
    <t>Adrian Nguyen
Julie Campbell
Kimbel Leffew
Luis Mendoza
Mark Ross
Patti Knipp
Taylor Mulhare
Vic Bouldin</t>
  </si>
  <si>
    <t>H21, H22, H23</t>
  </si>
  <si>
    <t>Nov 19, 2025, 3:51 PM</t>
  </si>
  <si>
    <t>Pape-Dawson</t>
  </si>
  <si>
    <t>Pauline Arredondo</t>
  </si>
  <si>
    <t>campusrecruiting@pape-dawson.com</t>
  </si>
  <si>
    <t>James Lutz, P.E.
Pauline Arredondo</t>
  </si>
  <si>
    <t>E20, E21, E22, E23</t>
  </si>
  <si>
    <t>Nov 12, 2025, 9:05 AM</t>
  </si>
  <si>
    <t>Patterson-UTI</t>
  </si>
  <si>
    <t>Mikinzy Boggs</t>
  </si>
  <si>
    <t>mikinzy.boggs@PatEnergy.com</t>
  </si>
  <si>
    <t>304-377-1133</t>
  </si>
  <si>
    <t>Chemical Engineering (CHEN), Computer Engineering (CPEN), Computer Science (CPSC), Data Engineering (DAEN), Electrical Engineering (ELEN), Electronic Systems Engineering Technology (ESET), Industrial Engineering (INEN), Mechanical Engineering (MEEN), Petroleum Engineering (PETE)</t>
  </si>
  <si>
    <t>C1, C2, C3</t>
  </si>
  <si>
    <t>Dec 02, 2025, 6:19 AM</t>
  </si>
  <si>
    <t>Conner Avants</t>
  </si>
  <si>
    <t>conner.avants@paycomonline.com</t>
  </si>
  <si>
    <t>Alonzo Brooks
Conner Avants</t>
  </si>
  <si>
    <t>B15</t>
  </si>
  <si>
    <t>Dec 19, 2025, 1:24 PM</t>
  </si>
  <si>
    <t>Lyndsey Hyde</t>
  </si>
  <si>
    <t>Lyndsey.Hyde@paycomonline.com</t>
  </si>
  <si>
    <t>(405)659-2161</t>
  </si>
  <si>
    <t>Alonzo Brooks
Keny DelVal
Lyndsey Hyde</t>
  </si>
  <si>
    <t>Dec 02, 2025, 10:28 AM</t>
  </si>
  <si>
    <t>Megan Hugger</t>
  </si>
  <si>
    <t>megan.hugger@peloton.com</t>
  </si>
  <si>
    <t>Computer Engineering (CPEN), Mechanical Engineering (MEEN), Petroleum Engineering (PETE)</t>
  </si>
  <si>
    <t>Nov 12, 2025, 9:07 AM</t>
  </si>
  <si>
    <t>Prime Controls</t>
  </si>
  <si>
    <t>Kimberley Lehman</t>
  </si>
  <si>
    <t>k.lehman@prime-controls.com</t>
  </si>
  <si>
    <t>Electrical Engineering (ELEN), Industrial Distribution (IDIS), Mechanical Engineering (MEEN)</t>
  </si>
  <si>
    <t>Brielle Reisman
Griffin Araujo
Kathia Leon
Kimberley Lehman
Michelle Freers</t>
  </si>
  <si>
    <t>H11</t>
  </si>
  <si>
    <t>Jan 05, 2026, 10:57 AM</t>
  </si>
  <si>
    <t>Prime Path Medtech</t>
  </si>
  <si>
    <t>Sarah Moss</t>
  </si>
  <si>
    <t>smoss@primepathmedtech.com</t>
  </si>
  <si>
    <t>281-795-1812</t>
  </si>
  <si>
    <t>Biotech / Pharmaceuticals, Consulting, Engineering</t>
  </si>
  <si>
    <t>Dec 18, 2025, 1:30 PM</t>
  </si>
  <si>
    <t>Shelby Kliebert</t>
  </si>
  <si>
    <t>skliebert@prim.com</t>
  </si>
  <si>
    <t>225-586-3651</t>
  </si>
  <si>
    <t>C11</t>
  </si>
  <si>
    <t>Jan 14, 2026, 2:24 PM</t>
  </si>
  <si>
    <t>Proceanic LLC</t>
  </si>
  <si>
    <t>Susan M. Hamm</t>
  </si>
  <si>
    <t>shamm@proceanic.com</t>
  </si>
  <si>
    <t>281-923-7899</t>
  </si>
  <si>
    <t>Jose Betancourt
Thomas Gilstrap
Tristen DelaFuente</t>
  </si>
  <si>
    <t>E12</t>
  </si>
  <si>
    <t>Nov 18, 2025, 3:15 PM</t>
  </si>
  <si>
    <t>Quanta Infrastructure Solutions Group LLC</t>
  </si>
  <si>
    <t>Madeline Cooke</t>
  </si>
  <si>
    <t>earlycareers@quantaisg.com</t>
  </si>
  <si>
    <t>913-944-7555</t>
  </si>
  <si>
    <t>Brandon Rodriguez-Oliveros
Jacob Sanchez
Kyle Williams</t>
  </si>
  <si>
    <t>E26</t>
  </si>
  <si>
    <t>Nov 25, 2025, 3:57 PM</t>
  </si>
  <si>
    <t>Natalie Stewart</t>
  </si>
  <si>
    <t>recruiting@quiddity.com</t>
  </si>
  <si>
    <t>Civil Engineering (CVEN), Electrical Engineering (ELEN), Environmental Engineering (EVEN)</t>
  </si>
  <si>
    <t>C14</t>
  </si>
  <si>
    <t>R. R. Cassidy, INC.</t>
  </si>
  <si>
    <t>Joann Herrador</t>
  </si>
  <si>
    <t>joann.herrador@rrcassidy.com</t>
  </si>
  <si>
    <t>832-233-3586</t>
  </si>
  <si>
    <t>Electrical Engineering (ELEN), Energy (ENGY), Energy Management (EGMT), Engineering Technology (ENTC), Electronic Systems Engineering Technology (ESET)</t>
  </si>
  <si>
    <t>Austin Copeland
Jason Persohn
Joann Herrador
Joshua Persohn
Preston Dixon</t>
  </si>
  <si>
    <t>E27</t>
  </si>
  <si>
    <t>Jan 14, 2026, 11:32 AM</t>
  </si>
  <si>
    <t>Manali Shirish Khandekar</t>
  </si>
  <si>
    <t>mkhandekar@ramboll.com</t>
  </si>
  <si>
    <t>Environmental Engineering (EVEN)</t>
  </si>
  <si>
    <t>Civil Engineering (CVEN), Energy (ENGY), Environmental Engineering (EVEN), Industrial Engineering (INEN), Materials Science and Engineering (MSEN), Mechanical Engineering (MEEN), Petroleum Engineering (PETE)</t>
  </si>
  <si>
    <t>Full-Time, Part-time</t>
  </si>
  <si>
    <t>A8</t>
  </si>
  <si>
    <t>Nov 12, 2025, 11:29 AM</t>
  </si>
  <si>
    <t>Repsol USA</t>
  </si>
  <si>
    <t>Keri Tucker</t>
  </si>
  <si>
    <t>keri.tucker@repsol.com</t>
  </si>
  <si>
    <t>Energy (ENGY), Energy Management (EGMT), Mechanical Engineering (MEEN), Petroleum Engineering (PETE), Safety Engineering (SENG)</t>
  </si>
  <si>
    <t>I23</t>
  </si>
  <si>
    <t>Nov 12, 2025, 8:53 AM</t>
  </si>
  <si>
    <t>Tyler Freese</t>
  </si>
  <si>
    <t>tyler@republiceds.com</t>
  </si>
  <si>
    <t>Architectural Engineering (AREN), Biological and Agricultural Engineering (BAEN), Civil Engineering (CVEN)</t>
  </si>
  <si>
    <t>D6</t>
  </si>
  <si>
    <t>Rolls-Royce North America</t>
  </si>
  <si>
    <t>Alexandra Castillo</t>
  </si>
  <si>
    <t>alexandra.s.castillo@rolls-royce.com</t>
  </si>
  <si>
    <t>(713)5407326</t>
  </si>
  <si>
    <t>Electrical Engineering (ELEN), Engineering Technology (ENTC), Manufacturing and Mechanical Engineering Technology (MMET), Multidisciplinary Engineering Technology (MXET), Petroleum Engineering (PETE)</t>
  </si>
  <si>
    <t>Kurt Kelley</t>
  </si>
  <si>
    <t>K7</t>
  </si>
  <si>
    <t>Jan 06, 2026, 10:39 AM</t>
  </si>
  <si>
    <t>Nicole Vite</t>
  </si>
  <si>
    <t>careers@rovisys.com</t>
  </si>
  <si>
    <t>832-930-9740</t>
  </si>
  <si>
    <t>Engineering, Technology, Other</t>
  </si>
  <si>
    <t>Biomedical Engineering (BMEN), Chemical Engineering (CHEN), Computer Engineering (CPEN), Electrical Engineering (ELEN), Engineering Technology (ENTC), Electronic Systems Engineering Technology (ESET), Environmental Engineering (EVEN), Industrial Engineering (INEN), Manufacturing and Mechanical Engineering Technology (MMET), Mechanical Engineering (MEEN), Multidisciplinary Engineering Technology (MXET)</t>
  </si>
  <si>
    <t>D23</t>
  </si>
  <si>
    <t>RRC Power &amp; Energy, LLC</t>
  </si>
  <si>
    <t>Codey Thomas</t>
  </si>
  <si>
    <t>codeythomas@rrccompanies.com</t>
  </si>
  <si>
    <t>Civil Engineering (CVEN), Computer Engineering (CPEN), Computer Science (CPSC), Electrical Engineering (ELEN), Energy (ENGY), Energy Management (EGMT), Engineering Technology (ENTC), Environmental Engineering (EVEN), Multidisciplinary Engineering Technology (MXET)</t>
  </si>
  <si>
    <t>US Citizen or US National, Will now or in the future require visa sponsorship</t>
  </si>
  <si>
    <t>Beyond Engineering and Testing</t>
  </si>
  <si>
    <t>Codey Thomas
Nellie Zertuche</t>
  </si>
  <si>
    <t>Jan 06, 2026, 11:49 AM</t>
  </si>
  <si>
    <t>Lina Morales</t>
  </si>
  <si>
    <t>rtx@nc3.com</t>
  </si>
  <si>
    <t>Aerospace / Aviation, Manufacturing</t>
  </si>
  <si>
    <t>Aerospace Engineering (AERO), Chemical Engineering (CHEN), Computer Engineering (CPEN), Computer Science (CPSC), Data Engineering (DAEN), Electrical Engineering (ELEN), Engineering Technology (ENTC), Electronic Systems Engineering Technology (ESET), Industrial Engineering (INEN), Manufacturing and Mechanical Engineering Technology (MMET), Materials Science and Engineering (MSEN), Mechanical Engineering (MEEN), Multidisciplinary Engineering Technology (MXET)</t>
  </si>
  <si>
    <t>J22, J23</t>
  </si>
  <si>
    <t>Nov 13, 2025, 3:03 PM</t>
  </si>
  <si>
    <t>Elizabeth Bentley</t>
  </si>
  <si>
    <t>ebentley@sbec.com</t>
  </si>
  <si>
    <t>346/531-3153</t>
  </si>
  <si>
    <t>Architectural Engineering (AREN), Chemical Engineering (CHEN), Civil Engineering (CVEN), Electrical Engineering (ELEN), Mechanical Engineering (MEEN)</t>
  </si>
  <si>
    <t>Anna Ware
Benjamin McKeig
Brandon Krenek
James Savoy
Ryan Parker</t>
  </si>
  <si>
    <t>H6, H7</t>
  </si>
  <si>
    <t>Nov 12, 2025, 8:38 AM</t>
  </si>
  <si>
    <t>Salt River Project</t>
  </si>
  <si>
    <t>Asa Chambers</t>
  </si>
  <si>
    <t>asa.chambers@srpnet.com</t>
  </si>
  <si>
    <t>Chemical Engineering (CHEN), Civil Engineering (CVEN), Electrical Engineering (ELEN), Mechanical Engineering (MEEN)</t>
  </si>
  <si>
    <t>G26</t>
  </si>
  <si>
    <t>Dec 03, 2025, 10:03 AM</t>
  </si>
  <si>
    <t>Jennifer Lowery</t>
  </si>
  <si>
    <t>jennifer.lowery@samsongroup.com</t>
  </si>
  <si>
    <t>Chemical Engineering (CHEN), Electrical Engineering (ELEN), Industrial Distribution (IDIS), Industrial Engineering (INEN), Manufacturing and Mechanical Engineering Technology (MMET), Mechanical Engineering (MEEN)</t>
  </si>
  <si>
    <t>Alyssa Boyer
Jennifer Lowery
Trevor Fousek</t>
  </si>
  <si>
    <t>J30</t>
  </si>
  <si>
    <t>Dec 11, 2025, 10:50 AM</t>
  </si>
  <si>
    <t>Sazerac</t>
  </si>
  <si>
    <t>Amy</t>
  </si>
  <si>
    <t>ariechman@sazerac.com</t>
  </si>
  <si>
    <t>502-665-1768</t>
  </si>
  <si>
    <t>Industrial Engineering (INEN), Manufacturing and Mechanical Engineering Technology (MMET), Mechanical Engineering (MEEN), Multidisciplinary Engineering Technology (MXET)</t>
  </si>
  <si>
    <t>Amy Riechman</t>
  </si>
  <si>
    <t>F29</t>
  </si>
  <si>
    <t>Dec 22, 2025, 9:44 AM</t>
  </si>
  <si>
    <t>Daniel Harris</t>
  </si>
  <si>
    <t>dharris@scheibeconsulting.com</t>
  </si>
  <si>
    <t>512-965-3681</t>
  </si>
  <si>
    <t>Jon Chenevert
Madison Hodges</t>
  </si>
  <si>
    <t>H13</t>
  </si>
  <si>
    <t>Nov 12, 2025, 8:49 AM</t>
  </si>
  <si>
    <t>Kassandra McCormick</t>
  </si>
  <si>
    <t>kmccormick@schnabel-eng.com</t>
  </si>
  <si>
    <t>703-869-9102</t>
  </si>
  <si>
    <t>Ed Majano, PE
J.R. Collins, PE</t>
  </si>
  <si>
    <t>G8</t>
  </si>
  <si>
    <t>Nov 12, 2025, 8:14 AM</t>
  </si>
  <si>
    <t>Madison Engberg</t>
  </si>
  <si>
    <t>internships@selinc.com</t>
  </si>
  <si>
    <t>Jerry Koshy
Madison Engberg</t>
  </si>
  <si>
    <t>H10</t>
  </si>
  <si>
    <t>Dec 08, 2025, 2:27 PM</t>
  </si>
  <si>
    <t>Jennifer L Perrill</t>
  </si>
  <si>
    <t>jennifer.l.perrill@saic.com</t>
  </si>
  <si>
    <t>832 385-5573</t>
  </si>
  <si>
    <t>Aerospace Engineering (AERO), Computer Engineering (CPEN), Mechanical Engineering (MEEN), Safety Engineering (SENG)</t>
  </si>
  <si>
    <t>K2</t>
  </si>
  <si>
    <t>Nov 13, 2025, 2:54 PM</t>
  </si>
  <si>
    <t>SEC Test Employer</t>
  </si>
  <si>
    <t>SEC Test Contact</t>
  </si>
  <si>
    <t>careerfair@sec.tamu.edu</t>
  </si>
  <si>
    <t>346-317-9414</t>
  </si>
  <si>
    <t>Aerospace / Aviation, Agriculture</t>
  </si>
  <si>
    <t>Architectural Engineering (AREN), Biological and Agricultural Engineering (BAEN)</t>
  </si>
  <si>
    <t>Maroon One-Day: Thursday, January 29th [$6500.00]</t>
  </si>
  <si>
    <t>Boeing</t>
  </si>
  <si>
    <t>Nathan
Pranav</t>
  </si>
  <si>
    <t>Nov 11, 2025, 7:54 PM</t>
  </si>
  <si>
    <t>SESCO Cement</t>
  </si>
  <si>
    <t>Hunter Tortorice</t>
  </si>
  <si>
    <t>hr@sescocement.com</t>
  </si>
  <si>
    <t>Construction, Engineering, Other</t>
  </si>
  <si>
    <t>Civil Engineering (CVEN), Electronic Systems Engineering Technology (ESET), Manufacturing and Mechanical Engineering Technology (MMET), Mechanical Engineering (MEEN)</t>
  </si>
  <si>
    <t>Hani Arafat
Hunter Tortorice
Pinki Shah
Salma Kharadi</t>
  </si>
  <si>
    <t>H3</t>
  </si>
  <si>
    <t>Dec 16, 2025, 3:55 PM</t>
  </si>
  <si>
    <t>Hope Hightower</t>
  </si>
  <si>
    <t>hhightower@shahsmith.com</t>
  </si>
  <si>
    <t>(832) 651-0222</t>
  </si>
  <si>
    <t>Erik Dietz</t>
  </si>
  <si>
    <t>E6</t>
  </si>
  <si>
    <t>Nov 12, 2025, 8:02 AM</t>
  </si>
  <si>
    <t>Shermco Industries</t>
  </si>
  <si>
    <t>Jose Marquez</t>
  </si>
  <si>
    <t>jose.marquez@shermco.com</t>
  </si>
  <si>
    <t>Anna Moon
Jac Kelley
Jay Gregory
Jose Marquez</t>
  </si>
  <si>
    <t>Jan 13, 2026, 11:31 AM</t>
  </si>
  <si>
    <t>Shield Engineering</t>
  </si>
  <si>
    <t>Reagan Squire</t>
  </si>
  <si>
    <t>reagan.squire@shield-engineering.com</t>
  </si>
  <si>
    <t>Civil Engineering (CVEN), Environmental Engineering (EVEN), Mechanical Engineering (MEEN)</t>
  </si>
  <si>
    <t>Hilary Cade
Reagan Squire</t>
  </si>
  <si>
    <t>C23</t>
  </si>
  <si>
    <t>Signal Energy</t>
  </si>
  <si>
    <t>Brooke Maedel</t>
  </si>
  <si>
    <t>brooke.maedel@signalenergy.com</t>
  </si>
  <si>
    <t>Accounting, Construction, Engineering</t>
  </si>
  <si>
    <t>Dec 16, 2025, 2:18 PM</t>
  </si>
  <si>
    <t>Felicia Donley</t>
  </si>
  <si>
    <t>Felicia.Donley@skywatertechnology.com</t>
  </si>
  <si>
    <t>Chemical Engineering (CHEN), Electrical Engineering (ELEN), Engineering Technology (ENTC), Manufacturing and Mechanical Engineering Technology (MMET), Materials Science and Engineering (MSEN), Mechanical Engineering (MEEN)</t>
  </si>
  <si>
    <t>Dec 10, 2025, 2:27 PM</t>
  </si>
  <si>
    <t>Smith &amp; Burgess</t>
  </si>
  <si>
    <t>Michelle Ramirez</t>
  </si>
  <si>
    <t>michelle.ramirez@smithburgess.com</t>
  </si>
  <si>
    <t>Daniel Vazquez
Michelle A Ramirez</t>
  </si>
  <si>
    <t>A4</t>
  </si>
  <si>
    <t>Dec 01, 2025, 8:00 PM</t>
  </si>
  <si>
    <t>Southland Industries</t>
  </si>
  <si>
    <t>Emily Whitaker</t>
  </si>
  <si>
    <t>emily.whitaker@southlandind.com</t>
  </si>
  <si>
    <t>Anderson Morrow
Chris Culpepper
Thomas Cochran
Tres Domian
Walker Jenke</t>
  </si>
  <si>
    <t>J21</t>
  </si>
  <si>
    <t>Nov 13, 2025, 8:13 AM</t>
  </si>
  <si>
    <t>Sruthi Thota</t>
  </si>
  <si>
    <t>marketing@swengineers.com</t>
  </si>
  <si>
    <t>Rachel Pelayo</t>
  </si>
  <si>
    <t>rachel.pelayo@swri.org</t>
  </si>
  <si>
    <t>Aerospace / Aviation, Automotive, Consulting, Engineering, Government / Military / Defense, Non-Profit / Philanthropy, Software, Technology, Other</t>
  </si>
  <si>
    <t>Computer Engineering (CPEN), Computer Science (CPSC), Electrical Engineering (ELEN), Mechanical Engineering (MEEN)</t>
  </si>
  <si>
    <t>Nov 12, 2025, 8:13 AM</t>
  </si>
  <si>
    <t>Southwestern Advantage (Silver Partner)</t>
  </si>
  <si>
    <t>Cole Weeber</t>
  </si>
  <si>
    <t>cweeber@southwestern.com</t>
  </si>
  <si>
    <t>Sales</t>
  </si>
  <si>
    <t>Bryan Fernandez
Carina Reyes
Cole Weeber
Erika Larenes</t>
  </si>
  <si>
    <t>Nov 14, 2025, 12:58 PM</t>
  </si>
  <si>
    <t>Kristen Traylor</t>
  </si>
  <si>
    <t>kristen.traylor@spiarsengineering.com</t>
  </si>
  <si>
    <t>Kevin Wier
Kristen Traylor</t>
  </si>
  <si>
    <t>Jan 05, 2026, 3:20 PM</t>
  </si>
  <si>
    <t>Michelle Howison</t>
  </si>
  <si>
    <t>Michelle.Howison@stress.com</t>
  </si>
  <si>
    <t>Aerospace / Aviation, Consulting, Engineering, Government / Military / Defense</t>
  </si>
  <si>
    <t>Aerospace Engineering (AERO), Data Engineering (DAEN), Electrical Engineering (ELEN), Energy (ENGY), Engineering Technology (ENTC), Electronic Systems Engineering Technology (ESET), Manufacturing and Mechanical Engineering Technology (MMET), Materials Science and Engineering (MSEN), Mechanical Engineering (MEEN), Multidisciplinary Engineering Technology (MXET), Nuclear Engineering (NUEN), Ocean Engineering (OCEN), Petroleum Engineering (PETE), Safety Engineering (SENG)</t>
  </si>
  <si>
    <t>Kurt Vandervort
Michelle Howison
Ryan Brister</t>
  </si>
  <si>
    <t>B11</t>
  </si>
  <si>
    <t>Jan 13, 2026, 6:08 PM</t>
  </si>
  <si>
    <t>Structural Services, Inc.</t>
  </si>
  <si>
    <t>Hailey Collins</t>
  </si>
  <si>
    <t>hcollins@ssiteam.com</t>
  </si>
  <si>
    <t>214-535-3017</t>
  </si>
  <si>
    <t>Ben Keith
Eldon Tipping
Justin Jefferis</t>
  </si>
  <si>
    <t>B3</t>
  </si>
  <si>
    <t>Jan 05, 2026, 10:30 AM</t>
  </si>
  <si>
    <t>Lakeshia Bailey</t>
  </si>
  <si>
    <t>earlycareers@stvinc.com</t>
  </si>
  <si>
    <t>561- 938-5087</t>
  </si>
  <si>
    <t>I25</t>
  </si>
  <si>
    <t>Jan 08, 2026, 10:48 AM</t>
  </si>
  <si>
    <t>Ramirez</t>
  </si>
  <si>
    <t>JOEL.RAMIREZ@SULZER.COM</t>
  </si>
  <si>
    <t>Aerospace Engineering (AERO), Chemical Engineering (CHEN), Mechanical Engineering (MEEN)</t>
  </si>
  <si>
    <t>Graydon Peters
Jerome Blalack
Joel Ramirez
MaryAnn Nguyen
Steven Roberts</t>
  </si>
  <si>
    <t>J25, J26</t>
  </si>
  <si>
    <t>Nov 18, 2025, 9:53 AM</t>
  </si>
  <si>
    <t>Daniel Rhee</t>
  </si>
  <si>
    <t>drhee@eoh-inc.com</t>
  </si>
  <si>
    <t>Civil Engineering (CVEN), Electrical Engineering (ELEN), Engineering Technology (ENTC), Electronic Systems Engineering Technology (ESET), Industrial Distribution (IDIS), Industrial Engineering (INEN), Manufacturing and Mechanical Engineering Technology (MMET), Mechanical Engineering (MEEN), Multidisciplinary Engineering Technology (MXET)</t>
  </si>
  <si>
    <t>Hydraquip</t>
  </si>
  <si>
    <t>G2</t>
  </si>
  <si>
    <t>Dec 12, 2025, 4:38 PM</t>
  </si>
  <si>
    <t>Sutton Engineering, LLC</t>
  </si>
  <si>
    <t>Joelle Fox</t>
  </si>
  <si>
    <t>jfox@sutton.engineering</t>
  </si>
  <si>
    <t>Chris Sutton
J.R. Fox
Jackson Roberson
John Haley</t>
  </si>
  <si>
    <t>Dec 02, 2025, 1:26 PM</t>
  </si>
  <si>
    <t>Joe Perez</t>
  </si>
  <si>
    <t>jperez@synchrogrid.com</t>
  </si>
  <si>
    <t>None</t>
  </si>
  <si>
    <t>Sherry McCullar
Tricia Landers</t>
  </si>
  <si>
    <t>F23</t>
  </si>
  <si>
    <t>Nov 12, 2025, 10:28 AM</t>
  </si>
  <si>
    <t>Syska Hennessy</t>
  </si>
  <si>
    <t>Cynthia Grant</t>
  </si>
  <si>
    <t>cgrant@syska.com</t>
  </si>
  <si>
    <t>310-344-4501</t>
  </si>
  <si>
    <t>Architectural Engineering (AREN), Electrical Engineering (ELEN), Engineering Technology (ENTC)</t>
  </si>
  <si>
    <t>Nov 13, 2025, 6:03 PM</t>
  </si>
  <si>
    <t>Talon Industries, Inc.</t>
  </si>
  <si>
    <t>Keith Muskrat</t>
  </si>
  <si>
    <t>kmuskrat@talon-industries.com</t>
  </si>
  <si>
    <t>Aerospace / Aviation, Construction, Energy, Engineering</t>
  </si>
  <si>
    <t>Civil Engineering (CVEN), Mechanical Engineering (MEEN), Petroleum Engineering (PETE)</t>
  </si>
  <si>
    <t>Clayton Hess
Coleton Baker
Keith Muskrat</t>
  </si>
  <si>
    <t>J29</t>
  </si>
  <si>
    <t>Jan 02, 2026, 11:03 AM</t>
  </si>
  <si>
    <t>Tata Consulting Services</t>
  </si>
  <si>
    <t>Nigina Tashmatova</t>
  </si>
  <si>
    <t>t.nigina@tcs.com</t>
  </si>
  <si>
    <t>Consulting, Technology</t>
  </si>
  <si>
    <t>Computer Engineering (CPEN), Computer Science (CPSC), Electrical Engineering (ELEN), Engineering Technology (ENTC), Electronic Systems Engineering Technology (ESET), Mechanical Engineering (MEEN)</t>
  </si>
  <si>
    <t>A1</t>
  </si>
  <si>
    <t>Jan 16, 2026, 4:52 PM</t>
  </si>
  <si>
    <t>Julia Shoshana Pilloff</t>
  </si>
  <si>
    <t>sho.pilloff@technipfmc.com</t>
  </si>
  <si>
    <t>z3462527215</t>
  </si>
  <si>
    <t>Joseph Noska
Kyle Dessen
Shel Nichols</t>
  </si>
  <si>
    <t>F10</t>
  </si>
  <si>
    <t>Dec 04, 2025, 11:17 AM</t>
  </si>
  <si>
    <t>hrdevelopment@tenaris.com</t>
  </si>
  <si>
    <t>Energy, Manufacturing</t>
  </si>
  <si>
    <t>Data Engineering (DAEN), Electrical Engineering (ELEN), Electronic Systems Engineering Technology (ESET), Environmental Engineering (EVEN), Industrial Distribution (IDIS), Industrial Engineering (INEN), Manufacturing and Mechanical Engineering Technology (MMET), Materials Science and Engineering (MSEN), Mechanical Engineering (MEEN), Petroleum Engineering (PETE), Safety Engineering (SENG)</t>
  </si>
  <si>
    <t>H4, H5</t>
  </si>
  <si>
    <t>Arielle McElhinney</t>
  </si>
  <si>
    <t>arielle.mcelhinney@terracon.com</t>
  </si>
  <si>
    <t>508-690-0545</t>
  </si>
  <si>
    <t>Civil Engineering (CVEN), Engineering Technology (ENTC), Environmental Engineering (EVEN), Materials Science and Engineering (MSEN)</t>
  </si>
  <si>
    <t>Jan 05, 2026, 2:15 PM</t>
  </si>
  <si>
    <t>Terrestrial Energy Inc.</t>
  </si>
  <si>
    <t>Dara Harrison</t>
  </si>
  <si>
    <t>dharrison@terrestrialenergy.com</t>
  </si>
  <si>
    <t>Chemical Engineering (CHEN), Civil Engineering (CVEN), Electrical Engineering (ELEN), Energy (ENGY), Energy Management (EGMT), Mechanical Engineering (MEEN), Nuclear Engineering (NUEN), Safety Engineering (SENG)</t>
  </si>
  <si>
    <t>Shauna Hollis</t>
  </si>
  <si>
    <t>H29, H30</t>
  </si>
  <si>
    <t>Dec 05, 2025, 9:21 AM</t>
  </si>
  <si>
    <t>Christi Retzer</t>
  </si>
  <si>
    <t>ceretzer@tamu.edu</t>
  </si>
  <si>
    <t>832-335-2242</t>
  </si>
  <si>
    <t>Engineering, Government / Military / Defense, Software</t>
  </si>
  <si>
    <t>A9</t>
  </si>
  <si>
    <t>Dec 12, 2025, 9:34 AM</t>
  </si>
  <si>
    <t>Texas A&amp;M Military Medicine</t>
  </si>
  <si>
    <t>Rebecca Itz</t>
  </si>
  <si>
    <t>ritz@tamu.edu</t>
  </si>
  <si>
    <t>Government / Military / Defense, Health Care</t>
  </si>
  <si>
    <t>Texas A&amp;M University School of Engineering Medicine</t>
  </si>
  <si>
    <t>Andrea Patterson</t>
  </si>
  <si>
    <t>andrea_patterson@exchange.tamu.edu</t>
  </si>
  <si>
    <t>979-676-1396</t>
  </si>
  <si>
    <t>Biotech / Pharmaceuticals, Engineering, Health Care</t>
  </si>
  <si>
    <t>Aerospace Engineering (AERO), Biological and Agricultural Engineering (BAEN), Biomedical Engineering (BMEN), Chemical Engineering (CHEN), Computer Engineering (CPEN), Computer Science (CPSC), Electrical Engineering (ELEN)</t>
  </si>
  <si>
    <t>Any other post-grad programs attending</t>
  </si>
  <si>
    <t>Andrea Patterson
John Louis Bolch</t>
  </si>
  <si>
    <t>Jan 06, 2026, 2:17 PM</t>
  </si>
  <si>
    <t>Sheila Brooks</t>
  </si>
  <si>
    <t>sheila.brooks@txdot.gov</t>
  </si>
  <si>
    <t>Civil Engineering (CVEN), Materials Science and Engineering (MSEN), Mechanical Engineering (MEEN)</t>
  </si>
  <si>
    <t>none</t>
  </si>
  <si>
    <t>C20, C21</t>
  </si>
  <si>
    <t>Christina Troiano*</t>
  </si>
  <si>
    <t>ti@nc3.com</t>
  </si>
  <si>
    <t>214-535-5999</t>
  </si>
  <si>
    <t>F16, F17</t>
  </si>
  <si>
    <t>Nov 12, 2025, 8:47 AM</t>
  </si>
  <si>
    <t>Texas New Mexico Power (TNMP)</t>
  </si>
  <si>
    <t>Sean Pauly</t>
  </si>
  <si>
    <t>sean.pauly@txnmenergy.com</t>
  </si>
  <si>
    <t>505.241.4831</t>
  </si>
  <si>
    <t>Chemical Engineering (CHEN), Civil Engineering (CVEN), Electrical Engineering (ELEN), Energy (ENGY), Energy Management (EGMT), Engineering Technology (ENTC), Environmental Engineering (EVEN), Manufacturing and Mechanical Engineering Technology (MMET), Mechanical Engineering (MEEN)</t>
  </si>
  <si>
    <t>G20</t>
  </si>
  <si>
    <t>Dec 30, 2025, 1:34 PM</t>
  </si>
  <si>
    <t>Tindall Corporation</t>
  </si>
  <si>
    <t>collegerecruiting@tindallcorp.com</t>
  </si>
  <si>
    <t>Civil Engineering (CVEN), Industrial Engineering (INEN)</t>
  </si>
  <si>
    <t>J19</t>
  </si>
  <si>
    <t>Nov 20, 2025, 2:21 PM</t>
  </si>
  <si>
    <t>Tolunay-Wong Engineers Inc.</t>
  </si>
  <si>
    <t>Matthew Wong</t>
  </si>
  <si>
    <t>mwong@tweinc.com</t>
  </si>
  <si>
    <t>713-907-9974</t>
  </si>
  <si>
    <t>Maroon One-Day: Wednesday, January 28th [$6500.00]</t>
  </si>
  <si>
    <t>Dan Billings
Hank Liu
Harold Barber
Jaideep Chatterjee
Matthew Wong
Mike Melendez
Nick Vastakis
Nikko Hacopian
Thomas McCarther
Trey O'Connor</t>
  </si>
  <si>
    <t>D20, D21, D22, D23</t>
  </si>
  <si>
    <t>Nov 14, 2025, 1:37 PM</t>
  </si>
  <si>
    <t>Torch Technologies</t>
  </si>
  <si>
    <t>Mary Jane Law</t>
  </si>
  <si>
    <t>maryjane.law@torchtechnologies.com</t>
  </si>
  <si>
    <t>256-319-6078</t>
  </si>
  <si>
    <t>Aerospace / Aviation, Communication / Media, Construction, Engineering, Finance / Banking, Government / Military / Defense, Logistics, Manufacturing, Sales, Software, Technology, Other</t>
  </si>
  <si>
    <t>Aerospace Engineering (AERO), Chemical Engineering (CHEN), Computer Engineering (CPEN), Computer Science (CPSC), Electrical Engineering (ELEN), Engineering Technology (ENTC), Electronic Systems Engineering Technology (ESET), Environmental Engineering (EVEN), Industrial Engineering (INEN), Manufacturing and Mechanical Engineering Technology (MMET), Mechanical Engineering (MEEN), Multidisciplinary Engineering Technology (MXET)</t>
  </si>
  <si>
    <t>K5</t>
  </si>
  <si>
    <t>Jan 09, 2026, 5:49 PM</t>
  </si>
  <si>
    <t>Toshiba</t>
  </si>
  <si>
    <t>Chris Finney</t>
  </si>
  <si>
    <t>chris.finney@toshiba.com</t>
  </si>
  <si>
    <t>(832)248-0899</t>
  </si>
  <si>
    <t>Andrew Teague</t>
  </si>
  <si>
    <t>B30</t>
  </si>
  <si>
    <t>Nov 18, 2025, 2:47 PM</t>
  </si>
  <si>
    <t>Tower Extrusions LLC.</t>
  </si>
  <si>
    <t>Michael D. Blevins</t>
  </si>
  <si>
    <t>michael.blevins@towerextrusion.com</t>
  </si>
  <si>
    <t>Engineering Technology (ENTC), Industrial Engineering (INEN), Manufacturing and Mechanical Engineering Technology (MMET), Mechanical Engineering (MEEN), Multidisciplinary Engineering Technology (MXET)</t>
  </si>
  <si>
    <t>Colson Ballard
Jed Davidson
Michael D. Blevins
Trampas Patton</t>
  </si>
  <si>
    <t>Jan 14, 2026, 8:48 AM</t>
  </si>
  <si>
    <t>Amanda M. Davis</t>
  </si>
  <si>
    <t>amanda.davis@tranetechnologies.com</t>
  </si>
  <si>
    <t>Aerospace Engineering (AERO), Computer Engineering (CPEN), Manufacturing and Mechanical Engineering Technology (MMET), Mechanical Engineering (MEEN), Multidisciplinary Engineering Technology (MXET)</t>
  </si>
  <si>
    <t>H7</t>
  </si>
  <si>
    <t>Nov 18, 2025, 1:14 PM</t>
  </si>
  <si>
    <t>TRDI</t>
  </si>
  <si>
    <t>Kaythleen Gonzalez</t>
  </si>
  <si>
    <t>kaythleen.gonzalez@trdi.org</t>
  </si>
  <si>
    <t>Accounting, Food Services, Sales</t>
  </si>
  <si>
    <t>Engineering Technology (ENTC), Environmental Engineering (EVEN), Manufacturing and Mechanical Engineering Technology (MMET)</t>
  </si>
  <si>
    <t>Carmen Birkmann
Ivette Cedillo
Kaythleen Gonzalez</t>
  </si>
  <si>
    <t>A3</t>
  </si>
  <si>
    <t>Nov 18, 2025, 9:11 AM</t>
  </si>
  <si>
    <t>Trihydro Corporation</t>
  </si>
  <si>
    <t>Recruiting Team</t>
  </si>
  <si>
    <t>recruiting@trihydro.com</t>
  </si>
  <si>
    <t>(307) 259-8265</t>
  </si>
  <si>
    <t>Consulting, Engineering, Other</t>
  </si>
  <si>
    <t>Hank Crippen
Jason Vreeland</t>
  </si>
  <si>
    <t>Nov 12, 2025, 9:41 AM</t>
  </si>
  <si>
    <t>Underdog</t>
  </si>
  <si>
    <t>Taylor McKenzie</t>
  </si>
  <si>
    <t>taylor.mckenzie@underdogfantasy.com</t>
  </si>
  <si>
    <t>Andy Gandara
Charlie Scott
Hannah Naetzker
Jason Brown
Sophia Prochnow
Taylor McKenzie</t>
  </si>
  <si>
    <t>B23</t>
  </si>
  <si>
    <t>Nov 12, 2025, 9:09 AM</t>
  </si>
  <si>
    <t>United Refrigeration</t>
  </si>
  <si>
    <t>Greg Billups</t>
  </si>
  <si>
    <t>gbillups@uri.com</t>
  </si>
  <si>
    <t>Industrial Engineering (INEN), Mechanical Engineering (MEEN), Multidisciplinary Engineering Technology (MXET)</t>
  </si>
  <si>
    <t>Bob Schindler
greg billups
Gregg Kessler</t>
  </si>
  <si>
    <t>F4</t>
  </si>
  <si>
    <t>Dec 29, 2025, 11:53 AM</t>
  </si>
  <si>
    <t>Usps University Relations</t>
  </si>
  <si>
    <t>universityrelations@usps.gov</t>
  </si>
  <si>
    <t>225-454-4300</t>
  </si>
  <si>
    <t>Civil Engineering (CVEN), Computer Engineering (CPEN), Computer Science (CPSC), Data Engineering (DAEN), Electrical Engineering (ELEN), Electronic Systems Engineering Technology (ESET), Industrial Distribution (IDIS), Industrial Engineering (INEN), Manufacturing and Mechanical Engineering Technology (MMET), Materials Science and Engineering (MSEN), Mechanical Engineering (MEEN)</t>
  </si>
  <si>
    <t>Eric LeDuff</t>
  </si>
  <si>
    <t>J24</t>
  </si>
  <si>
    <t>Nov 20, 2025, 1:02 PM</t>
  </si>
  <si>
    <t>Upwing Energy</t>
  </si>
  <si>
    <t>Paul Reyes</t>
  </si>
  <si>
    <t>paulreyes@upwingenergy.com</t>
  </si>
  <si>
    <t>Chemical Engineering (CHEN), Electrical Engineering (ELEN), Industrial Engineering (INEN), Manufacturing and Mechanical Engineering Technology (MMET), Petroleum Engineering (PETE)</t>
  </si>
  <si>
    <t>Louis Smith</t>
  </si>
  <si>
    <t>Nov 14, 2025, 4:40 PM</t>
  </si>
  <si>
    <t>Dylan Florentin</t>
  </si>
  <si>
    <t>dylanflorentin@usconec.com</t>
  </si>
  <si>
    <t>682-308-3945</t>
  </si>
  <si>
    <t>Manufacturing and Mechanical Engineering Technology (MMET), Mechanical Engineering (MEEN), Multidisciplinary Engineering Technology (MXET)</t>
  </si>
  <si>
    <t>Dylan Florentin
Steven Pennell
Wendy Johnson</t>
  </si>
  <si>
    <t>E14</t>
  </si>
  <si>
    <t>Nov 12, 2025, 1:26 PM</t>
  </si>
  <si>
    <t>US Navy</t>
  </si>
  <si>
    <t>Justin C Kennedy</t>
  </si>
  <si>
    <t>justin.c.kennedy1.mil@us.navy.mil</t>
  </si>
  <si>
    <t>Accounting, Aerospace / Aviation, Agriculture, Automotive, Biotech / Pharmaceuticals, Communication / Media, Construction, Consumer Goods, Consulting, Energy, Engineering, Finance / Banking, Food Services, Government / Military / Defense, Health Care, Logistics, Manufacturing, Non-Profit / Philanthropy, Sales, Software, Technology, Telecommunication, Other</t>
  </si>
  <si>
    <t>Brett Sturdivant
luke thomas</t>
  </si>
  <si>
    <t>B5</t>
  </si>
  <si>
    <t>Dec 19, 2025, 12:25 PM</t>
  </si>
  <si>
    <t>Varda Space Industries</t>
  </si>
  <si>
    <t>Tyree Lewis</t>
  </si>
  <si>
    <t>tyree@varda.com</t>
  </si>
  <si>
    <t>Aerospace Engineering (AERO), Biomedical Engineering (BMEN), Computer Engineering (CPEN), Computer Science (CPSC), Electrical Engineering (ELEN), Electronic Systems Engineering Technology (ESET), Manufacturing and Mechanical Engineering Technology (MMET), Materials Science and Engineering (MSEN), Mechanical Engineering (MEEN)</t>
  </si>
  <si>
    <t>J27</t>
  </si>
  <si>
    <t>Dec 02, 2025, 1:23 PM</t>
  </si>
  <si>
    <t>Venture Global</t>
  </si>
  <si>
    <t>Austin Wood</t>
  </si>
  <si>
    <t>awood@venturegloballng.com</t>
  </si>
  <si>
    <t>713-899-1551</t>
  </si>
  <si>
    <t>Chemical Engineering (CHEN), Civil Engineering (CVEN), Electrical Engineering (ELEN), Energy (ENGY), Energy Management (EGMT), Mechanical Engineering (MEEN)</t>
  </si>
  <si>
    <t>Austin Wood
Jason Brien</t>
  </si>
  <si>
    <t>G30</t>
  </si>
  <si>
    <t>Dec 29, 2025, 10:13 AM</t>
  </si>
  <si>
    <t>Vinson Process Controls Company</t>
  </si>
  <si>
    <t>Brian Bahe</t>
  </si>
  <si>
    <t>brian.bahe@vinsonprocess.com</t>
  </si>
  <si>
    <t>972-741-8160</t>
  </si>
  <si>
    <t>Chemical Engineering (CHEN), Electrical Engineering (ELEN), Industrial Distribution (IDIS), Mechanical Engineering (MEEN), Petroleum Engineering (PETE)</t>
  </si>
  <si>
    <t>Jan 07, 2026, 2:18 PM</t>
  </si>
  <si>
    <t>Angela Wattley</t>
  </si>
  <si>
    <t>angela.wattley@viridiengroup.com</t>
  </si>
  <si>
    <t>Energy, Software, Technology</t>
  </si>
  <si>
    <t>Aerospace Engineering (AERO), Biomedical Engineering (BMEN), Civil Engineering (CVEN), Computer Engineering (CPEN), Computer Science (CPSC), Data Engineering (DAEN), Electrical Engineering (ELEN), Engineering Technology (ENTC), Materials Science and Engineering (MSEN), Mechanical Engineering (MEEN), Nuclear Engineering (NUEN)</t>
  </si>
  <si>
    <t>Master's, Doctorate</t>
  </si>
  <si>
    <t>Angela Wattley
Dhvanil Patel
Doris Mercado
Rachit Desai</t>
  </si>
  <si>
    <t>Jan 07, 2026, 2:47 PM</t>
  </si>
  <si>
    <t>Wade Trim</t>
  </si>
  <si>
    <t>Lauren Matakovich</t>
  </si>
  <si>
    <t>lmatakovich@wadetrim.com</t>
  </si>
  <si>
    <t>440-799-9540</t>
  </si>
  <si>
    <t>Amanda Roddy
Norm Gosselin
Tim Palmer</t>
  </si>
  <si>
    <t>D7</t>
  </si>
  <si>
    <t>Nov 12, 2025, 9:03 AM</t>
  </si>
  <si>
    <t>Claire Muska</t>
  </si>
  <si>
    <t>cmuska@walkerpartners.com</t>
  </si>
  <si>
    <t>254-327-7113</t>
  </si>
  <si>
    <t>Claire Muska
Clay Schroeder
Hayden Shelton</t>
  </si>
  <si>
    <t>Ward &amp; Burke Tunneling Inc.</t>
  </si>
  <si>
    <t>Mary-Kate Markey</t>
  </si>
  <si>
    <t>marykate.markey@wardandburke.com</t>
  </si>
  <si>
    <t>Civil Engineering (CVEN), Environmental Engineering (EVEN), Mechanical Engineering (MEEN), Petroleum Engineering (PETE)</t>
  </si>
  <si>
    <t>Vanessa Ferrari-Orefice</t>
  </si>
  <si>
    <t>Nov 12, 2025, 2:33 PM</t>
  </si>
  <si>
    <t>Brian Young</t>
  </si>
  <si>
    <t>byoung@wcgrp.com</t>
  </si>
  <si>
    <t>817-992-8212</t>
  </si>
  <si>
    <t>Nov 12, 2025, 8:03 PM</t>
  </si>
  <si>
    <t>Emma Sin</t>
  </si>
  <si>
    <t>esin@wwebber.com</t>
  </si>
  <si>
    <t>Civil Engineering (CVEN), Electrical Engineering (ELEN), Industrial Distribution (IDIS), Industrial Engineering (INEN), Mechanical Engineering (MEEN)</t>
  </si>
  <si>
    <t>E10, E11</t>
  </si>
  <si>
    <t>Nov 12, 2025, 9:19 AM</t>
  </si>
  <si>
    <t>Keti Spirovski</t>
  </si>
  <si>
    <t>keti.spirovski@westinghouse.com</t>
  </si>
  <si>
    <t>724-355-0736</t>
  </si>
  <si>
    <t>Aerospace Engineering (AERO), Civil Engineering (CVEN), Computer Engineering (CPEN), Computer Science (CPSC), Electrical Engineering (ELEN), Energy (ENGY), Environmental Engineering (EVEN), Industrial Engineering (INEN), Materials Science and Engineering (MSEN), Mechanical Engineering (MEEN), Nuclear Engineering (NUEN)</t>
  </si>
  <si>
    <t>N?A</t>
  </si>
  <si>
    <t>J14</t>
  </si>
  <si>
    <t>Dec 09, 2025, 12:50 PM</t>
  </si>
  <si>
    <t>Westwood Professional Services, Inc.</t>
  </si>
  <si>
    <t>Donna Harrell</t>
  </si>
  <si>
    <t>careers@westwoodps.com</t>
  </si>
  <si>
    <t>210-883-8247</t>
  </si>
  <si>
    <t>Civil Engineering (CVEN), Electrical Engineering (ELEN)</t>
  </si>
  <si>
    <t>Abdallah Alhalaseh
Kara Alloy
Mark Miller
Mitchell Redfearn
Ryan Middleton</t>
  </si>
  <si>
    <t>D4</t>
  </si>
  <si>
    <t>Lisa Tanco</t>
  </si>
  <si>
    <t>ltanco@wga-llc.com</t>
  </si>
  <si>
    <t>Brandon Rayne
Jensen Dunkley
Jessica Lara
Jordan Richardson
Samantha Randolph</t>
  </si>
  <si>
    <t>C5, C6</t>
  </si>
  <si>
    <t>Nov 12, 2025, 2:50 PM</t>
  </si>
  <si>
    <t>WHC, LLC</t>
  </si>
  <si>
    <t>Kimberly Sinegal</t>
  </si>
  <si>
    <t>kimberly.sinegal@whcenergyservices.com</t>
  </si>
  <si>
    <t>281-884-2326</t>
  </si>
  <si>
    <t>Construction, Energy</t>
  </si>
  <si>
    <t>Civil Engineering (CVEN), Electrical Engineering (ELEN), Energy (ENGY), Industrial Engineering (INEN), Mechanical Engineering (MEEN)</t>
  </si>
  <si>
    <t>Camila Montoya
Kimberly Sinegal
Sabrina Giunzioni</t>
  </si>
  <si>
    <t>J22</t>
  </si>
  <si>
    <t>Jan 07, 2026, 3:03 PM</t>
  </si>
  <si>
    <t>Kelli Bowie</t>
  </si>
  <si>
    <t>kbowie@wrallp.com</t>
  </si>
  <si>
    <t>Tami Kosters</t>
  </si>
  <si>
    <t>TAMI.KOSTERS@WOODPLC.COM</t>
  </si>
  <si>
    <t>Chemical Engineering (CHEN), Civil Engineering (CVEN), Computer Engineering (CPEN), Computer Science (CPSC), Electrical Engineering (ELEN), Engineering Technology (ENTC), Electronic Systems Engineering Technology (ESET), Mechanical Engineering (MEEN), Multidisciplinary Engineering Technology (MXET), Ocean Engineering (OCEN), Safety Engineering (SENG)</t>
  </si>
  <si>
    <t>Reuben Soto
Tami Kosters</t>
  </si>
  <si>
    <t>B1, B2</t>
  </si>
  <si>
    <t>Nov 17, 2025, 4:20 PM</t>
  </si>
  <si>
    <t>Erin Niebylski</t>
  </si>
  <si>
    <t>erin.niebylski@worley.com</t>
  </si>
  <si>
    <t>832-351-7172</t>
  </si>
  <si>
    <t>Chemical Engineering (CHEN), Civil Engineering (CVEN), Electrical Engineering (ELEN), Electronic Systems Engineering Technology (ESET), Industrial Engineering (INEN), Manufacturing and Mechanical Engineering Technology (MMET), Mechanical Engineering (MEEN)</t>
  </si>
  <si>
    <t>Nov 12, 2025, 10:02 AM</t>
  </si>
  <si>
    <t>WSP in the U.S</t>
  </si>
  <si>
    <t>Emily Campbell</t>
  </si>
  <si>
    <t>emily.campbell@wsp.com</t>
  </si>
  <si>
    <t>Emily Schweizerhof
John Skinner
Kasidy Gossen
Kevin Iquique
Madeline Barlow</t>
  </si>
  <si>
    <t>G14</t>
  </si>
  <si>
    <t>Nov 12, 2025, 9:13 AM</t>
  </si>
  <si>
    <t>Rachel W. Schrock</t>
  </si>
  <si>
    <t>rschrock@wylieeng.com</t>
  </si>
  <si>
    <t>Clay Menzel
Kourosh Yazdani</t>
  </si>
  <si>
    <t>F7</t>
  </si>
  <si>
    <t>Nov 12, 2025, 10:55 AM</t>
  </si>
  <si>
    <t>Yalgo Engineering, LLC</t>
  </si>
  <si>
    <t>Keith Caldwell</t>
  </si>
  <si>
    <t>keith@yalgoengineering.com</t>
  </si>
  <si>
    <t>254-760-1340</t>
  </si>
  <si>
    <t>Biological and Agricultural Engineering (BAEN), Civil Engineering (CVEN), Ocean Engineering (OCEN)</t>
  </si>
  <si>
    <t>Evan Williams
Keith Caldwell
Like Frei
Natalie Pratt
Travis Whitis</t>
  </si>
  <si>
    <t>I4</t>
  </si>
  <si>
    <t>Computer Engineering (CECN), Computer Science (CPSC), Electrical Engineering (ELEN)</t>
  </si>
  <si>
    <t>Basic One-Day: Wednesday, September 10th [$1000.00]</t>
  </si>
  <si>
    <t>Day 1 (Wednesday, September 10th)</t>
  </si>
  <si>
    <t>Aug 08, 2025, 8:52 AM</t>
  </si>
  <si>
    <t>Civil and Environmental Engineering (CVEN)</t>
  </si>
  <si>
    <t>Civil and Environmental Engineering (CVEN), Environmental Engineering (EVEN)</t>
  </si>
  <si>
    <t>Basic One-Day: Thursday, September 11th [$1000.00]</t>
  </si>
  <si>
    <t>Day 2 (Thursday, September 11th)</t>
  </si>
  <si>
    <t>Apr 16, 2025, 11:06 AM</t>
  </si>
  <si>
    <t>Industrial and Systems Engineering (ISEN)</t>
  </si>
  <si>
    <t>Computer Engineering (CECN), Computer Science (CPSC), Electrical Engineering (ELEN), Industrial and Systems Engineering (ISEN), Manufacturing and Mechanical Engineering Technology (MMET), Materials Science and Engineering (MSEN), Mechanical Engineering (MEEN)</t>
  </si>
  <si>
    <t>Gold One-Day: Wednesday, September 10th [$2500.00]</t>
  </si>
  <si>
    <t>Apr 17, 2025, 1:04 PM</t>
  </si>
  <si>
    <t>AbbVie</t>
  </si>
  <si>
    <t>Lauren Cotnoir</t>
  </si>
  <si>
    <t>lauren.cotnoir@abbvie.com</t>
  </si>
  <si>
    <t>Biological and Agricultural Engineering (BAEN), Biomedical Engineering (BMEN), Chemical Engineering (CHEN), Computer Engineering (CECN), Manufacturing and Mechanical Engineering Technology (MMET), Materials Science and Engineering (MSEN), Mechanical Engineering (MEEN)</t>
  </si>
  <si>
    <t>K25</t>
  </si>
  <si>
    <t>May 19, 2025, 9:10 AM</t>
  </si>
  <si>
    <t>ABS (American Bureau of Shipping)</t>
  </si>
  <si>
    <t>Candace Allen</t>
  </si>
  <si>
    <t>caallen@eagle.org</t>
  </si>
  <si>
    <t>Electrical Engineering (ELEN), Industrial and Systems Engineering (ISEN), Materials Science and Engineering (MSEN), Mechanical Engineering (MEEN), Ocean Engineering (OCEN)</t>
  </si>
  <si>
    <t>Day 1 (Wednesday, September 10th)
Day 2 (Thursday, September 11th)</t>
  </si>
  <si>
    <t>Apr 16, 2025, 1:45 PM</t>
  </si>
  <si>
    <t>Accuracy</t>
  </si>
  <si>
    <t>Grace Brown</t>
  </si>
  <si>
    <t>grace.brown@accuracy.com</t>
  </si>
  <si>
    <t>Architectural Engineering (AREN), Chemical Engineering (CHEN), Civil and Environmental Engineering (CVEN), Industrial Distribution (IDIS), Industrial and Systems Engineering (ISEN), Mechanical Engineering (MEEN)</t>
  </si>
  <si>
    <t>I17</t>
  </si>
  <si>
    <t>Apr 16, 2025, 10:51 AM</t>
  </si>
  <si>
    <t>Ace Thermal Systems</t>
  </si>
  <si>
    <t>Carrie Smith</t>
  </si>
  <si>
    <t>carrie.smith@acethermalsystems.com</t>
  </si>
  <si>
    <t>Aerospace Engineering (AERO), Electrical Engineering (ELEN), Manufacturing and Mechanical Engineering Technology (MMET)</t>
  </si>
  <si>
    <t>F8</t>
  </si>
  <si>
    <t>May 08, 2025, 2:04 PM</t>
  </si>
  <si>
    <t>Aegis Aerospace</t>
  </si>
  <si>
    <t>Tammie Letrioise-Brown</t>
  </si>
  <si>
    <t>tammie.letroise-brown@aegisaero.com</t>
  </si>
  <si>
    <t>Aerospace Engineering (AERO), Computer Engineering (CECN), Computer Science (CPSC), Electrical Engineering (ELEN), Mechanical Engineering (MEEN)</t>
  </si>
  <si>
    <t>Q7</t>
  </si>
  <si>
    <t>Jun 09, 2025, 11:13 AM</t>
  </si>
  <si>
    <t>Affiliated Engineers Inc</t>
  </si>
  <si>
    <t>Ingrid Hagen</t>
  </si>
  <si>
    <t>oncampus@aeieng.com</t>
  </si>
  <si>
    <t>608-236-1242</t>
  </si>
  <si>
    <t>N6</t>
  </si>
  <si>
    <t>Apr 16, 2025, 7:48 AM</t>
  </si>
  <si>
    <t>M27</t>
  </si>
  <si>
    <t>May 14, 2025, 9:22 AM</t>
  </si>
  <si>
    <t>Albemarle Corporation</t>
  </si>
  <si>
    <t>Nia Lewis</t>
  </si>
  <si>
    <t>nia.lewis@albemarle.com</t>
  </si>
  <si>
    <t>Apr 16, 2025, 8:37 AM</t>
  </si>
  <si>
    <t>Jason Julian</t>
  </si>
  <si>
    <t>jjulian@albers.aero</t>
  </si>
  <si>
    <t>Aerospace Engineering (AERO), Computer Engineering (CECN), Data Engineering (DATA), Electrical Engineering (ELEN), Electronic Systems Engineering Technology (ESET), Industrial and Systems Engineering (ISEN), Manufacturing and Mechanical Engineering Technology (MMET), Mechanical Engineering (MEEN)</t>
  </si>
  <si>
    <t>P5</t>
  </si>
  <si>
    <t>May 05, 2025, 1:01 PM</t>
  </si>
  <si>
    <t>Alcon</t>
  </si>
  <si>
    <t>Abbey Brewer</t>
  </si>
  <si>
    <t>abbey.brewer@alcon.com</t>
  </si>
  <si>
    <t>307-351-4299</t>
  </si>
  <si>
    <t>Aerospace Engineering (AERO), Biomedical Engineering (BMEN), Chemical Engineering (CHEN), Computer Engineering (CECN), Computer Science (CPSC), Data Engineering (DATA), Materials Science and Engineering (MSEN), Mechanical Engineering (MEEN)</t>
  </si>
  <si>
    <t>D15</t>
  </si>
  <si>
    <t>Apr 16, 2025, 8:48 AM</t>
  </si>
  <si>
    <t>Chemical Engineering (CHEN), Industrial and Systems Engineering (ISEN), Manufacturing and Mechanical Engineering Technology (MMET), Mechanical Engineering (MEEN)</t>
  </si>
  <si>
    <t>D21</t>
  </si>
  <si>
    <t>Jul 31, 2025, 7:50 AM</t>
  </si>
  <si>
    <t>Allegro MicroSystems</t>
  </si>
  <si>
    <t>Ann Zenofsky</t>
  </si>
  <si>
    <t>azenofsky@allegromicro.com</t>
  </si>
  <si>
    <t>Computer Engineering (CECN), Electrical Engineering (ELEN)</t>
  </si>
  <si>
    <t>Aug 14, 2025, 11:40 AM</t>
  </si>
  <si>
    <t>alliantgroup</t>
  </si>
  <si>
    <t>Joanne Delapaz</t>
  </si>
  <si>
    <t>joanne.delapaz@alliantgroup.com</t>
  </si>
  <si>
    <t>281-217-9182</t>
  </si>
  <si>
    <t>Architectural Engineering (AREN), Chemical Engineering (CHEN), Civil and Environmental Engineering (CVEN), Electrical Engineering (ELEN), Environmental Engineering (EVEN), Manufacturing and Mechanical Engineering Technology (MMET), Mechanical Engineering (MEEN)</t>
  </si>
  <si>
    <t>Pending</t>
  </si>
  <si>
    <t>May 09, 2025, 9:53 AM</t>
  </si>
  <si>
    <t>Altamira-US, LLC</t>
  </si>
  <si>
    <t>Lexis Bort</t>
  </si>
  <si>
    <t>lexis.bort@altamira-us.com</t>
  </si>
  <si>
    <t>Chemical Engineering (CHEN), Civil and Environmental Engineering (CVEN), Electrical Engineering (ELEN), Environmental Engineering (EVEN), Industrial and Systems Engineering (ISEN), Manufacturing and Mechanical Engineering Technology (MMET), Materials Science and Engineering (MSEN), Mechanical Engineering (MEEN), Multidisciplinary Engineering Technology (MXET), Petroleum Engineering (PETE)</t>
  </si>
  <si>
    <t>May 21, 2025, 3:17 PM</t>
  </si>
  <si>
    <t>AME</t>
  </si>
  <si>
    <t>Jessica Hoag</t>
  </si>
  <si>
    <t>jhoag@arcomurray.com</t>
  </si>
  <si>
    <t>Aerospace Engineering (AERO), Architectural Engineering (AREN), Civil and Environmental Engineering (CVEN), Electrical Engineering (ELEN), Mechanical Engineering (MEEN)</t>
  </si>
  <si>
    <t>E25</t>
  </si>
  <si>
    <t>Apr 16, 2025, 7:50 AM</t>
  </si>
  <si>
    <t>713-591-0490</t>
  </si>
  <si>
    <t>Aerospace Engineering (AERO), Computer Engineering (CECN), Electrical Engineering (ELEN), Electronic Systems Engineering Technology (ESET), Materials Science and Engineering (MSEN), Mechanical Engineering (MEEN)</t>
  </si>
  <si>
    <t>Q4</t>
  </si>
  <si>
    <t>Aug 05, 2025, 11:52 AM</t>
  </si>
  <si>
    <t>American Airlines</t>
  </si>
  <si>
    <t>Matthew Mack</t>
  </si>
  <si>
    <t>matthew.mack@aa.com</t>
  </si>
  <si>
    <t>682 278 0504</t>
  </si>
  <si>
    <t>Aerospace Engineering (AERO), Civil and Environmental Engineering (CVEN), Computer Engineering (CECN), Computer Science (CPSC), Data Engineering (DATA), Electrical Engineering (ELEN), Environmental Engineering (EVEN), Industrial and Systems Engineering (ISEN), Materials Science and Engineering (MSEN), Mechanical Engineering (MEEN)</t>
  </si>
  <si>
    <t>P22, P23</t>
  </si>
  <si>
    <t>Jun 27, 2025, 4:13 PM</t>
  </si>
  <si>
    <t>aherron@american-usa.com</t>
  </si>
  <si>
    <t>Chemical Engineering (CHEN), Civil and Environmental Engineering (CVEN), Electrical Engineering (ELEN), Environmental Engineering (EVEN), Industrial Distribution (IDIS), Industrial and Systems Engineering (ISEN), Manufacturing and Mechanical Engineering Technology (MMET), Materials Science and Engineering (MSEN), Mechanical Engineering (MEEN)</t>
  </si>
  <si>
    <t>O2</t>
  </si>
  <si>
    <t>Aug 13, 2025, 3:10 PM</t>
  </si>
  <si>
    <t>Chemical Engineering (CHEN), Civil and Environmental Engineering (CVEN), Electrical Engineering (ELEN), Electronic Systems Engineering Technology (ESET), Mechanical Engineering (MEEN)</t>
  </si>
  <si>
    <t>May 21, 2025, 2:08 PM</t>
  </si>
  <si>
    <t>Amrize</t>
  </si>
  <si>
    <t>Jessica Utreras</t>
  </si>
  <si>
    <t>jessica.utreras@amrize.com</t>
  </si>
  <si>
    <t>Chemical Engineering (CHEN), Civil and Environmental Engineering (CVEN), Electrical Engineering (ELEN), Environmental Engineering (EVEN), Mechanical Engineering (MEEN)</t>
  </si>
  <si>
    <t>Aug 13, 2025, 9:47 AM</t>
  </si>
  <si>
    <t>651-343-2948</t>
  </si>
  <si>
    <t>Aerospace Engineering (AERO), Chemical Engineering (CHEN), Electrical Engineering (ELEN), Industrial and Systems Engineering (ISEN), Materials Science and Engineering (MSEN), Mechanical Engineering (MEEN)</t>
  </si>
  <si>
    <t>N11</t>
  </si>
  <si>
    <t>Apr 16, 2025, 8:08 AM</t>
  </si>
  <si>
    <t>Applied Climate Solutions</t>
  </si>
  <si>
    <t>Colin White</t>
  </si>
  <si>
    <t>accounting@appliedclimate.com</t>
  </si>
  <si>
    <t>972-533-0233</t>
  </si>
  <si>
    <t>Electrical Engineering (ELEN), Industrial Distribution (IDIS), Mechanical Engineering (MEEN), Multidisciplinary Engineering Technology (MXET)</t>
  </si>
  <si>
    <t>N3</t>
  </si>
  <si>
    <t>May 01, 2025, 9:48 AM</t>
  </si>
  <si>
    <t>Applied Materials Inc</t>
  </si>
  <si>
    <t>Jalys Caro</t>
  </si>
  <si>
    <t>jalys_caro@amat.com</t>
  </si>
  <si>
    <t>806-392-7810</t>
  </si>
  <si>
    <t>Chemical Engineering (CHEN), Computer Science (CPSC), Electrical Engineering (ELEN), Industrial and Systems Engineering (ISEN), Materials Science and Engineering (MSEN), Mechanical Engineering (MEEN)</t>
  </si>
  <si>
    <t>C12, C13, C14, C15</t>
  </si>
  <si>
    <t>May 28, 2025, 10:48 AM</t>
  </si>
  <si>
    <t>Applied Research Associates, Inc.</t>
  </si>
  <si>
    <t>Bernadette A. Becerra</t>
  </si>
  <si>
    <t>bbecerra@ara.com</t>
  </si>
  <si>
    <t>Aerospace Engineering (AERO), Chemical Engineering (CHEN), Civil and Environmental Engineering (CVEN), Computer Engineering (CECN), Computer Science (CPSC), Electrical Engineering (ELEN), Mechanical Engineering (MEEN), Multidisciplinary Engineering Technology (MXET), Nuclear Engineering (NUEN)</t>
  </si>
  <si>
    <t>O28</t>
  </si>
  <si>
    <t>Aug 04, 2025, 11:59 AM</t>
  </si>
  <si>
    <t>Aerospace Engineering (AERO), Computer Engineering (CECN), Computer Science (CPSC), Data Engineering (DATA), Electrical Engineering (ELEN), Mechanical Engineering (MEEN)</t>
  </si>
  <si>
    <t>E26, E27</t>
  </si>
  <si>
    <t>Apr 16, 2025, 7:45 AM</t>
  </si>
  <si>
    <t>Aramco Services Company</t>
  </si>
  <si>
    <t>Ronald Avalos</t>
  </si>
  <si>
    <t>ronald.avalos@aramcoamericas.com</t>
  </si>
  <si>
    <t>281-979-8532</t>
  </si>
  <si>
    <t>Chemical Engineering (CHEN), Computer Engineering (CECN), Computer Science (CPSC), Data Engineering (DATA), Electrical Engineering (ELEN), Electronic Systems Engineering Technology (ESET), Environmental Engineering (EVEN), Manufacturing and Mechanical Engineering Technology (MMET), Mechanical Engineering (MEEN), Petroleum Engineering (PETE)</t>
  </si>
  <si>
    <t>K9</t>
  </si>
  <si>
    <t>Aug 05, 2025, 4:05 PM</t>
  </si>
  <si>
    <t>Civil and Environmental Engineering (CVEN), Electrical Engineering (ELEN), Industrial and Systems Engineering (ISEN), Mechanical Engineering (MEEN), Petroleum Engineering (PETE)</t>
  </si>
  <si>
    <t>E24</t>
  </si>
  <si>
    <t>Apr 16, 2025, 7:57 AM</t>
  </si>
  <si>
    <t>Argonne National Laboratory Radiological Protection Division</t>
  </si>
  <si>
    <t>Kristin Dillon</t>
  </si>
  <si>
    <t>kdillon@anl.gov</t>
  </si>
  <si>
    <t>(708)254-4808</t>
  </si>
  <si>
    <t>M26</t>
  </si>
  <si>
    <t>Jul 02, 2025, 2:56 PM</t>
  </si>
  <si>
    <t>Phillip Weaver</t>
  </si>
  <si>
    <t>Chemical Engineering (CHEN), Civil and Environmental Engineering (CVEN), Electrical Engineering (ELEN), Materials Science and Engineering (MSEN), Mechanical Engineering (MEEN), Petroleum Engineering (PETE)</t>
  </si>
  <si>
    <t>I20</t>
  </si>
  <si>
    <t>Jul 29, 2025, 10:43 AM</t>
  </si>
  <si>
    <t>Arm, Inc.</t>
  </si>
  <si>
    <t>Imad Georges Badran</t>
  </si>
  <si>
    <t>imadgeorges.badran@arm.com</t>
  </si>
  <si>
    <t>Computer Engineering (CECN), Computer Science (CPSC), Data Engineering (DATA), Electrical Engineering (ELEN), Electronic Systems Engineering Technology (ESET)</t>
  </si>
  <si>
    <t>I30</t>
  </si>
  <si>
    <t>Apr 16, 2025, 9:54 AM</t>
  </si>
  <si>
    <t>Ascendmaterials</t>
  </si>
  <si>
    <t>Katie H Pickle</t>
  </si>
  <si>
    <t>snelso1@ascendmaterials.com</t>
  </si>
  <si>
    <t>469-579-8008</t>
  </si>
  <si>
    <t>L9</t>
  </si>
  <si>
    <t>Aug 28, 2025, 1:05 PM</t>
  </si>
  <si>
    <t>Architectural Engineering (AREN), Civil and Environmental Engineering (CVEN), Environmental Engineering (EVEN), Industrial and Systems Engineering (ISEN), Mechanical Engineering (MEEN)</t>
  </si>
  <si>
    <t>Apr 22, 2025, 11:36 AM</t>
  </si>
  <si>
    <t>Chemical Engineering (CHEN), Computer Engineering (CECN), Computer Science (CPSC), Data Engineering (DATA), Electrical Engineering (ELEN), Electronic Systems Engineering Technology (ESET), Industrial and Systems Engineering (ISEN), Manufacturing and Mechanical Engineering Technology (MMET), Mechanical Engineering (MEEN), Petroleum Engineering (PETE)</t>
  </si>
  <si>
    <t>Jul 21, 2025, 3:27 PM</t>
  </si>
  <si>
    <t>Brian Nelson</t>
  </si>
  <si>
    <t>brian.nelson@atmosenergy.com</t>
  </si>
  <si>
    <t>214-850-1639</t>
  </si>
  <si>
    <t>Chemical Engineering (CHEN), Civil and Environmental Engineering (CVEN), Electrical Engineering (ELEN), Mechanical Engineering (MEEN)</t>
  </si>
  <si>
    <t>M18</t>
  </si>
  <si>
    <t>Apr 16, 2025, 8:22 AM</t>
  </si>
  <si>
    <t>ATS Drilling, LP</t>
  </si>
  <si>
    <t>Kristin Henry</t>
  </si>
  <si>
    <t>khenry@atsdrilling.com</t>
  </si>
  <si>
    <t>817-805-7618</t>
  </si>
  <si>
    <t>P23</t>
  </si>
  <si>
    <t>Aug 20, 2025, 2:48 PM</t>
  </si>
  <si>
    <t>Civil and Environmental Engineering (CVEN), Electrical Engineering (ELEN), Mechanical Engineering (MEEN), Petroleum Engineering (PETE)</t>
  </si>
  <si>
    <t>Silver One-Day: Wednesday, September 10th [$1800.00]</t>
  </si>
  <si>
    <t>Apr 24, 2025, 2:19 PM</t>
  </si>
  <si>
    <t>P11</t>
  </si>
  <si>
    <t>Apr 29, 2025, 2:18 PM</t>
  </si>
  <si>
    <t>Jesus Flores</t>
  </si>
  <si>
    <t>jesusflores@austin-ind.com</t>
  </si>
  <si>
    <t>May 29, 2025, 11:23 AM</t>
  </si>
  <si>
    <t>Axis Pipe and Tube</t>
  </si>
  <si>
    <t>Thannya Castro</t>
  </si>
  <si>
    <t>thannya.castro@axispipeandtube.com</t>
  </si>
  <si>
    <t>Electrical Engineering (ELEN), Electronic Systems Engineering Technology (ESET), Manufacturing and Mechanical Engineering Technology (MMET), Materials Science and Engineering (MSEN), Mechanical Engineering (MEEN)</t>
  </si>
  <si>
    <t>M3</t>
  </si>
  <si>
    <t>Bachoco OK Foods</t>
  </si>
  <si>
    <t>Edward Merida</t>
  </si>
  <si>
    <t>edward.merida@okfoods.com</t>
  </si>
  <si>
    <t>Biological and Agricultural Engineering (BAEN), Chemical Engineering (CHEN), Electrical Engineering (ELEN), Environmental Engineering (EVEN), Industrial Distribution (IDIS), Industrial and Systems Engineering (ISEN), Manufacturing and Mechanical Engineering Technology (MMET), Materials Science and Engineering (MSEN), Mechanical Engineering (MEEN), Multidisciplinary Engineering Technology (MXET)</t>
  </si>
  <si>
    <t>May 23, 2025, 4:08 PM</t>
  </si>
  <si>
    <t>Resa Millsap</t>
  </si>
  <si>
    <t>Architectural Engineering (AREN), Civil and Environmental Engineering (CVEN), Electrical Engineering (ELEN), Mechanical Engineering (MEEN)</t>
  </si>
  <si>
    <t>O27</t>
  </si>
  <si>
    <t>Apr 16, 2025, 8:19 AM</t>
  </si>
  <si>
    <t>Baker Engineering and Risk Consultants, Inc.</t>
  </si>
  <si>
    <t>Laurie Rodriguez</t>
  </si>
  <si>
    <t>Recruiting@bakerrisk.com</t>
  </si>
  <si>
    <t>Architectural Engineering (AREN), Chemical Engineering (CHEN), Civil and Environmental Engineering (CVEN), Computer Science (CPSC), Materials Science and Engineering (MSEN), Mechanical Engineering (MEEN), Nuclear Engineering (NUEN)</t>
  </si>
  <si>
    <t>O7</t>
  </si>
  <si>
    <t>Apr 16, 2025, 8:21 AM</t>
  </si>
  <si>
    <t>Chemical Engineering (CHEN), Computer Science (CPSC), Manufacturing and Mechanical Engineering Technology (MMET), Mechanical Engineering (MEEN), Petroleum Engineering (PETE)</t>
  </si>
  <si>
    <t>N27, N28</t>
  </si>
  <si>
    <t>Aug 06, 2025, 10:35 AM</t>
  </si>
  <si>
    <t>Kalynn Danielle Quinones</t>
  </si>
  <si>
    <t>Civil and Environmental Engineering (CVEN), Mechanical Engineering (MEEN)</t>
  </si>
  <si>
    <t>O30</t>
  </si>
  <si>
    <t>Jun 04, 2025, 11:28 AM</t>
  </si>
  <si>
    <t>BASF Corporation</t>
  </si>
  <si>
    <t>Cami Alvarez</t>
  </si>
  <si>
    <t>naidely.alvarez@basf.com</t>
  </si>
  <si>
    <t>Silver One-Day: Thursday, September 11th [$1800.00]</t>
  </si>
  <si>
    <t>M9</t>
  </si>
  <si>
    <t>Aug 08, 2025, 9:03 AM</t>
  </si>
  <si>
    <t>Bauer Foundation Corporation</t>
  </si>
  <si>
    <t>Gene Houghton</t>
  </si>
  <si>
    <t>eugene.houghton@bauerfoundations.com</t>
  </si>
  <si>
    <t>O15</t>
  </si>
  <si>
    <t>Jun 02, 2025, 10:18 AM</t>
  </si>
  <si>
    <t>Baxter &amp; Woodman, Inc.</t>
  </si>
  <si>
    <t>Cait Medina</t>
  </si>
  <si>
    <t>cmedina@baxterwoodman.com</t>
  </si>
  <si>
    <t>Civil and Environmental Engineering (CVEN), Electrical Engineering (ELEN), Environmental Engineering (EVEN)</t>
  </si>
  <si>
    <t>K22</t>
  </si>
  <si>
    <t>Apr 16, 2025, 5:01 PM</t>
  </si>
  <si>
    <t>Bayer U.S.</t>
  </si>
  <si>
    <t>Jasmin Gonzalez</t>
  </si>
  <si>
    <t>bayer@nc3.com</t>
  </si>
  <si>
    <t>401-862-1647</t>
  </si>
  <si>
    <t>Aerospace Engineering (AERO), Architectural Engineering (AREN), Biological and Agricultural Engineering (BAEN), Biomedical Engineering (BMEN), Chemical Engineering (CHEN), Civil and Environmental Engineering (CVEN), Computer Engineering (CECN), Computer Science (CPSC), Data Engineering (DATA), Electrical Engineering (ELEN), Electronic Systems Engineering Technology (ESET), Environmental Engineering (EVEN), Industrial Distribution (IDIS), Industrial and Systems Engineering (ISEN), Manufacturing and Mechanical Engineering Technology (MMET), Materials Science and Engineering (MSEN), Mechanical Engineering (MEEN), Multidisciplinary Engineering Technology (MXET), Nuclear Engineering (NUEN), Ocean Engineering (OCEN), Petroleum Engineering (PETE)</t>
  </si>
  <si>
    <t>Jun 17, 2025, 8:14 AM</t>
  </si>
  <si>
    <t>Baystar Bayport Polymers, LLC</t>
  </si>
  <si>
    <t>Christina Martinez</t>
  </si>
  <si>
    <t>christina.martinez@baystar.com</t>
  </si>
  <si>
    <t>K24</t>
  </si>
  <si>
    <t>Apr 24, 2025, 9:17 AM</t>
  </si>
  <si>
    <t>Paul Zurlinden</t>
  </si>
  <si>
    <t>p.zurlinden@beckhoff.com</t>
  </si>
  <si>
    <t>Biomedical Engineering (BMEN), Computer Engineering (CECN), Electrical Engineering (ELEN), Electronic Systems Engineering Technology (ESET), Industrial and Systems Engineering (ISEN), Manufacturing and Mechanical Engineering Technology (MMET), Mechanical Engineering (MEEN), Multidisciplinary Engineering Technology (MXET)</t>
  </si>
  <si>
    <t>Apr 16, 2025, 10:05 AM</t>
  </si>
  <si>
    <t>Benesch</t>
  </si>
  <si>
    <t>Lisa Q. Zhou</t>
  </si>
  <si>
    <t>talentacquisition@benesch.com</t>
  </si>
  <si>
    <t>I16</t>
  </si>
  <si>
    <t>Apr 24, 2025, 6:24 PM</t>
  </si>
  <si>
    <t>jennifer.johnson@bernhard.com</t>
  </si>
  <si>
    <t>Data Engineering (DATA), Electrical Engineering (ELEN), Mechanical Engineering (MEEN)</t>
  </si>
  <si>
    <t>D10</t>
  </si>
  <si>
    <t>Apr 16, 2025, 8:05 AM</t>
  </si>
  <si>
    <t>recruiting@bgeinc.com</t>
  </si>
  <si>
    <t>I26, I27</t>
  </si>
  <si>
    <t>Apr 16, 2025, 8:14 AM</t>
  </si>
  <si>
    <t>Bimbo Bakeries USA</t>
  </si>
  <si>
    <t>Jackie Spinosa</t>
  </si>
  <si>
    <t>215-582-6329</t>
  </si>
  <si>
    <t>Architectural Engineering (AREN), Chemical Engineering (CHEN), Environmental Engineering (EVEN), Industrial and Systems Engineering (ISEN), Materials Science and Engineering (MSEN)</t>
  </si>
  <si>
    <t>Aug 21, 2025, 3:06 PM</t>
  </si>
  <si>
    <t>Bitkernel Technology Inc</t>
  </si>
  <si>
    <t>Valentina Sanchez</t>
  </si>
  <si>
    <t>valentina.sanchez@bitkernel.com</t>
  </si>
  <si>
    <t>Computer Engineering (CECN), Computer Science (CPSC), Electronic Systems Engineering Technology (ESET)</t>
  </si>
  <si>
    <t>Aug 01, 2025, 12:56 PM</t>
  </si>
  <si>
    <t>hoganmc@bv.com</t>
  </si>
  <si>
    <t>913-458-4192</t>
  </si>
  <si>
    <t>Architectural Engineering (AREN), Chemical Engineering (CHEN), Civil and Environmental Engineering (CVEN), Electrical Engineering (ELEN), Environmental Engineering (EVEN)</t>
  </si>
  <si>
    <t>Apr 16, 2025, 9:01 AM</t>
  </si>
  <si>
    <t>Civil and Environmental Engineering (CVEN), Computer Science (CPSC), Data Engineering (DATA), Electrical Engineering (ELEN), Environmental Engineering (EVEN), Industrial and Systems Engineering (ISEN), Manufacturing and Mechanical Engineering Technology (MMET), Mechanical Engineering (MEEN)</t>
  </si>
  <si>
    <t>E10</t>
  </si>
  <si>
    <t>Jul 18, 2025, 3:17 PM</t>
  </si>
  <si>
    <t>Dorie York</t>
  </si>
  <si>
    <t>dorie.york@bwpipelines.com</t>
  </si>
  <si>
    <t>512-538-5705</t>
  </si>
  <si>
    <t>K23</t>
  </si>
  <si>
    <t>Jul 29, 2025, 1:45 PM</t>
  </si>
  <si>
    <t>Bodycote</t>
  </si>
  <si>
    <t>Marcie Vargas</t>
  </si>
  <si>
    <t>marcie.vargas@bodycote.com</t>
  </si>
  <si>
    <t>Jul 21, 2025, 12:02 PM</t>
  </si>
  <si>
    <t>nick@bo-engineering.com</t>
  </si>
  <si>
    <t>(512) 632-7509</t>
  </si>
  <si>
    <t>Apr 16, 2025, 9:29 AM</t>
  </si>
  <si>
    <t>Casandra Catache</t>
  </si>
  <si>
    <t>casandra.catache@bowman.com</t>
  </si>
  <si>
    <t>Architectural Engineering (AREN), Civil and Environmental Engineering (CVEN), Environmental Engineering (EVEN)</t>
  </si>
  <si>
    <t>Jul 24, 2025, 9:41 AM</t>
  </si>
  <si>
    <t>BP America Inc. (Gold Partner)</t>
  </si>
  <si>
    <t>Nancy Cohen</t>
  </si>
  <si>
    <t>nancy.cohen@bp.com</t>
  </si>
  <si>
    <t>312-502-5311</t>
  </si>
  <si>
    <t>Chemical Engineering (CHEN), Civil and Environmental Engineering (CVEN), Computer Engineering (CECN), Computer Science (CPSC), Data Engineering (DATA), Electrical Engineering (ELEN), Materials Science and Engineering (MSEN), Mechanical Engineering (MEEN), Petroleum Engineering (PETE)</t>
  </si>
  <si>
    <t>Maroon One-Day: Wednesday, September 10th [$6500.00]</t>
  </si>
  <si>
    <t>K20, K21, K22, K23</t>
  </si>
  <si>
    <t>Apr 16, 2025, 8:10 AM</t>
  </si>
  <si>
    <t>Aerospace Engineering (AERO), Electrical Engineering (ELEN), Industrial Distribution (IDIS), Industrial and Systems Engineering (ISEN), Manufacturing and Mechanical Engineering Technology (MMET), Mechanical Engineering (MEEN)</t>
  </si>
  <si>
    <t>N4, N5</t>
  </si>
  <si>
    <t>May 12, 2025, 10:25 AM</t>
  </si>
  <si>
    <t>Rosa Escalera</t>
  </si>
  <si>
    <t>rescalera@brocksolutions.com</t>
  </si>
  <si>
    <t>Computer Engineering (CECN), Computer Science (CPSC), Electrical Engineering (ELEN), Manufacturing and Mechanical Engineering Technology (MMET), Mechanical Engineering (MEEN), Multidisciplinary Engineering Technology (MXET)</t>
  </si>
  <si>
    <t>O18</t>
  </si>
  <si>
    <t>Apr 16, 2025, 3:45 PM</t>
  </si>
  <si>
    <t>Broken Arrow Economic Development Corporation</t>
  </si>
  <si>
    <t>DeAndre Fahie</t>
  </si>
  <si>
    <t>deandre.fahie@bachamber.com</t>
  </si>
  <si>
    <t>Aerospace Engineering (AERO), Computer Engineering (CECN), Computer Science (CPSC), Manufacturing and Mechanical Engineering Technology (MMET), Mechanical Engineering (MEEN)</t>
  </si>
  <si>
    <t>May 12, 2025, 3:59 PM</t>
  </si>
  <si>
    <t>Joe Paredes</t>
  </si>
  <si>
    <t>Electrical Engineering (ELEN), Electronic Systems Engineering Technology (ESET), Mechanical Engineering (MEEN)</t>
  </si>
  <si>
    <t>Apr 24, 2025, 2:40 PM</t>
  </si>
  <si>
    <t>979-204-4066</t>
  </si>
  <si>
    <t>Apr 21, 2025, 8:30 AM</t>
  </si>
  <si>
    <t>Bryant Consultants</t>
  </si>
  <si>
    <t>Corey Shauger</t>
  </si>
  <si>
    <t>cshauger@geoneering.com</t>
  </si>
  <si>
    <t>(713) 204-0703</t>
  </si>
  <si>
    <t>Architectural Engineering (AREN), Civil and Environmental Engineering (CVEN)</t>
  </si>
  <si>
    <t>J26</t>
  </si>
  <si>
    <t>Jul 30, 2025, 9:59 AM</t>
  </si>
  <si>
    <t>Buckeye Partners</t>
  </si>
  <si>
    <t>Kristy Phillips</t>
  </si>
  <si>
    <t>krphillips@buckeye.com</t>
  </si>
  <si>
    <t>Chemical Engineering (CHEN), Civil and Environmental Engineering (CVEN), Electrical Engineering (ELEN), Environmental Engineering (EVEN), Industrial and Systems Engineering (ISEN), Materials Science and Engineering (MSEN), Mechanical Engineering (MEEN), Petroleum Engineering (PETE)</t>
  </si>
  <si>
    <t>O13</t>
  </si>
  <si>
    <t>Aug 07, 2025, 9:42 AM</t>
  </si>
  <si>
    <t>Building Crafts, Inc.</t>
  </si>
  <si>
    <t>Patricia Figueroa</t>
  </si>
  <si>
    <t>receptionist@buildingcrafts.com</t>
  </si>
  <si>
    <t>513-258-1710</t>
  </si>
  <si>
    <t>O11</t>
  </si>
  <si>
    <t>Jun 02, 2025, 3:54 PM</t>
  </si>
  <si>
    <t>Shefali Vaid</t>
  </si>
  <si>
    <t>svaid@burnsmcd.com</t>
  </si>
  <si>
    <t>H19, H20</t>
  </si>
  <si>
    <t>Apr 16, 2025, 7:52 AM</t>
  </si>
  <si>
    <t>Burns Engineering</t>
  </si>
  <si>
    <t>Julia Scott</t>
  </si>
  <si>
    <t>jscott@burns-group.com</t>
  </si>
  <si>
    <t>Computer Engineering (CECN), Electrical Engineering (ELEN), Electronic Systems Engineering Technology (ESET), Mechanical Engineering (MEEN)</t>
  </si>
  <si>
    <t>May 20, 2025, 9:14 AM</t>
  </si>
  <si>
    <t>We will provide this when we choose a rep.</t>
  </si>
  <si>
    <t>Apr 16, 2025, 8:15 AM</t>
  </si>
  <si>
    <t>706.881.3749</t>
  </si>
  <si>
    <t>Chemical Engineering (CHEN), Civil and Environmental Engineering (CVEN), Computer Engineering (CECN), Computer Science (CPSC), Electrical Engineering (ELEN), Electronic Systems Engineering Technology (ESET), Manufacturing and Mechanical Engineering Technology (MMET), Mechanical Engineering (MEEN), Multidisciplinary Engineering Technology (MXET)</t>
  </si>
  <si>
    <t>Jun 23, 2025, 2:17 PM</t>
  </si>
  <si>
    <t>C. Tumey Law Group PLLC</t>
  </si>
  <si>
    <t>Jacqueline Stevenson</t>
  </si>
  <si>
    <t>jstevenson@ctumeylawgroup.com</t>
  </si>
  <si>
    <t>281-794-2982</t>
  </si>
  <si>
    <t>Chemical Engineering (CHEN), Computer Engineering (CECN), Electrical Engineering (ELEN), Mechanical Engineering (MEEN)</t>
  </si>
  <si>
    <t>J4</t>
  </si>
  <si>
    <t>Jul 18, 2025, 6:13 PM</t>
  </si>
  <si>
    <t>CACI-NASA Johnson Space Center</t>
  </si>
  <si>
    <t>Daniel Erdberg</t>
  </si>
  <si>
    <t>daniel.erdberg@caci.com</t>
  </si>
  <si>
    <t>832-567-4427</t>
  </si>
  <si>
    <t>Aerospace Engineering (AERO), Computer Engineering (CECN), Electrical Engineering (ELEN), Electronic Systems Engineering Technology (ESET), Mechanical Engineering (MEEN)</t>
  </si>
  <si>
    <t>B27</t>
  </si>
  <si>
    <t>Apr 16, 2025, 8:47 AM</t>
  </si>
  <si>
    <t>Heather Humalainen Randall</t>
  </si>
  <si>
    <t>hrrecruitment@calpine.com</t>
  </si>
  <si>
    <t>Chemical Engineering (CHEN), Computer Engineering (CECN), Electrical Engineering (ELEN), Electronic Systems Engineering Technology (ESET), Manufacturing and Mechanical Engineering Technology (MMET), Mechanical Engineering (MEEN)</t>
  </si>
  <si>
    <t>Q3</t>
  </si>
  <si>
    <t>Jun 10, 2025, 11:19 AM</t>
  </si>
  <si>
    <t>Chemical Engineering (CHEN), Civil and Environmental Engineering (CVEN), Electrical Engineering (ELEN), Manufacturing and Mechanical Engineering Technology (MMET), Mechanical Engineering (MEEN), Multidisciplinary Engineering Technology (MXET)</t>
  </si>
  <si>
    <t>O4</t>
  </si>
  <si>
    <t>Apr 16, 2025, 9:55 AM</t>
  </si>
  <si>
    <t>Kelley Rice</t>
  </si>
  <si>
    <t>kelley.rice@capco.com</t>
  </si>
  <si>
    <t>Chemical Engineering (CHEN), Computer Engineering (CECN), Computer Science (CPSC), Data Engineering (DATA), Electrical Engineering (ELEN), Electronic Systems Engineering Technology (ESET), Industrial Distribution (IDIS), Industrial and Systems Engineering (ISEN), Mechanical Engineering (MEEN), Multidisciplinary Engineering Technology (MXET), Petroleum Engineering (PETE)</t>
  </si>
  <si>
    <t>Apr 17, 2025, 9:43 AM</t>
  </si>
  <si>
    <t>Capital One</t>
  </si>
  <si>
    <t>Emily Batchelder</t>
  </si>
  <si>
    <t>emily.batchelder@capitalone.com</t>
  </si>
  <si>
    <t>Biomedical Engineering (BMEN), Chemical Engineering (CHEN), Civil and Environmental Engineering (CVEN), Computer Engineering (CECN), Computer Science (CPSC), Data Engineering (DATA), Electrical Engineering (ELEN), Electronic Systems Engineering Technology (ESET), Environmental Engineering (EVEN), Industrial and Systems Engineering (ISEN), Materials Science and Engineering (MSEN), Mechanical Engineering (MEEN), Multidisciplinary Engineering Technology (MXET)</t>
  </si>
  <si>
    <t>Jul 24, 2025, 3:38 PM</t>
  </si>
  <si>
    <t>Capitol Aggregates</t>
  </si>
  <si>
    <t>Lindsay Hartman</t>
  </si>
  <si>
    <t>lindsay.hartman@capitolaggregates.com</t>
  </si>
  <si>
    <t>256.808.5422</t>
  </si>
  <si>
    <t>P30</t>
  </si>
  <si>
    <t>Apr 24, 2025, 11:35 AM</t>
  </si>
  <si>
    <t>D14</t>
  </si>
  <si>
    <t>Apr 16, 2025, 11:53 AM</t>
  </si>
  <si>
    <t>capSpire</t>
  </si>
  <si>
    <t>Taylor Hauger</t>
  </si>
  <si>
    <t>taylor.hauger@capspire.com</t>
  </si>
  <si>
    <t>712-202-4351</t>
  </si>
  <si>
    <t>Computer Science (CPSC), Data Engineering (DATA), Industrial and Systems Engineering (ISEN), Mechanical Engineering (MEEN), Petroleum Engineering (PETE)</t>
  </si>
  <si>
    <t>E22</t>
  </si>
  <si>
    <t>Apr 16, 2025, 8:20 AM</t>
  </si>
  <si>
    <t>Biological and Agricultural Engineering (BAEN), Chemical Engineering (CHEN), Environmental Engineering (EVEN), Mechanical Engineering (MEEN)</t>
  </si>
  <si>
    <t>C16, C17</t>
  </si>
  <si>
    <t>Apr 16, 2025, 7:59 AM</t>
  </si>
  <si>
    <t>Civil and Environmental Engineering (CVEN), Environmental Engineering (EVEN), Mechanical Engineering (MEEN)</t>
  </si>
  <si>
    <t>Aug 19, 2025, 11:53 AM</t>
  </si>
  <si>
    <t>Chemical Engineering (CHEN), Civil and Environmental Engineering (CVEN), Computer Engineering (CECN), Computer Science (CPSC), Data Engineering (DATA), Electrical Engineering (ELEN), Electronic Systems Engineering Technology (ESET), Environmental Engineering (EVEN), Industrial and Systems Engineering (ISEN), Manufacturing and Mechanical Engineering Technology (MMET), Materials Science and Engineering (MSEN), Mechanical Engineering (MEEN), Multidisciplinary Engineering Technology (MXET), Nuclear Engineering (NUEN)</t>
  </si>
  <si>
    <t>D4, D5</t>
  </si>
  <si>
    <t>May 02, 2025, 10:14 AM</t>
  </si>
  <si>
    <t>Apr 16, 2025, 9:03 AM</t>
  </si>
  <si>
    <t>K21</t>
  </si>
  <si>
    <t>Jul 28, 2025, 3:10 PM</t>
  </si>
  <si>
    <t>Celanese</t>
  </si>
  <si>
    <t>Jacqueline Hall</t>
  </si>
  <si>
    <t>jacqueline1.hall@celanese.com</t>
  </si>
  <si>
    <t>Chemical Engineering (CHEN), Computer Science (CPSC), Electrical Engineering (ELEN), Mechanical Engineering (MEEN)</t>
  </si>
  <si>
    <t>M12</t>
  </si>
  <si>
    <t>Jul 17, 2025, 3:31 PM</t>
  </si>
  <si>
    <t>Civil and Environmental Engineering (CVEN), Computer Engineering (CECN), Computer Science (CPSC), Data Engineering (DATA), Electrical Engineering (ELEN), Mechanical Engineering (MEEN)</t>
  </si>
  <si>
    <t>Cerris</t>
  </si>
  <si>
    <t>Hannah Vanderpool</t>
  </si>
  <si>
    <t>hvanderpool@cerris.com</t>
  </si>
  <si>
    <t>Jun 23, 2025, 9:48 AM</t>
  </si>
  <si>
    <t>Computer Engineering (CECN), Electrical Engineering (ELEN), Industrial and Systems Engineering (ISEN), Manufacturing and Mechanical Engineering Technology (MMET), Mechanical Engineering (MEEN)</t>
  </si>
  <si>
    <t>Apr 16, 2025, 7:41 AM</t>
  </si>
  <si>
    <t>Aerospace Engineering (AERO), Chemical Engineering (CHEN), Electrical Engineering (ELEN), Electronic Systems Engineering Technology (ESET), Industrial and Systems Engineering (ISEN), Manufacturing and Mechanical Engineering Technology (MMET), Mechanical Engineering (MEEN)</t>
  </si>
  <si>
    <t>Jul 16, 2025, 9:00 AM</t>
  </si>
  <si>
    <t>Chemours Company</t>
  </si>
  <si>
    <t>Najwa Corum</t>
  </si>
  <si>
    <t>najwa.corum@chemours.com</t>
  </si>
  <si>
    <t>Chemical Engineering (CHEN), Civil and Environmental Engineering (CVEN), Electrical Engineering (ELEN), Manufacturing and Mechanical Engineering Technology (MMET), Materials Science and Engineering (MSEN)</t>
  </si>
  <si>
    <t>P24</t>
  </si>
  <si>
    <t>Aug 01, 2025, 2:28 PM</t>
  </si>
  <si>
    <t>Chevron Corporation (Platinum Partner)</t>
  </si>
  <si>
    <t>Tracy Aubrey</t>
  </si>
  <si>
    <t>ehevents@chevron.com</t>
  </si>
  <si>
    <t>832-368-2370</t>
  </si>
  <si>
    <t>Civil and Environmental Engineering (CVEN), Computer Engineering (CECN), Computer Science (CPSC), Industrial and Systems Engineering (ISEN), Petroleum Engineering (PETE)</t>
  </si>
  <si>
    <t>May 16, 2025, 4:41 PM</t>
  </si>
  <si>
    <t>Chevron Phillips Chemical Company - The Woodlands, TX</t>
  </si>
  <si>
    <t>Jenna Butler</t>
  </si>
  <si>
    <t>butlej@cpchem.com</t>
  </si>
  <si>
    <t>J1, J2</t>
  </si>
  <si>
    <t>Apr 28, 2025, 11:55 AM</t>
  </si>
  <si>
    <t>CITGO Refining &amp; Chemical</t>
  </si>
  <si>
    <t>Emily Wipperfurth</t>
  </si>
  <si>
    <t>ewipper@citgo.com</t>
  </si>
  <si>
    <t>361-655-0921</t>
  </si>
  <si>
    <t>L24. L25. L26, L27</t>
  </si>
  <si>
    <t>Apr 16, 2025, 8:31 AM</t>
  </si>
  <si>
    <t>Jul 03, 2025, 12:13 PM</t>
  </si>
  <si>
    <t>CLS Industrial Purification</t>
  </si>
  <si>
    <t>Emma Mendakis</t>
  </si>
  <si>
    <t>emendakis@clsind.com</t>
  </si>
  <si>
    <t>Chemical Engineering (CHEN), Manufacturing and Mechanical Engineering Technology (MMET), Mechanical Engineering (MEEN), Petroleum Engineering (PETE)</t>
  </si>
  <si>
    <t>Jun 18, 2025, 11:20 AM</t>
  </si>
  <si>
    <t>Rhonda L Hennessy</t>
  </si>
  <si>
    <t>ur@cmta.com</t>
  </si>
  <si>
    <t>P10</t>
  </si>
  <si>
    <t>Jun 10, 2025, 2:57 PM</t>
  </si>
  <si>
    <t>CNS/Y-12 National Security Complex</t>
  </si>
  <si>
    <t>Amber Wicks</t>
  </si>
  <si>
    <t>amber.wicks@y12nsc.doe.gov</t>
  </si>
  <si>
    <t>865-809-3632</t>
  </si>
  <si>
    <t>Chemical Engineering (CHEN), Civil and Environmental Engineering (CVEN), Computer Engineering (CECN), Computer Science (CPSC), Electrical Engineering (ELEN), Electronic Systems Engineering Technology (ESET), Industrial and Systems Engineering (ISEN), Manufacturing and Mechanical Engineering Technology (MMET), Materials Science and Engineering (MSEN), Mechanical Engineering (MEEN), Nuclear Engineering (NUEN)</t>
  </si>
  <si>
    <t>Aug 04, 2025, 9:54 AM</t>
  </si>
  <si>
    <t>arnell.leslie@cobbfendley.com</t>
  </si>
  <si>
    <t>Apr 16, 2025, 7:54 AM</t>
  </si>
  <si>
    <t>Coffman Engineers, Inc.</t>
  </si>
  <si>
    <t>Stacy Nation</t>
  </si>
  <si>
    <t>stacy.nation@coffman.com</t>
  </si>
  <si>
    <t>Aug 11, 2025, 9:03 AM</t>
  </si>
  <si>
    <t>Apr 16, 2025, 8:01 AM</t>
  </si>
  <si>
    <t>ConocoPhillips (Gold Partner)</t>
  </si>
  <si>
    <t>Mary Jo Rogers</t>
  </si>
  <si>
    <t>MaryJo.Rogers@conocophillips.com</t>
  </si>
  <si>
    <t>(918) 440-0297</t>
  </si>
  <si>
    <t>Chemical Engineering (CHEN), Civil and Environmental Engineering (CVEN), Computer Engineering (CECN), Computer Science (CPSC), Electrical Engineering (ELEN), Mechanical Engineering (MEEN), Petroleum Engineering (PETE)</t>
  </si>
  <si>
    <t>Apr 16, 2025, 8:34 AM</t>
  </si>
  <si>
    <t>Carly Husband</t>
  </si>
  <si>
    <t>carly.husband@consoreng.com</t>
  </si>
  <si>
    <t>Jul 22, 2025, 2:26 PM</t>
  </si>
  <si>
    <t>Aerospace Engineering (AERO), Biological and Agricultural Engineering (BAEN), Biomedical Engineering (BMEN), Chemical Engineering (CHEN), Computer Engineering (CECN), Computer Science (CPSC), Data Engineering (DATA), Electrical Engineering (ELEN), Electronic Systems Engineering Technology (ESET), Industrial and Systems Engineering (ISEN), Manufacturing and Mechanical Engineering Technology (MMET), Materials Science and Engineering (MSEN), Mechanical Engineering (MEEN), Multidisciplinary Engineering Technology (MXET), Petroleum Engineering (PETE)</t>
  </si>
  <si>
    <t>L18</t>
  </si>
  <si>
    <t>Aug 13, 2025, 1:52 PM</t>
  </si>
  <si>
    <t>Continental Resources, Inc.</t>
  </si>
  <si>
    <t>Jennifer Thomas</t>
  </si>
  <si>
    <t>jennifer.thomas@clr.com</t>
  </si>
  <si>
    <t>405-446-1094</t>
  </si>
  <si>
    <t>Chemical Engineering (CHEN), Civil and Environmental Engineering (CVEN), Computer Science (CPSC), Environmental Engineering (EVEN), Mechanical Engineering (MEEN), Petroleum Engineering (PETE)</t>
  </si>
  <si>
    <t>K19</t>
  </si>
  <si>
    <t>Apr 21, 2025, 11:05 AM</t>
  </si>
  <si>
    <t>Cornerstone Building Brands</t>
  </si>
  <si>
    <t>Rachel Graham</t>
  </si>
  <si>
    <t>rachel.graham@cornerstone-bb.com</t>
  </si>
  <si>
    <t>Industrial and Systems Engineering (ISEN), Manufacturing and Mechanical Engineering Technology (MMET), Mechanical Engineering (MEEN)</t>
  </si>
  <si>
    <t>H22</t>
  </si>
  <si>
    <t>Aug 08, 2025, 2:55 PM</t>
  </si>
  <si>
    <t>Covestro LLC</t>
  </si>
  <si>
    <t>Jill Sobieralski</t>
  </si>
  <si>
    <t>jill.sobieralski@covestro.com</t>
  </si>
  <si>
    <t>Chemical Engineering (CHEN), Electrical Engineering (ELEN), Materials Science and Engineering (MSEN), Mechanical Engineering (MEEN)</t>
  </si>
  <si>
    <t>M28</t>
  </si>
  <si>
    <t>May 27, 2025, 10:20 AM</t>
  </si>
  <si>
    <t>CRB</t>
  </si>
  <si>
    <t>Cassie Barnes</t>
  </si>
  <si>
    <t>cassie.stultz@crbgroup.com</t>
  </si>
  <si>
    <t>Architectural Engineering (AREN), Chemical Engineering (CHEN), Electrical Engineering (ELEN), Mechanical Engineering (MEEN)</t>
  </si>
  <si>
    <t>N10</t>
  </si>
  <si>
    <t>Jun 24, 2025, 8:43 AM</t>
  </si>
  <si>
    <t>Credera</t>
  </si>
  <si>
    <t>Alexander kaiser</t>
  </si>
  <si>
    <t>alex.kaiser@credera.com</t>
  </si>
  <si>
    <t>Computer Engineering (CECN), Computer Science (CPSC)</t>
  </si>
  <si>
    <t>C9, C10</t>
  </si>
  <si>
    <t>May 20, 2025, 11:42 AM</t>
  </si>
  <si>
    <t>Cude Engineers</t>
  </si>
  <si>
    <t>Erin Saucedo</t>
  </si>
  <si>
    <t>careers@cudeengineers.com</t>
  </si>
  <si>
    <t>Apr 16, 2025, 12:37 PM</t>
  </si>
  <si>
    <t>Cushing Terrell</t>
  </si>
  <si>
    <t>SHANNON CASGAR-NELSON</t>
  </si>
  <si>
    <t>shannonnelson@cushingterrell.com</t>
  </si>
  <si>
    <t>May 16, 2025, 1:01 PM</t>
  </si>
  <si>
    <t>Daikin Comfort Technologies</t>
  </si>
  <si>
    <t>Nicole Seaton</t>
  </si>
  <si>
    <t>nicole.seaton@daikincomfort.com</t>
  </si>
  <si>
    <t>Computer Engineering (CECN), Computer Science (CPSC), Data Engineering (DATA), Electrical Engineering (ELEN), Electronic Systems Engineering Technology (ESET), Environmental Engineering (EVEN), Industrial Distribution (IDIS), Industrial and Systems Engineering (ISEN), Manufacturing and Mechanical Engineering Technology (MMET), Mechanical Engineering (MEEN)</t>
  </si>
  <si>
    <t>P29</t>
  </si>
  <si>
    <t>Jun 24, 2025, 2:06 PM</t>
  </si>
  <si>
    <t>P9</t>
  </si>
  <si>
    <t>Jun 25, 2025, 11:56 AM</t>
  </si>
  <si>
    <t>Sarah Orth</t>
  </si>
  <si>
    <t>sorth@dallyassociates.com</t>
  </si>
  <si>
    <t>405-269-4700</t>
  </si>
  <si>
    <t>K12</t>
  </si>
  <si>
    <t>Apr 16, 2025, 9:27 AM</t>
  </si>
  <si>
    <t>Civil and Environmental Engineering (CVEN), Electrical Engineering (ELEN), Electronic Systems Engineering Technology (ESET)</t>
  </si>
  <si>
    <t>F28, F29</t>
  </si>
  <si>
    <t>May 13, 2025, 1:06 PM</t>
  </si>
  <si>
    <t>Datum Engineers + Datum Rios</t>
  </si>
  <si>
    <t>Margaret Button</t>
  </si>
  <si>
    <t>mbutton@datumengineers.com</t>
  </si>
  <si>
    <t>Apr 16, 2025, 8:39 AM</t>
  </si>
  <si>
    <t>DCS</t>
  </si>
  <si>
    <t>Ross Strozewski</t>
  </si>
  <si>
    <t>rstrozewski@dcs-engineering.com</t>
  </si>
  <si>
    <t>May 22, 2025, 12:23 PM</t>
  </si>
  <si>
    <t>De Nora Water Technologies</t>
  </si>
  <si>
    <t>Kayla Hollingsworth</t>
  </si>
  <si>
    <t>kayla.hollingsworth@denora.com</t>
  </si>
  <si>
    <t>979-739-5230</t>
  </si>
  <si>
    <t>Chemical Engineering (CHEN), Electrical Engineering (ELEN), Environmental Engineering (EVEN), Manufacturing and Mechanical Engineering Technology (MMET), Mechanical Engineering (MEEN)</t>
  </si>
  <si>
    <t>Jun 18, 2025, 4:12 PM</t>
  </si>
  <si>
    <t>Del Sol Food Company, Inc.</t>
  </si>
  <si>
    <t>Sandra Grieve</t>
  </si>
  <si>
    <t>sandra@briannas.com</t>
  </si>
  <si>
    <t>281-900-2125</t>
  </si>
  <si>
    <t>Electrical Engineering (ELEN), Manufacturing and Mechanical Engineering Technology (MMET), Mechanical Engineering (MEEN)</t>
  </si>
  <si>
    <t>Aug 11, 2025, 3:45 PM</t>
  </si>
  <si>
    <t>Allison Behrmann</t>
  </si>
  <si>
    <t>401-642-1706</t>
  </si>
  <si>
    <t>Computer Engineering (CECN/CEEN)</t>
  </si>
  <si>
    <t>Computer Engineering (CECN), Computer Science (CPSC), Electrical Engineering (ELEN), Mechanical Engineering (MEEN)</t>
  </si>
  <si>
    <t>D8, D9</t>
  </si>
  <si>
    <t>Delta Airlines</t>
  </si>
  <si>
    <t>Martha Whitt</t>
  </si>
  <si>
    <t>martha.whitt@delta.com</t>
  </si>
  <si>
    <t>Aerospace Engineering (AERO), Civil and Environmental Engineering (CVEN), Computer Engineering (CECN), Computer Science (CPSC), Electrical Engineering (ELEN), Industrial Distribution (IDIS), Industrial and Systems Engineering (ISEN), Materials Science and Engineering (MSEN), Mechanical Engineering (MEEN)</t>
  </si>
  <si>
    <t>Q1, Q2</t>
  </si>
  <si>
    <t>May 02, 2025, 1:32 PM</t>
  </si>
  <si>
    <t>Leticia Jimenez</t>
  </si>
  <si>
    <t>leticia.y.jimenez@dnv.com</t>
  </si>
  <si>
    <t>Aerospace Engineering (AERO), Chemical Engineering (CHEN), Civil and Environmental Engineering (CVEN), Electrical Engineering (ELEN), Manufacturing and Mechanical Engineering Technology (MMET), Mechanical Engineering (MEEN), Ocean Engineering (OCEN)</t>
  </si>
  <si>
    <t>P13</t>
  </si>
  <si>
    <t>Jul 01, 2025, 10:35 AM</t>
  </si>
  <si>
    <t>Carly Bessinger</t>
  </si>
  <si>
    <t>jobs@dmcinfo.com</t>
  </si>
  <si>
    <t>Computer Engineering (CECN), Electrical Engineering (ELEN), Manufacturing and Mechanical Engineering Technology (MMET), Mechanical Engineering (MEEN), Multidisciplinary Engineering Technology (MXET)</t>
  </si>
  <si>
    <t>Apr 23, 2025, 2:07 PM</t>
  </si>
  <si>
    <t>Dow inc.</t>
  </si>
  <si>
    <t>Kymberly Juettemeyer</t>
  </si>
  <si>
    <t>kajuettemeyer@dow.com</t>
  </si>
  <si>
    <t>Computer Science (CPSC), Electrical Engineering (ELEN), Industrial Distribution (IDIS), Industrial and Systems Engineering (ISEN), Mechanical Engineering (MEEN)</t>
  </si>
  <si>
    <t>M23</t>
  </si>
  <si>
    <t>Apr 21, 2025, 3:54 PM</t>
  </si>
  <si>
    <t>Draper</t>
  </si>
  <si>
    <t>Bernard Lin</t>
  </si>
  <si>
    <t>blin@draper.com</t>
  </si>
  <si>
    <t>Aerospace Engineering (AERO), Biological and Agricultural Engineering (BAEN), Biomedical Engineering (BMEN), Chemical Engineering (CHEN), Computer Engineering (CECN), Computer Science (CPSC), Data Engineering (DATA), Electrical Engineering (ELEN), Electronic Systems Engineering Technology (ESET), Industrial and Systems Engineering (ISEN), Materials Science and Engineering (MSEN), Mechanical Engineering (MEEN)</t>
  </si>
  <si>
    <t>O21</t>
  </si>
  <si>
    <t>Jul 07, 2025, 12:14 PM</t>
  </si>
  <si>
    <t>Architectural Engineering (AREN), Civil and Environmental Engineering (CVEN), Environmental Engineering (EVEN), Mechanical Engineering (MEEN)</t>
  </si>
  <si>
    <t>Gia Cammisa</t>
  </si>
  <si>
    <t>gcammisa@dynamicec.com</t>
  </si>
  <si>
    <t>201-983-9864</t>
  </si>
  <si>
    <t>M25</t>
  </si>
  <si>
    <t>Apr 16, 2025, 8:00 AM</t>
  </si>
  <si>
    <t>Industrial and Systems Engineering (ISEN), Mechanical Engineering (MEEN)</t>
  </si>
  <si>
    <t>N19</t>
  </si>
  <si>
    <t>Apr 28, 2025, 8:35 AM</t>
  </si>
  <si>
    <t>Joshua Munsart</t>
  </si>
  <si>
    <t>joshua.munsart@eastman.com</t>
  </si>
  <si>
    <t>(903) 235-3067</t>
  </si>
  <si>
    <t>K2, K3</t>
  </si>
  <si>
    <t>Apr 16, 2025, 4:57 PM</t>
  </si>
  <si>
    <t>Ecolab</t>
  </si>
  <si>
    <t>Lyndsy Urban</t>
  </si>
  <si>
    <t>lyndsy.urban@ecolab.com</t>
  </si>
  <si>
    <t>612-513-9948</t>
  </si>
  <si>
    <t>Environmental Engineering (EVEN), Industrial Distribution (IDIS), Industrial and Systems Engineering (ISEN)</t>
  </si>
  <si>
    <t>L18, L19</t>
  </si>
  <si>
    <t>Jul 08, 2025, 11:58 AM</t>
  </si>
  <si>
    <t>Electrical Engineering (ELEN), Electronic Systems Engineering Technology (ESET), Manufacturing and Mechanical Engineering Technology (MMET), Mechanical Engineering (MEEN)</t>
  </si>
  <si>
    <t>Apr 17, 2025, 2:33 PM</t>
  </si>
  <si>
    <t>EHRA</t>
  </si>
  <si>
    <t>iqra mirza</t>
  </si>
  <si>
    <t>imirza@ehra.team</t>
  </si>
  <si>
    <t>N14</t>
  </si>
  <si>
    <t>Jul 07, 2025, 4:07 PM</t>
  </si>
  <si>
    <t>Elbit Systems of America</t>
  </si>
  <si>
    <t>Jason Greer</t>
  </si>
  <si>
    <t>jason.greer@elbitsystems-us.com</t>
  </si>
  <si>
    <t>629-279-0479</t>
  </si>
  <si>
    <t>Aerospace Engineering (AERO), Computer Engineering (CECN), Computer Science (CPSC), Electrical Engineering (ELEN), Electronic Systems Engineering Technology (ESET), Industrial and Systems Engineering (ISEN), Manufacturing and Mechanical Engineering Technology (MMET), Materials Science and Engineering (MSEN), Mechanical Engineering (MEEN), Multidisciplinary Engineering Technology (MXET)</t>
  </si>
  <si>
    <t>D27, D28</t>
  </si>
  <si>
    <t>Apr 21, 2025, 1:42 PM</t>
  </si>
  <si>
    <t>Computer Engineering (CECN), Computer Science (CPSC), Data Engineering (DATA), Electrical Engineering (ELEN)</t>
  </si>
  <si>
    <t>D30</t>
  </si>
  <si>
    <t>Jul 02, 2025, 4:58 PM</t>
  </si>
  <si>
    <t>Eli Lilly and Company</t>
  </si>
  <si>
    <t>Maria Balbuena</t>
  </si>
  <si>
    <t>balbuena_maria_c@lilly.com</t>
  </si>
  <si>
    <t>Biomedical Engineering (BMEN), Chemical Engineering (CHEN), Materials Science and Engineering (MSEN)</t>
  </si>
  <si>
    <t>L1</t>
  </si>
  <si>
    <t>Aug 05, 2025, 10:36 AM</t>
  </si>
  <si>
    <t>ELM Microgrid</t>
  </si>
  <si>
    <t>Ross Oien</t>
  </si>
  <si>
    <t>roien@elm-ess.com</t>
  </si>
  <si>
    <t>Aug 01, 2025, 4:37 PM</t>
  </si>
  <si>
    <t>Emerson</t>
  </si>
  <si>
    <t>Nevy Mustafic</t>
  </si>
  <si>
    <t>nevy.mustafic@emerson.com</t>
  </si>
  <si>
    <t>Electronic Systems Engineering Technology (ESET)</t>
  </si>
  <si>
    <t>Biomedical Engineering (BMEN), Chemical Engineering (CHEN), Computer Engineering (CECN), Computer Science (CPSC), Electrical Engineering (ELEN), Electronic Systems Engineering Technology (ESET), Manufacturing and Mechanical Engineering Technology (MMET), Mechanical Engineering (MEEN)</t>
  </si>
  <si>
    <t>Jul 16, 2025, 9:23 AM</t>
  </si>
  <si>
    <t>ashley.garrison@eec-tx.com</t>
  </si>
  <si>
    <t>O9</t>
  </si>
  <si>
    <t>Apr 16, 2025, 12:08 PM</t>
  </si>
  <si>
    <t>Recruiting ENERCON</t>
  </si>
  <si>
    <t>Civil and Environmental Engineering (CVEN), Electrical Engineering (ELEN), Mechanical Engineering (MEEN)</t>
  </si>
  <si>
    <t>Jun 12, 2025, 12:16 PM</t>
  </si>
  <si>
    <t>Enerflex Energy Systems, Inc.</t>
  </si>
  <si>
    <t>Kayla Henderson</t>
  </si>
  <si>
    <t>khenderson@enerflex.com</t>
  </si>
  <si>
    <t>Chemical Engineering (CHEN), Industrial and Systems Engineering (ISEN), Manufacturing and Mechanical Engineering Technology (MMET), Mechanical Engineering (MEEN), Multidisciplinary Engineering Technology (MXET)</t>
  </si>
  <si>
    <t>M24</t>
  </si>
  <si>
    <t>Aug 25, 2025, 2:26 PM</t>
  </si>
  <si>
    <t>Jeannette Troup</t>
  </si>
  <si>
    <t>jeannette.troup@energytransfer.com</t>
  </si>
  <si>
    <t>Chemical Engineering (CHEN), Civil and Environmental Engineering (CVEN), Electrical Engineering (ELEN), Environmental Engineering (EVEN), Petroleum Engineering (PETE)</t>
  </si>
  <si>
    <t>K17, K18</t>
  </si>
  <si>
    <t>May 29, 2025, 6:59 AM</t>
  </si>
  <si>
    <t>Kyle Reese</t>
  </si>
  <si>
    <t>240-935-1594</t>
  </si>
  <si>
    <t>J25</t>
  </si>
  <si>
    <t>Apr 16, 2025, 8:17 AM</t>
  </si>
  <si>
    <t>Chemical Engineering (CHEN), Civil and Environmental Engineering (CVEN), Environmental Engineering (EVEN), Mechanical Engineering (MEEN), Petroleum Engineering (PETE)</t>
  </si>
  <si>
    <t>Apr 21, 2025, 10:32 AM</t>
  </si>
  <si>
    <t>Chemical Engineering (CHEN), Electrical Engineering (ELEN), Environmental Engineering (EVEN), Manufacturing and Mechanical Engineering Technology (MMET), Materials Science and Engineering (MSEN), Mechanical Engineering (MEEN)</t>
  </si>
  <si>
    <t>May 20, 2025, 8:38 AM</t>
  </si>
  <si>
    <t>Chemical Engineering (CHEN), Computer Engineering (CECN), Computer Science (CPSC), Data Engineering (DATA), Electrical Engineering (ELEN), Electronic Systems Engineering Technology (ESET), Mechanical Engineering (MEEN)</t>
  </si>
  <si>
    <t>O12, O13, O14, O15</t>
  </si>
  <si>
    <t>Jun 17, 2025, 12:32 PM</t>
  </si>
  <si>
    <t>M29, M30</t>
  </si>
  <si>
    <t>Jun 05, 2025, 4:32 PM</t>
  </si>
  <si>
    <t>608-630-0239</t>
  </si>
  <si>
    <t>D29</t>
  </si>
  <si>
    <t>May 30, 2025, 10:54 AM</t>
  </si>
  <si>
    <t>Epiroc</t>
  </si>
  <si>
    <t>Marisa Hettinger</t>
  </si>
  <si>
    <t>marisa.hettinger@epiroc.com</t>
  </si>
  <si>
    <t>Computer Science (CPSC), Electrical Engineering (ELEN), Electronic Systems Engineering Technology (ESET), Industrial and Systems Engineering (ISEN), Manufacturing and Mechanical Engineering Technology (MMET), Mechanical Engineering (MEEN)</t>
  </si>
  <si>
    <t>Aug 14, 2025, 1:29 PM</t>
  </si>
  <si>
    <t>Epsilon</t>
  </si>
  <si>
    <t>Izzie Pagano</t>
  </si>
  <si>
    <t>izzie.pagano@epsilon.com</t>
  </si>
  <si>
    <t>Computer Engineering (CECN), Computer Science (CPSC), Data Engineering (DATA)</t>
  </si>
  <si>
    <t>Aug 12, 2025, 12:31 PM</t>
  </si>
  <si>
    <t>Evonik</t>
  </si>
  <si>
    <t>Holly Bosher</t>
  </si>
  <si>
    <t>holly.bosher@evonik.com</t>
  </si>
  <si>
    <t>J9, J10</t>
  </si>
  <si>
    <t>Jul 08, 2025, 9:38 AM</t>
  </si>
  <si>
    <t>Exmar Offshore Company</t>
  </si>
  <si>
    <t>Seth Shupak</t>
  </si>
  <si>
    <t>sshupak@exmaroffshore.com</t>
  </si>
  <si>
    <t>Electrical Engineering (ELEN), Mechanical Engineering (MEEN), Ocean Engineering (OCEN), Petroleum Engineering (PETE)</t>
  </si>
  <si>
    <t>Aug 14, 2025, 3:59 PM</t>
  </si>
  <si>
    <t>ExxonMobil (Silver Partner)</t>
  </si>
  <si>
    <t>Brad Currie</t>
  </si>
  <si>
    <t>brad.currie@exxonmobil.com</t>
  </si>
  <si>
    <t>832.846.2546</t>
  </si>
  <si>
    <t>Chemical Engineering (CHEN), Civil and Environmental Engineering (CVEN), Data Engineering (DATA), Electrical Engineering (ELEN), Environmental Engineering (EVEN), Industrial and Systems Engineering (ISEN), Manufacturing and Mechanical Engineering Technology (MMET), Materials Science and Engineering (MSEN), Mechanical Engineering (MEEN), Multidisciplinary Engineering Technology (MXET), Ocean Engineering (OCEN), Petroleum Engineering (PETE)</t>
  </si>
  <si>
    <t>L13, L14, L15</t>
  </si>
  <si>
    <t>Apr 16, 2025, 2:55 PM</t>
  </si>
  <si>
    <t>N30</t>
  </si>
  <si>
    <t>Apr 16, 2025, 8:06 AM</t>
  </si>
  <si>
    <t>Farmers Electric Cooperative</t>
  </si>
  <si>
    <t>Paisley Zimmerman</t>
  </si>
  <si>
    <t>paisleyzimmerman@yahoo.com</t>
  </si>
  <si>
    <t>903-456-6596</t>
  </si>
  <si>
    <t>B14</t>
  </si>
  <si>
    <t>Aug 06, 2025, 9:01 AM</t>
  </si>
  <si>
    <t>P21</t>
  </si>
  <si>
    <t>Apr 16, 2025, 3:59 PM</t>
  </si>
  <si>
    <t>Antionette Meridth</t>
  </si>
  <si>
    <t>antionette.d-ctr.meridth@faa.gov</t>
  </si>
  <si>
    <t>817-222-4991</t>
  </si>
  <si>
    <t>I3, I4</t>
  </si>
  <si>
    <t>Apr 22, 2025, 1:44 PM</t>
  </si>
  <si>
    <t>Felsburg Holt &amp; Ullevig</t>
  </si>
  <si>
    <t>human.resources@fhueng.com</t>
  </si>
  <si>
    <t>720-200-8969</t>
  </si>
  <si>
    <t>Apr 16, 2025, 11:34 AM</t>
  </si>
  <si>
    <t>Fenagh Engineering and Testing</t>
  </si>
  <si>
    <t>Chris Fountas</t>
  </si>
  <si>
    <t>cfountas@fenaghengineering.com</t>
  </si>
  <si>
    <t>508-579-7528</t>
  </si>
  <si>
    <t>Civil and Environmental Engineering (CVEN), Materials Science and Engineering (MSEN)</t>
  </si>
  <si>
    <t>O5</t>
  </si>
  <si>
    <t>Aug 04, 2025, 11:46 AM</t>
  </si>
  <si>
    <t>OLGA LEON</t>
  </si>
  <si>
    <t>oleon@ferrovial.com</t>
  </si>
  <si>
    <t>Civil and Environmental Engineering (CVEN), Computer Engineering (CECN), Computer Science (CPSC), Data Engineering (DATA), Industrial and Systems Engineering (ISEN)</t>
  </si>
  <si>
    <t>H3, H4</t>
  </si>
  <si>
    <t>May 07, 2025, 5:00 AM</t>
  </si>
  <si>
    <t>Rubén Muñoz Martínez-BLanco</t>
  </si>
  <si>
    <t>rmunozmartinezblanco@ferrovial.com</t>
  </si>
  <si>
    <t>Civil and Environmental Engineering (CVEN), Computer Engineering (CECN), Computer Science (CPSC), Data Engineering (DATA), Industrial and Systems Engineering (ISEN), Materials Science and Engineering (MSEN), Multidisciplinary Engineering Technology (MXET)</t>
  </si>
  <si>
    <t>Apr 23, 2025, 3:42 AM</t>
  </si>
  <si>
    <t>Fervo Energy</t>
  </si>
  <si>
    <t>Joe Bisacca</t>
  </si>
  <si>
    <t>joe.bisacca@fervoenergy.com</t>
  </si>
  <si>
    <t>Chemical Engineering (CHEN), Electrical Engineering (ELEN), Mechanical Engineering (MEEN), Petroleum Engineering (PETE)</t>
  </si>
  <si>
    <t>FGF Brands Inc.</t>
  </si>
  <si>
    <t>Sam Sturges</t>
  </si>
  <si>
    <t>sam.sturges@fgfbrands.com</t>
  </si>
  <si>
    <t>416-721-5812</t>
  </si>
  <si>
    <t>Jul 11, 2025, 12:03 PM</t>
  </si>
  <si>
    <t>FieldCore, A GE Vernova company</t>
  </si>
  <si>
    <t>Yaritza De Luna</t>
  </si>
  <si>
    <t>yaritza.deluna@ge.com</t>
  </si>
  <si>
    <t>Q6</t>
  </si>
  <si>
    <t>Apr 22, 2025, 10:38 AM</t>
  </si>
  <si>
    <t>Cecilia Deatherage</t>
  </si>
  <si>
    <t>cecilia.deatherage@fireflyspace.com</t>
  </si>
  <si>
    <t>Aerospace Engineering (AERO), Computer Science (CPSC), Data Engineering (DATA), Electrical Engineering (ELEN), Industrial and Systems Engineering (ISEN), Manufacturing and Mechanical Engineering Technology (MMET), Materials Science and Engineering (MSEN), Mechanical Engineering (MEEN)</t>
  </si>
  <si>
    <t>P1</t>
  </si>
  <si>
    <t>Apr 18, 2025, 11:36 AM</t>
  </si>
  <si>
    <t>Five Star Management</t>
  </si>
  <si>
    <t>Dina Cartagena</t>
  </si>
  <si>
    <t>dcartagena@fivestarmanagement.com</t>
  </si>
  <si>
    <t>Computer Engineering (CECN), Computer Science (CPSC), Data Engineering (DATA), Electrical Engineering (ELEN), Electronic Systems Engineering Technology (ESET), Industrial and Systems Engineering (ISEN), Manufacturing and Mechanical Engineering Technology (MMET), Mechanical Engineering (MEEN)</t>
  </si>
  <si>
    <t>N17</t>
  </si>
  <si>
    <t>Aug 20, 2025, 4:51 PM</t>
  </si>
  <si>
    <t>FlatironDragados</t>
  </si>
  <si>
    <t>Gabriella Gedville</t>
  </si>
  <si>
    <t>ggedville@flatironcorp.com</t>
  </si>
  <si>
    <t>720 591 2827</t>
  </si>
  <si>
    <t>Apr 16, 2025, 8:09 AM</t>
  </si>
  <si>
    <t>Flint Hills Resources</t>
  </si>
  <si>
    <t>Kristi Schoen</t>
  </si>
  <si>
    <t>fhrearlycareer@kochcc.com</t>
  </si>
  <si>
    <t>316-223-7742</t>
  </si>
  <si>
    <t>Chemical Engineering (CHEN), Electrical Engineering (ELEN), Manufacturing and Mechanical Engineering Technology (MMET), Mechanical Engineering (MEEN)</t>
  </si>
  <si>
    <t>N7</t>
  </si>
  <si>
    <t>May 27, 2025, 4:35 PM</t>
  </si>
  <si>
    <t>Chemical Engineering (CHEN), Electrical Engineering (ELEN), Industrial and Systems Engineering (ISEN), Manufacturing and Mechanical Engineering Technology (MMET), Mechanical Engineering (MEEN)</t>
  </si>
  <si>
    <t>Gold One-Day: Thursday, September 11th [$2500.00]</t>
  </si>
  <si>
    <t>K11, K12</t>
  </si>
  <si>
    <t>Aug 15, 2025, 3:57 PM</t>
  </si>
  <si>
    <t>Chemical Engineering (CHEN), Civil and Environmental Engineering (CVEN), Electrical Engineering (ELEN), Industrial and Systems Engineering (ISEN), Mechanical Engineering (MEEN), Nuclear Engineering (NUEN), Petroleum Engineering (PETE)</t>
  </si>
  <si>
    <t>K29</t>
  </si>
  <si>
    <t>Mar 31, 2025, 1:06 PM</t>
  </si>
  <si>
    <t>FM</t>
  </si>
  <si>
    <t>Michelle Smith</t>
  </si>
  <si>
    <t>michelle.smith@fmglobal.com</t>
  </si>
  <si>
    <t>615-999-2335</t>
  </si>
  <si>
    <t>Chemical Engineering (CHEN), Civil and Environmental Engineering (CVEN), Electrical Engineering (ELEN), Industrial and Systems Engineering (ISEN), Mechanical Engineering (MEEN)</t>
  </si>
  <si>
    <t>Apr 16, 2025, 7:46 AM</t>
  </si>
  <si>
    <t>361-920-3863</t>
  </si>
  <si>
    <t>Aug 26, 2025, 1:29 PM</t>
  </si>
  <si>
    <t>Framatome</t>
  </si>
  <si>
    <t>Kyara C Johnson</t>
  </si>
  <si>
    <t>requisitions.us@framatome.com</t>
  </si>
  <si>
    <t>Chemical Engineering (CHEN), Computer Engineering (CECN), Computer Science (CPSC), Electrical Engineering (ELEN), Materials Science and Engineering (MSEN), Mechanical Engineering (MEEN), Nuclear Engineering (NUEN)</t>
  </si>
  <si>
    <t>Aug 13, 2025, 11:28 AM</t>
  </si>
  <si>
    <t>Fransen Pittman General Contractors</t>
  </si>
  <si>
    <t>Jenna Peeples-Austin</t>
  </si>
  <si>
    <t>jpaustin@fransenpittman.com</t>
  </si>
  <si>
    <t>Jul 02, 2025, 11:25 AM</t>
  </si>
  <si>
    <t>Lauren Hodge</t>
  </si>
  <si>
    <t>lauren.hodge@freese.com</t>
  </si>
  <si>
    <t>Architectural Engineering (AREN), Biological and Agricultural Engineering (BAEN), Civil and Environmental Engineering (CVEN), Electrical Engineering (ELEN), Environmental Engineering (EVEN), Mechanical Engineering (MEEN)</t>
  </si>
  <si>
    <t>G11, G12</t>
  </si>
  <si>
    <t>Apr 16, 2025, 8:43 AM</t>
  </si>
  <si>
    <t>Freudenberg Group</t>
  </si>
  <si>
    <t>Albert Choi</t>
  </si>
  <si>
    <t>albert.choi@fnacc.com</t>
  </si>
  <si>
    <t>949-363-3439</t>
  </si>
  <si>
    <t>Biomedical Engineering (BMEN), Chemical Engineering (CHEN), Computer Engineering (CECN), Industrial and Systems Engineering (ISEN), Manufacturing and Mechanical Engineering Technology (MMET), Materials Science and Engineering (MSEN), Mechanical Engineering (MEEN)</t>
  </si>
  <si>
    <t>Jul 16, 2025, 10:46 AM</t>
  </si>
  <si>
    <t>Phillip Steagall</t>
  </si>
  <si>
    <t>phillip.steagall@fticonsulting.com</t>
  </si>
  <si>
    <t>Architectural Engineering (AREN), Civil and Environmental Engineering (CVEN), Electrical Engineering (ELEN), Mechanical Engineering (MEEN), Multidisciplinary Engineering Technology (MXET)</t>
  </si>
  <si>
    <t>Jul 25, 2025, 2:46 PM</t>
  </si>
  <si>
    <t>FUJIFILM Biotechnologies</t>
  </si>
  <si>
    <t>Jocelyn Lyons</t>
  </si>
  <si>
    <t>jocelyn.lyons@fujifilm.com</t>
  </si>
  <si>
    <t>Biological and Agricultural Engineering (BAEN), Biomedical Engineering (BMEN), Electrical Engineering (ELEN), Electronic Systems Engineering Technology (ESET), Industrial and Systems Engineering (ISEN), Manufacturing and Mechanical Engineering Technology (MMET), Materials Science and Engineering (MSEN), Mechanical Engineering (MEEN), Multidisciplinary Engineering Technology (MXET)</t>
  </si>
  <si>
    <t>L12</t>
  </si>
  <si>
    <t>Jun 30, 2025, 9:39 AM</t>
  </si>
  <si>
    <t>Chemical Engineering (CHEN), Electrical Engineering (ELEN), Industrial and Systems Engineering (ISEN), Manufacturing and Mechanical Engineering Technology (MMET), Materials Science and Engineering (MSEN), Mechanical Engineering (MEEN)</t>
  </si>
  <si>
    <t>O10</t>
  </si>
  <si>
    <t>Apr 30, 2025, 10:05 AM</t>
  </si>
  <si>
    <t>Garmin International, Inc.</t>
  </si>
  <si>
    <t>Crystal Gutierrez Hinojos</t>
  </si>
  <si>
    <t>crystal.gutierrezhinojos@garmin.com</t>
  </si>
  <si>
    <t>O29, O30</t>
  </si>
  <si>
    <t>Jun 02, 2025, 3:15 PM</t>
  </si>
  <si>
    <t>Gate Precast</t>
  </si>
  <si>
    <t>Amanda Bartscher</t>
  </si>
  <si>
    <t>abartscher@gateprecast.com</t>
  </si>
  <si>
    <t>352-552-1614</t>
  </si>
  <si>
    <t>Architectural Engineering (AREN), Civil and Environmental Engineering (CVEN), Manufacturing and Mechanical Engineering Technology (MMET)</t>
  </si>
  <si>
    <t>Q10</t>
  </si>
  <si>
    <t>Jul 23, 2025, 9:45 AM</t>
  </si>
  <si>
    <t>Architectural Engineering (AREN), Civil and Environmental Engineering (CVEN), Electrical Engineering (ELEN)</t>
  </si>
  <si>
    <t>Apr 16, 2025, 8:35 AM</t>
  </si>
  <si>
    <t>Tessa Nguyen</t>
  </si>
  <si>
    <t>tessa.nguyen1@ge.com</t>
  </si>
  <si>
    <t>Aerospace Engineering (AERO), Electrical Engineering (ELEN), Mechanical Engineering (MEEN)</t>
  </si>
  <si>
    <t>N16</t>
  </si>
  <si>
    <t>Jul 07, 2025, 12:58 PM</t>
  </si>
  <si>
    <t>Civil and Environmental Engineering (CVEN), Electrical Engineering (ELEN), Electronic Systems Engineering Technology (ESET), Environmental Engineering (EVEN), Industrial and Systems Engineering (ISEN), Mechanical Engineering (MEEN)</t>
  </si>
  <si>
    <t>Aug 26, 2025, 7:10 AM</t>
  </si>
  <si>
    <t>713-854-4428</t>
  </si>
  <si>
    <t>Chemical Engineering (CHEN), Civil and Environmental Engineering (CVEN), Computer Engineering (CECN), Computer Science (CPSC), Electrical Engineering (ELEN), Industrial and Systems Engineering (ISEN), Mechanical Engineering (MEEN), Nuclear Engineering (NUEN), Ocean Engineering (OCEN)</t>
  </si>
  <si>
    <t>May 05, 2025, 1:52 PM</t>
  </si>
  <si>
    <t>General Motors</t>
  </si>
  <si>
    <t>Sophia Jewell</t>
  </si>
  <si>
    <t>sophia.jewell@gm.com</t>
  </si>
  <si>
    <t>737-408-4535</t>
  </si>
  <si>
    <t>Civil and Environmental Engineering (CVEN), Computer Engineering (CECN), Computer Science (CPSC), Data Engineering (DATA), Electrical Engineering (ELEN), Electronic Systems Engineering Technology (ESET), Environmental Engineering (EVEN), Industrial and Systems Engineering (ISEN), Manufacturing and Mechanical Engineering Technology (MMET), Mechanical Engineering (MEEN)</t>
  </si>
  <si>
    <t>Jul 17, 2025, 11:36 AM</t>
  </si>
  <si>
    <t>Genesys Aerosystems</t>
  </si>
  <si>
    <t>Angie Baker</t>
  </si>
  <si>
    <t>angie.baker@genesys-aerosystems.com</t>
  </si>
  <si>
    <t>Aerospace Engineering (AERO), Computer Science (CPSC), Electrical Engineering (ELEN)</t>
  </si>
  <si>
    <t>P4</t>
  </si>
  <si>
    <t>Jul 15, 2025, 2:38 PM</t>
  </si>
  <si>
    <t>Gerdau</t>
  </si>
  <si>
    <t>Chante' Nelms</t>
  </si>
  <si>
    <t>chante.nelms@gerdau.com</t>
  </si>
  <si>
    <t>469-493-1190</t>
  </si>
  <si>
    <t>Electrical Engineering (ELEN), Industrial and Systems Engineering (ISEN), Manufacturing and Mechanical Engineering Technology (MMET), Mechanical Engineering (MEEN)</t>
  </si>
  <si>
    <t>N18</t>
  </si>
  <si>
    <t>Aug 12, 2025, 3:38 PM</t>
  </si>
  <si>
    <t>Gibson Applied Technology &amp; Engineering</t>
  </si>
  <si>
    <t>Sharie Koskowski</t>
  </si>
  <si>
    <t>skoskowski@gate.energy</t>
  </si>
  <si>
    <t>318-617-5635</t>
  </si>
  <si>
    <t>P6</t>
  </si>
  <si>
    <t>Aug 21, 2025, 11:42 AM</t>
  </si>
  <si>
    <t>Global Prior Art Inc.</t>
  </si>
  <si>
    <t>Benedikt J Biechele</t>
  </si>
  <si>
    <t>bbiechele@globalpriorart.com</t>
  </si>
  <si>
    <t>(512)803-2495</t>
  </si>
  <si>
    <t>Jun 11, 2025, 2:14 PM</t>
  </si>
  <si>
    <t>GlobalFoundries</t>
  </si>
  <si>
    <t>Anthony Pesina</t>
  </si>
  <si>
    <t>anthony.pesina@globalfoundries.com</t>
  </si>
  <si>
    <t>518-974-5175</t>
  </si>
  <si>
    <t>Chemical Engineering (CHEN), Computer Engineering (CECN), Electrical Engineering (ELEN), Manufacturing and Mechanical Engineering Technology (MMET), Materials Science and Engineering (MSEN), Mechanical Engineering (MEEN)</t>
  </si>
  <si>
    <t>C2</t>
  </si>
  <si>
    <t>Jul 17, 2025, 8:53 AM</t>
  </si>
  <si>
    <t>Biological and Agricultural Engineering (BAEN), Civil and Environmental Engineering (CVEN), Ocean Engineering (OCEN)</t>
  </si>
  <si>
    <t>M20</t>
  </si>
  <si>
    <t>Apr 16, 2025, 8:38 AM</t>
  </si>
  <si>
    <t>Goodyear Tire &amp; Rubber Company</t>
  </si>
  <si>
    <t>Mohsin samrah</t>
  </si>
  <si>
    <t>campus_recruiting@goodyear.com</t>
  </si>
  <si>
    <t>Jun 24, 2025, 11:35 AM</t>
  </si>
  <si>
    <t>Graham Associates, Inc.</t>
  </si>
  <si>
    <t>Suzanne Taylor</t>
  </si>
  <si>
    <t>staylor@grahamcivil.com</t>
  </si>
  <si>
    <t>817-988-8397</t>
  </si>
  <si>
    <t>B2</t>
  </si>
  <si>
    <t>Apr 16, 2025, 10:49 AM</t>
  </si>
  <si>
    <t>Granite Construction</t>
  </si>
  <si>
    <t>Jeremy Jackson</t>
  </si>
  <si>
    <t>jeremy.jackson@gcinc.com</t>
  </si>
  <si>
    <t>972-874-8724</t>
  </si>
  <si>
    <t>Apr 16, 2025, 9:48 AM</t>
  </si>
  <si>
    <t>Gray Civil</t>
  </si>
  <si>
    <t>May 27, 2025, 5:42 PM</t>
  </si>
  <si>
    <t>Thelma Brown</t>
  </si>
  <si>
    <t>thelmabrown@gldd.com</t>
  </si>
  <si>
    <t>Civil and Environmental Engineering (CVEN), Environmental Engineering (EVEN), Mechanical Engineering (MEEN), Ocean Engineering (OCEN)</t>
  </si>
  <si>
    <t>Apr 16, 2025, 9:31 AM</t>
  </si>
  <si>
    <t>Civil and Environmental Engineering (CVEN), Electrical Engineering (ELEN), Environmental Engineering (EVEN), Mechanical Engineering (MEEN)</t>
  </si>
  <si>
    <t>Jun 05, 2025, 9:53 AM</t>
  </si>
  <si>
    <t>Biological and Agricultural Engineering (BAEN), Electrical Engineering (ELEN), Electronic Systems Engineering Technology (ESET), Industrial and Systems Engineering (ISEN), Manufacturing and Mechanical Engineering Technology (MMET), Mechanical Engineering (MEEN), Multidisciplinary Engineering Technology (MXET)</t>
  </si>
  <si>
    <t>O3</t>
  </si>
  <si>
    <t>Apr 16, 2025, 2:10 PM</t>
  </si>
  <si>
    <t>May 30, 2025, 6:14 AM</t>
  </si>
  <si>
    <t>Gulfstream Aerospace</t>
  </si>
  <si>
    <t>Kristi Kim</t>
  </si>
  <si>
    <t>kristi.kim@gulfstream.com</t>
  </si>
  <si>
    <t>912-395-9066</t>
  </si>
  <si>
    <t>Aerospace Engineering (AERO), Computer Engineering (CECN), Computer Science (CPSC), Electrical Engineering (ELEN), Industrial and Systems Engineering (ISEN), Mechanical Engineering (MEEN)</t>
  </si>
  <si>
    <t>Jul 17, 2025, 9:36 PM</t>
  </si>
  <si>
    <t>N9</t>
  </si>
  <si>
    <t>Apr 16, 2025, 12:21 PM</t>
  </si>
  <si>
    <t>210-936-0916</t>
  </si>
  <si>
    <t>Civil and Environmental Engineering (CVEN), Computer Science (CPSC), Industrial Distribution (IDIS), Industrial and Systems Engineering (ISEN), Manufacturing and Mechanical Engineering Technology (MMET), Mechanical Engineering (MEEN)</t>
  </si>
  <si>
    <t>Jul 22, 2025, 9:27 AM</t>
  </si>
  <si>
    <t>Denise Mitchell</t>
  </si>
  <si>
    <t>denise.mitchell@halff.com</t>
  </si>
  <si>
    <t>214-734-4401</t>
  </si>
  <si>
    <t>Apr 16, 2025, 9:32 AM</t>
  </si>
  <si>
    <t>Michelle Acedera</t>
  </si>
  <si>
    <t>Michelle.Acedera@halliburton.com</t>
  </si>
  <si>
    <t>214-505-8528</t>
  </si>
  <si>
    <t>Aerospace Engineering (AERO), Chemical Engineering (CHEN), Computer Engineering (CECN), Computer Science (CPSC), Data Engineering (DATA), Electrical Engineering (ELEN), Electronic Systems Engineering Technology (ESET), Industrial Distribution (IDIS), Industrial and Systems Engineering (ISEN), Manufacturing and Mechanical Engineering Technology (MMET), Materials Science and Engineering (MSEN), Mechanical Engineering (MEEN), Nuclear Engineering (NUEN), Petroleum Engineering (PETE)</t>
  </si>
  <si>
    <t>N24, N25</t>
  </si>
  <si>
    <t>Hanson Professional Services, Inc.</t>
  </si>
  <si>
    <t>Sophie Hirschvogel</t>
  </si>
  <si>
    <t>shirschvogel@hanson-inc.com</t>
  </si>
  <si>
    <t>J20, J21</t>
  </si>
  <si>
    <t>Apr 16, 2025, 8:49 AM</t>
  </si>
  <si>
    <t>Harvest Midstream Company</t>
  </si>
  <si>
    <t>Sara Daredia</t>
  </si>
  <si>
    <t>sara.daredia@harvestmidstream.com</t>
  </si>
  <si>
    <t>Chemical Engineering (CHEN), Civil and Environmental Engineering (CVEN), Mechanical Engineering (MEEN)</t>
  </si>
  <si>
    <t>May 28, 2025, 2:22 PM</t>
  </si>
  <si>
    <t>Architectural Engineering (AREN), Civil and Environmental Engineering (CVEN), Electrical Engineering (ELEN), Environmental Engineering (EVEN), Industrial and Systems Engineering (ISEN), Manufacturing and Mechanical Engineering Technology (MMET), Mechanical Engineering (MEEN)</t>
  </si>
  <si>
    <t>H23</t>
  </si>
  <si>
    <t>Jul 02, 2025, 11:33 AM</t>
  </si>
  <si>
    <t>Catie Cohn</t>
  </si>
  <si>
    <t>CampusNorthAmerica@hatch.com</t>
  </si>
  <si>
    <t>P12</t>
  </si>
  <si>
    <t>May 09, 2025, 2:24 PM</t>
  </si>
  <si>
    <t>Haynes and Boone, LLP</t>
  </si>
  <si>
    <t>Allison Cohn</t>
  </si>
  <si>
    <t>allison.cohn@haynesboone.com</t>
  </si>
  <si>
    <t>949.202.3017</t>
  </si>
  <si>
    <t>Computer Engineering (CECN), Computer Science (CPSC), Data Engineering (DATA), Electrical Engineering (ELEN), Electronic Systems Engineering Technology (ESET), Mechanical Engineering (MEEN)</t>
  </si>
  <si>
    <t>Aug 04, 2025, 4:29 PM</t>
  </si>
  <si>
    <t>Hays Electrical Services</t>
  </si>
  <si>
    <t>Amber Williams</t>
  </si>
  <si>
    <t>amber.williams@hayselectrical.com</t>
  </si>
  <si>
    <t>281-961-1921</t>
  </si>
  <si>
    <t>Architectural Engineering (AREN), Computer Engineering (CECN), Computer Science (CPSC), Data Engineering (DATA), Electrical Engineering (ELEN), Electronic Systems Engineering Technology (ESET), Industrial and Systems Engineering (ISEN), Manufacturing and Mechanical Engineering Technology (MMET), Multidisciplinary Engineering Technology (MXET)</t>
  </si>
  <si>
    <t>Jun 26, 2025, 10:56 AM</t>
  </si>
  <si>
    <t>HDL Research Lab, Inc.</t>
  </si>
  <si>
    <t>Hannah Hodges</t>
  </si>
  <si>
    <t>hannah@hdlpower.com</t>
  </si>
  <si>
    <t>662-202-8929</t>
  </si>
  <si>
    <t>Electrical Engineering (ELEN), Manufacturing and Mechanical Engineering Technology (MMET), Mechanical Engineering (MEEN), Multidisciplinary Engineering Technology (MXET)</t>
  </si>
  <si>
    <t>Apr 17, 2025, 8:50 AM</t>
  </si>
  <si>
    <t>Thomas Mendez</t>
  </si>
  <si>
    <t>thomas.mendez@hdrinc.com</t>
  </si>
  <si>
    <t>210-841-2856</t>
  </si>
  <si>
    <t>G3, G4</t>
  </si>
  <si>
    <t>Apr 17, 2025, 11:58 AM</t>
  </si>
  <si>
    <t>Heat Transfer Specialists, Inc.</t>
  </si>
  <si>
    <t>Nolan Persyn</t>
  </si>
  <si>
    <t>npersyn@htstx.com</t>
  </si>
  <si>
    <t>936-542-1271</t>
  </si>
  <si>
    <t>Chemical Engineering (CHEN), Materials Science and Engineering (MSEN), Mechanical Engineering (MEEN)</t>
  </si>
  <si>
    <t>C20</t>
  </si>
  <si>
    <t>Jul 14, 2025, 3:07 PM</t>
  </si>
  <si>
    <t>Hannah Holloway</t>
  </si>
  <si>
    <t>hannah.holloway@heidelbergmaterials.com</t>
  </si>
  <si>
    <t>469-616-7832</t>
  </si>
  <si>
    <t>Chemical Engineering (CHEN), Civil and Environmental Engineering (CVEN), Electrical Engineering (ELEN), Electronic Systems Engineering Technology (ESET), Environmental Engineering (EVEN), Manufacturing and Mechanical Engineering Technology (MMET), Materials Science and Engineering (MSEN), Mechanical Engineering (MEEN)</t>
  </si>
  <si>
    <t>Apr 16, 2025, 7:53 AM</t>
  </si>
  <si>
    <t>HENDERSON ENGINEERS</t>
  </si>
  <si>
    <t>Carter Olson</t>
  </si>
  <si>
    <t>carter.olson@hendersonengineers.com</t>
  </si>
  <si>
    <t>Aug 15, 2025, 10:24 AM</t>
  </si>
  <si>
    <t>Hess Corporation</t>
  </si>
  <si>
    <t>Audrey Deleon</t>
  </si>
  <si>
    <t>asanchez@hess.com</t>
  </si>
  <si>
    <t>832-703-9195</t>
  </si>
  <si>
    <t>Apr 16, 2025, 8:41 AM</t>
  </si>
  <si>
    <t>Diamond One-Day: Wednesday, September 10th [$4000.00]</t>
  </si>
  <si>
    <t>D1, D2, D3</t>
  </si>
  <si>
    <t>Hexagon PPM</t>
  </si>
  <si>
    <t>Jessica Stone</t>
  </si>
  <si>
    <t>jessica.stone@hexagon.com</t>
  </si>
  <si>
    <t>256-431-9360</t>
  </si>
  <si>
    <t>Jul 15, 2025, 12:35 PM</t>
  </si>
  <si>
    <t>479-841-5463</t>
  </si>
  <si>
    <t>Aug 14, 2025, 11:31 AM</t>
  </si>
  <si>
    <t>HMH</t>
  </si>
  <si>
    <t>Michelle Thomsen</t>
  </si>
  <si>
    <t>michelle.thomsen@hmhw.com</t>
  </si>
  <si>
    <t>Electrical Engineering (ELEN), Electronic Systems Engineering Technology (ESET), Industrial and Systems Engineering (ISEN), Manufacturing and Mechanical Engineering Technology (MMET), Materials Science and Engineering (MSEN), Mechanical Engineering (MEEN), Multidisciplinary Engineering Technology (MXET)</t>
  </si>
  <si>
    <t>P2</t>
  </si>
  <si>
    <t>O22</t>
  </si>
  <si>
    <t>May 16, 2025, 12:06 PM</t>
  </si>
  <si>
    <t>Hobas Pipe USA</t>
  </si>
  <si>
    <t>Bryan Mazyn</t>
  </si>
  <si>
    <t>bmazyn@hobaspipe.com</t>
  </si>
  <si>
    <t>713-906-9036</t>
  </si>
  <si>
    <t>O24</t>
  </si>
  <si>
    <t>Jul 22, 2025, 4:37 PM</t>
  </si>
  <si>
    <t>Hoffman Construction</t>
  </si>
  <si>
    <t>Jen McCalley</t>
  </si>
  <si>
    <t>Jen-mcCalley@hoffmancorp.com</t>
  </si>
  <si>
    <t>Civil and Environmental Engineering (CVEN), Computer Science (CPSC), Data Engineering (DATA), Electrical Engineering (ELEN), Industrial and Systems Engineering (ISEN), Manufacturing and Mechanical Engineering Technology (MMET), Materials Science and Engineering (MSEN), Mechanical Engineering (MEEN)</t>
  </si>
  <si>
    <t>Apr 16, 2025, 9:33 AM</t>
  </si>
  <si>
    <t>Honeywell</t>
  </si>
  <si>
    <t>Jackie Griffith*</t>
  </si>
  <si>
    <t>HoneywellUr@Honeywell.com</t>
  </si>
  <si>
    <t>812-767-2641</t>
  </si>
  <si>
    <t>Chemical Engineering (CHEN), Computer Engineering (CECN), Electrical Engineering (ELEN), Industrial and Systems Engineering (ISEN), Manufacturing and Mechanical Engineering Technology (MMET), Mechanical Engineering (MEEN)</t>
  </si>
  <si>
    <t>P14, P15</t>
  </si>
  <si>
    <t>Jun 09, 2025, 9:02 AM</t>
  </si>
  <si>
    <t>Howmet Aerospace</t>
  </si>
  <si>
    <t>Anita Lembach</t>
  </si>
  <si>
    <t>anita.lembach@howmet.com</t>
  </si>
  <si>
    <t>Manufacturing and Mechanical Engineering Technology (MMET), Materials Science and Engineering (MSEN), Mechanical Engineering (MEEN)</t>
  </si>
  <si>
    <t>P20</t>
  </si>
  <si>
    <t>Aug 22, 2025, 7:45 AM</t>
  </si>
  <si>
    <t>nitha.nolan@hrgreen.com</t>
  </si>
  <si>
    <t>May 07, 2025, 8:01 AM</t>
  </si>
  <si>
    <t>Civil and Environmental Engineering (CVEN), Industrial Distribution (IDIS), Manufacturing and Mechanical Engineering Technology (MMET), Mechanical Engineering (MEEN)</t>
  </si>
  <si>
    <t>P25, P26</t>
  </si>
  <si>
    <t>Apr 16, 2025, 8:29 AM</t>
  </si>
  <si>
    <t>Valerie De Luna</t>
  </si>
  <si>
    <t>vdeluna@huitt-zollars.com</t>
  </si>
  <si>
    <t>Architectural Engineering (AREN), Civil and Environmental Engineering (CVEN), Electrical Engineering (ELEN), Environmental Engineering (EVEN), Mechanical Engineering (MEEN)</t>
  </si>
  <si>
    <t>Apr 16, 2025, 8:25 AM</t>
  </si>
  <si>
    <t>Huntsman</t>
  </si>
  <si>
    <t>Colin Mitchell</t>
  </si>
  <si>
    <t>colin_mitchell@huntsman.com</t>
  </si>
  <si>
    <t>Chemical Engineering (CHEN), Computer Science (CPSC), Electrical Engineering (ELEN), Manufacturing and Mechanical Engineering Technology (MMET), Mechanical Engineering (MEEN)</t>
  </si>
  <si>
    <t>L2, L3</t>
  </si>
  <si>
    <t>Jul 24, 2025, 2:35 PM</t>
  </si>
  <si>
    <t>Calist Friedman</t>
  </si>
  <si>
    <t>calist@ibm.com</t>
  </si>
  <si>
    <t>Jul 22, 2025, 2:27 PM</t>
  </si>
  <si>
    <t>Idaho National Laboratory (INL)</t>
  </si>
  <si>
    <t>Kimberly Schuebert</t>
  </si>
  <si>
    <t>kimberly.schuebert@inl.gov</t>
  </si>
  <si>
    <t>(208) 403-4945</t>
  </si>
  <si>
    <t>Aerospace Engineering (AERO), Architectural Engineering (AREN), Biological and Agricultural Engineering (BAEN), Chemical Engineering (CHEN), Civil and Environmental Engineering (CVEN), Computer Engineering (CECN), Computer Science (CPSC), Data Engineering (DATA), Electrical Engineering (ELEN), Electronic Systems Engineering Technology (ESET), Environmental Engineering (EVEN), Industrial Distribution (IDIS), Industrial and Systems Engineering (ISEN), Manufacturing and Mechanical Engineering Technology (MMET), Materials Science and Engineering (MSEN), Mechanical Engineering (MEEN), Multidisciplinary Engineering Technology (MXET), Nuclear Engineering (NUEN)</t>
  </si>
  <si>
    <t>M10</t>
  </si>
  <si>
    <t>Apr 17, 2025, 4:04 PM</t>
  </si>
  <si>
    <t>Biological and Agricultural Engineering (BAEN), Civil and Environmental Engineering (CVEN), Environmental Engineering (EVEN)</t>
  </si>
  <si>
    <t>F24, F25</t>
  </si>
  <si>
    <t>Apr 16, 2025, 9:50 AM</t>
  </si>
  <si>
    <t>Apr 30, 2025, 9:05 AM</t>
  </si>
  <si>
    <t>Aisha Price</t>
  </si>
  <si>
    <t>Aerospace Engineering (AERO), Civil and Environmental Engineering (CVEN), Electrical Engineering (ELEN), Environmental Engineering (EVEN), Materials Science and Engineering (MSEN), Mechanical Engineering (MEEN)</t>
  </si>
  <si>
    <t>H21</t>
  </si>
  <si>
    <t>Apr 22, 2025, 3:43 PM</t>
  </si>
  <si>
    <t>IMEG</t>
  </si>
  <si>
    <t>Paige Trimble</t>
  </si>
  <si>
    <t>paige.k.trimble@imegcorp.com</t>
  </si>
  <si>
    <t>Jul 15, 2025, 9:26 AM</t>
  </si>
  <si>
    <t>Jaime Loyo</t>
  </si>
  <si>
    <t>jaime.loyo@us.indorama.net</t>
  </si>
  <si>
    <t>Chemical Engineering (CHEN), Electrical Engineering (ELEN), Environmental Engineering (EVEN), Mechanical Engineering (MEEN)</t>
  </si>
  <si>
    <t>O19</t>
  </si>
  <si>
    <t>Apr 16, 2025, 8:56 AM</t>
  </si>
  <si>
    <t>Indus Road &amp; Bridge</t>
  </si>
  <si>
    <t>Esther Garcia</t>
  </si>
  <si>
    <t>egarcia@indusrb.com</t>
  </si>
  <si>
    <t>K18</t>
  </si>
  <si>
    <t>Jul 01, 2025, 2:38 PM</t>
  </si>
  <si>
    <t>Lorraine Black</t>
  </si>
  <si>
    <t>opusa.recruiting@ineos.com</t>
  </si>
  <si>
    <t>713-449-3812</t>
  </si>
  <si>
    <t>L19</t>
  </si>
  <si>
    <t>Apr 22, 2025, 5:17 PM</t>
  </si>
  <si>
    <t>401-786-2879</t>
  </si>
  <si>
    <t>Jun 18, 2025, 11:36 PM</t>
  </si>
  <si>
    <t>Ingenia Polymers Inc</t>
  </si>
  <si>
    <t>Hajarah Mabike</t>
  </si>
  <si>
    <t>hajarah.mabike@ingeniapolymers.com</t>
  </si>
  <si>
    <t>281-948-2798</t>
  </si>
  <si>
    <t>Chemical Engineering (CHEN), Manufacturing and Mechanical Engineering Technology (MMET), Materials Science and Engineering (MSEN), Mechanical Engineering (MEEN)</t>
  </si>
  <si>
    <t>K14</t>
  </si>
  <si>
    <t>Jun 18, 2025, 12:06 PM</t>
  </si>
  <si>
    <t>Ingersoll-Rand</t>
  </si>
  <si>
    <t>Philip M Jaquith</t>
  </si>
  <si>
    <t>philip_jaquith@irco.com</t>
  </si>
  <si>
    <t>262-993-2433</t>
  </si>
  <si>
    <t>Industrial Distribution (IDIS), Industrial and Systems Engineering (ISEN), Manufacturing and Mechanical Engineering Technology (MMET), Mechanical Engineering (MEEN)</t>
  </si>
  <si>
    <t>N1</t>
  </si>
  <si>
    <t>Aug 08, 2025, 4:25 PM</t>
  </si>
  <si>
    <t>Integrated Power Services</t>
  </si>
  <si>
    <t>Nicholas Giovanni Gregoire</t>
  </si>
  <si>
    <t>nick.gregoire@ips.us</t>
  </si>
  <si>
    <t>Electrical Engineering (ELEN), Industrial and Systems Engineering (ISEN)</t>
  </si>
  <si>
    <t>Jul 11, 2025, 11:21 AM</t>
  </si>
  <si>
    <t>210-238-6770</t>
  </si>
  <si>
    <t>International Motors LLC</t>
  </si>
  <si>
    <t>Rene Alvarado</t>
  </si>
  <si>
    <t>rene.alvarado@international.com</t>
  </si>
  <si>
    <t>Computer Engineering (CECN), Electrical Engineering (ELEN), Electronic Systems Engineering Technology (ESET), Industrial and Systems Engineering (ISEN), Manufacturing and Mechanical Engineering Technology (MMET), Materials Science and Engineering (MSEN), Mechanical Engineering (MEEN), Multidisciplinary Engineering Technology (MXET)</t>
  </si>
  <si>
    <t>Aug 14, 2025, 3:38 PM</t>
  </si>
  <si>
    <t>International Paper Co.</t>
  </si>
  <si>
    <t>Logan C Olson</t>
  </si>
  <si>
    <t>logan.olson@ipaper.com</t>
  </si>
  <si>
    <t>601-994-3329</t>
  </si>
  <si>
    <t>Aerospace Engineering (AERO), Chemical Engineering (CHEN), Electrical Engineering (ELEN), Environmental Engineering (EVEN), Mechanical Engineering (MEEN)</t>
  </si>
  <si>
    <t>Aug 29, 2025, 8:46 AM</t>
  </si>
  <si>
    <t>Intuitive Machines</t>
  </si>
  <si>
    <t>Kayla Purdy</t>
  </si>
  <si>
    <t>KPurdy@intuitivemachines.com</t>
  </si>
  <si>
    <t>Aerospace Engineering (AERO), Computer Engineering (CECN), Computer Science (CPSC), Electrical Engineering (ELEN), Electronic Systems Engineering Technology (ESET), Manufacturing and Mechanical Engineering Technology (MMET), Mechanical Engineering (MEEN), Multidisciplinary Engineering Technology (MXET)</t>
  </si>
  <si>
    <t>Aug 25, 2025, 3:41 PM</t>
  </si>
  <si>
    <t>Iteris, Inc</t>
  </si>
  <si>
    <t>Michelle Lemestre</t>
  </si>
  <si>
    <t>msl@iteris.com</t>
  </si>
  <si>
    <t>Civil and Environmental Engineering (CVEN), Computer Science (CPSC), Electrical Engineering (ELEN)</t>
  </si>
  <si>
    <t>Jul 15, 2025, 5:34 PM</t>
  </si>
  <si>
    <t>Kayla Bove</t>
  </si>
  <si>
    <t>C24</t>
  </si>
  <si>
    <t>Sep 05, 2025, 3:47 PM</t>
  </si>
  <si>
    <t>Jay Cashman Inc.</t>
  </si>
  <si>
    <t>rdavis@jaycashman.com</t>
  </si>
  <si>
    <t>Civil and Environmental Engineering (CVEN), Data Engineering (DATA), Environmental Engineering (EVEN), Ocean Engineering (OCEN)</t>
  </si>
  <si>
    <t>May 23, 2025, 8:16 AM</t>
  </si>
  <si>
    <t>Apr 16, 2025, 8:55 AM</t>
  </si>
  <si>
    <t>Jillian Fleming</t>
  </si>
  <si>
    <t>jillian.fleming@jedunn.com</t>
  </si>
  <si>
    <t>Civil and Environmental Engineering (CVEN), Electrical Engineering (ELEN), Manufacturing and Mechanical Engineering Technology (MMET), Mechanical Engineering (MEEN)</t>
  </si>
  <si>
    <t>O26</t>
  </si>
  <si>
    <t>Jelec USA Inc</t>
  </si>
  <si>
    <t>Paul Wyman</t>
  </si>
  <si>
    <t>paul.wyman@jelec.com</t>
  </si>
  <si>
    <t>(337) 241-8820</t>
  </si>
  <si>
    <t>Computer Engineering (CECN), Data Engineering (DATA), Electrical Engineering (ELEN), Industrial and Systems Engineering (ISEN), Manufacturing and Mechanical Engineering Technology (MMET), Mechanical Engineering (MEEN)</t>
  </si>
  <si>
    <t>Aug 11, 2025, 2:19 PM</t>
  </si>
  <si>
    <t>L3</t>
  </si>
  <si>
    <t>Apr 17, 2025, 10:18 AM</t>
  </si>
  <si>
    <t>Johns Hopkins Whiting School of Engineering</t>
  </si>
  <si>
    <t>Diana Morales Ramirez</t>
  </si>
  <si>
    <t>dmorale6@jhu.edu</t>
  </si>
  <si>
    <t>Biomedical Engineering (BMEN), Chemical Engineering (CHEN), Civil and Environmental Engineering (CVEN), Computer Engineering (CECN), Computer Science (CPSC), Data Engineering (DATA), Electrical Engineering (ELEN), Electronic Systems Engineering Technology (ESET), Environmental Engineering (EVEN), Industrial and Systems Engineering (ISEN), Materials Science and Engineering (MSEN), Mechanical Engineering (MEEN)</t>
  </si>
  <si>
    <t>C5</t>
  </si>
  <si>
    <t>Aug 13, 2025, 3:47 PM</t>
  </si>
  <si>
    <t>Biomedical Engineering (BMEN), Chemical Engineering (CHEN), Computer Engineering (CECN), Data Engineering (DATA), Electrical Engineering (ELEN), Mechanical Engineering (MEEN)</t>
  </si>
  <si>
    <t>J5</t>
  </si>
  <si>
    <t>May 12, 2025, 1:29 PM</t>
  </si>
  <si>
    <t>Apr 23, 2025, 8:28 AM</t>
  </si>
  <si>
    <t>Kairos Power</t>
  </si>
  <si>
    <t>Gail Chavez</t>
  </si>
  <si>
    <t>careers@kairospower.com</t>
  </si>
  <si>
    <t>505-218-6909</t>
  </si>
  <si>
    <t>Chemical Engineering (CHEN), Civil and Environmental Engineering (CVEN), Electrical Engineering (ELEN), Electronic Systems Engineering Technology (ESET), Manufacturing and Mechanical Engineering Technology (MMET), Materials Science and Engineering (MSEN), Mechanical Engineering (MEEN), Nuclear Engineering (NUEN)</t>
  </si>
  <si>
    <t>Jul 08, 2025, 11:56 AM</t>
  </si>
  <si>
    <t>Kaneka North America</t>
  </si>
  <si>
    <t>Deysi Espinosa</t>
  </si>
  <si>
    <t>deysi.espinosa@kaneka.com</t>
  </si>
  <si>
    <t>K30</t>
  </si>
  <si>
    <t>Jun 24, 2025, 8:34 AM</t>
  </si>
  <si>
    <t>Katie@kasparcompanies.com</t>
  </si>
  <si>
    <t>Computer Engineering (CECN), Computer Science (CPSC), Industrial and Systems Engineering (ISEN), Manufacturing and Mechanical Engineering Technology (MMET), Mechanical Engineering (MEEN)</t>
  </si>
  <si>
    <t>O20</t>
  </si>
  <si>
    <t>Aug 13, 2025, 10:42 AM</t>
  </si>
  <si>
    <t>Ketjen Corporation</t>
  </si>
  <si>
    <t>Haley Boyle</t>
  </si>
  <si>
    <t>haley.boyle@ketjen.com</t>
  </si>
  <si>
    <t>281-757-0930</t>
  </si>
  <si>
    <t>Apr 22, 2025, 3:00 PM</t>
  </si>
  <si>
    <t>Lauren DeLoach</t>
  </si>
  <si>
    <t>lauren.deloach@kdrp.com</t>
  </si>
  <si>
    <t>Chemical Engineering (CHEN), Computer Science (CPSC), Data Engineering (DATA), Industrial and Systems Engineering (ISEN), Manufacturing and Mechanical Engineering Technology (MMET), Mechanical Engineering (MEEN)</t>
  </si>
  <si>
    <t>M21</t>
  </si>
  <si>
    <t>Aug 14, 2025, 11:28 AM</t>
  </si>
  <si>
    <t>Keystone Concrete</t>
  </si>
  <si>
    <t>Kourtnie Simpson</t>
  </si>
  <si>
    <t>kourtnie@stewarthg.com</t>
  </si>
  <si>
    <t>Architectural Engineering (AREN), Civil and Environmental Engineering (CVEN), Materials Science and Engineering (MSEN), Mechanical Engineering (MEEN), Multidisciplinary Engineering Technology (MXET)</t>
  </si>
  <si>
    <t>I11</t>
  </si>
  <si>
    <t>Apr 17, 2025, 8:57 AM</t>
  </si>
  <si>
    <t>May 30, 2025, 12:32 PM</t>
  </si>
  <si>
    <t>Shilo Cikalo</t>
  </si>
  <si>
    <t>shilo@kfm-llc.com</t>
  </si>
  <si>
    <t>Apr 17, 2025, 9:32 AM</t>
  </si>
  <si>
    <t>Chemical Engineering (CHEN), Civil and Environmental Engineering (CVEN), Electrical Engineering (ELEN), Environmental Engineering (EVEN), Materials Science and Engineering (MSEN), Nuclear Engineering (NUEN), Ocean Engineering (OCEN)</t>
  </si>
  <si>
    <t>G8, G9</t>
  </si>
  <si>
    <t>Apr 17, 2025, 11:49 AM</t>
  </si>
  <si>
    <t>McKenzie Markwood</t>
  </si>
  <si>
    <t>mckenzie.markwood@kcc.com</t>
  </si>
  <si>
    <t>Biomedical Engineering (BMEN), Chemical Engineering (CHEN), Computer Engineering (CECN), Electrical Engineering (ELEN), Manufacturing and Mechanical Engineering Technology (MMET)</t>
  </si>
  <si>
    <t>F11, F12</t>
  </si>
  <si>
    <t>Jun 13, 2025, 11:16 AM</t>
  </si>
  <si>
    <t>Katelyn M Zuberbueler</t>
  </si>
  <si>
    <t>katelyn.zuberbueler@kimley-horn.com</t>
  </si>
  <si>
    <t>(830) 998-4543</t>
  </si>
  <si>
    <t>I5, I6</t>
  </si>
  <si>
    <t>Apr 16, 2025, 11:22 AM</t>
  </si>
  <si>
    <t>Kinder Morgan</t>
  </si>
  <si>
    <t>Jessica Raymond</t>
  </si>
  <si>
    <t>jessica_raymond@Kindermorgan.com</t>
  </si>
  <si>
    <t>Chemical Engineering (CHEN), Civil and Environmental Engineering (CVEN), Computer Engineering (CECN), Computer Science (CPSC), Data Engineering (DATA), Electrical Engineering (ELEN), Electronic Systems Engineering Technology (ESET), Environmental Engineering (EVEN), Industrial and Systems Engineering (ISEN), Manufacturing and Mechanical Engineering Technology (MMET), Materials Science and Engineering (MSEN), Mechanical Engineering (MEEN), Petroleum Engineering (PETE)</t>
  </si>
  <si>
    <t>B24, B25</t>
  </si>
  <si>
    <t>May 29, 2025, 12:32 PM</t>
  </si>
  <si>
    <t>May 12, 2025, 3:27 PM</t>
  </si>
  <si>
    <t>Manufacturing and Mechanical Engineering Technology (MMET), Mechanical Engineering (MEEN)</t>
  </si>
  <si>
    <t>M4</t>
  </si>
  <si>
    <t>Jul 01, 2025, 8:54 AM</t>
  </si>
  <si>
    <t>Koch Industries Inc.</t>
  </si>
  <si>
    <t>Matt Kunes</t>
  </si>
  <si>
    <t>EarlyCareer@kochgs.com</t>
  </si>
  <si>
    <t>316-828-8871</t>
  </si>
  <si>
    <t>L7</t>
  </si>
  <si>
    <t>Aug 13, 2025, 4:03 PM</t>
  </si>
  <si>
    <t>M30</t>
  </si>
  <si>
    <t>Apr 16, 2025, 8:30 AM</t>
  </si>
  <si>
    <t>KPMG</t>
  </si>
  <si>
    <t>Meredith Brown</t>
  </si>
  <si>
    <t>mnbrown@kpmg.com</t>
  </si>
  <si>
    <t>972-974-6373</t>
  </si>
  <si>
    <t>Chemical Engineering (CHEN), Industrial Distribution (IDIS), Mechanical Engineering (MEEN), Petroleum Engineering (PETE)</t>
  </si>
  <si>
    <t>Jul 29, 2025, 2:26 PM</t>
  </si>
  <si>
    <t>H24, H25</t>
  </si>
  <si>
    <t>Apr 16, 2025, 8:28 AM</t>
  </si>
  <si>
    <t>Aerospace Engineering (AERO), Computer Engineering (CECN), Computer Science (CPSC), Data Engineering (DATA), Electrical Engineering (ELEN), Industrial Distribution (IDIS), Industrial and Systems Engineering (ISEN), Manufacturing and Mechanical Engineering Technology (MMET), Materials Science and Engineering (MSEN), Mechanical Engineering (MEEN)</t>
  </si>
  <si>
    <t>P16, P17, P18, P19</t>
  </si>
  <si>
    <t>Apr 17, 2025, 8:37 AM</t>
  </si>
  <si>
    <t>kgrona@labattfood.com</t>
  </si>
  <si>
    <t>Computer Engineering (CECN), Computer Science (CPSC), Industrial Distribution (IDIS), Industrial and Systems Engineering (ISEN)</t>
  </si>
  <si>
    <t>C3</t>
  </si>
  <si>
    <t>Apr 16, 2025, 9:26 AM</t>
  </si>
  <si>
    <t>Valerie Watt</t>
  </si>
  <si>
    <t>valerie.watt@lcra.org</t>
  </si>
  <si>
    <t>Civil and Environmental Engineering (CVEN), Electrical Engineering (ELEN), Electronic Systems Engineering Technology (ESET), Environmental Engineering (EVEN), Mechanical Engineering (MEEN)</t>
  </si>
  <si>
    <t>O25</t>
  </si>
  <si>
    <t>Apr 21, 2025, 1:27 PM</t>
  </si>
  <si>
    <t>Lennox International</t>
  </si>
  <si>
    <t>Leni Nickas</t>
  </si>
  <si>
    <t>leni.nickas@lennox.com</t>
  </si>
  <si>
    <t>Civil and Environmental Engineering (CVEN), Computer Engineering (CECN), Computer Science (CPSC), Data Engineering (DATA), Electrical Engineering (ELEN), Electronic Systems Engineering Technology (ESET), Industrial Distribution (IDIS), Industrial and Systems Engineering (ISEN), Manufacturing and Mechanical Engineering Technology (MMET), Mechanical Engineering (MEEN)</t>
  </si>
  <si>
    <t>O29</t>
  </si>
  <si>
    <t>Jul 21, 2025, 1:07 PM</t>
  </si>
  <si>
    <t>Elizabeth Schmidt</t>
  </si>
  <si>
    <t>elizabeth.schmidt@lhoist.com</t>
  </si>
  <si>
    <t>Chemical Engineering (CHEN), Civil and Environmental Engineering (CVEN), Electrical Engineering (ELEN), Environmental Engineering (EVEN), Industrial and Systems Engineering (ISEN), Manufacturing and Mechanical Engineering Technology (MMET), Mechanical Engineering (MEEN), Multidisciplinary Engineering Technology (MXET)</t>
  </si>
  <si>
    <t>L17</t>
  </si>
  <si>
    <t>Apr 16, 2025, 4:04 PM</t>
  </si>
  <si>
    <t>Vicki Thomason</t>
  </si>
  <si>
    <t>vthomason@ltraengineers.com</t>
  </si>
  <si>
    <t>(214) 412-9466</t>
  </si>
  <si>
    <t>I29</t>
  </si>
  <si>
    <t>Apr 23, 2025, 1:36 PM</t>
  </si>
  <si>
    <t>Stephanie Warneke</t>
  </si>
  <si>
    <t>leacareers@linde.com</t>
  </si>
  <si>
    <t>O23</t>
  </si>
  <si>
    <t>May 01, 2025, 4:49 PM</t>
  </si>
  <si>
    <t>Rylee Holt</t>
  </si>
  <si>
    <t>rholt@lja.com</t>
  </si>
  <si>
    <t>Apr 16, 2025, 8:07 AM</t>
  </si>
  <si>
    <t>LJB Inc.</t>
  </si>
  <si>
    <t>Jessica Harshbarger</t>
  </si>
  <si>
    <t>jharshbarger@ljbinc.com</t>
  </si>
  <si>
    <t>Julie Ann Winn</t>
  </si>
  <si>
    <t>julie.winn@lockesolutions.com</t>
  </si>
  <si>
    <t>Apr 17, 2025, 8:07 AM</t>
  </si>
  <si>
    <t>Lockheed Martin</t>
  </si>
  <si>
    <t>Rebecca Beebe</t>
  </si>
  <si>
    <t>lmco@nc3.com</t>
  </si>
  <si>
    <t>P6, P7</t>
  </si>
  <si>
    <t>Jun 16, 2025, 1:12 PM</t>
  </si>
  <si>
    <t>Paula Garcia</t>
  </si>
  <si>
    <t>pygarcia@lan-inc.com</t>
  </si>
  <si>
    <t>512.338.4212</t>
  </si>
  <si>
    <t>Chemical Engineering (CHEN), Civil and Environmental Engineering (CVEN), Environmental Engineering (EVEN), Mechanical Engineering (MEEN)</t>
  </si>
  <si>
    <t>G10</t>
  </si>
  <si>
    <t>Apr 16, 2025, 9:08 AM</t>
  </si>
  <si>
    <t>Kelli GIll</t>
  </si>
  <si>
    <t>979-313-2626</t>
  </si>
  <si>
    <t>Electrical Engineering (ELEN), Industrial and Systems Engineering (ISEN), Manufacturing and Mechanical Engineering Technology (MMET), Multidisciplinary Engineering Technology (MXET)</t>
  </si>
  <si>
    <t>Apr 16, 2025, 9:09 AM</t>
  </si>
  <si>
    <t>LoneStar NDE Innovations</t>
  </si>
  <si>
    <t>Ben M Blandford</t>
  </si>
  <si>
    <t>bblandford@lsnde.com</t>
  </si>
  <si>
    <t>Computer Science (CPSC), Electrical Engineering (ELEN)</t>
  </si>
  <si>
    <t>Jun 18, 2025, 5:06 PM</t>
  </si>
  <si>
    <t>Loram Maintenance of Way</t>
  </si>
  <si>
    <t>Angie Bendtsen</t>
  </si>
  <si>
    <t>angela.m.bendtsen@loram.com</t>
  </si>
  <si>
    <t>612-270-9726</t>
  </si>
  <si>
    <t>Aug 22, 2025, 12:12 PM</t>
  </si>
  <si>
    <t>Ryan Larson</t>
  </si>
  <si>
    <t>ryan.j.larson@loram.com</t>
  </si>
  <si>
    <t>612-209-9248</t>
  </si>
  <si>
    <t>Computer Engineering (CECN), Computer Science (CPSC), Electrical Engineering (ELEN), Electronic Systems Engineering Technology (ESET), Manufacturing and Mechanical Engineering Technology (MMET), Mechanical Engineering (MEEN)</t>
  </si>
  <si>
    <t>May 08, 2025, 12:29 PM</t>
  </si>
  <si>
    <t>Los Alamos National Laboratory</t>
  </si>
  <si>
    <t>Aya Saravia</t>
  </si>
  <si>
    <t>aya@lanl.gov</t>
  </si>
  <si>
    <t>May 01, 2025, 2:12 PM</t>
  </si>
  <si>
    <t>hr@lty-engineers.com</t>
  </si>
  <si>
    <t>M5</t>
  </si>
  <si>
    <t>Apr 16, 2025, 8:32 AM</t>
  </si>
  <si>
    <t>Lubrizol Corporation</t>
  </si>
  <si>
    <t>Lauren Stokley</t>
  </si>
  <si>
    <t>lauren.stokley@lubrizol.com</t>
  </si>
  <si>
    <t>Biomedical Engineering (BMEN), Chemical Engineering (CHEN), Computer Engineering (CECN), Computer Science (CPSC), Electrical Engineering (ELEN), Environmental Engineering (EVEN), Mechanical Engineering (MEEN)</t>
  </si>
  <si>
    <t>K10</t>
  </si>
  <si>
    <t>Jun 11, 2025, 1:13 PM</t>
  </si>
  <si>
    <t>Lynn Engineering</t>
  </si>
  <si>
    <t>Celestina Encinia</t>
  </si>
  <si>
    <t>celestina.encinia@lynngroup.com</t>
  </si>
  <si>
    <t>Apr 17, 2025, 9:04 AM</t>
  </si>
  <si>
    <t>Danielle Quintanilla</t>
  </si>
  <si>
    <t>danielle.quintanilla@lyondellbasell.com</t>
  </si>
  <si>
    <t>L10, L11</t>
  </si>
  <si>
    <t>May 07, 2025, 11:45 AM</t>
  </si>
  <si>
    <t>Kendall Simpson</t>
  </si>
  <si>
    <t>ksimpson@msengr.com</t>
  </si>
  <si>
    <t>210-896-8517</t>
  </si>
  <si>
    <t>E11</t>
  </si>
  <si>
    <t>Apr 16, 2025, 8:16 AM</t>
  </si>
  <si>
    <t>Lauren Vaughn</t>
  </si>
  <si>
    <t>lvaughn@mahoneyeng.com</t>
  </si>
  <si>
    <t>(985) 807-7135</t>
  </si>
  <si>
    <t>H18</t>
  </si>
  <si>
    <t>Apr 29, 2025, 2:32 PM</t>
  </si>
  <si>
    <t>Civil and Environmental Engineering (CVEN), Industrial and Systems Engineering (ISEN), Mechanical Engineering (MEEN)</t>
  </si>
  <si>
    <t>Joci Martinez</t>
  </si>
  <si>
    <t>jmartinez@manhard.com</t>
  </si>
  <si>
    <t>Apr 16, 2025, 8:42 AM</t>
  </si>
  <si>
    <t>Computer Engineering (CECN), Computer Science (CPSC), Electrical Engineering (ELEN), Industrial and Systems Engineering (ISEN), Mechanical Engineering (MEEN)</t>
  </si>
  <si>
    <t>Jul 15, 2025, 9:05 AM</t>
  </si>
  <si>
    <t>H6</t>
  </si>
  <si>
    <t>Jun 27, 2025, 3:04 PM</t>
  </si>
  <si>
    <t>Marathon Petroleum Corporation</t>
  </si>
  <si>
    <t>Nicole Castillo</t>
  </si>
  <si>
    <t>nmcastillo@marathonpetroleum.com</t>
  </si>
  <si>
    <t>K26, K27</t>
  </si>
  <si>
    <t>Apr 29, 2025, 11:18 AM</t>
  </si>
  <si>
    <t>Martin Marietta Materials</t>
  </si>
  <si>
    <t>Elizabeth Gallegos</t>
  </si>
  <si>
    <t>elizabeth.gallegos@martinmarietta.com</t>
  </si>
  <si>
    <t>737-215-7630</t>
  </si>
  <si>
    <t>Chemical Engineering (CHEN), Electrical Engineering (ELEN), Manufacturing and Mechanical Engineering Technology (MMET), Materials Science and Engineering (MSEN), Mechanical Engineering (MEEN), Multidisciplinary Engineering Technology (MXET)</t>
  </si>
  <si>
    <t>corner</t>
  </si>
  <si>
    <t>Aug 21, 2025, 2:46 PM</t>
  </si>
  <si>
    <t>Civil and Environmental Engineering (CVEN), Mechanical Engineering (MEEN), Ocean Engineering (OCEN)</t>
  </si>
  <si>
    <t>Jun 30, 2025, 11:22 AM</t>
  </si>
  <si>
    <t>Chemical Engineering (CHEN), Civil and Environmental Engineering (CVEN), Electrical Engineering (ELEN), Industrial and Systems Engineering (ISEN), Mechanical Engineering (MEEN), Petroleum Engineering (PETE)</t>
  </si>
  <si>
    <t>L20, L21</t>
  </si>
  <si>
    <t>Apr 16, 2025, 7:36 AM</t>
  </si>
  <si>
    <t>Jul 14, 2025, 10:18 AM</t>
  </si>
  <si>
    <t>Dr. Madhav Pappu</t>
  </si>
  <si>
    <t>mpappu@mays.tamu.edu</t>
  </si>
  <si>
    <t>Computer Engineering (CECN), Data Engineering (DATA), Industrial Distribution (IDIS), Industrial and Systems Engineering (ISEN), Multidisciplinary Engineering Technology (MXET)</t>
  </si>
  <si>
    <t>May 20, 2025, 1:48 PM</t>
  </si>
  <si>
    <t>Mays Engineering MBA</t>
  </si>
  <si>
    <t>bellen@mays.tamu.edu</t>
  </si>
  <si>
    <t>C16</t>
  </si>
  <si>
    <t>Apr 16, 2025, 9:53 AM</t>
  </si>
  <si>
    <t>817-863-7505</t>
  </si>
  <si>
    <t>G15</t>
  </si>
  <si>
    <t>Apr 17, 2025, 3:32 PM</t>
  </si>
  <si>
    <t>McKinstry</t>
  </si>
  <si>
    <t>Melissa Ambrose</t>
  </si>
  <si>
    <t>melissaa@mckinstry.com</t>
  </si>
  <si>
    <t>Architectural Engineering (AREN), Civil and Environmental Engineering (CVEN), Electrical Engineering (ELEN), Electronic Systems Engineering Technology (ESET), Environmental Engineering (EVEN), Industrial and Systems Engineering (ISEN), Manufacturing and Mechanical Engineering Technology (MMET), Mechanical Engineering (MEEN), Multidisciplinary Engineering Technology (MXET)</t>
  </si>
  <si>
    <t>O8</t>
  </si>
  <si>
    <t>Apr 16, 2025, 2:44 PM</t>
  </si>
  <si>
    <t>K17</t>
  </si>
  <si>
    <t>Aug 05, 2025, 11:24 AM</t>
  </si>
  <si>
    <t>Micro Systems Engineering, Inc. (MSEI)</t>
  </si>
  <si>
    <t>Meghan Thein</t>
  </si>
  <si>
    <t>meghan.thein@biotronik.com</t>
  </si>
  <si>
    <t>202-271-2563</t>
  </si>
  <si>
    <t>Biomedical Engineering (BMEN), Chemical Engineering (CHEN), Computer Engineering (CECN), Electrical Engineering (ELEN), Manufacturing and Mechanical Engineering Technology (MMET), Mechanical Engineering (MEEN)</t>
  </si>
  <si>
    <t>Bachelor's, Doctorate</t>
  </si>
  <si>
    <t>May 05, 2025, 2:51 PM</t>
  </si>
  <si>
    <t>404.906.8393</t>
  </si>
  <si>
    <t>Computer Engineering (CECN), Electrical Engineering (ELEN), Electronic Systems Engineering Technology (ESET), Industrial and Systems Engineering (ISEN), Manufacturing and Mechanical Engineering Technology (MMET), Mechanical Engineering (MEEN), Multidisciplinary Engineering Technology (MXET)</t>
  </si>
  <si>
    <t>F16</t>
  </si>
  <si>
    <t>Apr 21, 2025, 2:30 PM</t>
  </si>
  <si>
    <t>Miller Gray LLC</t>
  </si>
  <si>
    <t>Amanda Wheeless</t>
  </si>
  <si>
    <t>amanda.wheeless@miller-gray.com</t>
  </si>
  <si>
    <t>Aug 04, 2025, 12:40 PM</t>
  </si>
  <si>
    <t>MISO (Midcontinent Independent System Operator, Inc)</t>
  </si>
  <si>
    <t>Whitney Robbins</t>
  </si>
  <si>
    <t>wrobbins@misoenergy.org</t>
  </si>
  <si>
    <t>317-771-4195</t>
  </si>
  <si>
    <t>Computer Engineering (CECN), Data Engineering (DATA), Electrical Engineering (ELEN), Industrial and Systems Engineering (ISEN)</t>
  </si>
  <si>
    <t>Apr 16, 2025, 2:12 PM</t>
  </si>
  <si>
    <t>Heather Thomas</t>
  </si>
  <si>
    <t>hthomas@mii.com</t>
  </si>
  <si>
    <t>Chemical Engineering (CHEN), Civil and Environmental Engineering (CVEN), Computer Science (CPSC), Electrical Engineering (ELEN), Industrial and Systems Engineering (ISEN), Manufacturing and Mechanical Engineering Technology (MMET), Materials Science and Engineering (MSEN), Mechanical Engineering (MEEN), Multidisciplinary Engineering Technology (MXET)</t>
  </si>
  <si>
    <t>Apr 16, 2025, 8:04 AM</t>
  </si>
  <si>
    <t>mma</t>
  </si>
  <si>
    <t>dlarson@mmatexas.com</t>
  </si>
  <si>
    <t>L4</t>
  </si>
  <si>
    <t>Apr 16, 2025, 9:51 AM</t>
  </si>
  <si>
    <t>Motiva Enterprises (Silver Partner)</t>
  </si>
  <si>
    <t>Tayler Whipple</t>
  </si>
  <si>
    <t>tayler.haynes@motiva.com</t>
  </si>
  <si>
    <t>Chemical Engineering (CHEN), Computer Engineering (CECN), Computer Science (CPSC), Data Engineering (DATA), Electrical Engineering (ELEN), Mechanical Engineering (MEEN)</t>
  </si>
  <si>
    <t>M1, M2</t>
  </si>
  <si>
    <t>Apr 16, 2025, 1:49 PM</t>
  </si>
  <si>
    <t>Mott MacDonald</t>
  </si>
  <si>
    <t>Erika Fonseca</t>
  </si>
  <si>
    <t>erika.fonseca@mottmac.com</t>
  </si>
  <si>
    <t>Chemical Engineering (CHEN), Civil and Environmental Engineering (CVEN), Electrical Engineering (ELEN), Environmental Engineering (EVEN), Mechanical Engineering (MEEN), Ocean Engineering (OCEN)</t>
  </si>
  <si>
    <t>Apr 29, 2025, 1:27 PM</t>
  </si>
  <si>
    <t>Steven Young Tangular Young</t>
  </si>
  <si>
    <t>Chemical Engineering (CHEN), Electrical Engineering (ELEN), Electronic Systems Engineering Technology (ESET), Manufacturing and Mechanical Engineering Technology (MMET), Materials Science and Engineering (MSEN), Mechanical Engineering (MEEN)</t>
  </si>
  <si>
    <t>Jun 24, 2025, 1:48 PM</t>
  </si>
  <si>
    <t>MRBgroup</t>
  </si>
  <si>
    <t>Kari E Hinojos</t>
  </si>
  <si>
    <t>kari.hinojos@mrbgroup.com</t>
  </si>
  <si>
    <t>Q2</t>
  </si>
  <si>
    <t>Jul 24, 2025, 11:38 AM</t>
  </si>
  <si>
    <t>Jessica Brown</t>
  </si>
  <si>
    <t>jessica.brown@nabors.com</t>
  </si>
  <si>
    <t>Chemical Engineering (CHEN), Computer Engineering (CECN), Computer Science (CPSC), Electrical Engineering (ELEN), Mechanical Engineering (MEEN)</t>
  </si>
  <si>
    <t>Aug 28, 2025, 4:17 PM</t>
  </si>
  <si>
    <t>Kourtnee G. Phillips</t>
  </si>
  <si>
    <t>kourtnee.phillips@nabors.com</t>
  </si>
  <si>
    <t>Computer Engineering (CECN), Computer Science (CPSC), Electrical Engineering (ELEN), Mechanical Engineering (MEEN), Petroleum Engineering (PETE)</t>
  </si>
  <si>
    <t>Apr 17, 2025, 11:11 AM</t>
  </si>
  <si>
    <t>National Security Agency</t>
  </si>
  <si>
    <t>Kaley.metz@caci.com</t>
  </si>
  <si>
    <t>Data Engineering (DATA)</t>
  </si>
  <si>
    <t>Aerospace Engineering (AERO), Chemical Engineering (CHEN), Civil and Environmental Engineering (CVEN), Computer Engineering (CECN), Computer Science (CPSC), Data Engineering (DATA), Electrical Engineering (ELEN), Electronic Systems Engineering Technology (ESET), Industrial Distribution (IDIS), Industrial and Systems Engineering (ISEN), Manufacturing and Mechanical Engineering Technology (MMET), Materials Science and Engineering (MSEN), Mechanical Engineering (MEEN), Multidisciplinary Engineering Technology (MXET), Nuclear Engineering (NUEN)</t>
  </si>
  <si>
    <t>Aug 01, 2025, 10:14 AM</t>
  </si>
  <si>
    <t>Aerospace Engineering (AERO), Chemical Engineering (CHEN), Civil and Environmental Engineering (CVEN), Computer Engineering (CECN), Computer Science (CPSC), Data Engineering (DATA), Electrical Engineering (ELEN), Mechanical Engineering (MEEN), Nuclear Engineering (NUEN)</t>
  </si>
  <si>
    <t>O1</t>
  </si>
  <si>
    <t>May 12, 2025, 1:14 PM</t>
  </si>
  <si>
    <t>McCaleigh Harris</t>
  </si>
  <si>
    <t>mccaleigh.harris@ncratleos.com</t>
  </si>
  <si>
    <t>Computer Science (CPSC), Data Engineering (DATA), Industrial and Systems Engineering (ISEN)</t>
  </si>
  <si>
    <t>E30</t>
  </si>
  <si>
    <t>Jul 01, 2025, 9:19 AM</t>
  </si>
  <si>
    <t>Jul 30, 2025, 1:11 PM</t>
  </si>
  <si>
    <t>NextEra Energy, Inc.</t>
  </si>
  <si>
    <t>Christine Mercier</t>
  </si>
  <si>
    <t>christine.mercier@fpl.com</t>
  </si>
  <si>
    <t>Aerospace Engineering (AERO), Architectural Engineering (AREN), Biological and Agricultural Engineering (BAEN), Chemical Engineering (CHEN), Civil and Environmental Engineering (CVEN), Computer Engineering (CECN), Computer Science (CPSC), Electrical Engineering (ELEN), Electronic Systems Engineering Technology (ESET), Environmental Engineering (EVEN), Industrial and Systems Engineering (ISEN), Manufacturing and Mechanical Engineering Technology (MMET), Materials Science and Engineering (MSEN), Mechanical Engineering (MEEN), Multidisciplinary Engineering Technology (MXET), Nuclear Engineering (NUEN), Petroleum Engineering (PETE)</t>
  </si>
  <si>
    <t>Aug 08, 2025, 9:09 AM</t>
  </si>
  <si>
    <t>Chemical Engineering (CHEN), Manufacturing and Mechanical Engineering Technology (MMET), Mechanical Engineering (MEEN)</t>
  </si>
  <si>
    <t>D17, D18</t>
  </si>
  <si>
    <t>Apr 29, 2025, 2:24 PM</t>
  </si>
  <si>
    <t>757-396-4623</t>
  </si>
  <si>
    <t>Aerospace Engineering (AERO), Architectural Engineering (AREN), Biological and Agricultural Engineering (BAEN), Biomedical Engineering (BMEN), Chemical Engineering (CHEN), Civil and Environmental Engineering (CVEN), Computer Science (CPSC), Electrical Engineering (ELEN), Electronic Systems Engineering Technology (ESET), Environmental Engineering (EVEN), Industrial and Systems Engineering (ISEN), Manufacturing and Mechanical Engineering Technology (MMET), Materials Science and Engineering (MSEN), Mechanical Engineering (MEEN), Multidisciplinary Engineering Technology (MXET), Nuclear Engineering (NUEN), Ocean Engineering (OCEN), Petroleum Engineering (PETE)</t>
  </si>
  <si>
    <t>Apr 16, 2025, 9:46 AM</t>
  </si>
  <si>
    <t>NorthMark Strategies</t>
  </si>
  <si>
    <t>Carson Holtgraves</t>
  </si>
  <si>
    <t>campus@gresearch.co.uk</t>
  </si>
  <si>
    <t>E20</t>
  </si>
  <si>
    <t>Jul 17, 2025, 4:51 AM</t>
  </si>
  <si>
    <t>Kendall Headley</t>
  </si>
  <si>
    <t>kendall.headley@nouryon.com</t>
  </si>
  <si>
    <t>281-813-2925</t>
  </si>
  <si>
    <t>Chemical Engineering (CHEN), Data Engineering (DATA), Electrical Engineering (ELEN), Environmental Engineering (EVEN), Industrial and Systems Engineering (ISEN), Mechanical Engineering (MEEN)</t>
  </si>
  <si>
    <t>Jun 18, 2025, 3:28 PM</t>
  </si>
  <si>
    <t>NOV National Oilwell Varco</t>
  </si>
  <si>
    <t>Lidia Chah</t>
  </si>
  <si>
    <t>Computer Engineering (CECN), Computer Science (CPSC), Electrical Engineering (ELEN), Electronic Systems Engineering Technology (ESET), Industrial and Systems Engineering (ISEN), Manufacturing and Mechanical Engineering Technology (MMET), Materials Science and Engineering (MSEN), Mechanical Engineering (MEEN), Multidisciplinary Engineering Technology (MXET)</t>
  </si>
  <si>
    <t>P27, P28</t>
  </si>
  <si>
    <t>Apr 16, 2025, 10:48 AM</t>
  </si>
  <si>
    <t>NRG/Reliant</t>
  </si>
  <si>
    <t>Chikobi Ijomah</t>
  </si>
  <si>
    <t>earlycareers@nrg.com</t>
  </si>
  <si>
    <t>Chemical Engineering (CHEN), Computer Science (CPSC), Electrical Engineering (ELEN), Electronic Systems Engineering Technology (ESET), Industrial and Systems Engineering (ISEN), Manufacturing and Mechanical Engineering Technology (MMET), Mechanical Engineering (MEEN)</t>
  </si>
  <si>
    <t>Jun 30, 2025, 9:40 AM</t>
  </si>
  <si>
    <t>847-400-4443</t>
  </si>
  <si>
    <t>Aerospace Engineering (AERO), Industrial Distribution (IDIS), Manufacturing and Mechanical Engineering Technology (MMET), Mechanical Engineering (MEEN)</t>
  </si>
  <si>
    <t>Jul 08, 2025, 3:09 PM</t>
  </si>
  <si>
    <t>Computer Engineering (CECN), Computer Science (CPSC), Data Engineering (DATA), Electrical Engineering (ELEN), Electronic Systems Engineering Technology (ESET), Environmental Engineering (EVEN), Industrial and Systems Engineering (ISEN), Manufacturing and Mechanical Engineering Technology (MMET), Materials Science and Engineering (MSEN), Mechanical Engineering (MEEN), Multidisciplinary Engineering Technology (MXET)</t>
  </si>
  <si>
    <t>M22</t>
  </si>
  <si>
    <t>Apr 16, 2025, 9:41 AM</t>
  </si>
  <si>
    <t>Chemical Engineering (CHEN), Computer Engineering (CECN), Computer Science (CPSC), Electrical Engineering (ELEN), Environmental Engineering (EVEN), Industrial and Systems Engineering (ISEN), Materials Science and Engineering (MSEN), Mechanical Engineering (MEEN)</t>
  </si>
  <si>
    <t>N14, N15</t>
  </si>
  <si>
    <t>May 06, 2025, 9:58 AM</t>
  </si>
  <si>
    <t>Aerospace Engineering (AERO), Computer Engineering (CECN), Computer Science (CPSC), Electrical Engineering (ELEN), Mechanical Engineering (MEEN), Multidisciplinary Engineering Technology (MXET)</t>
  </si>
  <si>
    <t>P3</t>
  </si>
  <si>
    <t>Apr 17, 2025, 1:17 PM</t>
  </si>
  <si>
    <t>Olin</t>
  </si>
  <si>
    <t>Hailey Bennett</t>
  </si>
  <si>
    <t>universityrecruiting@olin.com</t>
  </si>
  <si>
    <t>(423) 336-4014</t>
  </si>
  <si>
    <t>N1, N2, N3</t>
  </si>
  <si>
    <t>Apr 24, 2025, 3:19 PM</t>
  </si>
  <si>
    <t>Q12</t>
  </si>
  <si>
    <t>Apr 23, 2025, 7:18 AM</t>
  </si>
  <si>
    <t>Civil and Environmental Engineering (CVEN), Electrical Engineering (ELEN), Electronic Systems Engineering Technology (ESET), Mechanical Engineering (MEEN), Multidisciplinary Engineering Technology (MXET)</t>
  </si>
  <si>
    <t>B5, B6</t>
  </si>
  <si>
    <t>Apr 16, 2025, 1:48 PM</t>
  </si>
  <si>
    <t>Opportune LLP</t>
  </si>
  <si>
    <t>Cheyenne Pope</t>
  </si>
  <si>
    <t>cpope@opportune.com</t>
  </si>
  <si>
    <t>Computer Engineering (CECN), Computer Science (CPSC), Industrial Distribution (IDIS), Industrial and Systems Engineering (ISEN), Mechanical Engineering (MEEN)</t>
  </si>
  <si>
    <t>May 21, 2025, 10:35 AM</t>
  </si>
  <si>
    <t>Aug 06, 2025, 9:00 AM</t>
  </si>
  <si>
    <t>469-233-9598</t>
  </si>
  <si>
    <t>Apr 16, 2025, 9:10 AM</t>
  </si>
  <si>
    <t>Ovintiv</t>
  </si>
  <si>
    <t>Ovintiv Talent Management</t>
  </si>
  <si>
    <t>university.recruiting@ovintiv.com</t>
  </si>
  <si>
    <t>720-876-3384</t>
  </si>
  <si>
    <t>Chemical Engineering (CHEN), Computer Science (CPSC), Electrical Engineering (ELEN), Mechanical Engineering (MEEN), Petroleum Engineering (PETE)</t>
  </si>
  <si>
    <t>Jun 17, 2025, 5:37 PM</t>
  </si>
  <si>
    <t>Owens Corning</t>
  </si>
  <si>
    <t>owenscorning@nc3.com</t>
  </si>
  <si>
    <t>Chemical Engineering (CHEN), Electrical Engineering (ELEN), Electronic Systems Engineering Technology (ESET), Environmental Engineering (EVEN), Industrial Distribution (IDIS), Industrial and Systems Engineering (ISEN), Manufacturing and Mechanical Engineering Technology (MMET), Materials Science and Engineering (MSEN), Mechanical Engineering (MEEN), Multidisciplinary Engineering Technology (MXET)</t>
  </si>
  <si>
    <t>N13</t>
  </si>
  <si>
    <t>Oxy</t>
  </si>
  <si>
    <t>Brigette Biagas</t>
  </si>
  <si>
    <t>University_Relations@oxy.com</t>
  </si>
  <si>
    <t>713-497-2110</t>
  </si>
  <si>
    <t>Chemical Engineering (CHEN), Computer Engineering (CECN), Computer Science (CPSC), Data Engineering (DATA), Electrical Engineering (ELEN), Environmental Engineering (EVEN), Materials Science and Engineering (MSEN), Mechanical Engineering (MEEN), Petroleum Engineering (PETE)</t>
  </si>
  <si>
    <t>J12, J13</t>
  </si>
  <si>
    <t>Apr 16, 2025, 8:02 AM</t>
  </si>
  <si>
    <t>P&amp;G (Procter &amp; Gamble)</t>
  </si>
  <si>
    <t>Robyn Morison</t>
  </si>
  <si>
    <t>morison.r@pg.com</t>
  </si>
  <si>
    <t>N22, N23</t>
  </si>
  <si>
    <t>Jun 04, 2025, 7:41 AM</t>
  </si>
  <si>
    <t>Palski &amp; Associates, Inc.</t>
  </si>
  <si>
    <t>Shelly RobertsFrost</t>
  </si>
  <si>
    <t>shelly.robertsfrost@palski.com</t>
  </si>
  <si>
    <t>Jul 17, 2025, 3:18 PM</t>
  </si>
  <si>
    <t>Mark Ross</t>
  </si>
  <si>
    <t>markrosspx@gmail.com</t>
  </si>
  <si>
    <t>(806) 282-3162</t>
  </si>
  <si>
    <t>Chemical Engineering (CHEN), Civil and Environmental Engineering (CVEN), Data Engineering (DATA), Electrical Engineering (ELEN), Manufacturing and Mechanical Engineering Technology (MMET), Mechanical Engineering (MEEN), Nuclear Engineering (NUEN)</t>
  </si>
  <si>
    <t>H8, H9, H10</t>
  </si>
  <si>
    <t>Jul 14, 2025, 1:23 PM</t>
  </si>
  <si>
    <t>956-206-4965</t>
  </si>
  <si>
    <t>H27, H28, H29, H30</t>
  </si>
  <si>
    <t>Apr 23, 2025, 12:35 PM</t>
  </si>
  <si>
    <t>PARIC LLC</t>
  </si>
  <si>
    <t>Lauren Chiarelli</t>
  </si>
  <si>
    <t>lchiarelli@paric.com</t>
  </si>
  <si>
    <t>Architectural Engineering (AREN), Civil and Environmental Engineering (CVEN), Electrical Engineering (ELEN), Manufacturing and Mechanical Engineering Technology (MMET), Mechanical Engineering (MEEN)</t>
  </si>
  <si>
    <t>M17</t>
  </si>
  <si>
    <t>Jul 23, 2025, 10:54 AM</t>
  </si>
  <si>
    <t>Pariveda</t>
  </si>
  <si>
    <t>Jessica Sember</t>
  </si>
  <si>
    <t>campusrecruiting@parivedasolutions.com</t>
  </si>
  <si>
    <t>Computer Science (CPSC), Data Engineering (DATA)</t>
  </si>
  <si>
    <t>Jul 21, 2025, 12:26 PM</t>
  </si>
  <si>
    <t>Parker Hannifin</t>
  </si>
  <si>
    <t>Valencia Griffin</t>
  </si>
  <si>
    <t>valencia.griffin@parker.com</t>
  </si>
  <si>
    <t>Aerospace Engineering (AERO), Chemical Engineering (CHEN), Computer Engineering (CECN), Computer Science (CPSC), Data Engineering (DATA), Electrical Engineering (ELEN), Environmental Engineering (EVEN), Industrial Distribution (IDIS), Industrial and Systems Engineering (ISEN), Manufacturing and Mechanical Engineering Technology (MMET), Mechanical Engineering (MEEN)</t>
  </si>
  <si>
    <t>B12, B13</t>
  </si>
  <si>
    <t>May 28, 2025, 1:09 PM</t>
  </si>
  <si>
    <t>Patterson-UTI Energy</t>
  </si>
  <si>
    <t>Mikinzy.Boggs@PatEnergy.com</t>
  </si>
  <si>
    <t>Chemical Engineering (CHEN), Computer Engineering (CECN), Computer Science (CPSC), Electrical Engineering (ELEN), Electronic Systems Engineering Technology (ESET), Industrial and Systems Engineering (ISEN), Mechanical Engineering (MEEN), Petroleum Engineering (PETE)</t>
  </si>
  <si>
    <t>F1, F2, F3</t>
  </si>
  <si>
    <t>Apr 16, 2025, 9:34 AM</t>
  </si>
  <si>
    <t>Patti Engineering</t>
  </si>
  <si>
    <t>Barbara J. Rausch</t>
  </si>
  <si>
    <t>brausch@pattieng.com</t>
  </si>
  <si>
    <t>248-431-2309</t>
  </si>
  <si>
    <t>Electrical Engineering (ELEN), Electronic Systems Engineering Technology (ESET), Multidisciplinary Engineering Technology (MXET)</t>
  </si>
  <si>
    <t>Apr 21, 2025, 9:47 AM</t>
  </si>
  <si>
    <t>Tony V Talamantes</t>
  </si>
  <si>
    <t>tony.talamantes@paycomonline.com</t>
  </si>
  <si>
    <t>PCL Solar Constructor USA, Inc.</t>
  </si>
  <si>
    <t>April Graves</t>
  </si>
  <si>
    <t>solarusarecruiting@pcl.com</t>
  </si>
  <si>
    <t>Civil and Environmental Engineering (CVEN), Computer Engineering (CECN), Electrical Engineering (ELEN), Electronic Systems Engineering Technology (ESET), Environmental Engineering (EVEN), Manufacturing and Mechanical Engineering Technology (MMET), Mechanical Engineering (MEEN)</t>
  </si>
  <si>
    <t>H24</t>
  </si>
  <si>
    <t>Jun 02, 2025, 3:43 PM</t>
  </si>
  <si>
    <t>K28</t>
  </si>
  <si>
    <t>Apr 16, 2025, 11:05 AM</t>
  </si>
  <si>
    <t>Erin Clark</t>
  </si>
  <si>
    <t>pepsico@nc3.com</t>
  </si>
  <si>
    <t>Chemical Engineering (CHEN), Industrial and Systems Engineering (ISEN), Mechanical Engineering (MEEN)</t>
  </si>
  <si>
    <t>E12, E13, E14, E15</t>
  </si>
  <si>
    <t>Apr 16, 2025, 10:40 AM</t>
  </si>
  <si>
    <t>Percheron Holdings LLC</t>
  </si>
  <si>
    <t>Tiffany Carrier</t>
  </si>
  <si>
    <t>tiffany.carrier@percheronllc.com</t>
  </si>
  <si>
    <t>440.552.5522</t>
  </si>
  <si>
    <t>Q11</t>
  </si>
  <si>
    <t>Apr 16, 2025, 12:04 PM</t>
  </si>
  <si>
    <t>Phillips 66 (Silver Partner)</t>
  </si>
  <si>
    <t>Tandi Smith</t>
  </si>
  <si>
    <t>earlycareerrecruiting@p66.com</t>
  </si>
  <si>
    <t>918-977-7013</t>
  </si>
  <si>
    <t>J14, J15</t>
  </si>
  <si>
    <t>May 28, 2025, 11:53 PM</t>
  </si>
  <si>
    <t>Pike Engineering</t>
  </si>
  <si>
    <t>James W Simpson</t>
  </si>
  <si>
    <t>jwsimpson@pike.com</t>
  </si>
  <si>
    <t>252 495 1658</t>
  </si>
  <si>
    <t>Civil and Environmental Engineering (CVEN), Electrical Engineering (ELEN), Electronic Systems Engineering Technology (ESET), Manufacturing and Mechanical Engineering Technology (MMET), Mechanical Engineering (MEEN), Multidisciplinary Engineering Technology (MXET)</t>
  </si>
  <si>
    <t>Jun 24, 2025, 5:37 PM</t>
  </si>
  <si>
    <t>Pinnacle</t>
  </si>
  <si>
    <t>Gabriela Martinez</t>
  </si>
  <si>
    <t>gabriela.martinez@pinnaclereliability.com</t>
  </si>
  <si>
    <t>Chemical Engineering (CHEN), Industrial Distribution (IDIS), Industrial and Systems Engineering (ISEN), Manufacturing and Mechanical Engineering Technology (MMET), Materials Science and Engineering (MSEN), Mechanical Engineering (MEEN), Petroleum Engineering (PETE)</t>
  </si>
  <si>
    <t>M11</t>
  </si>
  <si>
    <t>Monica Moser</t>
  </si>
  <si>
    <t>mmoser@plummer.com</t>
  </si>
  <si>
    <t>817-806-1700</t>
  </si>
  <si>
    <t>Biological and Agricultural Engineering (BAEN), Chemical Engineering (CHEN), Civil and Environmental Engineering (CVEN), Electrical Engineering (ELEN), Environmental Engineering (EVEN), Mechanical Engineering (MEEN)</t>
  </si>
  <si>
    <t>May 01, 2025, 9:53 AM</t>
  </si>
  <si>
    <t>Powell Industries</t>
  </si>
  <si>
    <t>Britney Hoang</t>
  </si>
  <si>
    <t>britney.hoang@powellind.com</t>
  </si>
  <si>
    <t>Computer Science (CPSC), Electrical Engineering (ELEN), Manufacturing and Mechanical Engineering Technology (MMET), Mechanical Engineering (MEEN)</t>
  </si>
  <si>
    <t>Apr 22, 2025, 11:01 AM</t>
  </si>
  <si>
    <t>P7</t>
  </si>
  <si>
    <t>Jul 30, 2025, 11:43 AM</t>
  </si>
  <si>
    <t>ProAutomated</t>
  </si>
  <si>
    <t>Megan Migioia</t>
  </si>
  <si>
    <t>mmigioia@proautomated.com</t>
  </si>
  <si>
    <t>Civil and Environmental Engineering (CVEN), Computer Engineering (CECN), Computer Science (CPSC), Electrical Engineering (ELEN), Electronic Systems Engineering Technology (ESET), Industrial Distribution (IDIS), Industrial and Systems Engineering (ISEN), Manufacturing and Mechanical Engineering Technology (MMET), Materials Science and Engineering (MSEN), Mechanical Engineering (MEEN), Multidisciplinary Engineering Technology (MXET)</t>
  </si>
  <si>
    <t>Aug 06, 2025, 9:09 AM</t>
  </si>
  <si>
    <t>Qorvo</t>
  </si>
  <si>
    <t>Melissa Kissinger</t>
  </si>
  <si>
    <t>melissa.kissinger@qorvo.com</t>
  </si>
  <si>
    <t>734-233-1696</t>
  </si>
  <si>
    <t>Computer Engineering (CECN), Electrical Engineering (ELEN), Environmental Engineering (EVEN), Industrial and Systems Engineering (ISEN), Materials Science and Engineering (MSEN), Mechanical Engineering (MEEN)</t>
  </si>
  <si>
    <t>Jun 10, 2025, 3:14 PM</t>
  </si>
  <si>
    <t>Ryan Carey</t>
  </si>
  <si>
    <t>ryan.carey@qtsdatacenters.com</t>
  </si>
  <si>
    <t>470-720-1069</t>
  </si>
  <si>
    <t>Architectural Engineering (AREN), Civil and Environmental Engineering (CVEN), Computer Engineering (CECN), Electronic Systems Engineering Technology (ESET), Industrial Distribution (IDIS), Industrial and Systems Engineering (ISEN)</t>
  </si>
  <si>
    <t>I8</t>
  </si>
  <si>
    <t>Apr 22, 2025, 8:26 AM</t>
  </si>
  <si>
    <t>Melissa Bolan</t>
  </si>
  <si>
    <t>Civil and Environmental Engineering (CVEN), Electrical Engineering (ELEN)</t>
  </si>
  <si>
    <t>May 27, 2025, 12:08 PM</t>
  </si>
  <si>
    <t>Amber Stickney</t>
  </si>
  <si>
    <t>astickney@quantaservices.com</t>
  </si>
  <si>
    <t>Civil and Environmental Engineering (CVEN), Data Engineering (DATA), Electrical Engineering (ELEN)</t>
  </si>
  <si>
    <t>Jul 17, 2025, 3:58 PM</t>
  </si>
  <si>
    <t>I21</t>
  </si>
  <si>
    <t>Matthew Hallman</t>
  </si>
  <si>
    <t>mhallman@ragleinc.com</t>
  </si>
  <si>
    <t>Civil and Environmental Engineering (CVEN), Computer Science (CPSC), Mechanical Engineering (MEEN)</t>
  </si>
  <si>
    <t>L30</t>
  </si>
  <si>
    <t>Aug 07, 2025, 8:26 AM</t>
  </si>
  <si>
    <t>Railroad Commission of Texas</t>
  </si>
  <si>
    <t>Elyce Hill</t>
  </si>
  <si>
    <t>elyce.hill@rrc.texas.gov</t>
  </si>
  <si>
    <t>512-463-6824</t>
  </si>
  <si>
    <t>Chemical Engineering (CHEN), Civil and Environmental Engineering (CVEN), Computer Science (CPSC), Environmental Engineering (EVEN), Petroleum Engineering (PETE)</t>
  </si>
  <si>
    <t>K16</t>
  </si>
  <si>
    <t>May 16, 2025, 9:49 AM</t>
  </si>
  <si>
    <t>Manali Khandekar</t>
  </si>
  <si>
    <t>469-859-4992</t>
  </si>
  <si>
    <t>Biological and Agricultural Engineering (BAEN), Chemical Engineering (CHEN), Civil and Environmental Engineering (CVEN), Electrical Engineering (ELEN), Environmental Engineering (EVEN), Mechanical Engineering (MEEN), Nuclear Engineering (NUEN), Petroleum Engineering (PETE)</t>
  </si>
  <si>
    <t>Apr 23, 2025, 2:56 PM</t>
  </si>
  <si>
    <t>RAMBUS INC.</t>
  </si>
  <si>
    <t>Brandon Vang</t>
  </si>
  <si>
    <t>bvang@rambus.com</t>
  </si>
  <si>
    <t>Aug 21, 2025, 12:24 PM</t>
  </si>
  <si>
    <t>Rehrig Pacific Company</t>
  </si>
  <si>
    <t>Andrey Morais</t>
  </si>
  <si>
    <t>amorais@rehrig.com</t>
  </si>
  <si>
    <t>O14</t>
  </si>
  <si>
    <t>Aug 18, 2025, 10:08 AM</t>
  </si>
  <si>
    <t>979-533-3906</t>
  </si>
  <si>
    <t>Biological and Agricultural Engineering (BAEN), Civil and Environmental Engineering (CVEN)</t>
  </si>
  <si>
    <t>Apr 21, 2025, 9:43 AM</t>
  </si>
  <si>
    <t>Rheem Manufacturing</t>
  </si>
  <si>
    <t>Lauren Kraichely</t>
  </si>
  <si>
    <t>lauren.kraichely@rheem.com</t>
  </si>
  <si>
    <t>Electrical Engineering (ELEN), Industrial Distribution (IDIS), Industrial and Systems Engineering (ISEN), Manufacturing and Mechanical Engineering Technology (MMET), Mechanical Engineering (MEEN)</t>
  </si>
  <si>
    <t>May 13, 2025, 5:06 PM</t>
  </si>
  <si>
    <t>Rimkus</t>
  </si>
  <si>
    <t>Samon Tahir</t>
  </si>
  <si>
    <t>stahir@rimkus.com</t>
  </si>
  <si>
    <t>Biomedical Engineering (BMEN), Civil and Environmental Engineering (CVEN), Electrical Engineering (ELEN), Environmental Engineering (EVEN), Mechanical Engineering (MEEN)</t>
  </si>
  <si>
    <t>K13</t>
  </si>
  <si>
    <t>RLK ENGINEERING, INC.</t>
  </si>
  <si>
    <t>Judy Sherbert</t>
  </si>
  <si>
    <t>judy@rlkengineering.com</t>
  </si>
  <si>
    <t>May 27, 2025, 4:02 PM</t>
  </si>
  <si>
    <t>Rockwell Automation</t>
  </si>
  <si>
    <t>rockwellautomation@nc3.com</t>
  </si>
  <si>
    <t>Biomedical Engineering (BMEN), Chemical Engineering (CHEN), Computer Science (CPSC), Electrical Engineering (ELEN), Industrial and Systems Engineering (ISEN), Mechanical Engineering (MEEN)</t>
  </si>
  <si>
    <t>Apr 17, 2025, 11:17 AM</t>
  </si>
  <si>
    <t>Rocrich AGV Solutions LLC</t>
  </si>
  <si>
    <t>Kim Cardoso</t>
  </si>
  <si>
    <t>kim.cardoso@rocrich.com</t>
  </si>
  <si>
    <t>Industrial and Systems Engineering (ISEN), Manufacturing and Mechanical Engineering Technology (MMET)</t>
  </si>
  <si>
    <t>M16</t>
  </si>
  <si>
    <t>Jul 17, 2025, 2:21 PM</t>
  </si>
  <si>
    <t>ROSEN Group</t>
  </si>
  <si>
    <t>Julia</t>
  </si>
  <si>
    <t>jwilkins@rosen-group.com</t>
  </si>
  <si>
    <t>Civil and Environmental Engineering (CVEN), Industrial Distribution (IDIS), Industrial and Systems Engineering (ISEN), Mechanical Engineering (MEEN), Petroleum Engineering (PETE)</t>
  </si>
  <si>
    <t>O6</t>
  </si>
  <si>
    <t>Jul 07, 2025, 2:11 PM</t>
  </si>
  <si>
    <t>Rosendin Electric</t>
  </si>
  <si>
    <t>Amy Ortiz</t>
  </si>
  <si>
    <t>aortiz@rosendin.com</t>
  </si>
  <si>
    <t>602-723-7842</t>
  </si>
  <si>
    <t>Architectural Engineering (AREN), Electrical Engineering (ELEN)</t>
  </si>
  <si>
    <t>Apr 16, 2025, 5:35 PM</t>
  </si>
  <si>
    <t>Taran Chhabra</t>
  </si>
  <si>
    <t>330-562-8600</t>
  </si>
  <si>
    <t>Chemical Engineering (CHEN), Computer Engineering (CECN), Electrical Engineering (ELEN), Electronic Systems Engineering Technology (ESET), Industrial and Systems Engineering (ISEN)</t>
  </si>
  <si>
    <t>Aug 21, 2025, 12:30 PM</t>
  </si>
  <si>
    <t>RPT Alliance LLC</t>
  </si>
  <si>
    <t>Trevor Keeney</t>
  </si>
  <si>
    <t>tkeeney@rptalliance.com</t>
  </si>
  <si>
    <t>(346) 666-0893</t>
  </si>
  <si>
    <t>Aerospace Engineering (AERO), Computer Engineering (CECN), Computer Science (CPSC), Data Engineering (DATA), Electrical Engineering (ELEN), Electronic Systems Engineering Technology (ESET), Industrial and Systems Engineering (ISEN), Manufacturing and Mechanical Engineering Technology (MMET), Materials Science and Engineering (MSEN), Mechanical Engineering (MEEN), Multidisciplinary Engineering Technology (MXET)</t>
  </si>
  <si>
    <t>P12, P13</t>
  </si>
  <si>
    <t>Rystad Energy</t>
  </si>
  <si>
    <t>Alice Huang</t>
  </si>
  <si>
    <t>alice.huang@rystadenergy.com</t>
  </si>
  <si>
    <t>Chemical Engineering (CHEN), Civil and Environmental Engineering (CVEN), Computer Engineering (CECN), Computer Science (CPSC), Data Engineering (DATA), Electrical Engineering (ELEN), Environmental Engineering (EVEN), Materials Science and Engineering (MSEN), Mechanical Engineering (MEEN), Petroleum Engineering (PETE)</t>
  </si>
  <si>
    <t>K11</t>
  </si>
  <si>
    <t>Shelby Burns</t>
  </si>
  <si>
    <t>sdburns@sbec.com</t>
  </si>
  <si>
    <t>Chemical Engineering (CHEN), Civil and Environmental Engineering (CVEN), Electrical Engineering (ELEN), Industrial and Systems Engineering (ISEN), Mechanical Engineering (MEEN), Ocean Engineering (OCEN)</t>
  </si>
  <si>
    <t>M19, M20</t>
  </si>
  <si>
    <t>Jun 24, 2025, 1:02 PM</t>
  </si>
  <si>
    <t>Cynthia Escamilla</t>
  </si>
  <si>
    <t>cynthia.escamilla@saberpower.com</t>
  </si>
  <si>
    <t>D24</t>
  </si>
  <si>
    <t>May 15, 2025, 7:23 AM</t>
  </si>
  <si>
    <t>Alexis Barber</t>
  </si>
  <si>
    <t>alexis.barber@srpnet.com</t>
  </si>
  <si>
    <t>I24, I25</t>
  </si>
  <si>
    <t>Jul 17, 2025, 2:53 PM</t>
  </si>
  <si>
    <t>Apr 16, 2025, 12:26 PM</t>
  </si>
  <si>
    <t>Samsung Austin Semiconductor</t>
  </si>
  <si>
    <t>Hana Eunchong Yu</t>
  </si>
  <si>
    <t>recruit.univ@samsung.com</t>
  </si>
  <si>
    <t>915-861-6991</t>
  </si>
  <si>
    <t>Chemical Engineering (CHEN), Civil and Environmental Engineering (CVEN), Computer Engineering (CECN), Computer Science (CPSC), Electrical Engineering (ELEN), Environmental Engineering (EVEN), Industrial and Systems Engineering (ISEN), Manufacturing and Mechanical Engineering Technology (MMET), Materials Science and Engineering (MSEN), Mechanical Engineering (MEEN)</t>
  </si>
  <si>
    <t>I12, I13, I14, I15</t>
  </si>
  <si>
    <t>Jun 09, 2025, 11:01 AM</t>
  </si>
  <si>
    <t>Kaylyn Huerter</t>
  </si>
  <si>
    <t>khuerter@sjra.net</t>
  </si>
  <si>
    <t>936-588-7147</t>
  </si>
  <si>
    <t>Biological and Agricultural Engineering (BAEN), Chemical Engineering (CHEN), Civil and Environmental Engineering (CVEN), Environmental Engineering (EVEN), Mechanical Engineering (MEEN)</t>
  </si>
  <si>
    <t>E9</t>
  </si>
  <si>
    <t>Apr 16, 2025, 12:52 PM</t>
  </si>
  <si>
    <t>Amanda Montano</t>
  </si>
  <si>
    <t>anmonta@sandia.gov</t>
  </si>
  <si>
    <t>Aerospace Engineering (AERO), Computer Engineering (CECN), Computer Science (CPSC), Electrical Engineering (ELEN), Materials Science and Engineering (MSEN), Mechanical Engineering (MEEN), Nuclear Engineering (NUEN)</t>
  </si>
  <si>
    <t>E8</t>
  </si>
  <si>
    <t>Connie Yung</t>
  </si>
  <si>
    <t>connie.yung@srs.gov</t>
  </si>
  <si>
    <t>Chemical Engineering (CHEN), Electrical Engineering (ELEN), Mechanical Engineering (MEEN), Nuclear Engineering (NUEN)</t>
  </si>
  <si>
    <t>Jun 03, 2025, 12:52 PM</t>
  </si>
  <si>
    <t>Savannah River Nuclear Solutions</t>
  </si>
  <si>
    <t>Sylvia Zimmermann</t>
  </si>
  <si>
    <t>sylvia.zimmermann@srs.gov</t>
  </si>
  <si>
    <t>Chemical Engineering (CHEN), Civil and Environmental Engineering (CVEN), Computer Engineering (CECN), Computer Science (CPSC), Data Engineering (DATA), Electrical Engineering (ELEN), Environmental Engineering (EVEN), Industrial and Systems Engineering (ISEN), Mechanical Engineering (MEEN), Nuclear Engineering (NUEN)</t>
  </si>
  <si>
    <t>N15</t>
  </si>
  <si>
    <t>Aug 07, 2025, 3:42 PM</t>
  </si>
  <si>
    <t>K8</t>
  </si>
  <si>
    <t>Apr 25, 2025, 4:07 PM</t>
  </si>
  <si>
    <t>Schnabel</t>
  </si>
  <si>
    <t>Andrew Hjort-Michel</t>
  </si>
  <si>
    <t>andrew.hjort-michel@schnabel.com</t>
  </si>
  <si>
    <t>School of Engineering Medicine</t>
  </si>
  <si>
    <t>Apr 16, 2025, 1:57 PM</t>
  </si>
  <si>
    <t>Aerospace Engineering (AERO), Chemical Engineering (CHEN), Civil and Environmental Engineering (CVEN), Computer Engineering (CECN), Electrical Engineering (ELEN), Environmental Engineering (EVEN), Mechanical Engineering (MEEN)</t>
  </si>
  <si>
    <t>Q5</t>
  </si>
  <si>
    <t>Apr 16, 2025, 12:50 PM</t>
  </si>
  <si>
    <t>Aerospace Engineering (AERO), Architectural Engineering (AREN), Biological and Agricultural Engineering (BAEN)</t>
  </si>
  <si>
    <t>Apr 10, 2025, 5:28 PM</t>
  </si>
  <si>
    <t>Secretariat</t>
  </si>
  <si>
    <t>Patty Nelson</t>
  </si>
  <si>
    <t>panelson@secretariat-intl.com</t>
  </si>
  <si>
    <t>Architectural Engineering (AREN), Civil and Environmental Engineering (CVEN), Materials Science and Engineering (MSEN), Mechanical Engineering (MEEN)</t>
  </si>
  <si>
    <t>Apr 16, 2025, 10:58 AM</t>
  </si>
  <si>
    <t>h.tortorice@sescocement.com</t>
  </si>
  <si>
    <t>713-449-8967</t>
  </si>
  <si>
    <t>Civil and Environmental Engineering (CVEN), Electrical Engineering (ELEN), Manufacturing and Mechanical Engineering Technology (MMET), Mechanical Engineering (MEEN), Multidisciplinary Engineering Technology (MXET)</t>
  </si>
  <si>
    <t>N29</t>
  </si>
  <si>
    <t>Apr 25, 2025, 1:53 PM</t>
  </si>
  <si>
    <t>M6</t>
  </si>
  <si>
    <t>Shell USA</t>
  </si>
  <si>
    <t>Carlos A. Perez</t>
  </si>
  <si>
    <t>c.perez2@shell.com</t>
  </si>
  <si>
    <t>713-992-5212</t>
  </si>
  <si>
    <t>L22, L23</t>
  </si>
  <si>
    <t>Aug 26, 2025, 10:58 AM</t>
  </si>
  <si>
    <t>Clare D. Pagatpat</t>
  </si>
  <si>
    <t>clare.pagatpat@shell.com</t>
  </si>
  <si>
    <t>Architectural Engineering (AREN), Biological and Agricultural Engineering (BAEN), Biomedical Engineering (BMEN), Chemical Engineering (CHEN), Civil and Environmental Engineering (CVEN), Computer Engineering (CECN), Computer Science (CPSC), Data Engineering (DATA), Electrical Engineering (ELEN), Electronic Systems Engineering Technology (ESET), Environmental Engineering (EVEN), Industrial Distribution (IDIS), Industrial and Systems Engineering (ISEN), Manufacturing and Mechanical Engineering Technology (MMET), Materials Science and Engineering (MSEN), Mechanical Engineering (MEEN), Multidisciplinary Engineering Technology (MXET), Nuclear Engineering (NUEN), Ocean Engineering (OCEN), Petroleum Engineering (PETE)</t>
  </si>
  <si>
    <t>Aug 26, 2025, 10:12 AM</t>
  </si>
  <si>
    <t>Anna Moon</t>
  </si>
  <si>
    <t>anna.moon@shermco.com</t>
  </si>
  <si>
    <t>Apr 16, 2025, 12:47 PM</t>
  </si>
  <si>
    <t>I9</t>
  </si>
  <si>
    <t>SI Group</t>
  </si>
  <si>
    <t>Lanerica Crayton</t>
  </si>
  <si>
    <t>lanerica.crayton@siigroup.com</t>
  </si>
  <si>
    <t>Chemical Engineering (CHEN), Electronic Systems Engineering Technology (ESET), Environmental Engineering (EVEN), Manufacturing and Mechanical Engineering Technology (MMET), Mechanical Engineering (MEEN), Petroleum Engineering (PETE)</t>
  </si>
  <si>
    <t>May 05, 2025, 3:47 PM</t>
  </si>
  <si>
    <t>SICK, Inc.</t>
  </si>
  <si>
    <t>Jackie Engstrom</t>
  </si>
  <si>
    <t>jackie.engstrom@sick.com</t>
  </si>
  <si>
    <t>612-346-2142</t>
  </si>
  <si>
    <t>Jul 15, 2025, 12:06 PM</t>
  </si>
  <si>
    <t>Siemens</t>
  </si>
  <si>
    <t>Matt Elwonger</t>
  </si>
  <si>
    <t>universityrecruiting.us@siemens.com</t>
  </si>
  <si>
    <t>Computer Engineering (CECN), Electrical Engineering (ELEN), Electronic Systems Engineering Technology (ESET), Industrial Distribution (IDIS), Industrial and Systems Engineering (ISEN), Manufacturing and Mechanical Engineering Technology (MMET), Mechanical Engineering (MEEN)</t>
  </si>
  <si>
    <t>Aug 05, 2025, 10:26 AM</t>
  </si>
  <si>
    <t>O12</t>
  </si>
  <si>
    <t>Jul 09, 2025, 1:53 PM</t>
  </si>
  <si>
    <t>Signal Peak Silica, LLC</t>
  </si>
  <si>
    <t>Jacqueline Jones Eanes</t>
  </si>
  <si>
    <t>JEanes@spsilica.com</t>
  </si>
  <si>
    <t>(713) 205-1386</t>
  </si>
  <si>
    <t>Chemical Engineering (CHEN), Electrical Engineering (ELEN), Industrial Distribution (IDIS), Manufacturing and Mechanical Engineering Technology (MMET)</t>
  </si>
  <si>
    <t>K20</t>
  </si>
  <si>
    <t>Apr 17, 2025, 1:48 PM</t>
  </si>
  <si>
    <t>Sinacola</t>
  </si>
  <si>
    <t>Abraham Aguilar</t>
  </si>
  <si>
    <t>aaguilar@mariosinacola.com</t>
  </si>
  <si>
    <t>Aug 14, 2025, 11:59 AM</t>
  </si>
  <si>
    <t>Connie Adams</t>
  </si>
  <si>
    <t>connie.adams@skywatertechnology.com</t>
  </si>
  <si>
    <t>O17</t>
  </si>
  <si>
    <t>Jul 02, 2025, 3:56 PM</t>
  </si>
  <si>
    <t>Skyworks Solutions</t>
  </si>
  <si>
    <t>Diksha Carron</t>
  </si>
  <si>
    <t>diksha.carron@skyworksinc.com</t>
  </si>
  <si>
    <t>E21</t>
  </si>
  <si>
    <t>Jun 24, 2025, 1:33 PM</t>
  </si>
  <si>
    <t>slb@nc3.com</t>
  </si>
  <si>
    <t>Chemical Engineering (CHEN), Civil and Environmental Engineering (CVEN), Computer Engineering (CECN), Computer Science (CPSC), Electrical Engineering (ELEN), Environmental Engineering (EVEN), Industrial and Systems Engineering (ISEN), Manufacturing and Mechanical Engineering Technology (MMET), Materials Science and Engineering (MSEN), Mechanical Engineering (MEEN), Petroleum Engineering (PETE)</t>
  </si>
  <si>
    <t>Apr 17, 2025, 1:33 PM</t>
  </si>
  <si>
    <t>SM Energy</t>
  </si>
  <si>
    <t>Leslie Diedrich</t>
  </si>
  <si>
    <t>college.recruiting@sm-energy.com</t>
  </si>
  <si>
    <t>432-214-3592</t>
  </si>
  <si>
    <t>Apr 21, 2025, 10:20 AM</t>
  </si>
  <si>
    <t>Smith Seckman Reid, inc. (SSR)</t>
  </si>
  <si>
    <t>Lacy White</t>
  </si>
  <si>
    <t>lwhite@ssr-inc.com</t>
  </si>
  <si>
    <t>Jul 01, 2025, 3:57 PM</t>
  </si>
  <si>
    <t>Smith+Nephew</t>
  </si>
  <si>
    <t>Jillian Ciarletta</t>
  </si>
  <si>
    <t>jillian.ciarletta@smith-nephew.com</t>
  </si>
  <si>
    <t>Biomedical Engineering (BMEN), Industrial and Systems Engineering (ISEN), Manufacturing and Mechanical Engineering Technology (MMET), Materials Science and Engineering (MSEN), Mechanical Engineering (MEEN)</t>
  </si>
  <si>
    <t>Aug 27, 2025, 8:48 AM</t>
  </si>
  <si>
    <t>Solar Turbines Inc.</t>
  </si>
  <si>
    <t>Alexandra Cooper</t>
  </si>
  <si>
    <t>alexandra.cooper@solarturbines.com</t>
  </si>
  <si>
    <t>#ERROR!</t>
  </si>
  <si>
    <t>Electrical Engineering (ELEN), Manufacturing and Mechanical Engineering Technology (MMET)</t>
  </si>
  <si>
    <t>Jun 20, 2025, 2:13 PM</t>
  </si>
  <si>
    <t>Sonoco Products Company</t>
  </si>
  <si>
    <t>Jacob Sintich</t>
  </si>
  <si>
    <t>jacob.sintich@sonoco.com</t>
  </si>
  <si>
    <t>Chemical Engineering (CHEN), Computer Science (CPSC), Industrial and Systems Engineering (ISEN), Mechanical Engineering (MEEN)</t>
  </si>
  <si>
    <t>Jul 09, 2025, 10:01 AM</t>
  </si>
  <si>
    <t>Chloe Marroquin</t>
  </si>
  <si>
    <t>Sparx Engineering</t>
  </si>
  <si>
    <t>Paul Hoopingarner</t>
  </si>
  <si>
    <t>paulh@sparxeng.com</t>
  </si>
  <si>
    <t>Apr 16, 2025, 10:32 AM</t>
  </si>
  <si>
    <t>Steve Blaschke</t>
  </si>
  <si>
    <t>steve.blaschke@spiarsengineering.com</t>
  </si>
  <si>
    <t>State Farm</t>
  </si>
  <si>
    <t>Eric Cook</t>
  </si>
  <si>
    <t>eric.cook.gdqm@statefarm.com</t>
  </si>
  <si>
    <t>Apr 16, 2025, 10:44 AM</t>
  </si>
  <si>
    <t>Kimber Matocha</t>
  </si>
  <si>
    <t>kimber.matocha@stegerbizzell.com</t>
  </si>
  <si>
    <t>Apr 16, 2025, 9:07 AM</t>
  </si>
  <si>
    <t>Lisa Hoffman</t>
  </si>
  <si>
    <t>ljhoffman@stpegs.com</t>
  </si>
  <si>
    <t>Electrical Engineering (ELEN), Mechanical Engineering (MEEN), Nuclear Engineering (NUEN)</t>
  </si>
  <si>
    <t>L5</t>
  </si>
  <si>
    <t>Jun 24, 2025, 8:02 AM</t>
  </si>
  <si>
    <t>Scott Wharton</t>
  </si>
  <si>
    <t>ashley.compton@stress.com</t>
  </si>
  <si>
    <t>Aerospace Engineering (AERO), Electrical Engineering (ELEN), Electronic Systems Engineering Technology (ESET), Industrial and Systems Engineering (ISEN), Materials Science and Engineering (MSEN), Mechanical Engineering (MEEN)</t>
  </si>
  <si>
    <t>Aug 19, 2025, 10:59 AM</t>
  </si>
  <si>
    <t>Subsea 7</t>
  </si>
  <si>
    <t>Darin Dooley</t>
  </si>
  <si>
    <t>darin.dooley@subsea7.com</t>
  </si>
  <si>
    <t>Aug 05, 2025, 9:14 AM</t>
  </si>
  <si>
    <t>Joel Ramirez</t>
  </si>
  <si>
    <t>N20, N21</t>
  </si>
  <si>
    <t>Electrical Engineering (ELEN), Electronic Systems Engineering Technology (ESET), Industrial Distribution (IDIS), Industrial and Systems Engineering (ISEN), Manufacturing and Mechanical Engineering Technology (MMET), Mechanical Engineering (MEEN)</t>
  </si>
  <si>
    <t>Aug 14, 2025, 2:44 PM</t>
  </si>
  <si>
    <t>Syensqo</t>
  </si>
  <si>
    <t>Chet Sparks</t>
  </si>
  <si>
    <t>chet.sparks@syensqo.com</t>
  </si>
  <si>
    <t>Jun 26, 2025, 8:50 AM</t>
  </si>
  <si>
    <t>Chloe Goudeau</t>
  </si>
  <si>
    <t>chloe.goudeau@synchrogrid.com</t>
  </si>
  <si>
    <t>Apr 16, 2025, 9:00 AM</t>
  </si>
  <si>
    <t>Talley Riggins Construction Group</t>
  </si>
  <si>
    <t>Kendall Weaver</t>
  </si>
  <si>
    <t>kweaver@talley-riggins.com</t>
  </si>
  <si>
    <t>Jul 23, 2025, 9:28 AM</t>
  </si>
  <si>
    <t>Tallgrass</t>
  </si>
  <si>
    <t>Natalia Boyce</t>
  </si>
  <si>
    <t>natalia.boyce@tallgrass.com</t>
  </si>
  <si>
    <t>(432) 5567882</t>
  </si>
  <si>
    <t>Aerospace Engineering (AERO), Architectural Engineering (AREN), Chemical Engineering (CHEN), Civil and Environmental Engineering (CVEN), Computer Engineering (CECN), Computer Science (CPSC), Data Engineering (DATA), Electrical Engineering (ELEN), Electronic Systems Engineering Technology (ESET), Environmental Engineering (EVEN), Industrial and Systems Engineering (ISEN), Mechanical Engineering (MEEN), Petroleum Engineering (PETE)</t>
  </si>
  <si>
    <t>N8</t>
  </si>
  <si>
    <t>Jul 11, 2025, 3:10 PM</t>
  </si>
  <si>
    <t>Civil and Environmental Engineering (CVEN), Mechanical Engineering (MEEN), Petroleum Engineering (PETE)</t>
  </si>
  <si>
    <t>Aug 11, 2025, 2:14 PM</t>
  </si>
  <si>
    <t>Talos Energy</t>
  </si>
  <si>
    <t>Ellie Shahmoradi</t>
  </si>
  <si>
    <t>ellie.shahmoradi@talosenergy.com</t>
  </si>
  <si>
    <t>Environmental Engineering (EVEN), Mechanical Engineering (MEEN), Ocean Engineering (OCEN), Petroleum Engineering (PETE)</t>
  </si>
  <si>
    <t>Aug 01, 2025, 9:34 AM</t>
  </si>
  <si>
    <t>Tanium</t>
  </si>
  <si>
    <t>Bella Ayala</t>
  </si>
  <si>
    <t>bella.ayala@tanium.com</t>
  </si>
  <si>
    <t>F6</t>
  </si>
  <si>
    <t>May 29, 2025, 7:23 PM</t>
  </si>
  <si>
    <t>Targa Resources</t>
  </si>
  <si>
    <t>campusrecruiting@targaresources.com</t>
  </si>
  <si>
    <t>832-557-0172</t>
  </si>
  <si>
    <t>Environmental Engineering (EVEN), Petroleum Engineering (PETE)</t>
  </si>
  <si>
    <t>E5, E6</t>
  </si>
  <si>
    <t>Jun 17, 2025, 2:10 PM</t>
  </si>
  <si>
    <t>TC Energy</t>
  </si>
  <si>
    <t>Student Programs</t>
  </si>
  <si>
    <t>student_programs@tcenergy.com</t>
  </si>
  <si>
    <t>587-577-6453</t>
  </si>
  <si>
    <t>Apr 22, 2025, 9:50 AM</t>
  </si>
  <si>
    <t>Rachael Hamer</t>
  </si>
  <si>
    <t>rachael.hamer@technipenergies.com</t>
  </si>
  <si>
    <t>832 258 2976</t>
  </si>
  <si>
    <t>Chemical Engineering (CHEN), Civil and Environmental Engineering (CVEN), Electrical Engineering (ELEN), Mechanical Engineering (MEEN), Ocean Engineering (OCEN)</t>
  </si>
  <si>
    <t>M7</t>
  </si>
  <si>
    <t>May 22, 2025, 12:16 PM</t>
  </si>
  <si>
    <t>Tiffany Reyna</t>
  </si>
  <si>
    <t>tiffany.reyna@technipfmc.com</t>
  </si>
  <si>
    <t>Electrical Engineering (ELEN), Environmental Engineering (EVEN), Industrial Distribution (IDIS), Manufacturing and Mechanical Engineering Technology (MMET), Materials Science and Engineering (MSEN), Mechanical Engineering (MEEN), Ocean Engineering (OCEN)</t>
  </si>
  <si>
    <t>P8</t>
  </si>
  <si>
    <t>Apr 16, 2025, 2:42 PM</t>
  </si>
  <si>
    <t>Telios Corporation</t>
  </si>
  <si>
    <t>Joseph L. Ovalle</t>
  </si>
  <si>
    <t>jovalle@teliospc.com</t>
  </si>
  <si>
    <t>Apr 16, 2025, 8:46 AM</t>
  </si>
  <si>
    <t>Carlo Balmori</t>
  </si>
  <si>
    <t>cbalmoridelamiyar@tenaris.com</t>
  </si>
  <si>
    <t>Computer Engineering (CECN), Computer Science (CPSC), Data Engineering (DATA), Electrical Engineering (ELEN), Electronic Systems Engineering Technology (ESET), Environmental Engineering (EVEN), Industrial Distribution (IDIS), Industrial and Systems Engineering (ISEN), Manufacturing and Mechanical Engineering Technology (MMET), Mechanical Engineering (MEEN), Petroleum Engineering (PETE)</t>
  </si>
  <si>
    <t>N12</t>
  </si>
  <si>
    <t>Jun 03, 2025, 1:26 PM</t>
  </si>
  <si>
    <t>Tenstorrent.com</t>
  </si>
  <si>
    <t>Tae Kim</t>
  </si>
  <si>
    <t>taekim@tenstorrent.com</t>
  </si>
  <si>
    <t>Aug 08, 2025, 5:53 PM</t>
  </si>
  <si>
    <t>Terracon Consulting</t>
  </si>
  <si>
    <t>Theresa Bridges</t>
  </si>
  <si>
    <t>theresa.bridges@terracon.com</t>
  </si>
  <si>
    <t>913-202-7560</t>
  </si>
  <si>
    <t>Apr 16, 2025, 9:20 AM</t>
  </si>
  <si>
    <t>Chemical Engineering (CHEN), Civil and Environmental Engineering (CVEN), Computer Engineering (CECN), Data Engineering (DATA), Electrical Engineering (ELEN), Industrial and Systems Engineering (ISEN), Materials Science and Engineering (MSEN), Mechanical Engineering (MEEN), Multidisciplinary Engineering Technology (MXET), Nuclear Engineering (NUEN)</t>
  </si>
  <si>
    <t>L2</t>
  </si>
  <si>
    <t>Aug 13, 2025, 3:30 PM</t>
  </si>
  <si>
    <t>Christy Blaton</t>
  </si>
  <si>
    <t>cblanton@tamu.edu</t>
  </si>
  <si>
    <t>Jul 16, 2025, 9:37 AM</t>
  </si>
  <si>
    <t>Texas A&amp;M University School of Public Health</t>
  </si>
  <si>
    <t>Samantha Eaton</t>
  </si>
  <si>
    <t>sreaton@tamu.edu</t>
  </si>
  <si>
    <t>Apr 18, 2025, 12:02 PM</t>
  </si>
  <si>
    <t>Architectural Engineering (AREN), Chemical Engineering (CHEN), Civil and Environmental Engineering (CVEN), Electrical Engineering (ELEN), Environmental Engineering (EVEN), Manufacturing and Mechanical Engineering Technology (MMET), Materials Science and Engineering (MSEN), Mechanical Engineering (MEEN), Multidisciplinary Engineering Technology (MXET)</t>
  </si>
  <si>
    <t>G18, G19</t>
  </si>
  <si>
    <t>Apr 16, 2025, 10:02 AM</t>
  </si>
  <si>
    <t>Chemical Engineering (CHEN), Computer Engineering (CECN), Computer Science (CPSC), Electrical Engineering (ELEN), Materials Science and Engineering (MSEN), Mechanical Engineering (MEEN)</t>
  </si>
  <si>
    <t>M13, M14, M15</t>
  </si>
  <si>
    <t>Apr 30, 2025, 1:50 PM</t>
  </si>
  <si>
    <t>Textron</t>
  </si>
  <si>
    <t>Kombeh Ceesay</t>
  </si>
  <si>
    <t>kceesay@textron.com</t>
  </si>
  <si>
    <t>401-332-9707</t>
  </si>
  <si>
    <t>Aerospace Engineering (AERO), Computer Science (CPSC), Manufacturing and Mechanical Engineering Technology (MMET), Mechanical Engineering (MEEN)</t>
  </si>
  <si>
    <t>M24, M25</t>
  </si>
  <si>
    <t>Jun 25, 2025, 9:56 AM</t>
  </si>
  <si>
    <t>The Acutronic Company</t>
  </si>
  <si>
    <t>Jessie Camarillo</t>
  </si>
  <si>
    <t>jcamarillo@acutronic.com</t>
  </si>
  <si>
    <t>Aerospace Engineering (AERO), Electrical Engineering (ELEN), Industrial and Systems Engineering (ISEN), Manufacturing and Mechanical Engineering Technology (MMET), Mechanical Engineering (MEEN)</t>
  </si>
  <si>
    <t>Q14</t>
  </si>
  <si>
    <t>Apr 22, 2025, 8:12 AM</t>
  </si>
  <si>
    <t>The Boeing Company</t>
  </si>
  <si>
    <t>Trenton Seely</t>
  </si>
  <si>
    <t>trenton.r.seely@boeing.com</t>
  </si>
  <si>
    <t>O22, O23</t>
  </si>
  <si>
    <t>May 22, 2025, 6:10 PM</t>
  </si>
  <si>
    <t>Emily Lawler</t>
  </si>
  <si>
    <t>emily.lawler@brandt.us</t>
  </si>
  <si>
    <t>(469) 785-1407</t>
  </si>
  <si>
    <t>F13</t>
  </si>
  <si>
    <t>May 07, 2025, 2:31 PM</t>
  </si>
  <si>
    <t>Brianna Fitzgerald</t>
  </si>
  <si>
    <t>brianna.fitzgerald@timken.com</t>
  </si>
  <si>
    <t>Aerospace Engineering (AERO), Industrial and Systems Engineering (ISEN), Mechanical Engineering (MEEN)</t>
  </si>
  <si>
    <t>Jul 15, 2025, 1:50 PM</t>
  </si>
  <si>
    <t>TMEIC Corporation Americas</t>
  </si>
  <si>
    <t>Jessica Jarels</t>
  </si>
  <si>
    <t>jessica.jarels@tmeic.com</t>
  </si>
  <si>
    <t>Computer Engineering (CECN), Electrical Engineering (ELEN), Mechanical Engineering (MEEN)</t>
  </si>
  <si>
    <t>F4, F5</t>
  </si>
  <si>
    <t>Jun 23, 2025, 3:55 PM</t>
  </si>
  <si>
    <t>tnphr@tnpinc.com</t>
  </si>
  <si>
    <t>G6, G7</t>
  </si>
  <si>
    <t>Apr 16, 2025, 8:33 AM</t>
  </si>
  <si>
    <t>Tokyo Electron (TEL)</t>
  </si>
  <si>
    <t>Elizabeth Saucedo</t>
  </si>
  <si>
    <t>careers@us.tel.com</t>
  </si>
  <si>
    <t>Chemical Engineering (CHEN), Computer Engineering (CECN), Computer Science (CPSC), Electrical Engineering (ELEN), Manufacturing and Mechanical Engineering Technology (MMET), Materials Science and Engineering (MSEN), Mechanical Engineering (MEEN)</t>
  </si>
  <si>
    <t>Aug 14, 2025, 3:02 PM</t>
  </si>
  <si>
    <t>TotalEnergies</t>
  </si>
  <si>
    <t>Raven Fuller</t>
  </si>
  <si>
    <t>raven.fuller@external.totalenergies.com</t>
  </si>
  <si>
    <t>Aug 18, 2025, 11:05 AM</t>
  </si>
  <si>
    <t>Toyota</t>
  </si>
  <si>
    <t>toyota@nc3.com</t>
  </si>
  <si>
    <t>C1</t>
  </si>
  <si>
    <t>May 02, 2025, 10:38 AM</t>
  </si>
  <si>
    <t>Aerospace Engineering (AERO), Computer Engineering (CECN), Electrical Engineering (ELEN), Manufacturing and Mechanical Engineering Technology (MMET), Mechanical Engineering (MEEN), Multidisciplinary Engineering Technology (MXET)</t>
  </si>
  <si>
    <t>Q8</t>
  </si>
  <si>
    <t>Jun 05, 2025, 8:20 AM</t>
  </si>
  <si>
    <t>TRC Companies</t>
  </si>
  <si>
    <t>Sarah Brown</t>
  </si>
  <si>
    <t>sbrown@trccompanies.com</t>
  </si>
  <si>
    <t>(608) 590-7681</t>
  </si>
  <si>
    <t>Apr 16, 2025, 11:18 AM</t>
  </si>
  <si>
    <t>TRC Companies Inc</t>
  </si>
  <si>
    <t>Civil and Environmental Engineering (CVEN), Electrical Engineering (ELEN), Environmental Engineering (EVEN), Industrial and Systems Engineering (ISEN), Mechanical Engineering (MEEN)</t>
  </si>
  <si>
    <t>Jun 10, 2025, 11:04 AM</t>
  </si>
  <si>
    <t>Trendsetter Engineering, Inc.</t>
  </si>
  <si>
    <t>Anthony Dinh</t>
  </si>
  <si>
    <t>a.dinh@trendsetterengineering.com</t>
  </si>
  <si>
    <t>Q13</t>
  </si>
  <si>
    <t>Aug 20, 2025, 3:27 PM</t>
  </si>
  <si>
    <t>Jessica Stonum</t>
  </si>
  <si>
    <t>jstonum@trihydro.com</t>
  </si>
  <si>
    <t>(307) 399-0632</t>
  </si>
  <si>
    <t>Trinity Consultants</t>
  </si>
  <si>
    <t>Chantel Campbell</t>
  </si>
  <si>
    <t>recruitment@trinityconsultants.com</t>
  </si>
  <si>
    <t>Chemical Engineering (CHEN), Civil and Environmental Engineering (CVEN), Environmental Engineering (EVEN), Materials Science and Engineering (MSEN), Mechanical Engineering (MEEN)</t>
  </si>
  <si>
    <t>Apr 16, 2025, 9:25 AM</t>
  </si>
  <si>
    <t>TSMC</t>
  </si>
  <si>
    <t>Pauline Lam</t>
  </si>
  <si>
    <t>plam@tsmc.com</t>
  </si>
  <si>
    <t>Aerospace Engineering (AERO), Chemical Engineering (CHEN), Computer Engineering (CECN), Computer Science (CPSC), Electrical Engineering (ELEN), Materials Science and Engineering (MSEN), Mechanical Engineering (MEEN)</t>
  </si>
  <si>
    <t>H15</t>
  </si>
  <si>
    <t>Jun 18, 2025, 3:55 PM</t>
  </si>
  <si>
    <t>UES</t>
  </si>
  <si>
    <t>Miranda Gell</t>
  </si>
  <si>
    <t>mgell@teamues.com</t>
  </si>
  <si>
    <t>Jun 19, 2025, 11:59 AM</t>
  </si>
  <si>
    <t>Ulteig Engineers</t>
  </si>
  <si>
    <t>Angela Carr</t>
  </si>
  <si>
    <t>careers@ulteig.com</t>
  </si>
  <si>
    <t>May 07, 2025, 3:49 PM</t>
  </si>
  <si>
    <t>Lauren Burns</t>
  </si>
  <si>
    <t>laurenburns@usconec.com</t>
  </si>
  <si>
    <t>828-850-3474</t>
  </si>
  <si>
    <t>N26</t>
  </si>
  <si>
    <t>Apr 21, 2025, 8:11 AM</t>
  </si>
  <si>
    <t>Luke P Thomas</t>
  </si>
  <si>
    <t>luke.p.thomas3.mil@us.navy.mil</t>
  </si>
  <si>
    <t>940-765-8297</t>
  </si>
  <si>
    <t>Jul 01, 2025, 1:51 PM</t>
  </si>
  <si>
    <t>Sarah Southerly</t>
  </si>
  <si>
    <t>sarah.southerly@usaa.com</t>
  </si>
  <si>
    <t>Computer Engineering (CECN), Computer Science (CPSC), Data Engineering (DATA), Electronic Systems Engineering Technology (ESET)</t>
  </si>
  <si>
    <t>C7</t>
  </si>
  <si>
    <t>Aug 07, 2025, 10:16 AM</t>
  </si>
  <si>
    <t>Hannah Seliskar</t>
  </si>
  <si>
    <t>hannah.seliskar@valentpartners.com</t>
  </si>
  <si>
    <t>May 02, 2025, 1:24 PM</t>
  </si>
  <si>
    <t>Laci Stamm</t>
  </si>
  <si>
    <t>laci.stamm@valero.com</t>
  </si>
  <si>
    <t>K6, K7</t>
  </si>
  <si>
    <t>May 02, 2025, 2:39 PM</t>
  </si>
  <si>
    <t>Vectra AI</t>
  </si>
  <si>
    <t>Sarah Martinez</t>
  </si>
  <si>
    <t>smartinez@vectra.ai</t>
  </si>
  <si>
    <t>Jul 30, 2025, 1:39 PM</t>
  </si>
  <si>
    <t>Venti Air Products</t>
  </si>
  <si>
    <t>Dhruvil Shah</t>
  </si>
  <si>
    <t>dhruvil@ventiairproducts.com</t>
  </si>
  <si>
    <t>Computer Engineering (CECN), Computer Science (CPSC), Industrial and Systems Engineering (ISEN)</t>
  </si>
  <si>
    <t>Aug 25, 2025, 8:16 AM</t>
  </si>
  <si>
    <t>L28, L29</t>
  </si>
  <si>
    <t>Jul 10, 2025, 3:25 PM</t>
  </si>
  <si>
    <t>VERIZON</t>
  </si>
  <si>
    <t>Carol Broskie</t>
  </si>
  <si>
    <t>verizon@nc3.com</t>
  </si>
  <si>
    <t>E23</t>
  </si>
  <si>
    <t>Aug 25, 2025, 2:21 AM</t>
  </si>
  <si>
    <t>Michael Beem</t>
  </si>
  <si>
    <t>mike_beem@vex.com</t>
  </si>
  <si>
    <t>Computer Engineering (CECN), Computer Science (CPSC), Electrical Engineering (ELEN), Mechanical Engineering (MEEN), Multidisciplinary Engineering Technology (MXET)</t>
  </si>
  <si>
    <t>Jeanette Hyde</t>
  </si>
  <si>
    <t>jeanette.hyde@vpcco.com</t>
  </si>
  <si>
    <t>972-459-8242</t>
  </si>
  <si>
    <t>Chemical Engineering (CHEN), Electrical Engineering (ELEN), Industrial Distribution (IDIS), Industrial and Systems Engineering (ISEN), Manufacturing and Mechanical Engineering Technology (MMET), Mechanical Engineering (MEEN), Petroleum Engineering (PETE)</t>
  </si>
  <si>
    <t>Jun 17, 2025, 4:05 PM</t>
  </si>
  <si>
    <t>Lauren Metz</t>
  </si>
  <si>
    <t>lauren.metz-contractor@viridiengroup.com</t>
  </si>
  <si>
    <t>Chemical Engineering (CHEN), Computer Engineering (CECN), Computer Science (CPSC), Data Engineering (DATA), Electrical Engineering (ELEN), Materials Science and Engineering (MSEN), Mechanical Engineering (MEEN)</t>
  </si>
  <si>
    <t>Jun 06, 2025, 12:47 PM</t>
  </si>
  <si>
    <t>Chrystal Ross</t>
  </si>
  <si>
    <t>cross@wadetrim.com</t>
  </si>
  <si>
    <t>Architectural Engineering (AREN), Civil and Environmental Engineering (CVEN), Electrical Engineering (ELEN), Environmental Engineering (EVEN), Mechanical Engineering (MEEN), Petroleum Engineering (PETE)</t>
  </si>
  <si>
    <t>Apr 16, 2025, 2:35 PM</t>
  </si>
  <si>
    <t>Walmart Automation Engineering</t>
  </si>
  <si>
    <t>Chris Garrett</t>
  </si>
  <si>
    <t>Chris.Garrett@walmart.com</t>
  </si>
  <si>
    <t>Environmental Engineering (EVEN), Industrial and Systems Engineering (ISEN), Manufacturing and Mechanical Engineering Technology (MMET), Mechanical Engineering (MEEN)</t>
  </si>
  <si>
    <t>Weatherford International (Houston, TX)</t>
  </si>
  <si>
    <t>Karen Carr</t>
  </si>
  <si>
    <t>karen.carr@weatherford.com</t>
  </si>
  <si>
    <t>Computer Science (CPSC), Electrical Engineering (ELEN), Industrial and Systems Engineering (ISEN), Mechanical Engineering (MEEN)</t>
  </si>
  <si>
    <t>Apr 16, 2025, 4:43 PM</t>
  </si>
  <si>
    <t>Weaver</t>
  </si>
  <si>
    <t>Sarah Meinhold</t>
  </si>
  <si>
    <t>Sarah.Meinhold@Weaver.com</t>
  </si>
  <si>
    <t>Jul 08, 2025, 10:22 AM</t>
  </si>
  <si>
    <t>Chase A. Michael</t>
  </si>
  <si>
    <t>cmichael@wcgrp.com</t>
  </si>
  <si>
    <t>D12, D13</t>
  </si>
  <si>
    <t>Apr 16, 2025, 9:30 AM</t>
  </si>
  <si>
    <t>Chemical Engineering (CHEN), Civil and Environmental Engineering (CVEN), Computer Engineering (CECN), Computer Science (CPSC), Electrical Engineering (ELEN), Environmental Engineering (EVEN), Industrial and Systems Engineering (ISEN), Manufacturing and Mechanical Engineering Technology (MMET), Mechanical Engineering (MEEN), Nuclear Engineering (NUEN)</t>
  </si>
  <si>
    <t>Jun 17, 2025, 8:21 AM</t>
  </si>
  <si>
    <t>Westlake Corporation</t>
  </si>
  <si>
    <t>Shane M Colletta</t>
  </si>
  <si>
    <t>scolletta@westlake.com</t>
  </si>
  <si>
    <t>337-529-6573</t>
  </si>
  <si>
    <t>K8, K9</t>
  </si>
  <si>
    <t>May 14, 2025, 9:55 AM</t>
  </si>
  <si>
    <t>J28, J29</t>
  </si>
  <si>
    <t>Laura Picard</t>
  </si>
  <si>
    <t>lpicard@wga-llp.com</t>
  </si>
  <si>
    <t>281-620-8977</t>
  </si>
  <si>
    <t>B20, B21</t>
  </si>
  <si>
    <t>Apr 16, 2025, 8:23 AM</t>
  </si>
  <si>
    <t>WHC Energy Services</t>
  </si>
  <si>
    <t>Aug 13, 2025, 2:27 PM</t>
  </si>
  <si>
    <t>Sarah Hammond</t>
  </si>
  <si>
    <t>shammond@wettllc.com</t>
  </si>
  <si>
    <t>832-257-8757</t>
  </si>
  <si>
    <t>Chemical Engineering (CHEN), Civil and Environmental Engineering (CVEN), Electrical Engineering (ELEN), Electronic Systems Engineering Technology (ESET), Environmental Engineering (EVEN), Mechanical Engineering (MEEN), Petroleum Engineering (PETE)</t>
  </si>
  <si>
    <t>Q8, Q9</t>
  </si>
  <si>
    <t>Wood County Electric Cooperative</t>
  </si>
  <si>
    <t>Nisha Wakefield</t>
  </si>
  <si>
    <t>nishaw@wcec.org</t>
  </si>
  <si>
    <t>Data Engineering (DATA), Electrical Engineering (ELEN), Electronic Systems Engineering Technology (ESET)</t>
  </si>
  <si>
    <t>E29</t>
  </si>
  <si>
    <t>Aug 08, 2025, 12:14 PM</t>
  </si>
  <si>
    <t>Woolpert</t>
  </si>
  <si>
    <t>Kaley Braunling</t>
  </si>
  <si>
    <t>kaley.braunling@woolpert.com</t>
  </si>
  <si>
    <t>H5</t>
  </si>
  <si>
    <t>Apr 29, 2025, 5:14 PM</t>
  </si>
  <si>
    <t>Chemical Engineering (CHEN), Civil and Environmental Engineering (CVEN), Electrical Engineering (ELEN), Materials Science and Engineering (MSEN), Mechanical Engineering (MEEN)</t>
  </si>
  <si>
    <t>Jun 30, 2025, 11:02 AM</t>
  </si>
  <si>
    <t>WRA</t>
  </si>
  <si>
    <t>Architectural Engineering (AREN), Civil and Environmental Engineering (CVEN), Electrical Engineering (ELEN), Environmental Engineering (EVEN)</t>
  </si>
  <si>
    <t>Apr 16, 2025, 8:03 AM</t>
  </si>
  <si>
    <t>WSP USA</t>
  </si>
  <si>
    <t>Milan Sood</t>
  </si>
  <si>
    <t>milan.sood@wsp.com</t>
  </si>
  <si>
    <t>I7</t>
  </si>
  <si>
    <t>Apr 24, 2025, 8:41 AM</t>
  </si>
  <si>
    <t>Apr 16, 2025, 11:47 AM</t>
  </si>
  <si>
    <t>X-Energy</t>
  </si>
  <si>
    <t>Yasamin Minayar</t>
  </si>
  <si>
    <t>yminayar@x-energy.com</t>
  </si>
  <si>
    <t>Chemical Engineering (CHEN), Industrial and Systems Engineering (ISEN), Nuclear Engineering (NUEN)</t>
  </si>
  <si>
    <t>L6</t>
  </si>
  <si>
    <t>May 07, 2025, 8:36 AM</t>
  </si>
  <si>
    <t>Zachry Construction Corporation</t>
  </si>
  <si>
    <t>Michelle Moore</t>
  </si>
  <si>
    <t>michelle.moore@zachrycorp.com</t>
  </si>
  <si>
    <t>Office Phone</t>
  </si>
  <si>
    <t>Packages</t>
  </si>
  <si>
    <t>174 Power Global</t>
  </si>
  <si>
    <t>Andrew Schlottmann</t>
  </si>
  <si>
    <t>ryan.schnabel@174powerglobal.com</t>
  </si>
  <si>
    <t>Chemical Engineering (CHEN), Civil and Environmental Engineering (CVEN), Computer Science (CPSC), Electrical Engineering (ELEN), Electronic Systems Engineering Technology (ESET), Environmental Engineering (EVEN), Industrial and Systems Engineering (ISEN), Materials Science and Engineering (MSEN), Mechanical Engineering (MEEN)</t>
  </si>
  <si>
    <t>Day 1 (Wednesday, January 22nd)
Day 2 (Thursday, January 23rd)</t>
  </si>
  <si>
    <t>Jan 05, 2025, 9:06 PM</t>
  </si>
  <si>
    <t>713-942-2700</t>
  </si>
  <si>
    <t>Basic One-Day: Thursday, January 23rd [$1000.00]</t>
  </si>
  <si>
    <t>C6</t>
  </si>
  <si>
    <t>Day 2 (Thursday, January 23rd)</t>
  </si>
  <si>
    <t>Nov 13, 2024, 10:52 PM</t>
  </si>
  <si>
    <t>Erika Curry</t>
  </si>
  <si>
    <t>ecurry@age-se.com</t>
  </si>
  <si>
    <t>214-420-8270</t>
  </si>
  <si>
    <t>Basic One-Day: Wednesday, January 22nd [$1000.00]</t>
  </si>
  <si>
    <t>H8</t>
  </si>
  <si>
    <t>Day 1 (Wednesday, January 22nd)</t>
  </si>
  <si>
    <t>Nov 13, 2024, 4:12 PM</t>
  </si>
  <si>
    <t>Aaron DeBord
Shirley Faust</t>
  </si>
  <si>
    <t>Nov 13, 2024, 8:09 AM</t>
  </si>
  <si>
    <t>401-642-1728</t>
  </si>
  <si>
    <t>Nov 12, 2024, 9:35 AM</t>
  </si>
  <si>
    <t>Aerospace Engineering (AERO), Electrical Engineering (ELEN), Electronic Systems Engineering Technology (ESET), Industrial and Systems Engineering (ISEN), Manufacturing and Mechanical Engineering Technology (MMET), Mechanical Engineering (MEEN)</t>
  </si>
  <si>
    <t>Brendan McIntyre
Madeline Hall
Noah Ferguson</t>
  </si>
  <si>
    <t>Nov 18, 2024, 8:33 AM</t>
  </si>
  <si>
    <t>Christopher Chance Cook</t>
  </si>
  <si>
    <t>chance.cook@alfalaval.com</t>
  </si>
  <si>
    <t>Biological and Agricultural Engineering (BAEN), Biomedical Engineering (BMEN), Chemical Engineering (CHEN), Electrical Engineering (ELEN), Electronic Systems Engineering Technology (ESET), Environmental Engineering (EVEN), Industrial and Systems Engineering (ISEN), Manufacturing and Mechanical Engineering Technology (MMET), Mechanical Engineering (MEEN), Multidisciplinary Engineering Technology (MXET), Ocean Engineering (OCEN), Petroleum Engineering (PETE)</t>
  </si>
  <si>
    <t>Nahomy Ainagas</t>
  </si>
  <si>
    <t>Nov 27, 2024, 12:50 PM</t>
  </si>
  <si>
    <t>Andrew Hebert</t>
  </si>
  <si>
    <t>ahebert@all4inc.com</t>
  </si>
  <si>
    <t>Chemical Engineering (CHEN), Civil and Environmental Engineering (CVEN), Environmental Engineering (EVEN), Petroleum Engineering (PETE)</t>
  </si>
  <si>
    <t>Nov 13, 2024, 2:21 PM</t>
  </si>
  <si>
    <t>Allana Buick &amp; Bers</t>
  </si>
  <si>
    <t>Julie Nguyen</t>
  </si>
  <si>
    <t>jnguyen@abbae.com</t>
  </si>
  <si>
    <t>Architectural Engineering (AREN), Civil and Environmental Engineering (CVEN), Mechanical Engineering (MEEN)</t>
  </si>
  <si>
    <t>Dec 04, 2024, 3:28 PM</t>
  </si>
  <si>
    <t>alliant</t>
  </si>
  <si>
    <t>832-371-5504</t>
  </si>
  <si>
    <t>Aerospace Engineering (AERO), Architectural Engineering (AREN), Biological and Agricultural Engineering (BAEN), Biomedical Engineering (BMEN), Chemical Engineering (CHEN), Civil and Environmental Engineering (CVEN), Computer Engineering (CECN), Computer Science (CPSC), Electrical Engineering (ELEN), Electronic Systems Engineering Technology (ESET), Environmental Engineering (EVEN), Industrial and Systems Engineering (ISEN), Mechanical Engineering (MEEN), Nuclear Engineering (NUEN), Ocean Engineering (OCEN), Petroleum Engineering (PETE)</t>
  </si>
  <si>
    <t>Giancarlo Boswell, PE
Joanne Delapaz
Nick Worley, PE, LEED AP
Ojasvin Arora, Ph.D.</t>
  </si>
  <si>
    <t>Nov 22, 2024, 12:53 PM</t>
  </si>
  <si>
    <t>Aerospace Engineering (AERO), Computer Engineering (CECN), Electrical Engineering (ELEN), Manufacturing and Mechanical Engineering Technology (MMET), Materials Science and Engineering (MSEN), Mechanical Engineering (MEEN)</t>
  </si>
  <si>
    <t>Heather Hancock
Juan Aguilar
Natasha Kelso</t>
  </si>
  <si>
    <t>Dec 02, 2024, 3:13 PM</t>
  </si>
  <si>
    <t>America`s Navy</t>
  </si>
  <si>
    <t>Christopher Y Tidmore</t>
  </si>
  <si>
    <t>christopher.y.tidmore.mil@us.navy.mil</t>
  </si>
  <si>
    <t>713-953-2617</t>
  </si>
  <si>
    <t>Alexis Voulgaris
Brett Sturdivant
Christopher Bowman</t>
  </si>
  <si>
    <t>Dec 04, 2024, 11:13 AM</t>
  </si>
  <si>
    <t>Felicia Nguyen</t>
  </si>
  <si>
    <t>felicia.nguyen@andersencorp.com</t>
  </si>
  <si>
    <t>Aerospace Engineering (AERO), Chemical Engineering (CHEN), Industrial and Systems Engineering (ISEN), Materials Science and Engineering (MSEN), Mechanical Engineering (MEEN)</t>
  </si>
  <si>
    <t>K4, K5</t>
  </si>
  <si>
    <t>Nov 13, 2024, 7:58 AM</t>
  </si>
  <si>
    <t>AOI</t>
  </si>
  <si>
    <t>Ranjit Singh</t>
  </si>
  <si>
    <t>r.singh@advancedoilfieldinnovations.com</t>
  </si>
  <si>
    <t>(281) 325-0288</t>
  </si>
  <si>
    <t>Computer Science (CPSC), Electrical Engineering (ELEN), Electronic Systems Engineering Technology (ESET), Manufacturing and Mechanical Engineering Technology (MMET), Mechanical Engineering (MEEN)</t>
  </si>
  <si>
    <t>Daniel Lerner</t>
  </si>
  <si>
    <t>Jan 08, 2025, 4:15 PM</t>
  </si>
  <si>
    <t>Aerospace Engineering (AERO), Chemical Engineering (CHEN), Civil and Environmental Engineering (CVEN), Computer Engineering (CECN), Computer Science (CPSC), Data Engineering (DATA), Electrical Engineering (ELEN), Mechanical Engineering (MEEN), Multidisciplinary Engineering Technology (MXET), Nuclear Engineering (NUEN)</t>
  </si>
  <si>
    <t>Jay Pendell Jones
Sean Cooper
Sheera Lum</t>
  </si>
  <si>
    <t>-</t>
  </si>
  <si>
    <t>Daniela Castillo</t>
  </si>
  <si>
    <t>N10, N11</t>
  </si>
  <si>
    <t>Nov 13, 2024, 7:07 AM</t>
  </si>
  <si>
    <t>Sheila Smart</t>
  </si>
  <si>
    <t>sheila@arbin.com</t>
  </si>
  <si>
    <t>979-690-2751</t>
  </si>
  <si>
    <t>Computer Engineering (CECN), Computer Science (CPSC), Electrical Engineering (ELEN), Electronic Systems Engineering Technology (ESET), Industrial Distribution (IDIS), Mechanical Engineering (MEEN)</t>
  </si>
  <si>
    <t>Matthew Sherman</t>
  </si>
  <si>
    <t>B22, B23</t>
  </si>
  <si>
    <t>Nov 14, 2024, 10:23 AM</t>
  </si>
  <si>
    <t>Jack Grove
Kristian Coles
Michael Erceg
Riley Boris
Sam Weber</t>
  </si>
  <si>
    <t>Melissa M Orban</t>
  </si>
  <si>
    <t>morban@ardurra.com</t>
  </si>
  <si>
    <t>Silver One-Day: Thursday, January 23rd [$1800.00]</t>
  </si>
  <si>
    <t>Dan Leyendecker
Daniel Kehrer
Derek Naiser
Jonathan Teafatiller
Ross Ozuna</t>
  </si>
  <si>
    <t>(832)900-9590</t>
  </si>
  <si>
    <t>Chemical Engineering (CHEN), Civil and Environmental Engineering (CVEN), Electrical Engineering (ELEN), Electronic Systems Engineering Technology (ESET), Materials Science and Engineering (MSEN), Mechanical Engineering (MEEN)</t>
  </si>
  <si>
    <t>Dec 18, 2024, 10:07 AM</t>
  </si>
  <si>
    <t>Charles Slack</t>
  </si>
  <si>
    <t>Charles.Slack@atkinsrealis.com</t>
  </si>
  <si>
    <t>Nov 13, 2024, 7:57 AM</t>
  </si>
  <si>
    <t>Atlas Energy</t>
  </si>
  <si>
    <t>Ahnaf Rabbani
Samuel Lentz</t>
  </si>
  <si>
    <t>Nov 14, 2024, 3:56 PM</t>
  </si>
  <si>
    <t>Atlas Technical Consultants</t>
  </si>
  <si>
    <t>Kevin Edwards</t>
  </si>
  <si>
    <t>kevin.edwards@oneatlas.com</t>
  </si>
  <si>
    <t>Chemical Engineering (CHEN), Civil and Environmental Engineering (CVEN), Environmental Engineering (EVEN)</t>
  </si>
  <si>
    <t>Kevin Edwards
Ramon Herrera</t>
  </si>
  <si>
    <t>Nov 14, 2024, 3:58 PM</t>
  </si>
  <si>
    <t>Colby Burks
Collin Mitchell
Juan Moreno</t>
  </si>
  <si>
    <t>N4</t>
  </si>
  <si>
    <t>Erik Emerson</t>
  </si>
  <si>
    <t>eemerson@austin-ind.com</t>
  </si>
  <si>
    <t>Dec 11, 2024, 8:59 AM</t>
  </si>
  <si>
    <t>225 408 7638</t>
  </si>
  <si>
    <t>Silver One-Day: Wednesday, January 22nd [$1800.00]</t>
  </si>
  <si>
    <t>Bradley Hartman
Heather Lazor
Kyle Rosselot
Maggie Ramirez
Ryan Hubacz</t>
  </si>
  <si>
    <t>Nov 13, 2024, 8:19 AM</t>
  </si>
  <si>
    <t>Awesome Test Employer</t>
  </si>
  <si>
    <t>SympTester Contact</t>
  </si>
  <si>
    <t>awesterkamp@symplicity.com</t>
  </si>
  <si>
    <t>888-888-8888</t>
  </si>
  <si>
    <t>Nov 07, 2024, 1:34 PM</t>
  </si>
  <si>
    <t>Axens North America</t>
  </si>
  <si>
    <t>Pamela Cavazos</t>
  </si>
  <si>
    <t>pamela.cavazos@axensgroup.com</t>
  </si>
  <si>
    <t>Madeline Veliz
Pamela Gonzales Cavazos</t>
  </si>
  <si>
    <t>Dec 23, 2024, 3:18 PM</t>
  </si>
  <si>
    <t>BAE Systems</t>
  </si>
  <si>
    <t>Scott Nowlin</t>
  </si>
  <si>
    <t>scott.nowlin@baesystems.us</t>
  </si>
  <si>
    <t>Aerospace Engineering (AERO), Chemical Engineering (CHEN), Civil and Environmental Engineering (CVEN), Computer Engineering (CECN), Computer Science (CPSC), Data Engineering (DATA), Electrical Engineering (ELEN), Electronic Systems Engineering Technology (ESET), Industrial and Systems Engineering (ISEN), Manufacturing and Mechanical Engineering Technology (MMET), Materials Science and Engineering (MSEN), Mechanical Engineering (MEEN), Multidisciplinary Engineering Technology (MXET), Nuclear Engineering (NUEN)</t>
  </si>
  <si>
    <t>Adam Swasey
Colby Clem
Jonathan Oldham
Katie Leyva
Scott Nowlin</t>
  </si>
  <si>
    <t>N5</t>
  </si>
  <si>
    <t>Jan 08, 2025, 12:58 PM</t>
  </si>
  <si>
    <t>817 338 1277</t>
  </si>
  <si>
    <t>Lindsay Lafferty
Resa Millsap
Tyler Wilson</t>
  </si>
  <si>
    <t>I6, I7</t>
  </si>
  <si>
    <t>Dec 27, 2024, 12:31 PM</t>
  </si>
  <si>
    <t>Ambar Anderson</t>
  </si>
  <si>
    <t>aanderson@barnhartcrane.com</t>
  </si>
  <si>
    <t>Civil and Environmental Engineering (CVEN), Mechanical Engineering (MEEN), Nuclear Engineering (NUEN)</t>
  </si>
  <si>
    <t>Daniel Yates
Jordan Terry</t>
  </si>
  <si>
    <t>Nov 14, 2024, 9:30 AM</t>
  </si>
  <si>
    <t>Barron-Stark Engineers LP</t>
  </si>
  <si>
    <t>Drew R Guthrie</t>
  </si>
  <si>
    <t>drewg@barronstark.com</t>
  </si>
  <si>
    <t>(682) 433-3875</t>
  </si>
  <si>
    <t>Drew Guthrie
Justin Hall
Will Schoonover</t>
  </si>
  <si>
    <t>281-558-8700</t>
  </si>
  <si>
    <t>Nov 13, 2024, 8:06 AM</t>
  </si>
  <si>
    <t>BinkleyBarfield | DCCM</t>
  </si>
  <si>
    <t>(713) 869-3433</t>
  </si>
  <si>
    <t>Calle Tapia
Christine McAllister
Zoie Malowitz</t>
  </si>
  <si>
    <t>Nov 14, 2024, 10:54 AM</t>
  </si>
  <si>
    <t>Sarah Wheeler</t>
  </si>
  <si>
    <t>WheelerSE@bv.com</t>
  </si>
  <si>
    <t>913 458 2000</t>
  </si>
  <si>
    <t>Architectural Engineering (AREN), Chemical Engineering (CHEN), Civil and Environmental Engineering (CVEN), Electrical Engineering (ELEN), Environmental Engineering (EVEN), Mechanical Engineering (MEEN)</t>
  </si>
  <si>
    <t>Nov 20, 2024, 3:32 PM</t>
  </si>
  <si>
    <t>BLEYL ENGINEERING</t>
  </si>
  <si>
    <t>Travis T K Walker</t>
  </si>
  <si>
    <t>twalker@bleylengineering.com</t>
  </si>
  <si>
    <t>Koy Sanson
Sydney Kirk
Tim Wolff
Travis Walker</t>
  </si>
  <si>
    <t>Nov 14, 2024, 7:47 AM</t>
  </si>
  <si>
    <t>Blue Engineering and Consulting</t>
  </si>
  <si>
    <t>Filippo Gavelli</t>
  </si>
  <si>
    <t>fgavelli@blueeandc.com</t>
  </si>
  <si>
    <t>(410) 680-3568</t>
  </si>
  <si>
    <t>Chemical Engineering (CHEN), Industrial and Systems Engineering (ISEN), Mechanical Engineering (MEEN), Petroleum Engineering (PETE)</t>
  </si>
  <si>
    <t>Filippo Gavelli
Simon Pezalla</t>
  </si>
  <si>
    <t>737-301-2151</t>
  </si>
  <si>
    <t>Saba Hatami</t>
  </si>
  <si>
    <t>Lori McKissic</t>
  </si>
  <si>
    <t>lori.mckissic@bowman.com</t>
  </si>
  <si>
    <t>Dec 12, 2024, 3:22 PM</t>
  </si>
  <si>
    <t>Bowman Engineering/Consulting Inc.</t>
  </si>
  <si>
    <t>Ashley Fowler</t>
  </si>
  <si>
    <t>anfowler@bec-inc.com</t>
  </si>
  <si>
    <t>(469) 883-6889</t>
  </si>
  <si>
    <t>Ashley Fowler
Danny Kahler
Satya Swain</t>
  </si>
  <si>
    <t>Caroline Purvis</t>
  </si>
  <si>
    <t>cpurvis@brasfieldgorrie.com</t>
  </si>
  <si>
    <t>Civil and Environmental Engineering (CVEN), Industrial and Systems Engineering (ISEN), Manufacturing and Mechanical Engineering Technology (MMET), Mechanical Engineering (MEEN)</t>
  </si>
  <si>
    <t>Nov 18, 2024, 12:21 PM</t>
  </si>
  <si>
    <t>(281) 894-5454</t>
  </si>
  <si>
    <t>Aerospace Engineering (AERO), Chemical Engineering (CHEN), Computer Engineering (CECN), Computer Science (CPSC), Electrical Engineering (ELEN), Mechanical Engineering (MEEN)</t>
  </si>
  <si>
    <t>Erika Everett
Mada wilburn</t>
  </si>
  <si>
    <t>Nov 20, 2024, 4:15 PM</t>
  </si>
  <si>
    <t>Brazos Electric Power Cooperative, Inc.</t>
  </si>
  <si>
    <t>Lindy Sewell</t>
  </si>
  <si>
    <t>lsewell@brazoselectric.com</t>
  </si>
  <si>
    <t>254-750-6350</t>
  </si>
  <si>
    <t>Jakob Conrad
Lindy Sewell
Pedro Contreras</t>
  </si>
  <si>
    <t>Dec 05, 2024, 5:00 PM</t>
  </si>
  <si>
    <t>Selah Bullock</t>
  </si>
  <si>
    <t>sbullock@brocksolutions.com</t>
  </si>
  <si>
    <t>Computer Engineering (CECN), Computer Science (CPSC), Electrical Engineering (ELEN), Electronic Systems Engineering Technology (ESET), Industrial and Systems Engineering (ISEN), Mechanical Engineering (MEEN)</t>
  </si>
  <si>
    <t>Rosa Escalera
Ryan Hill
Selah Bullock</t>
  </si>
  <si>
    <t>L26</t>
  </si>
  <si>
    <t>Civil and Environmental Engineering (CVEN), Computer Engineering (CECN), Electrical Engineering (ELEN), Manufacturing and Mechanical Engineering Technology (MMET), Mechanical Engineering (MEEN)</t>
  </si>
  <si>
    <t>Dec 27, 2024, 10:02 AM</t>
  </si>
  <si>
    <t>Brown and Caldwell</t>
  </si>
  <si>
    <t>Payton Olivia Albrecht</t>
  </si>
  <si>
    <t>palbrecht@brwncald.com</t>
  </si>
  <si>
    <t>303-968-2144</t>
  </si>
  <si>
    <t>K15</t>
  </si>
  <si>
    <t>Nov 12, 2024, 10:23 AM</t>
  </si>
  <si>
    <t>Jo Ann Villarreal</t>
  </si>
  <si>
    <t>Civil and Environmental Engineering (CVEN), Electrical Engineering (ELEN), Electronic Systems Engineering Technology (ESET), Mechanical Engineering (MEEN)</t>
  </si>
  <si>
    <t>Gold One-Day: Thursday, January 23rd [$2500.00]</t>
  </si>
  <si>
    <t>979-776-5220</t>
  </si>
  <si>
    <t>Chemical Engineering (CHEN), Computer Engineering (CECN), Petroleum Engineering (PETE)</t>
  </si>
  <si>
    <t>Joel Cantrell
Luke Addington</t>
  </si>
  <si>
    <t>M15</t>
  </si>
  <si>
    <t>Nov 13, 2024, 9:56 AM</t>
  </si>
  <si>
    <t>BRYANT CONSULTANTS OPERATING LLC</t>
  </si>
  <si>
    <t>972-713-9109</t>
  </si>
  <si>
    <t>Austin Muck
Jeff Garrison, PE, RRC, RWC, BECxP, CxA+BE</t>
  </si>
  <si>
    <t>Dec 23, 2024, 9:59 AM</t>
  </si>
  <si>
    <t>Architectural Engineering (AREN), Chemical Engineering (CHEN), Civil and Environmental Engineering (CVEN), Computer Engineering (CECN), Electrical Engineering (ELEN), Environmental Engineering (EVEN), Mechanical Engineering (MEEN)</t>
  </si>
  <si>
    <t>Nov 13, 2024, 7:42 AM</t>
  </si>
  <si>
    <t>Kimber Cox
Megan Watson</t>
  </si>
  <si>
    <t>Nov 11, 2024, 10:06 AM</t>
  </si>
  <si>
    <t>678 713 5450</t>
  </si>
  <si>
    <t>Computer Engineering (CECN), Electrical Engineering (ELEN), Electronic Systems Engineering Technology (ESET), Multidisciplinary Engineering Technology (MXET)</t>
  </si>
  <si>
    <t>Dec 05, 2024, 9:57 AM</t>
  </si>
  <si>
    <t>academicnetwork_na@cadence.com</t>
  </si>
  <si>
    <t>Dec 05, 2024, 3:28 PM</t>
  </si>
  <si>
    <t>Campos EPC</t>
  </si>
  <si>
    <t>Dan Wilkerson</t>
  </si>
  <si>
    <t>dan.wilkerson@camposepc.com</t>
  </si>
  <si>
    <t>Civil and Environmental Engineering (CVEN), Electrical Engineering (ELEN), Environmental Engineering (EVEN), Mechanical Engineering (MEEN), Ocean Engineering (OCEN), Petroleum Engineering (PETE)</t>
  </si>
  <si>
    <t>Bahaa Ghuneim
Kevin Reinecke</t>
  </si>
  <si>
    <t>Nov 14, 2024, 10:10 AM</t>
  </si>
  <si>
    <t>Brandon.Rich@capco.com</t>
  </si>
  <si>
    <t>Computer Engineering (CECN), Computer Science (CPSC), Data Engineering (DATA), Electronic Systems Engineering Technology (ESET), Industrial and Systems Engineering (ISEN)</t>
  </si>
  <si>
    <t>Nov 13, 2024, 2:07 PM</t>
  </si>
  <si>
    <t>Aaron Ingram
Austin Owensby
Courtney Hranicky
Grant Bridges
Lisa Emmons
Tim Hopper</t>
  </si>
  <si>
    <t>Chemical Engineering (CHEN), Environmental Engineering (EVEN), Industrial and Systems Engineering (ISEN), Mechanical Engineering (MEEN)</t>
  </si>
  <si>
    <t>Camille Sowells</t>
  </si>
  <si>
    <t>CSowells@carollo.com</t>
  </si>
  <si>
    <t>Camille Sowells
Jose Cairo
Sarah Berkey
Xi Zhou</t>
  </si>
  <si>
    <t>Jan 09, 2025, 10:21 AM</t>
  </si>
  <si>
    <t>Caterpillar Inc (Silver Partner)</t>
  </si>
  <si>
    <t>Civil and Environmental Engineering (CVEN), Computer Engineering (CECN), Computer Science (CPSC), Data Engineering (DATA), Electrical Engineering (ELEN), Electronic Systems Engineering Technology (ESET), Environmental Engineering (EVEN), Industrial and Systems Engineering (ISEN), Manufacturing and Mechanical Engineering Technology (MMET), Materials Science and Engineering (MSEN), Mechanical Engineering (MEEN), Multidisciplinary Engineering Technology (MXET), Nuclear Engineering (NUEN)</t>
  </si>
  <si>
    <t>L24, L25</t>
  </si>
  <si>
    <t>Nov 18, 2024, 8:44 AM</t>
  </si>
  <si>
    <t>(832) 513 - 4187</t>
  </si>
  <si>
    <t>Nov 22, 2024, 7:55 AM</t>
  </si>
  <si>
    <t>Chas Clift</t>
  </si>
  <si>
    <t>Dec 18, 2024, 3:57 PM</t>
  </si>
  <si>
    <t>Nov 13, 2024, 2:16 PM</t>
  </si>
  <si>
    <t>225-291-5548</t>
  </si>
  <si>
    <t>Bernard Irava
Laurie Firmin
Seth Keylon
Tyler Longa</t>
  </si>
  <si>
    <t>L21</t>
  </si>
  <si>
    <t>(281)396-8120</t>
  </si>
  <si>
    <t>Dec 17, 2024, 9:47 AM</t>
  </si>
  <si>
    <t>Citigroup</t>
  </si>
  <si>
    <t>Gregory Lopez</t>
  </si>
  <si>
    <t>gregory1.lopez@citi.com</t>
  </si>
  <si>
    <t>Dec 05, 2024, 1:29 PM</t>
  </si>
  <si>
    <t>City of New Braunfels</t>
  </si>
  <si>
    <t>Carol Aceituno</t>
  </si>
  <si>
    <t>caceituno@newbraunfels.gov</t>
  </si>
  <si>
    <t>Carly Farmer
Garry Ford</t>
  </si>
  <si>
    <t>Nov 12, 2024, 8:59 AM</t>
  </si>
  <si>
    <t>Brittany Reinstadtler</t>
  </si>
  <si>
    <t>breinstadtler@cecinc.com</t>
  </si>
  <si>
    <t>Nov 14, 2024, 10:28 AM</t>
  </si>
  <si>
    <t>Cayla Tucker</t>
  </si>
  <si>
    <t>cayla.tucker@cmc.com</t>
  </si>
  <si>
    <t>830-372-8762</t>
  </si>
  <si>
    <t>Cayla Tucker
Michael Noll</t>
  </si>
  <si>
    <t>Nov 15, 2024, 4:14 PM</t>
  </si>
  <si>
    <t>Nov 18, 2024, 9:40 PM</t>
  </si>
  <si>
    <t>recruiting@cobbfendley.com</t>
  </si>
  <si>
    <t>Jason Eldridge
Matt Lopez</t>
  </si>
  <si>
    <t>F5</t>
  </si>
  <si>
    <t>Ginnessa Johnson</t>
  </si>
  <si>
    <t>ginnessa.johnson@collierseng.com</t>
  </si>
  <si>
    <t>Ginnessa Johnson
Jose Carmona</t>
  </si>
  <si>
    <t>Nov 13, 2024, 4:35 PM</t>
  </si>
  <si>
    <t>M14</t>
  </si>
  <si>
    <t>Dec 30, 2024, 3:07 PM</t>
  </si>
  <si>
    <t>Coreslab Structures</t>
  </si>
  <si>
    <t>Kristian Hamilton</t>
  </si>
  <si>
    <t>khamilton@coreslab.com</t>
  </si>
  <si>
    <t>F17</t>
  </si>
  <si>
    <t>Dec 20, 2024, 10:17 AM</t>
  </si>
  <si>
    <t>CPH Structural Engineering, Inc.</t>
  </si>
  <si>
    <t>Rebecca Mckissack</t>
  </si>
  <si>
    <t>rmckissack@cphengineering.com</t>
  </si>
  <si>
    <t>281-826-1848</t>
  </si>
  <si>
    <t>Christopher Hillman
Daniel Schafer</t>
  </si>
  <si>
    <t>Nov 13, 2024, 8:56 AM</t>
  </si>
  <si>
    <t>Danielle Johnson-Hazlewood
Shannon Casgar-Nelson</t>
  </si>
  <si>
    <t>Nov 13, 2024, 2:44 PM</t>
  </si>
  <si>
    <t>K27</t>
  </si>
  <si>
    <t>Nov 13, 2024, 11:10 AM</t>
  </si>
  <si>
    <t>(713) 337-8881</t>
  </si>
  <si>
    <t>David Cole
Lauren Madison</t>
  </si>
  <si>
    <t>C27, C28</t>
  </si>
  <si>
    <t>Nov 18, 2024, 8:20 AM</t>
  </si>
  <si>
    <t>Datum / Datum Rios</t>
  </si>
  <si>
    <t>Erika Passailaigue</t>
  </si>
  <si>
    <t>erikap@datumengineers.com</t>
  </si>
  <si>
    <t>512-469-9490</t>
  </si>
  <si>
    <t>Craig Rios
Luke Nelson</t>
  </si>
  <si>
    <t>Nov 13, 2024, 4:14 PM</t>
  </si>
  <si>
    <t>Robert Carpio</t>
  </si>
  <si>
    <t>rc@dbi-cc.com</t>
  </si>
  <si>
    <t>646-901-0154</t>
  </si>
  <si>
    <t>Dec 02, 2024, 2:34 PM</t>
  </si>
  <si>
    <t>Nicholas Shelburne</t>
  </si>
  <si>
    <t>cio_recruiting@dodiis.mil</t>
  </si>
  <si>
    <t>757-836-2478</t>
  </si>
  <si>
    <t>Anna Gibson
Denzel Johnson
Nicholas Shelburne</t>
  </si>
  <si>
    <t>Nov 22, 2024, 6:07 AM</t>
  </si>
  <si>
    <t>M. Kevin Mandeville Jr.</t>
  </si>
  <si>
    <t>kevin.mandeville@dnv.com</t>
  </si>
  <si>
    <t>281-396-1000</t>
  </si>
  <si>
    <t>Aerospace Engineering (AERO), Civil and Environmental Engineering (CVEN), Electrical Engineering (ELEN), Mechanical Engineering (MEEN)</t>
  </si>
  <si>
    <t>N2</t>
  </si>
  <si>
    <t>Jan 07, 2025, 1:30 AM</t>
  </si>
  <si>
    <t>312-255-8757</t>
  </si>
  <si>
    <t>Matt Stahr
Ricardo Baquerizo</t>
  </si>
  <si>
    <t>Dresser Utility Solutions</t>
  </si>
  <si>
    <t>Carla Weissenberg</t>
  </si>
  <si>
    <t>carla.weissenberg@dresserutility.com</t>
  </si>
  <si>
    <t>832-590-2447</t>
  </si>
  <si>
    <t>Computer Engineering (CECN), Manufacturing and Mechanical Engineering Technology (MMET), Mechanical Engineering (MEEN)</t>
  </si>
  <si>
    <t>Dec 10, 2024, 3:59 PM</t>
  </si>
  <si>
    <t>817-335-1121</t>
  </si>
  <si>
    <t>Nick Stevens</t>
  </si>
  <si>
    <t>732-974-0198</t>
  </si>
  <si>
    <t>CJ Schmitt
Emily Hill</t>
  </si>
  <si>
    <t>Amy Donnerberg</t>
  </si>
  <si>
    <t>(512) 443-4848</t>
  </si>
  <si>
    <t>L29</t>
  </si>
  <si>
    <t>Nov 16, 2024, 7:32 AM</t>
  </si>
  <si>
    <t>903-237-6981</t>
  </si>
  <si>
    <t>M1</t>
  </si>
  <si>
    <t>Dec 10, 2024, 10:25 AM</t>
  </si>
  <si>
    <t>EDG Inc.</t>
  </si>
  <si>
    <t>Laura Kapp</t>
  </si>
  <si>
    <t>careers@edg.net</t>
  </si>
  <si>
    <t>504-934-2221</t>
  </si>
  <si>
    <t>Chemical Engineering (CHEN), Civil and Environmental Engineering (CVEN), Computer Science (CPSC), Electrical Engineering (ELEN), Mechanical Engineering (MEEN), Ocean Engineering (OCEN)</t>
  </si>
  <si>
    <t>Nov 12, 2024, 6:39 AM</t>
  </si>
  <si>
    <t>Nov 21, 2024, 11:26 AM</t>
  </si>
  <si>
    <t>Daniel R. Frericks</t>
  </si>
  <si>
    <t>danielfrericks@epdltd.com</t>
  </si>
  <si>
    <t>832-380-2126</t>
  </si>
  <si>
    <t>Brent Muzny
Chris Eason
Dalton Janik
Daniel Frericks
Felix Gonzalez
Jaime Nunez
John Janik
John Varner
Justin Rowden, P.E.
Paul Horr</t>
  </si>
  <si>
    <t>B17, B18</t>
  </si>
  <si>
    <t>Elevation land solutions</t>
  </si>
  <si>
    <t>Stormy Garcia</t>
  </si>
  <si>
    <t>sgarcia@elevationlandsolutions.com</t>
  </si>
  <si>
    <t>832-823-2200</t>
  </si>
  <si>
    <t>Amanda Gonzalez
Travis Harrison</t>
  </si>
  <si>
    <t>Dec 04, 2024, 3:06 PM</t>
  </si>
  <si>
    <t>Nov 15, 2024, 1:36 PM</t>
  </si>
  <si>
    <t>678 763 5161</t>
  </si>
  <si>
    <t>Civil and Environmental Engineering (CVEN), Electrical Engineering (ELEN), Mechanical Engineering (MEEN), Nuclear Engineering (NUEN)</t>
  </si>
  <si>
    <t>Nov 18, 2024, 9:43 AM</t>
  </si>
  <si>
    <t>214-608-6262</t>
  </si>
  <si>
    <t>Chemical Engineering (CHEN), Civil and Environmental Engineering (CVEN), Electrical Engineering (ELEN), Environmental Engineering (EVEN), Mechanical Engineering (MEEN), Petroleum Engineering (PETE)</t>
  </si>
  <si>
    <t>Nov 19, 2024, 9:12 AM</t>
  </si>
  <si>
    <t>Cara Curtin</t>
  </si>
  <si>
    <t>Matt Robbins
Tanner Miller</t>
  </si>
  <si>
    <t>Ramon Silva</t>
  </si>
  <si>
    <t>rsilva@engdyn.com</t>
  </si>
  <si>
    <t>210-492-9100</t>
  </si>
  <si>
    <t>Ramon Silva
Stephen Price
Troy Feese</t>
  </si>
  <si>
    <t>L11</t>
  </si>
  <si>
    <t>Nov 20, 2024, 1:20 PM</t>
  </si>
  <si>
    <t>ENTACT LLC</t>
  </si>
  <si>
    <t>Nov 19, 2024, 11:19 AM</t>
  </si>
  <si>
    <t>Chemical Engineering (CHEN), Civil and Environmental Engineering (CVEN), Electrical Engineering (ELEN), Environmental Engineering (EVEN), Materials Science and Engineering (MSEN), Mechanical Engineering (MEEN)</t>
  </si>
  <si>
    <t>Dec 16, 2024, 11:25 AM</t>
  </si>
  <si>
    <t>504-576-5926</t>
  </si>
  <si>
    <t>Architectural Engineering (AREN), Chemical Engineering (CHEN), Computer Engineering (CECN), Computer Science (CPSC), Data Engineering (DATA), Electrical Engineering (ELEN), Electronic Systems Engineering Technology (ESET), Environmental Engineering (EVEN), Mechanical Engineering (MEEN), Nuclear Engineering (NUEN), Petroleum Engineering (PETE)</t>
  </si>
  <si>
    <t>Diamond One-Day: Thursday, January 23rd [$4000.00]</t>
  </si>
  <si>
    <t>I8, I9, I10</t>
  </si>
  <si>
    <t>Dec 19, 2024, 3:45 PM</t>
  </si>
  <si>
    <t>713-381-5680</t>
  </si>
  <si>
    <t>B21</t>
  </si>
  <si>
    <t>Nov 15, 2024, 10:37 AM</t>
  </si>
  <si>
    <t>608 271 9000</t>
  </si>
  <si>
    <t>Nov 12, 2024, 10:25 AM</t>
  </si>
  <si>
    <t>ESE Partners</t>
  </si>
  <si>
    <t>Kristin Schultz</t>
  </si>
  <si>
    <t>kristin@esepartners.com</t>
  </si>
  <si>
    <t>Bryan Gay
Kristin Schultz</t>
  </si>
  <si>
    <t>Dec 17, 2024, 11:33 AM</t>
  </si>
  <si>
    <t>Exponent</t>
  </si>
  <si>
    <t>Nicholas Reding</t>
  </si>
  <si>
    <t>nreding@exponent.com</t>
  </si>
  <si>
    <t>Emily Brady
Nicholas Reding</t>
  </si>
  <si>
    <t>Dec 27, 2024, 12:53 PM</t>
  </si>
  <si>
    <t>Nov 13, 2024, 8:08 AM</t>
  </si>
  <si>
    <t>JOHN L. SMITH</t>
  </si>
  <si>
    <t>9-csa-es-jobs@faa.gov</t>
  </si>
  <si>
    <t>817-222-4551</t>
  </si>
  <si>
    <t>Esperanza Perez
Hector Robles
Jeff Tague
John Smith
Richard Bellows
Rick Salinas
Sary Sancen</t>
  </si>
  <si>
    <t>J2, J3</t>
  </si>
  <si>
    <t>Ferrovial Services</t>
  </si>
  <si>
    <t>Architectural Engineering (AREN), Civil and Environmental Engineering (CVEN), Data Engineering (DATA), Environmental Engineering (EVEN), Industrial and Systems Engineering (ISEN)</t>
  </si>
  <si>
    <t>D20, D21</t>
  </si>
  <si>
    <t>Nov 13, 2024, 6:47 AM</t>
  </si>
  <si>
    <t>FieldCore</t>
  </si>
  <si>
    <t>Alyssa Mays
Monica Quevedo</t>
  </si>
  <si>
    <t>M8</t>
  </si>
  <si>
    <t>Nov 13, 2024, 8:03 AM</t>
  </si>
  <si>
    <t>H10, H11</t>
  </si>
  <si>
    <t>Nov 13, 2024, 4:07 PM</t>
  </si>
  <si>
    <t>Freudenberg</t>
  </si>
  <si>
    <t>Kyle Beeler</t>
  </si>
  <si>
    <t>kyle.beeler@fnacc.com</t>
  </si>
  <si>
    <t>Chemical Engineering (CHEN), Manufacturing and Mechanical Engineering Technology (MMET), Materials Science and Engineering (MSEN), Mechanical Engineering (MEEN), Petroleum Engineering (PETE)</t>
  </si>
  <si>
    <t>Nov 11, 2024, 9:34 AM</t>
  </si>
  <si>
    <t>Frozen Beverage Dispensers</t>
  </si>
  <si>
    <t>210 637 2924</t>
  </si>
  <si>
    <t>Computer Engineering (CECN), Electrical Engineering (ELEN), Industrial and Systems Engineering (ISEN), Mechanical Engineering (MEEN)</t>
  </si>
  <si>
    <t>Alejandra Lorenzana
Brenda Elizondo
Keyla Blanco</t>
  </si>
  <si>
    <t>240-564-0961</t>
  </si>
  <si>
    <t>Marcos Osorio
Will Fowler</t>
  </si>
  <si>
    <t>Chemical Engineering (CHEN), Electrical Engineering (ELEN), Industrial Distribution (IDIS), Industrial and Systems Engineering (ISEN), Manufacturing and Mechanical Engineering Technology (MMET), Materials Science and Engineering (MSEN), Mechanical Engineering (MEEN), Multidisciplinary Engineering Technology (MXET)</t>
  </si>
  <si>
    <t>Jan 02, 2025, 3:28 PM</t>
  </si>
  <si>
    <t>Garver</t>
  </si>
  <si>
    <t>Shelby Sajdak</t>
  </si>
  <si>
    <t>crecruiting@garverusa.com</t>
  </si>
  <si>
    <t>Architectural Engineering (AREN), Biological and Agricultural Engineering (BAEN), Chemical Engineering (CHEN), Civil and Environmental Engineering (CVEN), Electrical Engineering (ELEN), Environmental Engineering (EVEN), Mechanical Engineering (MEEN)</t>
  </si>
  <si>
    <t>Nov 19, 2024, 3:30 PM</t>
  </si>
  <si>
    <t>GATE Energy</t>
  </si>
  <si>
    <t>Laurie Fellers</t>
  </si>
  <si>
    <t>lpinto@gate.energy</t>
  </si>
  <si>
    <t>Chemical Engineering (CHEN), Electrical Engineering (ELEN), Mechanical Engineering (MEEN), Ocean Engineering (OCEN), Petroleum Engineering (PETE)</t>
  </si>
  <si>
    <t>Laurie Fellers
Sharie Koskowski</t>
  </si>
  <si>
    <t>Nov 15, 2024, 9:10 AM</t>
  </si>
  <si>
    <t>GATX</t>
  </si>
  <si>
    <t>979.599.5729</t>
  </si>
  <si>
    <t>Electrical Engineering (ELEN), Electronic Systems Engineering Technology (ESET), Industrial and Systems Engineering (ISEN), Manufacturing and Mechanical Engineering Technology (MMET), Mechanical Engineering (MEEN), Multidisciplinary Engineering Technology (MXET)</t>
  </si>
  <si>
    <t>Jake Garrett
Kayla Maxey
Stephen Behrens</t>
  </si>
  <si>
    <t>Jan 10, 2025, 12:37 PM</t>
  </si>
  <si>
    <t>Doulton Delaney
Lauren Rockhold
Tyler Shows</t>
  </si>
  <si>
    <t>Nov 11, 2024, 3:25 PM</t>
  </si>
  <si>
    <t>860-405-3450</t>
  </si>
  <si>
    <t>Aerospace Engineering (AERO), Architectural Engineering (AREN), Chemical Engineering (CHEN), Civil and Environmental Engineering (CVEN), Computer Engineering (CECN), Computer Science (CPSC), Electrical Engineering (ELEN), Environmental Engineering (EVEN), Industrial and Systems Engineering (ISEN), Mechanical Engineering (MEEN), Nuclear Engineering (NUEN), Ocean Engineering (OCEN)</t>
  </si>
  <si>
    <t>Alex Holmes
Kimberlin Nealy
Wilmer Lambert</t>
  </si>
  <si>
    <t>Greg Hanson</t>
  </si>
  <si>
    <t>979-680-8840</t>
  </si>
  <si>
    <t>Dec 06, 2024, 3:16 PM</t>
  </si>
  <si>
    <t>GMCivil</t>
  </si>
  <si>
    <t>817-329-4373</t>
  </si>
  <si>
    <t>Biological and Agricultural Engineering (BAEN), Civil and Environmental Engineering (CVEN), Environmental Engineering (EVEN), Ocean Engineering (OCEN)</t>
  </si>
  <si>
    <t>Nov 13, 2024, 4:10 PM</t>
  </si>
  <si>
    <t>Civil and Environmental Engineering (CVEN), Electrical Engineering (ELEN), Mechanical Engineering (MEEN), Ocean Engineering (OCEN)</t>
  </si>
  <si>
    <t>Dec 10, 2024, 9:15 AM</t>
  </si>
  <si>
    <t>(630) 574-3000</t>
  </si>
  <si>
    <t>Nov 13, 2024, 12:09 PM</t>
  </si>
  <si>
    <t>(785) 823-9556</t>
  </si>
  <si>
    <t>Biological and Agricultural Engineering (BAEN), Chemical Engineering (CHEN), Electrical Engineering (ELEN), Electronic Systems Engineering Technology (ESET), Environmental Engineering (EVEN), Industrial Distribution (IDIS), Industrial and Systems Engineering (ISEN), Manufacturing and Mechanical Engineering Technology (MMET), Mechanical Engineering (MEEN), Multidisciplinary Engineering Technology (MXET)</t>
  </si>
  <si>
    <t>C25</t>
  </si>
  <si>
    <t>Nov 13, 2024, 1:44 PM</t>
  </si>
  <si>
    <t>713 850 3262</t>
  </si>
  <si>
    <t>Nov 20, 2024, 3:38 PM</t>
  </si>
  <si>
    <t>Civil and Environmental Engineering (CVEN), Industrial Distribution (IDIS), Industrial and Systems Engineering (ISEN), Manufacturing and Mechanical Engineering Technology (MMET)</t>
  </si>
  <si>
    <t>Dec 10, 2024, 1:44 PM</t>
  </si>
  <si>
    <t>Beth Goodlander</t>
  </si>
  <si>
    <t>beth.goodlander@h2bengineers.com</t>
  </si>
  <si>
    <t>Beth Goodlander
Travis James</t>
  </si>
  <si>
    <t>Greg Chin</t>
  </si>
  <si>
    <t>gchin@halff.com</t>
  </si>
  <si>
    <t>Nov 13, 2024, 10:27 AM</t>
  </si>
  <si>
    <t>Tessa Williams</t>
  </si>
  <si>
    <t>Chemical Engineering (CHEN), Computer Engineering (CECN), Computer Science (CPSC), Data Engineering (DATA), Electrical Engineering (ELEN), Environmental Engineering (EVEN), Industrial Distribution (IDIS), Industrial and Systems Engineering (ISEN), Manufacturing and Mechanical Engineering Technology (MMET), Materials Science and Engineering (MSEN), Mechanical Engineering (MEEN), Multidisciplinary Engineering Technology (MXET), Nuclear Engineering (NUEN), Petroleum Engineering (PETE)</t>
  </si>
  <si>
    <t>Emily Clark</t>
  </si>
  <si>
    <t>Nov 13, 2024, 8:15 AM</t>
  </si>
  <si>
    <t>Chase Jackson</t>
  </si>
  <si>
    <t>cmjackson@hargrove-epc.com</t>
  </si>
  <si>
    <t>Chemical Engineering (CHEN), Civil and Environmental Engineering (CVEN), Electrical Engineering (ELEN), Industrial and Systems Engineering (ISEN), Manufacturing and Mechanical Engineering Technology (MMET), Mechanical Engineering (MEEN)</t>
  </si>
  <si>
    <t>Dec 05, 2024, 10:09 AM</t>
  </si>
  <si>
    <t>Rick Anderson</t>
  </si>
  <si>
    <t>rick.anderson@hctra.org</t>
  </si>
  <si>
    <t>713 587 7810</t>
  </si>
  <si>
    <t>Kaleb Sterling</t>
  </si>
  <si>
    <t>Harris Energy Solutions</t>
  </si>
  <si>
    <t>Daniel Pino</t>
  </si>
  <si>
    <t>daniel.pino@hesconnect.com</t>
  </si>
  <si>
    <t>512-667-1418</t>
  </si>
  <si>
    <t>Architectural Engineering (AREN), Civil and Environmental Engineering (CVEN), Electrical Engineering (ELEN), Electronic Systems Engineering Technology (ESET), Environmental Engineering (EVEN), Mechanical Engineering (MEEN)</t>
  </si>
  <si>
    <t>Daniel Pino
Deng Lin
Jessica Harris
Johan Agudelo</t>
  </si>
  <si>
    <t>Nov 25, 2024, 10:57 AM</t>
  </si>
  <si>
    <t>904.791.4500</t>
  </si>
  <si>
    <t>Architectural Engineering (AREN), Chemical Engineering (CHEN), Civil and Environmental Engineering (CVEN), Electrical Engineering (ELEN), Industrial and Systems Engineering (ISEN), Manufacturing and Mechanical Engineering Technology (MMET), Mechanical Engineering (MEEN)</t>
  </si>
  <si>
    <t>Diamond One-Day: Wednesday, January 22nd [$4000.00]</t>
  </si>
  <si>
    <t>G8, G9, G10</t>
  </si>
  <si>
    <t>Dec 31, 2024, 1:43 PM</t>
  </si>
  <si>
    <t>(412) 497-2033</t>
  </si>
  <si>
    <t>Jared Bertsch
Mike Lai
Scott Macha</t>
  </si>
  <si>
    <t>Adam Fowles
Eliza Stoeppelwerth</t>
  </si>
  <si>
    <t>Jan 06, 2025, 2:33 PM</t>
  </si>
  <si>
    <t>Adam Lohse
Anagha Vitonde
Brent Moore
George Cisneros
Luis Gomez
Michael Mireles
Pablo Ortuno
Reynaldo Sepulveda
Ronke Osibajo
Sadhana Vidya Shekar
Sherif Mabrouk</t>
  </si>
  <si>
    <t>H17, H18</t>
  </si>
  <si>
    <t>Civil and Environmental Engineering (CVEN), Manufacturing and Mechanical Engineering Technology (MMET), Mechanical Engineering (MEEN)</t>
  </si>
  <si>
    <t>Nov 26, 2024, 12:09 PM</t>
  </si>
  <si>
    <t>Matt Henderson</t>
  </si>
  <si>
    <t>mhenderson@hendersonrogers.com</t>
  </si>
  <si>
    <t>713-430-5800</t>
  </si>
  <si>
    <t>Nov 18, 2024, 3:11 PM</t>
  </si>
  <si>
    <t>401-642-1711</t>
  </si>
  <si>
    <t>Gold One-Day: Wednesday, January 22nd [$2500.00]</t>
  </si>
  <si>
    <t>Nov 22, 2024, 11:15 AM</t>
  </si>
  <si>
    <t>Hexagon's Asset Lifecycle Intelligence division</t>
  </si>
  <si>
    <t>Jeffrey Cheung
Jessica Stone
Purbasha Garai
Sulaiman Mulla</t>
  </si>
  <si>
    <t>HFA</t>
  </si>
  <si>
    <t>Ashley</t>
  </si>
  <si>
    <t>ashley.mcelroy@hfa-ae.com</t>
  </si>
  <si>
    <t>Edith Llamas</t>
  </si>
  <si>
    <t>Dec 20, 2024, 3:27 PM</t>
  </si>
  <si>
    <t>Dec 04, 2024, 12:55 PM</t>
  </si>
  <si>
    <t>816.527.2280</t>
  </si>
  <si>
    <t>Amanda Bergmann
Meaghan McKenna</t>
  </si>
  <si>
    <t>Nov 13, 2024, 8:16 AM</t>
  </si>
  <si>
    <t>Architectural Engineering (AREN), Civil and Environmental Engineering (CVEN), Electrical Engineering (ELEN), Industrial and Systems Engineering (ISEN), Manufacturing and Mechanical Engineering Technology (MMET), Mechanical Engineering (MEEN)</t>
  </si>
  <si>
    <t>Andy Jones
Jen McCalley
Thomas Smith</t>
  </si>
  <si>
    <t>Ashley Peckham</t>
  </si>
  <si>
    <t>ashley.peckham@hrgreen.com</t>
  </si>
  <si>
    <t>720-602-4597</t>
  </si>
  <si>
    <t>Ashu Choubey
Carrie Hein
Keval Satra
Lubaina Selani</t>
  </si>
  <si>
    <t>713-303-5697</t>
  </si>
  <si>
    <t>Clay Condrey
Joel Hill</t>
  </si>
  <si>
    <t>Nov 13, 2024, 3:41 PM</t>
  </si>
  <si>
    <t>214-871-3311</t>
  </si>
  <si>
    <t>Brandon Havis
Chad Nesvadba
Darian Ward</t>
  </si>
  <si>
    <t>214-760-7000</t>
  </si>
  <si>
    <t>George Waterous
Katherine Burns</t>
  </si>
  <si>
    <t>Nov 13, 2024, 8:27 AM</t>
  </si>
  <si>
    <t>408-690-8669</t>
  </si>
  <si>
    <t>Computer Engineering (CECN), Computer Science (CPSC), Data Engineering (DATA), Mechanical Engineering (MEEN)</t>
  </si>
  <si>
    <t>Bobbi Gums</t>
  </si>
  <si>
    <t>B13</t>
  </si>
  <si>
    <t>832.590.7230</t>
  </si>
  <si>
    <t>AnnMarie Burns, E.I.T.
Cole Gabelman
Isabel Londrigan, E.I.T.
John Hale, P.E.
Jonathan Rizzo, E.I.T.
Joseph Peltier
Robert Swanson, P.E.
Roy Ward, P.E.
Shannon Simpson
Skyler Bowling</t>
  </si>
  <si>
    <t>Shakeel Ahmed</t>
  </si>
  <si>
    <t>marketing@ieaworld.com</t>
  </si>
  <si>
    <t>(214) 884-4253</t>
  </si>
  <si>
    <t>Nov 13, 2024, 9:10 AM</t>
  </si>
  <si>
    <t>Illinois Department of Transportation</t>
  </si>
  <si>
    <t>Ivan L Barajas</t>
  </si>
  <si>
    <t>ivan.barajas@illinois.gov</t>
  </si>
  <si>
    <t>Civil and Environmental Engineering (CVEN), Electrical Engineering (ELEN), Environmental Engineering (EVEN), Materials Science and Engineering (MSEN), Mechanical Engineering (MEEN)</t>
  </si>
  <si>
    <t>Dec 17, 2024, 9:43 AM</t>
  </si>
  <si>
    <t>IMEG Corp.</t>
  </si>
  <si>
    <t>Nov 22, 2024, 12:15 PM</t>
  </si>
  <si>
    <t>Nov 13, 2024, 2:47 PM</t>
  </si>
  <si>
    <t>Esther Garcia
Lucia Mendez
Mark Sweidan</t>
  </si>
  <si>
    <t>Nov 17, 2024, 6:33 AM</t>
  </si>
  <si>
    <t>Innovative Refrigeration Systems, Inc.</t>
  </si>
  <si>
    <t>Larry Martin</t>
  </si>
  <si>
    <t>lmartin@r717.net</t>
  </si>
  <si>
    <t>(804) 613-4107</t>
  </si>
  <si>
    <t>Electrical Engineering (ELEN), Electronic Systems Engineering Technology (ESET), Environmental Engineering (EVEN), Industrial and Systems Engineering (ISEN), Manufacturing and Mechanical Engineering Technology (MMET), Mechanical Engineering (MEEN)</t>
  </si>
  <si>
    <t>Nov 14, 2024, 10:11 AM</t>
  </si>
  <si>
    <t>Mikkel Chaisson</t>
  </si>
  <si>
    <t>mikkel.chaisson@innovex-inc.com</t>
  </si>
  <si>
    <t>281-982-1499</t>
  </si>
  <si>
    <t>Civil and Environmental Engineering (CVEN), Electronic Systems Engineering Technology (ESET), Industrial Distribution (IDIS), Industrial and Systems Engineering (ISEN), Manufacturing and Mechanical Engineering Technology (MMET), Materials Science and Engineering (MSEN), Mechanical Engineering (MEEN), Multidisciplinary Engineering Technology (MXET), Petroleum Engineering (PETE)</t>
  </si>
  <si>
    <t>Jan 02, 2025, 3:32 PM</t>
  </si>
  <si>
    <t>(210)349-9098</t>
  </si>
  <si>
    <t>Nov 13, 2024, 8:10 AM</t>
  </si>
  <si>
    <t>Pranav Chopra</t>
  </si>
  <si>
    <t>pchopra@intuitivemachines.com</t>
  </si>
  <si>
    <t>Aerospace Engineering (AERO), Computer Engineering (CECN), Computer Science (CPSC), Electrical Engineering (ELEN), Electronic Systems Engineering Technology (ESET), Mechanical Engineering (MEEN), Multidisciplinary Engineering Technology (MXET)</t>
  </si>
  <si>
    <t>Clif Miller
Kayla Purdy</t>
  </si>
  <si>
    <t>Jan 03, 2025, 9:29 AM</t>
  </si>
  <si>
    <t>Katherine Cinibulk</t>
  </si>
  <si>
    <t>Architectural Engineering (AREN), Chemical Engineering (CHEN), Civil and Environmental Engineering (CVEN), Electrical Engineering (ELEN), Environmental Engineering (EVEN), Industrial and Systems Engineering (ISEN), Mechanical Engineering (MEEN)</t>
  </si>
  <si>
    <t>6178900600 x441</t>
  </si>
  <si>
    <t>Roman Davis
Timothy Mannering</t>
  </si>
  <si>
    <t>Nov 18, 2024, 3:39 PM</t>
  </si>
  <si>
    <t>Mandy Banks</t>
  </si>
  <si>
    <t>mandy.banks@jedunn.com</t>
  </si>
  <si>
    <t>816-945-0037</t>
  </si>
  <si>
    <t>Civil and Environmental Engineering (CVEN), Electrical Engineering (ELEN), Industrial and Systems Engineering (ISEN), Mechanical Engineering (MEEN)</t>
  </si>
  <si>
    <t>Harrison Kotre
Jason Milla</t>
  </si>
  <si>
    <t>Nov 22, 2024, 10:13 AM</t>
  </si>
  <si>
    <t>Biomedical Engineering (BMEN), Chemical Engineering (CHEN), Computer Engineering (CECN), Computer Science (CPSC), Electrical Engineering (ELEN)</t>
  </si>
  <si>
    <t>H30</t>
  </si>
  <si>
    <t>Dec 16, 2024, 11:32 AM</t>
  </si>
  <si>
    <t>Johnson, Mirmiran &amp; Thompson</t>
  </si>
  <si>
    <t>Alison Moore</t>
  </si>
  <si>
    <t>amoore@jmt.com</t>
  </si>
  <si>
    <t>Alex Gersib
Rafael Medrano</t>
  </si>
  <si>
    <t>Chemical Engineering (CHEN), Civil and Environmental Engineering (CVEN), Industrial and Systems Engineering (ISEN), Mechanical Engineering (MEEN), Multidisciplinary Engineering Technology (MXET)</t>
  </si>
  <si>
    <t>Amanda Yokem
Nasime Orozco</t>
  </si>
  <si>
    <t>L22</t>
  </si>
  <si>
    <t>KB HOME</t>
  </si>
  <si>
    <t>Claire Bickenbach</t>
  </si>
  <si>
    <t>cbickenbach@kbhome.com</t>
  </si>
  <si>
    <t>310 231 4238</t>
  </si>
  <si>
    <t>Dec 13, 2024, 9:57 AM</t>
  </si>
  <si>
    <t>Lauren Grisanti</t>
  </si>
  <si>
    <t>lauren.grisanti@kci.com</t>
  </si>
  <si>
    <t>Architectural Engineering (AREN), Civil and Environmental Engineering (CVEN), Electrical Engineering (ELEN), Environmental Engineering (EVEN), Mechanical Engineering (MEEN), Ocean Engineering (OCEN)</t>
  </si>
  <si>
    <t>Nov 16, 2024, 1:14 PM</t>
  </si>
  <si>
    <t>Kent PLC</t>
  </si>
  <si>
    <t>Margaret De La Rosa</t>
  </si>
  <si>
    <t>Margaret.DeLaRosa@kentplc.com</t>
  </si>
  <si>
    <t>Dec 18, 2024, 4:24 AM</t>
  </si>
  <si>
    <t>713.983.8002</t>
  </si>
  <si>
    <t>Guy McGriff
Kourtnie Simpson
Kyle Stewart</t>
  </si>
  <si>
    <t>225-336-7454</t>
  </si>
  <si>
    <t>Chad Wainerdi
Raymond Hamilton</t>
  </si>
  <si>
    <t>Abbie Lucero</t>
  </si>
  <si>
    <t>Recruitingsupport@kiewit.com</t>
  </si>
  <si>
    <t>Nov 11, 2024, 11:34 AM</t>
  </si>
  <si>
    <t>Architectural Engineering (AREN), Biological and Agricultural Engineering (BAEN), Civil and Environmental Engineering (CVEN), Environmental Engineering (EVEN)</t>
  </si>
  <si>
    <t>E21, E22, E23</t>
  </si>
  <si>
    <t>630 615 7535</t>
  </si>
  <si>
    <t>Electrical Engineering (ELEN), Electronic Systems Engineering Technology (ESET)</t>
  </si>
  <si>
    <t>Jan 10, 2025, 1:01 PM</t>
  </si>
  <si>
    <t>817-488-4960</t>
  </si>
  <si>
    <t>Christina Wharton
Prashantika Gautam</t>
  </si>
  <si>
    <t>Cheyenne Warner</t>
  </si>
  <si>
    <t>cwarner@kleintools.com</t>
  </si>
  <si>
    <t>Nov 13, 2024, 8:20 AM</t>
  </si>
  <si>
    <t>Whitney Schubarth</t>
  </si>
  <si>
    <t>whitney.schubarth@global.komatsu</t>
  </si>
  <si>
    <t>Civil and Environmental Engineering (CVEN), Computer Science (CPSC), Electrical Engineering (ELEN), Electronic Systems Engineering Technology (ESET), Industrial and Systems Engineering (ISEN), Manufacturing and Mechanical Engineering Technology (MMET), Materials Science and Engineering (MSEN), Mechanical Engineering (MEEN), Multidisciplinary Engineering Technology (MXET)</t>
  </si>
  <si>
    <t>Connie Abernathy
Karl Kuenemann
Shane Wilson
Whitney Schubarth</t>
  </si>
  <si>
    <t>Nov 12, 2024, 9:44 AM</t>
  </si>
  <si>
    <t>Dec 05, 2024, 10:45 AM</t>
  </si>
  <si>
    <t>Ryan Dudark</t>
  </si>
  <si>
    <t>ryan.c.dudark@l3harris.com</t>
  </si>
  <si>
    <t>903 457 5499</t>
  </si>
  <si>
    <t>Aerospace Engineering (AERO), Computer Engineering (CECN), Computer Science (CPSC), Data Engineering (DATA), Electrical Engineering (ELEN), Electronic Systems Engineering Technology (ESET), Industrial and Systems Engineering (ISEN), Manufacturing and Mechanical Engineering Technology (MMET), Materials Science and Engineering (MSEN), Multidisciplinary Engineering Technology (MXET)</t>
  </si>
  <si>
    <t>Ian Horbaczewski
Isabella Mihalic
Kevin Duignan
Travis Jacobs
Trent Smith</t>
  </si>
  <si>
    <t>Jan 20, 2025, 4:35 PM</t>
  </si>
  <si>
    <t>210-661-4216</t>
  </si>
  <si>
    <t>Alli Yates
Joe Sziveri
Parker Alsup</t>
  </si>
  <si>
    <t>Chemical Engineering (CHEN), Electrical Engineering (ELEN), Environmental Engineering (EVEN), Industrial and Systems Engineering (ISEN), Manufacturing and Mechanical Engineering Technology (MMET), Mechanical Engineering (MEEN)</t>
  </si>
  <si>
    <t>M19</t>
  </si>
  <si>
    <t>Jan 07, 2025, 4:31 PM</t>
  </si>
  <si>
    <t>LightRiver</t>
  </si>
  <si>
    <t>Javier Moreno</t>
  </si>
  <si>
    <t>jmoreno@lightriver.com</t>
  </si>
  <si>
    <t>Dec 27, 2024, 9:48 PM</t>
  </si>
  <si>
    <t>(214) 979-1144</t>
  </si>
  <si>
    <t>Alexis Torres
Erwin Roman
Lilah Ramey</t>
  </si>
  <si>
    <t>Nov 13, 2024, 9:16 AM</t>
  </si>
  <si>
    <t>Jelisa Jones</t>
  </si>
  <si>
    <t>M13, M14</t>
  </si>
  <si>
    <t>Nov 13, 2024, 2:15 PM</t>
  </si>
  <si>
    <t>Clayton Weishuhn
Melony Gay
Rylee Holt</t>
  </si>
  <si>
    <t>832.722.6713</t>
  </si>
  <si>
    <t>Brittany Colbert</t>
  </si>
  <si>
    <t>Jan 02, 2025, 5:05 PM</t>
  </si>
  <si>
    <t>Lockwood, Andrews &amp; Newnam</t>
  </si>
  <si>
    <t>Chelsea Nguyen</t>
  </si>
  <si>
    <t>CVNguyen@leoadaly.com</t>
  </si>
  <si>
    <t>713-821-0238</t>
  </si>
  <si>
    <t>Alena Escobedo
Chris Edwards
Jackson Smith
Joseph Contreras
Markus Neubauer
Matthew Norris
Tyler Johnston</t>
  </si>
  <si>
    <t>Sarah Porter</t>
  </si>
  <si>
    <t>sporter@lonestarturbo.com</t>
  </si>
  <si>
    <t>Electrical Engineering (ELEN), Industrial and Systems Engineering (ISEN), Manufacturing and Mechanical Engineering Technology (MMET), Mechanical Engineering (MEEN), Multidisciplinary Engineering Technology (MXET)</t>
  </si>
  <si>
    <t>Nov 12, 2024, 10:31 AM</t>
  </si>
  <si>
    <t>Lower Colorado River Authority</t>
  </si>
  <si>
    <t>Paul D. Murello</t>
  </si>
  <si>
    <t>paul.murello@lcra.org</t>
  </si>
  <si>
    <t>407-342-4170</t>
  </si>
  <si>
    <t>Chemical Engineering (CHEN), Civil and Environmental Engineering (CVEN), Electrical Engineering (ELEN), Electronic Systems Engineering Technology (ESET), Environmental Engineering (EVEN), Industrial and Systems Engineering (ISEN), Manufacturing and Mechanical Engineering Technology (MMET), Materials Science and Engineering (MSEN), Mechanical Engineering (MEEN), Petroleum Engineering (PETE)</t>
  </si>
  <si>
    <t>Bailey Barksdale
Paul Murello
TBD 2</t>
  </si>
  <si>
    <t>LPA, Inc.</t>
  </si>
  <si>
    <t>Julia Kirk</t>
  </si>
  <si>
    <t>jkirk@lpadesignstudios.com</t>
  </si>
  <si>
    <t>916-287-2355</t>
  </si>
  <si>
    <t>John Hoenig</t>
  </si>
  <si>
    <t>Dec 03, 2024, 7:32 PM</t>
  </si>
  <si>
    <t>469-808-9777</t>
  </si>
  <si>
    <t>Carla Clack
Sean McLeod
Zephyr Seagraves</t>
  </si>
  <si>
    <t>M2</t>
  </si>
  <si>
    <t>Lucifer Lighting</t>
  </si>
  <si>
    <t>Brian Ruggles</t>
  </si>
  <si>
    <t>b.ruggles@luciferlighting.com</t>
  </si>
  <si>
    <t>210-227-7329</t>
  </si>
  <si>
    <t>Industrial Distribution (IDIS), Manufacturing and Mechanical Engineering Technology (MMET), Mechanical Engineering (MEEN)</t>
  </si>
  <si>
    <t>Brian Ruggles
Evan Dillon
Gilbert Mathews
Peter Nelson</t>
  </si>
  <si>
    <t>Jan 07, 2025, 4:06 PM</t>
  </si>
  <si>
    <t>(830) 313-5169</t>
  </si>
  <si>
    <t>Bret Martinets
Kendall Simpson
Lauren Athans
Rico Laijas</t>
  </si>
  <si>
    <t>(512) 813-9430</t>
  </si>
  <si>
    <t>Civil and Environmental Engineering (CVEN), Environmental Engineering (EVEN), Ocean Engineering (OCEN)</t>
  </si>
  <si>
    <t>Nov 14, 2024, 1:53 PM</t>
  </si>
  <si>
    <t>979-215-5078</t>
  </si>
  <si>
    <t>Hillary Traylor
Tony Nguyen</t>
  </si>
  <si>
    <t>Nov 26, 2024, 8:35 AM</t>
  </si>
  <si>
    <t>737-295-3403</t>
  </si>
  <si>
    <t>Nov 13, 2024, 8:58 AM</t>
  </si>
  <si>
    <t>Kyle Dickens</t>
  </si>
  <si>
    <t>kdickens@mansoncc.com</t>
  </si>
  <si>
    <t>Hannah Huezo</t>
  </si>
  <si>
    <t>L8</t>
  </si>
  <si>
    <t>Nov 25, 2024, 2:08 PM</t>
  </si>
  <si>
    <t>L6, L7</t>
  </si>
  <si>
    <t>Nov 19, 2024, 9:28 AM</t>
  </si>
  <si>
    <t>M28, M29</t>
  </si>
  <si>
    <t>Nov 13, 2024, 9:05 AM</t>
  </si>
  <si>
    <t>Matkin Hoover Engineering &amp; Surveying</t>
  </si>
  <si>
    <t>Jen Harbuck</t>
  </si>
  <si>
    <t>830-249-0600</t>
  </si>
  <si>
    <t>Joshua Valenta
Rick Partridge</t>
  </si>
  <si>
    <t>Nov 20, 2024, 9:04 AM</t>
  </si>
  <si>
    <t>(979) 845-0811</t>
  </si>
  <si>
    <t>Computer Engineering (CECN), Computer Science (CPSC), Data Engineering (DATA), Industrial Distribution (IDIS), Industrial and Systems Engineering (ISEN)</t>
  </si>
  <si>
    <t>Nov 13, 2024, 2:52 PM</t>
  </si>
  <si>
    <t>979-845-2420</t>
  </si>
  <si>
    <t>Brooke Ellen
Marla Collins</t>
  </si>
  <si>
    <t>Nov 14, 2024, 4:33 PM</t>
  </si>
  <si>
    <t>Alejandro Velez
Anna Campbell
Brenna Spillmann</t>
  </si>
  <si>
    <t>A14</t>
  </si>
  <si>
    <t>Dec 27, 2024, 5:25 PM</t>
  </si>
  <si>
    <t>careers@mckinstry.com</t>
  </si>
  <si>
    <t>Civil and Environmental Engineering (CVEN), Data Engineering (DATA), Electrical Engineering (ELEN), Electronic Systems Engineering Technology (ESET), Environmental Engineering (EVEN), Industrial and Systems Engineering (ISEN), Manufacturing and Mechanical Engineering Technology (MMET), Mechanical Engineering (MEEN)</t>
  </si>
  <si>
    <t>Nov 15, 2024, 2:15 PM</t>
  </si>
  <si>
    <t>281-207-0224</t>
  </si>
  <si>
    <t>Paulette Quilter</t>
  </si>
  <si>
    <t>pquilter@micron.com</t>
  </si>
  <si>
    <t>Dec 04, 2024, 12:11 PM</t>
  </si>
  <si>
    <t>Isis Hernandez
Rob Cronin
Valerie Arruda</t>
  </si>
  <si>
    <t>Nov 13, 2024, 8:55 AM</t>
  </si>
  <si>
    <t>thedfwrecruiter@gmail.com</t>
  </si>
  <si>
    <t>Murfee Engineering Company</t>
  </si>
  <si>
    <t>Conchetta Impastato</t>
  </si>
  <si>
    <t>mecinfo@murfee.com</t>
  </si>
  <si>
    <t>John Blake</t>
  </si>
  <si>
    <t>I28, I29</t>
  </si>
  <si>
    <t>Nov 13, 2024, 10:17 AM</t>
  </si>
  <si>
    <t>281-256-5039</t>
  </si>
  <si>
    <t>Ana Martinez
Austin Groover
Blake Fosdick
Thad York
Will Passmore</t>
  </si>
  <si>
    <t>K21, K22</t>
  </si>
  <si>
    <t>NASA Johnson Space Center</t>
  </si>
  <si>
    <t>Elizabeth Blome</t>
  </si>
  <si>
    <t>elizabeth.c.blome@nasa.gov</t>
  </si>
  <si>
    <t>Aerospace Engineering (AERO), Architectural Engineering (AREN), Biological and Agricultural Engineering (BAEN), Biomedical Engineering (BMEN), Chemical Engineering (CHEN), Civil and Environmental Engineering (CVEN), Computer Engineering (CECN), Computer Science (CPSC), Data Engineering (DATA), Electrical Engineering (ELEN), Environmental Engineering (EVEN), Industrial and Systems Engineering (ISEN), Materials Science and Engineering (MSEN), Mechanical Engineering (MEEN), Nuclear Engineering (NUEN)</t>
  </si>
  <si>
    <t>Elizabeth Blome
Jeff George
Matt Maples
Rose Jones
Susan Baggerman</t>
  </si>
  <si>
    <t>National Nuclear Security Administration</t>
  </si>
  <si>
    <t>Vincent A. Reed</t>
  </si>
  <si>
    <t>vincent.reed@nnsa.doe.gov</t>
  </si>
  <si>
    <t>505-845-4447</t>
  </si>
  <si>
    <t>Vincent Reed</t>
  </si>
  <si>
    <t>J17</t>
  </si>
  <si>
    <t>Nov 19, 2024, 10:53 AM</t>
  </si>
  <si>
    <t>Anna Tuvelman</t>
  </si>
  <si>
    <t>anna.tuvelman@caci.com</t>
  </si>
  <si>
    <t>410-782-8162</t>
  </si>
  <si>
    <t>Aerospace Engineering (AERO), Architectural Engineering (AREN), Biological and Agricultural Engineering (BAEN), Biomedical Engineering (BMEN), Civil and Environmental Engineering (CVEN), Computer Engineering (CECN), Computer Science (CPSC), Data Engineering (DATA), Electrical Engineering (ELEN), Electronic Systems Engineering Technology (ESET), Environmental Engineering (EVEN), Industrial and Systems Engineering (ISEN), Manufacturing and Mechanical Engineering Technology (MMET), Materials Science and Engineering (MSEN), Mechanical Engineering (MEEN), Nuclear Engineering (NUEN)</t>
  </si>
  <si>
    <t>Jesus Hernandez Jr
Stephanie Rodriguez</t>
  </si>
  <si>
    <t>Nov 18, 2024, 3:02 PM</t>
  </si>
  <si>
    <t>Naval Air Systems Command (NAVAIR)</t>
  </si>
  <si>
    <t>Chandler Steele</t>
  </si>
  <si>
    <t>chandler.m.steele.civ@us.navy.mil</t>
  </si>
  <si>
    <t>Aerospace Engineering (AERO), Computer Engineering (CECN), Computer Science (CPSC), Electrical Engineering (ELEN), Materials Science and Engineering (MSEN), Mechanical Engineering (MEEN)</t>
  </si>
  <si>
    <t>Dec 05, 2024, 10:43 AM</t>
  </si>
  <si>
    <t>Naval Facilities Engineering and Expeditionary Warfare Center</t>
  </si>
  <si>
    <t>Elise K Sutherland</t>
  </si>
  <si>
    <t>elise.k.sutherland2.civ@us.navy.mil</t>
  </si>
  <si>
    <t>564-226-6245</t>
  </si>
  <si>
    <t>Civil and Environmental Engineering (CVEN), Data Engineering (DATA), Electrical Engineering (ELEN), Electronic Systems Engineering Technology (ESET), Environmental Engineering (EVEN), Industrial and Systems Engineering (ISEN), Manufacturing and Mechanical Engineering Technology (MMET), Materials Science and Engineering (MSEN), Mechanical Engineering (MEEN), Multidisciplinary Engineering Technology (MXET), Ocean Engineering (OCEN), Petroleum Engineering (PETE)</t>
  </si>
  <si>
    <t>Dec 12, 2024, 1:13 PM</t>
  </si>
  <si>
    <t>412-738-7445</t>
  </si>
  <si>
    <t>Jared Ashmun</t>
  </si>
  <si>
    <t>Dec 02, 2024, 11:40 AM</t>
  </si>
  <si>
    <t>Andrew T Loh</t>
  </si>
  <si>
    <t>andrew.t.loh.civ@us.navy.mil</t>
  </si>
  <si>
    <t>Aerospace Engineering (AERO), Chemical Engineering (CHEN), Civil and Environmental Engineering (CVEN), Computer Engineering (CECN), Computer Science (CPSC), Electrical Engineering (ELEN), Electronic Systems Engineering Technology (ESET), Environmental Engineering (EVEN), Materials Science and Engineering (MSEN), Mechanical Engineering (MEEN), Multidisciplinary Engineering Technology (MXET), Nuclear Engineering (NUEN), Ocean Engineering (OCEN)</t>
  </si>
  <si>
    <t>Andrew Loh
Sharon Collins</t>
  </si>
  <si>
    <t>Nov 20, 2024, 7:11 AM</t>
  </si>
  <si>
    <t>Aerospace Engineering (AERO), Electrical Engineering (ELEN), Industrial and Systems Engineering (ISEN), Manufacturing and Mechanical Engineering Technology (MMET), Mechanical Engineering (MEEN), Petroleum Engineering (PETE)</t>
  </si>
  <si>
    <t>Joseph Pennington</t>
  </si>
  <si>
    <t>Aerospace Engineering (AERO), Architectural Engineering (AREN), Biological and Agricultural Engineering (BAEN), Biomedical Engineering (BMEN), Chemical Engineering (CHEN), Civil and Environmental Engineering (CVEN), Computer Engineering (CECN), Computer Science (CPSC), Data Engineering (DATA), Electrical Engineering (ELEN), Environmental Engineering (EVEN), Industrial and Systems Engineering (ISEN), Manufacturing and Mechanical Engineering Technology (MMET), Materials Science and Engineering (MSEN), Mechanical Engineering (MEEN), Multidisciplinary Engineering Technology (MXET), Nuclear Engineering (NUEN), Ocean Engineering (OCEN), Petroleum Engineering (PETE)</t>
  </si>
  <si>
    <t>Larissa Griffith-Calls</t>
  </si>
  <si>
    <t>larissa.griffithcalls@nouryon.com</t>
  </si>
  <si>
    <t>Amy Hejl
Brian Ventura
Dustin Carroll
Larissa Griffith-Calls
Susan Smith</t>
  </si>
  <si>
    <t>Carolyn Kucera</t>
  </si>
  <si>
    <t>carolyn.kucera@nov.com</t>
  </si>
  <si>
    <t>Computer Engineering (CECN), Computer Science (CPSC), Electrical Engineering (ELEN), Industrial Distribution (IDIS), Manufacturing and Mechanical Engineering Technology (MMET), Mechanical Engineering (MEEN)</t>
  </si>
  <si>
    <t>B9</t>
  </si>
  <si>
    <t>Nov 13, 2024, 1:39 PM</t>
  </si>
  <si>
    <t>(903) 626-6254</t>
  </si>
  <si>
    <t>Civil and Environmental Engineering (CVEN), Computer Engineering (CECN), Computer Science (CPSC), Electrical Engineering (ELEN), Electronic Systems Engineering Technology (ESET), Environmental Engineering (EVEN), Industrial and Systems Engineering (ISEN), Manufacturing and Mechanical Engineering Technology (MMET), Materials Science and Engineering (MSEN), Mechanical Engineering (MEEN), Multidisciplinary Engineering Technology (MXET)</t>
  </si>
  <si>
    <t>Francisco Cortez
Jimmy Snell
Wade Hedrick</t>
  </si>
  <si>
    <t>Dec 09, 2024, 1:48 PM</t>
  </si>
  <si>
    <t>Misti Beasley</t>
  </si>
  <si>
    <t>misti.beasley@nucor.com</t>
  </si>
  <si>
    <t>Megan Noggle
Misti Beasley</t>
  </si>
  <si>
    <t>Jan 03, 2025, 2:23 PM</t>
  </si>
  <si>
    <t>NUCOR-Vulcraft</t>
  </si>
  <si>
    <t>Austin Gladden</t>
  </si>
  <si>
    <t>agladden@vulcraft-tx.com</t>
  </si>
  <si>
    <t>936-687-3335</t>
  </si>
  <si>
    <t>Austin Gladden
Jenna Davids
Matthew Jimenez
Megan Noggle
Ryland Gagnon</t>
  </si>
  <si>
    <t>Leti Rinaldini</t>
  </si>
  <si>
    <t>leti.rinaldini@nxp.com</t>
  </si>
  <si>
    <t>Chemical Engineering (CHEN), Computer Engineering (CECN), Computer Science (CPSC), Data Engineering (DATA), Electrical Engineering (ELEN), Electronic Systems Engineering Technology (ESET), Environmental Engineering (EVEN), Industrial and Systems Engineering (ISEN), Manufacturing and Mechanical Engineering Technology (MMET), Materials Science and Engineering (MSEN), Mechanical Engineering (MEEN)</t>
  </si>
  <si>
    <t>Mark Benson
Scott Chen
Vinesh Mani</t>
  </si>
  <si>
    <t>K14, K15</t>
  </si>
  <si>
    <t>281.841.4637</t>
  </si>
  <si>
    <t>Aerospace Engineering (AERO), Computer Engineering (CECN), Electrical Engineering (ELEN), Manufacturing and Mechanical Engineering Technology (MMET), Mechanical Engineering (MEEN), Multidisciplinary Engineering Technology (MXET), Ocean Engineering (OCEN)</t>
  </si>
  <si>
    <t>Nov 14, 2024, 1:28 PM</t>
  </si>
  <si>
    <t>Civil and Environmental Engineering (CVEN), Environmental Engineering (EVEN), Materials Science and Engineering (MSEN), Mechanical Engineering (MEEN)</t>
  </si>
  <si>
    <t>Nov 11, 2024, 3:21 PM</t>
  </si>
  <si>
    <t>281-532-7035</t>
  </si>
  <si>
    <t>Aerospace Engineering (AERO), Computer Engineering (CECN), Computer Science (CPSC), Electrical Engineering (ELEN), Electronic Systems Engineering Technology (ESET), Mechanical Engineering (MEEN)</t>
  </si>
  <si>
    <t>Daniel Ghan
Rylan Hunter
William Maddox</t>
  </si>
  <si>
    <t>931 748 2586</t>
  </si>
  <si>
    <t>Nov 14, 2024, 8:30 AM</t>
  </si>
  <si>
    <t>H22, H23</t>
  </si>
  <si>
    <t>Nov 13, 2024, 12:16 PM</t>
  </si>
  <si>
    <t>Orion</t>
  </si>
  <si>
    <t>281-2307509</t>
  </si>
  <si>
    <t>Jan 14, 2025, 9:50 AM</t>
  </si>
  <si>
    <t>Orsted</t>
  </si>
  <si>
    <t>Mariah E Webster</t>
  </si>
  <si>
    <t>ariah@orsted.com</t>
  </si>
  <si>
    <t>737-329-5652</t>
  </si>
  <si>
    <t>Biological and Agricultural Engineering (BAEN), Civil and Environmental Engineering (CVEN), Computer Engineering (CECN), Computer Science (CPSC), Data Engineering (DATA), Electrical Engineering (ELEN), Environmental Engineering (EVEN), Industrial and Systems Engineering (ISEN), Manufacturing and Mechanical Engineering Technology (MMET), Materials Science and Engineering (MSEN), Mechanical Engineering (MEEN), Multidisciplinary Engineering Technology (MXET), Ocean Engineering (OCEN)</t>
  </si>
  <si>
    <t>Bjorn Sunde
Brad Smith
Jewel Williams
Mariah Webster</t>
  </si>
  <si>
    <t>Oscar Orduno, Inc.</t>
  </si>
  <si>
    <t>Bianca Rubio</t>
  </si>
  <si>
    <t>brubio@oscarordunoinc.com</t>
  </si>
  <si>
    <t>Civil and Environmental Engineering (CVEN), Industrial and Systems Engineering (ISEN)</t>
  </si>
  <si>
    <t>Jan 06, 2025, 1:39 PM</t>
  </si>
  <si>
    <t>Sabrina Perez</t>
  </si>
  <si>
    <t>sabrina.perez@pantex.doe.gov</t>
  </si>
  <si>
    <t>(806) 517-8938</t>
  </si>
  <si>
    <t>Chemical Engineering (CHEN), Computer Engineering (CECN), Computer Science (CPSC), Electrical Engineering (ELEN), Mechanical Engineering (MEEN), Nuclear Engineering (NUEN)</t>
  </si>
  <si>
    <t>L15</t>
  </si>
  <si>
    <t>Dec 10, 2024, 10:46 AM</t>
  </si>
  <si>
    <t>Courtney Graham</t>
  </si>
  <si>
    <t>210 375 9000</t>
  </si>
  <si>
    <t>Maroon One-Day: Thursday, January 23rd [$6500.00]</t>
  </si>
  <si>
    <t>Courtney Graham
Emma Shinn
James Lutz
Pauline Arredondo
Zoe Leibowitz</t>
  </si>
  <si>
    <t>F26, F27, F28, F29, F30</t>
  </si>
  <si>
    <t>Patterson-UTI Energy (formerly NexTier OFS)</t>
  </si>
  <si>
    <t>mikinzy.boggs@nextierofs.com</t>
  </si>
  <si>
    <t>Chemical Engineering (CHEN), Computer Engineering (CECN), Computer Science (CPSC), Electrical Engineering (ELEN), Electronic Systems Engineering Technology (ESET), Industrial and Systems Engineering (ISEN), Manufacturing and Mechanical Engineering Technology (MMET), Mechanical Engineering (MEEN), Petroleum Engineering (PETE)</t>
  </si>
  <si>
    <t>H1, H2, H3, H4, H5</t>
  </si>
  <si>
    <t>Nov 15, 2024, 6:54 AM</t>
  </si>
  <si>
    <t>(405)603-3284</t>
  </si>
  <si>
    <t>Antwan Crutcher
Conner Avants
Tony Talamantes</t>
  </si>
  <si>
    <t>Nov 13, 2024, 11:18 AM</t>
  </si>
  <si>
    <t>Peloton Computer Enterprises, Inc.</t>
  </si>
  <si>
    <t>Emily Pinfold</t>
  </si>
  <si>
    <t>emily.pinfold@peloton.com</t>
  </si>
  <si>
    <t>281 923 7976</t>
  </si>
  <si>
    <t>Nov 13, 2024, 4:24 PM</t>
  </si>
  <si>
    <t>PET Systems, LLC</t>
  </si>
  <si>
    <t>Rebecca J Ormiston</t>
  </si>
  <si>
    <t>rormiston@petsystems.com</t>
  </si>
  <si>
    <t>770-445-2233</t>
  </si>
  <si>
    <t>Anthony Sofarelli, P.E.
Grant Grider
Wes Kuehn</t>
  </si>
  <si>
    <t>Pike Corporation: Pike Engineering, Pike Electric, Pike Telecom, and Pike Gas</t>
  </si>
  <si>
    <t>Civil and Environmental Engineering (CVEN), Electrical Engineering (ELEN), Industrial Distribution (IDIS), Industrial and Systems Engineering (ISEN), Mechanical Engineering (MEEN)</t>
  </si>
  <si>
    <t>Dec 03, 2024, 9:36 AM</t>
  </si>
  <si>
    <t>Aerospace Engineering (AERO), Industrial and Systems Engineering (ISEN), Mechanical Engineering (MEEN), Multidisciplinary Engineering Technology (MXET), Petroleum Engineering (PETE)</t>
  </si>
  <si>
    <t>Kaitlyn Isbell</t>
  </si>
  <si>
    <t>813-776-6401</t>
  </si>
  <si>
    <t>Amy Rhoads</t>
  </si>
  <si>
    <t>Dec 02, 2024, 1:50 PM</t>
  </si>
  <si>
    <t>collegerecruiting@powereng.com</t>
  </si>
  <si>
    <t>F12</t>
  </si>
  <si>
    <t>972-221-4849</t>
  </si>
  <si>
    <t>Computer Science (CPSC), Data Engineering (DATA), Electrical Engineering (ELEN), Manufacturing and Mechanical Engineering Technology (MMET)</t>
  </si>
  <si>
    <t>Griffin Araujo
Kimberley Lehman
Lyric Roberts</t>
  </si>
  <si>
    <t>Dec 06, 2024, 10:12 AM</t>
  </si>
  <si>
    <t>Dec 10, 2024, 5:39 PM</t>
  </si>
  <si>
    <t>QTS Data Centeres</t>
  </si>
  <si>
    <t>Eve Wulah</t>
  </si>
  <si>
    <t>eve.wulah@qtsdatacenters.com</t>
  </si>
  <si>
    <t>Architectural Engineering (AREN), Civil and Environmental Engineering (CVEN), Computer Engineering (CECN), Electrical Engineering (ELEN), Electronic Systems Engineering Technology (ESET), Environmental Engineering (EVEN), Manufacturing and Mechanical Engineering Technology (MMET), Mechanical Engineering (MEEN)</t>
  </si>
  <si>
    <t>Nov 13, 2024, 10:47 AM</t>
  </si>
  <si>
    <t>713-777-5337</t>
  </si>
  <si>
    <t>Nov 11, 2024, 3:01 PM</t>
  </si>
  <si>
    <t>Nov 14, 2024, 2:02 PM</t>
  </si>
  <si>
    <t>Railroad Infrastructure &amp; Terminal Development, LLC</t>
  </si>
  <si>
    <t>Keaton Henson</t>
  </si>
  <si>
    <t>khenson@ritd-llc.com</t>
  </si>
  <si>
    <t>281-392-4850</t>
  </si>
  <si>
    <t>Keaton Henson
Richard Heiges</t>
  </si>
  <si>
    <t>Nov 13, 2024, 4:28 PM</t>
  </si>
  <si>
    <t>713-470-6652</t>
  </si>
  <si>
    <t>Architectural Engineering (AREN), Biological and Agricultural Engineering (BAEN), Biomedical Engineering (BMEN), Chemical Engineering (CHEN), Civil and Environmental Engineering (CVEN), Electrical Engineering (ELEN), Environmental Engineering (EVEN), Mechanical Engineering (MEEN), Nuclear Engineering (NUEN), Petroleum Engineering (PETE)</t>
  </si>
  <si>
    <t>Abhishek Bhat
Ricardo Banda</t>
  </si>
  <si>
    <t>Dec 05, 2024, 10:35 AM</t>
  </si>
  <si>
    <t>Corinna Aguirre</t>
  </si>
  <si>
    <t>caguirre@rambus.com</t>
  </si>
  <si>
    <t>408-515-6390</t>
  </si>
  <si>
    <t>Bob Davis</t>
  </si>
  <si>
    <t>Dec 11, 2024, 6:40 PM</t>
  </si>
  <si>
    <t>RG Miller Engineers, Inc</t>
  </si>
  <si>
    <t>Taylor Guevara</t>
  </si>
  <si>
    <t>tguevara@rgmiller.com</t>
  </si>
  <si>
    <t>Nov 13, 2024, 10:44 AM</t>
  </si>
  <si>
    <t>Electrical Engineering (ELEN), Industrial and Systems Engineering (ISEN), Manufacturing and Mechanical Engineering Technology (MMET), Materials Science and Engineering (MSEN)</t>
  </si>
  <si>
    <t>Nov 21, 2024, 3:28 PM</t>
  </si>
  <si>
    <t>Jeanette Savoy</t>
  </si>
  <si>
    <t>Dec 02, 2024, 8:49 AM</t>
  </si>
  <si>
    <t>kimberly.cardoso@rocrich.com</t>
  </si>
  <si>
    <t>Nov 18, 2024, 12:07 PM</t>
  </si>
  <si>
    <t>Rokstone Construction Risk Underwriters</t>
  </si>
  <si>
    <t>Colton Kovar</t>
  </si>
  <si>
    <t>colton.kovar@rokstonecru.com</t>
  </si>
  <si>
    <t>K26</t>
  </si>
  <si>
    <t>Trang Do</t>
  </si>
  <si>
    <t>tdo@rosen-group.com</t>
  </si>
  <si>
    <t>281-925-4555</t>
  </si>
  <si>
    <t>Frederick Mallari
Noah Guidry
Wafeeq Ahmad</t>
  </si>
  <si>
    <t>j13</t>
  </si>
  <si>
    <t>Nov 25, 2024, 8:45 AM</t>
  </si>
  <si>
    <t>Roux</t>
  </si>
  <si>
    <t>Erin Devine</t>
  </si>
  <si>
    <t>edevine@rouxinc.com</t>
  </si>
  <si>
    <t>631-630-2407</t>
  </si>
  <si>
    <t>Erin Devine
Julia Wilson
Lathika Varanasi</t>
  </si>
  <si>
    <t>Dec 10, 2024, 8:07 AM</t>
  </si>
  <si>
    <t>330-995-8174</t>
  </si>
  <si>
    <t>Chemical Engineering (CHEN), Computer Engineering (CECN), Electrical Engineering (ELEN), Electronic Systems Engineering Technology (ESET), Industrial and Systems Engineering (ISEN), Mechanical Engineering (MEEN)</t>
  </si>
  <si>
    <t>Hannah Newman
Joe Rose
Marilyn Stubbs</t>
  </si>
  <si>
    <t>L28</t>
  </si>
  <si>
    <t>Nov 22, 2024, 1:50 PM</t>
  </si>
  <si>
    <t>401-642-1721</t>
  </si>
  <si>
    <t>Aerospace Engineering (AERO), Chemical Engineering (CHEN), Computer Engineering (CECN), Computer Science (CPSC), Data Engineering (DATA), Electrical Engineering (ELEN), Electronic Systems Engineering Technology (ESET), Industrial and Systems Engineering (ISEN), Manufacturing and Mechanical Engineering Technology (MMET), Materials Science and Engineering (MSEN), Mechanical Engineering (MEEN), Multidisciplinary Engineering Technology (MXET)</t>
  </si>
  <si>
    <t>Nov 13, 2024, 10:02 AM</t>
  </si>
  <si>
    <t>Ryan Companies US, Inc.</t>
  </si>
  <si>
    <t>Madison Boe</t>
  </si>
  <si>
    <t>madison.boe@ryancompanies.com</t>
  </si>
  <si>
    <t>Nov 14, 2024, 2:34 PM</t>
  </si>
  <si>
    <t>Deborah Schultz</t>
  </si>
  <si>
    <t>dlschultz@sbec.com</t>
  </si>
  <si>
    <t>(713) 845-4074</t>
  </si>
  <si>
    <t>M26, M27</t>
  </si>
  <si>
    <t>Nov 13, 2024, 9:58 AM</t>
  </si>
  <si>
    <t>Karey Devries</t>
  </si>
  <si>
    <t>Nov 19, 2024, 12:01 PM</t>
  </si>
  <si>
    <t>Chemical Engineering (CHEN), Electrical Engineering (ELEN), Industrial Distribution (IDIS), Industrial and Systems Engineering (ISEN), Manufacturing and Mechanical Engineering Technology (MMET), Mechanical Engineering (MEEN)</t>
  </si>
  <si>
    <t>Adrian Cedillo
Elizabeth Vega
Jennifer Lowery</t>
  </si>
  <si>
    <t>Greg Lushbaugh
Nabeel Khan</t>
  </si>
  <si>
    <t>c26</t>
  </si>
  <si>
    <t>Nov 13, 2024, 4:18 PM</t>
  </si>
  <si>
    <t>Nov 11, 2024, 2:12 PM</t>
  </si>
  <si>
    <t>A15</t>
  </si>
  <si>
    <t>Nov 14, 2024, 8:35 AM</t>
  </si>
  <si>
    <t>Schnabel Engineering, Inc.</t>
  </si>
  <si>
    <t>804-264-3222</t>
  </si>
  <si>
    <t>Dec 12, 2024, 9:13 AM</t>
  </si>
  <si>
    <t>EMa Freiburger</t>
  </si>
  <si>
    <t>509-553-3153</t>
  </si>
  <si>
    <t>b26</t>
  </si>
  <si>
    <t>Dec 09, 2024, 12:43 PM</t>
  </si>
  <si>
    <t>Aerospace Engineering (AERO), Civil and Environmental Engineering (CVEN), Environmental Engineering (EVEN), Industrial and Systems Engineering (ISEN)</t>
  </si>
  <si>
    <t>Scientific Data Systems</t>
  </si>
  <si>
    <t>Cameron Kramr</t>
  </si>
  <si>
    <t>cameronkramr@warriorsystem.com</t>
  </si>
  <si>
    <t>(281) 398-1612</t>
  </si>
  <si>
    <t>Adam Gresswell
Cameron Kramr
Kevin Milch</t>
  </si>
  <si>
    <t>Dec 23, 2024, 9:50 AM</t>
  </si>
  <si>
    <t>979-845-8567</t>
  </si>
  <si>
    <t>Master's</t>
  </si>
  <si>
    <t>Dec 05, 2024, 11:41 AM</t>
  </si>
  <si>
    <t>SEnergy</t>
  </si>
  <si>
    <t>Cali McCormac</t>
  </si>
  <si>
    <t>apply@se-texas.com</t>
  </si>
  <si>
    <t>(830) 249-3887</t>
  </si>
  <si>
    <t>Nov 18, 2024, 8:59 AM</t>
  </si>
  <si>
    <t>(713) 780-7563</t>
  </si>
  <si>
    <t>Erik Dietz
Randy Garrison
Rehman Deen
Theodore Hughes</t>
  </si>
  <si>
    <t>Nov 13, 2024, 8:44 AM</t>
  </si>
  <si>
    <t>Jan 08, 2025, 1:51 PM</t>
  </si>
  <si>
    <t>Shield Engineering Group, PLLC</t>
  </si>
  <si>
    <t>Civil and Environmental Engineering (CVEN), Computer Engineering (CECN), Environmental Engineering (EVEN)</t>
  </si>
  <si>
    <t>Nov 13, 2024, 12:35 PM</t>
  </si>
  <si>
    <t>Reed Hull</t>
  </si>
  <si>
    <t>reed.hull@siemens-energy.com</t>
  </si>
  <si>
    <t>940-765-4171</t>
  </si>
  <si>
    <t>Aerospace Engineering (AERO), Chemical Engineering (CHEN), Electrical Engineering (ELEN), Electronic Systems Engineering Technology (ESET), Manufacturing and Mechanical Engineering Technology (MMET), Mechanical Engineering (MEEN), Multidisciplinary Engineering Technology (MXET)</t>
  </si>
  <si>
    <t>Lynsey Creeger
Patrick Sandoval
Reed Hull
Ron Salas</t>
  </si>
  <si>
    <t>Siemens Energy Gas and Power</t>
  </si>
  <si>
    <t>anushree datta</t>
  </si>
  <si>
    <t>anushree.datta@siemens-energy.com</t>
  </si>
  <si>
    <t>713-677-3791</t>
  </si>
  <si>
    <t>Ashley Pham
Sergio De La Fuente</t>
  </si>
  <si>
    <t>Jan 06, 2025, 12:59 PM</t>
  </si>
  <si>
    <t>Biological and Agricultural Engineering (BAEN), Biomedical Engineering (BMEN), Chemical Engineering (CHEN), Civil and Environmental Engineering (CVEN), Computer Engineering (CECN), Computer Science (CPSC), Data Engineering (DATA), Electrical Engineering (ELEN), Electronic Systems Engineering Technology (ESET), Environmental Engineering (EVEN), Industrial and Systems Engineering (ISEN), Manufacturing and Mechanical Engineering Technology (MMET), Materials Science and Engineering (MSEN), Mechanical Engineering (MEEN), Nuclear Engineering (NUEN), Petroleum Engineering (PETE)</t>
  </si>
  <si>
    <t>Nov 13, 2024, 10:12 AM</t>
  </si>
  <si>
    <t>Brett Dvorak
Chloe Marroquin
Sruthi Thota</t>
  </si>
  <si>
    <t>Nov 13, 2024, 9:27 AM</t>
  </si>
  <si>
    <t>210-522-4791</t>
  </si>
  <si>
    <t>Alisah Cervantes
Hakima Ibaroudene
Kelly Randall
Morgan Reber</t>
  </si>
  <si>
    <t>Blake Beeson
Kristen Traylor
Steve Blaschke</t>
  </si>
  <si>
    <t>C21</t>
  </si>
  <si>
    <t>Nov 25, 2024, 9:01 AM</t>
  </si>
  <si>
    <t>Georgia Holsomback</t>
  </si>
  <si>
    <t>stncampusrecruiting@stantec.com</t>
  </si>
  <si>
    <t>Architectural Engineering (AREN), Biological and Agricultural Engineering (BAEN), Chemical Engineering (CHEN), Civil and Environmental Engineering (CVEN), Electrical Engineering (ELEN), Environmental Engineering (EVEN), Mechanical Engineering (MEEN), Ocean Engineering (OCEN), Petroleum Engineering (PETE)</t>
  </si>
  <si>
    <t>Dec 05, 2024, 2:24 PM</t>
  </si>
  <si>
    <t>512 930 9412</t>
  </si>
  <si>
    <t>Anna Moore
Collin Lansdale</t>
  </si>
  <si>
    <t>Nov 13, 2024, 8:05 AM</t>
  </si>
  <si>
    <t>Stewart &amp; Stevenson</t>
  </si>
  <si>
    <t>Samuel Gonzalez</t>
  </si>
  <si>
    <t>samuel.gonzalez@kirbycorp.com</t>
  </si>
  <si>
    <t>432-230-2877</t>
  </si>
  <si>
    <t>Austin Breaux
Brian Sharp
Guillermo Rodriguez
James Ritter
Meaghan Anderson
Samuel Gonzalez
Stephanie Brett</t>
  </si>
  <si>
    <t>361-972-4785</t>
  </si>
  <si>
    <t>Dec 02, 2024, 1:20 PM</t>
  </si>
  <si>
    <t>Aerospace Engineering (AERO), Chemical Engineering (CHEN), Manufacturing and Mechanical Engineering Technology (MMET), Mechanical Engineering (MEEN)</t>
  </si>
  <si>
    <t>Jerome Blalack
Joel Ramirez</t>
  </si>
  <si>
    <t>J19,J20</t>
  </si>
  <si>
    <t>Nov 14, 2024, 12:49 PM</t>
  </si>
  <si>
    <t>Chloe Weldon</t>
  </si>
  <si>
    <t>chloe.weldon@synchrogrid.com</t>
  </si>
  <si>
    <t>979-977-0471</t>
  </si>
  <si>
    <t>Chloe Weldon
Jeremy Hein
Roshan Voduri
Tricia Landers</t>
  </si>
  <si>
    <t>Tarrant Regional Water District</t>
  </si>
  <si>
    <t>Cayla Messick</t>
  </si>
  <si>
    <t>cayla.messick@trwd.com</t>
  </si>
  <si>
    <t>Nov 18, 2024, 11:53 AM</t>
  </si>
  <si>
    <t>Tarsco Construction Corp</t>
  </si>
  <si>
    <t>Rogelio Martinez</t>
  </si>
  <si>
    <t>rogelio.martinez@tfwarren.com</t>
  </si>
  <si>
    <t>832-299-3241</t>
  </si>
  <si>
    <t>Chemical Engineering (CHEN), Civil and Environmental Engineering (CVEN), Materials Science and Engineering (MSEN), Mechanical Engineering (MEEN), Multidisciplinary Engineering Technology (MXET)</t>
  </si>
  <si>
    <t>Preston Murphy
Samuel Luedeker</t>
  </si>
  <si>
    <t>M13</t>
  </si>
  <si>
    <t>Chemical Engineering (CHEN), Civil and Environmental Engineering (CVEN), Computer Science (CPSC), Electrical Engineering (ELEN), Mechanical Engineering (MEEN)</t>
  </si>
  <si>
    <t>Brett Alner
Emma Bordeaux
Melissa Lopez</t>
  </si>
  <si>
    <t>l26</t>
  </si>
  <si>
    <t>Dec 18, 2024, 12:01 PM</t>
  </si>
  <si>
    <t>Chemical Engineering (CHEN), Civil and Environmental Engineering (CVEN), Electrical Engineering (ELEN), Environmental Engineering (EVEN), Mechanical Engineering (MEEN), Ocean Engineering (OCEN), Petroleum Engineering (PETE)</t>
  </si>
  <si>
    <t>Nov 13, 2024, 1:52 PM</t>
  </si>
  <si>
    <t>281 569-7563</t>
  </si>
  <si>
    <t>Electrical Engineering (ELEN), Manufacturing and Mechanical Engineering Technology (MMET), Mechanical Engineering (MEEN), Ocean Engineering (OCEN)</t>
  </si>
  <si>
    <t>Chelsea Brand
Hillary Roy
Julia Yoc</t>
  </si>
  <si>
    <t>L10</t>
  </si>
  <si>
    <t>Terry Nguyen</t>
  </si>
  <si>
    <t>TeNguyen@Tenaris.com</t>
  </si>
  <si>
    <t>281-352-5331</t>
  </si>
  <si>
    <t>Industrial Distribution (IDIS), Industrial and Systems Engineering (ISEN), Manufacturing and Mechanical Engineering Technology (MMET), Materials Science and Engineering (MSEN), Mechanical Engineering (MEEN), Multidisciplinary Engineering Technology (MXET), Petroleum Engineering (PETE)</t>
  </si>
  <si>
    <t>Nov 13, 2024, 4:25 PM</t>
  </si>
  <si>
    <t>Tetra Tech</t>
  </si>
  <si>
    <t>Michelle Atchley</t>
  </si>
  <si>
    <t>michelle.atchley@tetratech.com</t>
  </si>
  <si>
    <t>210.299.7937</t>
  </si>
  <si>
    <t>Mike McClung, PE, CFM, ENV SP
Neyra Natalia Linares, EIT
Tyler Murski, PE</t>
  </si>
  <si>
    <t>E15</t>
  </si>
  <si>
    <t>Nov 14, 2024, 9:35 AM</t>
  </si>
  <si>
    <t>Nov 13, 2024, 10:38 AM</t>
  </si>
  <si>
    <t>Texas A&amp;M Military Medicine &amp; Engineering Medicine</t>
  </si>
  <si>
    <t>Andrea Patterson
Dr. Jim Lucas
John Luis Bolch</t>
  </si>
  <si>
    <t>Christy Blanton</t>
  </si>
  <si>
    <t>Charles Gurganus
Christy Blanton</t>
  </si>
  <si>
    <t>Jan 14, 2025, 5:04 PM</t>
  </si>
  <si>
    <t>Aerospace Engineering (AERO), Architectural Engineering (AREN), Biological and Agricultural Engineering (BAEN), Civil and Environmental Engineering (CVEN), Computer Engineering (CECN), Computer Science (CPSC), Data Engineering (DATA), Electrical Engineering (ELEN), Electronic Systems Engineering Technology (ESET), Environmental Engineering (EVEN), Industrial Distribution (IDIS), Industrial and Systems Engineering (ISEN), Materials Science and Engineering (MSEN), Mechanical Engineering (MEEN), Multidisciplinary Engineering Technology (MXET), Nuclear Engineering (NUEN), Ocean Engineering (OCEN), Petroleum Engineering (PETE)</t>
  </si>
  <si>
    <t>Nov 18, 2024, 10:41 AM</t>
  </si>
  <si>
    <t>Texas AirSystems - HVAC</t>
  </si>
  <si>
    <t>Sarah Daniel</t>
  </si>
  <si>
    <t>sarah.daniel@meriton.com</t>
  </si>
  <si>
    <t>Greta Jackamonis
Hannah Ahart
Melvin Pipes
Rachel Allen
Sarah Daniel</t>
  </si>
  <si>
    <t>Nov 25, 2024, 1:58 PM</t>
  </si>
  <si>
    <t>Texas Comptroller of Public Accounts</t>
  </si>
  <si>
    <t>Whitney Chiu</t>
  </si>
  <si>
    <t>whitney.chiu@cpa.texas.gov</t>
  </si>
  <si>
    <t>Computer Engineering (CECN), Computer Science (CPSC), Data Engineering (DATA), Electrical Engineering (ELEN), Manufacturing and Mechanical Engineering Technology (MMET)</t>
  </si>
  <si>
    <t>Mike Estrada
Whitney Chiu</t>
  </si>
  <si>
    <t>Dec 18, 2024, 3:38 PM</t>
  </si>
  <si>
    <t>512/416-4979</t>
  </si>
  <si>
    <t>Civil and Environmental Engineering (CVEN), Materials Science and Engineering (MSEN), Mechanical Engineering (MEEN)</t>
  </si>
  <si>
    <t>Andy Ding
Blake Knox
Edwin Ho
Jeff Miles
Katryna Pruitt
Sheila Brooks
Stacy James
Stephen Godinich
Travis Campbell</t>
  </si>
  <si>
    <t>J21, J22</t>
  </si>
  <si>
    <t>Chemical Engineering (CHEN), Computer Engineering (CECN), Computer Science (CPSC), Electrical Engineering (ELEN), Industrial and Systems Engineering (ISEN), Materials Science and Engineering (MSEN)</t>
  </si>
  <si>
    <t>Amy He
Angelo Sanchez
Jordan Wenske
La'Shyra Isaac
Michael Falekulo
Nick Obrony
Stephanie Masih
Suzanne Thomas
Tarek Adlouni</t>
  </si>
  <si>
    <t>Crystal Kerr</t>
  </si>
  <si>
    <t>crystal.kerr@brandt.us</t>
  </si>
  <si>
    <t>Architectural Engineering (AREN), Industrial and Systems Engineering (ISEN), Manufacturing and Mechanical Engineering Technology (MMET), Mechanical Engineering (MEEN)</t>
  </si>
  <si>
    <t>Anderson Morrow
Cella Moos
Emily Blake</t>
  </si>
  <si>
    <t>J18</t>
  </si>
  <si>
    <t>The Whiting-Turner Contracting Company</t>
  </si>
  <si>
    <t>Robyn Baca</t>
  </si>
  <si>
    <t>robyn.baca@whiting-turner.com</t>
  </si>
  <si>
    <t>214-605-9057</t>
  </si>
  <si>
    <t>Dec 11, 2024, 2:57 PM</t>
  </si>
  <si>
    <t>Tinker AFB Civilian Science and Engineering Recruiting</t>
  </si>
  <si>
    <t>secareers@us.af.mil</t>
  </si>
  <si>
    <t>Nov 14, 2024, 10:58 AM</t>
  </si>
  <si>
    <t>Krystina Hares</t>
  </si>
  <si>
    <t>krystina.hares@tke-engineering.com</t>
  </si>
  <si>
    <t>281-826-0614</t>
  </si>
  <si>
    <t>Dec 03, 2024, 9:07 AM</t>
  </si>
  <si>
    <t>(817)336-5773</t>
  </si>
  <si>
    <t>Haley Chokas
Krista Moore
Kylee Brownback
Victoria Harris</t>
  </si>
  <si>
    <t>Nov 13, 2024, 9:02 AM</t>
  </si>
  <si>
    <t>Francisca Lopez</t>
  </si>
  <si>
    <t>francisca.lopez@toshiba.com</t>
  </si>
  <si>
    <t>Aerospace Engineering (AERO), Computer Engineering (CECN), Computer Science (CPSC), Manufacturing and Mechanical Engineering Technology (MMET), Mechanical Engineering (MEEN), Multidisciplinary Engineering Technology (MXET)</t>
  </si>
  <si>
    <t>Amanda Davis
Gavin Peterson
Giovanni Cerrato
Shrish Birru</t>
  </si>
  <si>
    <t>Julia Herzig</t>
  </si>
  <si>
    <t>jherzig@trccompanies.com</t>
  </si>
  <si>
    <t>Dec 13, 2024, 2:31 PM</t>
  </si>
  <si>
    <t>Gregory Guetzloe</t>
  </si>
  <si>
    <t>gregory.guetzloe@trdi.org</t>
  </si>
  <si>
    <t>Dec 23, 2024, 4:52 PM</t>
  </si>
  <si>
    <t>Tremco CPG Manufacturing Corp</t>
  </si>
  <si>
    <t>Cindy Skrivanek</t>
  </si>
  <si>
    <t>cskrivanek@tremcoinc.com</t>
  </si>
  <si>
    <t>Cindy Skrivanek
Rhonda Wright</t>
  </si>
  <si>
    <t>Nov 12, 2024, 9:32 AM</t>
  </si>
  <si>
    <t>(307) 745-7474</t>
  </si>
  <si>
    <t>Hank Crippen
Jessica Stonum
John Moss</t>
  </si>
  <si>
    <t>Trimasys Control Solutions Inc.</t>
  </si>
  <si>
    <t>Cordell Cielencki</t>
  </si>
  <si>
    <t>cordell.cielencki@trimasyscontrol.com</t>
  </si>
  <si>
    <t>Electrical Engineering (ELEN), Electronic Systems Engineering Technology (ESET), Industrial Distribution (IDIS), Industrial and Systems Engineering (ISEN), Manufacturing and Mechanical Engineering Technology (MMET), Multidisciplinary Engineering Technology (MXET)</t>
  </si>
  <si>
    <t>Caleb Martinez
Cordell Cielencki
Palash Gore</t>
  </si>
  <si>
    <t>L20</t>
  </si>
  <si>
    <t>Nov 19, 2024, 9:46 AM</t>
  </si>
  <si>
    <t>Terry Yang</t>
  </si>
  <si>
    <t>sjyangw@tsmc.com</t>
  </si>
  <si>
    <t>480-504-9036</t>
  </si>
  <si>
    <t>Aerospace Engineering (AERO), Architectural Engineering (AREN), Chemical Engineering (CHEN), Civil and Environmental Engineering (CVEN), Computer Science (CPSC), Electrical Engineering (ELEN), Environmental Engineering (EVEN), Industrial Distribution (IDIS), Industrial and Systems Engineering (ISEN), Manufacturing and Mechanical Engineering Technology (MMET), Materials Science and Engineering (MSEN), Mechanical Engineering (MEEN)</t>
  </si>
  <si>
    <t>Dec 05, 2024, 2:57 PM</t>
  </si>
  <si>
    <t>202.381.6467</t>
  </si>
  <si>
    <t>Civil and Environmental Engineering (CVEN), Computer Engineering (CECN), Computer Science (CPSC), Data Engineering (DATA), Electrical Engineering (ELEN), Electronic Systems Engineering Technology (ESET), Industrial Distribution (IDIS), Industrial and Systems Engineering (ISEN), Manufacturing and Mechanical Engineering Technology (MMET), Materials Science and Engineering (MSEN), Mechanical Engineering (MEEN)</t>
  </si>
  <si>
    <t>Eric LeDuff
Lisa Hughes</t>
  </si>
  <si>
    <t>L23</t>
  </si>
  <si>
    <t>UPS</t>
  </si>
  <si>
    <t>Nancy Garrity</t>
  </si>
  <si>
    <t>ngarrity@ups.com</t>
  </si>
  <si>
    <t>L27</t>
  </si>
  <si>
    <t>Nov 19, 2024, 7:43 AM</t>
  </si>
  <si>
    <t>US Army Corps of Engineers - New Orleans</t>
  </si>
  <si>
    <t>Scott Gemmill</t>
  </si>
  <si>
    <t>scott.gemmill@usace.army.mil</t>
  </si>
  <si>
    <t>504-862-1113</t>
  </si>
  <si>
    <t>Nov 13, 2024, 2:28 PM</t>
  </si>
  <si>
    <t>Kasey Krall</t>
  </si>
  <si>
    <t>kasey.e.krall@usace.army.mil</t>
  </si>
  <si>
    <t>(402) 995-2717</t>
  </si>
  <si>
    <t>Dec 05, 2024, 12:00 PM</t>
  </si>
  <si>
    <t>828-624-6487</t>
  </si>
  <si>
    <t>David Meek
Noemi Morales Matos
Rick Scheidt
Steven Pennell</t>
  </si>
  <si>
    <t>L14</t>
  </si>
  <si>
    <t>USAA (San Antonio, TX) (Gold Partner)</t>
  </si>
  <si>
    <t>Victoria Guevara</t>
  </si>
  <si>
    <t>victoria.guevara@usaa.com</t>
  </si>
  <si>
    <t>210-347-0837</t>
  </si>
  <si>
    <t>Dec 11, 2024, 3:55 PM</t>
  </si>
  <si>
    <t>J1</t>
  </si>
  <si>
    <t>Jan 08, 2025, 5:07 PM</t>
  </si>
  <si>
    <t>Velera</t>
  </si>
  <si>
    <t>Tanner Roland</t>
  </si>
  <si>
    <t>mroland@pscu.com</t>
  </si>
  <si>
    <t>615.973.8333</t>
  </si>
  <si>
    <t>Nov 19, 2024, 1:56 PM</t>
  </si>
  <si>
    <t>832-924-9241</t>
  </si>
  <si>
    <t>Jan 17, 2025, 3:09 PM</t>
  </si>
  <si>
    <t>903-457-0456</t>
  </si>
  <si>
    <t>Computer Engineering (CECN), Computer Science (CPSC), Electrical Engineering (ELEN), Electronic Systems Engineering Technology (ESET), Mechanical Engineering (MEEN)</t>
  </si>
  <si>
    <t>Michael Beem
Zach Norman</t>
  </si>
  <si>
    <t>Computer Engineering (CECN), Computer Science (CPSC), Data Engineering (DATA), Electrical Engineering (ELEN), Electronic Systems Engineering Technology (ESET), Materials Science and Engineering (MSEN), Mechanical Engineering (MEEN)</t>
  </si>
  <si>
    <t>Dec 10, 2024, 8:16 AM</t>
  </si>
  <si>
    <t>Vistra</t>
  </si>
  <si>
    <t>Sarah Lynn</t>
  </si>
  <si>
    <t>sarah.lynn@vistracorp.com</t>
  </si>
  <si>
    <t>Civil and Environmental Engineering (CVEN), Computer Engineering (CECN), Data Engineering (DATA), Electrical Engineering (ELEN), Electronic Systems Engineering Technology (ESET), Industrial and Systems Engineering (ISEN), Manufacturing and Mechanical Engineering Technology (MMET), Mechanical Engineering (MEEN), Multidisciplinary Engineering Technology (MXET), Nuclear Engineering (NUEN)</t>
  </si>
  <si>
    <t>Nick Lynn
Sarah Lynn
Shelby Langford</t>
  </si>
  <si>
    <t>Jan 13, 2025, 8:04 AM</t>
  </si>
  <si>
    <t>Vogler &amp; Spencer Engineering, Inc.</t>
  </si>
  <si>
    <t>Ariana Salas</t>
  </si>
  <si>
    <t>asalas@vs-eng.com</t>
  </si>
  <si>
    <t>Nov 13, 2024, 12:56 PM</t>
  </si>
  <si>
    <t>Claire Muska
Clay Schroeder, P.E.</t>
  </si>
  <si>
    <t>B29</t>
  </si>
  <si>
    <t>Nov 13, 2024, 9:11 AM</t>
  </si>
  <si>
    <t>216 954 0075</t>
  </si>
  <si>
    <t>Kieran Pfeiffer
Mary-Kate Markey
Vanessa Ferrari-Orefice</t>
  </si>
  <si>
    <t>(817)735-9770</t>
  </si>
  <si>
    <t>Nov 13, 2024, 8:39 AM</t>
  </si>
  <si>
    <t>Webber</t>
  </si>
  <si>
    <t>Tanner Glover</t>
  </si>
  <si>
    <t>Nov 15, 2024, 9:47 AM</t>
  </si>
  <si>
    <t>Matthew M Sopa</t>
  </si>
  <si>
    <t>sopamm@westinghouse.com</t>
  </si>
  <si>
    <t>Chemical Engineering (CHEN), Computer Science (CPSC), Mechanical Engineering (MEEN), Nuclear Engineering (NUEN)</t>
  </si>
  <si>
    <t>Brandy Walters
Matthew M Sopa
Shwetha Soundararajan</t>
  </si>
  <si>
    <t>L13</t>
  </si>
  <si>
    <t>Nov 13, 2024, 7:43 AM</t>
  </si>
  <si>
    <t>713-789-1900</t>
  </si>
  <si>
    <t>Brandon Rayne
Jessica Lara
Jordan Richardson
Laura Picard
Sam Randolph</t>
  </si>
  <si>
    <t>I2, I3</t>
  </si>
  <si>
    <t>Alan Draper
Jaime Aparicio</t>
  </si>
  <si>
    <t>tami.kosters@woodplc.com</t>
  </si>
  <si>
    <t>Architectural Engineering (AREN), Chemical Engineering (CHEN), Civil and Environmental Engineering (CVEN), Computer Engineering (CECN), Electrical Engineering (ELEN), Electronic Systems Engineering Technology (ESET), Mechanical Engineering (MEEN), Multidisciplinary Engineering Technology (MXET), Ocean Engineering (OCEN), Petroleum Engineering (PETE)</t>
  </si>
  <si>
    <t>Henry Kalokowski
Jared Huddleston
Jessica Lyne
Melanie Zaruba
Mia Ogolo
Patti Yoast
Reuben Soto
Tami Kosters
Venancio Mendez</t>
  </si>
  <si>
    <t>C8, C9</t>
  </si>
  <si>
    <t>Jan 06, 2025, 9:50 AM</t>
  </si>
  <si>
    <t>Blake Strunk</t>
  </si>
  <si>
    <t>blake.strunk@wsp.com</t>
  </si>
  <si>
    <t>(214) 226-8105</t>
  </si>
  <si>
    <t>Nov 14, 2024, 11:16 AM</t>
  </si>
  <si>
    <t>Brianna Barrow
Danny Applegate
Joe Alvarez
Kassidy Gossen</t>
  </si>
  <si>
    <t>Rachel Schrock</t>
  </si>
  <si>
    <t>anazmi@wylieeng.com</t>
  </si>
  <si>
    <t>713 781 2526</t>
  </si>
  <si>
    <t>Architectural Engineering (AREN), Electrical Engineering (ELEN), Electronic Systems Engineering Technology (ESET), Mechanical Engineering (MEEN)</t>
  </si>
  <si>
    <t>Atiqa Nazmi
Clay Menzel
Kourosh Yazdani</t>
  </si>
  <si>
    <t>Jan 06, 2025, 1:00 PM</t>
  </si>
  <si>
    <t>ZAP Engineering</t>
  </si>
  <si>
    <t>Miranda Fosbenner</t>
  </si>
  <si>
    <t>fosbennerm@zapecs.com</t>
  </si>
  <si>
    <t>720-948-0856</t>
  </si>
  <si>
    <t>Chemical Engineering (CHEN), Civil and Environmental Engineering (CVEN), Electrical Engineering (ELEN), Mechanical Engineering (MEEN), Petroleum Engineering (PETE)</t>
  </si>
  <si>
    <t>Chris Combs
Michael Jones</t>
  </si>
  <si>
    <t>Nov 13, 2024, 9:47 AM</t>
  </si>
  <si>
    <t>Third Party Recruiter</t>
  </si>
  <si>
    <t>Primary Major Recruited</t>
  </si>
  <si>
    <t>Second Major Recruited</t>
  </si>
  <si>
    <t>Third Major Recruited</t>
  </si>
  <si>
    <t>Fourth Major Recruited</t>
  </si>
  <si>
    <t>Fifth Major Recruited</t>
  </si>
  <si>
    <t>Work Authorization Desired</t>
  </si>
  <si>
    <t>*KPMG</t>
  </si>
  <si>
    <t>Computer Engineering (CECN)</t>
  </si>
  <si>
    <t>Basic One-Day: Wednesday, September 4th [$1000.00]</t>
  </si>
  <si>
    <t>Day 1 (Wednesday, September 4th)</t>
  </si>
  <si>
    <t>Apr 17, 2024, 9:48 AM</t>
  </si>
  <si>
    <t>Biological and Agricultural Engineering (BAEN)</t>
  </si>
  <si>
    <t>Basic One-Day: Thursday, September 5th [$1000.00]</t>
  </si>
  <si>
    <t>P28</t>
  </si>
  <si>
    <t>Day 2 (Thursday, September 5th)</t>
  </si>
  <si>
    <t>Apr 19, 2024, 12:10 AM</t>
  </si>
  <si>
    <t>Gold One-Day: Wednesday, September 4th [$2500.00]</t>
  </si>
  <si>
    <t>B6, B7</t>
  </si>
  <si>
    <t>Apr 17, 2024, 10:34 AM</t>
  </si>
  <si>
    <t>Robert McCloud</t>
  </si>
  <si>
    <t>robert.mccloud@abbvie.com</t>
  </si>
  <si>
    <t>404-783-8342</t>
  </si>
  <si>
    <t>Jul 26, 2024, 1:46 PM</t>
  </si>
  <si>
    <t>universityrelations@eagle.org</t>
  </si>
  <si>
    <t>832-246-6655</t>
  </si>
  <si>
    <t>Day 1 (Wednesday, September 4th)
Day 2 (Thursday, September 5th)</t>
  </si>
  <si>
    <t>Apr 17, 2024, 10:23 AM</t>
  </si>
  <si>
    <t>Acutronic</t>
  </si>
  <si>
    <t>Kathy Allen</t>
  </si>
  <si>
    <t>kallen@acutronic.com</t>
  </si>
  <si>
    <t>737 303 6024</t>
  </si>
  <si>
    <t>May 13, 2024, 12:28 PM</t>
  </si>
  <si>
    <t>AECOM</t>
  </si>
  <si>
    <t>aecom@nc3.com</t>
  </si>
  <si>
    <t>401-642-1726</t>
  </si>
  <si>
    <t>Jun 18, 2024, 4:05 PM</t>
  </si>
  <si>
    <t>Jun 24, 2024, 10:04 AM</t>
  </si>
  <si>
    <t>Jul 26, 2024, 4:26 PM</t>
  </si>
  <si>
    <t>J20</t>
  </si>
  <si>
    <t>May 01, 2024, 4:45 PM</t>
  </si>
  <si>
    <t>Apr 18, 2024, 7:50 AM</t>
  </si>
  <si>
    <t>Air Products</t>
  </si>
  <si>
    <t>Shanna Elliott</t>
  </si>
  <si>
    <t>airproducts@nc3.com</t>
  </si>
  <si>
    <t>401-642-1725</t>
  </si>
  <si>
    <t>Apr 22, 2024, 12:18 PM</t>
  </si>
  <si>
    <t>Albemarle</t>
  </si>
  <si>
    <t>Apr 23, 2024, 1:29 PM</t>
  </si>
  <si>
    <t>kc130j@gmail.com</t>
  </si>
  <si>
    <t>Jul 29, 2024, 3:36 PM</t>
  </si>
  <si>
    <t>Apr 19, 2024, 8:51 AM</t>
  </si>
  <si>
    <t>Jun 27, 2024, 9:25 AM</t>
  </si>
  <si>
    <t>Apr 26, 2024, 1:44 PM</t>
  </si>
  <si>
    <t>Jun 27, 2024, 4:35 PM</t>
  </si>
  <si>
    <t>Alliance Transportation Group</t>
  </si>
  <si>
    <t>Calle Tapia</t>
  </si>
  <si>
    <t>ctapia@emailatg.com</t>
  </si>
  <si>
    <t>N25</t>
  </si>
  <si>
    <t>Jul 16, 2024, 9:42 AM</t>
  </si>
  <si>
    <t>Maria C. Sepulveda</t>
  </si>
  <si>
    <t>maria.sepulveda@altamira-us.com</t>
  </si>
  <si>
    <t>979-583-9475</t>
  </si>
  <si>
    <t>Silver One-Day: Thursday, September 5th [$1800.00]</t>
  </si>
  <si>
    <t>P17</t>
  </si>
  <si>
    <t>Apr 18, 2024, 9:49 AM</t>
  </si>
  <si>
    <t>Jun 27, 2024, 10:46 AM</t>
  </si>
  <si>
    <t>Christopher Tidmore</t>
  </si>
  <si>
    <t>Jul 31, 2024, 4:43 PM</t>
  </si>
  <si>
    <t>Art Salcedo</t>
  </si>
  <si>
    <t>art.salcedo@aa.com</t>
  </si>
  <si>
    <t>P20, P21</t>
  </si>
  <si>
    <t>Apr 18, 2024, 12:43 PM</t>
  </si>
  <si>
    <t>American Structurepoint, Inc.</t>
  </si>
  <si>
    <t>Ashleigh Neely</t>
  </si>
  <si>
    <t>aneely@structurepoint.com</t>
  </si>
  <si>
    <t>317-547-5580</t>
  </si>
  <si>
    <t>Apr 17, 2024, 11:07 AM</t>
  </si>
  <si>
    <t>Analog Devices Inc.</t>
  </si>
  <si>
    <t>Jack Stover</t>
  </si>
  <si>
    <t>jack.stover@analog.com</t>
  </si>
  <si>
    <t>Aug 05, 2024, 9:49 PM</t>
  </si>
  <si>
    <t>E17, E18</t>
  </si>
  <si>
    <t>Apr 17, 2024, 8:06 AM</t>
  </si>
  <si>
    <t>ANS Geo</t>
  </si>
  <si>
    <t>Donnie Owens</t>
  </si>
  <si>
    <t>donnie.owens@ansgeo.com</t>
  </si>
  <si>
    <t>May 08, 2024, 11:19 AM</t>
  </si>
  <si>
    <t>Apache Corporation</t>
  </si>
  <si>
    <t>Molly Mitchell</t>
  </si>
  <si>
    <t>university.relations@apachecorp.com</t>
  </si>
  <si>
    <t>Gold One-Day: Thursday, September 5th [$2500.00]</t>
  </si>
  <si>
    <t>Jun 17, 2024, 12:47 PM</t>
  </si>
  <si>
    <t>Hallie Brown</t>
  </si>
  <si>
    <t>university_relations@amat.com</t>
  </si>
  <si>
    <t>May 09, 2024, 4:57 PM</t>
  </si>
  <si>
    <t>Aug 15, 2024, 5:22 PM</t>
  </si>
  <si>
    <t>daniela.castillo-rocha@arlut.utexas.edu</t>
  </si>
  <si>
    <t>C4, C5</t>
  </si>
  <si>
    <t>Apr 17, 2024, 8:09 AM</t>
  </si>
  <si>
    <t>sheila@arbinmail.com</t>
  </si>
  <si>
    <t>May 21, 2024, 8:26 AM</t>
  </si>
  <si>
    <t>ArcBest</t>
  </si>
  <si>
    <t>Alyssa Goodwin</t>
  </si>
  <si>
    <t>RecruitingSupport@arcb.com</t>
  </si>
  <si>
    <t>Aug 19, 2024, 4:06 PM</t>
  </si>
  <si>
    <t>630-204-7565</t>
  </si>
  <si>
    <t>H4</t>
  </si>
  <si>
    <t>Apr 17, 2024, 8:05 AM</t>
  </si>
  <si>
    <t>Apr 17, 2024, 8:08 AM</t>
  </si>
  <si>
    <t>Arena Offshore, LLC</t>
  </si>
  <si>
    <t>Becky Mery</t>
  </si>
  <si>
    <t>bmery@arenaenergy.com</t>
  </si>
  <si>
    <t>281-210-3159</t>
  </si>
  <si>
    <t>Aug 01, 2024, 10:57 AM</t>
  </si>
  <si>
    <t>Arion Blue</t>
  </si>
  <si>
    <t>Phillip.Weaver@arionblue.com</t>
  </si>
  <si>
    <t>Jun 19, 2024, 2:15 PM</t>
  </si>
  <si>
    <t>Imad Badran</t>
  </si>
  <si>
    <t>imad.badran2@arm.com</t>
  </si>
  <si>
    <t>Apr 22, 2024, 11:19 AM</t>
  </si>
  <si>
    <t>Ascend Performance Materials</t>
  </si>
  <si>
    <t>Brian Diaz</t>
  </si>
  <si>
    <t>bdiaz@ascendmaterials.com</t>
  </si>
  <si>
    <t>May 09, 2024, 3:47 PM</t>
  </si>
  <si>
    <t>713-315-5725</t>
  </si>
  <si>
    <t>Aug 28, 2024, 2:03 PM</t>
  </si>
  <si>
    <t>ASEC Engineers</t>
  </si>
  <si>
    <t>Ryan Spencer</t>
  </si>
  <si>
    <t>rspencer@asec-engineers.com</t>
  </si>
  <si>
    <t>May 14, 2024, 9:38 AM</t>
  </si>
  <si>
    <t>Ashland Inc.</t>
  </si>
  <si>
    <t>Andrew Warren</t>
  </si>
  <si>
    <t>atwarren@ashland.com</t>
  </si>
  <si>
    <t>409-942-1854</t>
  </si>
  <si>
    <t>Jun 04, 2024, 12:21 PM</t>
  </si>
  <si>
    <t>ATA Engineering, Inc.</t>
  </si>
  <si>
    <t>William David Scholten</t>
  </si>
  <si>
    <t>william.scholten@ata-e.com</t>
  </si>
  <si>
    <t>(256)850-3858</t>
  </si>
  <si>
    <t>Apr 17, 2024, 8:50 AM</t>
  </si>
  <si>
    <t>Shaq Lowe</t>
  </si>
  <si>
    <t>shaq.lowe@atkinsrealis.com</t>
  </si>
  <si>
    <t>Apr 18, 2024, 7:18 PM</t>
  </si>
  <si>
    <t>Madison Vang</t>
  </si>
  <si>
    <t>mvang@atlas.energy</t>
  </si>
  <si>
    <t>920-287-8555</t>
  </si>
  <si>
    <t>Apr 17, 2024, 11:05 AM</t>
  </si>
  <si>
    <t>Jeremy Brunner</t>
  </si>
  <si>
    <t>jeremy.brunner@atmosenergy.com</t>
  </si>
  <si>
    <t>254-230-8066</t>
  </si>
  <si>
    <t>Aug 08, 2024, 1:03 PM</t>
  </si>
  <si>
    <t>sduwenhoegger@atwell-group.com</t>
  </si>
  <si>
    <t>Apr 17, 2024, 9:00 AM</t>
  </si>
  <si>
    <t>karaelizatucker@gmail.com</t>
  </si>
  <si>
    <t>Apr 17, 2024, 11:12 AM</t>
  </si>
  <si>
    <t>Aurora Energy Research</t>
  </si>
  <si>
    <t>Ian McEntee</t>
  </si>
  <si>
    <t>ian.mcentee@auroraer.com</t>
  </si>
  <si>
    <t>Jul 19, 2024, 12:51 PM</t>
  </si>
  <si>
    <t>Luke Trujillo</t>
  </si>
  <si>
    <t>Ltrujillo@austin-ind.com</t>
  </si>
  <si>
    <t>Apr 29, 2024, 1:53 PM</t>
  </si>
  <si>
    <t>Austin Industrial</t>
  </si>
  <si>
    <t>John M Little</t>
  </si>
  <si>
    <t>jlittle@austin-ind.com</t>
  </si>
  <si>
    <t>Jul 10, 2024, 2:25 PM</t>
  </si>
  <si>
    <t>Avangrid</t>
  </si>
  <si>
    <t>Ashlee N Vann</t>
  </si>
  <si>
    <t>ashlee.vann2@avangrid.com</t>
  </si>
  <si>
    <t>719-649-9625</t>
  </si>
  <si>
    <t>D13</t>
  </si>
  <si>
    <t>Jul 18, 2024, 12:42 PM</t>
  </si>
  <si>
    <t>Jun 24, 2024, 2:12 PM</t>
  </si>
  <si>
    <t>817-338-1277</t>
  </si>
  <si>
    <t>Apr 17, 2024, 9:09 AM</t>
  </si>
  <si>
    <t>Camille Taylor</t>
  </si>
  <si>
    <t>taylorc@bakerconcrete.com</t>
  </si>
  <si>
    <t>(713) 470-9133</t>
  </si>
  <si>
    <t>Apr 17, 2024, 8:12 AM</t>
  </si>
  <si>
    <t>Lauryn Wild</t>
  </si>
  <si>
    <t>wildl@bakerconstruction.com</t>
  </si>
  <si>
    <t>Aug 23, 2024, 10:48 AM</t>
  </si>
  <si>
    <t>Brooke Elizabeth Ostrander</t>
  </si>
  <si>
    <t>brooke.ostrander@bakerhughes.com</t>
  </si>
  <si>
    <t>Apr 17, 2024, 11:08 AM</t>
  </si>
  <si>
    <t>BakerRisk®</t>
  </si>
  <si>
    <t>lrodriguez@bakerrisk.com</t>
  </si>
  <si>
    <t>210-824-5960</t>
  </si>
  <si>
    <t>Apr 17, 2024, 8:29 AM</t>
  </si>
  <si>
    <t>Ballard Marine Construction</t>
  </si>
  <si>
    <t>Emilee Crouse</t>
  </si>
  <si>
    <t>emilee.crouse@ballardmc.com</t>
  </si>
  <si>
    <t>360 844 6852</t>
  </si>
  <si>
    <t>Apr 17, 2024, 12:07 PM</t>
  </si>
  <si>
    <t>Bardex Corporation</t>
  </si>
  <si>
    <t>Nathan Shaw</t>
  </si>
  <si>
    <t>nshaw@bardex.com</t>
  </si>
  <si>
    <t>Jul 22, 2024, 3:15 PM</t>
  </si>
  <si>
    <t>Barnhart Crane</t>
  </si>
  <si>
    <t>901-902-4229</t>
  </si>
  <si>
    <t>Aug 07, 2024, 4:52 PM</t>
  </si>
  <si>
    <t>Barry-Wehmiller Design Group</t>
  </si>
  <si>
    <t>May 16, 2024, 10:42 AM</t>
  </si>
  <si>
    <t>Manuela Builes</t>
  </si>
  <si>
    <t>manuela.builes@basf.com</t>
  </si>
  <si>
    <t>M18, M19</t>
  </si>
  <si>
    <t>Apr 23, 2024, 9:23 AM</t>
  </si>
  <si>
    <t>Cait McKay</t>
  </si>
  <si>
    <t>cmckay@baxterwoodman.com</t>
  </si>
  <si>
    <t>952 890 0000</t>
  </si>
  <si>
    <t>Apr 17, 2024, 8:46 AM</t>
  </si>
  <si>
    <t>May 14, 2024, 2:46 PM</t>
  </si>
  <si>
    <t>Haylee Morrison</t>
  </si>
  <si>
    <t>E27, E28</t>
  </si>
  <si>
    <t>Binkley &amp; Barfield | DCCM</t>
  </si>
  <si>
    <t>hr@binkleybarfield.com</t>
  </si>
  <si>
    <t>Apr 18, 2024, 2:39 PM</t>
  </si>
  <si>
    <t>Will now or in the future require visa sponsorship</t>
  </si>
  <si>
    <t>Jun 11, 2024, 8:13 AM</t>
  </si>
  <si>
    <t>Jul 24, 2024, 12:20 PM</t>
  </si>
  <si>
    <t>Blum Consulting Engineers</t>
  </si>
  <si>
    <t>Lauren PeCoy</t>
  </si>
  <si>
    <t>lpecoy@blumeng.com</t>
  </si>
  <si>
    <t>Apr 18, 2024, 10:13 AM</t>
  </si>
  <si>
    <t>Katie DeWaters</t>
  </si>
  <si>
    <t>talentacquisition@bnsf.com</t>
  </si>
  <si>
    <t>Jul 16, 2024, 11:14 AM</t>
  </si>
  <si>
    <t>Jul 22, 2024, 4:02 PM</t>
  </si>
  <si>
    <t>Apr 17, 2024, 9:59 AM</t>
  </si>
  <si>
    <t>Ellery Kirkconnell</t>
  </si>
  <si>
    <t>ekirkconnell@bowman.com</t>
  </si>
  <si>
    <t>Jun 06, 2024, 7:58 AM</t>
  </si>
  <si>
    <t>Jessie Dengsavang</t>
  </si>
  <si>
    <t>jessie.dengsavang@bp.com</t>
  </si>
  <si>
    <t>(312) 523-5446</t>
  </si>
  <si>
    <t>Platinum One-Day: Wednesday, September 4th [$5500.00]</t>
  </si>
  <si>
    <t>N9, N10, N11, N12</t>
  </si>
  <si>
    <t>Jul 23, 2024, 3:04 PM</t>
  </si>
  <si>
    <t>Silver One-Day: Wednesday, September 4th [$1800.00]</t>
  </si>
  <si>
    <t>J12</t>
  </si>
  <si>
    <t>Apr 17, 2024, 8:57 AM</t>
  </si>
  <si>
    <t>Braskem</t>
  </si>
  <si>
    <t>David Currie</t>
  </si>
  <si>
    <t>david.currie@braskem.com</t>
  </si>
  <si>
    <t>Aug 02, 2024, 9:12 AM</t>
  </si>
  <si>
    <t>Erika R Everett</t>
  </si>
  <si>
    <t>erika.everett@bray.com</t>
  </si>
  <si>
    <t>Apr 17, 2024, 9:30 AM</t>
  </si>
  <si>
    <t>Shayne Gray</t>
  </si>
  <si>
    <t>sgray@brocksolutions.com</t>
  </si>
  <si>
    <t>Jul 05, 2024, 3:10 PM</t>
  </si>
  <si>
    <t>Jose Paredes</t>
  </si>
  <si>
    <t>May 16, 2024, 4:59 PM</t>
  </si>
  <si>
    <t>Apr 17, 2024, 2:42 PM</t>
  </si>
  <si>
    <t>Bureau of Land Management</t>
  </si>
  <si>
    <t>Ken Barber</t>
  </si>
  <si>
    <t>kbarber@blm.gov</t>
  </si>
  <si>
    <t>307-343-3058</t>
  </si>
  <si>
    <t>P22</t>
  </si>
  <si>
    <t>May 07, 2024, 8:31 AM</t>
  </si>
  <si>
    <t>Kyle Chancy</t>
  </si>
  <si>
    <t>kpchancy@burnsmcd.com</t>
  </si>
  <si>
    <t>Burrow Global Services LLC</t>
  </si>
  <si>
    <t>Kristen Gaustad</t>
  </si>
  <si>
    <t>kristen.gaustad@burrowglobal.com</t>
  </si>
  <si>
    <t>713-357-5535</t>
  </si>
  <si>
    <t>Jun 20, 2024, 10:35 AM</t>
  </si>
  <si>
    <t>Apr 17, 2024, 8:45 AM</t>
  </si>
  <si>
    <t>Jul 27, 2024, 12:39 PM</t>
  </si>
  <si>
    <t>CACI-Houston Johnson Space Center</t>
  </si>
  <si>
    <t>Christiane LaMonica</t>
  </si>
  <si>
    <t>christiane.lamonica@caci.com</t>
  </si>
  <si>
    <t>(405) 367-2722</t>
  </si>
  <si>
    <t>CAE USA</t>
  </si>
  <si>
    <t>Sara Martinez</t>
  </si>
  <si>
    <t>sara.martinez@caemilusa.com</t>
  </si>
  <si>
    <t>210-325-5003</t>
  </si>
  <si>
    <t>May 28, 2024, 6:23 PM</t>
  </si>
  <si>
    <t>Heather Randall</t>
  </si>
  <si>
    <t>heather.humalainen@calpine.com</t>
  </si>
  <si>
    <t>Apr 18, 2024, 9:01 AM</t>
  </si>
  <si>
    <t>Karrie Valenti</t>
  </si>
  <si>
    <t>karrie.valenti@capco.com</t>
  </si>
  <si>
    <t>281-386-5519</t>
  </si>
  <si>
    <t>Apr 17, 2024, 8:37 AM</t>
  </si>
  <si>
    <t>Marissa Delgado</t>
  </si>
  <si>
    <t>marissa.delgado@capitolaggregates.com</t>
  </si>
  <si>
    <t>Aug 05, 2024, 4:55 PM</t>
  </si>
  <si>
    <t>Jun 18, 2024, 11:25 AM</t>
  </si>
  <si>
    <t>Micayla Ramage</t>
  </si>
  <si>
    <t>micayla.kiselak@capspire.com</t>
  </si>
  <si>
    <t>(888) 532-2815</t>
  </si>
  <si>
    <t>Apr 17, 2024, 4:36 PM</t>
  </si>
  <si>
    <t>molly.shock@cat.com</t>
  </si>
  <si>
    <t>G1, G2</t>
  </si>
  <si>
    <t>Apr 17, 2024, 12:45 PM</t>
  </si>
  <si>
    <t>(832) 513 - 1252</t>
  </si>
  <si>
    <t>Apr 23, 2024, 4:17 PM</t>
  </si>
  <si>
    <t>Jun 19, 2024, 8:52 AM</t>
  </si>
  <si>
    <t>972-443-4442</t>
  </si>
  <si>
    <t>Jun 04, 2024, 3:17 PM</t>
  </si>
  <si>
    <t>May 15, 2024, 10:32 AM</t>
  </si>
  <si>
    <t>Apr 17, 2024, 8:10 AM</t>
  </si>
  <si>
    <t>ChampionX</t>
  </si>
  <si>
    <t>Krystal Upshaw</t>
  </si>
  <si>
    <t>krystal.upshaw@championx.com</t>
  </si>
  <si>
    <t>281-690-9179</t>
  </si>
  <si>
    <t>Aug 19, 2024, 3:34 PM</t>
  </si>
  <si>
    <t>(281)396-8132</t>
  </si>
  <si>
    <t>Jul 30, 2024, 3:00 PM</t>
  </si>
  <si>
    <t>Chemours</t>
  </si>
  <si>
    <t>Luke Viegas</t>
  </si>
  <si>
    <t>luke.viegas1@chemours.com</t>
  </si>
  <si>
    <t>281-417-7756</t>
  </si>
  <si>
    <t>Jun 07, 2024, 11:16 AM</t>
  </si>
  <si>
    <t>713-372-1347</t>
  </si>
  <si>
    <t>N26, N27, N28</t>
  </si>
  <si>
    <t>May 03, 2024, 4:20 PM</t>
  </si>
  <si>
    <t>Chevron Phillips Chemical (Silver Partner)</t>
  </si>
  <si>
    <t>Alicia Spitzer</t>
  </si>
  <si>
    <t>spitza@cpchem.com</t>
  </si>
  <si>
    <t>832-813-4113</t>
  </si>
  <si>
    <t>Jun 17, 2024, 11:45 AM</t>
  </si>
  <si>
    <t>Cirrus Logic, Inc.</t>
  </si>
  <si>
    <t>Yasmeen Khattab</t>
  </si>
  <si>
    <t>yasmeen.khattab@cirrus.com</t>
  </si>
  <si>
    <t>Jun 13, 2024, 1:43 PM</t>
  </si>
  <si>
    <t>CITGO Refining &amp; Chemicals</t>
  </si>
  <si>
    <t>Platinum Two-Day [$10000.00]</t>
  </si>
  <si>
    <t>M1, M2, M3, M4</t>
  </si>
  <si>
    <t>Jun 03, 2024, 2:59 PM</t>
  </si>
  <si>
    <t>Civil &amp; Environmental Consultants, Inc</t>
  </si>
  <si>
    <t>Jun 27, 2024, 12:01 PM</t>
  </si>
  <si>
    <t>Climeworks</t>
  </si>
  <si>
    <t>Iulia Furcea</t>
  </si>
  <si>
    <t>iulia.furcea@climeworks.com</t>
  </si>
  <si>
    <t>Diamond One-Day: Wednesday, September 4th [$4000.00]</t>
  </si>
  <si>
    <t>K17, K18, K19</t>
  </si>
  <si>
    <t>May 15, 2024, 8:54 AM</t>
  </si>
  <si>
    <t>Apr 17, 2024, 12:34 PM</t>
  </si>
  <si>
    <t>May 06, 2024, 8:40 PM</t>
  </si>
  <si>
    <t>CNS Pantex/Y-12</t>
  </si>
  <si>
    <t>sabrina.perez@pxy12.doe.gov</t>
  </si>
  <si>
    <t>(806) 573-7777</t>
  </si>
  <si>
    <t>Jun 03, 2024, 9:01 PM</t>
  </si>
  <si>
    <t>404.480.4470</t>
  </si>
  <si>
    <t>Jul 31, 2024, 3:59 PM</t>
  </si>
  <si>
    <t>luke.seyfert@collierseng.com</t>
  </si>
  <si>
    <t>Apr 15, 2024, 8:23 AM</t>
  </si>
  <si>
    <t>Collins Aerospace</t>
  </si>
  <si>
    <t>collins@nc3.com</t>
  </si>
  <si>
    <t>P16, P17</t>
  </si>
  <si>
    <t>Apr 19, 2024, 9:33 AM</t>
  </si>
  <si>
    <t>Commercial Banking Program, Mays Business School</t>
  </si>
  <si>
    <t>Barbara Musgrove</t>
  </si>
  <si>
    <t>bmusgrove@mays.tamu.edu</t>
  </si>
  <si>
    <t>Jun 10, 2024, 10:46 AM</t>
  </si>
  <si>
    <t>Conagra Brands</t>
  </si>
  <si>
    <t>Nicole Ramirez</t>
  </si>
  <si>
    <t>campusrecruiting@conagra.com</t>
  </si>
  <si>
    <t>402.999.9999</t>
  </si>
  <si>
    <t>Apr 17, 2024, 8:14 AM</t>
  </si>
  <si>
    <t>Connico</t>
  </si>
  <si>
    <t>Bryan Hafertepe</t>
  </si>
  <si>
    <t>bahafertepe@connico.com</t>
  </si>
  <si>
    <t>615-994-1980</t>
  </si>
  <si>
    <t>May 02, 2024, 2:10 PM</t>
  </si>
  <si>
    <t>N19, N20</t>
  </si>
  <si>
    <t>Apr 17, 2024, 8:40 AM</t>
  </si>
  <si>
    <t>Sui Amaama</t>
  </si>
  <si>
    <t>sui.amaama@consoreng.com</t>
  </si>
  <si>
    <t>385-602-4617</t>
  </si>
  <si>
    <t>Jul 29, 2024, 10:06 AM</t>
  </si>
  <si>
    <t>P19</t>
  </si>
  <si>
    <t>Jul 18, 2024, 8:03 AM</t>
  </si>
  <si>
    <t>Continental Automotive Systems Inc.</t>
  </si>
  <si>
    <t>Carrsyn Gregor</t>
  </si>
  <si>
    <t>carrsyn.gregor@continental-corporation.com</t>
  </si>
  <si>
    <t>830-221-7147</t>
  </si>
  <si>
    <t>Jul 12, 2024, 10:00 AM</t>
  </si>
  <si>
    <t>Coterra Energy</t>
  </si>
  <si>
    <t>Erica Segura</t>
  </si>
  <si>
    <t>erica.segura@coterra.com</t>
  </si>
  <si>
    <t>May 15, 2024, 8:20 AM</t>
  </si>
  <si>
    <t>412-413-2334</t>
  </si>
  <si>
    <t>Apr 24, 2024, 8:40 AM</t>
  </si>
  <si>
    <t>Crane ChemPharma &amp; Energy</t>
  </si>
  <si>
    <t>Veronica Drummond</t>
  </si>
  <si>
    <t>VDrummond@cranecpe.com</t>
  </si>
  <si>
    <t>(513) 909-6707</t>
  </si>
  <si>
    <t>Apr 24, 2024, 9:36 AM</t>
  </si>
  <si>
    <t>CRB Group</t>
  </si>
  <si>
    <t>Apr 17, 2024, 8:16 AM</t>
  </si>
  <si>
    <t>Allie Buckmaster</t>
  </si>
  <si>
    <t>allie.buckmaster@credera.com</t>
  </si>
  <si>
    <t>Jul 23, 2024, 4:25 PM</t>
  </si>
  <si>
    <t>Crown Castle</t>
  </si>
  <si>
    <t>Trish M D'Arezzo</t>
  </si>
  <si>
    <t>trish.darezzo@crowncastle.com</t>
  </si>
  <si>
    <t>Apr 17, 2024, 2:28 PM</t>
  </si>
  <si>
    <t>D.R. Horton, Inc.</t>
  </si>
  <si>
    <t>D.R. Horton Careers</t>
  </si>
  <si>
    <t>careers@drhorton.com</t>
  </si>
  <si>
    <t>817-390-8200</t>
  </si>
  <si>
    <t>May 06, 2024, 11:13 AM</t>
  </si>
  <si>
    <t>Tori Wright</t>
  </si>
  <si>
    <t>tori.wright@daikincomfort.com</t>
  </si>
  <si>
    <t>713-861-2500</t>
  </si>
  <si>
    <t>May 08, 2024, 10:26 AM</t>
  </si>
  <si>
    <t>D9, D10</t>
  </si>
  <si>
    <t>Apr 24, 2024, 11:01 AM</t>
  </si>
  <si>
    <t>Datum Engineers</t>
  </si>
  <si>
    <t>Apr 25, 2024, 9:42 AM</t>
  </si>
  <si>
    <t>David Evans and Associates</t>
  </si>
  <si>
    <t>Shannon Strode</t>
  </si>
  <si>
    <t>shannon.strode@deainc.com</t>
  </si>
  <si>
    <t>503-499-0511</t>
  </si>
  <si>
    <t>May 21, 2024, 11:42 AM</t>
  </si>
  <si>
    <t>Sep 04, 2024, 7:45 PM</t>
  </si>
  <si>
    <t>DBM Vircon Services (USA), Inc.</t>
  </si>
  <si>
    <t>Megan Muller</t>
  </si>
  <si>
    <t>megan.muller@dbmvircon.com</t>
  </si>
  <si>
    <t>602-687-2569</t>
  </si>
  <si>
    <t>Apr 17, 2024, 11:22 AM</t>
  </si>
  <si>
    <t>Apr 23, 2024, 2:55 PM</t>
  </si>
  <si>
    <t>Jul 09, 2024, 12:26 PM</t>
  </si>
  <si>
    <t>401-642-1712</t>
  </si>
  <si>
    <t>D8</t>
  </si>
  <si>
    <t>Jun 11, 2024, 10:57 AM</t>
  </si>
  <si>
    <t>Delta Air Lines</t>
  </si>
  <si>
    <t>Matthew (Matt) Porter</t>
  </si>
  <si>
    <t>matthew.c.porter@delta.com</t>
  </si>
  <si>
    <t>May 31, 2024, 2:48 PM</t>
  </si>
  <si>
    <t>DetectaChem, Inc.</t>
  </si>
  <si>
    <t>Aaron M Sanders</t>
  </si>
  <si>
    <t>asanders@detectachem.com</t>
  </si>
  <si>
    <t>Jul 26, 2024, 6:22 AM</t>
  </si>
  <si>
    <t>Diamondback Energy</t>
  </si>
  <si>
    <t>Joanna Hord</t>
  </si>
  <si>
    <t>jhord@diamondbackenergy.com</t>
  </si>
  <si>
    <t>432 221 7453</t>
  </si>
  <si>
    <t>K5, K6</t>
  </si>
  <si>
    <t>Apr 17, 2024, 10:00 AM</t>
  </si>
  <si>
    <t>Jul 08, 2024, 1:42 PM</t>
  </si>
  <si>
    <t>Dominion Energy</t>
  </si>
  <si>
    <t>Ava Marie Plummer</t>
  </si>
  <si>
    <t>ava.m.plummer@dominionenergy.com</t>
  </si>
  <si>
    <t>Jul 15, 2024, 1:45 PM</t>
  </si>
  <si>
    <t>Dow Inc.</t>
  </si>
  <si>
    <t>May 02, 2024, 5:23 PM</t>
  </si>
  <si>
    <t>L16</t>
  </si>
  <si>
    <t>Aug 07, 2024, 11:02 AM</t>
  </si>
  <si>
    <t>DSS Group Holdings</t>
  </si>
  <si>
    <t>David Bretherton</t>
  </si>
  <si>
    <t>dbretherton2@dss.net</t>
  </si>
  <si>
    <t>Aug 01, 2024, 9:35 AM</t>
  </si>
  <si>
    <t>DXP Enterprises, Inc.</t>
  </si>
  <si>
    <t>Mandi Shushtari</t>
  </si>
  <si>
    <t>mandi.shushtari@dxpe.com</t>
  </si>
  <si>
    <t>Jul 24, 2024, 10:48 AM</t>
  </si>
  <si>
    <t>Apr 17, 2024, 9:34 AM</t>
  </si>
  <si>
    <t>Apr 17, 2024, 8:11 AM</t>
  </si>
  <si>
    <t>Melissa Hein</t>
  </si>
  <si>
    <t>melissa.hein@eastman.com</t>
  </si>
  <si>
    <t>(903) 237-5063</t>
  </si>
  <si>
    <t>K12, K13</t>
  </si>
  <si>
    <t>Jul 03, 2024, 2:48 PM</t>
  </si>
  <si>
    <t>Selah M Jacobs</t>
  </si>
  <si>
    <t>selah.jacobs@ecolab.com</t>
  </si>
  <si>
    <t>Jul 09, 2024, 3:59 PM</t>
  </si>
  <si>
    <t>EControls</t>
  </si>
  <si>
    <t>May 02, 2024, 11:23 AM</t>
  </si>
  <si>
    <t>EDG, Inc.</t>
  </si>
  <si>
    <t>Laura K Kapp</t>
  </si>
  <si>
    <t>Edgile</t>
  </si>
  <si>
    <t>Joshua M Bowie</t>
  </si>
  <si>
    <t>Joshua.Bowie@edgile.com</t>
  </si>
  <si>
    <t>Aug 23, 2024, 3:05 PM</t>
  </si>
  <si>
    <t>Aly Rojas</t>
  </si>
  <si>
    <t>arojas@ehrainc.com</t>
  </si>
  <si>
    <t>Apr 17, 2024, 8:19 AM</t>
  </si>
  <si>
    <t>Aug 06, 2024, 12:34 PM</t>
  </si>
  <si>
    <t>Jun 17, 2024, 9:59 AM</t>
  </si>
  <si>
    <t>Electrical Consultants, Inc.</t>
  </si>
  <si>
    <t>Maureen Maloughney</t>
  </si>
  <si>
    <t>hrdirector@eciusa.com</t>
  </si>
  <si>
    <t>406-259-9933</t>
  </si>
  <si>
    <t>Apr 17, 2024, 8:03 AM</t>
  </si>
  <si>
    <t>Apr 18, 2024, 2:19 PM</t>
  </si>
  <si>
    <t>Emerson Automation Solutions</t>
  </si>
  <si>
    <t>Angel Galbreath</t>
  </si>
  <si>
    <t>angel.galbreath@emerson.com</t>
  </si>
  <si>
    <t>512-418-4708</t>
  </si>
  <si>
    <t>Jul 16, 2024, 2:58 PM</t>
  </si>
  <si>
    <t>May 10, 2024, 9:42 AM</t>
  </si>
  <si>
    <t>Jun 03, 2024, 2:50 PM</t>
  </si>
  <si>
    <t>N23</t>
  </si>
  <si>
    <t>May 14, 2024, 9:59 AM</t>
  </si>
  <si>
    <t>571.299.6000</t>
  </si>
  <si>
    <t>Jun 11, 2024, 12:35 PM</t>
  </si>
  <si>
    <t>May 15, 2024, 11:12 AM</t>
  </si>
  <si>
    <t>ENOVIS</t>
  </si>
  <si>
    <t>Madison Duke</t>
  </si>
  <si>
    <t>madison.duke@enovis.com</t>
  </si>
  <si>
    <t>Jul 26, 2024, 11:03 AM</t>
  </si>
  <si>
    <t>Elizabeth L Romer</t>
  </si>
  <si>
    <t>May 30, 2024, 9:01 AM</t>
  </si>
  <si>
    <t>Entech Civil Engineers Inc.</t>
  </si>
  <si>
    <t>Mariana Sosa</t>
  </si>
  <si>
    <t>msosa@entechhou.com</t>
  </si>
  <si>
    <t>Apr 17, 2024, 8:36 AM</t>
  </si>
  <si>
    <t>Jul 02, 2024, 1:15 PM</t>
  </si>
  <si>
    <t>Maroon One-Day: Wednesday, September 4th [$6500.00]</t>
  </si>
  <si>
    <t>D25, D26, D27</t>
  </si>
  <si>
    <t>May 22, 2024, 9:56 AM</t>
  </si>
  <si>
    <t>Jonathan Barrow</t>
  </si>
  <si>
    <t>K28, K29</t>
  </si>
  <si>
    <t>Jun 13, 2024, 9:35 AM</t>
  </si>
  <si>
    <t>Envent Corporation</t>
  </si>
  <si>
    <t>Terry Mills</t>
  </si>
  <si>
    <t>terry.mills@envent.net</t>
  </si>
  <si>
    <t>May 02, 2024, 8:52 AM</t>
  </si>
  <si>
    <t>May 24, 2024, 10:11 AM</t>
  </si>
  <si>
    <t>J10, J11</t>
  </si>
  <si>
    <t>May 15, 2024, 10:42 AM</t>
  </si>
  <si>
    <t>Danny Tran</t>
  </si>
  <si>
    <t>dtran@exmaroffshore.com</t>
  </si>
  <si>
    <t>Aug 09, 2024, 10:54 AM</t>
  </si>
  <si>
    <t>Elijah Culpepper</t>
  </si>
  <si>
    <t>elijah.t.culpepper@exxonmobil.com</t>
  </si>
  <si>
    <t>(832) 773-4602</t>
  </si>
  <si>
    <t>K1, K2, K3, K4</t>
  </si>
  <si>
    <t>Apr 17, 2024, 9:03 AM</t>
  </si>
  <si>
    <t>Apr 17, 2024, 8:07 AM</t>
  </si>
  <si>
    <t>Falkenberg Construction</t>
  </si>
  <si>
    <t>Erica Hinson</t>
  </si>
  <si>
    <t>ehinson@falkcon.com</t>
  </si>
  <si>
    <t>Apr 19, 2024, 11:22 AM</t>
  </si>
  <si>
    <t>Fast Enterprises, LLC</t>
  </si>
  <si>
    <t>Emma Tourtelotte</t>
  </si>
  <si>
    <t>ehingst@fastenterprises.com</t>
  </si>
  <si>
    <t>(303) 770-3700</t>
  </si>
  <si>
    <t>May 28, 2024, 1:29 PM</t>
  </si>
  <si>
    <t>antionette.d-meridth@faa.gov</t>
  </si>
  <si>
    <t>A11, A12</t>
  </si>
  <si>
    <t>Apr 17, 2024, 11:18 AM</t>
  </si>
  <si>
    <t>Doug Huntsman</t>
  </si>
  <si>
    <t>doug.huntsman@faa.gov</t>
  </si>
  <si>
    <t>817-222-5156</t>
  </si>
  <si>
    <t>Aug 20, 2024, 4:29 PM</t>
  </si>
  <si>
    <t>Federal Bureau of Investigation (FBI)</t>
  </si>
  <si>
    <t>Becky Nguyen</t>
  </si>
  <si>
    <t>bjnguyen@fbi.gov</t>
  </si>
  <si>
    <t>May 01, 2024, 9:04 AM</t>
  </si>
  <si>
    <t>(402)942-6941</t>
  </si>
  <si>
    <t>Apr 17, 2024, 9:33 AM</t>
  </si>
  <si>
    <t>Shelly Glascoe</t>
  </si>
  <si>
    <t>RGLASCOE@FERROVIAL.US</t>
  </si>
  <si>
    <t>512.517.4743</t>
  </si>
  <si>
    <t>Jun 21, 2024, 10:47 AM</t>
  </si>
  <si>
    <t>Juan Fernandez</t>
  </si>
  <si>
    <t>jfernandezsanjulian@ferrovial.com</t>
  </si>
  <si>
    <t>Apr 17, 2024, 8:13 AM</t>
  </si>
  <si>
    <t>214-395-6409</t>
  </si>
  <si>
    <t>May 15, 2024, 6:37 AM</t>
  </si>
  <si>
    <t>P27</t>
  </si>
  <si>
    <t>Aug 21, 2024, 4:15 PM</t>
  </si>
  <si>
    <t>Apr 17, 2024, 2:51 PM</t>
  </si>
  <si>
    <t>Fivengineering, LLC</t>
  </si>
  <si>
    <t>Elizabeth Parent</t>
  </si>
  <si>
    <t>liz.parent@5engineering.com</t>
  </si>
  <si>
    <t>(832) 800-3483</t>
  </si>
  <si>
    <t>Apr 22, 2024, 2:07 PM</t>
  </si>
  <si>
    <t>Flatiron Construction</t>
  </si>
  <si>
    <t>(720) 591-2827</t>
  </si>
  <si>
    <t>Apr 17, 2024, 11:29 AM</t>
  </si>
  <si>
    <t>Amanda Mavromatis</t>
  </si>
  <si>
    <t>amavromatis@flowserve.com</t>
  </si>
  <si>
    <t>713-416-9395</t>
  </si>
  <si>
    <t>Aug 12, 2024, 10:59 AM</t>
  </si>
  <si>
    <t>401-415-1084</t>
  </si>
  <si>
    <t>Apr 18, 2024, 10:27 AM</t>
  </si>
  <si>
    <t>F20, F21</t>
  </si>
  <si>
    <t>Kyle.Beeler@fnacc.com</t>
  </si>
  <si>
    <t>Jul 12, 2024, 10:16 AM</t>
  </si>
  <si>
    <t>Apr 23, 2024, 2:33 PM</t>
  </si>
  <si>
    <t>Fugro USA</t>
  </si>
  <si>
    <t>Qwenada Moore</t>
  </si>
  <si>
    <t>q.moore@fugro.com</t>
  </si>
  <si>
    <t>Apr 24, 2024, 9:39 AM</t>
  </si>
  <si>
    <t>Fujitsu</t>
  </si>
  <si>
    <t>Aug 19, 2024, 2:25 PM</t>
  </si>
  <si>
    <t>G-Research</t>
  </si>
  <si>
    <t>Lauren</t>
  </si>
  <si>
    <t>lauren.radzevich@gresearch.com</t>
  </si>
  <si>
    <t>214-600-9576</t>
  </si>
  <si>
    <t>B29, B30</t>
  </si>
  <si>
    <t>May 21, 2024, 9:22 AM</t>
  </si>
  <si>
    <t>Amanda Pruetz</t>
  </si>
  <si>
    <t>Apr 25, 2024, 1:45 PM</t>
  </si>
  <si>
    <t>913-440-5915</t>
  </si>
  <si>
    <t>Apr 17, 2024, 9:19 AM</t>
  </si>
  <si>
    <t>Garney Construction</t>
  </si>
  <si>
    <t>Alexandre Lievirisci</t>
  </si>
  <si>
    <t>alievirisci@garney.com</t>
  </si>
  <si>
    <t>May 13, 2024, 7:06 PM</t>
  </si>
  <si>
    <t>Laurie Pinto</t>
  </si>
  <si>
    <t>832-500-3048</t>
  </si>
  <si>
    <t>Lauren Rockhold</t>
  </si>
  <si>
    <t>lrockhold@gbateam.com</t>
  </si>
  <si>
    <t>EBUniversityrelations@gdeb.com</t>
  </si>
  <si>
    <t>May 25, 2024, 1:57 PM</t>
  </si>
  <si>
    <t>817-215-7782</t>
  </si>
  <si>
    <t>Jun 17, 2024, 11:24 AM</t>
  </si>
  <si>
    <t>Georgia-Pacific</t>
  </si>
  <si>
    <t>Andrew Dover</t>
  </si>
  <si>
    <t>andrew.dover@gapac.com</t>
  </si>
  <si>
    <t>C8</t>
  </si>
  <si>
    <t>Aug 27, 2024, 4:25 PM</t>
  </si>
  <si>
    <t>Dawn Rothwell</t>
  </si>
  <si>
    <t>gpearlycareer@kochgs.com</t>
  </si>
  <si>
    <t>404-652-3091</t>
  </si>
  <si>
    <t>Jul 16, 2024, 1:22 PM</t>
  </si>
  <si>
    <t>charlotte rice</t>
  </si>
  <si>
    <t>charlotte.rice@gerdau.com</t>
  </si>
  <si>
    <t>Jun 25, 2024, 12:56 PM</t>
  </si>
  <si>
    <t>Giga Energy</t>
  </si>
  <si>
    <t>Elizabeth Lohstroh</t>
  </si>
  <si>
    <t>elizabeth@gigaenergy.com</t>
  </si>
  <si>
    <t>Jun 27, 2024, 10:34 AM</t>
  </si>
  <si>
    <t>Zachary Zelinski</t>
  </si>
  <si>
    <t>zachary.zelinski@globalfoundries.com</t>
  </si>
  <si>
    <t>Jul 09, 2024, 8:04 AM</t>
  </si>
  <si>
    <t>May 08, 2024, 9:44 AM</t>
  </si>
  <si>
    <t>817-640-8535</t>
  </si>
  <si>
    <t>F6, F7</t>
  </si>
  <si>
    <t>Apr 17, 2024, 12:25 PM</t>
  </si>
  <si>
    <t>Makayla Kennedy</t>
  </si>
  <si>
    <t>makayla.kennedy@gcinc.com</t>
  </si>
  <si>
    <t>Jul 16, 2024, 12:37 PM</t>
  </si>
  <si>
    <t>Gray Engineering, Inc.</t>
  </si>
  <si>
    <t>info@grayengineeringinc.com</t>
  </si>
  <si>
    <t>Apr 25, 2024, 5:28 PM</t>
  </si>
  <si>
    <t>(410) 631-7145</t>
  </si>
  <si>
    <t>Apr 17, 2024, 9:13 AM</t>
  </si>
  <si>
    <t>Apr 17, 2024, 2:06 PM</t>
  </si>
  <si>
    <t>Greene, Tweed &amp; Co</t>
  </si>
  <si>
    <t>Greg Serrao</t>
  </si>
  <si>
    <t>gserrao@gtweed.com</t>
  </si>
  <si>
    <t>Aug 09, 2024, 2:19 PM</t>
  </si>
  <si>
    <t>Grundfos</t>
  </si>
  <si>
    <t>Nadiia Nichoha</t>
  </si>
  <si>
    <t>nnichoha@grundfos.com</t>
  </si>
  <si>
    <t>Jul 19, 2024, 3:31 PM</t>
  </si>
  <si>
    <t>GTI Energy</t>
  </si>
  <si>
    <t>Rame Khourshid</t>
  </si>
  <si>
    <t>rkhourshid@gti.energy</t>
  </si>
  <si>
    <t>Jun 25, 2024, 1:59 PM</t>
  </si>
  <si>
    <t>Aug 05, 2024, 6:32 AM</t>
  </si>
  <si>
    <t>Gulfstream</t>
  </si>
  <si>
    <t>TBD TBD</t>
  </si>
  <si>
    <t>(912) 395-9066</t>
  </si>
  <si>
    <t>Jun 25, 2024, 9:43 AM</t>
  </si>
  <si>
    <t>Guy F. Atkinson Construction, LLC</t>
  </si>
  <si>
    <t>Presley Olivas</t>
  </si>
  <si>
    <t>presley.olivas@atkn.com</t>
  </si>
  <si>
    <t>Jun 19, 2024, 10:36 AM</t>
  </si>
  <si>
    <t>(832) 850-2103</t>
  </si>
  <si>
    <t>May 29, 2024, 2:40 PM</t>
  </si>
  <si>
    <t>H2B Inc</t>
  </si>
  <si>
    <t>May 30, 2024, 1:23 PM</t>
  </si>
  <si>
    <t>May 07, 2024, 4:21 PM</t>
  </si>
  <si>
    <t>L8, L9</t>
  </si>
  <si>
    <t>Apr 17, 2024, 9:37 AM</t>
  </si>
  <si>
    <t>Teresa Mazzini</t>
  </si>
  <si>
    <t>tmazzini@hanson-inc.com</t>
  </si>
  <si>
    <t>B4, B5</t>
  </si>
  <si>
    <t>Apr 17, 2024, 8:15 AM</t>
  </si>
  <si>
    <t>Hargrove Engineers &amp; Constructors</t>
  </si>
  <si>
    <t>Jul 29, 2024, 9:12 AM</t>
  </si>
  <si>
    <t>P25</t>
  </si>
  <si>
    <t>Apr 17, 2024, 8:53 AM</t>
  </si>
  <si>
    <t>Brittany Burkhalter</t>
  </si>
  <si>
    <t>bburkhalter@harvestmidstream.com</t>
  </si>
  <si>
    <t>713-289-2699</t>
  </si>
  <si>
    <t>Apr 17, 2024, 1:26 PM</t>
  </si>
  <si>
    <t>Jul 11, 2024, 10:48 AM</t>
  </si>
  <si>
    <t>412-497-2033</t>
  </si>
  <si>
    <t>Apr 24, 2024, 3:15 PM</t>
  </si>
  <si>
    <t>Hayter Engineering Inc.</t>
  </si>
  <si>
    <t>Christopher Donnan</t>
  </si>
  <si>
    <t>cdonnan@haytereng.com</t>
  </si>
  <si>
    <t>Apr 22, 2024, 9:02 AM</t>
  </si>
  <si>
    <t>HDL Research Lab Inc.</t>
  </si>
  <si>
    <t>979-836-2300</t>
  </si>
  <si>
    <t>Apr 17, 2024, 1:08 PM</t>
  </si>
  <si>
    <t>HDR Engineering, Inc.</t>
  </si>
  <si>
    <t>HEB</t>
  </si>
  <si>
    <t>Daisy Pena</t>
  </si>
  <si>
    <t>Jun 25, 2024, 4:34 PM</t>
  </si>
  <si>
    <t>Apr 29, 2024, 9:53 AM</t>
  </si>
  <si>
    <t>&lt;20</t>
  </si>
  <si>
    <t>May 22, 2024, 2:34 PM</t>
  </si>
  <si>
    <t>Apr 26, 2024, 3:15 PM</t>
  </si>
  <si>
    <t>May 02, 2024, 11:22 AM</t>
  </si>
  <si>
    <t>Jul 25, 2024, 10:51 AM</t>
  </si>
  <si>
    <t>HII - Mission Technologies</t>
  </si>
  <si>
    <t>Alexis McAlister</t>
  </si>
  <si>
    <t>universityrelations@hii-tsd.com</t>
  </si>
  <si>
    <t>757-670-8258</t>
  </si>
  <si>
    <t>Jul 02, 2024, 2:50 PM</t>
  </si>
  <si>
    <t>HII - Newport News Shipbuilding Division</t>
  </si>
  <si>
    <t>Lyndsey Hall</t>
  </si>
  <si>
    <t>nnsurr@hii-nns.com</t>
  </si>
  <si>
    <t>757-688-3803</t>
  </si>
  <si>
    <t>Jun 11, 2024, 3:05 PM</t>
  </si>
  <si>
    <t>Hills Pet Nutrition</t>
  </si>
  <si>
    <t>Chase Matthew Bloyd</t>
  </si>
  <si>
    <t>chase_bloyd@hillspet.com</t>
  </si>
  <si>
    <t>Jul 18, 2024, 5:07 PM</t>
  </si>
  <si>
    <t>Hilti North America</t>
  </si>
  <si>
    <t>Anna Halverson</t>
  </si>
  <si>
    <t>universityrecruiting@hilti.com</t>
  </si>
  <si>
    <t>Apr 17, 2024, 9:44 AM</t>
  </si>
  <si>
    <t>HKA</t>
  </si>
  <si>
    <t>gracebrown@hka.com</t>
  </si>
  <si>
    <t>May 22, 2024, 8:39 AM</t>
  </si>
  <si>
    <t>281-706-3262</t>
  </si>
  <si>
    <t>Apr 17, 2024, 9:14 AM</t>
  </si>
  <si>
    <t>Jun 19, 2024, 5:47 PM</t>
  </si>
  <si>
    <t>469-802-7863</t>
  </si>
  <si>
    <t>Jun 11, 2024, 9:53 AM</t>
  </si>
  <si>
    <t>Horrocks Engineers</t>
  </si>
  <si>
    <t>Taylor Polad</t>
  </si>
  <si>
    <t>taylor.polad@horrocks.com</t>
  </si>
  <si>
    <t>(385)353-2818</t>
  </si>
  <si>
    <t>Jun 26, 2024, 5:22 PM</t>
  </si>
  <si>
    <t>Howard Industries</t>
  </si>
  <si>
    <t>Madalyn Oglesby</t>
  </si>
  <si>
    <t>moglesby@howard-ind.com</t>
  </si>
  <si>
    <t>Jul 24, 2024, 1:10 PM</t>
  </si>
  <si>
    <t>Nicole Richard</t>
  </si>
  <si>
    <t>nicole.richard@howmet.com</t>
  </si>
  <si>
    <t>May 09, 2024, 7:36 AM</t>
  </si>
  <si>
    <t>HP Inc.</t>
  </si>
  <si>
    <t>Riah S Kindle</t>
  </si>
  <si>
    <t>riah.kindle@hp.com</t>
  </si>
  <si>
    <t>H8, H9</t>
  </si>
  <si>
    <t>Aug 05, 2024, 1:02 PM</t>
  </si>
  <si>
    <t>C13, C14</t>
  </si>
  <si>
    <t>Apr 17, 2024, 9:25 AM</t>
  </si>
  <si>
    <t>Apr 17, 2024, 8:30 AM</t>
  </si>
  <si>
    <t>Huntsman Corporation</t>
  </si>
  <si>
    <t>Colin MItchell</t>
  </si>
  <si>
    <t>Jul 29, 2024, 3:08 PM</t>
  </si>
  <si>
    <t>Alex Poole</t>
  </si>
  <si>
    <t>apoole@eoh-inc.com</t>
  </si>
  <si>
    <t>Jul 25, 2024, 5:02 PM</t>
  </si>
  <si>
    <t>Jacob Smalts</t>
  </si>
  <si>
    <t>jsmalts@us.ibm.com</t>
  </si>
  <si>
    <t>Aug 22, 2024, 1:27 PM</t>
  </si>
  <si>
    <t>208-526-6748</t>
  </si>
  <si>
    <t>Jun 12, 2024, 11:20 AM</t>
  </si>
  <si>
    <t>713-462-3178</t>
  </si>
  <si>
    <t>Apr 18, 2024, 4:37 PM</t>
  </si>
  <si>
    <t>Apr 17, 2024, 9:22 AM</t>
  </si>
  <si>
    <t>309-430-6564</t>
  </si>
  <si>
    <t>Apr 22, 2024, 9:48 AM</t>
  </si>
  <si>
    <t>j.loyo@hotmail.com</t>
  </si>
  <si>
    <t>(346) 365-6162</t>
  </si>
  <si>
    <t>LorraineH.Black@INEOS.com</t>
  </si>
  <si>
    <t>281-535-4325</t>
  </si>
  <si>
    <t>N3, N4</t>
  </si>
  <si>
    <t>May 09, 2024, 1:17 PM</t>
  </si>
  <si>
    <t>401-642-1720</t>
  </si>
  <si>
    <t>Apr 18, 2024, 1:13 PM</t>
  </si>
  <si>
    <t>Jul 11, 2024, 11:48 AM</t>
  </si>
  <si>
    <t>Ingersoll Rand Customer Center</t>
  </si>
  <si>
    <t>Paul Cerda</t>
  </si>
  <si>
    <t>PAUL_CERDA@IRCO.COM</t>
  </si>
  <si>
    <t>214-631-9550</t>
  </si>
  <si>
    <t>Aug 09, 2024, 10:38 AM</t>
  </si>
  <si>
    <t>Innovative IDM</t>
  </si>
  <si>
    <t>Kelly Williams</t>
  </si>
  <si>
    <t>kelly.williams@iidm.com</t>
  </si>
  <si>
    <t>(214) 256-7604</t>
  </si>
  <si>
    <t>Apr 24, 2024, 1:49 PM</t>
  </si>
  <si>
    <t>Derek Bowen</t>
  </si>
  <si>
    <t>derek.bowen@ips.us</t>
  </si>
  <si>
    <t>Intelligent Engineering Services, L</t>
  </si>
  <si>
    <t>Apr 25, 2024, 10:25 AM</t>
  </si>
  <si>
    <t>International Paper</t>
  </si>
  <si>
    <t>Abigail Lutz</t>
  </si>
  <si>
    <t>Abigail.Lutz@ipaper.com</t>
  </si>
  <si>
    <t>Jun 26, 2024, 2:21 PM</t>
  </si>
  <si>
    <t>iteris.com</t>
  </si>
  <si>
    <t>Ginny Acosta</t>
  </si>
  <si>
    <t>gmt2@iteris.com</t>
  </si>
  <si>
    <t>714-724-7049</t>
  </si>
  <si>
    <t>B8</t>
  </si>
  <si>
    <t>May 23, 2024, 5:29 PM</t>
  </si>
  <si>
    <t>J Michael Design and Construction</t>
  </si>
  <si>
    <t>Rachel Crawford</t>
  </si>
  <si>
    <t>rc.jmdesign@gmail.com</t>
  </si>
  <si>
    <t>Aug 07, 2024, 11:18 AM</t>
  </si>
  <si>
    <t>ashley.landis@jacobs.com</t>
  </si>
  <si>
    <t>720-286-6253</t>
  </si>
  <si>
    <t>Jun 24, 2024, 3:45 PM</t>
  </si>
  <si>
    <t>Jacobs - Aerospace</t>
  </si>
  <si>
    <t>heather.hancock@jacobs.com</t>
  </si>
  <si>
    <t>281-461-5794</t>
  </si>
  <si>
    <t>Jun 27, 2024, 3:39 PM</t>
  </si>
  <si>
    <t>Apr 17, 2024, 2:48 PM</t>
  </si>
  <si>
    <t>Mitchell Pivovar</t>
  </si>
  <si>
    <t>mitchell.pivovar@jedunn.com</t>
  </si>
  <si>
    <t>Apr 26, 2024, 5:08 PM</t>
  </si>
  <si>
    <t>Johnson, Mirmiran &amp; Thompson (JMT)</t>
  </si>
  <si>
    <t>Evelyn Patterson</t>
  </si>
  <si>
    <t>epatterson@jmt.com</t>
  </si>
  <si>
    <t>Apr 17, 2024, 10:29 AM</t>
  </si>
  <si>
    <t>Jul 19, 2024, 11:05 AM</t>
  </si>
  <si>
    <t>K Friese + Associates</t>
  </si>
  <si>
    <t>Elizabeth Turner</t>
  </si>
  <si>
    <t>eturner@kfriese.com</t>
  </si>
  <si>
    <t>(512) 338-1704</t>
  </si>
  <si>
    <t>Apr 17, 2024, 12:46 PM</t>
  </si>
  <si>
    <t>Kaneka North America, LLC</t>
  </si>
  <si>
    <t>Melissa</t>
  </si>
  <si>
    <t>melissa.bowman@kaneka.com</t>
  </si>
  <si>
    <t>Aug 01, 2024, 3:31 PM</t>
  </si>
  <si>
    <t>KBR (Kellogg Brown &amp; Root )</t>
  </si>
  <si>
    <t>Autumn Rose Townsend</t>
  </si>
  <si>
    <t>autumn.townsend@us.kbr.com</t>
  </si>
  <si>
    <t>Jul 15, 2024, 9:29 AM</t>
  </si>
  <si>
    <t>May 17, 2024, 2:48 PM</t>
  </si>
  <si>
    <t>KenMor Electric</t>
  </si>
  <si>
    <t>Marija Janjusevic</t>
  </si>
  <si>
    <t>hrkenmor@csg.heicocompanies.com</t>
  </si>
  <si>
    <t>Aug 01, 2024, 4:06 PM</t>
  </si>
  <si>
    <t>Apr 25, 2024, 2:44 PM</t>
  </si>
  <si>
    <t>Will Brown</t>
  </si>
  <si>
    <t>William.Brown@kdrp.com</t>
  </si>
  <si>
    <t>G12, G13</t>
  </si>
  <si>
    <t>Jun 27, 2024, 10:47 AM</t>
  </si>
  <si>
    <t>Jul 02, 2024, 11:48 AM</t>
  </si>
  <si>
    <t>Logan Fowler</t>
  </si>
  <si>
    <t>lfowler@kfm-llc.com</t>
  </si>
  <si>
    <t>Apr 23, 2024, 2:47 PM</t>
  </si>
  <si>
    <t>Apr 17, 2024, 10:44 AM</t>
  </si>
  <si>
    <t>James T Borom</t>
  </si>
  <si>
    <t>jamestyreeborom@gmail.com</t>
  </si>
  <si>
    <t>E4, E5</t>
  </si>
  <si>
    <t>May 23, 2024, 3:28 PM</t>
  </si>
  <si>
    <t>H27, H28, H29</t>
  </si>
  <si>
    <t>Apr 17, 2024, 8:35 AM</t>
  </si>
  <si>
    <t>713-420-3143</t>
  </si>
  <si>
    <t>F27, F28</t>
  </si>
  <si>
    <t>Jun 12, 2024, 3:00 PM</t>
  </si>
  <si>
    <t>Apr 17, 2024, 5:06 PM</t>
  </si>
  <si>
    <t>Apr 17, 2024, 8:43 AM</t>
  </si>
  <si>
    <t>E6, E7</t>
  </si>
  <si>
    <t>Jul 10, 2024, 9:29 AM</t>
  </si>
  <si>
    <t>Apr 18, 2024, 11:42 AM</t>
  </si>
  <si>
    <t>Kongsberg Digital, Inc.</t>
  </si>
  <si>
    <t>Shirley Quiroa</t>
  </si>
  <si>
    <t>shirley.quiroa@kongsbergdigital.com</t>
  </si>
  <si>
    <t>713-808-6800</t>
  </si>
  <si>
    <t>Apr 17, 2024, 8:26 AM</t>
  </si>
  <si>
    <t>Kratos Defense and Security Solutions</t>
  </si>
  <si>
    <t>Jeffrey Cole</t>
  </si>
  <si>
    <t>jeffrey.cole@kratosdefense.com</t>
  </si>
  <si>
    <t>(205) 908-7488</t>
  </si>
  <si>
    <t>Q5, Q6</t>
  </si>
  <si>
    <t>Apr 17, 2024, 10:12 AM</t>
  </si>
  <si>
    <t>KSA Engineers, Inc.</t>
  </si>
  <si>
    <t>Keri Pack</t>
  </si>
  <si>
    <t>kpack@ksaeng.com</t>
  </si>
  <si>
    <t>972 542 2995</t>
  </si>
  <si>
    <t>Apr 18, 2024, 1:02 PM</t>
  </si>
  <si>
    <t>Jonathan Fleming</t>
  </si>
  <si>
    <t>N12, N13</t>
  </si>
  <si>
    <t>Apr 17, 2024, 8:42 AM</t>
  </si>
  <si>
    <t>Kubota Tractor Corporation</t>
  </si>
  <si>
    <t>Brittany Patton</t>
  </si>
  <si>
    <t>brittany.patton@kubota.com</t>
  </si>
  <si>
    <t>E11, E12</t>
  </si>
  <si>
    <t>Jul 10, 2024, 9:59 AM</t>
  </si>
  <si>
    <t>Kuraray America Inc.</t>
  </si>
  <si>
    <t>LaJasmine Fitch</t>
  </si>
  <si>
    <t>lajasmine.fitch@kuraray.com</t>
  </si>
  <si>
    <t>Jul 30, 2024, 6:39 PM</t>
  </si>
  <si>
    <t>O5, O6, O7</t>
  </si>
  <si>
    <t>Apr 30, 2024, 3:14 PM</t>
  </si>
  <si>
    <t>Apr 23, 2024, 9:27 AM</t>
  </si>
  <si>
    <t>Froylan H Silva</t>
  </si>
  <si>
    <t>froy.silva@lcra.org</t>
  </si>
  <si>
    <t>May 08, 2024, 10:36 AM</t>
  </si>
  <si>
    <t>Lennox International - Richardson, TX</t>
  </si>
  <si>
    <t>Rebecca Leigh Weathers</t>
  </si>
  <si>
    <t>rebecca.weathers@lennox.com</t>
  </si>
  <si>
    <t>Jul 30, 2024, 3:05 PM</t>
  </si>
  <si>
    <t>Amanda Vadney</t>
  </si>
  <si>
    <t>amanda.vadney@drs.com</t>
  </si>
  <si>
    <t>Jul 30, 2024, 6:13 PM</t>
  </si>
  <si>
    <t>Lewis Energy Group</t>
  </si>
  <si>
    <t>Julian Barajas</t>
  </si>
  <si>
    <t>jbarajas@lewisenergy.com</t>
  </si>
  <si>
    <t>(210 )384-5419</t>
  </si>
  <si>
    <t>May 10, 2024, 2:11 PM</t>
  </si>
  <si>
    <t>Apr 17, 2024, 9:08 AM</t>
  </si>
  <si>
    <t>Lilly</t>
  </si>
  <si>
    <t>Frances Linn Gonzalez</t>
  </si>
  <si>
    <t>fgonzalez@lilly.com</t>
  </si>
  <si>
    <t>L1, L2</t>
  </si>
  <si>
    <t>May 01, 2024, 2:23 PM</t>
  </si>
  <si>
    <t>Apr 17, 2024, 12:44 PM</t>
  </si>
  <si>
    <t>Lincoln Electric</t>
  </si>
  <si>
    <t>Iyonna Griggs</t>
  </si>
  <si>
    <t>iyonna_griggs@lincolnelectric.com</t>
  </si>
  <si>
    <t>Jun 19, 2024, 3:29 PM</t>
  </si>
  <si>
    <t>Linde</t>
  </si>
  <si>
    <t>jelisa.jones@linde.com</t>
  </si>
  <si>
    <t>281-450-7281</t>
  </si>
  <si>
    <t>Jul 01, 2024, 2:55 PM</t>
  </si>
  <si>
    <t>Linde Group</t>
  </si>
  <si>
    <t>Priscilla Lopez</t>
  </si>
  <si>
    <t>priscilla.lopez@linde.com</t>
  </si>
  <si>
    <t>281-203-3211</t>
  </si>
  <si>
    <t>Jul 08, 2024, 8:25 AM</t>
  </si>
  <si>
    <t>512-357-8678</t>
  </si>
  <si>
    <t>K18, K19</t>
  </si>
  <si>
    <t>Apr 17, 2024, 8:21 AM</t>
  </si>
  <si>
    <t>May 07, 2024, 10:08 AM</t>
  </si>
  <si>
    <t>401-863-4248</t>
  </si>
  <si>
    <t>P29, P30</t>
  </si>
  <si>
    <t>Jun 20, 2024, 11:54 AM</t>
  </si>
  <si>
    <t>Barbara Zamora</t>
  </si>
  <si>
    <t>bnzamora@lan-inc.com</t>
  </si>
  <si>
    <t>May 29, 2024, 10:24 AM</t>
  </si>
  <si>
    <t>sarah porter</t>
  </si>
  <si>
    <t>Jun 04, 2024, 9:27 AM</t>
  </si>
  <si>
    <t>Jul 29, 2024, 4:19 PM</t>
  </si>
  <si>
    <t>Mary Kay Yu</t>
  </si>
  <si>
    <t>marykay.yu@lty-engineers.com</t>
  </si>
  <si>
    <t>Apr 17, 2024, 9:24 AM</t>
  </si>
  <si>
    <t>Jul 03, 2024, 7:32 AM</t>
  </si>
  <si>
    <t>Lynntech, Inc.</t>
  </si>
  <si>
    <t>Rebecca L Berger</t>
  </si>
  <si>
    <t>rebecca.berger@lynntech.com</t>
  </si>
  <si>
    <t>(979) 764-2287</t>
  </si>
  <si>
    <t>Apr 17, 2024, 8:25 AM</t>
  </si>
  <si>
    <t>David Jordan Smith</t>
  </si>
  <si>
    <t>david.smith2@lyondellbasell.com</t>
  </si>
  <si>
    <t>May 28, 2024, 2:26 PM</t>
  </si>
  <si>
    <t>M&amp;S Engineering</t>
  </si>
  <si>
    <t>Bret A Martinets</t>
  </si>
  <si>
    <t>(830) 228-3208</t>
  </si>
  <si>
    <t>Jul 29, 2024, 11:22 AM</t>
  </si>
  <si>
    <t>M.W. Cude Engineers, LLC</t>
  </si>
  <si>
    <t>esaucedo@cudeengineers.com</t>
  </si>
  <si>
    <t>210-681-2951</t>
  </si>
  <si>
    <t>Hillarynicole@yahoo.com</t>
  </si>
  <si>
    <t>Jul 31, 2024, 2:09 PM</t>
  </si>
  <si>
    <t>Jul 11, 2024, 2:30 PM</t>
  </si>
  <si>
    <t>May 29, 2024, 8:49 AM</t>
  </si>
  <si>
    <t>L17, L18</t>
  </si>
  <si>
    <t>Apr 17, 2024, 8:47 AM</t>
  </si>
  <si>
    <t>Abby Hosterman</t>
  </si>
  <si>
    <t>E22, E23</t>
  </si>
  <si>
    <t>713-333-0147</t>
  </si>
  <si>
    <t>Jun 14, 2024, 10:06 AM</t>
  </si>
  <si>
    <t>(979) 845-2102</t>
  </si>
  <si>
    <t>Jul 18, 2024, 11:29 AM</t>
  </si>
  <si>
    <t>Mays Engineering MBA Program</t>
  </si>
  <si>
    <t>Katie Stober</t>
  </si>
  <si>
    <t>kstober@mays.tamu.edu</t>
  </si>
  <si>
    <t>979-845-4714</t>
  </si>
  <si>
    <t>May 03, 2024, 11:04 AM</t>
  </si>
  <si>
    <t>May 08, 2024, 12:57 PM</t>
  </si>
  <si>
    <t>Medpace (Gold Partner)</t>
  </si>
  <si>
    <t>Hannah Wilson</t>
  </si>
  <si>
    <t>h.wilson1@medpace.com</t>
  </si>
  <si>
    <t>513-579-9911</t>
  </si>
  <si>
    <t>G16, G17</t>
  </si>
  <si>
    <t>Apr 29, 2024, 8:54 AM</t>
  </si>
  <si>
    <t>MetOx International</t>
  </si>
  <si>
    <t>JP Fenn</t>
  </si>
  <si>
    <t>jp.fenn@metoxtech.com</t>
  </si>
  <si>
    <t>832 245 9488</t>
  </si>
  <si>
    <t>Aug 01, 2024, 6:12 PM</t>
  </si>
  <si>
    <t>Mewbourne Oil Company</t>
  </si>
  <si>
    <t>Kelsey Helt</t>
  </si>
  <si>
    <t>kelsey.helt@mewbourne.com</t>
  </si>
  <si>
    <t>903-939-7883</t>
  </si>
  <si>
    <t>May 02, 2024, 9:12 AM</t>
  </si>
  <si>
    <t>Michael Baker International</t>
  </si>
  <si>
    <t>Marisela Murillo</t>
  </si>
  <si>
    <t>marisela.murillo@mbakerintl.com</t>
  </si>
  <si>
    <t>210-408-3730</t>
  </si>
  <si>
    <t>N21</t>
  </si>
  <si>
    <t>May 14, 2024, 2:44 PM</t>
  </si>
  <si>
    <t>208-492-9109</t>
  </si>
  <si>
    <t>May 03, 2024, 10:59 AM</t>
  </si>
  <si>
    <t>D11, D12</t>
  </si>
  <si>
    <t>May 31, 2024, 1:55 PM</t>
  </si>
  <si>
    <t>H24, H25, H26</t>
  </si>
  <si>
    <t>Mobile Communications America Inc.</t>
  </si>
  <si>
    <t>Michael Golubski</t>
  </si>
  <si>
    <t>michaelgolubski@callmc.com</t>
  </si>
  <si>
    <t>Jun 12, 2024, 12:04 PM</t>
  </si>
  <si>
    <t>Modality Solutions LLC</t>
  </si>
  <si>
    <t>Robert Battista</t>
  </si>
  <si>
    <t>rbattista@modality-solutions.com</t>
  </si>
  <si>
    <t>Jul 23, 2024, 12:25 PM</t>
  </si>
  <si>
    <t>Monolithic Power Systems, Inc.</t>
  </si>
  <si>
    <t>Lucas M Tollini</t>
  </si>
  <si>
    <t>lucas.tollini@monolithicpower.com</t>
  </si>
  <si>
    <t>408 826 0827</t>
  </si>
  <si>
    <t>Aug 02, 2024, 3:58 PM</t>
  </si>
  <si>
    <t>Monument Chemical</t>
  </si>
  <si>
    <t>Chelete Burnett</t>
  </si>
  <si>
    <t>cburnett@monumentchemical.com</t>
  </si>
  <si>
    <t>P8, P9</t>
  </si>
  <si>
    <t>Jul 01, 2024, 4:48 PM</t>
  </si>
  <si>
    <t>Morrow Energy</t>
  </si>
  <si>
    <t>Nicole Morrison</t>
  </si>
  <si>
    <t>nmorrison@morrowenergy.com</t>
  </si>
  <si>
    <t>Jun 06, 2024, 12:44 PM</t>
  </si>
  <si>
    <t>763-522-2100</t>
  </si>
  <si>
    <t>(713) 308-0693</t>
  </si>
  <si>
    <t>N16, N17</t>
  </si>
  <si>
    <t>Apr 19, 2024, 10:37 AM</t>
  </si>
  <si>
    <t>Jul 09, 2024, 9:39 AM</t>
  </si>
  <si>
    <t>May 08, 2024, 10:40 AM</t>
  </si>
  <si>
    <t>National Geospatial-Intelligence Agency (NGA)</t>
  </si>
  <si>
    <t>Jerretta Fairley</t>
  </si>
  <si>
    <t>Jerretta.N.Fairley@nga.mil</t>
  </si>
  <si>
    <t>571-558-8117</t>
  </si>
  <si>
    <t>Aug 15, 2024, 10:28 AM</t>
  </si>
  <si>
    <t>Melissa O'Neil</t>
  </si>
  <si>
    <t>melissa.oneil@caci.com</t>
  </si>
  <si>
    <t>410-782-8192</t>
  </si>
  <si>
    <t>Jul 22, 2024, 2:41 PM</t>
  </si>
  <si>
    <t>NAVAIR Fleet Readiness Center East</t>
  </si>
  <si>
    <t>Jessica Hinson</t>
  </si>
  <si>
    <t>jessica.t.hinson.civ@us.navy.mil</t>
  </si>
  <si>
    <t>252-241-4142</t>
  </si>
  <si>
    <t>May 29, 2024, 3:53 PM</t>
  </si>
  <si>
    <t>Naval Air Warfare Center, Weapons Division</t>
  </si>
  <si>
    <t>Dyan Frohlich</t>
  </si>
  <si>
    <t>dyanruth.l.frohlich.civ@us.navy.mil</t>
  </si>
  <si>
    <t>760-384-8452</t>
  </si>
  <si>
    <t>Jun 04, 2024, 4:04 PM</t>
  </si>
  <si>
    <t>208-243-2945</t>
  </si>
  <si>
    <t>Jun 26, 2024, 2:07 PM</t>
  </si>
  <si>
    <t>Apr 17, 2024, 9:46 AM</t>
  </si>
  <si>
    <t>Naval Surface Warfare Center Panama City Division</t>
  </si>
  <si>
    <t>Eduardo Rivera</t>
  </si>
  <si>
    <t>nswcpcd_recruiting.fct@navy.mil</t>
  </si>
  <si>
    <t>850-890-5687</t>
  </si>
  <si>
    <t>Jul 22, 2024, 11:50 AM</t>
  </si>
  <si>
    <t>Navistar</t>
  </si>
  <si>
    <t>Edgar Oviedo</t>
  </si>
  <si>
    <t>edgar.oviedo@navistar.com</t>
  </si>
  <si>
    <t>(713) 480-9693</t>
  </si>
  <si>
    <t>M29</t>
  </si>
  <si>
    <t>Apr 17, 2024, 10:05 AM</t>
  </si>
  <si>
    <t>Jul 15, 2024, 12:46 PM</t>
  </si>
  <si>
    <t>NexantECA LLC</t>
  </si>
  <si>
    <t>Ryan Perry</t>
  </si>
  <si>
    <t>rpery@nexanteca.com</t>
  </si>
  <si>
    <t>Jul 12, 2024, 9:46 AM</t>
  </si>
  <si>
    <t>757-396-8925</t>
  </si>
  <si>
    <t>Jul 19, 2024, 8:23 AM</t>
  </si>
  <si>
    <t>Kristi Noble</t>
  </si>
  <si>
    <t>kristi.noble@nouryon.com</t>
  </si>
  <si>
    <t>Jul 17, 2024, 4:50 PM</t>
  </si>
  <si>
    <t>713-419-3778</t>
  </si>
  <si>
    <t>K24, K25</t>
  </si>
  <si>
    <t>Apr 17, 2024, 2:40 PM</t>
  </si>
  <si>
    <t>NRG Energy</t>
  </si>
  <si>
    <t>Katherine Petersen</t>
  </si>
  <si>
    <t>katherine.petersen@vivint.com</t>
  </si>
  <si>
    <t>Jul 15, 2024, 5:28 PM</t>
  </si>
  <si>
    <t>Jacob Dorsett</t>
  </si>
  <si>
    <t>jacob.dorsett@nucor.com</t>
  </si>
  <si>
    <t>(903) 626-1601</t>
  </si>
  <si>
    <t>May 02, 2024, 8:00 AM</t>
  </si>
  <si>
    <t>Jul 01, 2024, 3:56 PM</t>
  </si>
  <si>
    <t>Baley Hutchinson</t>
  </si>
  <si>
    <t>baley.hutchinson@nxp.com</t>
  </si>
  <si>
    <t>512-965-8280</t>
  </si>
  <si>
    <t>Apr 17, 2024, 9:50 AM</t>
  </si>
  <si>
    <t>O. Trevino Construction</t>
  </si>
  <si>
    <t>Robert Copeland</t>
  </si>
  <si>
    <t>robert@otconst.com</t>
  </si>
  <si>
    <t>817-430-2410</t>
  </si>
  <si>
    <t>Apr 22, 2024, 9:42 AM</t>
  </si>
  <si>
    <t>Apr 26, 2024, 12:01 PM</t>
  </si>
  <si>
    <t>May 01, 2024, 7:38 AM</t>
  </si>
  <si>
    <t>I27, I28</t>
  </si>
  <si>
    <t>Apr 17, 2024, 9:07 AM</t>
  </si>
  <si>
    <t>Opportune</t>
  </si>
  <si>
    <t>713-237-2578</t>
  </si>
  <si>
    <t>Aug 15, 2024, 5:15 PM</t>
  </si>
  <si>
    <t>Apr 17, 2024, 8:33 AM</t>
  </si>
  <si>
    <t>OTHON, Inc.</t>
  </si>
  <si>
    <t>Sheetal Koparde</t>
  </si>
  <si>
    <t>skoparde@othon.com</t>
  </si>
  <si>
    <t>Aug 08, 2024, 12:20 PM</t>
  </si>
  <si>
    <t>Nella Stanic</t>
  </si>
  <si>
    <t>nella.stanic@ovintiv.com</t>
  </si>
  <si>
    <t>403-645-2618</t>
  </si>
  <si>
    <t>Apr 29, 2024, 2:38 PM</t>
  </si>
  <si>
    <t>Rochelle Robinson</t>
  </si>
  <si>
    <t>rochelle.robinson@owenscorning.com</t>
  </si>
  <si>
    <t>757 353 5163</t>
  </si>
  <si>
    <t>Jun 10, 2024, 3:51 PM</t>
  </si>
  <si>
    <t>Taylor Davis</t>
  </si>
  <si>
    <t>713 366 5951</t>
  </si>
  <si>
    <t>Apr 17, 2024, 3:03 PM</t>
  </si>
  <si>
    <t>D4, D5, D6, D7</t>
  </si>
  <si>
    <t>Pacifico Power</t>
  </si>
  <si>
    <t>Teresa M Isensee</t>
  </si>
  <si>
    <t>teresa@pacificoenergy.com</t>
  </si>
  <si>
    <t>O10, O11</t>
  </si>
  <si>
    <t>Aug 02, 2024, 1:37 PM</t>
  </si>
  <si>
    <t>Packaging Corporation of America (PCA)</t>
  </si>
  <si>
    <t>Jessie Moore</t>
  </si>
  <si>
    <t>jessiemoore@packagingcorp.com</t>
  </si>
  <si>
    <t>Jun 10, 2024, 1:37 PM</t>
  </si>
  <si>
    <t>G28, G29, G30</t>
  </si>
  <si>
    <t>May 08, 2024, 9:11 AM</t>
  </si>
  <si>
    <t>Pariveda Solutions</t>
  </si>
  <si>
    <t>Kendall Compton</t>
  </si>
  <si>
    <t>214-777-4609</t>
  </si>
  <si>
    <t>Jul 29, 2024, 10:14 AM</t>
  </si>
  <si>
    <t>Parker Hannifin Corporation</t>
  </si>
  <si>
    <t>216-896-2152</t>
  </si>
  <si>
    <t>I19, I20</t>
  </si>
  <si>
    <t>Apr 24, 2024, 1:17 PM</t>
  </si>
  <si>
    <t>Parkhill</t>
  </si>
  <si>
    <t>Katie Sechrist</t>
  </si>
  <si>
    <t>ksechrist@parkhill.com</t>
  </si>
  <si>
    <t>May 07, 2024, 6:46 PM</t>
  </si>
  <si>
    <t>Adam Trimble</t>
  </si>
  <si>
    <t>adam.trimble@patenergy.com</t>
  </si>
  <si>
    <t>832-326-6784</t>
  </si>
  <si>
    <t>I1, I2, I3, I4, I5</t>
  </si>
  <si>
    <t>248-364-0825</t>
  </si>
  <si>
    <t>Jul 09, 2024, 9:00 AM</t>
  </si>
  <si>
    <t>PCL Industrial Construction Co.</t>
  </si>
  <si>
    <t>Lesa Gibson</t>
  </si>
  <si>
    <t>lygibson@pcl.com</t>
  </si>
  <si>
    <t>May 07, 2024, 12:53 PM</t>
  </si>
  <si>
    <t>PEA Group</t>
  </si>
  <si>
    <t>Anna Fedorenko</t>
  </si>
  <si>
    <t>afedorenko@peagroup.com</t>
  </si>
  <si>
    <t>248.977.2925</t>
  </si>
  <si>
    <t>Apr 17, 2024, 1:41 PM</t>
  </si>
  <si>
    <t>Emily Condara</t>
  </si>
  <si>
    <t>emily.condara@peloton.com</t>
  </si>
  <si>
    <t>Apr 19, 2024, 5:21 PM</t>
  </si>
  <si>
    <t>M8, M9, M10, M11</t>
  </si>
  <si>
    <t>Apr 29, 2024, 12:37 PM</t>
  </si>
  <si>
    <t>Percheron LLC</t>
  </si>
  <si>
    <t>Recruiting Notification</t>
  </si>
  <si>
    <t>recruiting@percheronllc.com</t>
  </si>
  <si>
    <t>May 09, 2024, 4:19 PM</t>
  </si>
  <si>
    <t>Permian Resources</t>
  </si>
  <si>
    <t>Avery Rohor</t>
  </si>
  <si>
    <t>avery.rohr@permianres.com</t>
  </si>
  <si>
    <t>Jun 12, 2024, 12:14 PM</t>
  </si>
  <si>
    <t>Peterbilt Motors Company - Division</t>
  </si>
  <si>
    <t>Heather Ferrer</t>
  </si>
  <si>
    <t>heather.ferrer@paccar.com</t>
  </si>
  <si>
    <t>Apr 17, 2024, 1:48 PM</t>
  </si>
  <si>
    <t>Pfizer Inc.</t>
  </si>
  <si>
    <t>Chelsea D. Thompson</t>
  </si>
  <si>
    <t>chelsea.thompson2@pfizer.com</t>
  </si>
  <si>
    <t>620-654-8076</t>
  </si>
  <si>
    <t>Jul 25, 2024, 3:03 PM</t>
  </si>
  <si>
    <t>Phigenics</t>
  </si>
  <si>
    <t>James Schafer</t>
  </si>
  <si>
    <t>jschafer@phigenics.com</t>
  </si>
  <si>
    <t>Jun 17, 2024, 8:04 PM</t>
  </si>
  <si>
    <t>Tandi.R.Smith@p66.com</t>
  </si>
  <si>
    <t>May 24, 2024, 9:47 AM</t>
  </si>
  <si>
    <t>Phoenix Contact, Inc.</t>
  </si>
  <si>
    <t>Ryann Dunmire</t>
  </si>
  <si>
    <t>rdunmire@phoenixcontact.com</t>
  </si>
  <si>
    <t>717-944-1300</t>
  </si>
  <si>
    <t>May 02, 2024, 11:58 AM</t>
  </si>
  <si>
    <t>Pike Corporation</t>
  </si>
  <si>
    <t>F3, F4</t>
  </si>
  <si>
    <t>May 10, 2024, 7:52 AM</t>
  </si>
  <si>
    <t>POWER Engineers, Inc.</t>
  </si>
  <si>
    <t>May 06, 2024, 1:50 PM</t>
  </si>
  <si>
    <t>Nate Holt</t>
  </si>
  <si>
    <t>nholt@prim.com</t>
  </si>
  <si>
    <t>Jul 11, 2024, 2:46 PM</t>
  </si>
  <si>
    <t>Propetro Services</t>
  </si>
  <si>
    <t>Frank Martinez</t>
  </si>
  <si>
    <t>frank.martinez@propetroservices.com</t>
  </si>
  <si>
    <t>432-556-1620</t>
  </si>
  <si>
    <t>L11, L12</t>
  </si>
  <si>
    <t>Aug 21, 2024, 11:56 AM</t>
  </si>
  <si>
    <t>Jun 13, 2024, 2:44 PM</t>
  </si>
  <si>
    <t>Courtney R Schutte</t>
  </si>
  <si>
    <t>courtney.schutte@qtsdatacenters.com</t>
  </si>
  <si>
    <t>Quest Medical, Inc</t>
  </si>
  <si>
    <t>Shruti Garima</t>
  </si>
  <si>
    <t>sgarima@questmedical.com</t>
  </si>
  <si>
    <t>Apr 17, 2024, 9:29 AM</t>
  </si>
  <si>
    <t>713-353-7300</t>
  </si>
  <si>
    <t>Ragle, Inc.</t>
  </si>
  <si>
    <t>Payton Harp</t>
  </si>
  <si>
    <t>Pharp@ragleinc.com</t>
  </si>
  <si>
    <t>(682) 916-3096</t>
  </si>
  <si>
    <t>Apr 17, 2024, 1:54 PM</t>
  </si>
  <si>
    <t>Rand Group</t>
  </si>
  <si>
    <t>Monica Noriega</t>
  </si>
  <si>
    <t>mnoriega@randgroup.com</t>
  </si>
  <si>
    <t>713.850.0747</t>
  </si>
  <si>
    <t>Aug 09, 2024, 4:40 PM</t>
  </si>
  <si>
    <t>Apr 17, 2024, 11:27 AM</t>
  </si>
  <si>
    <t>Apr 17, 2024, 8:55 AM</t>
  </si>
  <si>
    <t>Apr 17, 2024, 8:51 AM</t>
  </si>
  <si>
    <t>Jul 18, 2024, 3:05 PM</t>
  </si>
  <si>
    <t>RK&amp;K</t>
  </si>
  <si>
    <t>Michael MacArthur</t>
  </si>
  <si>
    <t>mmacarthur@rkk.com</t>
  </si>
  <si>
    <t>984-238-7228</t>
  </si>
  <si>
    <t>May 23, 2024, 2:09 PM</t>
  </si>
  <si>
    <t>RONNY KLINGBEIL</t>
  </si>
  <si>
    <t>RONNY@RLKENGINEERING.COM</t>
  </si>
  <si>
    <t>972-359-1733</t>
  </si>
  <si>
    <t>Aug 19, 2024, 10:19 AM</t>
  </si>
  <si>
    <t>Jun 14, 2024, 8:03 AM</t>
  </si>
  <si>
    <t>Rodriguez Transportation Group</t>
  </si>
  <si>
    <t>Judy A Moreno</t>
  </si>
  <si>
    <t>jmoreno@rtg-texas.com</t>
  </si>
  <si>
    <t>(512) 231-9544</t>
  </si>
  <si>
    <t>ROSEN</t>
  </si>
  <si>
    <t>1-346-764-3844</t>
  </si>
  <si>
    <t>Jun 12, 2024, 11:10 AM</t>
  </si>
  <si>
    <t>Jul 29, 2024, 4:54 PM</t>
  </si>
  <si>
    <t>Aug 13, 2024, 7:57 AM</t>
  </si>
  <si>
    <t>Jun 25, 2024, 4:37 PM</t>
  </si>
  <si>
    <t>P18, P19</t>
  </si>
  <si>
    <t>Apr 19, 2024, 9:30 AM</t>
  </si>
  <si>
    <t>May 23, 2024, 2:56 PM</t>
  </si>
  <si>
    <t>S&amp;B Engineers &amp; Constructors, Ltd.</t>
  </si>
  <si>
    <t>Diamond One-Day: Thursday, September 5th [$4000.00]</t>
  </si>
  <si>
    <t>I16, I17, I18</t>
  </si>
  <si>
    <t>Apr 15, 2024, 9:15 AM</t>
  </si>
  <si>
    <t>Salado Isolation Mining Contractors LLC</t>
  </si>
  <si>
    <t>Blaire Burks</t>
  </si>
  <si>
    <t>blaire.burks@wipp.ws</t>
  </si>
  <si>
    <t>575-628-5814</t>
  </si>
  <si>
    <t>Jul 29, 2024, 2:01 PM</t>
  </si>
  <si>
    <t>SALAS O'BRIEN ENGINEERS, INC.</t>
  </si>
  <si>
    <t>DeRosa</t>
  </si>
  <si>
    <t>john.derosa@salasobrien.com</t>
  </si>
  <si>
    <t>May 09, 2024, 9:23 PM</t>
  </si>
  <si>
    <t>Aug 19, 2024, 12:35 PM</t>
  </si>
  <si>
    <t>jalys.caro@samsung.com</t>
  </si>
  <si>
    <t>512 672 1000</t>
  </si>
  <si>
    <t>May 08, 2024, 11:38 AM</t>
  </si>
  <si>
    <t>Apr 17, 2024, 9:06 AM</t>
  </si>
  <si>
    <t>Savage</t>
  </si>
  <si>
    <t>Paola Robles</t>
  </si>
  <si>
    <t>paolarobles@savageco.com</t>
  </si>
  <si>
    <t>801 438 0868</t>
  </si>
  <si>
    <t>Jul 11, 2024, 4:39 PM</t>
  </si>
  <si>
    <t>803-522-6903</t>
  </si>
  <si>
    <t>Apr 17, 2024, 9:55 AM</t>
  </si>
  <si>
    <t>Savannah River Nuclear Solutions, LLC</t>
  </si>
  <si>
    <t>Kedesha McClary</t>
  </si>
  <si>
    <t>kedesha.mcclary@srs.gov</t>
  </si>
  <si>
    <t>Aug 29, 2024, 12:03 PM</t>
  </si>
  <si>
    <t>Best location possible</t>
  </si>
  <si>
    <t>May 06, 2024, 12:42 PM</t>
  </si>
  <si>
    <t>540-660-1064</t>
  </si>
  <si>
    <t>May 06, 2024, 3:22 PM</t>
  </si>
  <si>
    <t>Jeremy Young, PE</t>
  </si>
  <si>
    <t>ksejaspadilla@schnabel-eng.com</t>
  </si>
  <si>
    <t>Schreiber Foods Inc</t>
  </si>
  <si>
    <t>Jackie Schelter</t>
  </si>
  <si>
    <t>jackie.schelter@schreiberfoods.com</t>
  </si>
  <si>
    <t>920-455-6142</t>
  </si>
  <si>
    <t>Jul 25, 2024, 4:06 PM</t>
  </si>
  <si>
    <t>281-335-2030</t>
  </si>
  <si>
    <t>Apr 19, 2024, 7:16 AM</t>
  </si>
  <si>
    <t>SEL INC</t>
  </si>
  <si>
    <t>Kelsey Cummings</t>
  </si>
  <si>
    <t>kelsey_cummings@selinc.com</t>
  </si>
  <si>
    <t>Jul 29, 2024, 1:33 PM</t>
  </si>
  <si>
    <t>(830) 280-0741</t>
  </si>
  <si>
    <t>Apr 17, 2024, 10:51 AM</t>
  </si>
  <si>
    <t>Kelly J Romano</t>
  </si>
  <si>
    <t>k.romano@sescocement.com</t>
  </si>
  <si>
    <t>832-206-1793</t>
  </si>
  <si>
    <t>May 09, 2024, 5:09 PM</t>
  </si>
  <si>
    <t>Aug 21, 2024, 7:46 PM</t>
  </si>
  <si>
    <t>Shell USA, Inc.</t>
  </si>
  <si>
    <t>Brian Wilks</t>
  </si>
  <si>
    <t>brian.wilks@shell.com</t>
  </si>
  <si>
    <t>May 15, 2024, 8:07 AM</t>
  </si>
  <si>
    <t>Apr 17, 2024, 8:28 AM</t>
  </si>
  <si>
    <t>Shimmick Construction</t>
  </si>
  <si>
    <t>Charles Jackson</t>
  </si>
  <si>
    <t>charles.jackson@shimmick.com</t>
  </si>
  <si>
    <t>Apr 17, 2024, 8:10 PM</t>
  </si>
  <si>
    <t>SI GROUP, INC.</t>
  </si>
  <si>
    <t>Cathleen Smith</t>
  </si>
  <si>
    <t>cathleen.smith@siigroup.com</t>
  </si>
  <si>
    <t>518-369-9800</t>
  </si>
  <si>
    <t>Jun 06, 2024, 10:35 AM</t>
  </si>
  <si>
    <t>Jul 25, 2024, 9:13 AM</t>
  </si>
  <si>
    <t>Victoria Gemignani</t>
  </si>
  <si>
    <t>victoria.gemignani@siemens.com</t>
  </si>
  <si>
    <t>Jul 10, 2024, 11:24 AM</t>
  </si>
  <si>
    <t>Will Cates</t>
  </si>
  <si>
    <t>will.cates@siemens-energy.com</t>
  </si>
  <si>
    <t>346-205-1087</t>
  </si>
  <si>
    <t>Jul 18, 2024, 11:40 AM</t>
  </si>
  <si>
    <t>Patty Kelley</t>
  </si>
  <si>
    <t>pkelley@spsilica.com</t>
  </si>
  <si>
    <t>May 29, 2024, 3:49 PM</t>
  </si>
  <si>
    <t>Silicon Labs</t>
  </si>
  <si>
    <t>Matt Alspaugh</t>
  </si>
  <si>
    <t>matt.alspaugh@silabs.com</t>
  </si>
  <si>
    <t>Same as above</t>
  </si>
  <si>
    <t>May 29, 2024, 1:52 PM</t>
  </si>
  <si>
    <t>dmjadwisiak@gmail.com</t>
  </si>
  <si>
    <t>May 09, 2024, 1:51 PM</t>
  </si>
  <si>
    <t>L24, L25, L26</t>
  </si>
  <si>
    <t>Apr 24, 2024, 8:30 AM</t>
  </si>
  <si>
    <t>ldiedrich@sm-energy.com</t>
  </si>
  <si>
    <t>720-448-2791</t>
  </si>
  <si>
    <t>Apr 17, 2024, 9:41 AM</t>
  </si>
  <si>
    <t>615708-7274</t>
  </si>
  <si>
    <t>Jun 28, 2024, 2:18 PM</t>
  </si>
  <si>
    <t>Solar Turbines , Inc.</t>
  </si>
  <si>
    <t>Alessandro Saglia</t>
  </si>
  <si>
    <t>alessandro.saglia@solarturbines.com</t>
  </si>
  <si>
    <t>619-544-5854</t>
  </si>
  <si>
    <t>Jul 26, 2024, 3:23 PM</t>
  </si>
  <si>
    <t>843-309-4080</t>
  </si>
  <si>
    <t>Jul 11, 2024, 12:40 PM</t>
  </si>
  <si>
    <t>Southwest Power Pool</t>
  </si>
  <si>
    <t>Bailey McManus</t>
  </si>
  <si>
    <t>bmcmanus@spp.org</t>
  </si>
  <si>
    <t>Jun 28, 2024, 10:47 AM</t>
  </si>
  <si>
    <t>Apr 18, 2024, 4:07 PM</t>
  </si>
  <si>
    <t>STEPHEN AYRES</t>
  </si>
  <si>
    <t>Apr 17, 2024, 10:45 AM</t>
  </si>
  <si>
    <t>Splunk</t>
  </si>
  <si>
    <t>Natasha Dones</t>
  </si>
  <si>
    <t>ndones@splunk.com</t>
  </si>
  <si>
    <t>Aug 07, 2024, 7:27 AM</t>
  </si>
  <si>
    <t>SSOE Group</t>
  </si>
  <si>
    <t>Terrance S. Lockett</t>
  </si>
  <si>
    <t>tlockett@ssoe.com</t>
  </si>
  <si>
    <t>Jun 10, 2024, 9:17 AM</t>
  </si>
  <si>
    <t>Stanley Consultants</t>
  </si>
  <si>
    <t>Kim Sager</t>
  </si>
  <si>
    <t>sagerkim@stanleygroup.com</t>
  </si>
  <si>
    <t>303 925 8303</t>
  </si>
  <si>
    <t>near front door</t>
  </si>
  <si>
    <t>May 15, 2024, 5:21 PM</t>
  </si>
  <si>
    <t>Evelyn Lin</t>
  </si>
  <si>
    <t>State Farm Insurance</t>
  </si>
  <si>
    <t>Jul 22, 2024, 11:01 AM</t>
  </si>
  <si>
    <t>Steger Bizzell</t>
  </si>
  <si>
    <t>STgenetics</t>
  </si>
  <si>
    <t>Clayton Robinson</t>
  </si>
  <si>
    <t>clayton.robinson@stgen.com</t>
  </si>
  <si>
    <t>281-546-8847</t>
  </si>
  <si>
    <t>Aug 05, 2024, 10:47 AM</t>
  </si>
  <si>
    <t>Marisa I Willmore</t>
  </si>
  <si>
    <t>mwillmore@stress.com</t>
  </si>
  <si>
    <t>281-571-4031</t>
  </si>
  <si>
    <t>Aug 12, 2024, 7:54 AM</t>
  </si>
  <si>
    <t>Sam Terkelsen</t>
  </si>
  <si>
    <t>sam.terkelsen@stvinc.com</t>
  </si>
  <si>
    <t>May 13, 2024, 10:18 AM</t>
  </si>
  <si>
    <t>I21, I22</t>
  </si>
  <si>
    <t>Apr 17, 2024, 8:41 AM</t>
  </si>
  <si>
    <t>Jul 08, 2024, 9:41 AM</t>
  </si>
  <si>
    <t>Tricia Landers</t>
  </si>
  <si>
    <t>tricia.landers@synchrogrid.com</t>
  </si>
  <si>
    <t>May 20, 2024, 5:21 PM</t>
  </si>
  <si>
    <t>Synopsys, Inc.</t>
  </si>
  <si>
    <t>Zoe Kouretas</t>
  </si>
  <si>
    <t>zoek@synopsys.com</t>
  </si>
  <si>
    <t>(408) 242-4616</t>
  </si>
  <si>
    <t>Jul 09, 2024, 2:20 PM</t>
  </si>
  <si>
    <t>Tallgrass Energy</t>
  </si>
  <si>
    <t>(432)556.7882</t>
  </si>
  <si>
    <t>Jul 10, 2024, 5:06 PM</t>
  </si>
  <si>
    <t>TAMU Mays MS Business</t>
  </si>
  <si>
    <t>Deborah K Mann</t>
  </si>
  <si>
    <t>debkmann@tamu.edu</t>
  </si>
  <si>
    <t>Aug 03, 2024, 11:25 PM</t>
  </si>
  <si>
    <t>TAMU Military Medicine</t>
  </si>
  <si>
    <t>Rebecca Callaway</t>
  </si>
  <si>
    <t>C28</t>
  </si>
  <si>
    <t>Hope Lynne Barnes</t>
  </si>
  <si>
    <t>hope.barnes@tanium.com</t>
  </si>
  <si>
    <t>May 16, 2024, 12:23 PM</t>
  </si>
  <si>
    <t>Sara Mase</t>
  </si>
  <si>
    <t>smase@targaresources.com</t>
  </si>
  <si>
    <t>713-584-5517</t>
  </si>
  <si>
    <t>TC Energy (Silver Partner)</t>
  </si>
  <si>
    <t>1-5879330988</t>
  </si>
  <si>
    <t>Apr 17, 2024, 9:12 AM</t>
  </si>
  <si>
    <t>rachael.hamer@ten.com</t>
  </si>
  <si>
    <t>Jul 29, 2024, 2:57 PM</t>
  </si>
  <si>
    <t>Jun 04, 2024, 1:53 PM</t>
  </si>
  <si>
    <t>469/676-8402</t>
  </si>
  <si>
    <t>G20, G21</t>
  </si>
  <si>
    <t>Jul 02, 2024, 11:36 AM</t>
  </si>
  <si>
    <t>Aug 26, 2024, 10:35 AM</t>
  </si>
  <si>
    <t>Apr 17, 2024, 7:04 PM</t>
  </si>
  <si>
    <t>Apr 17, 2024, 12:30 PM</t>
  </si>
  <si>
    <t>May 02, 2024, 10:14 AM</t>
  </si>
  <si>
    <t>Texas A&amp;M Master of Geoscience- Online</t>
  </si>
  <si>
    <t>Sarah Bailey</t>
  </si>
  <si>
    <t>online-degree@geos.tamu.edu</t>
  </si>
  <si>
    <t>979-845-7997</t>
  </si>
  <si>
    <t>Jun 07, 2024, 11:46 AM</t>
  </si>
  <si>
    <t>Texas A&amp;M School of Engineering Medicine</t>
  </si>
  <si>
    <t>John Louis Bolch</t>
  </si>
  <si>
    <t>enmed.admissions@tamu.edu</t>
  </si>
  <si>
    <t>Apr 25, 2024, 10:19 AM</t>
  </si>
  <si>
    <t>Texas A&amp;M University - Department of Finance</t>
  </si>
  <si>
    <t>Valerie A McLaughlin</t>
  </si>
  <si>
    <t>vmclaughlin@mays.tamu.edu</t>
  </si>
  <si>
    <t>(979) 845-5205</t>
  </si>
  <si>
    <t>Apr 17, 2024, 2:58 PM</t>
  </si>
  <si>
    <t>Texas A&amp;M University - Master of Real Estate Program (MRE)</t>
  </si>
  <si>
    <t>Jo Ellen Linder</t>
  </si>
  <si>
    <t>jlinder@mays.tamu.edu</t>
  </si>
  <si>
    <t>979-845-4858</t>
  </si>
  <si>
    <t>Apr 30, 2024, 11:08 AM</t>
  </si>
  <si>
    <t>Texas Air Products</t>
  </si>
  <si>
    <t>Andrew Collier</t>
  </si>
  <si>
    <t>acollier@txap.com</t>
  </si>
  <si>
    <t>512-485-5304</t>
  </si>
  <si>
    <t>Jul 16, 2024, 10:31 AM</t>
  </si>
  <si>
    <t>Texas AirSystems</t>
  </si>
  <si>
    <t>Chance Lyde</t>
  </si>
  <si>
    <t>chance.lyde@meriton.com</t>
  </si>
  <si>
    <t>806-544-2103</t>
  </si>
  <si>
    <t>Jun 25, 2024, 4:01 PM</t>
  </si>
  <si>
    <t>E19, E20</t>
  </si>
  <si>
    <t>Apr 17, 2024, 9:35 AM</t>
  </si>
  <si>
    <t>universityrecruiting@textron.com</t>
  </si>
  <si>
    <t>(401) 332-9707</t>
  </si>
  <si>
    <t>Jul 22, 2024, 3:57 PM</t>
  </si>
  <si>
    <t>May 13, 2024, 3:45 PM</t>
  </si>
  <si>
    <t>The Boldt Company</t>
  </si>
  <si>
    <t>Heidi Libby</t>
  </si>
  <si>
    <t>heidi.libby@boldt.com</t>
  </si>
  <si>
    <t>920-225-7229</t>
  </si>
  <si>
    <t>Apr 18, 2024, 10:29 AM</t>
  </si>
  <si>
    <t>Apr 17, 2024, 2:01 PM</t>
  </si>
  <si>
    <t>The Friedkin Group</t>
  </si>
  <si>
    <t>Elizabeth A Cearley</t>
  </si>
  <si>
    <t>ecearley@friedkin.com</t>
  </si>
  <si>
    <t>(713) 580 5692</t>
  </si>
  <si>
    <t>Apr 17, 2024, 3:36 PM</t>
  </si>
  <si>
    <t>The Johns Hopkins University Applied Physics Laboratory</t>
  </si>
  <si>
    <t>Nicole Anderson</t>
  </si>
  <si>
    <t>nicole.anderson@jhuapl.edu</t>
  </si>
  <si>
    <t>443-778-5844</t>
  </si>
  <si>
    <t>Jun 27, 2024, 2:51 PM</t>
  </si>
  <si>
    <t>The New York Independent System Operator (NYISO)</t>
  </si>
  <si>
    <t>Jenna Priore</t>
  </si>
  <si>
    <t>jpriore@nyiso.com</t>
  </si>
  <si>
    <t>518-275-7249</t>
  </si>
  <si>
    <t>Jun 24, 2024, 8:54 AM</t>
  </si>
  <si>
    <t>The Sherwin Williams Company</t>
  </si>
  <si>
    <t>Patrick Gibboney</t>
  </si>
  <si>
    <t>patrick.gibboney@sherwin.com</t>
  </si>
  <si>
    <t>Jul 12, 2024, 12:46 PM</t>
  </si>
  <si>
    <t>Heather Hines</t>
  </si>
  <si>
    <t>heather.hines@timken.com</t>
  </si>
  <si>
    <t>234-262-5553</t>
  </si>
  <si>
    <t>Apr 16, 2024, 9:38 AM</t>
  </si>
  <si>
    <t>The Vertex Companies LLC</t>
  </si>
  <si>
    <t>John Todd</t>
  </si>
  <si>
    <t>jtodd@vertexeng.com</t>
  </si>
  <si>
    <t>781 974 4007</t>
  </si>
  <si>
    <t>May 05, 2024, 3:55 PM</t>
  </si>
  <si>
    <t>Jun 21, 2024, 11:59 AM</t>
  </si>
  <si>
    <t>Tigerbrain Engineering</t>
  </si>
  <si>
    <t>James F Green</t>
  </si>
  <si>
    <t>jfgreen@tigerbrain.com</t>
  </si>
  <si>
    <t>407-706-6368</t>
  </si>
  <si>
    <t>Apr 17, 2024, 10:02 AM</t>
  </si>
  <si>
    <t>Diana Diaz</t>
  </si>
  <si>
    <t>dianadiaz@tindallcorp.com</t>
  </si>
  <si>
    <t>Apr 26, 2024, 12:11 PM</t>
  </si>
  <si>
    <t>Apr 18, 2024, 2:34 PM</t>
  </si>
  <si>
    <t>N22</t>
  </si>
  <si>
    <t>Apr 19, 2024, 8:53 AM</t>
  </si>
  <si>
    <t>Aug 09, 2024, 2:28 PM</t>
  </si>
  <si>
    <t>Victoria Harris</t>
  </si>
  <si>
    <t>B2, B3</t>
  </si>
  <si>
    <t>512.424.1544</t>
  </si>
  <si>
    <t>Jun 11, 2024, 3:10 PM</t>
  </si>
  <si>
    <t>Topographic</t>
  </si>
  <si>
    <t>MAJA OWENS</t>
  </si>
  <si>
    <t>maja.owens@topographic.com</t>
  </si>
  <si>
    <t>817-744-7512</t>
  </si>
  <si>
    <t>Aug 08, 2024, 11:07 AM</t>
  </si>
  <si>
    <t>May 17, 2024, 8:59 AM</t>
  </si>
  <si>
    <t>TaShanta Ross</t>
  </si>
  <si>
    <t>tashanta.ross@totalenergies.com</t>
  </si>
  <si>
    <t>713-483-5022</t>
  </si>
  <si>
    <t>May 29, 2024, 12:50 PM</t>
  </si>
  <si>
    <t>Tom Alkire</t>
  </si>
  <si>
    <t>tom.alkire@toyota.com</t>
  </si>
  <si>
    <t>513-316-0650</t>
  </si>
  <si>
    <t>Jul 16, 2024, 10:15 AM</t>
  </si>
  <si>
    <t>May 13, 2024, 10:03 AM</t>
  </si>
  <si>
    <t>TranSystems</t>
  </si>
  <si>
    <t>Cory Windham</t>
  </si>
  <si>
    <t>cawindham@transystems.com</t>
  </si>
  <si>
    <t>281-608-0243</t>
  </si>
  <si>
    <t>Apr 17, 2024, 2:47 PM</t>
  </si>
  <si>
    <t>May 08, 2024, 11:34 AM</t>
  </si>
  <si>
    <t>Apr 24, 2024, 9:17 AM</t>
  </si>
  <si>
    <t>ccampbell@trinityconsultants.com</t>
  </si>
  <si>
    <t>972 661 8100</t>
  </si>
  <si>
    <t>Jun 10, 2024, 9:49 AM</t>
  </si>
  <si>
    <t>TSMC AZ</t>
  </si>
  <si>
    <t>SJYANGW@TSMC.COM</t>
  </si>
  <si>
    <t>E13, E14, @15</t>
  </si>
  <si>
    <t>Jul 26, 2024, 5:33 PM</t>
  </si>
  <si>
    <t>U.S Army Engineer an Research Development Center-Geotechnical and Structures Lab</t>
  </si>
  <si>
    <t>Stacie Schrader</t>
  </si>
  <si>
    <t>stacie.schrader@usace.army.mil</t>
  </si>
  <si>
    <t>P18</t>
  </si>
  <si>
    <t>Jul 01, 2024, 8:08 AM</t>
  </si>
  <si>
    <t>U.S. Nuclear Regulatory Commission (NRC)</t>
  </si>
  <si>
    <t>Kimberly A. English</t>
  </si>
  <si>
    <t>kimberly.english@nrc.gov</t>
  </si>
  <si>
    <t>301-287-0711</t>
  </si>
  <si>
    <t>Haley Knight</t>
  </si>
  <si>
    <t>haley.knight@ulteig.com</t>
  </si>
  <si>
    <t>Jun 24, 2024, 9:35 AM</t>
  </si>
  <si>
    <t>United States Department of State, Bureau of Diplomatic Security</t>
  </si>
  <si>
    <t>Kristina Bladel</t>
  </si>
  <si>
    <t>bladelkm@state.gov</t>
  </si>
  <si>
    <t>May 13, 2024, 9:08 AM</t>
  </si>
  <si>
    <t>United States Patent &amp; Trademark Office</t>
  </si>
  <si>
    <t>Aliviah Jones</t>
  </si>
  <si>
    <t>recruitment@uspto.gov</t>
  </si>
  <si>
    <t>571-431-0747</t>
  </si>
  <si>
    <t>Jul 01, 2024, 10:59 AM</t>
  </si>
  <si>
    <t>University Relations</t>
  </si>
  <si>
    <t>Jun 21, 2024, 3:55 PM</t>
  </si>
  <si>
    <t>University of Tennessee - Oak Ridge Innovation Institute</t>
  </si>
  <si>
    <t>Timothy Guthrie</t>
  </si>
  <si>
    <t>tguthrie@utk.edu</t>
  </si>
  <si>
    <t>P26</t>
  </si>
  <si>
    <t>Jul 01, 2024, 10:42 AM</t>
  </si>
  <si>
    <t>US Army Corps of Engineers - Nashville District</t>
  </si>
  <si>
    <t>Kimberlee Simmons</t>
  </si>
  <si>
    <t>kimberlee.j.simmons@usace.army.mil</t>
  </si>
  <si>
    <t>615-736-7608</t>
  </si>
  <si>
    <t>May 14, 2024, 10:01 AM</t>
  </si>
  <si>
    <t>Jul 11, 2024, 9:10 AM</t>
  </si>
  <si>
    <t>828-624-6525</t>
  </si>
  <si>
    <t>Aug 02, 2024, 7:27 AM</t>
  </si>
  <si>
    <t>Amanda Bermea</t>
  </si>
  <si>
    <t>amanda.bermea@usaa.com</t>
  </si>
  <si>
    <t>210-848-8072</t>
  </si>
  <si>
    <t>Apr 17, 2024, 1:36 PM</t>
  </si>
  <si>
    <t>Valaris Limited</t>
  </si>
  <si>
    <t>Haley Ngo</t>
  </si>
  <si>
    <t>haley.ngo@valaris.com</t>
  </si>
  <si>
    <t>713-979-4917</t>
  </si>
  <si>
    <t>May 16, 2024, 9:57 AM</t>
  </si>
  <si>
    <t>Erik Swanson</t>
  </si>
  <si>
    <t>recruiting@valentpartners.com</t>
  </si>
  <si>
    <t>908-230-1224</t>
  </si>
  <si>
    <t>Apr 17, 2024, 2:10 PM</t>
  </si>
  <si>
    <t>Apr 18, 2024, 2:43 PM</t>
  </si>
  <si>
    <t>ValvTechnologies</t>
  </si>
  <si>
    <t>Monica Hartman</t>
  </si>
  <si>
    <t>mhartman@valv.com</t>
  </si>
  <si>
    <t>713-715-1710</t>
  </si>
  <si>
    <t>Jun 24, 2024, 9:34 AM</t>
  </si>
  <si>
    <t>Aug 01, 2024, 1:03 PM</t>
  </si>
  <si>
    <t>May 09, 2024, 4:38 PM</t>
  </si>
  <si>
    <t>May 13, 2024, 3:40 PM</t>
  </si>
  <si>
    <t>May 09, 2024, 11:00 AM</t>
  </si>
  <si>
    <t>Vulcan Materials Company</t>
  </si>
  <si>
    <t>Sara Rodriguez</t>
  </si>
  <si>
    <t>rodriguezs@vmcmail.com</t>
  </si>
  <si>
    <t>Aug 08, 2024, 4:55 PM</t>
  </si>
  <si>
    <t>734-947-2716</t>
  </si>
  <si>
    <t>Aug 02, 2024, 1:16 PM</t>
  </si>
  <si>
    <t>Apr 18, 2024, 10:32 AM</t>
  </si>
  <si>
    <t>Weatherford International</t>
  </si>
  <si>
    <t>David Grant Ainslie</t>
  </si>
  <si>
    <t>david.ainslie@weatherford.com</t>
  </si>
  <si>
    <t>May 28, 2024, 8:12 AM</t>
  </si>
  <si>
    <t>832-326-7074</t>
  </si>
  <si>
    <t>Jul 23, 2024, 11:58 AM</t>
  </si>
  <si>
    <t>Apr 17, 2024, 10:48 AM</t>
  </si>
  <si>
    <t>tglover@wwebber.com</t>
  </si>
  <si>
    <t>346-497-9954</t>
  </si>
  <si>
    <t>Apr 17, 2024, 8:04 AM</t>
  </si>
  <si>
    <t>West Monroe</t>
  </si>
  <si>
    <t>Tyler Greaves</t>
  </si>
  <si>
    <t>tgreaves@westmonroe.com</t>
  </si>
  <si>
    <t>Apr 18, 2024, 3:23 PM</t>
  </si>
  <si>
    <t>Western Specialty Contractors</t>
  </si>
  <si>
    <t>Loren Roberts</t>
  </si>
  <si>
    <t>lorenr@westerngroup.com</t>
  </si>
  <si>
    <t>Aug 07, 2024, 3:01 PM</t>
  </si>
  <si>
    <t>Westlake</t>
  </si>
  <si>
    <t>346-237-3869</t>
  </si>
  <si>
    <t>Apr 18, 2024, 10:48 AM</t>
  </si>
  <si>
    <t>Westwood</t>
  </si>
  <si>
    <t>Julian Nguyen</t>
  </si>
  <si>
    <t>jnguyen@wga-llp.com</t>
  </si>
  <si>
    <t>Apr 17, 2024, 10:20 AM</t>
  </si>
  <si>
    <t>WGI</t>
  </si>
  <si>
    <t>Kiera O'Donnell</t>
  </si>
  <si>
    <t>kiera.odonnell@wginc.com</t>
  </si>
  <si>
    <t>Aug 14, 2024, 9:02 AM</t>
  </si>
  <si>
    <t>Wharton Smith</t>
  </si>
  <si>
    <t>Carlo Leon</t>
  </si>
  <si>
    <t>cleon@whartonsmith.com</t>
  </si>
  <si>
    <t>May 13, 2024, 2:24 PM</t>
  </si>
  <si>
    <t>May 23, 2024, 11:51 AM</t>
  </si>
  <si>
    <t>Williams</t>
  </si>
  <si>
    <t>Cheyenne Dodson</t>
  </si>
  <si>
    <t>collegerecruiting@Williams.com</t>
  </si>
  <si>
    <t>918-573-2000</t>
  </si>
  <si>
    <t>J24, J25</t>
  </si>
  <si>
    <t>Apr 17, 2024, 3:15 PM</t>
  </si>
  <si>
    <t>May 14, 2024, 1:26 PM</t>
  </si>
  <si>
    <t>L5, L6</t>
  </si>
  <si>
    <t>Apr 17, 2024, 2:50 PM</t>
  </si>
  <si>
    <t>Gabrielle Burkett</t>
  </si>
  <si>
    <t>gabby.burkett@woolpert.com</t>
  </si>
  <si>
    <t>Jun 26, 2024, 8:58 AM</t>
  </si>
  <si>
    <t>Jun 06, 2024, 10:17 AM</t>
  </si>
  <si>
    <t>Wright Structural Engineers</t>
  </si>
  <si>
    <t>Kelsey M Sell</t>
  </si>
  <si>
    <t>bforbush@wrightengineers.com</t>
  </si>
  <si>
    <t>Apr 29, 2024, 4:35 PM</t>
  </si>
  <si>
    <t>Jul 12, 2024, 2:32 PM</t>
  </si>
  <si>
    <t>Rachel Wylie Schrock</t>
  </si>
  <si>
    <t>rachelwylie0202@yahoo.com</t>
  </si>
  <si>
    <t>Apr 18, 2024, 11:02 AM</t>
  </si>
  <si>
    <t>Yahoo</t>
  </si>
  <si>
    <t>yahoo@nc3.com</t>
  </si>
  <si>
    <t>401-863-4246</t>
  </si>
  <si>
    <t>Aug 07, 2024, 12:51 PM</t>
  </si>
  <si>
    <t>Apr 17, 2024, 8:24 AM</t>
  </si>
  <si>
    <t>mgmoore67@yahoo.com</t>
  </si>
  <si>
    <t>210-871-3274</t>
  </si>
  <si>
    <t>Miranda FOsbenner</t>
  </si>
  <si>
    <t>Jun 10, 2024, 10:24 AM</t>
  </si>
  <si>
    <t>Zoomlion Heavy Industry NA, Inc.</t>
  </si>
  <si>
    <t>Allen Huang</t>
  </si>
  <si>
    <t>allen.huang@zoomlion.com</t>
  </si>
  <si>
    <t>Aug 01, 2024, 1:07 AM</t>
  </si>
  <si>
    <t>Phone</t>
  </si>
  <si>
    <t>Majors Recruited</t>
  </si>
  <si>
    <t>Company Chat</t>
  </si>
  <si>
    <t>Welcome Social</t>
  </si>
  <si>
    <t>Day 1 (Wednesday, January 24th) / Booth: L28
Day 2 (Thursday, January 25th) / Booth: L28</t>
  </si>
  <si>
    <t>Nov 13, 2023, 2:46 PM</t>
  </si>
  <si>
    <t>Computer Engineering (CECN), Computer Science (CPSC), Electrical Engineering (ELEN), Industrial Distribution (IDIS), Industrial and Systems Engineering (ISEN), Manufacturing and Mechanical Engineering Technology (MMET), Mechanical Engineering (MEEN)</t>
  </si>
  <si>
    <t>Basic One-Day [$1000.00]</t>
  </si>
  <si>
    <t>Day 2 (Thursday, January 25th) / Booth: A11</t>
  </si>
  <si>
    <t>Nov 13, 2023, 9:21 AM</t>
  </si>
  <si>
    <t>401-642-1722</t>
  </si>
  <si>
    <t>Day 1 (Wednesday, January 24th) / Booth: H14
Day 2 (Thursday, January 25th) / Booth: H14</t>
  </si>
  <si>
    <t>Dec 06, 2023, 8:37 AM</t>
  </si>
  <si>
    <t>Day 1 (Wednesday, January 24th) / Booth: C14
Day 2 (Thursday, January 25th) / Booth: C14</t>
  </si>
  <si>
    <t>Nov 13, 2023, 11:34 AM</t>
  </si>
  <si>
    <t>Sandra E Hernandez</t>
  </si>
  <si>
    <t>sandra.hernandez@aguirre-fields.com</t>
  </si>
  <si>
    <t>281-207-2070</t>
  </si>
  <si>
    <t>Silver One-Day [$1800.00]</t>
  </si>
  <si>
    <t>Day 1 (Wednesday, January 24th) / Booth: B24</t>
  </si>
  <si>
    <t>Nov 28, 2023, 9:49 AM</t>
  </si>
  <si>
    <t>Day 1 (Wednesday, January 24th) / Booth: J7</t>
  </si>
  <si>
    <t>Nov 16, 2023, 10:07 AM</t>
  </si>
  <si>
    <t>All Majors</t>
  </si>
  <si>
    <t>Day 1 (Wednesday, January 24th) / Booth: E17
Day 2 (Thursday, January 25th) / Booth: E17</t>
  </si>
  <si>
    <t>Nov 13, 2023, 2:22 PM</t>
  </si>
  <si>
    <t>Day 1 (Wednesday, January 24th) / Booth: H10</t>
  </si>
  <si>
    <t>Nov 13, 2023, 8:14 AM</t>
  </si>
  <si>
    <t>Timothy Hwang</t>
  </si>
  <si>
    <t>thwang@abbae.com</t>
  </si>
  <si>
    <t>Day 1 (Wednesday, January 24th) / Booth: B8
Day 2 (Thursday, January 25th) / Booth: B8</t>
  </si>
  <si>
    <t>Dec 26, 2023, 3:46 PM</t>
  </si>
  <si>
    <t>Day 1 (Wednesday, January 24th) / Booth: B1</t>
  </si>
  <si>
    <t>Nov 15, 2023, 9:42 AM</t>
  </si>
  <si>
    <t>Altrad RMD Kwikform</t>
  </si>
  <si>
    <t>Lindsay Wieck</t>
  </si>
  <si>
    <t>lindsay.wieck@altrad.com</t>
  </si>
  <si>
    <t>832.492.8641</t>
  </si>
  <si>
    <t>Day 2 (Thursday, January 25th) / Booth: D24</t>
  </si>
  <si>
    <t>Jan 04, 2024, 3:30 PM</t>
  </si>
  <si>
    <t>Altria Group Distribution Company (Gold Partner)</t>
  </si>
  <si>
    <t>Lashel Williamson</t>
  </si>
  <si>
    <t>lashel.williamson@altria.com</t>
  </si>
  <si>
    <t>Chemical Engineering (CHEN), Civil and Environmental Engineering (CVEN), Computer Engineering (CECN), Electrical Engineering (ELEN), Industrial and Systems Engineering (ISEN), Manufacturing and Mechanical Engineering Technology (MMET), Mechanical Engineering (MEEN)</t>
  </si>
  <si>
    <t>Day 1 (Wednesday, January 24th) / Booth: H18
Day 2 (Thursday, January 25th) / Booth: H19</t>
  </si>
  <si>
    <t>Nov 14, 2023, 10:44 AM</t>
  </si>
  <si>
    <t>Cristal Rubio</t>
  </si>
  <si>
    <t>cristal.n.rubio.mil@us.navy.mil</t>
  </si>
  <si>
    <t>(979) 292-5150</t>
  </si>
  <si>
    <t>Day 1 (Wednesday, January 24th) / Booth: D6
Day 2 (Thursday, January 25th) / Booth: D6</t>
  </si>
  <si>
    <t>Dec 12, 2023, 11:55 AM</t>
  </si>
  <si>
    <t>Chemical Engineering (CHEN), Electrical Engineering (ELEN), Industrial and Systems Engineering (ISEN), Materials Science and Engineering (MSEN), Mechanical Engineering (MEEN)</t>
  </si>
  <si>
    <t>Day 1 (Wednesday, January 24th) / Booth: E9
Day 2 (Thursday, January 25th) / Booth: E9</t>
  </si>
  <si>
    <t>Nov 14, 2023, 8:51 AM</t>
  </si>
  <si>
    <t>Gold Two-Day [$5000.00]</t>
  </si>
  <si>
    <t>O1, O2</t>
  </si>
  <si>
    <t>Day 1 (Wednesday, January 24th) / Booth: O1-2
Day 2 (Thursday, January 25th) / Booth: O1-2</t>
  </si>
  <si>
    <t>Nov 13, 2023, 8:13 AM</t>
  </si>
  <si>
    <t>Computer Engineering (CECN), Computer Science (CPSC), Electrical Engineering (ELEN), Electronic Systems Engineering Technology (ESET), Industrial Distribution (IDIS), Mechanical Engineering (MEEN), Multidisciplinary Engineering Technology (MXET)</t>
  </si>
  <si>
    <t>H12, H13</t>
  </si>
  <si>
    <t>Day 1 (Wednesday, January 24th) / Booth: H12-13
Day 2 (Thursday, January 25th) / Booth: H12-13</t>
  </si>
  <si>
    <t>Nov 13, 2023, 8:38 AM</t>
  </si>
  <si>
    <t>agoodwin@arcb.com</t>
  </si>
  <si>
    <t>479-785-6498</t>
  </si>
  <si>
    <t>Data Engineering (DATA), Industrial Distribution (IDIS), Industrial and Systems Engineering (ISEN), Manufacturing and Mechanical Engineering Technology (MMET), Mechanical Engineering (MEEN)</t>
  </si>
  <si>
    <t>I15</t>
  </si>
  <si>
    <t>Day 1 (Wednesday, January 24th) / Booth: I15
Day 2 (Thursday, January 25th) / Booth: I15</t>
  </si>
  <si>
    <t>Nov 21, 2023, 2:54 PM</t>
  </si>
  <si>
    <t>Day 1 (Wednesday, January 24th) / Booth: N11
Day 2 (Thursday, January 25th) / Booth: N11</t>
  </si>
  <si>
    <t>Nov 13, 2023, 8:22 AM</t>
  </si>
  <si>
    <t>Day 1 (Wednesday, January 24th) / Booth: M6
Day 2 (Thursday, January 25th) / Booth: M6</t>
  </si>
  <si>
    <t>Nov 13, 2023, 12:56 PM</t>
  </si>
  <si>
    <t>Chemical Engineering (CHEN), Civil and Environmental Engineering (CVEN), Industrial and Systems Engineering (ISEN), Mechanical Engineering (MEEN), Petroleum Engineering (PETE)</t>
  </si>
  <si>
    <t>Day 1 (Wednesday, January 24th) / Booth: C17</t>
  </si>
  <si>
    <t>Nov 20, 2023, 2:34 PM</t>
  </si>
  <si>
    <t>(832)225-8023</t>
  </si>
  <si>
    <t>Chemical Engineering (CHEN), Civil and Environmental Engineering (CVEN), Electrical Engineering (ELEN), Materials Science and Engineering (MSEN), Mechanical Engineering (MEEN), Multidisciplinary Engineering Technology (MXET)</t>
  </si>
  <si>
    <t>Day 1 (Wednesday, January 24th) / Booth: B6</t>
  </si>
  <si>
    <t>Dec 13, 2023, 2:23 PM</t>
  </si>
  <si>
    <t>ARS Engineers, Inc.</t>
  </si>
  <si>
    <t>Juli Darnell</t>
  </si>
  <si>
    <t>jdarnell@arsengineers.com</t>
  </si>
  <si>
    <t>Day 1 (Wednesday, January 24th) / Booth: C1
Day 2 (Thursday, January 25th) / Booth: C1</t>
  </si>
  <si>
    <t>Jan 04, 2024, 3:05 PM</t>
  </si>
  <si>
    <t>Day 2 (Thursday, January 25th) / Booth: N4</t>
  </si>
  <si>
    <t>Nov 30, 2023, 6:11 PM</t>
  </si>
  <si>
    <t>ASML</t>
  </si>
  <si>
    <t>asml@nc3.com</t>
  </si>
  <si>
    <t>Electrical Engineering (ELEN), Industrial and Systems Engineering (ISEN), Mechanical Engineering (MEEN)</t>
  </si>
  <si>
    <t>Day 1 (Wednesday, January 24th) / Booth: L15</t>
  </si>
  <si>
    <t>Nov 30, 2023, 12:44 PM</t>
  </si>
  <si>
    <t>shaq.lowe@atkinsglobal.com</t>
  </si>
  <si>
    <t>Day 1 (Wednesday, January 24th) / Booth: O12</t>
  </si>
  <si>
    <t>Dec 04, 2023, 6:39 PM</t>
  </si>
  <si>
    <t>Computer Science (CPSC), Data Engineering (DATA), Electrical Engineering (ELEN), Manufacturing and Mechanical Engineering Technology (MMET), Mechanical Engineering (MEEN)</t>
  </si>
  <si>
    <t>Day 1 (Wednesday, January 24th) / Booth: M10
Day 2 (Thursday, January 25th) / Booth: M10</t>
  </si>
  <si>
    <t>Nov 15, 2023, 9:41 AM</t>
  </si>
  <si>
    <t>Chemical Engineering (CHEN), Civil and Environmental Engineering (CVEN), Electrical Engineering (ELEN), Multidisciplinary Engineering Technology (MXET), Petroleum Engineering (PETE)</t>
  </si>
  <si>
    <t>Day 2 (Thursday, January 25th) / Booth: I17</t>
  </si>
  <si>
    <t>Dec 19, 2023, 4:19 PM</t>
  </si>
  <si>
    <t>Day 1 (Wednesday, January 24th) / Booth: L26</t>
  </si>
  <si>
    <t>Nov 13, 2023, 2:02 PM</t>
  </si>
  <si>
    <t>Day 2 (Thursday, January 25th) / Booth: L14</t>
  </si>
  <si>
    <t>Nov 13, 2023, 10:22 AM</t>
  </si>
  <si>
    <t>ltrujillo@austin-ind.com</t>
  </si>
  <si>
    <t>Civil and Environmental Engineering (CVEN), Electrical Engineering (ELEN), Materials Science and Engineering (MSEN), Mechanical Engineering (MEEN)</t>
  </si>
  <si>
    <t>Day 1 (Wednesday, January 24th) / Booth: K11</t>
  </si>
  <si>
    <t>Dec 11, 2023, 11:14 AM</t>
  </si>
  <si>
    <t>BAE Systems Inc.</t>
  </si>
  <si>
    <t>Andrea Boyle</t>
  </si>
  <si>
    <t>andrea.boyle@baesystems.com</t>
  </si>
  <si>
    <t>Day 1 (Wednesday, January 24th) / Booth: N8</t>
  </si>
  <si>
    <t>Dec 07, 2023, 2:26 PM</t>
  </si>
  <si>
    <t>mhalpenny@bhbinc.com</t>
  </si>
  <si>
    <t>Day 1 (Wednesday, January 24th)</t>
  </si>
  <si>
    <t>Dec 22, 2023, 9:48 AM</t>
  </si>
  <si>
    <t>McKenna Riggall</t>
  </si>
  <si>
    <t>riggallmc@bakerconcrete.com</t>
  </si>
  <si>
    <t>Day 1 (Wednesday, January 24th) / Booth: E7
Day 2 (Thursday, January 25th) / Booth: E7</t>
  </si>
  <si>
    <t>Nov 13, 2023, 8:27 AM</t>
  </si>
  <si>
    <t>Chemical Engineering (CHEN), Civil and Environmental Engineering (CVEN), Computer Engineering (CECN), Computer Science (CPSC), Data Engineering (DATA), Electrical Engineering (ELEN), Industrial Distribution (IDIS), Materials Science and Engineering (MSEN), Mechanical Engineering (MEEN), Petroleum Engineering (PETE)</t>
  </si>
  <si>
    <t>Day 1 (Wednesday, January 24th) / Booth: H22</t>
  </si>
  <si>
    <t>Nov 27, 2023, 10:03 AM</t>
  </si>
  <si>
    <t>Dec 13, 2023, 1:57 PM</t>
  </si>
  <si>
    <t>BCC Engineering</t>
  </si>
  <si>
    <t>Albert Castro</t>
  </si>
  <si>
    <t>acastro@bcceng.com</t>
  </si>
  <si>
    <t>305-632-6187</t>
  </si>
  <si>
    <t>Day 1 (Wednesday, January 24th) / Booth: M5</t>
  </si>
  <si>
    <t>Nov 15, 2023, 7:31 PM</t>
  </si>
  <si>
    <t>BD Energy Systems</t>
  </si>
  <si>
    <t>Eric Smith</t>
  </si>
  <si>
    <t>eric.smith@bdenergysystems.com</t>
  </si>
  <si>
    <t>281-772-2645</t>
  </si>
  <si>
    <t>Day 1 (Wednesday, January 24th) / Booth: I18
Day 2 (Thursday, January 25th) / Booth: I18</t>
  </si>
  <si>
    <t>Nov 13, 2023, 10:49 AM</t>
  </si>
  <si>
    <t>BECI</t>
  </si>
  <si>
    <t>Adam Prough</t>
  </si>
  <si>
    <t>CAREERS@BE-CI.COM</t>
  </si>
  <si>
    <t>All Majors, Architectural Engineering (AREN), Civil and Environmental Engineering (CVEN), Manufacturing and Mechanical Engineering Technology (MMET), Mechanical Engineering (MEEN)</t>
  </si>
  <si>
    <t>Day 2 (Thursday, January 25th) / Booth: E4</t>
  </si>
  <si>
    <t>Dec 21, 2023, 9:41 AM</t>
  </si>
  <si>
    <t>Biomedical Engineering (BMEN), Computer Engineering (CECN), Computer Science (CPSC), Electrical Engineering (ELEN), Electronic Systems Engineering Technology (ESET), Industrial and Systems Engineering (ISEN), Manufacturing and Mechanical Engineering Technology (MMET), Mechanical Engineering (MEEN), Multidisciplinary Engineering Technology (MXET)</t>
  </si>
  <si>
    <t>Day 1 (Wednesday, January 24th) / Booth: G17
Day 2 (Thursday, January 25th) / Booth: G17</t>
  </si>
  <si>
    <t>Nov 13, 2023, 8:17 AM</t>
  </si>
  <si>
    <t>BEFCO Engineering, Inc.</t>
  </si>
  <si>
    <t>Donna Cozzaglio</t>
  </si>
  <si>
    <t>donna@befcoengineering.com</t>
  </si>
  <si>
    <t>979-968-6474</t>
  </si>
  <si>
    <t>Day 2 (Thursday, January 25th) / Booth: I7</t>
  </si>
  <si>
    <t>Nov 20, 2023, 3:25 PM</t>
  </si>
  <si>
    <t>Day 2 (Thursday, January 25th) / Booth: B25</t>
  </si>
  <si>
    <t>Nov 13, 2023, 8:44 AM</t>
  </si>
  <si>
    <t>Day 1 (Wednesday, January 24th) / Booth: H24</t>
  </si>
  <si>
    <t>Nov 13, 2023, 3:55 PM</t>
  </si>
  <si>
    <t>Gina Quintanilla</t>
  </si>
  <si>
    <t>C10, C11</t>
  </si>
  <si>
    <t>Day 1 (Wednesday, January 24th) / Booth: C10-11
Day 2 (Thursday, January 25th) / Booth: C10-11</t>
  </si>
  <si>
    <t>Nov 13, 2023, 10:05 AM</t>
  </si>
  <si>
    <t>Architectural Engineering (AREN), Chemical Engineering (CHEN), Electrical Engineering (ELEN), Electronic Systems Engineering Technology (ESET), Industrial Distribution (IDIS), Industrial and Systems Engineering (ISEN), Manufacturing and Mechanical Engineering Technology (MMET), Mechanical Engineering (MEEN)</t>
  </si>
  <si>
    <t>Day 1 (Wednesday, January 24th) / Booth: H17</t>
  </si>
  <si>
    <t>Dec 18, 2023, 12:29 PM</t>
  </si>
  <si>
    <t>Binkley &amp; Barfield, Inc</t>
  </si>
  <si>
    <t>Jake Bosley</t>
  </si>
  <si>
    <t>713-869-3433</t>
  </si>
  <si>
    <t>Day 1 (Wednesday, January 24th) / Booth: I12
Day 2 (Thursday, January 25th) / Booth: I12</t>
  </si>
  <si>
    <t>Nov 13, 2023, 8:50 AM</t>
  </si>
  <si>
    <t>Chemical Engineering (CHEN), Civil and Environmental Engineering (CVEN), Computer Engineering (CECN), Electrical Engineering (ELEN), Environmental Engineering (EVEN), Industrial and Systems Engineering (ISEN), Manufacturing and Mechanical Engineering Technology (MMET), Mechanical Engineering (MEEN)</t>
  </si>
  <si>
    <t>Day 1 (Wednesday, January 24th) / Booth: C24</t>
  </si>
  <si>
    <t>Nov 14, 2023, 9:41 AM</t>
  </si>
  <si>
    <t>Day 1 (Wednesday, January 24th) / Booth: J20
Day 2 (Thursday, January 25th) / Booth: J20</t>
  </si>
  <si>
    <t>Nov 14, 2023, 7:57 AM</t>
  </si>
  <si>
    <t>collegerecruiting@bnsf.com</t>
  </si>
  <si>
    <t>Civil and Environmental Engineering (CVEN), Computer Engineering (CECN), Computer Science (CPSC), Data Engineering (DATA), Electrical Engineering (ELEN), Electronic Systems Engineering Technology (ESET), Environmental Engineering (EVEN), Industrial and Systems Engineering (ISEN)</t>
  </si>
  <si>
    <t>Day 1 (Wednesday, January 24th) / Booth: O14
Day 2 (Thursday, January 25th) / Booth: O14</t>
  </si>
  <si>
    <t>Nov 27, 2023, 1:32 PM</t>
  </si>
  <si>
    <t>Bohler Engineering</t>
  </si>
  <si>
    <t>EMMA MURPHY</t>
  </si>
  <si>
    <t>emurphy@bohlereng.com</t>
  </si>
  <si>
    <t>Day 1 (Wednesday, January 24th) / Booth: B16</t>
  </si>
  <si>
    <t>Dec 06, 2023, 2:23 PM</t>
  </si>
  <si>
    <t>Boise Cascade LLC</t>
  </si>
  <si>
    <t>Larisa Barr</t>
  </si>
  <si>
    <t>larisabarr@bc.com</t>
  </si>
  <si>
    <t>541 776 6659</t>
  </si>
  <si>
    <t>Day 1 (Wednesday, January 24th) / Booth: O3
Day 2 (Thursday, January 25th) / Booth: O3</t>
  </si>
  <si>
    <t>Nov 13, 2023, 10:01 AM</t>
  </si>
  <si>
    <t>Sparkle Alemazkour</t>
  </si>
  <si>
    <t>salemazkour@bowman.com</t>
  </si>
  <si>
    <t>(470) 737-1307</t>
  </si>
  <si>
    <t>Day 2 (Thursday, January 25th) / Booth: B24</t>
  </si>
  <si>
    <t>Jan 03, 2024, 4:11 PM</t>
  </si>
  <si>
    <t>Brainlab, Inc.</t>
  </si>
  <si>
    <t>Rose Markovic</t>
  </si>
  <si>
    <t>rose.markovic@brainlab.com</t>
  </si>
  <si>
    <t>Biomedical Engineering (BMEN), Mechanical Engineering (MEEN)</t>
  </si>
  <si>
    <t>Day 2 (Thursday, January 25th) / Booth: H7</t>
  </si>
  <si>
    <t>Dec 27, 2023, 8:59 AM</t>
  </si>
  <si>
    <t>Ryan T Cole</t>
  </si>
  <si>
    <t>rcole@brasfieldgorrie.com</t>
  </si>
  <si>
    <t>(256)874-4927</t>
  </si>
  <si>
    <t>Day 2 (Thursday, January 25th) / Booth: J28</t>
  </si>
  <si>
    <t>Nov 13, 2023, 4:20 PM</t>
  </si>
  <si>
    <t>Day 2 (Thursday, January 25th) / Booth: D5</t>
  </si>
  <si>
    <t>Jan 18, 2024, 4:29 PM</t>
  </si>
  <si>
    <t>Aerospace Engineering (AERO), Computer Engineering (CECN), Electrical Engineering (ELEN), Industrial Distribution (IDIS), Industrial and Systems Engineering (ISEN), Manufacturing and Mechanical Engineering Technology (MMET), Mechanical Engineering (MEEN)</t>
  </si>
  <si>
    <t>Day 1 (Wednesday, January 24th) / Booth: I5
Day 2 (Thursday, January 25th) / Booth: I5</t>
  </si>
  <si>
    <t>Nov 14, 2023, 2:52 PM</t>
  </si>
  <si>
    <t>254-750-6702</t>
  </si>
  <si>
    <t>Day 1 (Wednesday, January 24th) / Booth: E12</t>
  </si>
  <si>
    <t>Nov 13, 2023, 8:28 AM</t>
  </si>
  <si>
    <t>Jennifer Hudspeth</t>
  </si>
  <si>
    <t>Jhudspeth@brocksolutions.com</t>
  </si>
  <si>
    <t>972-616-4851</t>
  </si>
  <si>
    <t>Day 2 (Thursday, January 25th) / Booth: F8</t>
  </si>
  <si>
    <t>Dec 12, 2023, 1:57 PM</t>
  </si>
  <si>
    <t>Chemical Engineering (CHEN), Computer Engineering (CECN), Computer Science (CPSC)</t>
  </si>
  <si>
    <t>Day 1 (Wednesday, January 24th) / Booth: D25</t>
  </si>
  <si>
    <t>Nov 14, 2023, 9:19 AM</t>
  </si>
  <si>
    <t>Day 2 (Thursday, January 25th) / Booth: A10</t>
  </si>
  <si>
    <t>Jan 11, 2024, 2:49 PM</t>
  </si>
  <si>
    <t>Heather Niemeyer</t>
  </si>
  <si>
    <t>hniemeyer@buckeye.com</t>
  </si>
  <si>
    <t>Day 1 (Wednesday, January 24th) / Booth: B5</t>
  </si>
  <si>
    <t>Nov 20, 2023, 9:04 AM</t>
  </si>
  <si>
    <t>Day 1 (Wednesday, January 24th) / Booth: N21</t>
  </si>
  <si>
    <t>Nov 13, 2023, 3:49 PM</t>
  </si>
  <si>
    <t>BXG Systems</t>
  </si>
  <si>
    <t>Campbell Christian</t>
  </si>
  <si>
    <t>cchristian@bxgsystems.com</t>
  </si>
  <si>
    <t>Computer Engineering (CECN), Electrical Engineering (ELEN), Electronic Systems Engineering Technology (ESET), Industrial and Systems Engineering (ISEN), Manufacturing and Mechanical Engineering Technology (MMET), Multidisciplinary Engineering Technology (MXET)</t>
  </si>
  <si>
    <t>Dec 15, 2023, 5:02 PM</t>
  </si>
  <si>
    <t>Aerospace Engineering (AERO), Computer Engineering (CECN), Computer Science (CPSC), Electrical Engineering (ELEN), Electronic Systems Engineering Technology (ESET), Industrial and Systems Engineering (ISEN), Mechanical Engineering (MEEN)</t>
  </si>
  <si>
    <t>Day 2 (Thursday, January 25th) / Booth: F2</t>
  </si>
  <si>
    <t>Nov 13, 2023, 11:10 AM</t>
  </si>
  <si>
    <t>Day 1 (Wednesday, January 24th) / Booth: M22</t>
  </si>
  <si>
    <t>Nov 16, 2023, 11:11 AM</t>
  </si>
  <si>
    <t>Monika Gogia</t>
  </si>
  <si>
    <t>832-325-4919</t>
  </si>
  <si>
    <t>Aerospace Engineering (AERO), Chemical Engineering (CHEN), Electrical Engineering (ELEN), Manufacturing and Mechanical Engineering Technology (MMET), Mechanical Engineering (MEEN)</t>
  </si>
  <si>
    <t>I6</t>
  </si>
  <si>
    <t>Day 1 (Wednesday, January 24th) / Booth: I6</t>
  </si>
  <si>
    <t>Nov 13, 2023, 9:42 AM</t>
  </si>
  <si>
    <t>Day 2 (Thursday, January 25th) / Booth: C17</t>
  </si>
  <si>
    <t>Nov 13, 2023, 9:54 AM</t>
  </si>
  <si>
    <t>Capitalize Data Analytics</t>
  </si>
  <si>
    <t>Ellen Francka</t>
  </si>
  <si>
    <t>HR@capitalizeconsulting.com</t>
  </si>
  <si>
    <t>Dec 15, 2023, 12:57 PM</t>
  </si>
  <si>
    <t>lemmons@capsher.com</t>
  </si>
  <si>
    <t>Computer Engineering (CECN), Computer Science (CPSC), Mechanical Engineering (MEEN)</t>
  </si>
  <si>
    <t>Day 1 (Wednesday, January 24th) / Booth: I26
Day 2 (Thursday, January 25th) / Booth: I26</t>
  </si>
  <si>
    <t>Nov 17, 2023, 11:13 AM</t>
  </si>
  <si>
    <t>Biological and Agricultural Engineering (BAEN), Chemical Engineering (CHEN), Electrical Engineering (ELEN), Environmental Engineering (EVEN), Industrial and Systems Engineering (ISEN), Mechanical Engineering (MEEN)</t>
  </si>
  <si>
    <t>Day 1 (Wednesday, January 24th) / Booth: L6-7
Day 2 (Thursday, January 25th) / Booth: L6-7</t>
  </si>
  <si>
    <t>Nov 13, 2023, 8:18 AM</t>
  </si>
  <si>
    <t>309-494-4415</t>
  </si>
  <si>
    <t>Chemical Engineering (CHEN), Civil and Environmental Engineering (CVEN), Computer Engineering (CECN), Electrical Engineering (ELEN), Electronic Systems Engineering Technology (ESET), Industrial Distribution (IDIS), Industrial and Systems Engineering (ISEN), Manufacturing and Mechanical Engineering Technology (MMET), Materials Science and Engineering (MSEN), Mechanical Engineering (MEEN)</t>
  </si>
  <si>
    <t>Gold One-Day [$2500.00]</t>
  </si>
  <si>
    <t>N13, N14</t>
  </si>
  <si>
    <t>Day 1 (Wednesday, January 24th) / Booth: N13-14</t>
  </si>
  <si>
    <t>Nov 30, 2023, 9:42 AM</t>
  </si>
  <si>
    <t>brad.veath@mcdermott.com</t>
  </si>
  <si>
    <t>Day 1 (Wednesday, January 24th) / Booth: B23</t>
  </si>
  <si>
    <t>Architectural Engineering (AREN), Civil and Environmental Engineering (CVEN), Manufacturing and Mechanical Engineering Technology (MMET), Materials Science and Engineering (MSEN), Mechanical Engineering (MEEN), Multidisciplinary Engineering Technology (MXET)</t>
  </si>
  <si>
    <t>Day 2 (Thursday, January 25th) / Booth: K24</t>
  </si>
  <si>
    <t>Nov 13, 2023, 9:09 AM</t>
  </si>
  <si>
    <t>CDM Smith</t>
  </si>
  <si>
    <t>Julie Lucas</t>
  </si>
  <si>
    <t>hr-recruiting@cdmsmith.com</t>
  </si>
  <si>
    <t>617-452-6791</t>
  </si>
  <si>
    <t>Day 1 (Wednesday, January 24th) / Booth: M20</t>
  </si>
  <si>
    <t>Nov 13, 2023, 8:19 AM</t>
  </si>
  <si>
    <t>Jan 04, 2024, 4:28 PM</t>
  </si>
  <si>
    <t>Day 1 (Wednesday, January 24th) / Booth: B12</t>
  </si>
  <si>
    <t>Nov 14, 2023, 2:47 PM</t>
  </si>
  <si>
    <t>CGG</t>
  </si>
  <si>
    <t>lauren.metz-contractor@cgg.com</t>
  </si>
  <si>
    <t>Chemical Engineering (CHEN), Computer Engineering (CECN), Computer Science (CPSC), Data Engineering (DATA), Electrical Engineering (ELEN), Electronic Systems Engineering Technology (ESET), Manufacturing and Mechanical Engineering Technology (MMET), Materials Science and Engineering (MSEN), Mechanical Engineering (MEEN)</t>
  </si>
  <si>
    <t>Day 1 (Wednesday, January 24th) / Booth: K22</t>
  </si>
  <si>
    <t>Dec 19, 2023, 4:53 PM</t>
  </si>
  <si>
    <t>Day 1 (Wednesday, January 24th) / Booth: I24
Day 2 (Thursday, January 25th) / Booth: I24</t>
  </si>
  <si>
    <t>Nov 20, 2023, 3:14 PM</t>
  </si>
  <si>
    <t>Morgan Wilbur</t>
  </si>
  <si>
    <t>morgan.wilbur@chartindustries.com</t>
  </si>
  <si>
    <t>Chemical Engineering (CHEN), Electrical Engineering (ELEN), Manufacturing and Mechanical Engineering Technology (MMET)</t>
  </si>
  <si>
    <t>Day 1 (Wednesday, January 24th) / Booth: B27
Day 2 (Thursday, January 25th) / Booth: B27</t>
  </si>
  <si>
    <t>Dec 15, 2023, 9:03 AM</t>
  </si>
  <si>
    <t>Cimarron, Inc.</t>
  </si>
  <si>
    <t>Katie Lundgaard</t>
  </si>
  <si>
    <t>klundgaard@cimarroninc.com</t>
  </si>
  <si>
    <t>Day 1 (Wednesday, January 24th) / Booth: H19</t>
  </si>
  <si>
    <t>Nov 29, 2023, 1:06 PM</t>
  </si>
  <si>
    <t>Day 1 (Wednesday, January 24th) / Booth: A14</t>
  </si>
  <si>
    <t>Nov 29, 2023, 10:01 AM</t>
  </si>
  <si>
    <t>Civilian Careers in STEM- Eglin Air Force Base</t>
  </si>
  <si>
    <t>Misty Hutchison</t>
  </si>
  <si>
    <t>350sww.dpc.recruitment@us.af.mil</t>
  </si>
  <si>
    <t>850.883.2162</t>
  </si>
  <si>
    <t>Aerospace Engineering (AERO), Computer Engineering (CECN), Computer Science (CPSC), Data Engineering (DATA), Electrical Engineering (ELEN), Electronic Systems Engineering Technology (ESET), Mechanical Engineering (MEEN), Multidisciplinary Engineering Technology (MXET)</t>
  </si>
  <si>
    <t>Day 1 (Wednesday, January 24th) / Booth: A11</t>
  </si>
  <si>
    <t>Dec 05, 2023, 3:16 PM</t>
  </si>
  <si>
    <t>ClayMoore Engineering</t>
  </si>
  <si>
    <t>Drew Donosky</t>
  </si>
  <si>
    <t>drew@claymooreeng.com</t>
  </si>
  <si>
    <t>Day 1 (Wednesday, January 24th) / Booth: G6</t>
  </si>
  <si>
    <t>Anne Hernandez</t>
  </si>
  <si>
    <t>HRSeguinSTexas@cmc.com</t>
  </si>
  <si>
    <t>830.372.8718</t>
  </si>
  <si>
    <t>Electrical Engineering (ELEN), Materials Science and Engineering (MSEN), Mechanical Engineering (MEEN)</t>
  </si>
  <si>
    <t>Day 1 (Wednesday, January 24th) / Booth: D5</t>
  </si>
  <si>
    <t>Nov 13, 2023, 8:33 AM</t>
  </si>
  <si>
    <t>Joseph Jeon</t>
  </si>
  <si>
    <t>houjun.jeon@cobbfendley.com</t>
  </si>
  <si>
    <t>713 485 8095</t>
  </si>
  <si>
    <t>Day 1 (Wednesday, January 24th) / Booth: N19</t>
  </si>
  <si>
    <t>Nov 13, 2023, 8:26 AM</t>
  </si>
  <si>
    <t>Aerospace Engineering (AERO), Chemical Engineering (CHEN), Computer Engineering (CECN), Computer Science (CPSC), Electrical Engineering (ELEN), Industrial and Systems Engineering (ISEN), Manufacturing and Mechanical Engineering Technology (MMET), Materials Science and Engineering (MSEN), Mechanical Engineering (MEEN)</t>
  </si>
  <si>
    <t>Day 1 (Wednesday, January 24th) / Booth: O6</t>
  </si>
  <si>
    <t>Nov 14, 2023, 10:54 AM</t>
  </si>
  <si>
    <t>Irma Echeverria</t>
  </si>
  <si>
    <t>irma.echeverria@conagra.com</t>
  </si>
  <si>
    <t>708-252-9100</t>
  </si>
  <si>
    <t>Day 1 (Wednesday, January 24th) / Booth: C22</t>
  </si>
  <si>
    <t>Nov 13, 2023, 9:19 AM</t>
  </si>
  <si>
    <t>Michael Cesana</t>
  </si>
  <si>
    <t>mcesana@consoreng.com</t>
  </si>
  <si>
    <t>786-682-3568</t>
  </si>
  <si>
    <t>Day 1 (Wednesday, January 24th) / Booth: I19</t>
  </si>
  <si>
    <t>Nov 29, 2023, 4:32 PM</t>
  </si>
  <si>
    <t>Chemical Engineering (CHEN), Computer Engineering (CECN), Computer Science (CPSC), Data Engineering (DATA), Electrical Engineering (ELEN), Electronic Systems Engineering Technology (ESET), Industrial and Systems Engineering (ISEN), Manufacturing and Mechanical Engineering Technology (MMET), Mechanical Engineering (MEEN), Multidisciplinary Engineering Technology (MXET)</t>
  </si>
  <si>
    <t>Day 2 (Thursday, January 25th) / Booth: L23</t>
  </si>
  <si>
    <t>Nov 15, 2023, 9:28 AM</t>
  </si>
  <si>
    <t>Sheryl Loving-Layfield</t>
  </si>
  <si>
    <t>slovinglayfield@cranecpe.com</t>
  </si>
  <si>
    <t>Day 2 (Thursday, January 25th) / Booth: D18</t>
  </si>
  <si>
    <t>Nov 13, 2023, 11:40 AM</t>
  </si>
  <si>
    <t>Jane Hershman</t>
  </si>
  <si>
    <t>jane.hershman@crowncastle.com</t>
  </si>
  <si>
    <t>404 444 3781</t>
  </si>
  <si>
    <t>Civil and Environmental Engineering (CVEN), Electrical Engineering (ELEN), Industrial Distribution (IDIS), Industrial and Systems Engineering (ISEN), Mechanical Engineering (MEEN), Multidisciplinary Engineering Technology (MXET)</t>
  </si>
  <si>
    <t>Day 1 (Wednesday, January 24th) / Booth: N3</t>
  </si>
  <si>
    <t>Dec 11, 2023, 6:49 AM</t>
  </si>
  <si>
    <t>Day 1 (Wednesday, January 24th) / Booth: O9
Day 2 (Thursday, January 25th) / Booth: O9</t>
  </si>
  <si>
    <t>Jan 10, 2024, 3:27 PM</t>
  </si>
  <si>
    <t>Dec 04, 2023, 3:44 PM</t>
  </si>
  <si>
    <t>A8, A9</t>
  </si>
  <si>
    <t>Day 1 (Wednesday, January 24th) / Booth: A8-9
Day 2 (Thursday, January 25th) / Booth: A8-9</t>
  </si>
  <si>
    <t>Nov 14, 2023, 7:09 AM</t>
  </si>
  <si>
    <t>Day 1 (Wednesday, January 24th) / Booth: E25
Day 2 (Thursday, January 25th) / Booth: E25</t>
  </si>
  <si>
    <t>Day 1 (Wednesday, January 24th) / Booth: G1</t>
  </si>
  <si>
    <t>Nov 14, 2023, 10:25 AM</t>
  </si>
  <si>
    <t>DEC (DE Corp)</t>
  </si>
  <si>
    <t>Tyler Hiroms</t>
  </si>
  <si>
    <t>tyler.hiroms@decorp.com</t>
  </si>
  <si>
    <t>Day 2 (Thursday, January 25th) / Booth: C7</t>
  </si>
  <si>
    <t>Day 2 (Thursday, January 25th) / Booth: H6</t>
  </si>
  <si>
    <t>Delek US Holdings</t>
  </si>
  <si>
    <t>Brittany Miles</t>
  </si>
  <si>
    <t>brittany.miles@delekus.com</t>
  </si>
  <si>
    <t>704-806-8327</t>
  </si>
  <si>
    <t>Chemical Engineering (CHEN), Environmental Engineering (EVEN), Mechanical Engineering (MEEN)</t>
  </si>
  <si>
    <t>Day 1 (Wednesday, January 24th)
Day 2 (Thursday, January 25th) / Booth: F21</t>
  </si>
  <si>
    <t>Nov 13, 2023, 10:11 PM</t>
  </si>
  <si>
    <t>F15, F16</t>
  </si>
  <si>
    <t>Day 1 (Wednesday, January 24th)
Day 2 (Thursday, January 25th)</t>
  </si>
  <si>
    <t>Nov 13, 2023, 8:12 AM</t>
  </si>
  <si>
    <t>Delta Airport Consultants Inc.</t>
  </si>
  <si>
    <t>Tara Eschenfelder</t>
  </si>
  <si>
    <t>teschenfelder@deltaairport.com</t>
  </si>
  <si>
    <t>(804) 275-8301</t>
  </si>
  <si>
    <t>Day 2 (Thursday, January 25th) / Booth: B12</t>
  </si>
  <si>
    <t>Dec 20, 2023, 11:23 AM</t>
  </si>
  <si>
    <t>DELTA |v| Forensic Engineering, INC</t>
  </si>
  <si>
    <t>Destiny Vann</t>
  </si>
  <si>
    <t>dvann@deltavinc.com</t>
  </si>
  <si>
    <t>980-505-1970</t>
  </si>
  <si>
    <t>Day 2 (Thursday, January 25th) / Booth: K22</t>
  </si>
  <si>
    <t>Nov 20, 2023, 10:53 AM</t>
  </si>
  <si>
    <t>Department of Information &amp; Operations Management</t>
  </si>
  <si>
    <t>Dr. Bob Beatty</t>
  </si>
  <si>
    <t>bbeatty@mays.tamu.edu</t>
  </si>
  <si>
    <t>979-845-2392</t>
  </si>
  <si>
    <t>Computer Science (CPSC), Data Engineering (DATA), Industrial Distribution (IDIS), Industrial and Systems Engineering (ISEN), Manufacturing and Mechanical Engineering Technology (MMET), Materials Science and Engineering (MSEN)</t>
  </si>
  <si>
    <t>Day 1 (Wednesday, January 24th) / Booth: N6
Day 2 (Thursday, January 25th) / Booth: N6</t>
  </si>
  <si>
    <t>Dec 15, 2023, 3:15 PM</t>
  </si>
  <si>
    <t>DeSimone Consulting Engineers</t>
  </si>
  <si>
    <t>Rachel Spaulding</t>
  </si>
  <si>
    <t>rachel.spaulding@de-simone.com</t>
  </si>
  <si>
    <t>Jan 12, 2024, 11:30 AM</t>
  </si>
  <si>
    <t>Tess Garbarino</t>
  </si>
  <si>
    <t>tess.garbarino@de-simone.com</t>
  </si>
  <si>
    <t>973-934-2093</t>
  </si>
  <si>
    <t>Day 1 (Wednesday, January 24th) / Booth: C9</t>
  </si>
  <si>
    <t>Dec 14, 2023, 12:43 PM</t>
  </si>
  <si>
    <t>Jan 10, 2024, 3:56 PM</t>
  </si>
  <si>
    <t>817.335.1121</t>
  </si>
  <si>
    <t>Day 1 (Wednesday, January 24th) / Booth: K17</t>
  </si>
  <si>
    <t>Dec 19, 2023, 9:50 AM</t>
  </si>
  <si>
    <t>Dura-Tech Processes Inc</t>
  </si>
  <si>
    <t>Miranda Wilson</t>
  </si>
  <si>
    <t>mwilson@dtp.co</t>
  </si>
  <si>
    <t>Chemical Engineering (CHEN), Materials Science and Engineering (MSEN)</t>
  </si>
  <si>
    <t>Day 1 (Wednesday, January 24th) / Booth: F26</t>
  </si>
  <si>
    <t>Nov 20, 2023, 2:58 PM</t>
  </si>
  <si>
    <t>Mariana Paulo</t>
  </si>
  <si>
    <t>mariana.paulo@dxpe.com</t>
  </si>
  <si>
    <t>(713) 239-1545</t>
  </si>
  <si>
    <t>Day 1 (Wednesday, January 24th) / Booth: I25
Day 2 (Thursday, January 25th) / Booth: I25</t>
  </si>
  <si>
    <t>Jan 03, 2024, 12:01 PM</t>
  </si>
  <si>
    <t>Day 2 (Thursday, January 25th) / Booth: M4</t>
  </si>
  <si>
    <t>Nov 13, 2023, 9:00 AM</t>
  </si>
  <si>
    <t>Day 1 (Wednesday, January 24th) / Booth: M28
Day 2 (Thursday, January 25th) / Booth: M28</t>
  </si>
  <si>
    <t>Nov 13, 2023, 8:34 AM</t>
  </si>
  <si>
    <t>Dynaten Corporation</t>
  </si>
  <si>
    <t>Jessica Steates</t>
  </si>
  <si>
    <t>jsteates@dynaten.com</t>
  </si>
  <si>
    <t>682-381-4801</t>
  </si>
  <si>
    <t>Electrical Engineering (ELEN), Industrial and Systems Engineering (ISEN), Manufacturing and Mechanical Engineering Technology (MMET), Materials Science and Engineering (MSEN), Mechanical Engineering (MEEN)</t>
  </si>
  <si>
    <t>Day 2 (Thursday, January 25th) / Booth: H3</t>
  </si>
  <si>
    <t>Dec 01, 2023, 11:59 AM</t>
  </si>
  <si>
    <t>Kent Peasley</t>
  </si>
  <si>
    <t>kspeasley@edg.net</t>
  </si>
  <si>
    <t>Chemical Engineering (CHEN), Civil and Environmental Engineering (CVEN), Electrical Engineering (ELEN), Ocean Engineering (OCEN)</t>
  </si>
  <si>
    <t>Day 2 (Thursday, January 25th) / Booth: J24</t>
  </si>
  <si>
    <t>Jan 08, 2024, 11:56 AM</t>
  </si>
  <si>
    <t>Vincent Battles</t>
  </si>
  <si>
    <t>vincent.battles@elbitsystems-us.com</t>
  </si>
  <si>
    <t>Aerospace Engineering (AERO), Computer Engineering (CECN), Computer Science (CPSC), Electrical Engineering (ELEN), Electronic Systems Engineering Technology (ESET), Manufacturing and Mechanical Engineering Technology (MMET), Mechanical Engineering (MEEN)</t>
  </si>
  <si>
    <t>Day 1 (Wednesday, January 24th) / Booth: D20-21</t>
  </si>
  <si>
    <t>Jan 08, 2024, 1:52 PM</t>
  </si>
  <si>
    <t>Computer Engineering (CECN), Data Engineering (DATA), Electrical Engineering (ELEN)</t>
  </si>
  <si>
    <t>Day 2 (Thursday, January 25th) / Booth: N21</t>
  </si>
  <si>
    <t>Jan 08, 2024, 2:24 PM</t>
  </si>
  <si>
    <t>Day 2 (Thursday, January 25th) / Booth: I10</t>
  </si>
  <si>
    <t>Nov 13, 2023, 8:32 AM</t>
  </si>
  <si>
    <t>Computer Engineering (CECN), Electrical Engineering (ELEN), Industrial Distribution (IDIS), Manufacturing and Mechanical Engineering Technology (MMET), Mechanical Engineering (MEEN)</t>
  </si>
  <si>
    <t>Day 1 (Wednesday, January 24th) / Booth: M23
Day 2 (Thursday, January 25th) / Booth: M23</t>
  </si>
  <si>
    <t>Nov 20, 2023, 11:37 AM</t>
  </si>
  <si>
    <t>Day 1 (Wednesday, January 24th) / Booth: F23</t>
  </si>
  <si>
    <t>Nov 13, 2023, 10:12 AM</t>
  </si>
  <si>
    <t>Ellwood Texas Forge Navasota</t>
  </si>
  <si>
    <t>Laurie Glameyer</t>
  </si>
  <si>
    <t>lglameyer@elwd.com</t>
  </si>
  <si>
    <t>(936)870-2209</t>
  </si>
  <si>
    <t>Electrical Engineering (ELEN), Electronic Systems Engineering Technology (ESET), Industrial and Systems Engineering (ISEN), Materials Science and Engineering (MSEN), Mechanical Engineering (MEEN)</t>
  </si>
  <si>
    <t>Day 1 (Wednesday, January 24th) / Booth: J27</t>
  </si>
  <si>
    <t>Nov 13, 2023, 1:25 PM</t>
  </si>
  <si>
    <t>Encotech Engineering Consultants, Inc.</t>
  </si>
  <si>
    <t>Day 1 (Wednesday, January 24th) / Booth: L21</t>
  </si>
  <si>
    <t>Nov 20, 2023, 10:54 AM</t>
  </si>
  <si>
    <t>678-763-5161</t>
  </si>
  <si>
    <t>Day 1 (Wednesday, January 24th) / Booth: C8</t>
  </si>
  <si>
    <t>Nov 21, 2023, 3:15 PM</t>
  </si>
  <si>
    <t>Day 2 (Thursday, January 25th) / Booth: B10</t>
  </si>
  <si>
    <t>Nov 13, 2023, 9:31 AM</t>
  </si>
  <si>
    <t>Day 1 (Wednesday, January 24th) / Booth: M7</t>
  </si>
  <si>
    <t>Nov 15, 2023, 11:23 AM</t>
  </si>
  <si>
    <t>Biomedical Engineering (BMEN), Chemical Engineering (CHEN), Electrical Engineering (ELEN), Industrial and Systems Engineering (ISEN), Mechanical Engineering (MEEN)</t>
  </si>
  <si>
    <t>Day 1 (Wednesday, January 24th) / Booth: I22
Day 2 (Thursday, January 25th) / Booth: I22</t>
  </si>
  <si>
    <t>Dec 06, 2023, 8:05 AM</t>
  </si>
  <si>
    <t>Enprotec / Hibbs &amp; Todd, Inc. (eHT)</t>
  </si>
  <si>
    <t>Jessica Long</t>
  </si>
  <si>
    <t>jessica.long@e-ht.com</t>
  </si>
  <si>
    <t>Day 1 (Wednesday, January 24th) / Booth: L20</t>
  </si>
  <si>
    <t>Nov 14, 2023, 10:30 AM</t>
  </si>
  <si>
    <t>E2, E3</t>
  </si>
  <si>
    <t>Day 1 (Wednesday, January 24th) / Booth: E2-3
Day 2 (Thursday, January 25th) / Booth: E2-3</t>
  </si>
  <si>
    <t>Nov 13, 2023, 8:43 AM</t>
  </si>
  <si>
    <t>Day 2 (Thursday, January 25th) / Booth: K12</t>
  </si>
  <si>
    <t>Nov 13, 2023, 8:46 AM</t>
  </si>
  <si>
    <t>Kristen Ambeau</t>
  </si>
  <si>
    <t>Kambea2@entergy.com</t>
  </si>
  <si>
    <t>504-576-2031</t>
  </si>
  <si>
    <t>Chemical Engineering (CHEN), Civil and Environmental Engineering (CVEN), Computer Engineering (CECN), Computer Science (CPSC), Mechanical Engineering (MEEN), Nuclear Engineering (NUEN)</t>
  </si>
  <si>
    <t>Day 2 (Thursday, January 25th) / Booth: D20-21</t>
  </si>
  <si>
    <t>Nov 14, 2023, 10:43 AM</t>
  </si>
  <si>
    <t>N28</t>
  </si>
  <si>
    <t>Day 1 (Wednesday, January 24th) / Booth: N28
Day 2 (Thursday, January 25th) / Booth: N28</t>
  </si>
  <si>
    <t>Jan 10, 2024, 10:33 AM</t>
  </si>
  <si>
    <t>Day 1 (Wednesday, January 24th) / Booth: H21</t>
  </si>
  <si>
    <t>Nov 13, 2023, 9:12 AM</t>
  </si>
  <si>
    <t>ETA International</t>
  </si>
  <si>
    <t>George Wyatt Tubb</t>
  </si>
  <si>
    <t>wtubb@etainc.org</t>
  </si>
  <si>
    <t>Aerospace Engineering (AERO), Manufacturing and Mechanical Engineering Technology (MMET), Mechanical Engineering (MEEN)</t>
  </si>
  <si>
    <t>Day 1 (Wednesday, January 24th) / Booth: K7</t>
  </si>
  <si>
    <t>Jan 16, 2024, 10:11 AM</t>
  </si>
  <si>
    <t>Ethos Group</t>
  </si>
  <si>
    <t>Natalie Adams</t>
  </si>
  <si>
    <t>ncausey@ethosgroup.com</t>
  </si>
  <si>
    <t>Day 2 (Thursday, January 25th) / Booth: B1</t>
  </si>
  <si>
    <t>Nov 28, 2023, 12:03 PM</t>
  </si>
  <si>
    <t>Day 1 (Wednesday, January 24th) / Booth: F22</t>
  </si>
  <si>
    <t>Nov 14, 2023, 9:06 AM</t>
  </si>
  <si>
    <t>pzimmerman@farmerselectric.coop</t>
  </si>
  <si>
    <t>Electrical Engineering (ELEN), Electronic Systems Engineering Technology (ESET), Manufacturing and Mechanical Engineering Technology (MMET)</t>
  </si>
  <si>
    <t>Day 1 (Wednesday, January 24th) / Booth: A3
Day 2 (Thursday, January 25th) / Booth: A3</t>
  </si>
  <si>
    <t>Jan 05, 2024, 12:29 PM</t>
  </si>
  <si>
    <t>Emma Hingst</t>
  </si>
  <si>
    <t>fastcareers@fastenterprises.com</t>
  </si>
  <si>
    <t>Day 1 (Wednesday, January 24th) / Booth: J11</t>
  </si>
  <si>
    <t>Nov 13, 2023, 8:31 AM</t>
  </si>
  <si>
    <t>M2, M3</t>
  </si>
  <si>
    <t>Nov 13, 2023, 12:52 PM</t>
  </si>
  <si>
    <t>Federal Aviation Administration (FAA); Aircraft Certification Service</t>
  </si>
  <si>
    <t>Aerospace Engineering (AERO), Computer Engineering (CECN), Electrical Engineering (ELEN), Mechanical Engineering (MEEN)</t>
  </si>
  <si>
    <t>Day 2 (Thursday, January 25th) / Booth: M2-3</t>
  </si>
  <si>
    <t>Jan 09, 2024, 9:16 AM</t>
  </si>
  <si>
    <t>Federal Highway Administration</t>
  </si>
  <si>
    <t>Peter Frantz</t>
  </si>
  <si>
    <t>peter.frantz@dot.gov</t>
  </si>
  <si>
    <t>(202) 366-1188</t>
  </si>
  <si>
    <t>Architectural Engineering (AREN), Civil and Environmental Engineering (CVEN), Computer Engineering (CECN), Computer Science (CPSC), Data Engineering (DATA), Environmental Engineering (EVEN), Industrial and Systems Engineering (ISEN), Manufacturing and Mechanical Engineering Technology (MMET), Materials Science and Engineering (MSEN), Mechanical Engineering (MEEN), Multidisciplinary Engineering Technology (MXET)</t>
  </si>
  <si>
    <t>Day 2 (Thursday, January 25th)</t>
  </si>
  <si>
    <t>Jan 02, 2024, 4:45 PM</t>
  </si>
  <si>
    <t>Nov 13, 2023, 4:49 PM</t>
  </si>
  <si>
    <t>Laura Sánchez Ferrovial Corporación S.A. Príncipe de Vergara, 135 Madrid 28002 CIF/NIF A85959484</t>
  </si>
  <si>
    <t>laura.sanchez@ferrovial.com</t>
  </si>
  <si>
    <t>512-637-8587</t>
  </si>
  <si>
    <t>Architectural Engineering (AREN), Civil and Environmental Engineering (CVEN), Computer Engineering (CECN), Environmental Engineering (EVEN), Industrial and Systems Engineering (ISEN), Mechanical Engineering (MEEN)</t>
  </si>
  <si>
    <t>Day 1 (Wednesday, January 24th) / Booth: B21
Day 2 (Thursday, January 25th) / Booth: B21</t>
  </si>
  <si>
    <t>Nov 23, 2023, 8:17 AM</t>
  </si>
  <si>
    <t>Brynn Freeman</t>
  </si>
  <si>
    <t>bfreeman@flowserve.com</t>
  </si>
  <si>
    <t>Aerospace Engineering (AERO), Chemical Engineering (CHEN), Industrial and Systems Engineering (ISEN), Manufacturing and Mechanical Engineering Technology (MMET), Mechanical Engineering (MEEN), Nuclear Engineering (NUEN), Petroleum Engineering (PETE)</t>
  </si>
  <si>
    <t>Day 1 (Wednesday, January 24th) / Booth: J22-23
Day 2 (Thursday, January 25th) / Booth: J22-23</t>
  </si>
  <si>
    <t>Nov 13, 2023, 7:26 PM</t>
  </si>
  <si>
    <t>Fluke</t>
  </si>
  <si>
    <t>Allison Stephens</t>
  </si>
  <si>
    <t>allison.stephens@fluke.com</t>
  </si>
  <si>
    <t>425 446 4734</t>
  </si>
  <si>
    <t>Day 2 (Thursday, January 25th) / Booth: J14</t>
  </si>
  <si>
    <t>Jan 02, 2024, 2:40 PM</t>
  </si>
  <si>
    <t>catherine.lamb@fluor.com</t>
  </si>
  <si>
    <t>Architectural Engineering (AREN), Chemical Engineering (CHEN), Civil and Environmental Engineering (CVEN), Electrical Engineering (ELEN), Mechanical Engineering (MEEN), Nuclear Engineering (NUEN), Petroleum Engineering (PETE)</t>
  </si>
  <si>
    <t>Day 1 (Wednesday, January 24th) / Booth: G22
Day 2 (Thursday, January 25th) / Booth: G22</t>
  </si>
  <si>
    <t>Foresite Group, LLC</t>
  </si>
  <si>
    <t>Morgan H McNair</t>
  </si>
  <si>
    <t>mmcnair@fg-inc.net</t>
  </si>
  <si>
    <t>Day 1 (Wednesday, January 24th) / Booth: H7</t>
  </si>
  <si>
    <t>Nov 29, 2023, 9:28 AM</t>
  </si>
  <si>
    <t>Chemical Engineering (CHEN), Computer Engineering (CECN), Electrical Engineering (ELEN), Environmental Engineering (EVEN), Mechanical Engineering (MEEN)</t>
  </si>
  <si>
    <t>Day 1 (Wednesday, January 24th) / Booth: G21
Day 2 (Thursday, January 25th) / Booth: G21</t>
  </si>
  <si>
    <t>Jan 05, 2024, 11:24 AM</t>
  </si>
  <si>
    <t>N1, N2</t>
  </si>
  <si>
    <t>Day 1 (Wednesday, January 24th) / Booth: N1-2
Day 2 (Thursday, January 25th) / Booth: N1-2</t>
  </si>
  <si>
    <t>Nov 14, 2023, 8:53 AM</t>
  </si>
  <si>
    <t>Day 1 (Wednesday, January 24th) / Booth: B15</t>
  </si>
  <si>
    <t>Nov 13, 2023, 12:51 PM</t>
  </si>
  <si>
    <t>Qwenada A Moore</t>
  </si>
  <si>
    <t>Day 1 (Wednesday, January 24th) / Booth: B2</t>
  </si>
  <si>
    <t>Nov 14, 2023, 8:50 AM</t>
  </si>
  <si>
    <t>Beatriz Hernandez</t>
  </si>
  <si>
    <t>beatriz.hernandez@gaf.com</t>
  </si>
  <si>
    <t>Day 1 (Wednesday, January 24th) / Booth: E19
Day 2 (Thursday, January 25th) / Booth: E19</t>
  </si>
  <si>
    <t>Nov 13, 2023, 11:20 AM</t>
  </si>
  <si>
    <t>GAF Energy</t>
  </si>
  <si>
    <t>Gina Goodman</t>
  </si>
  <si>
    <t>gina.goodman@gaf.energy</t>
  </si>
  <si>
    <t>530-556-5893</t>
  </si>
  <si>
    <t>Electrical Engineering (ELEN), Manufacturing and Mechanical Engineering Technology (MMET), Materials Science and Engineering (MSEN), Mechanical Engineering (MEEN)</t>
  </si>
  <si>
    <t>Day 2 (Thursday, January 25th) / Booth: E26</t>
  </si>
  <si>
    <t>Nov 13, 2023, 12:37 PM</t>
  </si>
  <si>
    <t>Alex Lievirisci</t>
  </si>
  <si>
    <t>N24</t>
  </si>
  <si>
    <t>Day 2 (Thursday, January 25th) / Booth: N24</t>
  </si>
  <si>
    <t>Nov 14, 2023, 7:52 AM</t>
  </si>
  <si>
    <t>Day 1 (Wednesday, January 24th) / Booth: O8</t>
  </si>
  <si>
    <t>620-224-8843</t>
  </si>
  <si>
    <t>Day 1 (Wednesday, January 24th) / Booth: E15</t>
  </si>
  <si>
    <t>Nov 13, 2023, 8:09 AM</t>
  </si>
  <si>
    <t>860.405.3450</t>
  </si>
  <si>
    <t>Architectural Engineering (AREN), Computer Science (CPSC), Electrical Engineering (ELEN), Mechanical Engineering (MEEN), Ocean Engineering (OCEN)</t>
  </si>
  <si>
    <t>Day 2 (Thursday, January 25th) / Booth: B11</t>
  </si>
  <si>
    <t>Nov 13, 2023, 8:35 AM</t>
  </si>
  <si>
    <t>Civil and Environmental Engineering (CVEN), Environmental Engineering (EVEN), Materials Science and Engineering (MSEN), Ocean Engineering (OCEN)</t>
  </si>
  <si>
    <t>Day 1 (Wednesday, January 24th) / Booth: M25
Day 2 (Thursday, January 25th) / Booth: M25</t>
  </si>
  <si>
    <t>Gilbane Building Company</t>
  </si>
  <si>
    <t>Jenna Knight</t>
  </si>
  <si>
    <t>jknight@gilbaneco.com</t>
  </si>
  <si>
    <t>Jan 02, 2024, 1:09 PM</t>
  </si>
  <si>
    <t>GlobalWafers America, LLC</t>
  </si>
  <si>
    <t>Morgan England</t>
  </si>
  <si>
    <t>msengland@gw-globitech.com</t>
  </si>
  <si>
    <t>Chemical Engineering (CHEN), Computer Engineering (CECN), Electrical Engineering (ELEN), Materials Science and Engineering (MSEN), Mechanical Engineering (MEEN)</t>
  </si>
  <si>
    <t>Day 2 (Thursday, January 25th) / Booth: M7</t>
  </si>
  <si>
    <t>Jan 12, 2024, 10:48 AM</t>
  </si>
  <si>
    <t>Day 2 (Thursday, January 25th) / Booth: B6</t>
  </si>
  <si>
    <t>Nov 13, 2023, 8:59 AM</t>
  </si>
  <si>
    <t>Gray Mechanical Contractors</t>
  </si>
  <si>
    <t>Cody Casey</t>
  </si>
  <si>
    <t>cody.casey@graymechanical.com</t>
  </si>
  <si>
    <t>281.820.2200</t>
  </si>
  <si>
    <t>Day 1 (Wednesday, January 24th) / Booth: G5</t>
  </si>
  <si>
    <t>Nov 14, 2023, 8:06 AM</t>
  </si>
  <si>
    <t>Day 1 (Wednesday, January 24th) / Booth: J4</t>
  </si>
  <si>
    <t>Nov 16, 2023, 8:38 AM</t>
  </si>
  <si>
    <t>GSI Environmental Inc.</t>
  </si>
  <si>
    <t>Sabrina Wight</t>
  </si>
  <si>
    <t>smwight@gsi-net.com</t>
  </si>
  <si>
    <t>713-522-6322</t>
  </si>
  <si>
    <t>Day 1 (Wednesday, January 24th) / Booth: H11</t>
  </si>
  <si>
    <t>Dec 01, 2023, 3:30 PM</t>
  </si>
  <si>
    <t>Chemical Engineering (CHEN), Electrical Engineering (ELEN), Environmental Engineering (EVEN), Industrial and Systems Engineering (ISEN), Materials Science and Engineering (MSEN), Mechanical Engineering (MEEN), Nuclear Engineering (NUEN), Petroleum Engineering (PETE)</t>
  </si>
  <si>
    <t>Day 2 (Thursday, January 25th) / Booth: G16</t>
  </si>
  <si>
    <t>Nov 27, 2023, 3:45 PM</t>
  </si>
  <si>
    <t>Day 1 (Wednesday, January 24th) / Booth: N17</t>
  </si>
  <si>
    <t>Dec 05, 2023, 12:39 PM</t>
  </si>
  <si>
    <t>Day 1 (Wednesday, January 24th) / Booth: M21</t>
  </si>
  <si>
    <t>Dec 13, 2023, 6:02 PM</t>
  </si>
  <si>
    <t>Haley &amp; Aldrich</t>
  </si>
  <si>
    <t>B.G. Getsinger</t>
  </si>
  <si>
    <t>bgetsinger@haleyaldrich.com</t>
  </si>
  <si>
    <t>978-234-5047</t>
  </si>
  <si>
    <t>Day 2 (Thursday, January 25th) / Booth: H25</t>
  </si>
  <si>
    <t>Dec 05, 2023, 11:28 AM</t>
  </si>
  <si>
    <t>Raymond Kallas</t>
  </si>
  <si>
    <t>jessica.merritt@halff.com</t>
  </si>
  <si>
    <t>D26, D27</t>
  </si>
  <si>
    <t>Day 1 (Wednesday, January 24th) / Booth: D26-27
Day 2 (Thursday, January 25th) / Booth: D26-27</t>
  </si>
  <si>
    <t>Nov 14, 2023, 2:40 PM</t>
  </si>
  <si>
    <t>Chemical Engineering (CHEN), Computer Engineering (CECN), Computer Science (CPSC), Data Engineering (DATA), Electrical Engineering (ELEN), Electronic Systems Engineering Technology (ESET), Industrial Distribution (IDIS), Industrial and Systems Engineering (ISEN), Manufacturing and Mechanical Engineering Technology (MMET), Materials Science and Engineering (MSEN), Mechanical Engineering (MEEN), Petroleum Engineering (PETE)</t>
  </si>
  <si>
    <t>H1, H2</t>
  </si>
  <si>
    <t>Day 1 (Wednesday, January 24th) / Booth: H1-2
Day 2 (Thursday, January 25th) / Booth: H1-2</t>
  </si>
  <si>
    <t>D11</t>
  </si>
  <si>
    <t>Day 1 (Wednesday, January 24th) / Booth: D11</t>
  </si>
  <si>
    <t>Dec 28, 2023, 11:34 AM</t>
  </si>
  <si>
    <t>Harris County Engineering</t>
  </si>
  <si>
    <t>Robert Silva</t>
  </si>
  <si>
    <t>robert.silva@harriscountytx.gov</t>
  </si>
  <si>
    <t>832-969-3710</t>
  </si>
  <si>
    <t>Day 2 (Thursday, January 25th) / Booth: D11</t>
  </si>
  <si>
    <t>Dec 28, 2023, 9:03 AM</t>
  </si>
  <si>
    <t>Jessica Harris</t>
  </si>
  <si>
    <t>jessica@hesconnect.com</t>
  </si>
  <si>
    <t>737-340-1111</t>
  </si>
  <si>
    <t>Day 2 (Thursday, January 25th) / Booth: B15</t>
  </si>
  <si>
    <t>Nov 13, 2023, 9:18 AM</t>
  </si>
  <si>
    <t>Day 1 (Wednesday, January 24th) / Booth: C20</t>
  </si>
  <si>
    <t>Dec 01, 2023, 11:49 AM</t>
  </si>
  <si>
    <t>Chemical Engineering (CHEN), Civil and Environmental Engineering (CVEN), Electrical Engineering (ELEN), Environmental Engineering (EVEN), Industrial and Systems Engineering (ISEN), Materials Science and Engineering (MSEN), Mechanical Engineering (MEEN), Nuclear Engineering (NUEN)</t>
  </si>
  <si>
    <t>Day 1 (Wednesday, January 24th) / Booth: D4
Day 2 (Thursday, January 25th) / Booth: D4</t>
  </si>
  <si>
    <t>Dec 12, 2023, 9:26 AM</t>
  </si>
  <si>
    <t>Day 1 (Wednesday, January 24th) / Booth: L17-18
Day 2 (Thursday, January 25th) / Booth: L17-18</t>
  </si>
  <si>
    <t>Heat Transfer Research, Inc. (HTRI)</t>
  </si>
  <si>
    <t>Kimberly Bishop</t>
  </si>
  <si>
    <t>hr@htri.net</t>
  </si>
  <si>
    <t>979-690-5050</t>
  </si>
  <si>
    <t>Day 1 (Wednesday, January 24th) / Booth: E5</t>
  </si>
  <si>
    <t>Dec 18, 2023, 11:41 AM</t>
  </si>
  <si>
    <t>Architectural Engineering (AREN), Biological and Agricultural Engineering (BAEN), Biomedical Engineering (BMEN), Chemical Engineering (CHEN), Computer Engineering (CECN), Computer Science (CPSC), Data Engineering (DATA), Electrical Engineering (ELEN), Electronic Systems Engineering Technology (ESET), Environmental Engineering (EVEN), Industrial Distribution (IDIS), Industrial and Systems Engineering (ISEN), Manufacturing and Mechanical Engineering Technology (MMET), Mechanical Engineering (MEEN), Multidisciplinary Engineering Technology (MXET)</t>
  </si>
  <si>
    <t>Day 1 (Wednesday, January 24th) / Booth: I8</t>
  </si>
  <si>
    <t>Dec 11, 2023, 9:57 AM</t>
  </si>
  <si>
    <t>hannah.parry@heidelbergmaterials.com</t>
  </si>
  <si>
    <t>Civil and Environmental Engineering (CVEN), Manufacturing and Mechanical Engineering Technology (MMET), Materials Science and Engineering (MSEN), Mechanical Engineering (MEEN)</t>
  </si>
  <si>
    <t>Jan 16, 2024, 9:23 AM</t>
  </si>
  <si>
    <t>Madison Henry Henderson</t>
  </si>
  <si>
    <t>Day 1 (Wednesday, January 24th) / Booth: E8
Day 2 (Thursday, January 25th) / Booth: E8</t>
  </si>
  <si>
    <t>Jan 08, 2024, 12:00 PM</t>
  </si>
  <si>
    <t>Chemical Engineering (CHEN), Computer Engineering (CECN), Computer Science (CPSC), Data Engineering (DATA), Industrial and Systems Engineering (ISEN), Mechanical Engineering (MEEN)</t>
  </si>
  <si>
    <t>Nov 14, 2023, 10:55 AM</t>
  </si>
  <si>
    <t>Hexagon Asset Lifecycle Intelligence</t>
  </si>
  <si>
    <t>Day 2 (Thursday, January 25th) / Booth: I6</t>
  </si>
  <si>
    <t>Nov 13, 2023, 8:49 AM</t>
  </si>
  <si>
    <t>Computer Engineering (CECN), Electrical Engineering (ELEN), Mechanical Engineering (MEEN), Nuclear Engineering (NUEN)</t>
  </si>
  <si>
    <t>Day 1 (Wednesday, January 24th) / Booth: E23
Day 2 (Thursday, January 25th) / Booth: E23</t>
  </si>
  <si>
    <t>Jan 03, 2024, 2:18 PM</t>
  </si>
  <si>
    <t>HII - Newport News Shipbuilding division</t>
  </si>
  <si>
    <t>Lauren Jones</t>
  </si>
  <si>
    <t>lauren.g.jones@hii-nns.com</t>
  </si>
  <si>
    <t>(757) 617-3770</t>
  </si>
  <si>
    <t>Electrical Engineering (ELEN), Industrial and Systems Engineering (ISEN), Materials Science and Engineering (MSEN), Mechanical Engineering (MEEN), Nuclear Engineering (NUEN)</t>
  </si>
  <si>
    <t>Day 1 (Wednesday, January 24th) / Booth: E24
Day 2 (Thursday, January 25th) / Booth: E24</t>
  </si>
  <si>
    <t>Nov 28, 2023, 11:43 AM</t>
  </si>
  <si>
    <t>Day 1 (Wednesday, January 24th) / Booth: B19
Day 2 (Thursday, January 25th) / Booth: B19</t>
  </si>
  <si>
    <t>Nov 14, 2023, 5:15 PM</t>
  </si>
  <si>
    <t>Day 2 (Thursday, January 25th) / Booth: O12</t>
  </si>
  <si>
    <t>Maria Perez</t>
  </si>
  <si>
    <t>mperez@hobaspipe.com</t>
  </si>
  <si>
    <t>Civil and Environmental Engineering (CVEN), Materials Science and Engineering (MSEN), Mechanical Engineering (MEEN), Ocean Engineering (OCEN)</t>
  </si>
  <si>
    <t>Day 1 (Wednesday, January 24th) / Booth: B28
Day 2 (Thursday, January 25th) / Booth: B28</t>
  </si>
  <si>
    <t>Jan 09, 2024, 4:02 PM</t>
  </si>
  <si>
    <t>Honeywell (Silver Partner)</t>
  </si>
  <si>
    <t>Day 1 (Wednesday, January 24th) / Booth: F8</t>
  </si>
  <si>
    <t>Dec 07, 2023, 11:53 AM</t>
  </si>
  <si>
    <t>Hood Patterson &amp; Dewar</t>
  </si>
  <si>
    <t>Leah Crawford Shivers</t>
  </si>
  <si>
    <t>lshivers@pdengineers.com</t>
  </si>
  <si>
    <t>Day 1 (Wednesday, January 24th) / Booth: O11</t>
  </si>
  <si>
    <t>Nov 21, 2023, 1:59 PM</t>
  </si>
  <si>
    <t>Jackie English</t>
  </si>
  <si>
    <t>jenglish@hrgreen.com</t>
  </si>
  <si>
    <t>720-602-4809</t>
  </si>
  <si>
    <t>Day 1 (Wednesday, January 24th) / Booth: O4</t>
  </si>
  <si>
    <t>Nov 13, 2023, 10:38 AM</t>
  </si>
  <si>
    <t>Day 1 (Wednesday, January 24th) / Booth: L10-11
Day 2 (Thursday, January 25th) / Booth: L10-11</t>
  </si>
  <si>
    <t>Nov 13, 2023, 9:22 AM</t>
  </si>
  <si>
    <t>Day 2 (Thursday, January 25th) / Booth: A13</t>
  </si>
  <si>
    <t>Nov 13, 2023, 9:11 AM</t>
  </si>
  <si>
    <t>Hunt &amp; Joiner, Inc., Structural Engineers</t>
  </si>
  <si>
    <t>Martin R. Graves</t>
  </si>
  <si>
    <t>mgraves@h-jinc.com</t>
  </si>
  <si>
    <t>(214) 760-7000</t>
  </si>
  <si>
    <t>Day 1 (Wednesday, January 24th) / Booth: M17
Day 2 (Thursday, January 25th) / Booth: M17</t>
  </si>
  <si>
    <t>Nov 13, 2023, 9:36 AM</t>
  </si>
  <si>
    <t>HW Lochner</t>
  </si>
  <si>
    <t>Adam Fisher</t>
  </si>
  <si>
    <t>afisher@hwlochner.com</t>
  </si>
  <si>
    <t>Day 1 (Wednesday, January 24th) / Booth: I23
Day 2 (Thursday, January 25th) / Booth: I23</t>
  </si>
  <si>
    <t>Jan 02, 2024, 2:07 PM</t>
  </si>
  <si>
    <t>Guy Hellyar</t>
  </si>
  <si>
    <t>ghellya@us.ibm.com</t>
  </si>
  <si>
    <t>J15, J16</t>
  </si>
  <si>
    <t>Day 1 (Wednesday, January 24th) / Booth: J15-16
Day 2 (Thursday, January 25th) / Booth: J15-16</t>
  </si>
  <si>
    <t>Dec 01, 2023, 10:56 AM</t>
  </si>
  <si>
    <t>Computer Engineering (CECN), Computer Science (CPSC), Materials Science and Engineering (MSEN), Multidisciplinary Engineering Technology (MXET)</t>
  </si>
  <si>
    <t>Day 2 (Thursday, January 25th) / Booth: M24</t>
  </si>
  <si>
    <t>Nov 13, 2023, 9:03 AM</t>
  </si>
  <si>
    <t>713.462.3178</t>
  </si>
  <si>
    <t>I1, I2, I3, I4</t>
  </si>
  <si>
    <t>Day 1 (Wednesday, January 24th) / Booth: I1-4
Day 2 (Thursday, January 25th) / Booth: I1-4</t>
  </si>
  <si>
    <t>Nov 16, 2023, 1:21 PM</t>
  </si>
  <si>
    <t>Day 1 (Wednesday, January 24th) / Booth: L14</t>
  </si>
  <si>
    <t>Indie Energy</t>
  </si>
  <si>
    <t>Eric Schrock</t>
  </si>
  <si>
    <t>eric.schrock@indie.energy</t>
  </si>
  <si>
    <t>Computer Engineering (CECN), Computer Science (CPSC), Electrical Engineering (ELEN), Electronic Systems Engineering Technology (ESET), Environmental Engineering (EVEN)</t>
  </si>
  <si>
    <t>Day 1 (Wednesday, January 24th) / Booth: I17</t>
  </si>
  <si>
    <t>Jan 02, 2024, 6:00 PM</t>
  </si>
  <si>
    <t>Day 2 (Thursday, January 25th) / Booth: C26</t>
  </si>
  <si>
    <t>Jan 08, 2024, 3:09 PM</t>
  </si>
  <si>
    <t>Infinity MEP+S Consultants</t>
  </si>
  <si>
    <t>William Riley Taylo</t>
  </si>
  <si>
    <t>wtaylor@infinitymep.com</t>
  </si>
  <si>
    <t>Day 2 (Thursday, January 25th) / Booth: K5</t>
  </si>
  <si>
    <t>Nov 13, 2023, 9:02 AM</t>
  </si>
  <si>
    <t>Integrity Structural Corp</t>
  </si>
  <si>
    <t>Bianca Knight</t>
  </si>
  <si>
    <t>officesupport@integritystructural.com</t>
  </si>
  <si>
    <t>281-894-7099</t>
  </si>
  <si>
    <t>Day 2 (Thursday, January 25th) / Booth: O13</t>
  </si>
  <si>
    <t>Jan 05, 2024, 1:04 PM</t>
  </si>
  <si>
    <t>Day 1 (Wednesday, January 24th) / Booth: F7
Day 2 (Thursday, January 25th) / Booth: F7</t>
  </si>
  <si>
    <t>Nov 13, 2023, 9:04 AM</t>
  </si>
  <si>
    <t>J.T. Thorpe &amp; Son, Inc.</t>
  </si>
  <si>
    <t>Lily Domico</t>
  </si>
  <si>
    <t>lily.domico@jtthorpe.com</t>
  </si>
  <si>
    <t>Day 2 (Thursday, January 25th) / Booth: E5</t>
  </si>
  <si>
    <t>Dec 05, 2023, 8:25 AM</t>
  </si>
  <si>
    <t>Shelbi Severson</t>
  </si>
  <si>
    <t>shelbi.severson@jacobs.com</t>
  </si>
  <si>
    <t>Aerospace Engineering (AERO), Architectural Engineering (AREN), Chemical Engineering (CHEN), Civil and Environmental Engineering (CVEN), Computer Science (CPSC), Electrical Engineering (ELEN), Electronic Systems Engineering Technology (ESET), Environmental Engineering (EVEN), Manufacturing and Mechanical Engineering Technology (MMET), Mechanical Engineering (MEEN)</t>
  </si>
  <si>
    <t>Day 1 (Wednesday, January 24th) / Booth: E22</t>
  </si>
  <si>
    <t>339-933-0890</t>
  </si>
  <si>
    <t>Day 1 (Wednesday, January 24th) / Booth: F25
Day 2 (Thursday, January 25th) / Booth: F25</t>
  </si>
  <si>
    <t>Nov 20, 2023, 10:25 AM</t>
  </si>
  <si>
    <t>Day 1 (Wednesday, January 24th) / Booth: K24</t>
  </si>
  <si>
    <t>Victoria Droze</t>
  </si>
  <si>
    <t>401-862-1448</t>
  </si>
  <si>
    <t>Biomedical Engineering (BMEN), Chemical Engineering (CHEN), Computer Engineering (CECN), Electrical Engineering (ELEN), Mechanical Engineering (MEEN)</t>
  </si>
  <si>
    <t>B10, B11</t>
  </si>
  <si>
    <t>Day 1 (Wednesday, January 24th) / Booth: B10-11</t>
  </si>
  <si>
    <t>Jan 09, 2024, 11:13 AM</t>
  </si>
  <si>
    <t>Day 1 (Wednesday, January 24th) / Booth: H20
Day 2 (Thursday, January 25th)</t>
  </si>
  <si>
    <t>JQ Engineering</t>
  </si>
  <si>
    <t>Thelma Goodson</t>
  </si>
  <si>
    <t>tgoodson@jqeng.com</t>
  </si>
  <si>
    <t>Day 1 (Wednesday, January 24th) / Booth: K19
Day 2 (Thursday, January 25th) / Booth: K19</t>
  </si>
  <si>
    <t>Nov 13, 2023, 9:44 AM</t>
  </si>
  <si>
    <t>JSW Steel</t>
  </si>
  <si>
    <t>Jayme Faulkner</t>
  </si>
  <si>
    <t>jayme.faulkner@jswsteel.us</t>
  </si>
  <si>
    <t>346-710-0809</t>
  </si>
  <si>
    <t>J5, J6</t>
  </si>
  <si>
    <t>Day 1 (Wednesday, January 24th) / Booth: J5-6
Day 2 (Thursday, January 25th) / Booth: J5-6</t>
  </si>
  <si>
    <t>Jan 10, 2024, 1:19 PM</t>
  </si>
  <si>
    <t>K Friese &amp; Associates</t>
  </si>
  <si>
    <t>Day 2 (Thursday, January 25th) / Booth: N3</t>
  </si>
  <si>
    <t>Jan 05, 2024, 10:15 AM</t>
  </si>
  <si>
    <t>Donna Dumas</t>
  </si>
  <si>
    <t>donna.dumas@us.kbr.com</t>
  </si>
  <si>
    <t>Aerospace Engineering (AERO), Biomedical Engineering (BMEN), Chemical Engineering (CHEN), Civil and Environmental Engineering (CVEN), Computer Engineering (CECN), Electrical Engineering (ELEN), Mechanical Engineering (MEEN)</t>
  </si>
  <si>
    <t>Day 1 (Wednesday, January 24th) / Booth: L16</t>
  </si>
  <si>
    <t>Dec 19, 2023, 3:16 PM</t>
  </si>
  <si>
    <t>Theresa Marie Moore</t>
  </si>
  <si>
    <t>theresa.moore@kci.com</t>
  </si>
  <si>
    <t>813-906-7415</t>
  </si>
  <si>
    <t>Day 1 (Wednesday, January 24th) / Booth: B3
Day 2 (Thursday, January 25th) / Booth: B3</t>
  </si>
  <si>
    <t>Nov 13, 2023, 8:30 AM</t>
  </si>
  <si>
    <t>Keeley Construction</t>
  </si>
  <si>
    <t>Alyssa Grimm</t>
  </si>
  <si>
    <t>agrimm@keeleycompanies.com</t>
  </si>
  <si>
    <t>314-940-2098</t>
  </si>
  <si>
    <t>Day 1 (Wednesday, January 24th) / Booth: O10</t>
  </si>
  <si>
    <t>Keller North America, Inc.</t>
  </si>
  <si>
    <t>Kasey Painter</t>
  </si>
  <si>
    <t>resumes@keller-na.com</t>
  </si>
  <si>
    <t>Day 1 (Wednesday, January 24th) / Booth: H23</t>
  </si>
  <si>
    <t>Nov 15, 2023, 1:40 PM</t>
  </si>
  <si>
    <t>KEM Energy</t>
  </si>
  <si>
    <t>Elaine Mo</t>
  </si>
  <si>
    <t>resume@kemgroups.com</t>
  </si>
  <si>
    <t>713-376-6219</t>
  </si>
  <si>
    <t>Electrical Engineering (ELEN), Mechanical Engineering (MEEN), Multidisciplinary Engineering Technology (MXET), Petroleum Engineering (PETE)</t>
  </si>
  <si>
    <t>Day 1 (Wednesday, January 24th) / Booth: J21
Day 2 (Thursday, January 25th) / Booth: J21</t>
  </si>
  <si>
    <t>Nov 15, 2023, 4:10 PM</t>
  </si>
  <si>
    <t>Day 2 (Thursday, January 25th) / Booth: D19</t>
  </si>
  <si>
    <t>Dec 14, 2023, 4:46 PM</t>
  </si>
  <si>
    <t>Day 2 (Thursday, January 25th) / Booth: J13</t>
  </si>
  <si>
    <t>Nov 13, 2023, 3:26 PM</t>
  </si>
  <si>
    <t>Civil and Environmental Engineering (CVEN), Electrical Engineering (ELEN), Industrial and Systems Engineering (ISEN), Materials Science and Engineering (MSEN), Mechanical Engineering (MEEN)</t>
  </si>
  <si>
    <t>C15, C16</t>
  </si>
  <si>
    <t>Day 1 (Wednesday, January 24th) / Booth: C15-16
Day 2 (Thursday, January 25th) / Booth: C15-16</t>
  </si>
  <si>
    <t>Nov 16, 2023, 8:43 AM</t>
  </si>
  <si>
    <t>James Borom</t>
  </si>
  <si>
    <t>james.borom@KCC.COM</t>
  </si>
  <si>
    <t>Biological and Agricultural Engineering (BAEN), Biomedical Engineering (BMEN), Chemical Engineering (CHEN), Computer Engineering (CECN), Electrical Engineering (ELEN), Electronic Systems Engineering Technology (ESET), Industrial Distribution (IDIS), Industrial and Systems Engineering (ISEN), Manufacturing and Mechanical Engineering Technology (MMET), Materials Science and Engineering (MSEN), Mechanical Engineering (MEEN), Multidisciplinary Engineering Technology (MXET)</t>
  </si>
  <si>
    <t>K20, K21</t>
  </si>
  <si>
    <t>Day 1 (Wednesday, January 24th) / Booth: K20-21
Day 2 (Thursday, January 25th) / Booth: K20-21</t>
  </si>
  <si>
    <t>Nov 13, 2023, 8:57 AM</t>
  </si>
  <si>
    <t>(972) 391-7797</t>
  </si>
  <si>
    <t>D22, D23</t>
  </si>
  <si>
    <t>Day 1 (Wednesday, January 24th) / Booth: D22-23
Day 2 (Thursday, January 25th) / Booth: D22-23</t>
  </si>
  <si>
    <t>Nov 13, 2023, 8:52 AM</t>
  </si>
  <si>
    <t>Day 2 (Thursday, January 25th) / Booth: F9</t>
  </si>
  <si>
    <t>Jan 02, 2024, 8:53 AM</t>
  </si>
  <si>
    <t>Day 1 (Wednesday, January 24th) / Booth: H5</t>
  </si>
  <si>
    <t>Nov 27, 2023, 10:51 AM</t>
  </si>
  <si>
    <t>Claudio Yanez - Gallegos</t>
  </si>
  <si>
    <t>claudio.yanezgallegos@global.komatsu</t>
  </si>
  <si>
    <t>903-747-7084</t>
  </si>
  <si>
    <t>Day 1 (Wednesday, January 24th) / Booth: D14</t>
  </si>
  <si>
    <t>Nov 14, 2023, 11:23 AM</t>
  </si>
  <si>
    <t>Day 1 (Wednesday, January 24th) / Booth: F3-4</t>
  </si>
  <si>
    <t>Nov 13, 2023, 8:25 AM</t>
  </si>
  <si>
    <t>All Majors, Aerospace Engineering (AERO), Architectural Engineering (AREN), Biological and Agricultural Engineering (BAEN), Biomedical Engineering (BMEN), Chemical Engineering (CHEN), Civil and Environmental Engineering (CVEN), Computer Engineering (CECN), Computer Science (CPSC), Data Engineering (DATA), Electrical Engineering (ELEN), Electronic Systems Engineering Technology (ESET), Environmental Engineering (EVEN), Industrial Distribution (IDIS), Industrial and Systems Engineering (ISEN), Manufacturing and Mechanical Engineering Technology (MMET), Materials Science and Engineering (MSEN), Mechanical Engineering (MEEN), Multidisciplinary Engineering Technology (MXET), Nuclear Engineering (NUEN), Ocean Engineering (OCEN), Petroleum Engineering (PETE)</t>
  </si>
  <si>
    <t>Day 1 (Wednesday, January 24th) / Booth: N26</t>
  </si>
  <si>
    <t>Nov 16, 2023, 3:17 PM</t>
  </si>
  <si>
    <t>L Squared Engineering</t>
  </si>
  <si>
    <t>Michelle Cahoe</t>
  </si>
  <si>
    <t>mcahoe@l2engineering.com</t>
  </si>
  <si>
    <t>936-647-0420</t>
  </si>
  <si>
    <t>Architectural Engineering (AREN), Civil and Environmental Engineering (CVEN), Environmental Engineering (EVEN), Mechanical Engineering (MEEN), Multidisciplinary Engineering Technology (MXET), Ocean Engineering (OCEN)</t>
  </si>
  <si>
    <t>F17, F18</t>
  </si>
  <si>
    <t>Day 1 (Wednesday, January 24th) / Booth: F17-18</t>
  </si>
  <si>
    <t>Jan 10, 2024, 3:13 PM</t>
  </si>
  <si>
    <t>Janelle Choiniere</t>
  </si>
  <si>
    <t>l3harris@nc3.com</t>
  </si>
  <si>
    <t>401-642-1723</t>
  </si>
  <si>
    <t>J8, J9</t>
  </si>
  <si>
    <t>Day 1 (Wednesday, January 24th) / Booth: J8-9
Day 2 (Thursday, January 25th) / Booth: J8-9</t>
  </si>
  <si>
    <t>Nov 13, 2023, 8:39 AM</t>
  </si>
  <si>
    <t>Day 1 (Wednesday, January 24th) / Booth: K23</t>
  </si>
  <si>
    <t>Nov 13, 2023, 9:49 AM</t>
  </si>
  <si>
    <t>Lanmark Ltd</t>
  </si>
  <si>
    <t>Justus M.S Calkins</t>
  </si>
  <si>
    <t>justus.calkins@lanmarkeng.net</t>
  </si>
  <si>
    <t>Chemical Engineering (CHEN), Civil and Environmental Engineering (CVEN), Electrical Engineering (ELEN), Mechanical Engineering (MEEN), Multidisciplinary Engineering Technology (MXET), Petroleum Engineering (PETE)</t>
  </si>
  <si>
    <t>Jan 17, 2024, 3:32 PM</t>
  </si>
  <si>
    <t>Tonell Broaders</t>
  </si>
  <si>
    <t>tonell.broaders@lcra.org</t>
  </si>
  <si>
    <t>512-578-3458</t>
  </si>
  <si>
    <t>Day 2 (Thursday, January 25th) / Booth: A6</t>
  </si>
  <si>
    <t>Leidos</t>
  </si>
  <si>
    <t>Stephanie Boddy</t>
  </si>
  <si>
    <t>stephanie.boddy@leidos.com</t>
  </si>
  <si>
    <t>Civil and Environmental Engineering (CVEN), Electrical Engineering (ELEN), Electronic Systems Engineering Technology (ESET), Manufacturing and Mechanical Engineering Technology (MMET), Mechanical Engineering (MEEN)</t>
  </si>
  <si>
    <t>Day 2 (Thursday, January 25th) / Booth: H26</t>
  </si>
  <si>
    <t>Jan 04, 2024, 3:44 PM</t>
  </si>
  <si>
    <t>Lennar Homes</t>
  </si>
  <si>
    <t>Vicki Rockefeller-Miller</t>
  </si>
  <si>
    <t>victoria.rockefellermiller@lennar.com</t>
  </si>
  <si>
    <t>Day 1 (Wednesday, January 24th) / Booth: N10</t>
  </si>
  <si>
    <t>Dec 27, 2023, 9:18 AM</t>
  </si>
  <si>
    <t>Computer Engineering (CECN), Computer Science (CPSC), Data Engineering (DATA), Electrical Engineering (ELEN), Mechanical Engineering (MEEN)</t>
  </si>
  <si>
    <t>Day 1 (Wednesday, January 24th) / Booth: B7
Day 2 (Thursday, January 25th) / Booth: B7</t>
  </si>
  <si>
    <t>Jan 08, 2024, 3:19 PM</t>
  </si>
  <si>
    <t>Leprino Foods</t>
  </si>
  <si>
    <t>Jamie Cross</t>
  </si>
  <si>
    <t>jcross@leprinofoods.com</t>
  </si>
  <si>
    <t>Biological and Agricultural Engineering (BAEN), Electrical Engineering (ELEN), Environmental Engineering (EVEN), Industrial and Systems Engineering (ISEN), Manufacturing and Mechanical Engineering Technology (MMET)</t>
  </si>
  <si>
    <t>Day 2 (Thursday, January 25th) / Booth: E15</t>
  </si>
  <si>
    <t>Nov 21, 2023, 10:00 AM</t>
  </si>
  <si>
    <t>Chemical Engineering (CHEN), Civil and Environmental Engineering (CVEN), Electrical Engineering (ELEN), Environmental Engineering (EVEN), Industrial and Systems Engineering (ISEN), Manufacturing and Mechanical Engineering Technology (MMET), Mechanical Engineering (MEEN)</t>
  </si>
  <si>
    <t>Day 2 (Thursday, January 25th) / Booth: I28</t>
  </si>
  <si>
    <t>Jan 04, 2024, 11:33 AM</t>
  </si>
  <si>
    <t>Day 1 (Wednesday, January 24th) / Booth: F20
Day 2 (Thursday, January 25th) / Booth: F20</t>
  </si>
  <si>
    <t>Day 1 (Wednesday, January 24th) / Booth: H6</t>
  </si>
  <si>
    <t>Dec 18, 2023, 10:02 AM</t>
  </si>
  <si>
    <t>Day 2 (Thursday, January 25th) / Booth: B13</t>
  </si>
  <si>
    <t>Jan 04, 2024, 9:19 AM</t>
  </si>
  <si>
    <t>Daneiva Allevato</t>
  </si>
  <si>
    <t>dallevato@lja.com</t>
  </si>
  <si>
    <t>Biological and Agricultural Engineering (BAEN), Civil and Environmental Engineering (CVEN), Mechanical Engineering (MEEN), Ocean Engineering (OCEN)</t>
  </si>
  <si>
    <t>Day 2 (Thursday, January 25th) / Booth: O11</t>
  </si>
  <si>
    <t>Nov 13, 2023, 10:17 AM</t>
  </si>
  <si>
    <t>Alex Zuniga</t>
  </si>
  <si>
    <t>college@lan-inc.com</t>
  </si>
  <si>
    <t>Biological and Agricultural Engineering (BAEN), Civil and Environmental Engineering (CVEN), Electrical Engineering (ELEN), Environmental Engineering (EVEN), Mechanical Engineering (MEEN)</t>
  </si>
  <si>
    <t>Day 1 (Wednesday, January 24th) / Booth: B18
Day 2 (Thursday, January 25th) / Booth: B18</t>
  </si>
  <si>
    <t>Day 1 (Wednesday, January 24th) / Booth: J14</t>
  </si>
  <si>
    <t>Nov 30, 2023, 1:43 PM</t>
  </si>
  <si>
    <t>505-695-8425</t>
  </si>
  <si>
    <t>Day 1 (Wednesday, January 24th) / Booth: K28
Day 2 (Thursday, January 25th) / Booth: K28</t>
  </si>
  <si>
    <t>Nov 16, 2023, 11:58 AM</t>
  </si>
  <si>
    <t>LotusWorks</t>
  </si>
  <si>
    <t>Louis Navarro</t>
  </si>
  <si>
    <t>lnavarro@lotusworks.com</t>
  </si>
  <si>
    <t>Chemical Engineering (CHEN), Electrical Engineering (ELEN), Electronic Systems Engineering Technology (ESET), Mechanical Engineering (MEEN)</t>
  </si>
  <si>
    <t>Day 1 (Wednesday, January 24th) / Booth: C13
Day 2 (Thursday, January 25th) / Booth: C13</t>
  </si>
  <si>
    <t>Nov 17, 2023, 7:49 AM</t>
  </si>
  <si>
    <t>Lower Neches Valley Authority</t>
  </si>
  <si>
    <t>Ryan A Ard</t>
  </si>
  <si>
    <t>ryan.ard@lnva.dst.tx.us</t>
  </si>
  <si>
    <t>409-550-4320</t>
  </si>
  <si>
    <t>Day 1 (Wednesday, January 24th) / Booth: J10
Day 2 (Thursday, January 25th) / Booth: J10</t>
  </si>
  <si>
    <t>Jan 03, 2024, 7:56 AM</t>
  </si>
  <si>
    <t>LPA</t>
  </si>
  <si>
    <t>Sarah Grondona</t>
  </si>
  <si>
    <t>sgrondona@lpadesignstudios.com</t>
  </si>
  <si>
    <t>Day 2 (Thursday, January 25th) / Booth: C24</t>
  </si>
  <si>
    <t>Nov 13, 2023, 4:12 PM</t>
  </si>
  <si>
    <t>Ana Reyes</t>
  </si>
  <si>
    <t>ana.reyes@lplfinancial.com</t>
  </si>
  <si>
    <t>858-945-1569</t>
  </si>
  <si>
    <t>D18, D19</t>
  </si>
  <si>
    <t>Day 1 (Wednesday, January 24th) / Booth: D18-19</t>
  </si>
  <si>
    <t>Nov 16, 2023, 11:51 AM</t>
  </si>
  <si>
    <t>281 945 8888</t>
  </si>
  <si>
    <t>L24</t>
  </si>
  <si>
    <t>Day 1 (Wednesday, January 24th) / Booth: L24
Day 2 (Thursday, January 25th) / Booth: L24</t>
  </si>
  <si>
    <t>Nov 13, 2023, 8:24 AM</t>
  </si>
  <si>
    <t>Biomedical Engineering (BMEN), Chemical Engineering (CHEN), Computer Engineering (CECN), Mechanical Engineering (MEEN)</t>
  </si>
  <si>
    <t>Day 1 (Wednesday, January 24th) / Booth: M11</t>
  </si>
  <si>
    <t>Dec 11, 2023, 2:59 PM</t>
  </si>
  <si>
    <t>Michelle A Sanchez</t>
  </si>
  <si>
    <t>m.sanchez@luciferlighting.com</t>
  </si>
  <si>
    <t>Day 2 (Thursday, January 25th) / Booth: N19</t>
  </si>
  <si>
    <t>Nov 30, 2023, 4:43 PM</t>
  </si>
  <si>
    <t>David Smith</t>
  </si>
  <si>
    <t>Day 2 (Thursday, January 25th) / Booth: F5-6</t>
  </si>
  <si>
    <t>Jan 11, 2024, 11:24 AM</t>
  </si>
  <si>
    <t>Day 1 (Wednesday, January 24th) / Booth: C25
Day 2 (Thursday, January 25th) / Booth: C25</t>
  </si>
  <si>
    <t>Civil and Environmental Engineering (CVEN), Ocean Engineering (OCEN)</t>
  </si>
  <si>
    <t>Day 2 (Thursday, January 25th) / Booth: H15</t>
  </si>
  <si>
    <t>Jan 08, 2024, 10:17 AM</t>
  </si>
  <si>
    <t>Day 2 (Thursday, January 25th) / Booth: I19</t>
  </si>
  <si>
    <t>Jan 04, 2024, 3:16 PM</t>
  </si>
  <si>
    <t>Day 1 (Wednesday, January 24th) / Booth: I7</t>
  </si>
  <si>
    <t>Nov 28, 2023, 8:44 AM</t>
  </si>
  <si>
    <t>Jane McRae</t>
  </si>
  <si>
    <t>jmcrae@manh.com</t>
  </si>
  <si>
    <t>678 597 7723</t>
  </si>
  <si>
    <t>Day 1 (Wednesday, January 24th) / Booth: C7</t>
  </si>
  <si>
    <t>Nov 15, 2023, 10:19 AM</t>
  </si>
  <si>
    <t>Day 1 (Wednesday, January 24th) / Booth: J12
Day 2 (Thursday, January 25th) / Booth: J12</t>
  </si>
  <si>
    <t>Nov 14, 2023, 1:09 PM</t>
  </si>
  <si>
    <t>210-626-7452</t>
  </si>
  <si>
    <t>Day 1 (Wednesday, January 24th) / Booth: B22
Day 2 (Thursday, January 25th) / Booth: B22</t>
  </si>
  <si>
    <t>Day 1 (Wednesday, January 24th) / Booth: J28</t>
  </si>
  <si>
    <t>Nov 13, 2023, 2:41 PM</t>
  </si>
  <si>
    <t>Chemical Engineering (CHEN), Data Engineering (DATA), Electrical Engineering (ELEN), Mechanical Engineering (MEEN), Petroleum Engineering (PETE)</t>
  </si>
  <si>
    <t>K9, K10</t>
  </si>
  <si>
    <t>Day 1 (Wednesday, January 24th) / Booth: K9-10</t>
  </si>
  <si>
    <t>Nov 13, 2023, 8:36 AM</t>
  </si>
  <si>
    <t>April Keller</t>
  </si>
  <si>
    <t>akeller@matkinhoover.com</t>
  </si>
  <si>
    <t>Day 2 (Thursday, January 25th) / Booth: M11</t>
  </si>
  <si>
    <t>Dec 20, 2023, 4:36 PM</t>
  </si>
  <si>
    <t>Day 2 (Thursday, January 25th) / Booth: C5</t>
  </si>
  <si>
    <t>Jan 08, 2024, 1:12 PM</t>
  </si>
  <si>
    <t>Day 1 (Wednesday, January 24th) / Booth: M12
Day 2 (Thursday, January 25th) / Booth: M12</t>
  </si>
  <si>
    <t>Nov 29, 2023, 12:43 PM</t>
  </si>
  <si>
    <t>Medpace</t>
  </si>
  <si>
    <t>Day 1 (Wednesday, January 24th) / Booth: B13-14</t>
  </si>
  <si>
    <t>Nov 13, 2023, 9:16 AM</t>
  </si>
  <si>
    <t>Day 1 (Wednesday, January 24th) / Booth: A5
Day 2 (Thursday, January 25th) / Booth: A5</t>
  </si>
  <si>
    <t>Jan 04, 2024, 10:27 AM</t>
  </si>
  <si>
    <t>Mechanical Engineering (MEEN), Petroleum Engineering (PETE)</t>
  </si>
  <si>
    <t>Day 1 (Wednesday, January 24th) / Booth: I10-11</t>
  </si>
  <si>
    <t>Nov 13, 2023, 1:54 PM</t>
  </si>
  <si>
    <t>Day 1 (Wednesday, January 24th) / Booth: E1</t>
  </si>
  <si>
    <t>Nov 28, 2023, 10:46 AM</t>
  </si>
  <si>
    <t>Chemical Engineering (CHEN), Civil and Environmental Engineering (CVEN), Computer Engineering (CECN), Computer Science (CPSC), Data Engineering (DATA), Electrical Engineering (ELEN), Environmental Engineering (EVEN), Manufacturing and Mechanical Engineering Technology (MMET), Materials Science and Engineering (MSEN), Mechanical Engineering (MEEN)</t>
  </si>
  <si>
    <t>Diamond One-Day [$4000.00]</t>
  </si>
  <si>
    <t>K1, K2, K3</t>
  </si>
  <si>
    <t>Day 1 (Wednesday, January 24th) / Booth: K1-3</t>
  </si>
  <si>
    <t>Nov 13, 2023, 2:34 PM</t>
  </si>
  <si>
    <t>Day 1 (Wednesday, January 24th) / Booth: N4</t>
  </si>
  <si>
    <t>Nov 21, 2023, 10:15 AM</t>
  </si>
  <si>
    <t>Moffatt &amp; Nichol</t>
  </si>
  <si>
    <t>Teo Ribakovs</t>
  </si>
  <si>
    <t>Tribakovs@moffattnichol.com</t>
  </si>
  <si>
    <t>713-977-7372</t>
  </si>
  <si>
    <t>J18, J19</t>
  </si>
  <si>
    <t>Day 1 (Wednesday, January 24th) / Booth: J18-19</t>
  </si>
  <si>
    <t>Dec 18, 2023, 4:18 PM</t>
  </si>
  <si>
    <t>hrtx@monumentchemical.com</t>
  </si>
  <si>
    <t>Day 1 (Wednesday, January 24th) / Booth: A6</t>
  </si>
  <si>
    <t>Nov 13, 2023, 8:23 AM</t>
  </si>
  <si>
    <t>612-426-2670</t>
  </si>
  <si>
    <t>Day 2 (Thursday, January 25th) / Booth: J27</t>
  </si>
  <si>
    <t>Nov 14, 2023, 9:00 AM</t>
  </si>
  <si>
    <t>Nov 13, 2023, 8:41 AM</t>
  </si>
  <si>
    <t>MS Business at Mays Business School</t>
  </si>
  <si>
    <t>Demetria Kelley</t>
  </si>
  <si>
    <t>dkelley@mays.tamu.edu</t>
  </si>
  <si>
    <t>979-845-2440</t>
  </si>
  <si>
    <t>Day 1 (Wednesday, January 24th) / Booth: L13
Day 2 (Thursday, January 25th) / Booth: L13</t>
  </si>
  <si>
    <t>Nov 13, 2023, 10:28 AM</t>
  </si>
  <si>
    <t>Day 1 (Wednesday, January 24th) / Booth: G7</t>
  </si>
  <si>
    <t>Nov 16, 2023, 11:52 AM</t>
  </si>
  <si>
    <t>NASA</t>
  </si>
  <si>
    <t>Day 2 (Thursday, January 25th) / Booth: K1</t>
  </si>
  <si>
    <t>Dec 22, 2023, 3:29 PM</t>
  </si>
  <si>
    <t>Taylor Poblett</t>
  </si>
  <si>
    <t>taylor.moffett@caci.com</t>
  </si>
  <si>
    <t>443-845-6234</t>
  </si>
  <si>
    <t>Day 1 (Wednesday, January 24th) / Booth: A7</t>
  </si>
  <si>
    <t>Dec 19, 2023, 3:38 PM</t>
  </si>
  <si>
    <t>Aerospace Engineering (AERO), Computer Engineering (CECN), Electrical Engineering (ELEN), Industrial and Systems Engineering (ISEN), Mechanical Engineering (MEEN)</t>
  </si>
  <si>
    <t>Day 2 (Thursday, January 25th) / Booth: L26</t>
  </si>
  <si>
    <t>Jan 16, 2024, 4:11 PM</t>
  </si>
  <si>
    <t>Lindsey Savage</t>
  </si>
  <si>
    <t>lindsey.r.savage.civ@us.navy.mil</t>
  </si>
  <si>
    <t>760-301-7467</t>
  </si>
  <si>
    <t>Aerospace Engineering (AERO), Computer Engineering (CECN), Computer Science (CPSC), Data Engineering (DATA), Electrical Engineering (ELEN), Materials Science and Engineering (MSEN), Mechanical Engineering (MEEN)</t>
  </si>
  <si>
    <t>Day 2 (Thursday, January 25th) / Booth: L5</t>
  </si>
  <si>
    <t>Nov 14, 2023, 12:37 PM</t>
  </si>
  <si>
    <t>Russell M. Mendoza</t>
  </si>
  <si>
    <t>Day 1 (Wednesday, January 24th) / Booth: L2-3
Day 2 (Thursday, January 25th) / Booth: L2-3</t>
  </si>
  <si>
    <t>Nov 28, 2023, 11:25 AM</t>
  </si>
  <si>
    <t>Aerospace Engineering (AERO), Chemical Engineering (CHEN), Civil and Environmental Engineering (CVEN), Computer Engineering (CECN), Computer Science (CPSC), Electrical Engineering (ELEN), Electronic Systems Engineering Technology (ESET), Environmental Engineering (EVEN), Materials Science and Engineering (MSEN), Mechanical Engineering (MEEN), Multidisciplinary Engineering Technology (MXET), Ocean Engineering (OCEN)</t>
  </si>
  <si>
    <t>Day 1 (Wednesday, January 24th) / Booth: L5</t>
  </si>
  <si>
    <t>Nov 13, 2023, 11:43 AM</t>
  </si>
  <si>
    <t>Amber Hightower</t>
  </si>
  <si>
    <t>amber.r.hightower4.civ@us.navy.mil</t>
  </si>
  <si>
    <t>Aerospace Engineering (AERO), Biomedical Engineering (BMEN), Chemical Engineering (CHEN), Computer Engineering (CECN), Computer Science (CPSC), Electrical Engineering (ELEN), Electronic Systems Engineering Technology (ESET), Industrial and Systems Engineering (ISEN), Materials Science and Engineering (MSEN), Mechanical Engineering (MEEN), Nuclear Engineering (NUEN), Ocean Engineering (OCEN)</t>
  </si>
  <si>
    <t>Day 1 (Wednesday, January 24th) / Booth: L1
Day 2 (Thursday, January 25th) / Booth: L1</t>
  </si>
  <si>
    <t>Nov 21, 2023, 10:31 AM</t>
  </si>
  <si>
    <t>Jamie Hicks</t>
  </si>
  <si>
    <t>jh350012@ncratleos.com</t>
  </si>
  <si>
    <t>Computer Engineering (CECN), Computer Science (CPSC), Industrial and Systems Engineering (ISEN), Multidisciplinary Engineering Technology (MXET)</t>
  </si>
  <si>
    <t>Day 2 (Thursday, January 25th) / Booth: G15</t>
  </si>
  <si>
    <t>Jan 03, 2024, 9:26 AM</t>
  </si>
  <si>
    <t>NexantECA</t>
  </si>
  <si>
    <t>Anoushka Muir</t>
  </si>
  <si>
    <t>amuir@nexanteca.com</t>
  </si>
  <si>
    <t>Day 1 (Wednesday, January 24th) / Booth: D17
Day 2 (Thursday, January 25th) / Booth: D17</t>
  </si>
  <si>
    <t>Nov 13, 2023, 8:15 AM</t>
  </si>
  <si>
    <t>GREGORY J GOBA</t>
  </si>
  <si>
    <t>nnsy_engineer_recruiting@navy.mil</t>
  </si>
  <si>
    <t>Aerospace Engineering (AERO), Architectural Engineering (AREN), Chemical Engineering (CHEN), Civil and Environmental Engineering (CVEN), Computer Engineering (CECN), Computer Science (CPSC), Electrical Engineering (ELEN), Environmental Engineering (EVEN), Industrial and Systems Engineering (ISEN), Manufacturing and Mechanical Engineering Technology (MMET), Materials Science and Engineering (MSEN), Mechanical Engineering (MEEN), Nuclear Engineering (NUEN), Ocean Engineering (OCEN)</t>
  </si>
  <si>
    <t>Day 1 (Wednesday, January 24th) / Booth: L4
Day 2 (Thursday, January 25th) / Booth: L4</t>
  </si>
  <si>
    <t>Peyton Montelongo</t>
  </si>
  <si>
    <t>peyton.montelongo@nov.com</t>
  </si>
  <si>
    <t>Computer Engineering (CECN), Computer Science (CPSC), Data Engineering (DATA), Electrical Engineering (ELEN), Electronic Systems Engineering Technology (ESET), Industrial Distribution (IDIS), Industrial and Systems Engineering (ISEN), Manufacturing and Mechanical Engineering Technology (MMET), Materials Science and Engineering (MSEN), Mechanical Engineering (MEEN)</t>
  </si>
  <si>
    <t>N15, N16</t>
  </si>
  <si>
    <t>Day 1 (Wednesday, January 24th) / Booth: N15-16
Day 2 (Thursday, January 25th) / Booth: N15-16</t>
  </si>
  <si>
    <t>Nov 14, 2023, 12:48 PM</t>
  </si>
  <si>
    <t>Computer Engineering (CECN), Electrical Engineering (ELEN), Manufacturing and Mechanical Engineering Technology (MMET), Materials Science and Engineering (MSEN), Mechanical Engineering (MEEN), Multidisciplinary Engineering Technology (MXET)</t>
  </si>
  <si>
    <t>Day 1 (Wednesday, January 24th) / Booth: E10
Day 2 (Thursday, January 25th) / Booth: E10</t>
  </si>
  <si>
    <t>Nov 13, 2023, 8:16 AM</t>
  </si>
  <si>
    <t>512-895-2096</t>
  </si>
  <si>
    <t>Chemical Engineering (CHEN), Computer Engineering (CECN), Computer Science (CPSC), Data Engineering (DATA), Electrical Engineering (ELEN), Environmental Engineering (EVEN), Industrial and Systems Engineering (ISEN), Materials Science and Engineering (MSEN), Mechanical Engineering (MEEN)</t>
  </si>
  <si>
    <t>H15, H16</t>
  </si>
  <si>
    <t>Day 1 (Wednesday, January 24th) / Booth: H15-16</t>
  </si>
  <si>
    <t>Nov 13, 2023, 2:07 PM</t>
  </si>
  <si>
    <t>Day 1 (Wednesday, January 24th) / Booth: B25</t>
  </si>
  <si>
    <t>Dec 07, 2023, 1:03 PM</t>
  </si>
  <si>
    <t>Day 1 (Wednesday, January 24th) / Booth: I16
Day 2 (Thursday, January 25th) / Booth: I16</t>
  </si>
  <si>
    <t>Nov 13, 2023, 12:35 PM</t>
  </si>
  <si>
    <t>Day 1 (Wednesday, January 24th) / Booth: A2
Day 2 (Thursday, January 25th) / Booth: A2</t>
  </si>
  <si>
    <t>Day 1 (Wednesday, January 24th) / Booth: C12</t>
  </si>
  <si>
    <t>Day 1 (Wednesday, January 24th) / Booth: F27-28
Day 2 (Thursday, January 25th) / Booth: F27-28</t>
  </si>
  <si>
    <t>Nov 13, 2023, 9:46 AM</t>
  </si>
  <si>
    <t>OQ Chemicals</t>
  </si>
  <si>
    <t>Graciela Frausto</t>
  </si>
  <si>
    <t>graciela.frausto@oq.com</t>
  </si>
  <si>
    <t>979-241-4206</t>
  </si>
  <si>
    <t>Day 1 (Wednesday, January 24th) / Booth: B17</t>
  </si>
  <si>
    <t>Dec 14, 2023, 10:07 AM</t>
  </si>
  <si>
    <t>972.717.3070</t>
  </si>
  <si>
    <t>Architectural Engineering (AREN), Civil and Environmental Engineering (CVEN), Data Engineering (DATA), Environmental Engineering (EVEN), Materials Science and Engineering (MSEN)</t>
  </si>
  <si>
    <t>Day 2 (Thursday, January 25th) / Booth: K4</t>
  </si>
  <si>
    <t>Nov 16, 2023, 9:37 AM</t>
  </si>
  <si>
    <t>OTHON</t>
  </si>
  <si>
    <t>Cheryl Parsons</t>
  </si>
  <si>
    <t>cparsons@othon.com</t>
  </si>
  <si>
    <t>Day 2 (Thursday, January 25th) / Booth: H20</t>
  </si>
  <si>
    <t>Nov 14, 2023, 3:35 PM</t>
  </si>
  <si>
    <t>Craig Willis</t>
  </si>
  <si>
    <t>craig.willis@pnnl.gov</t>
  </si>
  <si>
    <t>All Majors, Architectural Engineering (AREN), Biological and Agricultural Engineering (BAEN), Biomedical Engineering (BMEN), Chemical Engineering (CHEN), Civil and Environmental Engineering (CVEN), Computer Engineering (CECN), Computer Science (CPSC), Data Engineering (DATA), Electrical Engineering (ELEN), Electronic Systems Engineering Technology (ESET), Environmental Engineering (EVEN), Industrial and Systems Engineering (ISEN), Manufacturing and Mechanical Engineering Technology (MMET), Materials Science and Engineering (MSEN), Mechanical Engineering (MEEN), Multidisciplinary Engineering Technology (MXET), Nuclear Engineering (NUEN), Ocean Engineering (OCEN), Petroleum Engineering (PETE)</t>
  </si>
  <si>
    <t>Day 1 (Wednesday, January 24th) / Booth: B9
Day 2 (Thursday, January 25th) / Booth: B9</t>
  </si>
  <si>
    <t>Nov 29, 2023, 2:22 PM</t>
  </si>
  <si>
    <t>Packaging Corperation of America</t>
  </si>
  <si>
    <t>Alexis F. Brown</t>
  </si>
  <si>
    <t>alexisbrown@packagingcorp.com</t>
  </si>
  <si>
    <t>Chemical Engineering (CHEN), Computer Engineering (CECN), Computer Science (CPSC), Electrical Engineering (ELEN), Environmental Engineering (EVEN)</t>
  </si>
  <si>
    <t>Day 1 (Wednesday, January 24th) / Booth: O5</t>
  </si>
  <si>
    <t>Dec 11, 2023, 3:07 PM</t>
  </si>
  <si>
    <t>J1, J2, J3</t>
  </si>
  <si>
    <t>Day 1 (Wednesday, January 24th) / Booth: J1-3
Day 2 (Thursday, January 25th) / Booth: J1-3</t>
  </si>
  <si>
    <t>PARADIGM Structural Engineers</t>
  </si>
  <si>
    <t>Adam Laufer</t>
  </si>
  <si>
    <t>alaufer@paradigmse.com</t>
  </si>
  <si>
    <t>Dec 30, 2023, 4:25 PM</t>
  </si>
  <si>
    <t>Larry Stone</t>
  </si>
  <si>
    <t>lstonE@parkhill.com</t>
  </si>
  <si>
    <t>806-473-3514</t>
  </si>
  <si>
    <t>Jan 02, 2024, 3:29 PM</t>
  </si>
  <si>
    <t>mmaxwell@parkhill.com</t>
  </si>
  <si>
    <t>Day 2 (Thursday, January 25th) / Booth: F23</t>
  </si>
  <si>
    <t>Jan 15, 2024, 10:11 AM</t>
  </si>
  <si>
    <t>adam.trimble@nextierofs.com</t>
  </si>
  <si>
    <t>Chemical Engineering (CHEN), Computer Engineering (CECN), Electrical Engineering (ELEN), Mechanical Engineering (MEEN), Petroleum Engineering (PETE)</t>
  </si>
  <si>
    <t>G8, G9, G10, G11, G12</t>
  </si>
  <si>
    <t>Day 1 (Wednesday, January 24th) / Booth: G8-12
Day 2 (Thursday, January 25th) / Booth: G8-12</t>
  </si>
  <si>
    <t>Nov 27, 2023, 2:03 PM</t>
  </si>
  <si>
    <t>Tony Talamantes</t>
  </si>
  <si>
    <t>Day 1 (Wednesday, January 24th) / Booth: C19
Day 2 (Thursday, January 25th) / Booth: C19</t>
  </si>
  <si>
    <t>Nov 13, 2023, 8:21 AM</t>
  </si>
  <si>
    <t>Day 1 (Wednesday, January 24th) / Booth: E4</t>
  </si>
  <si>
    <t>Emily S. Condara</t>
  </si>
  <si>
    <t>Nov 13, 2023, 1:26 PM</t>
  </si>
  <si>
    <t>F1, F2</t>
  </si>
  <si>
    <t>Day 1 (Wednesday, January 24th) / Booth: F1-2</t>
  </si>
  <si>
    <t>Dec 04, 2023, 3:31 PM</t>
  </si>
  <si>
    <t>Ashley Britton</t>
  </si>
  <si>
    <t>ashley.britton@permianres.com</t>
  </si>
  <si>
    <t>Day 1 (Wednesday, January 24th) / Booth: F5</t>
  </si>
  <si>
    <t>Dec 11, 2023, 2:33 PM</t>
  </si>
  <si>
    <t>Day 1 (Wednesday, January 24th) / Booth: H3</t>
  </si>
  <si>
    <t>Nov 13, 2023, 3:03 PM</t>
  </si>
  <si>
    <t>energycareers@pike.com</t>
  </si>
  <si>
    <t>Day 1 (Wednesday, January 24th) / Booth: K15</t>
  </si>
  <si>
    <t>Nov 15, 2023, 1:41 PM</t>
  </si>
  <si>
    <t>Day 1 (Wednesday, January 24th) / Booth: F6</t>
  </si>
  <si>
    <t>PND Engineers, Inc.</t>
  </si>
  <si>
    <t>Ann Flister</t>
  </si>
  <si>
    <t>aflister@pndengineers.com</t>
  </si>
  <si>
    <t>(907) 561-1011</t>
  </si>
  <si>
    <t>Architectural Engineering (AREN), Civil and Environmental Engineering (CVEN), Ocean Engineering (OCEN)</t>
  </si>
  <si>
    <t>Day 2 (Thursday, January 25th) / Booth: L15</t>
  </si>
  <si>
    <t>Jan 05, 2024, 8:10 PM</t>
  </si>
  <si>
    <t>POLK MECHANICAL COMPANY LLC</t>
  </si>
  <si>
    <t>Hiram Lee Hurd</t>
  </si>
  <si>
    <t>Hiram.hurd@polkmechanical.com</t>
  </si>
  <si>
    <t>Computer Engineering (CECN), Industrial Distribution (IDIS), Industrial and Systems Engineering (ISEN), Manufacturing and Mechanical Engineering Technology (MMET), Mechanical Engineering (MEEN)</t>
  </si>
  <si>
    <t>Day 1 (Wednesday, January 24th) / Booth: K6
Day 2 (Thursday, January 25th)</t>
  </si>
  <si>
    <t>Jan 08, 2024, 9:20 AM</t>
  </si>
  <si>
    <t>Ra Forseth</t>
  </si>
  <si>
    <t>Civil and Environmental Engineering (CVEN), Electrical Engineering (ELEN), Environmental Engineering (EVEN), Industrial and Systems Engineering (ISEN), Manufacturing and Mechanical Engineering Technology (MMET), Mechanical Engineering (MEEN)</t>
  </si>
  <si>
    <t>Day 1 (Wednesday, January 24th) / Booth: C5</t>
  </si>
  <si>
    <t>Preload Inc</t>
  </si>
  <si>
    <t>Lang Hamilton</t>
  </si>
  <si>
    <t>lhamilton@preload.com</t>
  </si>
  <si>
    <t>Day 1 (Wednesday, January 24th) / Booth: L8</t>
  </si>
  <si>
    <t>Nov 29, 2023, 9:48 AM</t>
  </si>
  <si>
    <t>Prime Engineering</t>
  </si>
  <si>
    <t>Liz Diller</t>
  </si>
  <si>
    <t>ldiller@stratusteam.com</t>
  </si>
  <si>
    <t>Day 2 (Thursday, January 25th) / Booth: L27</t>
  </si>
  <si>
    <t>Jan 08, 2024, 9:19 AM</t>
  </si>
  <si>
    <t>Day 1 (Wednesday, January 24th) / Booth: J13</t>
  </si>
  <si>
    <t>Dec 18, 2023, 4:19 PM</t>
  </si>
  <si>
    <t>Public Utility Commission of Texas</t>
  </si>
  <si>
    <t>John Cox</t>
  </si>
  <si>
    <t>recruiter@puc.texas.gov</t>
  </si>
  <si>
    <t>512 936 7371</t>
  </si>
  <si>
    <t>Day 1 (Wednesday, January 24th) / Booth: K16
Day 2 (Thursday, January 25th) / Booth: K15</t>
  </si>
  <si>
    <t>Nov 13, 2023, 1:45 PM</t>
  </si>
  <si>
    <t>Courtney Schutte</t>
  </si>
  <si>
    <t>Day 2 (Thursday, January 25th) / Booth: H5</t>
  </si>
  <si>
    <t>Nov 13, 2023, 10:59 AM</t>
  </si>
  <si>
    <t>Day 1 (Wednesday, January 24th) / Booth: H4
Day 2 (Thursday, January 25th) / Booth: H4</t>
  </si>
  <si>
    <t>R.G. Miller Engineers</t>
  </si>
  <si>
    <t>Civil and Environmental Engineering (CVEN), Environmental Engineering (EVEN), Mechanical Engineering (MEEN), Multidisciplinary Engineering Technology (MXET)</t>
  </si>
  <si>
    <t>Day 2 (Thursday, January 25th) / Booth: C18</t>
  </si>
  <si>
    <t>Nov 15, 2023, 10:14 AM</t>
  </si>
  <si>
    <t>pharp@ragleinc.com</t>
  </si>
  <si>
    <t>Day 2 (Thursday, January 25th) / Booth: O8</t>
  </si>
  <si>
    <t>Lydia Humes</t>
  </si>
  <si>
    <t>lydia.humes@rrc.texas.gov</t>
  </si>
  <si>
    <t>512-420-6248</t>
  </si>
  <si>
    <t>Nov 14, 2023, 10:07 AM</t>
  </si>
  <si>
    <t>Day 2 (Thursday, January 25th) / Booth: L8</t>
  </si>
  <si>
    <t>Nov 13, 2023, 2:14 PM</t>
  </si>
  <si>
    <t>Jan 16, 2024, 12:41 PM</t>
  </si>
  <si>
    <t>Raytheon Technologies</t>
  </si>
  <si>
    <t>Aerospace Engineering (AERO), Chemical Engineering (CHEN), Computer Engineering (CECN), Computer Science (CPSC), Data Engineering (DATA), Electrical Engineering (ELEN), Industrial and Systems Engineering (ISEN), Manufacturing and Mechanical Engineering Technology (MMET), Materials Science and Engineering (MSEN), Mechanical Engineering (MEEN)</t>
  </si>
  <si>
    <t>Day 1 (Wednesday, January 24th) / Booth: O7</t>
  </si>
  <si>
    <t>Nov 14, 2023, 12:05 PM</t>
  </si>
  <si>
    <t>Day 1 (Wednesday, January 24th) / Booth: A4
Day 2 (Thursday, January 25th) / Booth: A4</t>
  </si>
  <si>
    <t>Nov 18, 2023, 3:39 PM</t>
  </si>
  <si>
    <t>RLG Consulting Engineers</t>
  </si>
  <si>
    <t>Olivia Bidwell</t>
  </si>
  <si>
    <t>hr@rlginc.com</t>
  </si>
  <si>
    <t>Day 1 (Wednesday, January 24th) / Booth: F14</t>
  </si>
  <si>
    <t>Nov 13, 2023, 8:53 AM</t>
  </si>
  <si>
    <t>Irene Fiand</t>
  </si>
  <si>
    <t>irene.fiand@rocrich.com</t>
  </si>
  <si>
    <t>Computer Science (CPSC), Electrical Engineering (ELEN), Manufacturing and Mechanical Engineering Technology (MMET), Mechanical Engineering (MEEN), Multidisciplinary Engineering Technology (MXET)</t>
  </si>
  <si>
    <t>Day 1 (Wednesday, January 24th) / Booth: C18</t>
  </si>
  <si>
    <t>Nov 13, 2023, 9:57 AM</t>
  </si>
  <si>
    <t>Brock E. Miller</t>
  </si>
  <si>
    <t>bmiller@rtg-texas.com</t>
  </si>
  <si>
    <t>Day 1 (Wednesday, January 24th) / Booth: O15
Day 2 (Thursday, January 25th)</t>
  </si>
  <si>
    <t>Root 3 Power</t>
  </si>
  <si>
    <t>Matt Proctor</t>
  </si>
  <si>
    <t>Matt.Proctor@root3power.com</t>
  </si>
  <si>
    <t>346-225-3210</t>
  </si>
  <si>
    <t>Day 2 (Thursday, January 25th) / Booth: K2</t>
  </si>
  <si>
    <t>Nov 13, 2023, 12:05 PM</t>
  </si>
  <si>
    <t>Root Engineering Services, PC</t>
  </si>
  <si>
    <t>Adam Harris</t>
  </si>
  <si>
    <t>sarah@rootmep.com</t>
  </si>
  <si>
    <t>903-375-9303</t>
  </si>
  <si>
    <t>Day 2 (Thursday, January 25th) / Booth: L20</t>
  </si>
  <si>
    <t>Jan 08, 2024, 10:35 AM</t>
  </si>
  <si>
    <t>dyork@rosen-group.com</t>
  </si>
  <si>
    <t>281-582-8162</t>
  </si>
  <si>
    <t>Day 2 (Thursday, January 25th) / Booth: C2</t>
  </si>
  <si>
    <t>Nov 17, 2023, 10:17 AM</t>
  </si>
  <si>
    <t>Chemical Engineering (CHEN), Computer Engineering (CECN), Computer Science (CPSC), Electrical Engineering (ELEN), Industrial and Systems Engineering (ISEN), Mechanical Engineering (MEEN)</t>
  </si>
  <si>
    <t>Day 1 (Wednesday, January 24th) / Booth: A12</t>
  </si>
  <si>
    <t>Nov 17, 2023, 6:29 PM</t>
  </si>
  <si>
    <t>Jan 08, 2024, 9:31 AM</t>
  </si>
  <si>
    <t>Russell Marine LLC</t>
  </si>
  <si>
    <t>Jennifer Reagan</t>
  </si>
  <si>
    <t>hr.jobs@russellmarinellc.com</t>
  </si>
  <si>
    <t>281 860 0011</t>
  </si>
  <si>
    <t>Day 1 (Wednesday, January 24th) / Booth: H27</t>
  </si>
  <si>
    <t>Nov 13, 2023, 10:00 AM</t>
  </si>
  <si>
    <t>G23, G24</t>
  </si>
  <si>
    <t>Day 1 (Wednesday, January 24th) / Booth: G23-24</t>
  </si>
  <si>
    <t>Nov 13, 2023, 8:20 AM</t>
  </si>
  <si>
    <t>Hannah Hill</t>
  </si>
  <si>
    <t>edna.hicks@saberpower.com</t>
  </si>
  <si>
    <t>Day 2 (Thursday, January 25th) / Booth: O7</t>
  </si>
  <si>
    <t>Nov 13, 2023, 9:29 AM</t>
  </si>
  <si>
    <t>John Michael DeRosa</t>
  </si>
  <si>
    <t>Aerospace Engineering (AERO), Biological and Agricultural Engineering (BAEN), Chemical Engineering (CHEN), Civil and Environmental Engineering (CVEN), Electrical Engineering (ELEN), Electronic Systems Engineering Technology (ESET), Environmental Engineering (EVEN), Industrial and Systems Engineering (ISEN), Materials Science and Engineering (MSEN), Mechanical Engineering (MEEN)</t>
  </si>
  <si>
    <t>Day 1 (Wednesday, January 24th) / Booth: L19</t>
  </si>
  <si>
    <t>Jan 09, 2024, 2:08 PM</t>
  </si>
  <si>
    <t>Sambatek, LLC</t>
  </si>
  <si>
    <t>Misty Dusek</t>
  </si>
  <si>
    <t>mdusek@sambatek.com</t>
  </si>
  <si>
    <t>Nov 13, 2023, 11:06 AM</t>
  </si>
  <si>
    <t>Day 1 (Wednesday, January 24th) / Booth: M1</t>
  </si>
  <si>
    <t>Sandlin Services, LLC</t>
  </si>
  <si>
    <t>Nicholas Sandlin</t>
  </si>
  <si>
    <t>nick@sandlinservices.com</t>
  </si>
  <si>
    <t>806-679-7303</t>
  </si>
  <si>
    <t>Day 1 (Wednesday, January 24th) / Booth: B4</t>
  </si>
  <si>
    <t>Chemical Engineering (CHEN), Civil and Environmental Engineering (CVEN), Electrical Engineering (ELEN), Materials Science and Engineering (MSEN), Mechanical Engineering (MEEN), Nuclear Engineering (NUEN)</t>
  </si>
  <si>
    <t>Day 2 (Thursday, January 25th) / Booth: A14</t>
  </si>
  <si>
    <t>Nov 13, 2023, 10:14 AM</t>
  </si>
  <si>
    <t>N27</t>
  </si>
  <si>
    <t>Day 1 (Wednesday, January 24th) / Booth: N27</t>
  </si>
  <si>
    <t>Kassandra Rosemary Sejas-Padilla</t>
  </si>
  <si>
    <t>Civil and Environmental Engineering (CVEN), Environmental Engineering (EVEN), Materials Science and Engineering (MSEN)</t>
  </si>
  <si>
    <t>Day 1 (Wednesday, January 24th) / Booth: G18</t>
  </si>
  <si>
    <t>Dec 27, 2023, 1:38 PM</t>
  </si>
  <si>
    <t>Schnabel Geostructural Design &amp; Construction</t>
  </si>
  <si>
    <t>Schneider Engineering, Ltd.</t>
  </si>
  <si>
    <t>Day 1 (Wednesday, January 24th) / Booth: L12</t>
  </si>
  <si>
    <t>Nov 13, 2023, 10:33 AM</t>
  </si>
  <si>
    <t>Computer Engineering (CECN), Electrical Engineering (ELEN), Electronic Systems Engineering Technology (ESET), Manufacturing and Mechanical Engineering Technology (MMET)</t>
  </si>
  <si>
    <t>Day 2 (Thursday, January 25th) / Booth: H9</t>
  </si>
  <si>
    <t>Nov 13, 2023, 9:38 AM</t>
  </si>
  <si>
    <t>Day 1 (Wednesday, January 24th) / Booth: N18
Day 2 (Thursday, January 25th) / Booth: N18</t>
  </si>
  <si>
    <t>Nov 13, 2023, 12:44 PM</t>
  </si>
  <si>
    <t>Maroon One-Day [$6500.00]</t>
  </si>
  <si>
    <t>Nov 15, 2023, 10:25 PM</t>
  </si>
  <si>
    <t>Jennifer Hatten</t>
  </si>
  <si>
    <t>jhatten@secretariat-intl.com</t>
  </si>
  <si>
    <t>1-832-454-5095</t>
  </si>
  <si>
    <t>Day 1 (Wednesday, January 24th) / Booth: N24</t>
  </si>
  <si>
    <t>Nov 15, 2023, 9:09 AM</t>
  </si>
  <si>
    <t>Day 1 (Wednesday, January 24th) / Booth: K8
Day 2 (Thursday, January 25th) / Booth: K8</t>
  </si>
  <si>
    <t>Nov 14, 2023, 8:45 AM</t>
  </si>
  <si>
    <t>Ari Taheri</t>
  </si>
  <si>
    <t>ari.taheri@shield-engineering.com</t>
  </si>
  <si>
    <t>All Majors, Civil and Environmental Engineering (CVEN), Environmental Engineering (EVEN), Mechanical Engineering (MEEN), Petroleum Engineering (PETE)</t>
  </si>
  <si>
    <t>Day 1 (Wednesday, January 24th) / Booth: M8
Day 2 (Thursday, January 25th) / Booth: M8</t>
  </si>
  <si>
    <t>Payton Albrecht</t>
  </si>
  <si>
    <t>payton.albrecht@shimmick.com</t>
  </si>
  <si>
    <t>928-988-6387</t>
  </si>
  <si>
    <t>Day 1 (Wednesday, January 24th) / Booth: D24</t>
  </si>
  <si>
    <t>Nov 13, 2023, 2:57 PM</t>
  </si>
  <si>
    <t>Computer Engineering (CECN), Computer Science (CPSC), Data Engineering (DATA), Electrical Engineering (ELEN), Industrial and Systems Engineering (ISEN), Mechanical Engineering (MEEN)</t>
  </si>
  <si>
    <t>Siemens Digital Industries Software</t>
  </si>
  <si>
    <t>Justin Stephens</t>
  </si>
  <si>
    <t>justin.stephens@siemens.com</t>
  </si>
  <si>
    <t>410-236-8964</t>
  </si>
  <si>
    <t>Computer Engineering (CECN), Computer Science (CPSC), Electrical Engineering (ELEN), Electronic Systems Engineering Technology (ESET), Materials Science and Engineering (MSEN)</t>
  </si>
  <si>
    <t>Day 1 (Wednesday, January 24th) / Booth: L23</t>
  </si>
  <si>
    <t>Jan 02, 2024, 1:32 PM</t>
  </si>
  <si>
    <t>Aerospace Engineering (AERO), Chemical Engineering (CHEN), Electrical Engineering (ELEN), Manufacturing and Mechanical Engineering Technology (MMET), Mechanical Engineering (MEEN), Multidisciplinary Engineering Technology (MXET), Petroleum Engineering (PETE)</t>
  </si>
  <si>
    <t>Day 1 (Wednesday, January 24th) / Booth: L22</t>
  </si>
  <si>
    <t>Dec 21, 2023, 11:37 AM</t>
  </si>
  <si>
    <t>All Majors, Aerospace Engineering (AERO), Biological and Agricultural Engineering (BAEN), Biomedical Engineering (BMEN), Chemical Engineering (CHEN), Civil and Environmental Engineering (CVEN), Computer Engineering (CECN), Computer Science (CPSC), Data Engineering (DATA), Electrical Engineering (ELEN), Electronic Systems Engineering Technology (ESET), Environmental Engineering (EVEN), Industrial Distribution (IDIS), Industrial and Systems Engineering (ISEN), Manufacturing and Mechanical Engineering Technology (MMET), Materials Science and Engineering (MSEN), Mechanical Engineering (MEEN), Nuclear Engineering (NUEN), Petroleum Engineering (PETE)</t>
  </si>
  <si>
    <t>C26, C27, C28</t>
  </si>
  <si>
    <t>Day 1 (Wednesday, January 24th) / Booth: C26-28</t>
  </si>
  <si>
    <t>Nov 14, 2023, 11:26 AM</t>
  </si>
  <si>
    <t>Day 1 (Wednesday, January 24th) / Booth: F9</t>
  </si>
  <si>
    <t>Nov 13, 2023, 1:33 PM</t>
  </si>
  <si>
    <t>Renee McMillen</t>
  </si>
  <si>
    <t>rmcmillen@spp.org</t>
  </si>
  <si>
    <t>501-688-1771</t>
  </si>
  <si>
    <t>Computer Science (CPSC), Data Engineering (DATA), Electrical Engineering (ELEN), Mechanical Engineering (MEEN)</t>
  </si>
  <si>
    <t>Day 1 (Wednesday, January 24th) / Booth: M27</t>
  </si>
  <si>
    <t>Dec 19, 2023, 3:58 PM</t>
  </si>
  <si>
    <t>Day 1 (Wednesday, January 24th) / Booth: K18</t>
  </si>
  <si>
    <t>Christopher Encinia</t>
  </si>
  <si>
    <t>cencinia@southwestern.com</t>
  </si>
  <si>
    <t>Day 1 (Wednesday, January 24th) / Booth: E11
Day 2 (Thursday, January 25th) / Booth: E11</t>
  </si>
  <si>
    <t>Dec 04, 2023, 12:44 PM</t>
  </si>
  <si>
    <t>Day 2 (Thursday, January 25th) / Booth: B23</t>
  </si>
  <si>
    <t>Dec 13, 2023, 9:44 AM</t>
  </si>
  <si>
    <t>Emily Bruns</t>
  </si>
  <si>
    <t>ebruns@ssoe.com</t>
  </si>
  <si>
    <t>Architectural Engineering (AREN), Chemical Engineering (CHEN), Civil and Environmental Engineering (CVEN), Electrical Engineering (ELEN), Mechanical Engineering (MEEN)</t>
  </si>
  <si>
    <t>Day 2 (Thursday, January 25th) / Booth: G6</t>
  </si>
  <si>
    <t>Dec 29, 2023, 8:31 AM</t>
  </si>
  <si>
    <t>Melissa Mowery</t>
  </si>
  <si>
    <t>melissa.mowery@stantec.com</t>
  </si>
  <si>
    <t>Architectural Engineering (AREN), Chemical Engineering (CHEN), Civil and Environmental Engineering (CVEN), Electrical Engineering (ELEN), Electronic Systems Engineering Technology (ESET), Environmental Engineering (EVEN), Industrial and Systems Engineering (ISEN), Mechanical Engineering (MEEN)</t>
  </si>
  <si>
    <t>Day 2 (Thursday, January 25th) / Booth: F14</t>
  </si>
  <si>
    <t>Nov 21, 2023, 5:20 PM</t>
  </si>
  <si>
    <t>Day 1 (Wednesday, January 24th) / Booth: M9
Day 2 (Thursday, January 25th) / Booth: M9</t>
  </si>
  <si>
    <t>Nov 13, 2023, 3:36 PM</t>
  </si>
  <si>
    <t>Biological and Agricultural Engineering (BAEN), Biomedical Engineering (BMEN), Electrical Engineering (ELEN), Electronic Systems Engineering Technology (ESET), Manufacturing and Mechanical Engineering Technology (MMET), Mechanical Engineering (MEEN)</t>
  </si>
  <si>
    <t>Day 2 (Thursday, January 25th) / Booth: J11</t>
  </si>
  <si>
    <t>Jan 11, 2024, 3:37 PM</t>
  </si>
  <si>
    <t>Day 2 (Thursday, January 25th) / Booth: I27</t>
  </si>
  <si>
    <t>Structures</t>
  </si>
  <si>
    <t>Sarah Fatheree</t>
  </si>
  <si>
    <t>sarah@structurestx.com</t>
  </si>
  <si>
    <t>737.707.4910</t>
  </si>
  <si>
    <t>Day 1 (Wednesday, January 24th) / Booth: J17</t>
  </si>
  <si>
    <t>Nov 15, 2023, 4:17 PM</t>
  </si>
  <si>
    <t>Day 1 (Wednesday, January 24th) / Booth: A10</t>
  </si>
  <si>
    <t>Nov 14, 2023, 1:50 PM</t>
  </si>
  <si>
    <t>Day 1 (Wednesday, January 24th) / Booth: C4
Day 2 (Thursday, January 25th) / Booth: C4</t>
  </si>
  <si>
    <t>Jan 08, 2024, 10:56 AM</t>
  </si>
  <si>
    <t>Summit Industrial Construction, LLC</t>
  </si>
  <si>
    <t>Chris Aberly</t>
  </si>
  <si>
    <t>caberly@summit.us</t>
  </si>
  <si>
    <t>225.315.0764</t>
  </si>
  <si>
    <t>Architectural Engineering (AREN), Civil and Environmental Engineering (CVEN), Industrial and Systems Engineering (ISEN), Mechanical Engineering (MEEN)</t>
  </si>
  <si>
    <t>Day 1 (Wednesday, January 24th) / Booth: E6
Day 2 (Thursday, January 25th) / Booth: E6</t>
  </si>
  <si>
    <t>Jan 03, 2024, 2:02 PM</t>
  </si>
  <si>
    <t>Day 1 (Wednesday, January 24th) / Booth: A13</t>
  </si>
  <si>
    <t>Dec 15, 2023, 12:44 PM</t>
  </si>
  <si>
    <t>Lea Kerstein</t>
  </si>
  <si>
    <t>lea.kerstein@synchrogrid.com</t>
  </si>
  <si>
    <t>630-488-7725</t>
  </si>
  <si>
    <t>N20</t>
  </si>
  <si>
    <t>Day 1 (Wednesday, January 24th) / Booth: N20
Day 2 (Thursday, January 25th) / Booth: N20</t>
  </si>
  <si>
    <t>Dec 06, 2023, 4:11 PM</t>
  </si>
  <si>
    <t>Day 2 (Thursday, January 25th) / Booth: H10</t>
  </si>
  <si>
    <t>Nov 13, 2023, 1:48 PM</t>
  </si>
  <si>
    <t>TAMU Finance Department</t>
  </si>
  <si>
    <t>ritz@mays.tamu.edu</t>
  </si>
  <si>
    <t>Day 1 (Wednesday, January 24th) / Booth: G25
Day 2 (Thursday, January 25th) / Booth: G25</t>
  </si>
  <si>
    <t>Day 1 (Wednesday, January 24th) / Booth: E16
Day 2 (Thursday, January 25th) / Booth: E16</t>
  </si>
  <si>
    <t>Jan 09, 2024, 5:14 PM</t>
  </si>
  <si>
    <t>832-258-2976</t>
  </si>
  <si>
    <t>Chemical Engineering (CHEN), Civil and Environmental Engineering (CVEN), Electrical Engineering (ELEN), Industrial and Systems Engineering (ISEN), Manufacturing and Mechanical Engineering Technology (MMET), Mechanical Engineering (MEEN), Multidisciplinary Engineering Technology (MXET), Ocean Engineering (OCEN)</t>
  </si>
  <si>
    <t>Day 1 (Wednesday, January 24th) / Booth: M18
Day 2 (Thursday, January 25th) / Booth: H28</t>
  </si>
  <si>
    <t>Dec 04, 2023, 4:17 PM</t>
  </si>
  <si>
    <t>Electrical Engineering (ELEN), Industrial and Systems Engineering (ISEN), Manufacturing and Mechanical Engineering Technology (MMET), Mechanical Engineering (MEEN), Ocean Engineering (OCEN)</t>
  </si>
  <si>
    <t>Day 1 (Wednesday, January 24th) / Booth: H28
Day 2 (Thursday, January 25th) / Booth: M18</t>
  </si>
  <si>
    <t>Jan 03, 2024, 9:59 AM</t>
  </si>
  <si>
    <t>Tektronix</t>
  </si>
  <si>
    <t>Kelsey Vaughn</t>
  </si>
  <si>
    <t>kelsey.vaughn@tektronix.com</t>
  </si>
  <si>
    <t>503 627 1453</t>
  </si>
  <si>
    <t>Jan 06, 2024, 8:32 PM</t>
  </si>
  <si>
    <t>Industrial Distribution (IDIS), Industrial and Systems Engineering (ISEN), Manufacturing and Mechanical Engineering Technology (MMET), Materials Science and Engineering (MSEN), Mechanical Engineering (MEEN), Multidisciplinary Engineering Technology (MXET)</t>
  </si>
  <si>
    <t>Day 1 (Wednesday, January 24th) / Booth: D7
Day 2 (Thursday, January 25th) / Booth: D7</t>
  </si>
  <si>
    <t>Nov 14, 2023, 10:01 AM</t>
  </si>
  <si>
    <t>Teradyne, Inc.</t>
  </si>
  <si>
    <t>Haley Patnaude</t>
  </si>
  <si>
    <t>haley.patnaude@teradyne.com</t>
  </si>
  <si>
    <t>Computer Engineering (CECN), Electrical Engineering (ELEN), Electronic Systems Engineering Technology (ESET), Manufacturing and Mechanical Engineering Technology (MMET), Mechanical Engineering (MEEN)</t>
  </si>
  <si>
    <t>Day 1 (Wednesday, January 24th) / Booth: N9</t>
  </si>
  <si>
    <t>Dec 04, 2023, 12:39 PM</t>
  </si>
  <si>
    <t>Architectural Engineering (AREN), Civil and Environmental Engineering (CVEN), Environmental Engineering (EVEN), Materials Science and Engineering (MSEN), Mechanical Engineering (MEEN)</t>
  </si>
  <si>
    <t>K25, K26</t>
  </si>
  <si>
    <t>Day 1 (Wednesday, January 24th) / Booth: K25-26</t>
  </si>
  <si>
    <t>Day 2 (Thursday, January 25th) / Booth: C9</t>
  </si>
  <si>
    <t>Nov 14, 2023, 12:34 PM</t>
  </si>
  <si>
    <t>Day 1 (Wednesday, January 24th) / Booth: D13
Day 2 (Thursday, January 25th) / Booth: D13</t>
  </si>
  <si>
    <t>Nov 13, 2023, 9:51 AM</t>
  </si>
  <si>
    <t>979-862-4944</t>
  </si>
  <si>
    <t>Day 1 (Wednesday, January 24th) / Booth: B20
Day 2 (Thursday, January 25th) / Booth: B20</t>
  </si>
  <si>
    <t>Dec 15, 2023, 11:30 AM</t>
  </si>
  <si>
    <t>Texas A&amp;M University - Bush School of Government and Public Service</t>
  </si>
  <si>
    <t>Day 1 (Wednesday, January 24th) / Booth: B26
Day 2 (Thursday, January 25th) / Booth: B26</t>
  </si>
  <si>
    <t>Nov 17, 2023, 1:18 PM</t>
  </si>
  <si>
    <t>Tonya Kidwell</t>
  </si>
  <si>
    <t>ciac@arch.tamu.edu</t>
  </si>
  <si>
    <t>979-862-7354</t>
  </si>
  <si>
    <t>Day 2 (Thursday, January 25th) / Booth: M15</t>
  </si>
  <si>
    <t>Jan 10, 2024, 4:26 PM</t>
  </si>
  <si>
    <t>Day 1 (Wednesday, January 24th) / Booth: F12-13
Day 2 (Thursday, January 25th) / Booth: F12-13</t>
  </si>
  <si>
    <t>Nov 13, 2023, 8:42 AM</t>
  </si>
  <si>
    <t>Chemical Engineering (CHEN), Civil and Environmental Engineering (CVEN), Computer Engineering (CECN), Computer Science (CPSC), Electrical Engineering (ELEN), Electronic Systems Engineering Technology (ESET), Industrial Distribution (IDIS), Industrial and Systems Engineering (ISEN), Manufacturing and Mechanical Engineering Technology (MMET), Materials Science and Engineering (MSEN), Mechanical Engineering (MEEN)</t>
  </si>
  <si>
    <t>E13, E14</t>
  </si>
  <si>
    <t>Day 1 (Wednesday, January 24th) / Booth: E13-14
Day 2 (Thursday, January 25th) / Booth: E13-14</t>
  </si>
  <si>
    <t>Texas Professional Engineering</t>
  </si>
  <si>
    <t>Breanna Bell</t>
  </si>
  <si>
    <t>bbell@engineeringtexas.com</t>
  </si>
  <si>
    <t>Day 2 (Thursday, January 25th) / Booth: C22</t>
  </si>
  <si>
    <t>Dec 06, 2023, 3:01 PM</t>
  </si>
  <si>
    <t>Texas Water Development Board</t>
  </si>
  <si>
    <t>Sergio Pellicano</t>
  </si>
  <si>
    <t>hr@twdb.texas.gov</t>
  </si>
  <si>
    <t>512-475-2142</t>
  </si>
  <si>
    <t>Architectural Engineering (AREN), Chemical Engineering (CHEN), Civil and Environmental Engineering (CVEN), Environmental Engineering (EVEN), Mechanical Engineering (MEEN)</t>
  </si>
  <si>
    <t>Day 1 (Wednesday, January 24th) / Booth: J25</t>
  </si>
  <si>
    <t>Nov 16, 2023, 12:53 PM</t>
  </si>
  <si>
    <t>Texas Water Utilities</t>
  </si>
  <si>
    <t>William Brown</t>
  </si>
  <si>
    <t>wbrown@swwc.com</t>
  </si>
  <si>
    <t>713-819-0229</t>
  </si>
  <si>
    <t>Day 1 (Wednesday, January 24th) / Booth: J26
Day 2 (Thursday, January 25th) / Booth: J26</t>
  </si>
  <si>
    <t>Jan 09, 2024, 2:45 PM</t>
  </si>
  <si>
    <t>Architectural Engineering (AREN), Electrical Engineering (ELEN), Industrial and Systems Engineering (ISEN), Manufacturing and Mechanical Engineering Technology (MMET), Mechanical Engineering (MEEN)</t>
  </si>
  <si>
    <t>Day 2 (Thursday, January 25th) / Booth: D25</t>
  </si>
  <si>
    <t>The Estes Group</t>
  </si>
  <si>
    <t>Kristina Estes</t>
  </si>
  <si>
    <t>kristy.estes@teg-tx.com</t>
  </si>
  <si>
    <t>Day 1 (Wednesday, January 24th) / Booth: N5</t>
  </si>
  <si>
    <t>The Hunton Group</t>
  </si>
  <si>
    <t>Amber Davidson</t>
  </si>
  <si>
    <t>adavidson@huntongroup.com</t>
  </si>
  <si>
    <t>(713) 724 3700</t>
  </si>
  <si>
    <t>Computer Science (CPSC), Electrical Engineering (ELEN), Industrial Distribution (IDIS), Manufacturing and Mechanical Engineering Technology (MMET), Mechanical Engineering (MEEN)</t>
  </si>
  <si>
    <t>Day 2 (Thursday, January 25th) / Booth: F18</t>
  </si>
  <si>
    <t>Dec 19, 2023, 2:24 PM</t>
  </si>
  <si>
    <t>Aerospace Engineering (AERO), Industrial Distribution (IDIS), Industrial and Systems Engineering (ISEN), Manufacturing and Mechanical Engineering Technology (MMET), Materials Science and Engineering (MSEN)</t>
  </si>
  <si>
    <t>Day 1 (Wednesday, January 24th) / Booth: K5</t>
  </si>
  <si>
    <t>The Transtec Group, Inc.</t>
  </si>
  <si>
    <t>Dora Tanton</t>
  </si>
  <si>
    <t>dora@thetranstecgroup.com</t>
  </si>
  <si>
    <t>(512) 451-6233</t>
  </si>
  <si>
    <t>Jan 19, 2024, 11:17 AM</t>
  </si>
  <si>
    <t>Day 1 (Wednesday, January 24th) / Booth: C2</t>
  </si>
  <si>
    <t>Nov 13, 2023, 10:56 AM</t>
  </si>
  <si>
    <t>Aerospace Engineering (AERO), Biomedical Engineering (BMEN), Chemical Engineering (CHEN), Civil and Environmental Engineering (CVEN), Computer Engineering (CECN), Computer Science (CPSC), Electrical Engineering (ELEN), Materials Science and Engineering (MSEN), Mechanical Engineering (MEEN)</t>
  </si>
  <si>
    <t>Day 1 (Wednesday, January 24th) / Booth: G2
Day 2 (Thursday, January 25th) / Booth: G2</t>
  </si>
  <si>
    <t>Nov 13, 2023, 2:12 PM</t>
  </si>
  <si>
    <t>Day 1 (Wednesday, January 24th) / Booth: F19
Day 2 (Thursday, January 25th) / Booth: F19</t>
  </si>
  <si>
    <t>Nov 14, 2023, 10:29 AM</t>
  </si>
  <si>
    <t>Day 2 (Thursday, January 25th) / Booth: M26</t>
  </si>
  <si>
    <t>(713)466-0277</t>
  </si>
  <si>
    <t>Electrical Engineering (ELEN), Industrial Distribution (IDIS), Manufacturing and Mechanical Engineering Technology (MMET), Mechanical Engineering (MEEN)</t>
  </si>
  <si>
    <t>Day 1 (Wednesday, January 24th) / Booth: N7</t>
  </si>
  <si>
    <t>Day 1 (Wednesday, January 24th) / Booth: K27</t>
  </si>
  <si>
    <t>Day 1 (Wednesday, January 24th) / Booth: M15</t>
  </si>
  <si>
    <t>Day 2 (Thursday, January 25th) / Booth: O10</t>
  </si>
  <si>
    <t>Nov 13, 2023, 9:10 AM</t>
  </si>
  <si>
    <t>Computer Science (CPSC), Electronic Systems Engineering Technology (ESET), Industrial Distribution (IDIS), Industrial and Systems Engineering (ISEN), Multidisciplinary Engineering Technology (MXET)</t>
  </si>
  <si>
    <t>Day 2 (Thursday, January 25th) / Booth: C20</t>
  </si>
  <si>
    <t>Jan 10, 2024, 11:25 AM</t>
  </si>
  <si>
    <t>Roxanna Lujan Vega</t>
  </si>
  <si>
    <t>vegar@tsmc.com</t>
  </si>
  <si>
    <t>602-558-7536</t>
  </si>
  <si>
    <t>Day 1 (Wednesday, January 24th) / Booth: H8-9</t>
  </si>
  <si>
    <t>Nov 13, 2023, 2:28 PM</t>
  </si>
  <si>
    <t>Unify Energy Solutions</t>
  </si>
  <si>
    <t>Anna King</t>
  </si>
  <si>
    <t>annak@unifyes.com</t>
  </si>
  <si>
    <t>Computer Engineering (CECN), Computer Science (CPSC), Electrical Engineering (ELEN), Electronic Systems Engineering Technology (ESET), Industrial Distribution (IDIS), Industrial and Systems Engineering (ISEN), Mechanical Engineering (MEEN)</t>
  </si>
  <si>
    <t>Day 1 (Wednesday, January 24th) / Booth: K4</t>
  </si>
  <si>
    <t>Dec 21, 2023, 4:48 PM</t>
  </si>
  <si>
    <t>Kris Sivertson</t>
  </si>
  <si>
    <t>sivertsonkl@state.gov</t>
  </si>
  <si>
    <t>All Majors, Civil and Environmental Engineering (CVEN), Computer Engineering (CECN), Data Engineering (DATA), Electrical Engineering (ELEN), Industrial and Systems Engineering (ISEN), Manufacturing and Mechanical Engineering Technology (MMET)</t>
  </si>
  <si>
    <t>Nov 14, 2023, 11:02 AM</t>
  </si>
  <si>
    <t>Day 1 (Wednesday, January 24th) / Booth: A1
Day 2 (Thursday, January 25th) / Booth: A1</t>
  </si>
  <si>
    <t>Dec 07, 2023, 2:05 PM</t>
  </si>
  <si>
    <t>Civil and Environmental Engineering (CVEN), Electrical Engineering (ELEN), Environmental Engineering (EVEN), Mechanical Engineering (MEEN), Multidisciplinary Engineering Technology (MXET)</t>
  </si>
  <si>
    <t>L25</t>
  </si>
  <si>
    <t>Day 1 (Wednesday, January 24th) / Booth: L25
Day 2 (Thursday, January 25th) / Booth: L25</t>
  </si>
  <si>
    <t>Dec 06, 2023, 11:44 AM</t>
  </si>
  <si>
    <t>Day 1 (Wednesday, January 24th) / Booth: C21</t>
  </si>
  <si>
    <t>Nov 13, 2023, 9:28 AM</t>
  </si>
  <si>
    <t>Alice Epley</t>
  </si>
  <si>
    <t>alice.epley@valaris.com</t>
  </si>
  <si>
    <t>Day 2 (Thursday, January 25th) / Booth: A12</t>
  </si>
  <si>
    <t>Jan 05, 2024, 11:15 AM</t>
  </si>
  <si>
    <t>Bjoern Svendsen</t>
  </si>
  <si>
    <t>469-360-3214</t>
  </si>
  <si>
    <t>Day 1 (Wednesday, January 24th) / Booth: F24</t>
  </si>
  <si>
    <t>Nov 15, 2023, 9:45 AM</t>
  </si>
  <si>
    <t>Ventura Foods</t>
  </si>
  <si>
    <t>Lacey Cope</t>
  </si>
  <si>
    <t>lcope@venturafoods.com</t>
  </si>
  <si>
    <t>Chemical Engineering (CHEN), Data Engineering (DATA), Industrial and Systems Engineering (ISEN), Manufacturing and Mechanical Engineering Technology (MMET), Mechanical Engineering (MEEN), Multidisciplinary Engineering Technology (MXET)</t>
  </si>
  <si>
    <t>Day 1 (Wednesday, January 24th) / Booth: M19
Day 2 (Thursday, January 25th) / Booth: M19</t>
  </si>
  <si>
    <t>Dec 18, 2023, 3:55 PM</t>
  </si>
  <si>
    <t>Darcie Duhe</t>
  </si>
  <si>
    <t>dduhe@venturegloballng.com</t>
  </si>
  <si>
    <t>832-924-9884</t>
  </si>
  <si>
    <t>All Majors, Civil and Environmental Engineering (CVEN), Environmental Engineering (EVEN), Industrial Distribution (IDIS), Manufacturing and Mechanical Engineering Technology (MMET)</t>
  </si>
  <si>
    <t>Day 1 (Wednesday, January 24th) / Booth: D12
Day 2 (Thursday, January 25th) / Booth: D12</t>
  </si>
  <si>
    <t>Nov 13, 2023, 9:43 AM</t>
  </si>
  <si>
    <t>Day 1 (Wednesday, January 24th) / Booth: M16</t>
  </si>
  <si>
    <t>Nov 13, 2023, 1:18 PM</t>
  </si>
  <si>
    <t>Day 1 (Wednesday, January 24th) / Booth: G16</t>
  </si>
  <si>
    <t>Nov 15, 2023, 10:46 AM</t>
  </si>
  <si>
    <t>W-Industries</t>
  </si>
  <si>
    <t>Cory Garza</t>
  </si>
  <si>
    <t>cory_garza@w-industries.com</t>
  </si>
  <si>
    <t>956-207-8848</t>
  </si>
  <si>
    <t>Chemical Engineering (CHEN), Industrial and Systems Engineering (ISEN), Manufacturing and Mechanical Engineering Technology (MMET), Mechanical Engineering (MEEN), Petroleum Engineering (PETE)</t>
  </si>
  <si>
    <t>Day 1 (Wednesday, January 24th) / Booth: C3
Day 2 (Thursday, January 25th) / Booth: C3</t>
  </si>
  <si>
    <t>Dec 20, 2023, 2:49 PM</t>
  </si>
  <si>
    <t>Day 1 (Wednesday, January 24th) / Booth: C6
Day 2 (Thursday, January 25th) / Booth: C6</t>
  </si>
  <si>
    <t>Nov 13, 2023, 9:01 AM</t>
  </si>
  <si>
    <t>Chase Michael</t>
  </si>
  <si>
    <t>Day 2 (Thursday, January 25th) / Booth: B5</t>
  </si>
  <si>
    <t>Jan 09, 2024, 1:49 PM</t>
  </si>
  <si>
    <t>Day 1 (Wednesday, January 24th) / Booth: G3-4
Day 2 (Thursday, January 25th) / Booth: G3-4</t>
  </si>
  <si>
    <t>Donna.Harrell@westwoodps.com</t>
  </si>
  <si>
    <t>Civil and Environmental Engineering (CVEN), Electrical Engineering (ELEN), Mechanical Engineering (MEEN), Multidisciplinary Engineering Technology (MXET)</t>
  </si>
  <si>
    <t>G19, G20</t>
  </si>
  <si>
    <t>Day 1 (Wednesday, January 24th)
Day 2 (Thursday, January 25th) / Booth: G19-20</t>
  </si>
  <si>
    <t>Nov 14, 2023, 9:04 AM</t>
  </si>
  <si>
    <t>Day 1 (Wednesday, January 24th) / Booth: F21</t>
  </si>
  <si>
    <t>Dec 07, 2023, 2:52 PM</t>
  </si>
  <si>
    <t>cluke@wga-llp.com</t>
  </si>
  <si>
    <t>Day 1 (Wednesday, January 24th) / Booth: F10-11
Day 2 (Thursday, January 25th) / Booth: F10-11</t>
  </si>
  <si>
    <t>Whitman, Requardt &amp; Associates, LLP</t>
  </si>
  <si>
    <t>Day 2 (Thursday, January 25th) / Booth: N27</t>
  </si>
  <si>
    <t>Nov 15, 2023, 8:11 AM</t>
  </si>
  <si>
    <t>Betty Blake Churchill</t>
  </si>
  <si>
    <t>bchurchill@wettllc.com</t>
  </si>
  <si>
    <t>737-218-4500</t>
  </si>
  <si>
    <t>Day 2 (Thursday, January 25th) / Booth: B4</t>
  </si>
  <si>
    <t>Nov 13, 2023, 1:50 PM</t>
  </si>
  <si>
    <t>Chemical Engineering (CHEN), Civil and Environmental Engineering (CVEN), Computer Engineering (CECN), Electrical Engineering (ELEN), Electronic Systems Engineering Technology (ESET), Mechanical Engineering (MEEN), Multidisciplinary Engineering Technology (MXET), Ocean Engineering (OCEN), Petroleum Engineering (PETE)</t>
  </si>
  <si>
    <t>Day 1 (Wednesday, January 24th) / Booth: F15-16
Day 2 (Thursday, January 25th) / Booth: F15-16</t>
  </si>
  <si>
    <t>Dec 06, 2023, 3:14 PM</t>
  </si>
  <si>
    <t>Day 2 (Thursday, January 25th) / Booth: N8</t>
  </si>
  <si>
    <t>Dec 07, 2023, 9:16 AM</t>
  </si>
  <si>
    <t>ksell@wrightengineers.com</t>
  </si>
  <si>
    <t>(801)352-2001</t>
  </si>
  <si>
    <t>Day 1 (Wednesday, January 24th) / Booth: E18</t>
  </si>
  <si>
    <t>Nov 15, 2023, 9:24 AM</t>
  </si>
  <si>
    <t>WSB</t>
  </si>
  <si>
    <t>Eddie Cullum</t>
  </si>
  <si>
    <t>ecullum@wsbeng.com</t>
  </si>
  <si>
    <t>Day 1 (Wednesday, January 24th) / Booth: J24</t>
  </si>
  <si>
    <t>Nov 14, 2023, 12:38 PM</t>
  </si>
  <si>
    <t>Kameron Raburn</t>
  </si>
  <si>
    <t>kameron.raburn@wsp.com</t>
  </si>
  <si>
    <t>Civil and Environmental Engineering (CVEN), Electrical Engineering (ELEN), Environmental Engineering (EVEN), Mechanical Engineering (MEEN), Petroleum Engineering (PETE)</t>
  </si>
  <si>
    <t>Day 1 (Wednesday, January 24th) / Booth: D10</t>
  </si>
  <si>
    <t>Dec 05, 2023, 10:46 AM</t>
  </si>
  <si>
    <t>Day 1 (Wednesday, January 24th) / Booth: G15</t>
  </si>
  <si>
    <t>Day 1 (Wednesday, January 24th) / Booth: I9
Day 2 (Thursday, January 25th) / Booth: I9</t>
  </si>
  <si>
    <t>ZT Systems</t>
  </si>
  <si>
    <t>Becky Lemon</t>
  </si>
  <si>
    <t>becky.lemon@ztsystems.com</t>
  </si>
  <si>
    <t>(512) 797-8328</t>
  </si>
  <si>
    <t>Computer Engineering (CECN), Computer Science (CPSC), Data Engineering (DATA), Electrical Engineering (ELEN), Electronic Systems Engineering Technology (ESET), Environmental Engineering (EVEN), Industrial Distribution (IDIS), Industrial and Systems Engineering (ISEN), Manufacturing and Mechanical Engineering Technology (MMET), Materials Science and Engineering (MSEN), Mechanical Engineering (MEEN), Multidisciplinary Engineering Technology (MXET)</t>
  </si>
  <si>
    <t>Day 1 (Wednesday, January 24th) / Booth: N12
Day 2 (Thursday, January 25th) / Booth: N12</t>
  </si>
  <si>
    <t>Dec 11, 2023, 10:32 AM</t>
  </si>
  <si>
    <t>EMPTY - has not been tabulated yet</t>
  </si>
  <si>
    <t>Major</t>
  </si>
  <si>
    <t>Degree Level</t>
  </si>
  <si>
    <t>Organization</t>
  </si>
  <si>
    <t>Job Title</t>
  </si>
  <si>
    <t>Aerospace Engineering</t>
  </si>
  <si>
    <t>Able Aerospace Services</t>
  </si>
  <si>
    <t>Engineer</t>
  </si>
  <si>
    <t>Amazon</t>
  </si>
  <si>
    <t>Test Technician</t>
  </si>
  <si>
    <t>Belcan Engineering</t>
  </si>
  <si>
    <t>Bell</t>
  </si>
  <si>
    <t>Aerospace Engineer</t>
  </si>
  <si>
    <t>Bell Flight - Textron</t>
  </si>
  <si>
    <t>Blue Origin</t>
  </si>
  <si>
    <t>Systems Engineer</t>
  </si>
  <si>
    <t>CAE</t>
  </si>
  <si>
    <t>Software Engineer</t>
  </si>
  <si>
    <t>Craig Technologies</t>
  </si>
  <si>
    <t>CRONUS Operator</t>
  </si>
  <si>
    <t>Epic Systems</t>
  </si>
  <si>
    <t>Technical Solutions Engineer</t>
  </si>
  <si>
    <t>FBC Bryan</t>
  </si>
  <si>
    <t>Media Intern</t>
  </si>
  <si>
    <t>Federal Aviation Administration</t>
  </si>
  <si>
    <t>Aerodynamics Engineer</t>
  </si>
  <si>
    <t>Ford Motors</t>
  </si>
  <si>
    <t>Mosorsport Aerodymicist</t>
  </si>
  <si>
    <t>Aeronautical Engineer</t>
  </si>
  <si>
    <t>Applications Engineer Associate</t>
  </si>
  <si>
    <t>Field Operations Systems Engineer</t>
  </si>
  <si>
    <t>GNC Engineer</t>
  </si>
  <si>
    <t>Software Systems Engineer</t>
  </si>
  <si>
    <t>Structural Engineer</t>
  </si>
  <si>
    <t>NAWCWD</t>
  </si>
  <si>
    <t>Northrop Grumman Corporation</t>
  </si>
  <si>
    <t>Raytheon</t>
  </si>
  <si>
    <t>Structural Analyst</t>
  </si>
  <si>
    <t>Spirit Aerosystems</t>
  </si>
  <si>
    <t>Stress Analyst</t>
  </si>
  <si>
    <t>StandardAero</t>
  </si>
  <si>
    <t>Production Engineer</t>
  </si>
  <si>
    <t>Texas Army National Guard</t>
  </si>
  <si>
    <t>Pilot</t>
  </si>
  <si>
    <t>US Air Force</t>
  </si>
  <si>
    <t>2nd Lieutenant</t>
  </si>
  <si>
    <t>US Marine Corps</t>
  </si>
  <si>
    <t>Naval Aviator</t>
  </si>
  <si>
    <t>VectorNav</t>
  </si>
  <si>
    <t>Navigation Engineering Intern</t>
  </si>
  <si>
    <t>Venus Aerospace</t>
  </si>
  <si>
    <t>Propulsion Engineer</t>
  </si>
  <si>
    <t>Applied Physics Laboratory</t>
  </si>
  <si>
    <t>Threat Intelligence Engineer</t>
  </si>
  <si>
    <t>Bell Helicopter</t>
  </si>
  <si>
    <t>senior Mechanical Engineer</t>
  </si>
  <si>
    <t>Purple Rhombus LLC</t>
  </si>
  <si>
    <t>Flight Test Engineer</t>
  </si>
  <si>
    <t>United Launch Alliance</t>
  </si>
  <si>
    <t>Control Engineer</t>
  </si>
  <si>
    <t>Ensign</t>
  </si>
  <si>
    <t>Architectural Engineering</t>
  </si>
  <si>
    <t>ARCO Murray</t>
  </si>
  <si>
    <t>Assistant Supervisor</t>
  </si>
  <si>
    <t>ARUP</t>
  </si>
  <si>
    <t>Graduate Engineer</t>
  </si>
  <si>
    <t>Brandt Companies</t>
  </si>
  <si>
    <t>Mechanical Engineer</t>
  </si>
  <si>
    <t>BTS Maintenance Service LLC</t>
  </si>
  <si>
    <t>Owner</t>
  </si>
  <si>
    <t>Burditt Consultants</t>
  </si>
  <si>
    <t>Architectural Intern</t>
  </si>
  <si>
    <t>Transmissions Engineer</t>
  </si>
  <si>
    <t xml:space="preserve"> </t>
  </si>
  <si>
    <t>HDR Inc.</t>
  </si>
  <si>
    <t>Mechanical Coordinator</t>
  </si>
  <si>
    <t>Mechanical EIT</t>
  </si>
  <si>
    <t>Henderson Engineers</t>
  </si>
  <si>
    <t>Electrical Designer</t>
  </si>
  <si>
    <t>Hermino Stone Company</t>
  </si>
  <si>
    <t>Superintendent</t>
  </si>
  <si>
    <t>IEG Engineers</t>
  </si>
  <si>
    <t>Engineer In Training</t>
  </si>
  <si>
    <t>Structural Design Engineer</t>
  </si>
  <si>
    <t>Structural Designer</t>
  </si>
  <si>
    <t>LJB</t>
  </si>
  <si>
    <t>ME Engineers</t>
  </si>
  <si>
    <t>Meza Engineering Inc</t>
  </si>
  <si>
    <t>Nelson Forensics</t>
  </si>
  <si>
    <t>Associate</t>
  </si>
  <si>
    <t>Facilities Engineer</t>
  </si>
  <si>
    <t>Secretaliat International</t>
  </si>
  <si>
    <t>Smith Seckman Reid</t>
  </si>
  <si>
    <t>Building Enclosure Consultant</t>
  </si>
  <si>
    <t>Project Engineer</t>
  </si>
  <si>
    <t>Wylic Engineering</t>
  </si>
  <si>
    <t>Technology Designer</t>
  </si>
  <si>
    <t>Biomedical Engineering</t>
  </si>
  <si>
    <t>Biosense Webster Inc</t>
  </si>
  <si>
    <t>Clinical Account Specialist</t>
  </si>
  <si>
    <t>Biotronik</t>
  </si>
  <si>
    <t>Field Clinical Specialist</t>
  </si>
  <si>
    <t>Fujifilm Diosynth Biotechnologies</t>
  </si>
  <si>
    <t>Assistant Process Sciences Engineer</t>
  </si>
  <si>
    <t>Innovative Refideration</t>
  </si>
  <si>
    <t>Service Engineer</t>
  </si>
  <si>
    <t>Associate Clinical Account Specialist</t>
  </si>
  <si>
    <t>Merck</t>
  </si>
  <si>
    <t>Associate Production Scientist</t>
  </si>
  <si>
    <t>Associate Specialist Engineer</t>
  </si>
  <si>
    <t>Manufacturing Engineer</t>
  </si>
  <si>
    <t>P2B</t>
  </si>
  <si>
    <t>Process Engineer</t>
  </si>
  <si>
    <t>Pfizer</t>
  </si>
  <si>
    <t>Rotational Engineer</t>
  </si>
  <si>
    <t>Project Mexico</t>
  </si>
  <si>
    <t>Homebuilding Intern</t>
  </si>
  <si>
    <t>Roche Diagnostics</t>
  </si>
  <si>
    <t>FLEX Rotational Engineer</t>
  </si>
  <si>
    <t>Scottish Rite for Children</t>
  </si>
  <si>
    <t>Clinical Orthopedic Research Assistant</t>
  </si>
  <si>
    <t>Texas Extremity Partners</t>
  </si>
  <si>
    <t>Medical Device Sales</t>
  </si>
  <si>
    <t>Vector Systems</t>
  </si>
  <si>
    <t>Sales Applicaitons Engineer</t>
  </si>
  <si>
    <t>Validation Engineer</t>
  </si>
  <si>
    <t>Global Regulatory Affairs Scholar</t>
  </si>
  <si>
    <t>Lynntech; Inc.</t>
  </si>
  <si>
    <t>Mechanical Engineering Specialist</t>
  </si>
  <si>
    <t>Texas A&amp;M University</t>
  </si>
  <si>
    <t>Translational Fellow</t>
  </si>
  <si>
    <t>Eurofins PSS</t>
  </si>
  <si>
    <t>Principal Scientist</t>
  </si>
  <si>
    <t>Biotechnology</t>
  </si>
  <si>
    <t>Research Assistant</t>
  </si>
  <si>
    <t>Research Technician</t>
  </si>
  <si>
    <t>Chemical Engineering</t>
  </si>
  <si>
    <t>Air Alliance</t>
  </si>
  <si>
    <t>Procurement</t>
  </si>
  <si>
    <t>Air Liquide USA</t>
  </si>
  <si>
    <t>ALLEX Engineer</t>
  </si>
  <si>
    <t>Fuel Program</t>
  </si>
  <si>
    <t>ASPIRE Sales &amp; Commercial Associate</t>
  </si>
  <si>
    <t>BASF</t>
  </si>
  <si>
    <t>BGE</t>
  </si>
  <si>
    <t>Consulting Engineer</t>
  </si>
  <si>
    <t>Sales &amp; Consulting Engineer</t>
  </si>
  <si>
    <t>Cargill Inc</t>
  </si>
  <si>
    <t>Associate Engineer</t>
  </si>
  <si>
    <t>Chevron Phillips Chemical</t>
  </si>
  <si>
    <t>Chemical Engineer</t>
  </si>
  <si>
    <t>Rotational Process Engineer</t>
  </si>
  <si>
    <t>ConocoPhillips</t>
  </si>
  <si>
    <t>Covestro</t>
  </si>
  <si>
    <t>CPFD Software</t>
  </si>
  <si>
    <t>CFD Engineer</t>
  </si>
  <si>
    <t>Dalkin</t>
  </si>
  <si>
    <t>Test Engineer</t>
  </si>
  <si>
    <t>Deven Energy</t>
  </si>
  <si>
    <t>Impact Engineer</t>
  </si>
  <si>
    <t>Dow Chemical</t>
  </si>
  <si>
    <t>Process Control Engineer</t>
  </si>
  <si>
    <t>Eastman Chemical Co</t>
  </si>
  <si>
    <t>Process Improvement Engineer</t>
  </si>
  <si>
    <t>Electrical Consultants Inc</t>
  </si>
  <si>
    <t>Field Testing Engineer</t>
  </si>
  <si>
    <t>Eli Lilly</t>
  </si>
  <si>
    <t>Territory Manager</t>
  </si>
  <si>
    <t>Empower Pharmacy</t>
  </si>
  <si>
    <t>Endhurst Engineering</t>
  </si>
  <si>
    <t>Design Engineer</t>
  </si>
  <si>
    <t>Enterprise Products</t>
  </si>
  <si>
    <t>ExxonMobil</t>
  </si>
  <si>
    <t>Progress Engineer</t>
  </si>
  <si>
    <t>Flint Hill Resources</t>
  </si>
  <si>
    <t>Plant Process Engineer</t>
  </si>
  <si>
    <t>Process Engineering Intern</t>
  </si>
  <si>
    <t>Fluor</t>
  </si>
  <si>
    <t>Formosa Plastics</t>
  </si>
  <si>
    <t>Frito Lay</t>
  </si>
  <si>
    <t>Supply Chain Associate</t>
  </si>
  <si>
    <t>Rotational Mechanical Engineer</t>
  </si>
  <si>
    <t>HMT LLC</t>
  </si>
  <si>
    <t>Rotational Program</t>
  </si>
  <si>
    <t>INEOS</t>
  </si>
  <si>
    <t>Process Tech Engineer</t>
  </si>
  <si>
    <t>Intorama Ventures</t>
  </si>
  <si>
    <t>Kongsberg Digital</t>
  </si>
  <si>
    <t>Energy Simulation Engineer</t>
  </si>
  <si>
    <t>Liberty Energy</t>
  </si>
  <si>
    <t>Field Engineer</t>
  </si>
  <si>
    <t>Operations Engineer</t>
  </si>
  <si>
    <t>Mower Supply Company</t>
  </si>
  <si>
    <t>Technical Analyst</t>
  </si>
  <si>
    <t>Professional Process Engineer</t>
  </si>
  <si>
    <t>Procter &amp; Gamble (P&amp;G)</t>
  </si>
  <si>
    <t>Purchasing Manager</t>
  </si>
  <si>
    <t>Proctor &amp; Gamble</t>
  </si>
  <si>
    <t>Qcells</t>
  </si>
  <si>
    <t>Texas Instruments</t>
  </si>
  <si>
    <t>Associate Controls Engineer</t>
  </si>
  <si>
    <t>Associate Process Engineer</t>
  </si>
  <si>
    <t>Westlake Chemical</t>
  </si>
  <si>
    <t>Williams Companies</t>
  </si>
  <si>
    <t>Wood Group</t>
  </si>
  <si>
    <t>Proscess Engineer</t>
  </si>
  <si>
    <t>Wunderlich-Malec Engineering</t>
  </si>
  <si>
    <t>Controls Engineer</t>
  </si>
  <si>
    <t>Stantec; Inc.</t>
  </si>
  <si>
    <t>Abbvie</t>
  </si>
  <si>
    <t>Senior Scientist</t>
  </si>
  <si>
    <t>Applied Materials; Inc.</t>
  </si>
  <si>
    <t>Suzhou University</t>
  </si>
  <si>
    <t>Assistant Professor</t>
  </si>
  <si>
    <t>University of Deleware</t>
  </si>
  <si>
    <t>Post Doc</t>
  </si>
  <si>
    <t>Civil Engineering</t>
  </si>
  <si>
    <t>Land Development Engineer</t>
  </si>
  <si>
    <t>Burgess and Niple</t>
  </si>
  <si>
    <t>Civil Engineer</t>
  </si>
  <si>
    <t>Assistant Engineer</t>
  </si>
  <si>
    <t>Carver</t>
  </si>
  <si>
    <t>Cross Engineering</t>
  </si>
  <si>
    <t>Dashiell Corporation</t>
  </si>
  <si>
    <t>DLZ</t>
  </si>
  <si>
    <t>Edge Engineering</t>
  </si>
  <si>
    <t>Stormwater Engineer</t>
  </si>
  <si>
    <t>Project Supervisor</t>
  </si>
  <si>
    <t>Transportation Engineer</t>
  </si>
  <si>
    <t>Water Engineer</t>
  </si>
  <si>
    <t>H2B INC.</t>
  </si>
  <si>
    <t>Halff Associates</t>
  </si>
  <si>
    <t>Water Resources EIT</t>
  </si>
  <si>
    <t>Traffic Engineer</t>
  </si>
  <si>
    <t>Traffic Engineering EIT</t>
  </si>
  <si>
    <t>Hulff Engineering</t>
  </si>
  <si>
    <t>Civil Engineer EIT</t>
  </si>
  <si>
    <t>INK Civil</t>
  </si>
  <si>
    <t>INP</t>
  </si>
  <si>
    <t>JACOB | MARTIN</t>
  </si>
  <si>
    <t>Jacobs Engineering</t>
  </si>
  <si>
    <t>Roadway Engineer</t>
  </si>
  <si>
    <t>Kimley-Horn and Associates; Inc.</t>
  </si>
  <si>
    <t>Civil Analyst</t>
  </si>
  <si>
    <t>Construction Inspector</t>
  </si>
  <si>
    <t>Land Developer</t>
  </si>
  <si>
    <t>Lochner</t>
  </si>
  <si>
    <t>Mcadarns Engineering</t>
  </si>
  <si>
    <t>Menard USA</t>
  </si>
  <si>
    <t>Mitchell &amp; Morgan; LLP</t>
  </si>
  <si>
    <t>Pape Dawson Engineers; Inc.</t>
  </si>
  <si>
    <t>PND Engineers, Inc</t>
  </si>
  <si>
    <t>Staff Engineer</t>
  </si>
  <si>
    <t>Reinforced Earth</t>
  </si>
  <si>
    <t>SpaceX</t>
  </si>
  <si>
    <t>Project Manager</t>
  </si>
  <si>
    <t>Teague Nall &amp; Perkins Inc</t>
  </si>
  <si>
    <t>Tetra Land Services</t>
  </si>
  <si>
    <t>Engineer in Training</t>
  </si>
  <si>
    <t>Torres and Axxociates</t>
  </si>
  <si>
    <t>Water Resources Engineer</t>
  </si>
  <si>
    <t>Ward; Getz and Associates</t>
  </si>
  <si>
    <t>Land Development</t>
  </si>
  <si>
    <t>Site Design Engineer</t>
  </si>
  <si>
    <t>WGA Consulting Engineers</t>
  </si>
  <si>
    <t>Wier and Associates</t>
  </si>
  <si>
    <t>Bluewater Engineering &amp; Design</t>
  </si>
  <si>
    <t>Estimator</t>
  </si>
  <si>
    <t>Cintra</t>
  </si>
  <si>
    <t>Design and Construction Trainee</t>
  </si>
  <si>
    <t>Collier Engineering and Design</t>
  </si>
  <si>
    <t>Hydraulics &amp; Hydrology EIT</t>
  </si>
  <si>
    <t>CONSOR</t>
  </si>
  <si>
    <t>ECS Southwest, LLP</t>
  </si>
  <si>
    <t>EVS Engineering</t>
  </si>
  <si>
    <t>Analyst</t>
  </si>
  <si>
    <t>Foresight Planning &amp; Energy Services</t>
  </si>
  <si>
    <t>Scheduler</t>
  </si>
  <si>
    <t>Harper Brothers Construction</t>
  </si>
  <si>
    <t>Harper Brothers Construction LLC</t>
  </si>
  <si>
    <t>Hoop Ministry</t>
  </si>
  <si>
    <t>Geotechnical Engineer</t>
  </si>
  <si>
    <t>STV Engineering</t>
  </si>
  <si>
    <t>Roadway Design Engineer</t>
  </si>
  <si>
    <t>Water Treatment Specialist</t>
  </si>
  <si>
    <t>WSP USA; Inc.</t>
  </si>
  <si>
    <t>BGC Engineering</t>
  </si>
  <si>
    <t>Genex Systems</t>
  </si>
  <si>
    <t>Research Engineer</t>
  </si>
  <si>
    <t>Pontific Catolic University</t>
  </si>
  <si>
    <t>Terracon Consultants</t>
  </si>
  <si>
    <t>University of Kansas</t>
  </si>
  <si>
    <t>Wiss, Janney, Elstner Associates</t>
  </si>
  <si>
    <t>Computer Engineering</t>
  </si>
  <si>
    <t>Assistant Software Engineer</t>
  </si>
  <si>
    <t>Software Development Engineer</t>
  </si>
  <si>
    <t>Amazon Web Services</t>
  </si>
  <si>
    <t>Software Developer</t>
  </si>
  <si>
    <t>Bell Textron Inc</t>
  </si>
  <si>
    <t>Telecomm Egineer</t>
  </si>
  <si>
    <t>CACI</t>
  </si>
  <si>
    <t>Gateway Simulations Verification Engineer</t>
  </si>
  <si>
    <t>CAPCO</t>
  </si>
  <si>
    <t>Celestica</t>
  </si>
  <si>
    <t>Electrical Engineer</t>
  </si>
  <si>
    <t>Cybersecurity Consultant</t>
  </si>
  <si>
    <t>Infostructure Engineer</t>
  </si>
  <si>
    <t>Ericsson</t>
  </si>
  <si>
    <t>Information Security Analyst</t>
  </si>
  <si>
    <t>Fast Enterprises</t>
  </si>
  <si>
    <t>Software Implementation Consultant</t>
  </si>
  <si>
    <t>Hewlett Packard Enterprise</t>
  </si>
  <si>
    <t>Cloud Engineer</t>
  </si>
  <si>
    <t>Technical Specialist</t>
  </si>
  <si>
    <t>JP Morgan Chase</t>
  </si>
  <si>
    <t>SWG</t>
  </si>
  <si>
    <t>Microsoft</t>
  </si>
  <si>
    <t>Munmnate Digital</t>
  </si>
  <si>
    <t>AI Software Specialist</t>
  </si>
  <si>
    <t>NVIDIA Corporation</t>
  </si>
  <si>
    <t>Design Verification Engineer</t>
  </si>
  <si>
    <t>Oracle Corporation</t>
  </si>
  <si>
    <t>PepsiCo-Frito Lay</t>
  </si>
  <si>
    <t>Supply Chain Project Engineer</t>
  </si>
  <si>
    <t>Polycom</t>
  </si>
  <si>
    <t>PricewaterhouseCoopers</t>
  </si>
  <si>
    <t>Q Research</t>
  </si>
  <si>
    <t>Suntapped Energy</t>
  </si>
  <si>
    <t>Software Consultant</t>
  </si>
  <si>
    <t>Texas Commission on Environmental Quality</t>
  </si>
  <si>
    <t>Applications Engineer</t>
  </si>
  <si>
    <t>Product Marketing Engineer</t>
  </si>
  <si>
    <t>TMEIC</t>
  </si>
  <si>
    <t>Submarine Officer</t>
  </si>
  <si>
    <t>Visa</t>
  </si>
  <si>
    <t>Wells Fargo</t>
  </si>
  <si>
    <t>Yokogawa</t>
  </si>
  <si>
    <t>Rotational Program Engineer</t>
  </si>
  <si>
    <t>Computer Engineering - CECN</t>
  </si>
  <si>
    <t>BP</t>
  </si>
  <si>
    <t>Technology Production Engineer</t>
  </si>
  <si>
    <t>CBRE</t>
  </si>
  <si>
    <t>Goldman Sachs</t>
  </si>
  <si>
    <t>Software Engineer Associate</t>
  </si>
  <si>
    <t>Application Engineer</t>
  </si>
  <si>
    <t>Applied Scientist</t>
  </si>
  <si>
    <t>Morphic</t>
  </si>
  <si>
    <t>AI Researcher</t>
  </si>
  <si>
    <t>Computer Engineering - CEEN</t>
  </si>
  <si>
    <t>AMD</t>
  </si>
  <si>
    <t>Silicon Design Engineer</t>
  </si>
  <si>
    <t>Analog Devices</t>
  </si>
  <si>
    <t>Apple</t>
  </si>
  <si>
    <t>Development Engineer</t>
  </si>
  <si>
    <t>Verification Engineer</t>
  </si>
  <si>
    <t>ARM</t>
  </si>
  <si>
    <t>Modeling Engineer</t>
  </si>
  <si>
    <t>Blue Health Intelligence</t>
  </si>
  <si>
    <t>Data Engineer</t>
  </si>
  <si>
    <t>Cadence Design Systems</t>
  </si>
  <si>
    <t>Lead Product Engineer</t>
  </si>
  <si>
    <t>Cirrus Logic</t>
  </si>
  <si>
    <t>Cisco</t>
  </si>
  <si>
    <t>ASIC Design Engineer</t>
  </si>
  <si>
    <t>Coforge</t>
  </si>
  <si>
    <t>Senior Software Engineer</t>
  </si>
  <si>
    <t>I Machines</t>
  </si>
  <si>
    <t>CPU Engineer</t>
  </si>
  <si>
    <t>Intel</t>
  </si>
  <si>
    <t>Juniper Networks</t>
  </si>
  <si>
    <t>Nokia</t>
  </si>
  <si>
    <t>Senior Engineer</t>
  </si>
  <si>
    <t>Qualcomm</t>
  </si>
  <si>
    <t>Rivos</t>
  </si>
  <si>
    <t>Technical Staff</t>
  </si>
  <si>
    <t>Skyworks Solutions Inc</t>
  </si>
  <si>
    <t>Senior Process Engineer</t>
  </si>
  <si>
    <t>Verific Design Automation</t>
  </si>
  <si>
    <t>Computer Science</t>
  </si>
  <si>
    <t>Accenture</t>
  </si>
  <si>
    <t>Security Analyst</t>
  </si>
  <si>
    <t>Adobe Inc.</t>
  </si>
  <si>
    <t>Adept Software Engineer</t>
  </si>
  <si>
    <t>ADEPT Software Engineer</t>
  </si>
  <si>
    <t>Developer</t>
  </si>
  <si>
    <t>Anduril</t>
  </si>
  <si>
    <t>Antera Software</t>
  </si>
  <si>
    <t>Full Stack Developer</t>
  </si>
  <si>
    <t>Arena AI Inc.</t>
  </si>
  <si>
    <t>Aspyr Media</t>
  </si>
  <si>
    <t>AT&amp;T</t>
  </si>
  <si>
    <t>Network Engineer</t>
  </si>
  <si>
    <t>Bain &amp; Company</t>
  </si>
  <si>
    <t>Associate Consultant</t>
  </si>
  <si>
    <t>Bank of America</t>
  </si>
  <si>
    <t>Product Lifecyle Management Analyst</t>
  </si>
  <si>
    <t>Bloomberg</t>
  </si>
  <si>
    <t>Booza Allen</t>
  </si>
  <si>
    <t>Security Solutions Engineer</t>
  </si>
  <si>
    <t>Technology Development Programmer</t>
  </si>
  <si>
    <t>Charles Schwab</t>
  </si>
  <si>
    <t>Citi</t>
  </si>
  <si>
    <t>Cox Enterprises</t>
  </si>
  <si>
    <t>CS Disco</t>
  </si>
  <si>
    <t>Data Annotations</t>
  </si>
  <si>
    <t>AI Trainer and Amazon M.Turk</t>
  </si>
  <si>
    <t>DTCC</t>
  </si>
  <si>
    <t>IT Analyst</t>
  </si>
  <si>
    <t>Associate Systems Engineer</t>
  </si>
  <si>
    <t>Garmin</t>
  </si>
  <si>
    <t>Engineering Training Program</t>
  </si>
  <si>
    <t>Goldman Sachs Co</t>
  </si>
  <si>
    <t>Engineer Analyst</t>
  </si>
  <si>
    <t>Google</t>
  </si>
  <si>
    <t>Green Hills Software</t>
  </si>
  <si>
    <t>Hartigen Solutions LLC</t>
  </si>
  <si>
    <t>HCSC</t>
  </si>
  <si>
    <t>Jane Street Capital</t>
  </si>
  <si>
    <t>Johns Hopkins</t>
  </si>
  <si>
    <t>Data Scientist</t>
  </si>
  <si>
    <t>Software Engineer Intern</t>
  </si>
  <si>
    <t>L3 Harris</t>
  </si>
  <si>
    <t>Associate Software Engineer</t>
  </si>
  <si>
    <t>Entry Level Software Engineer</t>
  </si>
  <si>
    <t>L3Harris</t>
  </si>
  <si>
    <t>Lancaster Archery Supply</t>
  </si>
  <si>
    <t>LivaNova</t>
  </si>
  <si>
    <t>Cyber Engineer</t>
  </si>
  <si>
    <t>Lutron Electronics</t>
  </si>
  <si>
    <t>Meta</t>
  </si>
  <si>
    <t>Security Software Engineer</t>
  </si>
  <si>
    <t>Nike</t>
  </si>
  <si>
    <t>Palantir</t>
  </si>
  <si>
    <t>Forward Deployed Software Engineer</t>
  </si>
  <si>
    <t>Palantir Technologies</t>
  </si>
  <si>
    <t>Paypal</t>
  </si>
  <si>
    <t>PMG</t>
  </si>
  <si>
    <t>Prodapt</t>
  </si>
  <si>
    <t>Reynolds and Reynolds</t>
  </si>
  <si>
    <t>Rhodium Enterprises</t>
  </si>
  <si>
    <t>Roblox</t>
  </si>
  <si>
    <t>Schlumberger (SLB)</t>
  </si>
  <si>
    <t>Sogeti</t>
  </si>
  <si>
    <t>Quality Engineer</t>
  </si>
  <si>
    <t>Southwest Airlines</t>
  </si>
  <si>
    <t>Computer Scientist</t>
  </si>
  <si>
    <t>Stewart Title</t>
  </si>
  <si>
    <t>Sysco</t>
  </si>
  <si>
    <t>Teacher Retirement System of Texas</t>
  </si>
  <si>
    <t>Avionics &amp; Mission Systems Engineer</t>
  </si>
  <si>
    <t>Toyota Financial Services</t>
  </si>
  <si>
    <t>Uber</t>
  </si>
  <si>
    <t>Commerical Representative</t>
  </si>
  <si>
    <t>WizeCamel</t>
  </si>
  <si>
    <t>Systems Development Engineer</t>
  </si>
  <si>
    <t>Arista Networks</t>
  </si>
  <si>
    <t>BR and E</t>
  </si>
  <si>
    <t>ByteDance</t>
  </si>
  <si>
    <t>Capsher</t>
  </si>
  <si>
    <t>Department of Defense</t>
  </si>
  <si>
    <t>Information Operations Officer</t>
  </si>
  <si>
    <t>Dober Chemical</t>
  </si>
  <si>
    <t>AI Transformation Lead</t>
  </si>
  <si>
    <t>Encando AI</t>
  </si>
  <si>
    <t>F5 Networks</t>
  </si>
  <si>
    <t>Fujitsu Network Communications</t>
  </si>
  <si>
    <t>LinkedIn</t>
  </si>
  <si>
    <t>LiveRamp</t>
  </si>
  <si>
    <t>MATLAB</t>
  </si>
  <si>
    <t>Consultant</t>
  </si>
  <si>
    <t>Platform Systems</t>
  </si>
  <si>
    <t>Research Development Engineer</t>
  </si>
  <si>
    <t>Taiwain Semiconducter</t>
  </si>
  <si>
    <t>Tesla Motors</t>
  </si>
  <si>
    <t>Program Aide</t>
  </si>
  <si>
    <t>Trellis Company</t>
  </si>
  <si>
    <t>TTI</t>
  </si>
  <si>
    <t>TVMDL</t>
  </si>
  <si>
    <t>Advanced Micro Devices</t>
  </si>
  <si>
    <t>Research Scientist</t>
  </si>
  <si>
    <t>University of Illinois at Urbana-Champaign</t>
  </si>
  <si>
    <t>Scholar</t>
  </si>
  <si>
    <t>Computing</t>
  </si>
  <si>
    <t>Biocanic</t>
  </si>
  <si>
    <t>Manager</t>
  </si>
  <si>
    <t>Crowdstrike</t>
  </si>
  <si>
    <t>Fitch Group</t>
  </si>
  <si>
    <t>Geico</t>
  </si>
  <si>
    <t>Jesuit Highschool New Orleans</t>
  </si>
  <si>
    <t>Alumni Service Corp</t>
  </si>
  <si>
    <t>Mimic</t>
  </si>
  <si>
    <t>STR</t>
  </si>
  <si>
    <t>Texas A&amp;M University System</t>
  </si>
  <si>
    <t>Data Science</t>
  </si>
  <si>
    <t>Ernst &amp; Young (EY)</t>
  </si>
  <si>
    <t>Vibrant America</t>
  </si>
  <si>
    <t>Electrical Engineering</t>
  </si>
  <si>
    <t>American Bureau of Shipping</t>
  </si>
  <si>
    <t>Andretti Global</t>
  </si>
  <si>
    <t>Baird, Gilroy &amp; Dixon</t>
  </si>
  <si>
    <t>HV Substation Protection &amp; Control</t>
  </si>
  <si>
    <t>Black and Veach</t>
  </si>
  <si>
    <t>Bureau Veritias Power</t>
  </si>
  <si>
    <t>Associate Scada and Cyber Security Engineer</t>
  </si>
  <si>
    <t>Power System Planner</t>
  </si>
  <si>
    <t>Cadena Design Systems</t>
  </si>
  <si>
    <t>California Energy Commission</t>
  </si>
  <si>
    <t>Charter Communications</t>
  </si>
  <si>
    <t>Chevron</t>
  </si>
  <si>
    <t>I &amp; E Designs Engineer</t>
  </si>
  <si>
    <t>Coffman Engineers Inc.</t>
  </si>
  <si>
    <t>Daghiell Corp</t>
  </si>
  <si>
    <t>Electrician Engineer</t>
  </si>
  <si>
    <t>Graduate Electrical Engineer</t>
  </si>
  <si>
    <t>Emanuelson-Podons</t>
  </si>
  <si>
    <t>Semiconductor Applications Engineer</t>
  </si>
  <si>
    <t>Emit Technologies</t>
  </si>
  <si>
    <t>Enercon</t>
  </si>
  <si>
    <t>I &amp; C Engineer</t>
  </si>
  <si>
    <t>Entrust Solutions</t>
  </si>
  <si>
    <t>ERCOT</t>
  </si>
  <si>
    <t>GDP Entry Engineer</t>
  </si>
  <si>
    <t>Market Operations</t>
  </si>
  <si>
    <t>Esco Group</t>
  </si>
  <si>
    <t>Instrumentation Engineer</t>
  </si>
  <si>
    <t>Electronics Engineer</t>
  </si>
  <si>
    <t>Global Foundries</t>
  </si>
  <si>
    <t>TAP Analyst</t>
  </si>
  <si>
    <t>Harvard University</t>
  </si>
  <si>
    <t>HATCH</t>
  </si>
  <si>
    <t>Junior Electrical Engineer</t>
  </si>
  <si>
    <t>Electrical Coordinator</t>
  </si>
  <si>
    <t>Electrical/Hardware Engineer</t>
  </si>
  <si>
    <t>High Performance Computer Server Engineer</t>
  </si>
  <si>
    <t>Hardware Developer</t>
  </si>
  <si>
    <t>Industrial Electronic Supply</t>
  </si>
  <si>
    <t>Electrician</t>
  </si>
  <si>
    <t>Entry Electrical Engineer</t>
  </si>
  <si>
    <t>Substation Engineer</t>
  </si>
  <si>
    <t>Electrical Engineer Analyst</t>
  </si>
  <si>
    <t>Leonardo DRS, Cirrus Logic</t>
  </si>
  <si>
    <t>Simulation and Flight Test Engineer</t>
  </si>
  <si>
    <t>LoenBro</t>
  </si>
  <si>
    <t>Morienson Construction</t>
  </si>
  <si>
    <t>Motiva Enterprises</t>
  </si>
  <si>
    <t>National Instruments</t>
  </si>
  <si>
    <t>Analog Engineer</t>
  </si>
  <si>
    <t>Associate Electrical Engineer</t>
  </si>
  <si>
    <t>Oricor</t>
  </si>
  <si>
    <t>Electrical Transmission Engineer</t>
  </si>
  <si>
    <t>Powell Industry</t>
  </si>
  <si>
    <t>QR Exchange LTD</t>
  </si>
  <si>
    <t>Qualus</t>
  </si>
  <si>
    <t>Electrical Design Engineer</t>
  </si>
  <si>
    <t>S&amp;B Engineers &amp; Constructors</t>
  </si>
  <si>
    <t>Controls Specialist</t>
  </si>
  <si>
    <t>Saber Power</t>
  </si>
  <si>
    <t>Weapons Systems Intern</t>
  </si>
  <si>
    <t>SEL</t>
  </si>
  <si>
    <t>Power Studies</t>
  </si>
  <si>
    <t>Power Systems Engineer</t>
  </si>
  <si>
    <t>Business Intelligence Developer</t>
  </si>
  <si>
    <t>SWRI</t>
  </si>
  <si>
    <t>Synchro Grid</t>
  </si>
  <si>
    <t>Product Engineer</t>
  </si>
  <si>
    <t>Program Manager</t>
  </si>
  <si>
    <t>The Nuclear Company</t>
  </si>
  <si>
    <t>Process Integration Engineer</t>
  </si>
  <si>
    <t>US Army</t>
  </si>
  <si>
    <t>V3 Consulting Engineers</t>
  </si>
  <si>
    <t>Wind Energy Transmission Texas, LLC</t>
  </si>
  <si>
    <t>Electrical Engineer Intern</t>
  </si>
  <si>
    <t>X-Microwave</t>
  </si>
  <si>
    <t>RF Engineer</t>
  </si>
  <si>
    <t>Black Hills Energy</t>
  </si>
  <si>
    <t>Utilities Analyst</t>
  </si>
  <si>
    <t>Electric Power Engineers</t>
  </si>
  <si>
    <t>Innovation &amp; Design Engineer</t>
  </si>
  <si>
    <t>Goertek</t>
  </si>
  <si>
    <t>Senior Systems Engineer</t>
  </si>
  <si>
    <t>Huawei</t>
  </si>
  <si>
    <t>Analog Designer</t>
  </si>
  <si>
    <t>Lucid Motors</t>
  </si>
  <si>
    <t>Marrell Technology</t>
  </si>
  <si>
    <t>Analog Design Engineer</t>
  </si>
  <si>
    <t>Media Tek</t>
  </si>
  <si>
    <t>MediaTek USA Inc</t>
  </si>
  <si>
    <t>Schweitzer Engineering</t>
  </si>
  <si>
    <t>Power Supply Engineer</t>
  </si>
  <si>
    <t>University of Chicago</t>
  </si>
  <si>
    <t>Electronic Sys Engr Technology</t>
  </si>
  <si>
    <t>Alliantgroup LP</t>
  </si>
  <si>
    <t>Energy Modeler</t>
  </si>
  <si>
    <t>American Bureau of Shippinh</t>
  </si>
  <si>
    <t>Digital Aspire</t>
  </si>
  <si>
    <t>Currux Vision</t>
  </si>
  <si>
    <t>Gaardtech USA</t>
  </si>
  <si>
    <t>Lockhard and White</t>
  </si>
  <si>
    <t>Data Science Intern</t>
  </si>
  <si>
    <t>MacysTech</t>
  </si>
  <si>
    <t>McDermott Construction</t>
  </si>
  <si>
    <t>Oncor</t>
  </si>
  <si>
    <t>Engineering Specialist</t>
  </si>
  <si>
    <t>Protection &amp; Control Engineer</t>
  </si>
  <si>
    <t>Switchless</t>
  </si>
  <si>
    <t>Embedded System Designer</t>
  </si>
  <si>
    <t>Equipment Engineering Internship</t>
  </si>
  <si>
    <t>Senior Airman</t>
  </si>
  <si>
    <t>Sr Maintenance Planner</t>
  </si>
  <si>
    <t>Engineering Management</t>
  </si>
  <si>
    <t>Energy Consultant</t>
  </si>
  <si>
    <t>Bray International</t>
  </si>
  <si>
    <t>Quality Assurance</t>
  </si>
  <si>
    <t>Product Manager</t>
  </si>
  <si>
    <t>Houston Methodist Hospital</t>
  </si>
  <si>
    <t>Clinical Engineer</t>
  </si>
  <si>
    <t>McKinsey &amp; Company</t>
  </si>
  <si>
    <t>Business Analyst</t>
  </si>
  <si>
    <t>Research Associate</t>
  </si>
  <si>
    <t>Engineering Technology</t>
  </si>
  <si>
    <t>Babybots</t>
  </si>
  <si>
    <t>Automation Developer</t>
  </si>
  <si>
    <t>Mechanical Design Engineer</t>
  </si>
  <si>
    <t>Rosen USA</t>
  </si>
  <si>
    <t>Environmental Engineering</t>
  </si>
  <si>
    <t>All 4</t>
  </si>
  <si>
    <t>Environmental Engineer</t>
  </si>
  <si>
    <t>City of Ann Arbor</t>
  </si>
  <si>
    <t>Freese and Nichols; Inc.</t>
  </si>
  <si>
    <t>George Butler Associates</t>
  </si>
  <si>
    <t>HMT Engineering</t>
  </si>
  <si>
    <t>Penn E&amp;R</t>
  </si>
  <si>
    <t>Strand Associates</t>
  </si>
  <si>
    <t>Teague, Nell, and Perkins</t>
  </si>
  <si>
    <t>Municipal Engineer</t>
  </si>
  <si>
    <t>Industrial Distribution</t>
  </si>
  <si>
    <t>ABB</t>
  </si>
  <si>
    <t>Sales &amp; Marketing Representative</t>
  </si>
  <si>
    <t>Anheuser Busch</t>
  </si>
  <si>
    <t>Volume Supply</t>
  </si>
  <si>
    <t>Applied Industrial Technologies</t>
  </si>
  <si>
    <t>Inside Sales Representative</t>
  </si>
  <si>
    <t>ARC Specialties</t>
  </si>
  <si>
    <t>Technical Sales</t>
  </si>
  <si>
    <t>ATMUS Filtration Technologies</t>
  </si>
  <si>
    <t>Training Manager</t>
  </si>
  <si>
    <t>Global Operations Analyst</t>
  </si>
  <si>
    <t>Bell and McCoy</t>
  </si>
  <si>
    <t>Quotes</t>
  </si>
  <si>
    <t>Specification Sales</t>
  </si>
  <si>
    <t>Bishop Lifting</t>
  </si>
  <si>
    <t>Key Account Manager</t>
  </si>
  <si>
    <t>Field Sales Representative</t>
  </si>
  <si>
    <t>Sales Representative</t>
  </si>
  <si>
    <t>CED</t>
  </si>
  <si>
    <t>Sales Trainee</t>
  </si>
  <si>
    <t>Central Air &amp; Heating Services</t>
  </si>
  <si>
    <t>Assistant Project Manager</t>
  </si>
  <si>
    <t>Century HVAC</t>
  </si>
  <si>
    <t>Operations Associate</t>
  </si>
  <si>
    <t>Facilities Analyst</t>
  </si>
  <si>
    <t>Consolidated Electrical Distribution</t>
  </si>
  <si>
    <t>Manager Trainee</t>
  </si>
  <si>
    <t>Cougar USA</t>
  </si>
  <si>
    <t>National Account Representative</t>
  </si>
  <si>
    <t>Cummins</t>
  </si>
  <si>
    <t>Daikin Applied</t>
  </si>
  <si>
    <t>Associate Account Representative</t>
  </si>
  <si>
    <t>Daikin Industries</t>
  </si>
  <si>
    <t>Deloitte</t>
  </si>
  <si>
    <t>Tax Technology Consultant</t>
  </si>
  <si>
    <t>DMG MORI</t>
  </si>
  <si>
    <t>Sales Apprentice</t>
  </si>
  <si>
    <t>EKP Solutions</t>
  </si>
  <si>
    <t>Elliott Electric Supply</t>
  </si>
  <si>
    <t>Leadership Development Program</t>
  </si>
  <si>
    <t>Technical Consultant</t>
  </si>
  <si>
    <t>Ewing Outdoor Supply</t>
  </si>
  <si>
    <t>Manager In Training</t>
  </si>
  <si>
    <t>Fellowship of Catholic University Students</t>
  </si>
  <si>
    <t>Focus Ministry</t>
  </si>
  <si>
    <t>GHX Hose Supply</t>
  </si>
  <si>
    <t>Sales Associate</t>
  </si>
  <si>
    <t>Hajoca Corporation</t>
  </si>
  <si>
    <t>Management Trainee</t>
  </si>
  <si>
    <t>Supply Chain Management Program</t>
  </si>
  <si>
    <t>Graduate Training</t>
  </si>
  <si>
    <t>HTS</t>
  </si>
  <si>
    <t>Sales Engineer</t>
  </si>
  <si>
    <t>Hunton Trane</t>
  </si>
  <si>
    <t>Hydraquip Inc</t>
  </si>
  <si>
    <t>Technical Inside Sales Representative</t>
  </si>
  <si>
    <t>Brand Technical Specialist</t>
  </si>
  <si>
    <t>Digital Sales Specialist</t>
  </si>
  <si>
    <t>Ingersoll Rand</t>
  </si>
  <si>
    <t>Sales Development Program</t>
  </si>
  <si>
    <t>IRI</t>
  </si>
  <si>
    <t>Johnson Controls</t>
  </si>
  <si>
    <t>Outside Sales Representative</t>
  </si>
  <si>
    <t>Keating Auto Group</t>
  </si>
  <si>
    <t>Kodiak Gas Services</t>
  </si>
  <si>
    <t>AMPED Program Trainee</t>
  </si>
  <si>
    <t>KWS Manufacturing</t>
  </si>
  <si>
    <t>Buyer</t>
  </si>
  <si>
    <t>Contract Manager</t>
  </si>
  <si>
    <t>Fields Sales Support System Engineer</t>
  </si>
  <si>
    <t>Industrial Engineer</t>
  </si>
  <si>
    <t>Logistic Engineer</t>
  </si>
  <si>
    <t>Operations Leadership Development Program</t>
  </si>
  <si>
    <t>Lone Star Recreation</t>
  </si>
  <si>
    <t>Inside Sales Engineer</t>
  </si>
  <si>
    <t>McLane Company</t>
  </si>
  <si>
    <t>Supply Chain Planner</t>
  </si>
  <si>
    <t>Mechanical Reps Inc</t>
  </si>
  <si>
    <t>Moody Price</t>
  </si>
  <si>
    <t>Motion Industries</t>
  </si>
  <si>
    <t>Rotational Analyst</t>
  </si>
  <si>
    <t>Supply Chain Lead</t>
  </si>
  <si>
    <t>Polymershapes</t>
  </si>
  <si>
    <t>Sourcing Coordinator</t>
  </si>
  <si>
    <t>RDO Equipment Co.</t>
  </si>
  <si>
    <t>Construction Technology Account Manager</t>
  </si>
  <si>
    <t>Reece USA</t>
  </si>
  <si>
    <t>Impact Trainee</t>
  </si>
  <si>
    <t>Regal Rexnard</t>
  </si>
  <si>
    <t>Rexel</t>
  </si>
  <si>
    <t>ACE Trainee</t>
  </si>
  <si>
    <t>RGA</t>
  </si>
  <si>
    <t>Leadership Program</t>
  </si>
  <si>
    <t>Sales Training Program</t>
  </si>
  <si>
    <t>Schneider Electric</t>
  </si>
  <si>
    <t>Pre-Construction Engineer</t>
  </si>
  <si>
    <t>Sewell Automotive Companies; Inc.</t>
  </si>
  <si>
    <t>Assistant Service Manager</t>
  </si>
  <si>
    <t>Source Logistics</t>
  </si>
  <si>
    <t>SourceBlue</t>
  </si>
  <si>
    <t>Supply Chain Coordinator</t>
  </si>
  <si>
    <t>SRS Distribution</t>
  </si>
  <si>
    <t>Summit Electric</t>
  </si>
  <si>
    <t>Swell</t>
  </si>
  <si>
    <t>Service Assistant</t>
  </si>
  <si>
    <t>TAB D.D Batteries</t>
  </si>
  <si>
    <t>Texas Air Systems</t>
  </si>
  <si>
    <t>The Reynolds Company</t>
  </si>
  <si>
    <t>Account Manager</t>
  </si>
  <si>
    <t>Controls Tech</t>
  </si>
  <si>
    <t>Trinity Logistics</t>
  </si>
  <si>
    <t>Busines Development Representative</t>
  </si>
  <si>
    <t>VPP Texas</t>
  </si>
  <si>
    <t>WESCO International</t>
  </si>
  <si>
    <t>Sales and Operations Trainee</t>
  </si>
  <si>
    <t>Wilmar North America</t>
  </si>
  <si>
    <t>Amistad Industrial</t>
  </si>
  <si>
    <t>Director of Sales</t>
  </si>
  <si>
    <t>Greentek Solutions</t>
  </si>
  <si>
    <t>Quality Control Supervisor</t>
  </si>
  <si>
    <t>Gulfeagle Supply</t>
  </si>
  <si>
    <t>Branch Manager</t>
  </si>
  <si>
    <t>Holt Construction</t>
  </si>
  <si>
    <t>Safety Director</t>
  </si>
  <si>
    <t>ICAT Logistics</t>
  </si>
  <si>
    <t>Executive Vice President</t>
  </si>
  <si>
    <t>James H. Cross Company</t>
  </si>
  <si>
    <t>Subcontract Administrator</t>
  </si>
  <si>
    <t>Total Plastics</t>
  </si>
  <si>
    <t>General Manager</t>
  </si>
  <si>
    <t>TSI</t>
  </si>
  <si>
    <t>Industrial Engineering</t>
  </si>
  <si>
    <t>Automation Design Engineer</t>
  </si>
  <si>
    <t>Continous Improvement Analyst</t>
  </si>
  <si>
    <t>Supply Chain Engineer</t>
  </si>
  <si>
    <t>Specialist Supply Chain Analytics</t>
  </si>
  <si>
    <t>Austin Energy</t>
  </si>
  <si>
    <t>Operations Development Program</t>
  </si>
  <si>
    <t>Analytics &amp; Sales</t>
  </si>
  <si>
    <t>Power Scheduler</t>
  </si>
  <si>
    <t>Shipping Analytics</t>
  </si>
  <si>
    <t>Brandt Constructors and Facility Services</t>
  </si>
  <si>
    <t>Bridgepoint Consulting</t>
  </si>
  <si>
    <t>Cedera</t>
  </si>
  <si>
    <t>Management Consultant</t>
  </si>
  <si>
    <t>CHRISTUS Health</t>
  </si>
  <si>
    <t>Clark Construction Group</t>
  </si>
  <si>
    <t>Cook Children's Hospital</t>
  </si>
  <si>
    <t>Supply Chain Intern</t>
  </si>
  <si>
    <t>Supply Chain Analyst</t>
  </si>
  <si>
    <t>Disney</t>
  </si>
  <si>
    <t>Electronic Power Design</t>
  </si>
  <si>
    <t>Quantitative Analyst</t>
  </si>
  <si>
    <t>IGNITE Engineer</t>
  </si>
  <si>
    <t>Piping Materials Controller</t>
  </si>
  <si>
    <t>H&amp;M Industrial EPC</t>
  </si>
  <si>
    <t>Supply Chain Management</t>
  </si>
  <si>
    <t>Hatch Shrader</t>
  </si>
  <si>
    <t>Automation Engineer</t>
  </si>
  <si>
    <t>Healthcare Services Corporation</t>
  </si>
  <si>
    <t>HJS Texas</t>
  </si>
  <si>
    <t>Digital Technical Specialist</t>
  </si>
  <si>
    <t>Associate Industrial Engineer</t>
  </si>
  <si>
    <t>ERP Associate</t>
  </si>
  <si>
    <t>Configuration Management Engineer</t>
  </si>
  <si>
    <t>Industrial Engineer Associate</t>
  </si>
  <si>
    <t>Operations Management Associate</t>
  </si>
  <si>
    <t>Nestle</t>
  </si>
  <si>
    <t>NFI</t>
  </si>
  <si>
    <t>Industrial Process Engineer</t>
  </si>
  <si>
    <t>Pervider</t>
  </si>
  <si>
    <t>PON Holdings</t>
  </si>
  <si>
    <t>Global Management Develiopment</t>
  </si>
  <si>
    <t>Protiviti</t>
  </si>
  <si>
    <t>Data Analyst</t>
  </si>
  <si>
    <t>Raymond James</t>
  </si>
  <si>
    <t>Roblin Medical</t>
  </si>
  <si>
    <t>Sabre Industries</t>
  </si>
  <si>
    <t>Continuous Improvement Engineer</t>
  </si>
  <si>
    <t>Continuous Improvement Specialst</t>
  </si>
  <si>
    <t>Steqeu Bizzell Engineering</t>
  </si>
  <si>
    <t>Rotation Engineer</t>
  </si>
  <si>
    <t>Process Technology Analyst</t>
  </si>
  <si>
    <t>Texas A&amp;M Engineering Extension Service</t>
  </si>
  <si>
    <t>Instructor</t>
  </si>
  <si>
    <t>Intelligent Manufacturing Engineer</t>
  </si>
  <si>
    <t>IE Associate</t>
  </si>
  <si>
    <t>Operations Management Trainee</t>
  </si>
  <si>
    <t>Wabtec</t>
  </si>
  <si>
    <t>LEAD- Operations</t>
  </si>
  <si>
    <t>Walmart</t>
  </si>
  <si>
    <t>Automation Engineering Manager</t>
  </si>
  <si>
    <t>Lallemand USA</t>
  </si>
  <si>
    <t>General Services Administrator</t>
  </si>
  <si>
    <t>National Oilwell Varco (NOV)</t>
  </si>
  <si>
    <t>Sr. Industrial Engineer</t>
  </si>
  <si>
    <t>Material Planner</t>
  </si>
  <si>
    <t>Logistics Associate</t>
  </si>
  <si>
    <t>Vontier</t>
  </si>
  <si>
    <t>Interdisciplinary Engineering</t>
  </si>
  <si>
    <t>Flight Software Simulation Engineer</t>
  </si>
  <si>
    <t>RF Design Engineer</t>
  </si>
  <si>
    <t>Rokstone</t>
  </si>
  <si>
    <t>Risk Engineer</t>
  </si>
  <si>
    <t>Baylor College of Medicine</t>
  </si>
  <si>
    <t>Senior Analyst</t>
  </si>
  <si>
    <t>Deep Anchor Solutions</t>
  </si>
  <si>
    <t>Los Alamos National Lab</t>
  </si>
  <si>
    <t>Health Physicist</t>
  </si>
  <si>
    <t>Manufacturing &amp; Mech Engr Tech</t>
  </si>
  <si>
    <t>Andritz Separation</t>
  </si>
  <si>
    <t>Atec, Inc</t>
  </si>
  <si>
    <t>Atkore International</t>
  </si>
  <si>
    <t>Bell Flight</t>
  </si>
  <si>
    <t>C, H. Guenther &amp; Son</t>
  </si>
  <si>
    <t>Manufacturing Engineer Intern</t>
  </si>
  <si>
    <t>Pre-Field Representative</t>
  </si>
  <si>
    <t>Wells Operations Supervisor</t>
  </si>
  <si>
    <t>Gulf Coast Modifications</t>
  </si>
  <si>
    <t>Manufacturing and Design Engineer</t>
  </si>
  <si>
    <t>Equipment Engineer</t>
  </si>
  <si>
    <t>Larry Young Paving</t>
  </si>
  <si>
    <t>Mauser</t>
  </si>
  <si>
    <t>Machine Attendant</t>
  </si>
  <si>
    <t>Modular Power Solutions</t>
  </si>
  <si>
    <t>Engineering Leadership Program</t>
  </si>
  <si>
    <t>Whiting-Turner Construction Company</t>
  </si>
  <si>
    <t>Materials Science &amp; Engr</t>
  </si>
  <si>
    <t>Materials Engineer</t>
  </si>
  <si>
    <t>Boston Scientific</t>
  </si>
  <si>
    <t>Maintenance Engineer</t>
  </si>
  <si>
    <t>Ellwood Groug</t>
  </si>
  <si>
    <t>Metalurgical Engineer</t>
  </si>
  <si>
    <t>Gordon Highlander</t>
  </si>
  <si>
    <t>Assistant Superintendent</t>
  </si>
  <si>
    <t>Greene Tweed</t>
  </si>
  <si>
    <t>Heitlberg Materials</t>
  </si>
  <si>
    <t>Trainee Engineer</t>
  </si>
  <si>
    <t>Infineon</t>
  </si>
  <si>
    <t>Process Support Engineer</t>
  </si>
  <si>
    <t>Metalurgist</t>
  </si>
  <si>
    <t>Scientist</t>
  </si>
  <si>
    <t>TDK Headway Technologies</t>
  </si>
  <si>
    <t>Mechanical Engineering</t>
  </si>
  <si>
    <t>Discovery Commercial Sales</t>
  </si>
  <si>
    <t>Corporate Technology Intern</t>
  </si>
  <si>
    <t>Fuels Engineer</t>
  </si>
  <si>
    <t>Archer Aviation</t>
  </si>
  <si>
    <t>AWC Inc.</t>
  </si>
  <si>
    <t>Technical Product Specialist</t>
  </si>
  <si>
    <t>Clark</t>
  </si>
  <si>
    <t>CMTA, Inc</t>
  </si>
  <si>
    <t>D2 Integrity</t>
  </si>
  <si>
    <t>Associate Pipeline Engineer</t>
  </si>
  <si>
    <t>Delta V Forensic Engineering</t>
  </si>
  <si>
    <t>Department of Government Efficiency</t>
  </si>
  <si>
    <t>Clean-up Engineer</t>
  </si>
  <si>
    <t>Dynamic Systems; Inc.</t>
  </si>
  <si>
    <t>Technical Sales Engineer</t>
  </si>
  <si>
    <t>Electro Impact</t>
  </si>
  <si>
    <t>Power Distribution Engineer</t>
  </si>
  <si>
    <t>Enercon Service Inc.</t>
  </si>
  <si>
    <t>Associate Mechanical Engineer</t>
  </si>
  <si>
    <t>EOG Resources</t>
  </si>
  <si>
    <t>Solution Engineer</t>
  </si>
  <si>
    <t>Flex</t>
  </si>
  <si>
    <t>Followserve</t>
  </si>
  <si>
    <t>Ignite Rotational Engineer</t>
  </si>
  <si>
    <t>GAF Materials Corporation</t>
  </si>
  <si>
    <t>Rotation Engineer Associate</t>
  </si>
  <si>
    <t>Hardware Engineer</t>
  </si>
  <si>
    <t>Mechanical Hardware Engineer Rotational</t>
  </si>
  <si>
    <t>Glenair</t>
  </si>
  <si>
    <t>Mechanical Engineering Summer Intern</t>
  </si>
  <si>
    <t>Field Office Professional</t>
  </si>
  <si>
    <t>Lift Engineer</t>
  </si>
  <si>
    <t>Mechanical Engineer Associate</t>
  </si>
  <si>
    <t>Hisdon Construction</t>
  </si>
  <si>
    <t>Field Service Engineer</t>
  </si>
  <si>
    <t>Innovative Refrigeration Systems</t>
  </si>
  <si>
    <t>Reliability Engineer</t>
  </si>
  <si>
    <t>Keystone Millwork</t>
  </si>
  <si>
    <t>Quality Manager</t>
  </si>
  <si>
    <t>Civil Engineering Analyst</t>
  </si>
  <si>
    <t>Field Compression Engineer</t>
  </si>
  <si>
    <t>Koch Industries</t>
  </si>
  <si>
    <t>Plant Engineer</t>
  </si>
  <si>
    <t>Associate Distribution Engineer</t>
  </si>
  <si>
    <t>Aeronautical Engineer Associate</t>
  </si>
  <si>
    <t>Manufacturing Test Engineer</t>
  </si>
  <si>
    <t>Research Fellow</t>
  </si>
  <si>
    <t>LTY Engineers</t>
  </si>
  <si>
    <t>Plumbing EIT</t>
  </si>
  <si>
    <t>Marathon Petroleum</t>
  </si>
  <si>
    <t>Area Engineer</t>
  </si>
  <si>
    <t>Biomedical</t>
  </si>
  <si>
    <t>Pathways Enginner</t>
  </si>
  <si>
    <t>PepsiCO</t>
  </si>
  <si>
    <t>Polk Mechanical</t>
  </si>
  <si>
    <t>Pratt &amp; Whitney</t>
  </si>
  <si>
    <t>Priefert Manufacturing</t>
  </si>
  <si>
    <t>RAD Lab</t>
  </si>
  <si>
    <t>Riving Systems</t>
  </si>
  <si>
    <t>Scallon Controls</t>
  </si>
  <si>
    <t>Control Valve Engineer</t>
  </si>
  <si>
    <t>Shah Smith &amp; Associates</t>
  </si>
  <si>
    <t>Space Dynamic Laborartory</t>
  </si>
  <si>
    <t>Starlink Engineer</t>
  </si>
  <si>
    <t>TDIndustries</t>
  </si>
  <si>
    <t>Texas A&amp;M Engineering Experiment Station</t>
  </si>
  <si>
    <t>Failure Analysis</t>
  </si>
  <si>
    <t>Toyota Motor Manufacturing</t>
  </si>
  <si>
    <t>TransMarket Group LLC</t>
  </si>
  <si>
    <t>Quantitative Trader</t>
  </si>
  <si>
    <t>Engineering Intern</t>
  </si>
  <si>
    <t>Turner Construction</t>
  </si>
  <si>
    <t>Associate Reliability Engineer</t>
  </si>
  <si>
    <t>Rotating Equipment Engineer</t>
  </si>
  <si>
    <t>Ward &amp; Burke</t>
  </si>
  <si>
    <t>Site Engineer</t>
  </si>
  <si>
    <t>WEB Custom Metals</t>
  </si>
  <si>
    <t>Thermal Engineer</t>
  </si>
  <si>
    <t>BlackVe</t>
  </si>
  <si>
    <t>Space Systems Engineer</t>
  </si>
  <si>
    <t>Composites One</t>
  </si>
  <si>
    <t>Sales Repesentative</t>
  </si>
  <si>
    <t>Hunting Energy Services</t>
  </si>
  <si>
    <t>Navair</t>
  </si>
  <si>
    <t>Process Development Engineer</t>
  </si>
  <si>
    <t>Rivian Automotive</t>
  </si>
  <si>
    <t>Associate Quality Engineer</t>
  </si>
  <si>
    <t>Tether</t>
  </si>
  <si>
    <t>Wood PLC</t>
  </si>
  <si>
    <t>AECC Commercial Aircraft Engines</t>
  </si>
  <si>
    <t>Technician</t>
  </si>
  <si>
    <t>Argonne National Lab</t>
  </si>
  <si>
    <t>President &amp; CEO</t>
  </si>
  <si>
    <t>Ford Motor Group</t>
  </si>
  <si>
    <t>Multidisc Engineering Tech</t>
  </si>
  <si>
    <t>Albers Areospace</t>
  </si>
  <si>
    <t>Systems Engineer Intern</t>
  </si>
  <si>
    <t>Arbin Instrument</t>
  </si>
  <si>
    <t>Foxconn</t>
  </si>
  <si>
    <t>H.E. Williams</t>
  </si>
  <si>
    <t>Automation &amp; Controls Engineer</t>
  </si>
  <si>
    <t>Associate R&amp;D Electrical Engineer</t>
  </si>
  <si>
    <t>Flight Software Engineer</t>
  </si>
  <si>
    <t>Embedded Test Engineer</t>
  </si>
  <si>
    <t>Protection &amp; Controls Engineering Specialist</t>
  </si>
  <si>
    <t>Parry Labs</t>
  </si>
  <si>
    <t>Safety Engineer</t>
  </si>
  <si>
    <t>Nuclear Engineering</t>
  </si>
  <si>
    <t>BlueForge Alliance</t>
  </si>
  <si>
    <t>Constellation Energy</t>
  </si>
  <si>
    <t>Reactor Engineer</t>
  </si>
  <si>
    <t>Contech engineering</t>
  </si>
  <si>
    <t>Analysis Engineer</t>
  </si>
  <si>
    <t>Engineering Support</t>
  </si>
  <si>
    <t>Wellsite Supervisor</t>
  </si>
  <si>
    <t>Holtec International</t>
  </si>
  <si>
    <t>Nuclear Safety Analyst</t>
  </si>
  <si>
    <t>IABA</t>
  </si>
  <si>
    <t>Idaho National Lab</t>
  </si>
  <si>
    <t>Assistant Researcher</t>
  </si>
  <si>
    <t>Criticality Safety Engineer</t>
  </si>
  <si>
    <t>Engineering Associate</t>
  </si>
  <si>
    <t>Radiation Delepine Company</t>
  </si>
  <si>
    <t>Lab Technician</t>
  </si>
  <si>
    <t>Associate Nuclear Engineer</t>
  </si>
  <si>
    <t>South Texas Project Nuclear Operating Company</t>
  </si>
  <si>
    <t>Risk Management Engineer</t>
  </si>
  <si>
    <t>Southern Nuclear Company</t>
  </si>
  <si>
    <t>Fuel Performance Analyst</t>
  </si>
  <si>
    <t>Officer</t>
  </si>
  <si>
    <t>Westinghouse; LLC</t>
  </si>
  <si>
    <t>Nuclear Engineer</t>
  </si>
  <si>
    <t>Y-12 National Security Complex</t>
  </si>
  <si>
    <t>Zachary Group</t>
  </si>
  <si>
    <t>Triad National Security</t>
  </si>
  <si>
    <t>Captain</t>
  </si>
  <si>
    <t>Veracity Nuclear</t>
  </si>
  <si>
    <t>Ocean Engineering</t>
  </si>
  <si>
    <t>Co Waves</t>
  </si>
  <si>
    <t>Project Support Assistant</t>
  </si>
  <si>
    <t>DOF</t>
  </si>
  <si>
    <t>DOF Subsea</t>
  </si>
  <si>
    <t>Graduate Project Engineer</t>
  </si>
  <si>
    <t>Great Lakes Dredge &amp; Dock</t>
  </si>
  <si>
    <t>Heerema Marine Contractors</t>
  </si>
  <si>
    <t>Junior Marine Engineer</t>
  </si>
  <si>
    <t>McDermott International</t>
  </si>
  <si>
    <t>Associate Operations Engineer</t>
  </si>
  <si>
    <t>Metal Shark</t>
  </si>
  <si>
    <t>Naval Architect</t>
  </si>
  <si>
    <t>Moffatt &amp; Nichols</t>
  </si>
  <si>
    <t>Coastal Associate</t>
  </si>
  <si>
    <t>Norfolk Naval Shipyard</t>
  </si>
  <si>
    <t>Shearer Group</t>
  </si>
  <si>
    <t>TAI Engineering</t>
  </si>
  <si>
    <t>Jr Naval Architect</t>
  </si>
  <si>
    <t>2H Offshore</t>
  </si>
  <si>
    <t>Petroleum Engineering</t>
  </si>
  <si>
    <t>Reservoir Engineer</t>
  </si>
  <si>
    <t>Aramco</t>
  </si>
  <si>
    <t>Petroleum Engineer</t>
  </si>
  <si>
    <t>Caterra Energy</t>
  </si>
  <si>
    <t>Foundation Engineer</t>
  </si>
  <si>
    <t>Hilcorp Energy Company</t>
  </si>
  <si>
    <t>Frac Engineer</t>
  </si>
  <si>
    <t>Completions Engineer</t>
  </si>
  <si>
    <t>Saudi Aramco</t>
  </si>
  <si>
    <t>Associate Petroleum Engineer</t>
  </si>
  <si>
    <t>Ten Oaks</t>
  </si>
  <si>
    <t>US Energy Development Corporation</t>
  </si>
  <si>
    <t>Geoscientist</t>
  </si>
  <si>
    <t>Pertamina</t>
  </si>
  <si>
    <t>PTT Exploration and Production PCL</t>
  </si>
  <si>
    <t>Safety Engineering</t>
  </si>
  <si>
    <t>Associate Safety Professional</t>
  </si>
  <si>
    <t>Technical Management</t>
  </si>
  <si>
    <t>Everware International</t>
  </si>
  <si>
    <t>Engineering Technologist</t>
  </si>
  <si>
    <t>Network Design Analyst</t>
  </si>
  <si>
    <t>SafeKick</t>
  </si>
  <si>
    <t>State Energy Office</t>
  </si>
  <si>
    <t>Texas International Refining Company</t>
  </si>
  <si>
    <t>President</t>
  </si>
  <si>
    <t>Technology Management</t>
  </si>
  <si>
    <t>AlixPartners</t>
  </si>
  <si>
    <t>Strategy Consultant</t>
  </si>
  <si>
    <t>Cloud Support Associate</t>
  </si>
  <si>
    <t>Cloud Support Specialist</t>
  </si>
  <si>
    <t>Cyber Security Development Program</t>
  </si>
  <si>
    <t>City of College Station</t>
  </si>
  <si>
    <t>Service Desk Representative</t>
  </si>
  <si>
    <t>Equitable Advisors</t>
  </si>
  <si>
    <t>Financial Advisor</t>
  </si>
  <si>
    <t>Flexitallic</t>
  </si>
  <si>
    <t>Marketing Intern</t>
  </si>
  <si>
    <t>Solutions Architecture</t>
  </si>
  <si>
    <t>Inbox Booths</t>
  </si>
  <si>
    <t>IT and Automation Coordinator</t>
  </si>
  <si>
    <t>ISN</t>
  </si>
  <si>
    <t>Cybersecurity Project Manager</t>
  </si>
  <si>
    <t>Mutual of Omaha</t>
  </si>
  <si>
    <t>Palenque Group</t>
  </si>
  <si>
    <t>Digital Leadership Development Program</t>
  </si>
  <si>
    <t>Shores MDS</t>
  </si>
  <si>
    <t>MDS Technician</t>
  </si>
  <si>
    <t>Customer Support Associate</t>
  </si>
  <si>
    <t>Analyst Development Program</t>
  </si>
  <si>
    <t>IT Program Aide</t>
  </si>
  <si>
    <t>University of Texas - Southwestern</t>
  </si>
  <si>
    <t>Technical Support Specialist</t>
  </si>
  <si>
    <t>Webconnex</t>
  </si>
  <si>
    <t>Jr Data Analyst</t>
  </si>
  <si>
    <t>AEROLANE</t>
  </si>
  <si>
    <t>Virtual Reality Software and Simulation Engineer</t>
  </si>
  <si>
    <t>LORA</t>
  </si>
  <si>
    <t>Naval Air Warfare Center Weapons Division</t>
  </si>
  <si>
    <t>Naval Nuclear Labs</t>
  </si>
  <si>
    <t>Nuclear</t>
  </si>
  <si>
    <t>NHHC</t>
  </si>
  <si>
    <t>Re:Build Answer Engineering</t>
  </si>
  <si>
    <t>Standard Aero</t>
  </si>
  <si>
    <t>Second Lieutenant</t>
  </si>
  <si>
    <t>US Army Corps of Engineers</t>
  </si>
  <si>
    <t>Hydraulics Engineer</t>
  </si>
  <si>
    <t>Vector Nav</t>
  </si>
  <si>
    <t>Navigation Engineer</t>
  </si>
  <si>
    <t>Aerodym Industries</t>
  </si>
  <si>
    <t>Structural Dynamics Engineer</t>
  </si>
  <si>
    <t>Brazos Innovation Partners</t>
  </si>
  <si>
    <t>US Air Force Civil Service</t>
  </si>
  <si>
    <t>Aeronautical Engineer Manager</t>
  </si>
  <si>
    <t>Savannah River National Laboratory</t>
  </si>
  <si>
    <t>Post Doc Researcher</t>
  </si>
  <si>
    <t>ECS</t>
  </si>
  <si>
    <t>Engineering Consultant</t>
  </si>
  <si>
    <t>Research Engineer Associate</t>
  </si>
  <si>
    <t>VSM</t>
  </si>
  <si>
    <t>Mapping Specialist</t>
  </si>
  <si>
    <t>Varien</t>
  </si>
  <si>
    <t>R&amp;D Engineer</t>
  </si>
  <si>
    <t>Venostent Inc</t>
  </si>
  <si>
    <t>Associate Materials Engineer</t>
  </si>
  <si>
    <t>3M</t>
  </si>
  <si>
    <t>Advanced Quality Engineer</t>
  </si>
  <si>
    <t>Albert Einstein College of Medicine</t>
  </si>
  <si>
    <t>Post Doc Fellow</t>
  </si>
  <si>
    <t>Arlington Police Department</t>
  </si>
  <si>
    <t>Police Officer</t>
  </si>
  <si>
    <t>Bright Sprirey</t>
  </si>
  <si>
    <t>Well Engineer</t>
  </si>
  <si>
    <t>Process Automation Engineer</t>
  </si>
  <si>
    <t>Elanas</t>
  </si>
  <si>
    <t>Contract Engineer</t>
  </si>
  <si>
    <t>FM Global</t>
  </si>
  <si>
    <t>Consultant Engineer</t>
  </si>
  <si>
    <t>Foresight Diagnostics</t>
  </si>
  <si>
    <t>Regulatory Affairs Specialistt</t>
  </si>
  <si>
    <t>Associate Technical Professional</t>
  </si>
  <si>
    <t>Process Safety Engineer</t>
  </si>
  <si>
    <t>Kraton</t>
  </si>
  <si>
    <t>Marathon Oil Company</t>
  </si>
  <si>
    <t>Technical Sales Specialist</t>
  </si>
  <si>
    <t>Nuclear Regulatory Commission</t>
  </si>
  <si>
    <t>Inspector</t>
  </si>
  <si>
    <t>Occidental Chemical Corporation</t>
  </si>
  <si>
    <t>Process Engin</t>
  </si>
  <si>
    <t>ProLytX</t>
  </si>
  <si>
    <t>Chem/Gas Facilities</t>
  </si>
  <si>
    <t>TKE Engineering</t>
  </si>
  <si>
    <t>Tokyo Electron U.S. Holdings</t>
  </si>
  <si>
    <t>Technical Support Engineer</t>
  </si>
  <si>
    <t>Total Engeries</t>
  </si>
  <si>
    <t>Enerflex Energy Systems; Inc.</t>
  </si>
  <si>
    <t>National Electric Energy Testing, Research &amp; Appli</t>
  </si>
  <si>
    <t>Aspon Technology</t>
  </si>
  <si>
    <t>University of California Berkeley</t>
  </si>
  <si>
    <t>5 Engineering</t>
  </si>
  <si>
    <t>Aecom</t>
  </si>
  <si>
    <t>Civil Engineer l</t>
  </si>
  <si>
    <t>American Structurepoint</t>
  </si>
  <si>
    <t>Bowman Consulting</t>
  </si>
  <si>
    <t>Civil Design Engineer</t>
  </si>
  <si>
    <t>Dashiell</t>
  </si>
  <si>
    <t>Engineer I</t>
  </si>
  <si>
    <t>CAD</t>
  </si>
  <si>
    <t>Gray Engineering</t>
  </si>
  <si>
    <t>J4 Engineers</t>
  </si>
  <si>
    <t>KFM Engineering</t>
  </si>
  <si>
    <t>Civil Consultant</t>
  </si>
  <si>
    <t>Engineering Analyst</t>
  </si>
  <si>
    <t>Graduate Engineer I</t>
  </si>
  <si>
    <t>McAdams</t>
  </si>
  <si>
    <t>Designer</t>
  </si>
  <si>
    <t>Miller &amp; Associates</t>
  </si>
  <si>
    <t>PBK</t>
  </si>
  <si>
    <t>Quiddity</t>
  </si>
  <si>
    <t>Rogers O'Brien Constuction</t>
  </si>
  <si>
    <t>Teague Nall and Perkins</t>
  </si>
  <si>
    <t>TXDOT</t>
  </si>
  <si>
    <t>Engineer Assistant</t>
  </si>
  <si>
    <t>Graduate Civil Engineer</t>
  </si>
  <si>
    <t>Traffic Engineer In Training</t>
  </si>
  <si>
    <t>WSB Engineers</t>
  </si>
  <si>
    <t>Zachary Construction Corporation</t>
  </si>
  <si>
    <t>AGSE</t>
  </si>
  <si>
    <t>Alamo Nex Construction, LLC</t>
  </si>
  <si>
    <t>Alpha Consulting Engineers</t>
  </si>
  <si>
    <t>Applied Research Associates</t>
  </si>
  <si>
    <t>Ardurra Group, Inc</t>
  </si>
  <si>
    <t>Engineer III</t>
  </si>
  <si>
    <t>Dunaway Associates</t>
  </si>
  <si>
    <t>Garver USA</t>
  </si>
  <si>
    <t>Structural Engineer in Training</t>
  </si>
  <si>
    <t>HVJ Associates</t>
  </si>
  <si>
    <t>Pavement Engineer</t>
  </si>
  <si>
    <t>Modjeski and Masters</t>
  </si>
  <si>
    <t>Moss &amp; Association</t>
  </si>
  <si>
    <t>NV2A Group LLC</t>
  </si>
  <si>
    <t>BIM Manager</t>
  </si>
  <si>
    <t>Stantec, Inc.</t>
  </si>
  <si>
    <t>Transportation Designer</t>
  </si>
  <si>
    <t>STV, Inc</t>
  </si>
  <si>
    <t>Texas A&amp;M Transportation Institute</t>
  </si>
  <si>
    <t>Associate Researcher of Transportation</t>
  </si>
  <si>
    <t>Walker Consultants</t>
  </si>
  <si>
    <t>Walter P. Moore</t>
  </si>
  <si>
    <t>Early Careers Construction Management</t>
  </si>
  <si>
    <t>BCC Engineering LLC</t>
  </si>
  <si>
    <t>Center for Reliable Energy Systems (CRES)</t>
  </si>
  <si>
    <t>Atlassian</t>
  </si>
  <si>
    <t>CMC Construction Services</t>
  </si>
  <si>
    <t>Industrial Applications Engineer</t>
  </si>
  <si>
    <t>Dell</t>
  </si>
  <si>
    <t>Cyber Software Engineer</t>
  </si>
  <si>
    <t>Automation Controls</t>
  </si>
  <si>
    <t>Automation and Controls Engineer</t>
  </si>
  <si>
    <t>Software Developer III</t>
  </si>
  <si>
    <t>AMD Inc</t>
  </si>
  <si>
    <t>SoC Architect</t>
  </si>
  <si>
    <t>Senior Machine Learning Engineer</t>
  </si>
  <si>
    <t>Logic Design Engineer</t>
  </si>
  <si>
    <t>Micron Technology Inc.</t>
  </si>
  <si>
    <t>MIPS</t>
  </si>
  <si>
    <t>Nvidia</t>
  </si>
  <si>
    <t>End User Support Specialist</t>
  </si>
  <si>
    <t>Engineer Associate</t>
  </si>
  <si>
    <t>Senior Physical Design Engineer</t>
  </si>
  <si>
    <t>Arrcus</t>
  </si>
  <si>
    <t>Security Engineer</t>
  </si>
  <si>
    <t>Instalab</t>
  </si>
  <si>
    <t>JP Morgan</t>
  </si>
  <si>
    <t>Kratos Defense</t>
  </si>
  <si>
    <t>Krolll INc.</t>
  </si>
  <si>
    <t>L3 Technologies</t>
  </si>
  <si>
    <t>New Relic</t>
  </si>
  <si>
    <t>pilot life</t>
  </si>
  <si>
    <t>Technology Consultant</t>
  </si>
  <si>
    <t>Telas Digital</t>
  </si>
  <si>
    <t>Computer Engineer</t>
  </si>
  <si>
    <t>Principal Consultant</t>
  </si>
  <si>
    <t>Walmart Global Tech</t>
  </si>
  <si>
    <t>Software Engineer II</t>
  </si>
  <si>
    <t>Addavox</t>
  </si>
  <si>
    <t>Machine Learning Engineer</t>
  </si>
  <si>
    <t>Bytedance</t>
  </si>
  <si>
    <t>Corva</t>
  </si>
  <si>
    <t>Margeta, Inc</t>
  </si>
  <si>
    <t>Softward Engineer</t>
  </si>
  <si>
    <t>Schweitzer Engineering Labs</t>
  </si>
  <si>
    <t>Virtusense Technologies</t>
  </si>
  <si>
    <t>Site Reliability Engineer</t>
  </si>
  <si>
    <t>Deephaven Data Labs</t>
  </si>
  <si>
    <t>University of Illinois</t>
  </si>
  <si>
    <t>Det Norsk Veritas</t>
  </si>
  <si>
    <t>Surveyor</t>
  </si>
  <si>
    <t>EnkiScribe</t>
  </si>
  <si>
    <t>Zoox</t>
  </si>
  <si>
    <t>Allegro Microsystems</t>
  </si>
  <si>
    <t>Product Development Engineer</t>
  </si>
  <si>
    <t>Analog Services</t>
  </si>
  <si>
    <t>Anantak Robotics</t>
  </si>
  <si>
    <t>Robotics Engineer</t>
  </si>
  <si>
    <t>Physical Design Engineer</t>
  </si>
  <si>
    <t>Electrical Engineer I</t>
  </si>
  <si>
    <t>Citrinelle</t>
  </si>
  <si>
    <t>Constellation</t>
  </si>
  <si>
    <t>Operations Field Technician</t>
  </si>
  <si>
    <t>Empact Engineering</t>
  </si>
  <si>
    <t>Electrical Distribution Analyst</t>
  </si>
  <si>
    <t>Farmer's Electric Cooperative</t>
  </si>
  <si>
    <t>Ferguson Consultant</t>
  </si>
  <si>
    <t>Power Engineer</t>
  </si>
  <si>
    <t>Fleese and Nichols</t>
  </si>
  <si>
    <t>HPE Design LLC</t>
  </si>
  <si>
    <t>Invista</t>
  </si>
  <si>
    <t>Leon's OEM Autoparts</t>
  </si>
  <si>
    <t>Co-Founder</t>
  </si>
  <si>
    <t>Electrical Engineer Associate</t>
  </si>
  <si>
    <t>Substation Design Engineer</t>
  </si>
  <si>
    <t>McDonald's</t>
  </si>
  <si>
    <t>Newport News Shipbuilding</t>
  </si>
  <si>
    <t>Northrop Gromman</t>
  </si>
  <si>
    <t>Transmission Planning Engineer</t>
  </si>
  <si>
    <t>Onsemi</t>
  </si>
  <si>
    <t>Field Sales Engineer</t>
  </si>
  <si>
    <t>Peterbilt Motor Company</t>
  </si>
  <si>
    <t>Power Engineers</t>
  </si>
  <si>
    <t>Relegance Inc.</t>
  </si>
  <si>
    <t>RS&amp;H</t>
  </si>
  <si>
    <t>Semiconductor Engineer</t>
  </si>
  <si>
    <t>Saronic Technologies</t>
  </si>
  <si>
    <t>Shell</t>
  </si>
  <si>
    <t>Protection and Automation</t>
  </si>
  <si>
    <t>Skyworks Solutions, Inc.</t>
  </si>
  <si>
    <t>Timing Systems Engineer</t>
  </si>
  <si>
    <t>Tesla, Inc.</t>
  </si>
  <si>
    <t>Electrical Test Engineer</t>
  </si>
  <si>
    <t>Tredence</t>
  </si>
  <si>
    <t>Data Science Engineer</t>
  </si>
  <si>
    <t>UL Solutions</t>
  </si>
  <si>
    <t>Associate Field Engineer</t>
  </si>
  <si>
    <t>Vistra Corp.</t>
  </si>
  <si>
    <t>Renewables Engineer</t>
  </si>
  <si>
    <t>Whiskey Charlie's</t>
  </si>
  <si>
    <t>Area Maintenance Manager</t>
  </si>
  <si>
    <t>Arcadis</t>
  </si>
  <si>
    <t>Microwave Techniques</t>
  </si>
  <si>
    <t>Provincial Electricity Authourity</t>
  </si>
  <si>
    <t>Relay Settings Engineer</t>
  </si>
  <si>
    <t>Digital Design Engineer</t>
  </si>
  <si>
    <t>AML</t>
  </si>
  <si>
    <t>Electronic Repair Technician</t>
  </si>
  <si>
    <t>Booz Allen Hamilton</t>
  </si>
  <si>
    <t>Cyber Security Consultant</t>
  </si>
  <si>
    <t>Enaxy</t>
  </si>
  <si>
    <t>Phoenix Contact</t>
  </si>
  <si>
    <t>Technical Sales Apprentice</t>
  </si>
  <si>
    <t>Star Precision</t>
  </si>
  <si>
    <t>StarPlus Energy LLC</t>
  </si>
  <si>
    <t>Private First Class</t>
  </si>
  <si>
    <t>Greater Houston Partnership</t>
  </si>
  <si>
    <t>Vice President, Houston Energy Transition Iniviati</t>
  </si>
  <si>
    <t>Hubbell</t>
  </si>
  <si>
    <t>Engineering Group</t>
  </si>
  <si>
    <t>Powerhouse Texas</t>
  </si>
  <si>
    <t>Energy Policy Fellow</t>
  </si>
  <si>
    <t>AK Consulting Services Inc</t>
  </si>
  <si>
    <t>Saviynt Inc</t>
  </si>
  <si>
    <t>Security Consultant</t>
  </si>
  <si>
    <t>Schlumberger</t>
  </si>
  <si>
    <t>Onestart Engineer</t>
  </si>
  <si>
    <t>Program Director</t>
  </si>
  <si>
    <t>Aceros y Perfiles</t>
  </si>
  <si>
    <t>Dolby Laboratories</t>
  </si>
  <si>
    <t>IT ERP Applications</t>
  </si>
  <si>
    <t>Harris County</t>
  </si>
  <si>
    <t>Energy Manager</t>
  </si>
  <si>
    <t>Mechanical Engineer II</t>
  </si>
  <si>
    <t>Mitre</t>
  </si>
  <si>
    <t>Network Modeling Engineer</t>
  </si>
  <si>
    <t>ABB INC.</t>
  </si>
  <si>
    <t>Commercial Sales</t>
  </si>
  <si>
    <t>ACME Construction Supply</t>
  </si>
  <si>
    <t>Sales Leadership Program</t>
  </si>
  <si>
    <t>Affiliated Distributors</t>
  </si>
  <si>
    <t>Area Manager</t>
  </si>
  <si>
    <t>AWC</t>
  </si>
  <si>
    <t>Sales Application Engineer</t>
  </si>
  <si>
    <t>Brasfield &amp; Gorrie</t>
  </si>
  <si>
    <t>Century A/C Supply</t>
  </si>
  <si>
    <t>Cima Energy</t>
  </si>
  <si>
    <t>Climatec</t>
  </si>
  <si>
    <t>Business Development Manager</t>
  </si>
  <si>
    <t>Congressman Brian Babin</t>
  </si>
  <si>
    <t>Policy Intern</t>
  </si>
  <si>
    <t>Finance</t>
  </si>
  <si>
    <t>Project Analyst</t>
  </si>
  <si>
    <t>Delltown Power</t>
  </si>
  <si>
    <t>Account Manager I</t>
  </si>
  <si>
    <t>ECP Solutions</t>
  </si>
  <si>
    <t>Supply Chain</t>
  </si>
  <si>
    <t>Construction &amp; Engineering Specialist</t>
  </si>
  <si>
    <t>FT Capital</t>
  </si>
  <si>
    <t>GAF Roofing</t>
  </si>
  <si>
    <t>Logistics Planner</t>
  </si>
  <si>
    <t>GHX Industrial</t>
  </si>
  <si>
    <t>Gray Reed Public Affairs</t>
  </si>
  <si>
    <t>Project and Research Analyst</t>
  </si>
  <si>
    <t>HEXA Containment</t>
  </si>
  <si>
    <t>Regional Sales Representative</t>
  </si>
  <si>
    <t>HVAC Systems Sales Engineer</t>
  </si>
  <si>
    <t>INSCO</t>
  </si>
  <si>
    <t>JD Martin</t>
  </si>
  <si>
    <t>Jokers of Aggieland</t>
  </si>
  <si>
    <t>Keyence</t>
  </si>
  <si>
    <t>Sales Engineer I</t>
  </si>
  <si>
    <t>Project Management Associate</t>
  </si>
  <si>
    <t>System Support Staff</t>
  </si>
  <si>
    <t>Martin Sprocket &amp; Gear</t>
  </si>
  <si>
    <t>National Welding Supply</t>
  </si>
  <si>
    <t>Sales Development Representative</t>
  </si>
  <si>
    <t>Sales Development Trainee</t>
  </si>
  <si>
    <t>Reinsurance Group of America</t>
  </si>
  <si>
    <t>SALES SUPPORT COORDINATOR</t>
  </si>
  <si>
    <t>Relevant Industrial</t>
  </si>
  <si>
    <t>Relevant Solutions</t>
  </si>
  <si>
    <t>Sky Ranch Christian Camps</t>
  </si>
  <si>
    <t>Family Camp Specialist</t>
  </si>
  <si>
    <t>Smith &amp; Associates</t>
  </si>
  <si>
    <t>Procurement Specialist</t>
  </si>
  <si>
    <t>Manager in Training</t>
  </si>
  <si>
    <t>Sunbelt Group LP</t>
  </si>
  <si>
    <t>SunSource</t>
  </si>
  <si>
    <t>Swagelok</t>
  </si>
  <si>
    <t>Early Career Rotational Program</t>
  </si>
  <si>
    <t>Swingle Collins</t>
  </si>
  <si>
    <t>Risk Advisor</t>
  </si>
  <si>
    <t>TCB Energy Services</t>
  </si>
  <si>
    <t>Environmental Consultant</t>
  </si>
  <si>
    <t>Demand Planning Analyst</t>
  </si>
  <si>
    <t>Equipment Account Manager</t>
  </si>
  <si>
    <t>Uline</t>
  </si>
  <si>
    <t>Warehouse Management Trainee</t>
  </si>
  <si>
    <t>Victaulic</t>
  </si>
  <si>
    <t>Territory Sales Manager</t>
  </si>
  <si>
    <t>Vinson Process Controls</t>
  </si>
  <si>
    <t>Wesco</t>
  </si>
  <si>
    <t>Sales Operations Trainee</t>
  </si>
  <si>
    <t>COMMERCIAL SALES ROTATIONAL EMPLOYEE</t>
  </si>
  <si>
    <t>BELL HELICOPTER</t>
  </si>
  <si>
    <t>BUSINESS SYSTEM ANALYST</t>
  </si>
  <si>
    <t>Bosch Semiconductors</t>
  </si>
  <si>
    <t>Quality Manufacturing and Methods Engineer</t>
  </si>
  <si>
    <t>BRANDT LLC</t>
  </si>
  <si>
    <t>PROJECT MANAGER</t>
  </si>
  <si>
    <t>BRAY INTERNATIONAL</t>
  </si>
  <si>
    <t>ROTATIONAL ENGINEER</t>
  </si>
  <si>
    <t>Bush Combat Development Complex</t>
  </si>
  <si>
    <t>Range Technician I</t>
  </si>
  <si>
    <t>Butterball</t>
  </si>
  <si>
    <t>CENTEX MATERIALS</t>
  </si>
  <si>
    <t>QUALITY ENGINEER</t>
  </si>
  <si>
    <t>Crowe LLP</t>
  </si>
  <si>
    <t>TECHNICAL CONSULTANT</t>
  </si>
  <si>
    <t>DAIKIN GOODMAN</t>
  </si>
  <si>
    <t>INDUSTRIAL ENGINEER</t>
  </si>
  <si>
    <t>Deloitte Consulting</t>
  </si>
  <si>
    <t>Torque Coordinator</t>
  </si>
  <si>
    <t>Industrial Airflow Dynamics</t>
  </si>
  <si>
    <t>LAP LASER</t>
  </si>
  <si>
    <t>TECHNICAL SALES MANAGER</t>
  </si>
  <si>
    <t>Liquid Robotics Inc</t>
  </si>
  <si>
    <t>Satellite Operations Engineer</t>
  </si>
  <si>
    <t>MS DIRECTIONAL</t>
  </si>
  <si>
    <t>PARKER HANNIFIN</t>
  </si>
  <si>
    <t>LEADERSHIP DEVELOPMENT PROGRAM</t>
  </si>
  <si>
    <t>Global Procurement Analyst</t>
  </si>
  <si>
    <t>PHILLIPS 66</t>
  </si>
  <si>
    <t>ASSOCIATE</t>
  </si>
  <si>
    <t>Engineering Manager</t>
  </si>
  <si>
    <t>Prysmian</t>
  </si>
  <si>
    <t>OLDP Engineer</t>
  </si>
  <si>
    <t>SOUTHWEST SHIPYARD</t>
  </si>
  <si>
    <t>PROJECT ENGINEER</t>
  </si>
  <si>
    <t>SPOETZEL BREWERY</t>
  </si>
  <si>
    <t>BREWERY ENGINEER</t>
  </si>
  <si>
    <t>Quality Trainee</t>
  </si>
  <si>
    <t>US Postal Service</t>
  </si>
  <si>
    <t>Williams-Sonoma</t>
  </si>
  <si>
    <t>Fit Voltaira Group</t>
  </si>
  <si>
    <t>Forestar</t>
  </si>
  <si>
    <t>Senior Application Developer</t>
  </si>
  <si>
    <t>KP Staffing</t>
  </si>
  <si>
    <t>Senior Quality Engineer</t>
  </si>
  <si>
    <t>Probe System Planner</t>
  </si>
  <si>
    <t>Associate Material Planner</t>
  </si>
  <si>
    <t>Honda Aircraft</t>
  </si>
  <si>
    <t>Human Factors Engineer</t>
  </si>
  <si>
    <t>Impact Advisors</t>
  </si>
  <si>
    <t>ALTA</t>
  </si>
  <si>
    <t>Applied Materials</t>
  </si>
  <si>
    <t>Clayton Homes</t>
  </si>
  <si>
    <t>Process Improvement Coordinator</t>
  </si>
  <si>
    <t>DetectaChem</t>
  </si>
  <si>
    <t>Well Operations Supervisor</t>
  </si>
  <si>
    <t>Manufacturing Support Team</t>
  </si>
  <si>
    <t>LONE STAR TURBO</t>
  </si>
  <si>
    <t>APPLICATIONS ENGINEER IN TRAINING</t>
  </si>
  <si>
    <t>RD Engineer I</t>
  </si>
  <si>
    <t>Supply Chain Leader</t>
  </si>
  <si>
    <t>Primoris Renewable Energy</t>
  </si>
  <si>
    <t>Samson USA</t>
  </si>
  <si>
    <t>STEGER AND BIZZELL</t>
  </si>
  <si>
    <t>GENERAL ENGINEER</t>
  </si>
  <si>
    <t>Strato, Inc.</t>
  </si>
  <si>
    <t>Vulcraft</t>
  </si>
  <si>
    <t>NXP SEMICONDUCTORS</t>
  </si>
  <si>
    <t>YIELD ENHANCEMENT ENGINEER</t>
  </si>
  <si>
    <t>Technician I</t>
  </si>
  <si>
    <t>Freeport McMoran</t>
  </si>
  <si>
    <t>Metallurgist</t>
  </si>
  <si>
    <t>Survice Engineering</t>
  </si>
  <si>
    <t>Materials &amp; Manufacturing Researcher</t>
  </si>
  <si>
    <t>CesiumAstro</t>
  </si>
  <si>
    <t>Senior Materials Engineer I</t>
  </si>
  <si>
    <t>Assistant Research Scientist</t>
  </si>
  <si>
    <t>Westwood Aerogel</t>
  </si>
  <si>
    <t>Staff Scientist I</t>
  </si>
  <si>
    <t>Anderson Corporation</t>
  </si>
  <si>
    <t>Apex Systems</t>
  </si>
  <si>
    <t>Subsea Engineer</t>
  </si>
  <si>
    <t>Bechtel</t>
  </si>
  <si>
    <t>Mechanical Field Engineer</t>
  </si>
  <si>
    <t>SALES ENGINEER</t>
  </si>
  <si>
    <t>Pre-Field Technical Representative</t>
  </si>
  <si>
    <t>CHART</t>
  </si>
  <si>
    <t>FIELD ENGINEER</t>
  </si>
  <si>
    <t>Cobb Fendley &amp; Associates</t>
  </si>
  <si>
    <t>Gas Turbine Engineer</t>
  </si>
  <si>
    <t>HEWLETT PACKARD ENTERPRISE</t>
  </si>
  <si>
    <t>MECHANICAL/HARDWARE ENGINEER</t>
  </si>
  <si>
    <t>Hilti</t>
  </si>
  <si>
    <t>Support Engineer</t>
  </si>
  <si>
    <t>KAI Enterprises</t>
  </si>
  <si>
    <t>LOCKHEED MARTIN</t>
  </si>
  <si>
    <t>AERONAUTICAL ENGINEER ASSOCIATE</t>
  </si>
  <si>
    <t>MECHANICAL DESIGN ENGINEER</t>
  </si>
  <si>
    <t>MiTek</t>
  </si>
  <si>
    <t>ASSOCIATE MECHANICAL ENGINEER</t>
  </si>
  <si>
    <t>Nextier OFS</t>
  </si>
  <si>
    <t>Fracking Operator</t>
  </si>
  <si>
    <t>Technical Sales Associate</t>
  </si>
  <si>
    <t>PEPSICO-FRITO LAY</t>
  </si>
  <si>
    <t>ENGINEERING ANALYST</t>
  </si>
  <si>
    <t>Ramirez-Simon Engineering LLC</t>
  </si>
  <si>
    <t>SOUTHWEST RESEARCH INSTITUTE</t>
  </si>
  <si>
    <t>Graduate</t>
  </si>
  <si>
    <t>Reverse Engineer</t>
  </si>
  <si>
    <t>Telias PC</t>
  </si>
  <si>
    <t>MECHANICAL ENGINEER</t>
  </si>
  <si>
    <t>TEXAS INSTRUMENTS</t>
  </si>
  <si>
    <t>EQUIPMENT ENGINEER</t>
  </si>
  <si>
    <t>Amentum at MSFC</t>
  </si>
  <si>
    <t>Thrust Vector Controls Engineer</t>
  </si>
  <si>
    <t>ASM International</t>
  </si>
  <si>
    <t>Mechanical Engineer I</t>
  </si>
  <si>
    <t>Mechatronics Engineer</t>
  </si>
  <si>
    <t>Assistant Piping Engineer</t>
  </si>
  <si>
    <t>City of Houston</t>
  </si>
  <si>
    <t>Conoco</t>
  </si>
  <si>
    <t>MEP Cost Analyst</t>
  </si>
  <si>
    <t>ETHIUM by E controls</t>
  </si>
  <si>
    <t>application sales engineer</t>
  </si>
  <si>
    <t>Track Engineer</t>
  </si>
  <si>
    <t>Le-vel Brands LLC</t>
  </si>
  <si>
    <t>Junior Data Analyst</t>
  </si>
  <si>
    <t>CAE Engineer for Durability</t>
  </si>
  <si>
    <t>Lyondell Basell</t>
  </si>
  <si>
    <t>Midwest Service Center</t>
  </si>
  <si>
    <t>Prime Robotics</t>
  </si>
  <si>
    <t>Cheforge Corp</t>
  </si>
  <si>
    <t>CEO</t>
  </si>
  <si>
    <t>DEVCOM Army Research Laboratory</t>
  </si>
  <si>
    <t>ICF Consulting Group</t>
  </si>
  <si>
    <t>Energy Modeling Consultant</t>
  </si>
  <si>
    <t>System Software Engineer</t>
  </si>
  <si>
    <t>NSWC Dahlgren</t>
  </si>
  <si>
    <t>Texas A&amp;M - TEES</t>
  </si>
  <si>
    <t>The University of Tulsa</t>
  </si>
  <si>
    <t>EMERSON</t>
  </si>
  <si>
    <t>MANUFACTURING ENGINEER</t>
  </si>
  <si>
    <t>Client Systems Administrator</t>
  </si>
  <si>
    <t>i9xtion</t>
  </si>
  <si>
    <t>AUTOMATION ENGINEER</t>
  </si>
  <si>
    <t>KBR</t>
  </si>
  <si>
    <t>Flight Safety Engineer</t>
  </si>
  <si>
    <t>Protection &amp; Control Technician</t>
  </si>
  <si>
    <t>ONCOR</t>
  </si>
  <si>
    <t>PROTECTIONS ENGINEERING SPECIALIST</t>
  </si>
  <si>
    <t>Sherman ISD</t>
  </si>
  <si>
    <t>Engineering Teacher</t>
  </si>
  <si>
    <t>Associate Power Systems Studies Engineer</t>
  </si>
  <si>
    <t>Lab Engineer</t>
  </si>
  <si>
    <t>INTERMOOR</t>
  </si>
  <si>
    <t>MOORING ENGINEER</t>
  </si>
  <si>
    <t>Naval Sea System Command</t>
  </si>
  <si>
    <t>ENGINEER I</t>
  </si>
  <si>
    <t>US Coast Guard</t>
  </si>
  <si>
    <t>OFFICER CANDIDATE</t>
  </si>
  <si>
    <t>Weeks Marine Construction</t>
  </si>
  <si>
    <t>DIAMONDBACK ENERGY</t>
  </si>
  <si>
    <t>RESERVOIR ENGINEER</t>
  </si>
  <si>
    <t>Foundation Energy Management</t>
  </si>
  <si>
    <t>Field Operation Engineer</t>
  </si>
  <si>
    <t>H&amp;P DRILLING</t>
  </si>
  <si>
    <t>Jefferies, LLC</t>
  </si>
  <si>
    <t>PETROLEUM ENGINEER</t>
  </si>
  <si>
    <t>Business Deviation Analyst</t>
  </si>
  <si>
    <t>MATADOR RESOURCES</t>
  </si>
  <si>
    <t>MAXOPS ENGINEER</t>
  </si>
  <si>
    <t>Drilling Engineer</t>
  </si>
  <si>
    <t>SDS PETROLEUM CONSULTANTS</t>
  </si>
  <si>
    <t>STAFF ENGINEER</t>
  </si>
  <si>
    <t>SEISMOS</t>
  </si>
  <si>
    <t>Weatherford</t>
  </si>
  <si>
    <t>Debolyer &amp; Macnaughton</t>
  </si>
  <si>
    <t>Whitson USA Inc</t>
  </si>
  <si>
    <t>Petroleum Engineering Consultant</t>
  </si>
  <si>
    <t>Exxon</t>
  </si>
  <si>
    <t>AMERICAN BUREAU OF SHIPPING</t>
  </si>
  <si>
    <t>HRIS SYSTEMS ANALYST</t>
  </si>
  <si>
    <t>CORE LAB TRANSPORTS QE CE</t>
  </si>
  <si>
    <t>CORNERSTONE BUILDING BRANDS</t>
  </si>
  <si>
    <t>SERVICE DESK TECHNICIAN</t>
  </si>
  <si>
    <t>CROWE LLP</t>
  </si>
  <si>
    <t>CONSULTANT</t>
  </si>
  <si>
    <t>ENTERPRISE</t>
  </si>
  <si>
    <t>MANAGEMENT TRAINEE</t>
  </si>
  <si>
    <t>Maximum Tubular Makeups</t>
  </si>
  <si>
    <t>Operations Assistant</t>
  </si>
  <si>
    <t>New York State Energy Research &amp; Development Autho</t>
  </si>
  <si>
    <t>TECHNICAL SPECIALIST</t>
  </si>
  <si>
    <t>SRS DISTRIBUTION</t>
  </si>
  <si>
    <t>SERVICE DESK ANALYST</t>
  </si>
  <si>
    <t>ST Genetics</t>
  </si>
  <si>
    <t>SUNRISE IT SOLUTIONS GROUP</t>
  </si>
  <si>
    <t>IT GENERALIST I</t>
  </si>
  <si>
    <t>UNIVERSITY TITLE COMPANY</t>
  </si>
  <si>
    <t>IT SUPPORT SPECIALIST</t>
  </si>
  <si>
    <t>Wire Star Network</t>
  </si>
  <si>
    <t>ERP ASSOCIATE</t>
  </si>
  <si>
    <t>Water Mgmt &amp; Hydrological Sc</t>
  </si>
  <si>
    <t>Brazos River Authority</t>
  </si>
  <si>
    <t>Water Resource Planner</t>
  </si>
  <si>
    <t>Junior Design Engineer</t>
  </si>
  <si>
    <t>Research and Development Engineer</t>
  </si>
  <si>
    <t>Structural Analysis Engineer</t>
  </si>
  <si>
    <t>External Loads Engineer</t>
  </si>
  <si>
    <t>Boeing (Qatar)</t>
  </si>
  <si>
    <t>Envoy Air Inc.</t>
  </si>
  <si>
    <t>Flight Attendent</t>
  </si>
  <si>
    <t>HII</t>
  </si>
  <si>
    <t>Iron Ring Technologies</t>
  </si>
  <si>
    <t>KBRwyle</t>
  </si>
  <si>
    <t>Satellite Engineer</t>
  </si>
  <si>
    <t>NAVSEA</t>
  </si>
  <si>
    <t>Controls and Automation Engineer</t>
  </si>
  <si>
    <t>Power Systems Manufacturing</t>
  </si>
  <si>
    <t>Aerothermal Engineer</t>
  </si>
  <si>
    <t>Redstone Test Center (RTC)</t>
  </si>
  <si>
    <t>Computer and Electrical Engineering Intern</t>
  </si>
  <si>
    <t>Sargent &amp; Lundy</t>
  </si>
  <si>
    <t>Instrumentations and Controls Engineer</t>
  </si>
  <si>
    <t>Launch Engineer</t>
  </si>
  <si>
    <t>Texas A&amp;M Recreational Sports</t>
  </si>
  <si>
    <t>Aquatic Supervisor</t>
  </si>
  <si>
    <t>The Aerospace Corporation</t>
  </si>
  <si>
    <t>Advanced Concepts Intern</t>
  </si>
  <si>
    <t>Flight Engineer</t>
  </si>
  <si>
    <t>York Space Systems</t>
  </si>
  <si>
    <t>Test Automation &amp; Simulation Engineer</t>
  </si>
  <si>
    <t>Guidance, Navigation, and Control Engineer</t>
  </si>
  <si>
    <t>Payload Integration Manager</t>
  </si>
  <si>
    <t>SimDynamX</t>
  </si>
  <si>
    <t>Lead Software Engineer</t>
  </si>
  <si>
    <t>Texas Meter &amp; Device, LLC</t>
  </si>
  <si>
    <t>Application and Design Engineer</t>
  </si>
  <si>
    <t>Postdoctoral Researcher</t>
  </si>
  <si>
    <t>Adaptive Commisionary Solutions</t>
  </si>
  <si>
    <t>Graduate Structural Engineer</t>
  </si>
  <si>
    <t>Brockette Davis Drake Inc</t>
  </si>
  <si>
    <t>Goodwin-Lasiter-Strong</t>
  </si>
  <si>
    <t>Hart &amp; Gaugher</t>
  </si>
  <si>
    <t>IT</t>
  </si>
  <si>
    <t>Kubala Engineers</t>
  </si>
  <si>
    <t>Structual Engineer</t>
  </si>
  <si>
    <t>LA FUESS</t>
  </si>
  <si>
    <t>M-E Engineers, Inc.</t>
  </si>
  <si>
    <t>Magnusson Klemenic Associates</t>
  </si>
  <si>
    <t>Modeler</t>
  </si>
  <si>
    <t>Northside ISD</t>
  </si>
  <si>
    <t>Teacher</t>
  </si>
  <si>
    <t>Paragon Structural Engineering</t>
  </si>
  <si>
    <t>Seal Building Enclosure</t>
  </si>
  <si>
    <t>WJE</t>
  </si>
  <si>
    <t>Abbott (Legacy St. Jude Medical)</t>
  </si>
  <si>
    <t>Clinical Specialist</t>
  </si>
  <si>
    <t>Bain &amp; Company, Inc.</t>
  </si>
  <si>
    <t>Biosense Webster</t>
  </si>
  <si>
    <t>Associate Clinical Assistant</t>
  </si>
  <si>
    <t>Electrophysiology Products Specialist</t>
  </si>
  <si>
    <t>Endress+Hauser, Inc.</t>
  </si>
  <si>
    <t>Integration Engineer</t>
  </si>
  <si>
    <t>Mayo Clinic</t>
  </si>
  <si>
    <t>Medical Student</t>
  </si>
  <si>
    <t>Medtronic</t>
  </si>
  <si>
    <t>Field Inventory Analyst</t>
  </si>
  <si>
    <t>Oliver Wyman US Life Actuarial</t>
  </si>
  <si>
    <t>Procyrion</t>
  </si>
  <si>
    <t>SLB (Schlumberger)</t>
  </si>
  <si>
    <t>Wireline Engineer</t>
  </si>
  <si>
    <t>US Bank</t>
  </si>
  <si>
    <t>Valor Education</t>
  </si>
  <si>
    <t>Zimmer Biomet</t>
  </si>
  <si>
    <t>Clinical Speciality</t>
  </si>
  <si>
    <t>BioTex Inc.</t>
  </si>
  <si>
    <t>Clinician Specialist</t>
  </si>
  <si>
    <t>Cardinal Health, Inc.</t>
  </si>
  <si>
    <t>Senior Analyst Manufacture Engineer</t>
  </si>
  <si>
    <t>CardioQuip, LLP</t>
  </si>
  <si>
    <t>EPIC</t>
  </si>
  <si>
    <t>Nuceptive Labs, Inc</t>
  </si>
  <si>
    <t>Senior Development Engineer</t>
  </si>
  <si>
    <t>University of Wisconsin</t>
  </si>
  <si>
    <t>Air Products and Chemicals, Inc.</t>
  </si>
  <si>
    <t>Bechtel Corporation</t>
  </si>
  <si>
    <t>British Petroleum (BP) (Qatar)</t>
  </si>
  <si>
    <t>Wellsite Leader</t>
  </si>
  <si>
    <t>Bryan Research and EngineeringTe</t>
  </si>
  <si>
    <t>Chevron Corporation</t>
  </si>
  <si>
    <t>Process Lead</t>
  </si>
  <si>
    <t>Conoco Phillips - Global Water Sustainability Cent</t>
  </si>
  <si>
    <t>Dow</t>
  </si>
  <si>
    <t>Energy Transfer Partners</t>
  </si>
  <si>
    <t>Process / Specialty</t>
  </si>
  <si>
    <t>SCMP</t>
  </si>
  <si>
    <t>Ineos O&amp;G</t>
  </si>
  <si>
    <t>Pipeline Engineeer</t>
  </si>
  <si>
    <t>McDermott Inc.</t>
  </si>
  <si>
    <t>Occidental Chemical</t>
  </si>
  <si>
    <t>Process Engineering Associate</t>
  </si>
  <si>
    <t>Oil and Gas Solutions, LLC</t>
  </si>
  <si>
    <t>Olin Corporation</t>
  </si>
  <si>
    <t>PERC Engineering</t>
  </si>
  <si>
    <t>Safety Analyst</t>
  </si>
  <si>
    <t>Offshore Engineer</t>
  </si>
  <si>
    <t>U. S. Steel Corporation (USS)</t>
  </si>
  <si>
    <t>Engineering Manager Associate</t>
  </si>
  <si>
    <t>USA Compression</t>
  </si>
  <si>
    <t>Williams Advanced Engineering - QSTP-B (Qatar)</t>
  </si>
  <si>
    <t>Brewer Science</t>
  </si>
  <si>
    <t>Senior Engineer / Scientist</t>
  </si>
  <si>
    <t>Intel Corporation</t>
  </si>
  <si>
    <t>Fault Detection and Classification Engineer</t>
  </si>
  <si>
    <t>WuXi Biologics</t>
  </si>
  <si>
    <t>Senior Research Scientist</t>
  </si>
  <si>
    <t>Traffic Analysis</t>
  </si>
  <si>
    <t>Traffic Analyst</t>
  </si>
  <si>
    <t>Project Controls Engineer</t>
  </si>
  <si>
    <t>Construction Management</t>
  </si>
  <si>
    <t>Black and Veatch</t>
  </si>
  <si>
    <t>Burgess &amp; Niple, Inc.</t>
  </si>
  <si>
    <t>Cangan Engineering</t>
  </si>
  <si>
    <t>Carlson, Brigance &amp; Doering, Inc.</t>
  </si>
  <si>
    <t>Construction Specialist</t>
  </si>
  <si>
    <t>City of Waco</t>
  </si>
  <si>
    <t>Cupertino Electric, Inc.</t>
  </si>
  <si>
    <t>Freece and Nichols</t>
  </si>
  <si>
    <t>Freese and Nichols, Inc.</t>
  </si>
  <si>
    <t>Stormwatcher Engineer</t>
  </si>
  <si>
    <t>Staff AES</t>
  </si>
  <si>
    <t>HDR</t>
  </si>
  <si>
    <t>Hensel Phelps Construction Co.</t>
  </si>
  <si>
    <t>Roadway Designer</t>
  </si>
  <si>
    <t>JBI Partners, Inc.</t>
  </si>
  <si>
    <t>Engineering Technician</t>
  </si>
  <si>
    <t>Incoming Civil Analyst</t>
  </si>
  <si>
    <t>Aviation Design Engineer</t>
  </si>
  <si>
    <t>LAN</t>
  </si>
  <si>
    <t>Graduate Land Development Engineer</t>
  </si>
  <si>
    <t>LJA Engineering, INC</t>
  </si>
  <si>
    <t>Engineer Intern</t>
  </si>
  <si>
    <t>Pantex/Y-12 Consolidated Nuclear Security</t>
  </si>
  <si>
    <t>Pinnacle Engineering, Inc.</t>
  </si>
  <si>
    <t>Overhead Transmission Lines Engineer</t>
  </si>
  <si>
    <t>Project Services Engineer</t>
  </si>
  <si>
    <t>Skybeck Construction</t>
  </si>
  <si>
    <t>Southern Glazer's Wine &amp; Spirits</t>
  </si>
  <si>
    <t>Strand Associates, Inc.</t>
  </si>
  <si>
    <t>Transporter Engineering</t>
  </si>
  <si>
    <t>TDi Technologies</t>
  </si>
  <si>
    <t>Dan Williams Company</t>
  </si>
  <si>
    <t>DCI Engineers</t>
  </si>
  <si>
    <t>Gradient Systematics LLC</t>
  </si>
  <si>
    <t>Transportation System Modeler</t>
  </si>
  <si>
    <t>LAN Engineering</t>
  </si>
  <si>
    <t>Moss &amp; Associates</t>
  </si>
  <si>
    <t>Structural Engineering Specialist</t>
  </si>
  <si>
    <t>Associate Researcher</t>
  </si>
  <si>
    <t>Turner Construction Company</t>
  </si>
  <si>
    <t>Staff Geotechnical Engineer</t>
  </si>
  <si>
    <t>Senior Staff Engineer</t>
  </si>
  <si>
    <t>AiFA Labs</t>
  </si>
  <si>
    <t>Cloud Support Engineer</t>
  </si>
  <si>
    <t>Barrios Technology</t>
  </si>
  <si>
    <t>Application Developer</t>
  </si>
  <si>
    <t>Contech Control Services, Inc.</t>
  </si>
  <si>
    <t>Associate Control Systems Engineer</t>
  </si>
  <si>
    <t>Presales Solutions Architect</t>
  </si>
  <si>
    <t>Cyber Analyst</t>
  </si>
  <si>
    <t>Electric Power Design</t>
  </si>
  <si>
    <t>Testing Coordinator</t>
  </si>
  <si>
    <t>Emerson Electrical Co.</t>
  </si>
  <si>
    <t>Ericsson, Inc.</t>
  </si>
  <si>
    <t>Hewlett Packard (HP Inc.)</t>
  </si>
  <si>
    <t>VLSI Design Verification Engineer</t>
  </si>
  <si>
    <t>INTERA Incorporated</t>
  </si>
  <si>
    <t>JEMC</t>
  </si>
  <si>
    <t>Kratos Defense &amp; Security Solutions, Inc.</t>
  </si>
  <si>
    <t>National Organization of Esports</t>
  </si>
  <si>
    <t>Collision and Optimization Engineer</t>
  </si>
  <si>
    <t>SkillStorm</t>
  </si>
  <si>
    <t>Spyderbat</t>
  </si>
  <si>
    <t>Tents and Events</t>
  </si>
  <si>
    <t>Infrastructure Engineer</t>
  </si>
  <si>
    <t>The Johns Hopkins University Applied Physics Labor</t>
  </si>
  <si>
    <t>Volleyboast LLC</t>
  </si>
  <si>
    <t>West Monroe Partners</t>
  </si>
  <si>
    <t>Customer Solutions Consultant</t>
  </si>
  <si>
    <t>World Kinect</t>
  </si>
  <si>
    <t>Systems Cyber Engineer</t>
  </si>
  <si>
    <t>Nvidia Corporation</t>
  </si>
  <si>
    <t>Firmware Engineer</t>
  </si>
  <si>
    <t>Software Applications Developer</t>
  </si>
  <si>
    <t>Component Design Engineer</t>
  </si>
  <si>
    <t>Meta (formerly Facebook)</t>
  </si>
  <si>
    <t>Advanced Micro Devices (AMD)</t>
  </si>
  <si>
    <t>CPU Design Verification Engineer</t>
  </si>
  <si>
    <t>Senior Silicon Design Engineer</t>
  </si>
  <si>
    <t>Systems Design Engineer</t>
  </si>
  <si>
    <t>Associate Design Verification Engineer</t>
  </si>
  <si>
    <t>CPO Implementation Engineer</t>
  </si>
  <si>
    <t>Performance Modeling Engineer</t>
  </si>
  <si>
    <t>Broadcom</t>
  </si>
  <si>
    <t>Silicon Architect</t>
  </si>
  <si>
    <t>CPU Architecture Engineer</t>
  </si>
  <si>
    <t>CPU Performance Architect</t>
  </si>
  <si>
    <t>Memory Design Engineer</t>
  </si>
  <si>
    <t>Latentview Analytics</t>
  </si>
  <si>
    <t>MediaTek Inc.</t>
  </si>
  <si>
    <t>CPU Implementation Engineer</t>
  </si>
  <si>
    <t>MICROCHIP TECHNOLOGY INC</t>
  </si>
  <si>
    <t>Power Architect</t>
  </si>
  <si>
    <t>Semiconductor Safety Engineer</t>
  </si>
  <si>
    <t>Senior Associate Engineer</t>
  </si>
  <si>
    <t>HW PT Engineer</t>
  </si>
  <si>
    <t>Senior Design Verification Engineer</t>
  </si>
  <si>
    <t>Senior Electrical Engineer</t>
  </si>
  <si>
    <t>Synapse Labs</t>
  </si>
  <si>
    <t>TSMC NA</t>
  </si>
  <si>
    <t>Digital Implementation Engineer</t>
  </si>
  <si>
    <t>TSMC Technology Inc.</t>
  </si>
  <si>
    <t>AI Algorithm Engineer</t>
  </si>
  <si>
    <t>Postdoctoral Associate</t>
  </si>
  <si>
    <t>Airforce Tinkor Base</t>
  </si>
  <si>
    <t>Associate Software Developer</t>
  </si>
  <si>
    <t>Asana</t>
  </si>
  <si>
    <t>Atlassican</t>
  </si>
  <si>
    <t>Bain &amp; Co. - Dallas</t>
  </si>
  <si>
    <t>Data Management Analyst</t>
  </si>
  <si>
    <t>Enterprise Technology Engineer</t>
  </si>
  <si>
    <t>IT Security Engineer</t>
  </si>
  <si>
    <t>CIti</t>
  </si>
  <si>
    <t>Citibank</t>
  </si>
  <si>
    <t>Full time Analyst</t>
  </si>
  <si>
    <t>Cybersecurity Analyst</t>
  </si>
  <si>
    <t>Department of Defense (DoD)</t>
  </si>
  <si>
    <t>DoD</t>
  </si>
  <si>
    <t>Federal State Agency</t>
  </si>
  <si>
    <t>Leap Software Engineer</t>
  </si>
  <si>
    <t>AI Automation Engineer</t>
  </si>
  <si>
    <t>Fondo</t>
  </si>
  <si>
    <t>Junior Software Engineer</t>
  </si>
  <si>
    <t>FrogSlayer, LLC</t>
  </si>
  <si>
    <t>Associate Developer</t>
  </si>
  <si>
    <t>GEICO</t>
  </si>
  <si>
    <t>Invesco</t>
  </si>
  <si>
    <t>JPMorgan Chase &amp; Company</t>
  </si>
  <si>
    <t>Pipeline Engineer</t>
  </si>
  <si>
    <t>Lacatt Food Service</t>
  </si>
  <si>
    <t>Lighton</t>
  </si>
  <si>
    <t>Manhattan Life</t>
  </si>
  <si>
    <t>Mastercard</t>
  </si>
  <si>
    <t>Mevek</t>
  </si>
  <si>
    <t>Software Engineeer</t>
  </si>
  <si>
    <t>Digital Network Exploitation Analyst</t>
  </si>
  <si>
    <t>Netflix</t>
  </si>
  <si>
    <t>Network Integration Engineer</t>
  </si>
  <si>
    <t>Nov, Inc.</t>
  </si>
  <si>
    <t>Pathway Software Engineer</t>
  </si>
  <si>
    <t>Oracle</t>
  </si>
  <si>
    <t>PayPal</t>
  </si>
  <si>
    <t>Pinterest</t>
  </si>
  <si>
    <t>RCJ Technology</t>
  </si>
  <si>
    <t>Sabre</t>
  </si>
  <si>
    <t>Salesforce.com</t>
  </si>
  <si>
    <t>SchooLinks, Inc.</t>
  </si>
  <si>
    <t>Sewell Automotive Companies</t>
  </si>
  <si>
    <t>Development Operations Developer</t>
  </si>
  <si>
    <t>Spotify</t>
  </si>
  <si>
    <t>Software Engineering</t>
  </si>
  <si>
    <t>SS&amp;C Intralinks</t>
  </si>
  <si>
    <t>Super Jump Games</t>
  </si>
  <si>
    <t>Gameplay Engineer</t>
  </si>
  <si>
    <t>Department Aid</t>
  </si>
  <si>
    <t>Student Research Assistant</t>
  </si>
  <si>
    <t>The Principal Financial Group</t>
  </si>
  <si>
    <t>Tinker Air Force Base</t>
  </si>
  <si>
    <t>Trend Micro</t>
  </si>
  <si>
    <t>Enterprise Systems Engineer</t>
  </si>
  <si>
    <t>Verizon</t>
  </si>
  <si>
    <t>X-Bow Systems</t>
  </si>
  <si>
    <t>Cybersecurity Specialist</t>
  </si>
  <si>
    <t>Member of Technical Staff</t>
  </si>
  <si>
    <t>Amadeus North America</t>
  </si>
  <si>
    <t>Data Engineering Intern</t>
  </si>
  <si>
    <t>American</t>
  </si>
  <si>
    <t>Athene</t>
  </si>
  <si>
    <t>Software Analyst</t>
  </si>
  <si>
    <t>AI Software Architect</t>
  </si>
  <si>
    <t>Cloud Developer</t>
  </si>
  <si>
    <t>KwickPOS</t>
  </si>
  <si>
    <t>IT Specialist</t>
  </si>
  <si>
    <t>Saber Astronautics</t>
  </si>
  <si>
    <t>Semiconductor Industry</t>
  </si>
  <si>
    <t>Post-Doctoral Associate</t>
  </si>
  <si>
    <t>Volvo</t>
  </si>
  <si>
    <t>Willow Labratories</t>
  </si>
  <si>
    <t>Algorithm Engineer</t>
  </si>
  <si>
    <t>King Saud University</t>
  </si>
  <si>
    <t>University of California San Francisco</t>
  </si>
  <si>
    <t>Geographic Information Systems Specialist</t>
  </si>
  <si>
    <t>Discover</t>
  </si>
  <si>
    <t>Texas A&amp;M University - Technology Services</t>
  </si>
  <si>
    <t>IT Professional</t>
  </si>
  <si>
    <t>Applied Intuition</t>
  </si>
  <si>
    <t>Big Data Energy Services, Inc.</t>
  </si>
  <si>
    <t>Blattner Energy, Inc.</t>
  </si>
  <si>
    <t>BP America Inc.</t>
  </si>
  <si>
    <t>Instrumentations and Control Engineer</t>
  </si>
  <si>
    <t>Bryan Texas Utilities</t>
  </si>
  <si>
    <t>Distribution Planning Engineer</t>
  </si>
  <si>
    <t>Assistant Electrical Engineer</t>
  </si>
  <si>
    <t>Transmission Planning Consultant</t>
  </si>
  <si>
    <t>Cleary Zimmermann Engineers</t>
  </si>
  <si>
    <t>Daskell Corp.</t>
  </si>
  <si>
    <t>Delizio, Peacock, Lewin, &amp; Guerra</t>
  </si>
  <si>
    <t>Patent Engineer</t>
  </si>
  <si>
    <t>DEPCOM Power</t>
  </si>
  <si>
    <t>Enereon</t>
  </si>
  <si>
    <t>Extron</t>
  </si>
  <si>
    <t>Ferguson Consulting</t>
  </si>
  <si>
    <t>Fleur Propulsion</t>
  </si>
  <si>
    <t>Flintrock Builders</t>
  </si>
  <si>
    <t>Electrical Maintenance Engineer</t>
  </si>
  <si>
    <t>LA</t>
  </si>
  <si>
    <t>Lanier &amp; Associates Consulting Engineers</t>
  </si>
  <si>
    <t>Research and Development Electrical Engineer</t>
  </si>
  <si>
    <t>Substation Design</t>
  </si>
  <si>
    <t>McCord Engineering, Inc.</t>
  </si>
  <si>
    <t>Engineer Technician</t>
  </si>
  <si>
    <t>McDonald's Corporation</t>
  </si>
  <si>
    <t>Mesa Technologies</t>
  </si>
  <si>
    <t>Nanoracks - Voyager Space</t>
  </si>
  <si>
    <t>Northrop Grumman</t>
  </si>
  <si>
    <t>nVenue</t>
  </si>
  <si>
    <t>Optical Filter Source</t>
  </si>
  <si>
    <t>Palm Valley Church</t>
  </si>
  <si>
    <t>Central Engineer</t>
  </si>
  <si>
    <t>Core Engineering Associate</t>
  </si>
  <si>
    <t>Samsung</t>
  </si>
  <si>
    <t>Smith Seckman Reid, Inc</t>
  </si>
  <si>
    <t>USFS - Shoshone National Forest</t>
  </si>
  <si>
    <t>Process Control</t>
  </si>
  <si>
    <t>Mixed Signal Verification Engineer</t>
  </si>
  <si>
    <t>ASEC</t>
  </si>
  <si>
    <t>Wind Engineer</t>
  </si>
  <si>
    <t>Electric Power Engineers, Inc</t>
  </si>
  <si>
    <t>Power System Engineer</t>
  </si>
  <si>
    <t>Mixed Signal Design Engineer</t>
  </si>
  <si>
    <t>Physical Design and Timing Engineer</t>
  </si>
  <si>
    <t>Senior Mixed Signal Design Engineer</t>
  </si>
  <si>
    <t>Power Management Integrated Circuit Systems Engine</t>
  </si>
  <si>
    <t>Rochester Electronics</t>
  </si>
  <si>
    <t>Semiconductor Design Engineer</t>
  </si>
  <si>
    <t>Characterization Engineer</t>
  </si>
  <si>
    <t>Senior Technical Staff</t>
  </si>
  <si>
    <t>AMS Designer</t>
  </si>
  <si>
    <t>EEPLUS Inc</t>
  </si>
  <si>
    <t>United Imaging</t>
  </si>
  <si>
    <t>IT Operations</t>
  </si>
  <si>
    <t>Dashjell Corp</t>
  </si>
  <si>
    <t>Associate Broker</t>
  </si>
  <si>
    <t>3H Equine Hospital and Mobile Veterinary Clinic</t>
  </si>
  <si>
    <t>Data Detective</t>
  </si>
  <si>
    <t>Engineering Lifecycle Officer</t>
  </si>
  <si>
    <t>Workday Solution Specialist</t>
  </si>
  <si>
    <t>IKO Southwest</t>
  </si>
  <si>
    <t>Reliability Engineering Intern</t>
  </si>
  <si>
    <t>Water Infrastructure Engineer</t>
  </si>
  <si>
    <t>Air Quality Engineer</t>
  </si>
  <si>
    <t>Frito-Lay, Inc. a division of Pepsico</t>
  </si>
  <si>
    <t>Supply Chain Engineer Lead</t>
  </si>
  <si>
    <t>Public Works Engineer</t>
  </si>
  <si>
    <t>Hydrology and Hydraulics Engineer</t>
  </si>
  <si>
    <t>Staff Design Engineer</t>
  </si>
  <si>
    <t>Environmental Engineering Consultant</t>
  </si>
  <si>
    <t>Management Development</t>
  </si>
  <si>
    <t>Trainee</t>
  </si>
  <si>
    <t>Acme Construction Supply</t>
  </si>
  <si>
    <t>Arch-Con Corporation</t>
  </si>
  <si>
    <t>BEU &amp; MCCOY</t>
  </si>
  <si>
    <t>CAROLINA HANDLING</t>
  </si>
  <si>
    <t>Cemex</t>
  </si>
  <si>
    <t>Talent Development Programs</t>
  </si>
  <si>
    <t>Champion Insulation</t>
  </si>
  <si>
    <t>Citgo Petroleum</t>
  </si>
  <si>
    <t>Consolidated Electrical Distributors, Inc. (CED)</t>
  </si>
  <si>
    <t>Crawford &amp; Company</t>
  </si>
  <si>
    <t>Currey Creek Church</t>
  </si>
  <si>
    <t>Pastor</t>
  </si>
  <si>
    <t>Daikin</t>
  </si>
  <si>
    <t>Elite Curb and Concrete</t>
  </si>
  <si>
    <t>Digital Supply Chain</t>
  </si>
  <si>
    <t>GE Transportation - a Wabtec Company</t>
  </si>
  <si>
    <t>Operations</t>
  </si>
  <si>
    <t>Grainger</t>
  </si>
  <si>
    <t>Graphic Solutions Group, Inc.</t>
  </si>
  <si>
    <t>H02HO Productions LLC</t>
  </si>
  <si>
    <t>Hoover Circular Solutions</t>
  </si>
  <si>
    <t>Hydraquip Distribution</t>
  </si>
  <si>
    <t>Hydroguys</t>
  </si>
  <si>
    <t>Associate Sales Engineer</t>
  </si>
  <si>
    <t>Johnstone Supply</t>
  </si>
  <si>
    <t>Pricing Associate</t>
  </si>
  <si>
    <t>Kforce Technology</t>
  </si>
  <si>
    <t>Kobelec Construction Machinery</t>
  </si>
  <si>
    <t>Kobello Construction Machinery USA</t>
  </si>
  <si>
    <t>National Sales Representative</t>
  </si>
  <si>
    <t>Proposal Analyst</t>
  </si>
  <si>
    <t>Mason Architects</t>
  </si>
  <si>
    <t>memoryBlue</t>
  </si>
  <si>
    <t>Mondelez International</t>
  </si>
  <si>
    <t>MongoDB</t>
  </si>
  <si>
    <t>Account Representative</t>
  </si>
  <si>
    <t>Inside Sales</t>
  </si>
  <si>
    <t>Musco Lighting</t>
  </si>
  <si>
    <t>Regional Sales Associate</t>
  </si>
  <si>
    <t>Transportation Purchasing Manager</t>
  </si>
  <si>
    <t>Phillips 66</t>
  </si>
  <si>
    <t>Principle Auto</t>
  </si>
  <si>
    <t>Priority Roofing</t>
  </si>
  <si>
    <t>PwC</t>
  </si>
  <si>
    <t>Ram Alloys</t>
  </si>
  <si>
    <t>Reece Group</t>
  </si>
  <si>
    <t>SMR Gulf Coast, Inc</t>
  </si>
  <si>
    <t>Source Blue</t>
  </si>
  <si>
    <t>Southwestern Advantage</t>
  </si>
  <si>
    <t>Sales Manager</t>
  </si>
  <si>
    <t>SRS Distribution Inc.</t>
  </si>
  <si>
    <t>Standard Supply &amp; Distributing</t>
  </si>
  <si>
    <t>Stuart Hose &amp; Pipe Company</t>
  </si>
  <si>
    <t>Swagelok Southeast Texas</t>
  </si>
  <si>
    <t>Techline</t>
  </si>
  <si>
    <t>TECP</t>
  </si>
  <si>
    <t>Texas Air Systems - HVAC</t>
  </si>
  <si>
    <t>Texas Pipe &amp; Supply</t>
  </si>
  <si>
    <t>Texas State Equipment</t>
  </si>
  <si>
    <t>TQL Packaging Solutions</t>
  </si>
  <si>
    <t>Trane</t>
  </si>
  <si>
    <t>TTI, Inc.</t>
  </si>
  <si>
    <t>United States Government Accountability Office</t>
  </si>
  <si>
    <t>WESCO</t>
  </si>
  <si>
    <t>Xylem Analytics</t>
  </si>
  <si>
    <t>Albuquerque Pipe and Pump Supply</t>
  </si>
  <si>
    <t>Regional General Manager</t>
  </si>
  <si>
    <t>Aldine ISD</t>
  </si>
  <si>
    <t>Inventory Control Planner</t>
  </si>
  <si>
    <t>B.L. Harbert International</t>
  </si>
  <si>
    <t>Assistant Construction Manager</t>
  </si>
  <si>
    <t>BDT</t>
  </si>
  <si>
    <t>Regional Manager</t>
  </si>
  <si>
    <t>Carrier</t>
  </si>
  <si>
    <t>Deepsea Technologies Inc.</t>
  </si>
  <si>
    <t>Facilities Manager</t>
  </si>
  <si>
    <t>Defense Health Agency</t>
  </si>
  <si>
    <t>Health Facilities Project Manager</t>
  </si>
  <si>
    <t>Logistics Manager</t>
  </si>
  <si>
    <t>Groves Industrial Supply Corp.</t>
  </si>
  <si>
    <t>Account Executive</t>
  </si>
  <si>
    <t>Hussmann Performance Parts</t>
  </si>
  <si>
    <t>Commercial Leader</t>
  </si>
  <si>
    <t>J.B. Hunt Transport</t>
  </si>
  <si>
    <t>Operation Manager</t>
  </si>
  <si>
    <t>RK Supply</t>
  </si>
  <si>
    <t>EVP Engineering &amp; Supply Chain</t>
  </si>
  <si>
    <t>Standard Utility Construction</t>
  </si>
  <si>
    <t>CFO</t>
  </si>
  <si>
    <t>Texas Groundworks Management, Inc.</t>
  </si>
  <si>
    <t>Inventory Analyst</t>
  </si>
  <si>
    <t>Trade Analyst</t>
  </si>
  <si>
    <t>Union Pacific Railroad</t>
  </si>
  <si>
    <t>Senior Manager Train Operations</t>
  </si>
  <si>
    <t>WinCo Foods</t>
  </si>
  <si>
    <t>Insdustrial Engineer</t>
  </si>
  <si>
    <t>American Bureau of Shipping (ABS)</t>
  </si>
  <si>
    <t>Baker Botts L.L.P. (Firmwide)</t>
  </si>
  <si>
    <t>Associate Attorney</t>
  </si>
  <si>
    <t>Balfour Beatty Construction</t>
  </si>
  <si>
    <t>Operations Research Managment Trainee</t>
  </si>
  <si>
    <t>Leadership and Technical Development Program</t>
  </si>
  <si>
    <t>Supply Chain Development Associate</t>
  </si>
  <si>
    <t>Supply Chain Rotational Program Engineer</t>
  </si>
  <si>
    <t>Daikin Comfort</t>
  </si>
  <si>
    <t>Consulting Analyst</t>
  </si>
  <si>
    <t>Dessert Holdings</t>
  </si>
  <si>
    <t>E3DC</t>
  </si>
  <si>
    <t>Contracts Lead</t>
  </si>
  <si>
    <t>Engineering Project Manager</t>
  </si>
  <si>
    <t>Supply Chain Rotational</t>
  </si>
  <si>
    <t>Supply Chain Manager</t>
  </si>
  <si>
    <t>Warehouse Team Lead</t>
  </si>
  <si>
    <t>ICU Medical, Inc.</t>
  </si>
  <si>
    <t>Field Sales Support Systems Engineer</t>
  </si>
  <si>
    <t>Manufacturing Planner</t>
  </si>
  <si>
    <t>Logisnext</t>
  </si>
  <si>
    <t>MCGILL INDUSTRIES</t>
  </si>
  <si>
    <t>SUPPLY CHAIN MANAGER</t>
  </si>
  <si>
    <t>Operations Management Development Program</t>
  </si>
  <si>
    <t>Niagara</t>
  </si>
  <si>
    <t>Northop Grumman</t>
  </si>
  <si>
    <t>Riot Blockchain Inc.</t>
  </si>
  <si>
    <t>Schunk Xycarb Technology</t>
  </si>
  <si>
    <t>Sturgeon Electric</t>
  </si>
  <si>
    <t>Analytics</t>
  </si>
  <si>
    <t>Engineering Assistant</t>
  </si>
  <si>
    <t>Business and Operations Development Program</t>
  </si>
  <si>
    <t>Business and Operations Rotation Program</t>
  </si>
  <si>
    <t>Associate Manufacturing Engineer</t>
  </si>
  <si>
    <t>The Reynolds and Reynolds Company</t>
  </si>
  <si>
    <t>Trimasys Control Solutions</t>
  </si>
  <si>
    <t>Veeva Systems</t>
  </si>
  <si>
    <t>Veolia North America</t>
  </si>
  <si>
    <t>Process Coordinator</t>
  </si>
  <si>
    <t>W. S. Bellows Construction Corporation</t>
  </si>
  <si>
    <t>West Fraser Inc</t>
  </si>
  <si>
    <t>Energy Engineer</t>
  </si>
  <si>
    <t>Wilsonart</t>
  </si>
  <si>
    <t>Manufacturing Process Engineer</t>
  </si>
  <si>
    <t>Alpine- ITW company</t>
  </si>
  <si>
    <t>Avodah</t>
  </si>
  <si>
    <t>Canadian Solar</t>
  </si>
  <si>
    <t>CSAT</t>
  </si>
  <si>
    <t>Eberhard Manufacturing Company</t>
  </si>
  <si>
    <t>Entegrins</t>
  </si>
  <si>
    <t>MES Specialist</t>
  </si>
  <si>
    <t>FedEx Ground</t>
  </si>
  <si>
    <t>Operations Research Scientist</t>
  </si>
  <si>
    <t>Global Lending Services</t>
  </si>
  <si>
    <t>GLOBALFOUNDRIES</t>
  </si>
  <si>
    <t>Production Control Engineer</t>
  </si>
  <si>
    <t>Program Specialist</t>
  </si>
  <si>
    <t>Lenovo</t>
  </si>
  <si>
    <t>Quality Intern</t>
  </si>
  <si>
    <t>Engineering Team Lead</t>
  </si>
  <si>
    <t>Mattel Inc</t>
  </si>
  <si>
    <t>Continuous Process Improvement Associate</t>
  </si>
  <si>
    <t>Business Solution Analyst</t>
  </si>
  <si>
    <t>industrial engineer</t>
  </si>
  <si>
    <t>Phasor Health LLC</t>
  </si>
  <si>
    <t>Philips</t>
  </si>
  <si>
    <t>Supplier Quality Engineer</t>
  </si>
  <si>
    <t>Productspace Solutions Inc.</t>
  </si>
  <si>
    <t>Stryten Energy</t>
  </si>
  <si>
    <t>Global Supply Manager</t>
  </si>
  <si>
    <t>Supplier Industrialization Engineer</t>
  </si>
  <si>
    <t>Graduate Research Assistant</t>
  </si>
  <si>
    <t>Viva Railings</t>
  </si>
  <si>
    <t>Operations Analyst</t>
  </si>
  <si>
    <t>Air Force Research Laboratory</t>
  </si>
  <si>
    <t>Ford Motor Company</t>
  </si>
  <si>
    <t>GE aerospace research</t>
  </si>
  <si>
    <t>iCue Motion</t>
  </si>
  <si>
    <t>Optym</t>
  </si>
  <si>
    <t>Senior Operations Research Scientist</t>
  </si>
  <si>
    <t>Purdue University</t>
  </si>
  <si>
    <t>New Product Engineer</t>
  </si>
  <si>
    <t>Blast Effects Engineer</t>
  </si>
  <si>
    <t>BRR PLUS, PRATT INDUSTRIES</t>
  </si>
  <si>
    <t>Plumbing Engineer</t>
  </si>
  <si>
    <t>CMC - Commercial Metals</t>
  </si>
  <si>
    <t>Reliability Specialist</t>
  </si>
  <si>
    <t>Cummins, Inc.</t>
  </si>
  <si>
    <t>Liberty Oilfield Services</t>
  </si>
  <si>
    <t>Limco Aero</t>
  </si>
  <si>
    <t>LS Harris Technologies</t>
  </si>
  <si>
    <t>Technical Representative</t>
  </si>
  <si>
    <t>Sumitomo Machinery Corporation of America</t>
  </si>
  <si>
    <t>Aftermarket Design Engineer</t>
  </si>
  <si>
    <t>Summit Casing Equipment</t>
  </si>
  <si>
    <t>Takamatsu Machinery USA</t>
  </si>
  <si>
    <t>THE BORING COMPANY</t>
  </si>
  <si>
    <t>INTEGRATION ENGINEER</t>
  </si>
  <si>
    <t>Design Build Engineer</t>
  </si>
  <si>
    <t>URENCO USA</t>
  </si>
  <si>
    <t>2nd LT</t>
  </si>
  <si>
    <t>Weather Shield</t>
  </si>
  <si>
    <t>Enrichment Technology Company (ETC)</t>
  </si>
  <si>
    <t>Commissioning Specialist</t>
  </si>
  <si>
    <t>Leadership Development Engineer</t>
  </si>
  <si>
    <t>FWave, LLC</t>
  </si>
  <si>
    <t>Extrusion Engineer</t>
  </si>
  <si>
    <t>Laboratory Engineer</t>
  </si>
  <si>
    <t>Hanwha Q Cells EPC USA LLC</t>
  </si>
  <si>
    <t>International Aviation Composites (IAC)</t>
  </si>
  <si>
    <t>Repair Engineer</t>
  </si>
  <si>
    <t>Nucor Steel</t>
  </si>
  <si>
    <t>Melt / Cast Metallergist</t>
  </si>
  <si>
    <t>R.T. MOORE</t>
  </si>
  <si>
    <t>Materials and Process Engineer</t>
  </si>
  <si>
    <t>RxSight</t>
  </si>
  <si>
    <t>Research and Development Chemist</t>
  </si>
  <si>
    <t>SO &amp; J</t>
  </si>
  <si>
    <t>Superior Silica Sand</t>
  </si>
  <si>
    <t>The Timber Company</t>
  </si>
  <si>
    <t>Thomas Instrument Inc.</t>
  </si>
  <si>
    <t>General Electric</t>
  </si>
  <si>
    <t>Module Integration Engineer</t>
  </si>
  <si>
    <t>Project Integration Engineer</t>
  </si>
  <si>
    <t>Massachusetts Institute of Technology</t>
  </si>
  <si>
    <t>Senior Research and Development Engineer</t>
  </si>
  <si>
    <t>Packaging Engineer</t>
  </si>
  <si>
    <t>Subsea Pipeline Engineer</t>
  </si>
  <si>
    <t>Allex Program Rotation</t>
  </si>
  <si>
    <t>ATSER</t>
  </si>
  <si>
    <t>Solutions Engineer</t>
  </si>
  <si>
    <t>Graduate Mechanical Engineer</t>
  </si>
  <si>
    <t>Structural Test Lab Engineer</t>
  </si>
  <si>
    <t>Bell Helicopter,Textron Inc.</t>
  </si>
  <si>
    <t>Drive Systems Engineer</t>
  </si>
  <si>
    <t>Boston Consulting Group (BCG)</t>
  </si>
  <si>
    <t>Sales Rotational Engineer</t>
  </si>
  <si>
    <t>Applications  Engineer</t>
  </si>
  <si>
    <t>Functional Consultant</t>
  </si>
  <si>
    <t>CaptiveAire, Inc.</t>
  </si>
  <si>
    <t>West Coast Rotational Engineer</t>
  </si>
  <si>
    <t>Gas Engineer</t>
  </si>
  <si>
    <t>Cherne</t>
  </si>
  <si>
    <t>Machinery Engineer</t>
  </si>
  <si>
    <t>Field Support Engineer</t>
  </si>
  <si>
    <t>DOW CHEMICAL</t>
  </si>
  <si>
    <t>MAINTENANCE ENGINEER</t>
  </si>
  <si>
    <t>Drilling Tools International</t>
  </si>
  <si>
    <t>Edwards Air Force Base</t>
  </si>
  <si>
    <t>Facility Planning &amp; Systems Analysis Engineer</t>
  </si>
  <si>
    <t>Contact Engineer</t>
  </si>
  <si>
    <t>Upstream Business Analyst</t>
  </si>
  <si>
    <t>EXXONMOBIL</t>
  </si>
  <si>
    <t>ROTATING MACHNERY ENGINEER</t>
  </si>
  <si>
    <t>Global Trading Analyst</t>
  </si>
  <si>
    <t>Associate Design Engineer</t>
  </si>
  <si>
    <t>Associate Piping Design Engineer</t>
  </si>
  <si>
    <t>Global Water Group, Inc.</t>
  </si>
  <si>
    <t>LIFT Engineer</t>
  </si>
  <si>
    <t>Holcim (Texas) LP</t>
  </si>
  <si>
    <t>Iron Horse Builder</t>
  </si>
  <si>
    <t>Ironwood Midstream</t>
  </si>
  <si>
    <t>Energy and Power Engineer</t>
  </si>
  <si>
    <t>James F. Turner Engineers</t>
  </si>
  <si>
    <t>Corporate Client Banking Energy</t>
  </si>
  <si>
    <t>Kent Corporation</t>
  </si>
  <si>
    <t>Mechanical Engineering Analyst</t>
  </si>
  <si>
    <t>MEP Analyst</t>
  </si>
  <si>
    <t>Pipe Engineering</t>
  </si>
  <si>
    <t>Rail Systems Engineer</t>
  </si>
  <si>
    <t>Tool Design Engineer</t>
  </si>
  <si>
    <t>Cathodic Protection Engineer</t>
  </si>
  <si>
    <t>MAMMRET</t>
  </si>
  <si>
    <t>Refining Engineer</t>
  </si>
  <si>
    <t>MEZA Engineering</t>
  </si>
  <si>
    <t>Mechanical engineer</t>
  </si>
  <si>
    <t>Mortenson</t>
  </si>
  <si>
    <t>Nalco Water, An Ecolab Company</t>
  </si>
  <si>
    <t>Technical Sales Representative</t>
  </si>
  <si>
    <t>Program Engineer</t>
  </si>
  <si>
    <t>O'Connell Robertson</t>
  </si>
  <si>
    <t>MEP Designer</t>
  </si>
  <si>
    <t>Upstream Consultant</t>
  </si>
  <si>
    <t>Drilling &amp; Completions Engineer</t>
  </si>
  <si>
    <t>ADP Program</t>
  </si>
  <si>
    <t>Drilling Optimization Engineer</t>
  </si>
  <si>
    <t>Pump Studios</t>
  </si>
  <si>
    <t>Product Design Engineer</t>
  </si>
  <si>
    <t>Recaro Aircraft Seating</t>
  </si>
  <si>
    <t>Certification Engineer</t>
  </si>
  <si>
    <t>Root Engineering Services</t>
  </si>
  <si>
    <t>Scout Surface Solutions</t>
  </si>
  <si>
    <t>Global Rotational Development Program</t>
  </si>
  <si>
    <t>Field Science Engineer</t>
  </si>
  <si>
    <t>Test Development Engineer</t>
  </si>
  <si>
    <t>Tex-Mex LLC</t>
  </si>
  <si>
    <t>Property Manager</t>
  </si>
  <si>
    <t>Toyota Motor Engineering &amp; Manufacturing North Ame</t>
  </si>
  <si>
    <t>Trimeric Corporation</t>
  </si>
  <si>
    <t>RDE Intern</t>
  </si>
  <si>
    <t>Instrumental Engineer</t>
  </si>
  <si>
    <t>Intrumentation Engineer</t>
  </si>
  <si>
    <t>Affiliated Engineers</t>
  </si>
  <si>
    <t>Energy Modeling Associate</t>
  </si>
  <si>
    <t>Audubon</t>
  </si>
  <si>
    <t>Bunge</t>
  </si>
  <si>
    <t>Engineering Operations Trainee</t>
  </si>
  <si>
    <t>Dassault Systemes</t>
  </si>
  <si>
    <t>User Success Engineering Manager</t>
  </si>
  <si>
    <t>Edumac</t>
  </si>
  <si>
    <t>Commissioning Agent</t>
  </si>
  <si>
    <t>Entyre International</t>
  </si>
  <si>
    <t>Module Engineer (LTD)</t>
  </si>
  <si>
    <t>ISMC</t>
  </si>
  <si>
    <t>KCC Companies</t>
  </si>
  <si>
    <t>KCC Manufacturing</t>
  </si>
  <si>
    <t>KULR Technology</t>
  </si>
  <si>
    <t>Senior Electromechanical Engineer</t>
  </si>
  <si>
    <t>NAVSEA, Naval Surface Warfare Center, Dahlgren Div</t>
  </si>
  <si>
    <t>Electro-Optical Packaging Engineer</t>
  </si>
  <si>
    <t>Pathway Engineer</t>
  </si>
  <si>
    <t>SharkNinja</t>
  </si>
  <si>
    <t>TE Connectivity</t>
  </si>
  <si>
    <t>Loads and Dynamics Engineer</t>
  </si>
  <si>
    <t>US Army Space &amp; Missile Defense Command</t>
  </si>
  <si>
    <t>VenoStent, Inc.</t>
  </si>
  <si>
    <t>Customer Account Technoligist</t>
  </si>
  <si>
    <t>LG Electronics</t>
  </si>
  <si>
    <t>NewMarket Services/Afton Chemical Corporation</t>
  </si>
  <si>
    <t>Nextracker, Inc</t>
  </si>
  <si>
    <t>Frontier Electronic Systems</t>
  </si>
  <si>
    <t>GE Aerospace &amp; Tata Technologies</t>
  </si>
  <si>
    <t>Project Specialist</t>
  </si>
  <si>
    <t>Magna Automotive</t>
  </si>
  <si>
    <t>Mueller Water Products</t>
  </si>
  <si>
    <t>Palo Alto Networks</t>
  </si>
  <si>
    <t>Starfish Space</t>
  </si>
  <si>
    <t>Radiological and Health Physics Engineer</t>
  </si>
  <si>
    <t>Building Works Int</t>
  </si>
  <si>
    <t>BWX Technologies Inc</t>
  </si>
  <si>
    <t>Core Design Engineer</t>
  </si>
  <si>
    <t>Health Physics Field Coordinator</t>
  </si>
  <si>
    <t>Nuclear Technician</t>
  </si>
  <si>
    <t>Paragon Energy Solutions</t>
  </si>
  <si>
    <t>Critical Safety Engineer</t>
  </si>
  <si>
    <t>SRMC</t>
  </si>
  <si>
    <t>Texas A&amp;M University - EHS Rad Safety</t>
  </si>
  <si>
    <t>Contamination Survey Technician</t>
  </si>
  <si>
    <t>Submariner</t>
  </si>
  <si>
    <t>Westinghouse Nuclear</t>
  </si>
  <si>
    <t>Nuclear Operations Engineer</t>
  </si>
  <si>
    <t>Battelle Energy Alliance</t>
  </si>
  <si>
    <t>Multiphysics Recorder</t>
  </si>
  <si>
    <t>Nuclear Core Design Safety Analysis Engineer</t>
  </si>
  <si>
    <t>Jordan Atomic Energy Commission</t>
  </si>
  <si>
    <t>Offshore Structural Engineer</t>
  </si>
  <si>
    <t>Private Development Inspector</t>
  </si>
  <si>
    <t>Metal Shark Boats</t>
  </si>
  <si>
    <t>Naval Surface Warfare Command</t>
  </si>
  <si>
    <t>Weapons Research and Development Engineer</t>
  </si>
  <si>
    <t>Seadrill</t>
  </si>
  <si>
    <t>Risk Analyst</t>
  </si>
  <si>
    <t>Lead Field Engineer</t>
  </si>
  <si>
    <t>Blade Energy Partners</t>
  </si>
  <si>
    <t>BPX Energy</t>
  </si>
  <si>
    <t>Nexteer Automotive</t>
  </si>
  <si>
    <t>NexTier</t>
  </si>
  <si>
    <t>OEDP Production Engineer</t>
  </si>
  <si>
    <t>Pioneer Natural Resources</t>
  </si>
  <si>
    <t>Reservoir Management Dept.</t>
  </si>
  <si>
    <t>TPH &amp; Co</t>
  </si>
  <si>
    <t>Petroleum Engineering Investment Banking Analyst</t>
  </si>
  <si>
    <t>Tudor Pickering Holt &amp; Company</t>
  </si>
  <si>
    <t>Investment Banking Analyst</t>
  </si>
  <si>
    <t>Vital Energy Inc</t>
  </si>
  <si>
    <t>DEKRA North America</t>
  </si>
  <si>
    <t>Dekra North America</t>
  </si>
  <si>
    <t>Associate Process Safety Engineer</t>
  </si>
  <si>
    <t>Korea Gas Corporation</t>
  </si>
  <si>
    <t>Fire and Safety Engineer</t>
  </si>
  <si>
    <t>Wolters Kluwer</t>
  </si>
  <si>
    <t>Programs and Project Manager</t>
  </si>
  <si>
    <t>Engineering Supervisor</t>
  </si>
  <si>
    <t>Canrig Drilling Technology Ltd.</t>
  </si>
  <si>
    <t>Senior Engineering Manager</t>
  </si>
  <si>
    <t>Ecoat.US</t>
  </si>
  <si>
    <t>Technical Services Manager</t>
  </si>
  <si>
    <t>Global Product Manager</t>
  </si>
  <si>
    <t>Electrical Engineer Lead</t>
  </si>
  <si>
    <t>Senior Design Engineer</t>
  </si>
  <si>
    <t>Deputy Project Director</t>
  </si>
  <si>
    <t>Division Leader</t>
  </si>
  <si>
    <t>Group Leader Furniture &amp; Interior Design</t>
  </si>
  <si>
    <t>Nuclear Facility Manager</t>
  </si>
  <si>
    <t>Operations Director</t>
  </si>
  <si>
    <t>Planner</t>
  </si>
  <si>
    <t>Production Liaison</t>
  </si>
  <si>
    <t>Solutions Architect</t>
  </si>
  <si>
    <t>Technical Project Manager</t>
  </si>
  <si>
    <t>Principal Software Engineer</t>
  </si>
  <si>
    <t>Senior Principal Infrastructure Architect</t>
  </si>
  <si>
    <t>Solventum</t>
  </si>
  <si>
    <t>Product Engineering Specialist</t>
  </si>
  <si>
    <t>First Officer (Pilot)</t>
  </si>
  <si>
    <t>Automation Engineer Lead</t>
  </si>
  <si>
    <t>Advent GX</t>
  </si>
  <si>
    <t>Fort Bend County EMS</t>
  </si>
  <si>
    <t>Paramedic</t>
  </si>
  <si>
    <t>IMPRES Technology Solutions Inc.</t>
  </si>
  <si>
    <t>Micro Center</t>
  </si>
  <si>
    <t>IT Support and Hardware Tech</t>
  </si>
  <si>
    <t>Omega Industries</t>
  </si>
  <si>
    <t>Penetration Tester</t>
  </si>
  <si>
    <t>Operational Sustainability LLC</t>
  </si>
  <si>
    <t>Product Support Analyst</t>
  </si>
  <si>
    <t>IT Generalist</t>
  </si>
  <si>
    <t>Systems Administrator</t>
  </si>
  <si>
    <t>Truso Engineering</t>
  </si>
  <si>
    <t>Advanced Technologies &amp; Research Corp.</t>
  </si>
  <si>
    <t>Jr. Mechanical Engineer, Wind Tunnel</t>
  </si>
  <si>
    <t>Test Operations Engineer</t>
  </si>
  <si>
    <t>Systems Test Engineer</t>
  </si>
  <si>
    <t>Engineer In Training  - Structures</t>
  </si>
  <si>
    <t>Hanwha Corporation</t>
  </si>
  <si>
    <t>ECLSS Engineer</t>
  </si>
  <si>
    <t>F-35 Flight Test Engineer</t>
  </si>
  <si>
    <t>Vivint</t>
  </si>
  <si>
    <t>Axiom Space, Inc.</t>
  </si>
  <si>
    <t>Systems Engineer II</t>
  </si>
  <si>
    <t>Flight Sciences Engineer</t>
  </si>
  <si>
    <t>GNL Systems Engineer</t>
  </si>
  <si>
    <t>System Engineer II</t>
  </si>
  <si>
    <t>Palski &amp; Associates</t>
  </si>
  <si>
    <t>Textron Aviation</t>
  </si>
  <si>
    <t>Test &amp; Evaluation Engineer</t>
  </si>
  <si>
    <t>US Intelligence Community</t>
  </si>
  <si>
    <t>General Engineer</t>
  </si>
  <si>
    <t>George H. W. Bush Combat Development Complex</t>
  </si>
  <si>
    <t>Post Doctoral Fellow</t>
  </si>
  <si>
    <t>Sigma Connectivity</t>
  </si>
  <si>
    <t>Post Doctoral Research</t>
  </si>
  <si>
    <t>EEA Consulting Engineers</t>
  </si>
  <si>
    <t>Swinerton Builders</t>
  </si>
  <si>
    <t>Urban Structure, LLC</t>
  </si>
  <si>
    <t>Abbott Laboratories</t>
  </si>
  <si>
    <t>Regulatory Affairs Specialist</t>
  </si>
  <si>
    <t>Contoro Robotics</t>
  </si>
  <si>
    <t>LONZA</t>
  </si>
  <si>
    <t>Core Technician</t>
  </si>
  <si>
    <t>Merck &amp; Co. Inc.</t>
  </si>
  <si>
    <t>Early Talent Rotational Global Procurement</t>
  </si>
  <si>
    <t>Product Market Engineer</t>
  </si>
  <si>
    <t>Abbott Medical</t>
  </si>
  <si>
    <t>Associate Clinical Specialist</t>
  </si>
  <si>
    <t>Stryker</t>
  </si>
  <si>
    <t>Post Market Quality Engineer</t>
  </si>
  <si>
    <t>Matica Biotechnology</t>
  </si>
  <si>
    <t>Scientist I</t>
  </si>
  <si>
    <t>Accenture LLP</t>
  </si>
  <si>
    <t>Process &amp; Systems Associate Engineer</t>
  </si>
  <si>
    <t>Chemical Engineer I</t>
  </si>
  <si>
    <t>Manufacturing Engineer I</t>
  </si>
  <si>
    <t>BCCK</t>
  </si>
  <si>
    <t>Assistant Chemical Engineer</t>
  </si>
  <si>
    <t>Carpenter Co</t>
  </si>
  <si>
    <t>Power Line Management Trainee</t>
  </si>
  <si>
    <t>Doris Inc. USA</t>
  </si>
  <si>
    <t>Core Plant Engineer</t>
  </si>
  <si>
    <t>Engineering Rotation Development Program Field Eng</t>
  </si>
  <si>
    <t>Missionary</t>
  </si>
  <si>
    <t>Process Engineer II</t>
  </si>
  <si>
    <t>Downstream Account Representative II</t>
  </si>
  <si>
    <t>INEOS Styrolution</t>
  </si>
  <si>
    <t>Process Safety Rotational Engineer</t>
  </si>
  <si>
    <t>Niagra Bottling</t>
  </si>
  <si>
    <t>Occidental Petroleum (OXY)</t>
  </si>
  <si>
    <t>Analytics &amp; Insights Manager</t>
  </si>
  <si>
    <t>SOIENIS</t>
  </si>
  <si>
    <t>Technical Sales Rotational Engineer</t>
  </si>
  <si>
    <t>Fuels &amp; Lubricants Application Engineer</t>
  </si>
  <si>
    <t>Associate Chemical Engineer</t>
  </si>
  <si>
    <t>Graduate Process Engineer</t>
  </si>
  <si>
    <t>Technical Safety Engineering Technical Professiona</t>
  </si>
  <si>
    <t>Massachusetts Institute of Technology (MIT)</t>
  </si>
  <si>
    <t>Civil Engineer I</t>
  </si>
  <si>
    <t>Agcirre &amp; Fields</t>
  </si>
  <si>
    <t>Atkins</t>
  </si>
  <si>
    <t>Program Management Analyst</t>
  </si>
  <si>
    <t>Assistant Overhead Transmission Engineer</t>
  </si>
  <si>
    <t>CobbFendley</t>
  </si>
  <si>
    <t>Transmission Engineer</t>
  </si>
  <si>
    <t>Highway Engineer</t>
  </si>
  <si>
    <t>Civil Engineer Analyst</t>
  </si>
  <si>
    <t>Project Controls Engineer I</t>
  </si>
  <si>
    <t>McClure &amp; Browne Engineering/Surveying, Inc.</t>
  </si>
  <si>
    <t>Moody Engineering, Inc.</t>
  </si>
  <si>
    <t>Engineering Assistant II</t>
  </si>
  <si>
    <t>Torres &amp; Associates, LLC</t>
  </si>
  <si>
    <t>Engineer II</t>
  </si>
  <si>
    <t>Traylor Bros</t>
  </si>
  <si>
    <t>Bridge Engineer in Training</t>
  </si>
  <si>
    <t>AG&amp;E Structural Engenuity</t>
  </si>
  <si>
    <t>C&amp;M Associates</t>
  </si>
  <si>
    <t>Associate Transportation System Modeler</t>
  </si>
  <si>
    <t>C&amp;M Association</t>
  </si>
  <si>
    <t>Transportation Modeler</t>
  </si>
  <si>
    <t>Datum Rios, LLC</t>
  </si>
  <si>
    <t>Dudley Engineering</t>
  </si>
  <si>
    <t>EDGE Engineering, PLLC</t>
  </si>
  <si>
    <t>Bridge Coordinator</t>
  </si>
  <si>
    <t>Bridge Engineer In Training</t>
  </si>
  <si>
    <t>Traffic Coordinator</t>
  </si>
  <si>
    <t>Traffic EIT</t>
  </si>
  <si>
    <t>Civil Engineer in Training</t>
  </si>
  <si>
    <t>Engineer In Training - Bridge Design</t>
  </si>
  <si>
    <t>L.A. Fuess Partners</t>
  </si>
  <si>
    <t>MBC Management</t>
  </si>
  <si>
    <t>Graduate Structural Designer</t>
  </si>
  <si>
    <t>Pivot Engineers</t>
  </si>
  <si>
    <t>Thornton Tomasetti, Inc.</t>
  </si>
  <si>
    <t>Thorton Tomusetti</t>
  </si>
  <si>
    <t>Walt Disney Imagineering</t>
  </si>
  <si>
    <t>Walter P Moore</t>
  </si>
  <si>
    <t>Assistant Consultant</t>
  </si>
  <si>
    <t>Assistant Traffic Engineer</t>
  </si>
  <si>
    <t>AC Future</t>
  </si>
  <si>
    <t>Eibn CQ</t>
  </si>
  <si>
    <t>Geosyntec Consultants</t>
  </si>
  <si>
    <t>Sales Staff Professional</t>
  </si>
  <si>
    <t>Track Software Engineer</t>
  </si>
  <si>
    <t>Reynolds &amp; Reynolds</t>
  </si>
  <si>
    <t>Entry Level software engineer</t>
  </si>
  <si>
    <t>Software Development Engineer I</t>
  </si>
  <si>
    <t>Software Associate</t>
  </si>
  <si>
    <t>Dexcom</t>
  </si>
  <si>
    <t>Technology Services, IT Professional I</t>
  </si>
  <si>
    <t>University of Texas at Austin</t>
  </si>
  <si>
    <t>Global Payments</t>
  </si>
  <si>
    <t>Terminal Solutions Intern</t>
  </si>
  <si>
    <t>Systems Developer</t>
  </si>
  <si>
    <t>Logicircuit</t>
  </si>
  <si>
    <t>R&amp;D Engineer II</t>
  </si>
  <si>
    <t>Occidental Education Group, LLC</t>
  </si>
  <si>
    <t>Renesas Electronics America</t>
  </si>
  <si>
    <t>Field Applications Engineer</t>
  </si>
  <si>
    <t>AI Engineer</t>
  </si>
  <si>
    <t>System Design Engineer II</t>
  </si>
  <si>
    <t>Hardware Verification Engineer</t>
  </si>
  <si>
    <t>BPM MIcrosystems</t>
  </si>
  <si>
    <t>FELZEKTECH</t>
  </si>
  <si>
    <t>CPU PV Engineer</t>
  </si>
  <si>
    <t>Marvell Technologies</t>
  </si>
  <si>
    <t>ASIC Verification Engineer</t>
  </si>
  <si>
    <t>Senior ASIC Design Engineer</t>
  </si>
  <si>
    <t>Analog Design Engineer II</t>
  </si>
  <si>
    <t>Software Engineer Graduate</t>
  </si>
  <si>
    <t>AVENA Group</t>
  </si>
  <si>
    <t>Full Stack Engineer</t>
  </si>
  <si>
    <t>CVS Health</t>
  </si>
  <si>
    <t>Data Science Analyst</t>
  </si>
  <si>
    <t>Databricks</t>
  </si>
  <si>
    <t>Analyst, Data Science</t>
  </si>
  <si>
    <t>Fidelity Financial Group</t>
  </si>
  <si>
    <t>Geospace Technologies</t>
  </si>
  <si>
    <t>GSK</t>
  </si>
  <si>
    <t>AI/ML Engineer</t>
  </si>
  <si>
    <t>Software Engineer Program</t>
  </si>
  <si>
    <t>LG Uplus</t>
  </si>
  <si>
    <t>Blockchain Developer</t>
  </si>
  <si>
    <t>Meet Kai</t>
  </si>
  <si>
    <t>Metaverse Engineer</t>
  </si>
  <si>
    <t>Scale Computing</t>
  </si>
  <si>
    <t>SHI International</t>
  </si>
  <si>
    <t>AI/ML Developer Jr.</t>
  </si>
  <si>
    <t>Standard Data, Inc</t>
  </si>
  <si>
    <t>Stellar Cyber</t>
  </si>
  <si>
    <t>Customer Success Engineer</t>
  </si>
  <si>
    <t>Functional Analyst</t>
  </si>
  <si>
    <t>Post-grad Education Rotation Program</t>
  </si>
  <si>
    <t>Text-Em-All</t>
  </si>
  <si>
    <t>Backend Software Engineer</t>
  </si>
  <si>
    <t>The Followup Agency</t>
  </si>
  <si>
    <t>Founder, CEO</t>
  </si>
  <si>
    <t>The MITRE Corporation</t>
  </si>
  <si>
    <t>Cybersecurity Engineer</t>
  </si>
  <si>
    <t>UnitedHealth Group</t>
  </si>
  <si>
    <t>Adobe</t>
  </si>
  <si>
    <t>Copart, Inc</t>
  </si>
  <si>
    <t>Helmerich &amp; Payne</t>
  </si>
  <si>
    <t>Computer Vision Developer</t>
  </si>
  <si>
    <t>iHeartMedia</t>
  </si>
  <si>
    <t>Inteplast Group</t>
  </si>
  <si>
    <t>System Engineer</t>
  </si>
  <si>
    <t>McKinsey &amp; Co.</t>
  </si>
  <si>
    <t>Rebellion Photonics</t>
  </si>
  <si>
    <t>Mount Holyoke College</t>
  </si>
  <si>
    <t>Nanjing University of Finance and Economics</t>
  </si>
  <si>
    <t>Visa Research</t>
  </si>
  <si>
    <t>Staff Research Scientist</t>
  </si>
  <si>
    <t>Wayfair</t>
  </si>
  <si>
    <t>Gallup</t>
  </si>
  <si>
    <t>Tech Connect Software</t>
  </si>
  <si>
    <t>Boeing Commercial Airplanes</t>
  </si>
  <si>
    <t>Electromagnetic Effects Engineer</t>
  </si>
  <si>
    <t>Burrer Engineering, Inc.</t>
  </si>
  <si>
    <t>Capsher Technology</t>
  </si>
  <si>
    <t>Hardware Engineer I</t>
  </si>
  <si>
    <t>Dynamic Motor controls inc</t>
  </si>
  <si>
    <t>Hardware Electrician Engineer</t>
  </si>
  <si>
    <t>Project Engineer I</t>
  </si>
  <si>
    <t>I&amp;E Reliability Engineer</t>
  </si>
  <si>
    <t>Graduate Test Engineer</t>
  </si>
  <si>
    <t>IC Graduate Verification Engineer</t>
  </si>
  <si>
    <t>Koch Engineered Solutions</t>
  </si>
  <si>
    <t>R&amp;D Engineer I</t>
  </si>
  <si>
    <t>Magler Aero</t>
  </si>
  <si>
    <t>Money week</t>
  </si>
  <si>
    <t>Electrical Responsible Engineering Authority 1</t>
  </si>
  <si>
    <t>Samsung Electronics Co. Ltd.</t>
  </si>
  <si>
    <t>Circuit Design Engineer</t>
  </si>
  <si>
    <t>Nuclear Power Instrumentation &amp; Controls</t>
  </si>
  <si>
    <t>Embedded Systems Research Engineer</t>
  </si>
  <si>
    <t>Control Systems Engineer</t>
  </si>
  <si>
    <t>Processor Architect</t>
  </si>
  <si>
    <t>Transform Engineering Consultants</t>
  </si>
  <si>
    <t>University of Texas at Arlington</t>
  </si>
  <si>
    <t>Engineering Scientist Associate</t>
  </si>
  <si>
    <t>Senior R&amp;D Electrical Engineer</t>
  </si>
  <si>
    <t>Conifer Health Solutions</t>
  </si>
  <si>
    <t>Decie &amp; Company</t>
  </si>
  <si>
    <t>Senior Electronics Engineer</t>
  </si>
  <si>
    <t>Device Development Engineer</t>
  </si>
  <si>
    <t>Plus Power LLC</t>
  </si>
  <si>
    <t>Energy Market Analyst</t>
  </si>
  <si>
    <t>Utah Tech</t>
  </si>
  <si>
    <t>AggieFab</t>
  </si>
  <si>
    <t>Assistant Technician</t>
  </si>
  <si>
    <t>CoServ</t>
  </si>
  <si>
    <t>Cummings Electrical</t>
  </si>
  <si>
    <t>Wireless Technical Solutions Consultant</t>
  </si>
  <si>
    <t>Invista (Koch Industries)</t>
  </si>
  <si>
    <t>Radio Frequency Engineer</t>
  </si>
  <si>
    <t>North Side Electric Motors</t>
  </si>
  <si>
    <t>P&amp;C Technician</t>
  </si>
  <si>
    <t>Protection and Control Engineer</t>
  </si>
  <si>
    <t>Shelmark Engineering, LLC</t>
  </si>
  <si>
    <t>Electrical Field Engineer</t>
  </si>
  <si>
    <t>Field Service Electrical Engineer</t>
  </si>
  <si>
    <t>Viasat Networking</t>
  </si>
  <si>
    <t>Wholesale Electric</t>
  </si>
  <si>
    <t>Project Coordinator</t>
  </si>
  <si>
    <t>RWE</t>
  </si>
  <si>
    <t>Geospatial Associate</t>
  </si>
  <si>
    <t>Xcel Energy</t>
  </si>
  <si>
    <t>Performance Analyst</t>
  </si>
  <si>
    <t>OneSubsea</t>
  </si>
  <si>
    <t>OneStart Engineer</t>
  </si>
  <si>
    <t>Aircraft Maintenance Engineer</t>
  </si>
  <si>
    <t>Electronic Arts (EA)</t>
  </si>
  <si>
    <t>Senior Manager, Business Execution Partners</t>
  </si>
  <si>
    <t>Tool Install Project Manager</t>
  </si>
  <si>
    <t>MIBAR Engineering LTD</t>
  </si>
  <si>
    <t>US Expansion Engineer</t>
  </si>
  <si>
    <t>NTT DATA Services</t>
  </si>
  <si>
    <t>Business Systems Analyst</t>
  </si>
  <si>
    <t>Operations and Supply Chair Leadership Development</t>
  </si>
  <si>
    <t>Lawrence Livermore National Laboratory</t>
  </si>
  <si>
    <t>Production Realization Engineer</t>
  </si>
  <si>
    <t>Production Test Engineer</t>
  </si>
  <si>
    <t>JBS Engineering &amp; Environmental, LLC</t>
  </si>
  <si>
    <t>Tricord Consulting</t>
  </si>
  <si>
    <t>Tech Sales</t>
  </si>
  <si>
    <t>Allied Group of Companies</t>
  </si>
  <si>
    <t>Amgen Inc</t>
  </si>
  <si>
    <t>Biopharmaceutical Sales Representative</t>
  </si>
  <si>
    <t>Project Component Planner</t>
  </si>
  <si>
    <t>Carlisle Construction Materials</t>
  </si>
  <si>
    <t>Sales Training Associate</t>
  </si>
  <si>
    <t>Carrier Enterprise</t>
  </si>
  <si>
    <t>Inventory Control Analyst</t>
  </si>
  <si>
    <t>Carson Supply</t>
  </si>
  <si>
    <t>Century Communities</t>
  </si>
  <si>
    <t>Land Development Project Coordinator</t>
  </si>
  <si>
    <t>Cohen Industrial Supply</t>
  </si>
  <si>
    <t>Sales &amp; Management</t>
  </si>
  <si>
    <t>Crawford Electric Supply</t>
  </si>
  <si>
    <t>STEP Program Associate</t>
  </si>
  <si>
    <t>Deep South Properties LLC</t>
  </si>
  <si>
    <t>Dover Corporation</t>
  </si>
  <si>
    <t>PLC Engineer</t>
  </si>
  <si>
    <t>Engineered Products, a Pape Company</t>
  </si>
  <si>
    <t>Equipment Depot</t>
  </si>
  <si>
    <t>Sourcing Specialist</t>
  </si>
  <si>
    <t>Frank Kent Cadillac</t>
  </si>
  <si>
    <t>Global Life Partners</t>
  </si>
  <si>
    <t>Sales Coordinator</t>
  </si>
  <si>
    <t>H&amp;D Distributors, Inc.</t>
  </si>
  <si>
    <t>Sales Analyst</t>
  </si>
  <si>
    <t>Industrial Networks LP</t>
  </si>
  <si>
    <t>Innovex Downhole Solutions Inc.</t>
  </si>
  <si>
    <t>Customer Service Representative</t>
  </si>
  <si>
    <t>Jetstream of Houston</t>
  </si>
  <si>
    <t>Planner I</t>
  </si>
  <si>
    <t>F-35 Sustainment Technical Specialist</t>
  </si>
  <si>
    <t>Production Control Specialist</t>
  </si>
  <si>
    <t>Logistics Analyst</t>
  </si>
  <si>
    <t>Corporate Accounts</t>
  </si>
  <si>
    <t>Operations Trainee Program</t>
  </si>
  <si>
    <t>Motorola Solutions</t>
  </si>
  <si>
    <t>Inside Territory Sales</t>
  </si>
  <si>
    <t>National Wholesale Supply</t>
  </si>
  <si>
    <t>Sales Leadership Development Trainee</t>
  </si>
  <si>
    <t>Penske</t>
  </si>
  <si>
    <t>Pon-URUS Group</t>
  </si>
  <si>
    <t>Global Management Trainee</t>
  </si>
  <si>
    <t>IMPACT Trainee</t>
  </si>
  <si>
    <t>Rexel USA</t>
  </si>
  <si>
    <t>Ryerson</t>
  </si>
  <si>
    <t>Customer Experience Rep</t>
  </si>
  <si>
    <t>Inside Sales Associate</t>
  </si>
  <si>
    <t>Service Supply of Victoria Inc</t>
  </si>
  <si>
    <t>Salesperson</t>
  </si>
  <si>
    <t>Service Wire Company</t>
  </si>
  <si>
    <t>Sherwin Williams Company</t>
  </si>
  <si>
    <t>Regional Account Manager</t>
  </si>
  <si>
    <t>Building Automation Sales</t>
  </si>
  <si>
    <t>Sales Support Engineer</t>
  </si>
  <si>
    <t>Associate Technology Analyst</t>
  </si>
  <si>
    <t>Credit Management Trainee</t>
  </si>
  <si>
    <t>Summit Electric Supply</t>
  </si>
  <si>
    <t>Early Career Rotational Program - Outside Sales</t>
  </si>
  <si>
    <t>Tekno Valves NA</t>
  </si>
  <si>
    <t>Regional Sales Manager</t>
  </si>
  <si>
    <t>Transocean</t>
  </si>
  <si>
    <t>Sourcing Analyst</t>
  </si>
  <si>
    <t>Business Development Associate</t>
  </si>
  <si>
    <t>Vector Controls &amp; Automation Group</t>
  </si>
  <si>
    <t>Outside Sales Training &amp; Development Program</t>
  </si>
  <si>
    <t>American Express</t>
  </si>
  <si>
    <t>Data Analyst/Industrial Engineer</t>
  </si>
  <si>
    <t>Automation Technology, Inc.</t>
  </si>
  <si>
    <t>Business Technology Solutions Analyst</t>
  </si>
  <si>
    <t>DeNovo Global Technologies</t>
  </si>
  <si>
    <t>Eaton Corporation</t>
  </si>
  <si>
    <t>Rotation Program</t>
  </si>
  <si>
    <t>Project Controls</t>
  </si>
  <si>
    <t>Supply Chain Management Professional</t>
  </si>
  <si>
    <t>Helm U.S. Corporation</t>
  </si>
  <si>
    <t>International Trainee</t>
  </si>
  <si>
    <t>Supply Chain Development Program</t>
  </si>
  <si>
    <t>Manufacturing Support Team Member</t>
  </si>
  <si>
    <t>Supply Chain Integrator</t>
  </si>
  <si>
    <t>Loopback Analytics</t>
  </si>
  <si>
    <t>Application Support Analyst</t>
  </si>
  <si>
    <t>Magnum Mexico</t>
  </si>
  <si>
    <t>New Product Program Manager</t>
  </si>
  <si>
    <t>Supply Network Operations Manager</t>
  </si>
  <si>
    <t>Reynolds Consumer Products</t>
  </si>
  <si>
    <t>Manufacturing Leadership Development Program</t>
  </si>
  <si>
    <t>Rochester Sensors</t>
  </si>
  <si>
    <t>Production Control Engineer I</t>
  </si>
  <si>
    <t>Schlumberger Business Consulting</t>
  </si>
  <si>
    <t>Global Rotational Development Program Trainee</t>
  </si>
  <si>
    <t>Sendero</t>
  </si>
  <si>
    <t>Operations Engineer Raptor Development</t>
  </si>
  <si>
    <t>Starplus Energy</t>
  </si>
  <si>
    <t>Process Engineer QI</t>
  </si>
  <si>
    <t>Program Manager Engineer</t>
  </si>
  <si>
    <t>Shift Industrial Engineer</t>
  </si>
  <si>
    <t>Tyson Foods</t>
  </si>
  <si>
    <t>VanTran Industries</t>
  </si>
  <si>
    <t>Global Supply Chain Analyst</t>
  </si>
  <si>
    <t>Senior Continuous Improvement Expert</t>
  </si>
  <si>
    <t>Bayer</t>
  </si>
  <si>
    <t>Product Supply Associate</t>
  </si>
  <si>
    <t>BYK USA</t>
  </si>
  <si>
    <t>Supply Chain Materials Regional Manager</t>
  </si>
  <si>
    <t>DISH Network</t>
  </si>
  <si>
    <t>Everson Tesla, Inc.</t>
  </si>
  <si>
    <t>FedEx Services</t>
  </si>
  <si>
    <t>Revenue Science Analyst</t>
  </si>
  <si>
    <t>Navy Federal Credit Union</t>
  </si>
  <si>
    <t>Community Manager</t>
  </si>
  <si>
    <t>PAG</t>
  </si>
  <si>
    <t>Sandra Numal Labs</t>
  </si>
  <si>
    <t>Material Analyst</t>
  </si>
  <si>
    <t>Supply Operations Manager</t>
  </si>
  <si>
    <t>Operations and IT Associate</t>
  </si>
  <si>
    <t>Wolfspeed</t>
  </si>
  <si>
    <t>Senior Manufacturing Engineer</t>
  </si>
  <si>
    <t>Senior Manufacturing Process Engineer</t>
  </si>
  <si>
    <t>Clary's Tax Service LLC</t>
  </si>
  <si>
    <t>Tax Preparer</t>
  </si>
  <si>
    <t>Nuclear Facility Engineer</t>
  </si>
  <si>
    <t>Additive Engineer</t>
  </si>
  <si>
    <t>Operation Management Leadership Program</t>
  </si>
  <si>
    <t>Field Sales Systems Engineer</t>
  </si>
  <si>
    <t>Engineering Technologist I</t>
  </si>
  <si>
    <t>Maslowski Controls LLC</t>
  </si>
  <si>
    <t>Nikkiso</t>
  </si>
  <si>
    <t>Facility Engineer</t>
  </si>
  <si>
    <t>QTRCO, Inc.</t>
  </si>
  <si>
    <t>Rampart Products</t>
  </si>
  <si>
    <t>Refrigeration Vessels &amp; Systems, Corp.</t>
  </si>
  <si>
    <t>Rentech Boiler Systems, Inc.</t>
  </si>
  <si>
    <t>Robishaw Engineering, Inc.</t>
  </si>
  <si>
    <t>Operational Development Associate</t>
  </si>
  <si>
    <t>USA Shade &amp; Fabric Structures</t>
  </si>
  <si>
    <t>Current Power Solutions</t>
  </si>
  <si>
    <t>Field Service Engineer I</t>
  </si>
  <si>
    <t>James Hardie Building Products</t>
  </si>
  <si>
    <t>Concept Creator I</t>
  </si>
  <si>
    <t>Omec Medical</t>
  </si>
  <si>
    <t>Manufacturer Engineer</t>
  </si>
  <si>
    <t>Adamson Engineering, LLC</t>
  </si>
  <si>
    <t>Traffic Accident Reconstruction Engineer</t>
  </si>
  <si>
    <t>Alaska Airlines</t>
  </si>
  <si>
    <t>Powerplant Engineer</t>
  </si>
  <si>
    <t>Allseas USA, Inc.</t>
  </si>
  <si>
    <t>Installation Engineer</t>
  </si>
  <si>
    <t>ALTA Houston</t>
  </si>
  <si>
    <t>Assistant Sales Manager</t>
  </si>
  <si>
    <t>Production &amp; Operations Mechanical Engineer</t>
  </si>
  <si>
    <t>Assistant Instrumentation &amp; Control Engineer</t>
  </si>
  <si>
    <t>Associate Project Engineer</t>
  </si>
  <si>
    <t>Dixon Directional</t>
  </si>
  <si>
    <t>Duce Texas, LLC</t>
  </si>
  <si>
    <t>EMPACT Engineering</t>
  </si>
  <si>
    <t>Associate Engineer Rotating Equipment</t>
  </si>
  <si>
    <t>Engineering Development Rotational Program</t>
  </si>
  <si>
    <t>Wells Engineer</t>
  </si>
  <si>
    <t>Fulfillment Ops &amp; Automation</t>
  </si>
  <si>
    <t>Intralex</t>
  </si>
  <si>
    <t>Safety &amp; Health Officer</t>
  </si>
  <si>
    <t>JNM Technologies</t>
  </si>
  <si>
    <t>John Deere</t>
  </si>
  <si>
    <t>Jordan C Shala Engineers</t>
  </si>
  <si>
    <t>Entry Level Structural Engineer</t>
  </si>
  <si>
    <t>Stress Engineer</t>
  </si>
  <si>
    <t>Process R&amp;D Engineer</t>
  </si>
  <si>
    <t>Mechanical, Electrical &amp; Plumbing Designer</t>
  </si>
  <si>
    <t>NextDecade</t>
  </si>
  <si>
    <t>Construction Field Engineer</t>
  </si>
  <si>
    <t>Reliability/Maintenance Engineer</t>
  </si>
  <si>
    <t>PACCAR Engine Company</t>
  </si>
  <si>
    <t>Systems Engineer Associate</t>
  </si>
  <si>
    <t>PC &amp; Networking Solutions</t>
  </si>
  <si>
    <t>Programmer</t>
  </si>
  <si>
    <t>Plains All American Pipeline, L.P.</t>
  </si>
  <si>
    <t>Integrity Engineer</t>
  </si>
  <si>
    <t>Systems Specialist</t>
  </si>
  <si>
    <t>Sulzer</t>
  </si>
  <si>
    <t>T.O.P. Network</t>
  </si>
  <si>
    <t>Mechanical Engineering Co-Op</t>
  </si>
  <si>
    <t>Packaging Design Engineer</t>
  </si>
  <si>
    <t>The Williams Companies</t>
  </si>
  <si>
    <t>Toyota Motor North America</t>
  </si>
  <si>
    <t>Vehicle Performance Engineer</t>
  </si>
  <si>
    <t>Engineer Officer</t>
  </si>
  <si>
    <t>Chief, Navy Diver</t>
  </si>
  <si>
    <t>Associate Rotating Equipment Reliability Engineer</t>
  </si>
  <si>
    <t>Fixed Equipment Reliability Engineer</t>
  </si>
  <si>
    <t>Weeks Marine</t>
  </si>
  <si>
    <t>Wilder Systems</t>
  </si>
  <si>
    <t>Rotational Engineer-Project Engineer</t>
  </si>
  <si>
    <t>Early Career Electrical Engineer</t>
  </si>
  <si>
    <t>Career Development Program</t>
  </si>
  <si>
    <t>Cryowest Inc</t>
  </si>
  <si>
    <t>Fox Robotics Inc</t>
  </si>
  <si>
    <t>Manufacturing Engineer II</t>
  </si>
  <si>
    <t>Mechanical Engineer in Training</t>
  </si>
  <si>
    <t>Structural Engineer II</t>
  </si>
  <si>
    <t>Project Engineering Manager</t>
  </si>
  <si>
    <t>Murphy Oil Corporation</t>
  </si>
  <si>
    <t>Oak Ridge National Laboratory</t>
  </si>
  <si>
    <t>Rotodynamics Engineer</t>
  </si>
  <si>
    <t>Primal Pet Group</t>
  </si>
  <si>
    <t>Radical Firearms</t>
  </si>
  <si>
    <t>Mechanical Engineer III</t>
  </si>
  <si>
    <t>Align Technologies</t>
  </si>
  <si>
    <t>Liability Engineer</t>
  </si>
  <si>
    <t>Chinese Academic of Science</t>
  </si>
  <si>
    <t>Post Doctorate</t>
  </si>
  <si>
    <t>Northwestern University</t>
  </si>
  <si>
    <t>US Army Engineer Research and Development Center</t>
  </si>
  <si>
    <t>Capacity Trucks</t>
  </si>
  <si>
    <t>Estabrook Assembly Services Inc</t>
  </si>
  <si>
    <t>Electrical/Mechanical Engineer</t>
  </si>
  <si>
    <t>Robotics Research Engineer</t>
  </si>
  <si>
    <t>Open Key</t>
  </si>
  <si>
    <t>Otis Elevator Company</t>
  </si>
  <si>
    <t>Naval Architecht</t>
  </si>
  <si>
    <t>BP Energy Company</t>
  </si>
  <si>
    <t>EDG Resources</t>
  </si>
  <si>
    <t>IPT Global</t>
  </si>
  <si>
    <t>Jefferies Investment Bank</t>
  </si>
  <si>
    <t>RDS</t>
  </si>
  <si>
    <t>Scout Energy Partners</t>
  </si>
  <si>
    <t>Seismos</t>
  </si>
  <si>
    <t>Graduate Well Engineer</t>
  </si>
  <si>
    <t>Rotational Engineer - Drilling</t>
  </si>
  <si>
    <t>Launch engineer</t>
  </si>
  <si>
    <t>Viking Engineering</t>
  </si>
  <si>
    <t>Production Operation Engineer</t>
  </si>
  <si>
    <t>Client Success Manager</t>
  </si>
  <si>
    <t>Senior Process Safety Engineer</t>
  </si>
  <si>
    <t>IT Professional 1</t>
  </si>
  <si>
    <t>Senior Analyst - Digital Product Development</t>
  </si>
  <si>
    <t>Brazos County</t>
  </si>
  <si>
    <t>Application Administrator</t>
  </si>
  <si>
    <t>IT Service Desk Representative</t>
  </si>
  <si>
    <t>City of Duncanville</t>
  </si>
  <si>
    <t>System Administrator</t>
  </si>
  <si>
    <t>QREW Tech</t>
  </si>
  <si>
    <t>Sound Design</t>
  </si>
  <si>
    <t>Technician/Installer</t>
  </si>
  <si>
    <t>Texas A&amp;M University - DoIT (Department of Informa</t>
  </si>
  <si>
    <t>Network Engineer II</t>
  </si>
  <si>
    <t>The Walt Disney Company</t>
  </si>
  <si>
    <t>IT Support</t>
  </si>
  <si>
    <t>Cronos Flight Controller</t>
  </si>
  <si>
    <t>Technical Developer</t>
  </si>
  <si>
    <t>Dynetics</t>
  </si>
  <si>
    <t>Fire</t>
  </si>
  <si>
    <t>Indigo River Tiny Homes</t>
  </si>
  <si>
    <t>3D Design Work</t>
  </si>
  <si>
    <t>Procedures Management</t>
  </si>
  <si>
    <t>IISM</t>
  </si>
  <si>
    <t>Systems Software</t>
  </si>
  <si>
    <t>RID Engineer 1</t>
  </si>
  <si>
    <t>Data Science / Software Specialist</t>
  </si>
  <si>
    <t>Flight Controller</t>
  </si>
  <si>
    <t>Spartan Flight Controller</t>
  </si>
  <si>
    <t>National Instruments (NI)</t>
  </si>
  <si>
    <t>Design Engineer I</t>
  </si>
  <si>
    <t>Mechanical Design Engineer I</t>
  </si>
  <si>
    <t>Mechanical Engineering Design</t>
  </si>
  <si>
    <t>Starship Structural Engineer</t>
  </si>
  <si>
    <t>Aerodynamics Stability and Control Engineer</t>
  </si>
  <si>
    <t>Mass Properties Engineer</t>
  </si>
  <si>
    <t>Mechanical Design and Analyst Engineer</t>
  </si>
  <si>
    <t>CAGI</t>
  </si>
  <si>
    <t>Spacecraft Modeling Engineer</t>
  </si>
  <si>
    <t>General Dynamics</t>
  </si>
  <si>
    <t>Senior Associate Systems Engineer</t>
  </si>
  <si>
    <t>Instrument Engineer</t>
  </si>
  <si>
    <t>Mechanical Design Analysis Engineer</t>
  </si>
  <si>
    <t>Postdoctoral Appointee</t>
  </si>
  <si>
    <t>Senior Autonomy Engineer</t>
  </si>
  <si>
    <t>Utah Tech University</t>
  </si>
  <si>
    <t>Structural Staff Engineer</t>
  </si>
  <si>
    <t>Dudley Construction</t>
  </si>
  <si>
    <t>Hajoca/Moore Supply Co.</t>
  </si>
  <si>
    <t>Henderson Construction</t>
  </si>
  <si>
    <t>Mechanical Designer</t>
  </si>
  <si>
    <t>LA Fuess Partners</t>
  </si>
  <si>
    <t>Structural Engineer Intern</t>
  </si>
  <si>
    <t>Rogers-O'Brien Construction</t>
  </si>
  <si>
    <t>RWB Consulting Engineers</t>
  </si>
  <si>
    <t>Plumbing Designer</t>
  </si>
  <si>
    <t>Architectural Engineer</t>
  </si>
  <si>
    <t>Lab Tech</t>
  </si>
  <si>
    <t>Scientist Intern</t>
  </si>
  <si>
    <t>CRM Clinical Specialist</t>
  </si>
  <si>
    <t>Astrape Consulting</t>
  </si>
  <si>
    <t>Bent Tree Family Physicians</t>
  </si>
  <si>
    <t>Medical Assistant</t>
  </si>
  <si>
    <t>LDP R&amp;D Scientist</t>
  </si>
  <si>
    <t>Leadership Development</t>
  </si>
  <si>
    <t>Enovis</t>
  </si>
  <si>
    <t>Houston Methodist Research Institute</t>
  </si>
  <si>
    <t>Student Researcher I</t>
  </si>
  <si>
    <t>Data Research Intern</t>
  </si>
  <si>
    <t>Clinical Research Assistant</t>
  </si>
  <si>
    <t>Clinical Research Associate</t>
  </si>
  <si>
    <t>Human Factors Design Engineer</t>
  </si>
  <si>
    <t>Noctrix</t>
  </si>
  <si>
    <t>Quality Engineering Intern</t>
  </si>
  <si>
    <t>UT Southwestern Medical Center</t>
  </si>
  <si>
    <t>Zimmer Bromet</t>
  </si>
  <si>
    <t>Systems Designer</t>
  </si>
  <si>
    <t>Cardiovascular Pathology Lab</t>
  </si>
  <si>
    <t>Marker Therapeutics</t>
  </si>
  <si>
    <t>Eurofins Agroscience Services</t>
  </si>
  <si>
    <t>Bioassay Scientist</t>
  </si>
  <si>
    <t>Texas A&amp;M Health Science Center (HSC)</t>
  </si>
  <si>
    <t>University of Texas MD Anderson Cancer Center</t>
  </si>
  <si>
    <t>Associate Research Scientist</t>
  </si>
  <si>
    <t>Industry Analyst</t>
  </si>
  <si>
    <t>Avion Blue</t>
  </si>
  <si>
    <t>Air Quality Consultant</t>
  </si>
  <si>
    <t>EHS Associate</t>
  </si>
  <si>
    <t>CFAN</t>
  </si>
  <si>
    <t>ComboCurve</t>
  </si>
  <si>
    <t>Product Business Analyst</t>
  </si>
  <si>
    <t>ConAgra Foods Inc.</t>
  </si>
  <si>
    <t>CVR Energy</t>
  </si>
  <si>
    <t>EDRP</t>
  </si>
  <si>
    <t>Epic Healthcare</t>
  </si>
  <si>
    <t>ERG</t>
  </si>
  <si>
    <t>Environmental Project Manager</t>
  </si>
  <si>
    <t>Offsites and Utilities Engineer</t>
  </si>
  <si>
    <t>Process Design Engineer</t>
  </si>
  <si>
    <t>Engineer Consultant</t>
  </si>
  <si>
    <t>framergy, Inc.</t>
  </si>
  <si>
    <t>General Mills</t>
  </si>
  <si>
    <t>Strategic Process Optimization Engineer</t>
  </si>
  <si>
    <t>Downstream Account Representative</t>
  </si>
  <si>
    <t>Field Operation Services</t>
  </si>
  <si>
    <t>Hood Packaging</t>
  </si>
  <si>
    <t>Junior Process Engineer</t>
  </si>
  <si>
    <t>Huber Engineered Woods, LLC.</t>
  </si>
  <si>
    <t>Engineering Development</t>
  </si>
  <si>
    <t>Associate Technical Process Engineer</t>
  </si>
  <si>
    <t>Instrumentation &amp; Control Engineer</t>
  </si>
  <si>
    <t>Rotational Engineering Professional</t>
  </si>
  <si>
    <t>Plant Design Engineer</t>
  </si>
  <si>
    <t>Lummus Technology a McDermott Company</t>
  </si>
  <si>
    <t>Controls Systems Engineer</t>
  </si>
  <si>
    <t>Occidental Chemical Corp</t>
  </si>
  <si>
    <t>Optimized Process Design OPD (KOCH)</t>
  </si>
  <si>
    <t>Associate R&amp;D Engineer</t>
  </si>
  <si>
    <t>Richard Industrial Group</t>
  </si>
  <si>
    <t>Process Specialist</t>
  </si>
  <si>
    <t>Corp Engineer</t>
  </si>
  <si>
    <t>Stepan Company</t>
  </si>
  <si>
    <t>Process Manufacturing Engineer</t>
  </si>
  <si>
    <t>The Woodlands Methodist Church</t>
  </si>
  <si>
    <t>Youth Ministry Intern</t>
  </si>
  <si>
    <t>USPS</t>
  </si>
  <si>
    <t>Operation Industrial Engineering</t>
  </si>
  <si>
    <t>Viewit</t>
  </si>
  <si>
    <t>Integration and Module Yield Engineers</t>
  </si>
  <si>
    <t>NOVETUS Engineering, LLC</t>
  </si>
  <si>
    <t>Atlas Copco</t>
  </si>
  <si>
    <t>Data Manager</t>
  </si>
  <si>
    <t>Project I Consultant</t>
  </si>
  <si>
    <t>DNV USA</t>
  </si>
  <si>
    <t>Risk Consulting Engineer</t>
  </si>
  <si>
    <t>University of Delaware</t>
  </si>
  <si>
    <t>Land Development Design Engineer</t>
  </si>
  <si>
    <t>Roadway Engineer I</t>
  </si>
  <si>
    <t>Archer Western Construction, LLC</t>
  </si>
  <si>
    <t>Baher and Lawson</t>
  </si>
  <si>
    <t>Land Development / Civil Engineer</t>
  </si>
  <si>
    <t>BQE Inc</t>
  </si>
  <si>
    <t>Brice Civil Engineers</t>
  </si>
  <si>
    <t>Construction Coordinator</t>
  </si>
  <si>
    <t>CivilTech, A Woolpert Company</t>
  </si>
  <si>
    <t>David Weekley Homes</t>
  </si>
  <si>
    <t>Construction Superintendent</t>
  </si>
  <si>
    <t>EST Engineering</t>
  </si>
  <si>
    <t>Civil Engineer - EIT</t>
  </si>
  <si>
    <t>Frontier Resource Recovery</t>
  </si>
  <si>
    <t>VP of Operations</t>
  </si>
  <si>
    <t>Bridge Inspector</t>
  </si>
  <si>
    <t>Grace Bible Church</t>
  </si>
  <si>
    <t>College Ministry Fellow</t>
  </si>
  <si>
    <t>Hunting Outfitters</t>
  </si>
  <si>
    <t>Hunting Guide</t>
  </si>
  <si>
    <t>ISP Resources, LLC</t>
  </si>
  <si>
    <t>KET Professionals</t>
  </si>
  <si>
    <t>Estimator Engineer</t>
  </si>
  <si>
    <t>Structural Engineer I</t>
  </si>
  <si>
    <t>Lendlease</t>
  </si>
  <si>
    <t>Liberty Civil Construction</t>
  </si>
  <si>
    <t>Design Engineer, Water Resources</t>
  </si>
  <si>
    <t>Graduate Engineer - Land Development</t>
  </si>
  <si>
    <t>LTRA Engineers</t>
  </si>
  <si>
    <t>MDR Engineering</t>
  </si>
  <si>
    <t>Merrick &amp; Company</t>
  </si>
  <si>
    <t>Civil Engineer - Land Development</t>
  </si>
  <si>
    <t>Pettit Consulting, P.C.</t>
  </si>
  <si>
    <t>PricewaterhouseCoopers, LLP (PwC)</t>
  </si>
  <si>
    <t>Spear Point Engineering, LLC</t>
  </si>
  <si>
    <t>STV Construction, Inc.</t>
  </si>
  <si>
    <t>The Walsh Group</t>
  </si>
  <si>
    <t>Wier &amp; Associates, Inc.</t>
  </si>
  <si>
    <t>Construction Project Engineer</t>
  </si>
  <si>
    <t>Project Controls Analyst</t>
  </si>
  <si>
    <t>AIG Technical Services, LLC</t>
  </si>
  <si>
    <t>Atmospheric Science &amp; Technology (AST) LLC</t>
  </si>
  <si>
    <t>Meteorologist</t>
  </si>
  <si>
    <t>C&amp;M Associates Inc</t>
  </si>
  <si>
    <t>Carollo Engineering</t>
  </si>
  <si>
    <t>Staff Professional</t>
  </si>
  <si>
    <t>Transportation Planner II</t>
  </si>
  <si>
    <t>Associate Project Manager</t>
  </si>
  <si>
    <t>FUJIFILM Diosynth Biotechnologies Texas</t>
  </si>
  <si>
    <t>Manufacturing Technician</t>
  </si>
  <si>
    <t>Water Resources Coordinator</t>
  </si>
  <si>
    <t>Entry Level Construction Professional</t>
  </si>
  <si>
    <t>KPFF, Inc.</t>
  </si>
  <si>
    <t>Pattern Energy</t>
  </si>
  <si>
    <t>Project Associate</t>
  </si>
  <si>
    <t>Simpson Gumpertz &amp; Heger Inc.</t>
  </si>
  <si>
    <t>Project Consultant</t>
  </si>
  <si>
    <t>Site Technologies</t>
  </si>
  <si>
    <t>Skanska USA Building, Inc.</t>
  </si>
  <si>
    <t>Suffolk Construction</t>
  </si>
  <si>
    <t>Project Manager, Construction</t>
  </si>
  <si>
    <t>Volger &amp; Spencer Engineering, Inc.</t>
  </si>
  <si>
    <t>Yates Company</t>
  </si>
  <si>
    <t>Infratech Engineers &amp; Innovators</t>
  </si>
  <si>
    <t>Geotechnical Staff Engineer</t>
  </si>
  <si>
    <t>University of Georgia</t>
  </si>
  <si>
    <t>Postdoctoral Resident</t>
  </si>
  <si>
    <t>Product Development Engineer II</t>
  </si>
  <si>
    <t>AWS</t>
  </si>
  <si>
    <t>Information Technology Specialist</t>
  </si>
  <si>
    <t>Server Systems Engineer</t>
  </si>
  <si>
    <t>Expedia, Inc.</t>
  </si>
  <si>
    <t>EY [Ernst &amp; Young]</t>
  </si>
  <si>
    <t>Tech Consultant</t>
  </si>
  <si>
    <t>Pre-Silicon Validation Engineer</t>
  </si>
  <si>
    <t>JPMorgan Chase &amp; Co.</t>
  </si>
  <si>
    <t>Software Developer Engineer</t>
  </si>
  <si>
    <t>Texas A&amp;M AgriLife</t>
  </si>
  <si>
    <t>Web Application Specialist</t>
  </si>
  <si>
    <t>Computer/Electrical Engineer</t>
  </si>
  <si>
    <t>Implementation Consultant</t>
  </si>
  <si>
    <t>Invitation Homes</t>
  </si>
  <si>
    <t>Asset Management Analyst</t>
  </si>
  <si>
    <t>Analyst, Software Engineering Program</t>
  </si>
  <si>
    <t>Systems Safety Engineer Level I</t>
  </si>
  <si>
    <t>Cybersecurity Intern</t>
  </si>
  <si>
    <t>IT Software</t>
  </si>
  <si>
    <t>Product Test and Validation Engineer</t>
  </si>
  <si>
    <t>Viele Tech</t>
  </si>
  <si>
    <t>Silicon Design Engineer II</t>
  </si>
  <si>
    <t>Ampere Computing</t>
  </si>
  <si>
    <t>Bastian Solutions</t>
  </si>
  <si>
    <t>Robotics Software Engineer I</t>
  </si>
  <si>
    <t>Ceracor Labs</t>
  </si>
  <si>
    <t>Chrome Software Development Engineer</t>
  </si>
  <si>
    <t>Design Automation Engineer</t>
  </si>
  <si>
    <t>GPY Performance Engineer</t>
  </si>
  <si>
    <t>Graphics Engineer</t>
  </si>
  <si>
    <t>MathWorks, The</t>
  </si>
  <si>
    <t>EDQ Software Engineer</t>
  </si>
  <si>
    <t>Physical Design</t>
  </si>
  <si>
    <t>Senior Verification Engineer</t>
  </si>
  <si>
    <t>NVM Validation / Applications Engineer</t>
  </si>
  <si>
    <t>SoC Emulation Engineer</t>
  </si>
  <si>
    <t>SOC Verification Engineer</t>
  </si>
  <si>
    <t>Performance Modeling Senior Engineer</t>
  </si>
  <si>
    <t>Software Engineer I</t>
  </si>
  <si>
    <t>AIM Solutions</t>
  </si>
  <si>
    <t>Internal Consultants</t>
  </si>
  <si>
    <t>Arista Networks, Inc.</t>
  </si>
  <si>
    <t>Atlantic Plant Maintenance</t>
  </si>
  <si>
    <t>Avanade Inc.</t>
  </si>
  <si>
    <t>Best Buy</t>
  </si>
  <si>
    <t>Blockforce Capital</t>
  </si>
  <si>
    <t>Quantitative Engineering Associate</t>
  </si>
  <si>
    <t>Technology Development Program</t>
  </si>
  <si>
    <t>Capital Technology Group</t>
  </si>
  <si>
    <t>Coinbase</t>
  </si>
  <si>
    <t>Confluent Medical Technologies</t>
  </si>
  <si>
    <t>Technology Solutions Consultant</t>
  </si>
  <si>
    <t>Datadog</t>
  </si>
  <si>
    <t>Solutions Engineering Analyst</t>
  </si>
  <si>
    <t>Deloitte Consulting LLP</t>
  </si>
  <si>
    <t>Software Engineer Analyst</t>
  </si>
  <si>
    <t>Detechtion Technologies</t>
  </si>
  <si>
    <t>Technical Software Engineer</t>
  </si>
  <si>
    <t>Fannie Mae</t>
  </si>
  <si>
    <t>Finit</t>
  </si>
  <si>
    <t>Financial Technology Consultant</t>
  </si>
  <si>
    <t>HashiCorp</t>
  </si>
  <si>
    <t>Houlihan Lokey</t>
  </si>
  <si>
    <t>Associate Data Engineer</t>
  </si>
  <si>
    <t>SEP</t>
  </si>
  <si>
    <t>IT Support Specialist</t>
  </si>
  <si>
    <t>Legends Project Development</t>
  </si>
  <si>
    <t>Monero CCS</t>
  </si>
  <si>
    <t>Office Depot</t>
  </si>
  <si>
    <t>UX Designer</t>
  </si>
  <si>
    <t>Payload</t>
  </si>
  <si>
    <t>PIMCO</t>
  </si>
  <si>
    <t>Ping Identity</t>
  </si>
  <si>
    <t>Cloud Technology Associate</t>
  </si>
  <si>
    <t>Prudential</t>
  </si>
  <si>
    <t>Publicis Sapient</t>
  </si>
  <si>
    <t>Trainee Software Engineer</t>
  </si>
  <si>
    <t>Quick Internet Software Solutions</t>
  </si>
  <si>
    <t>Realtor.com</t>
  </si>
  <si>
    <t>Associate Member Technical Staff</t>
  </si>
  <si>
    <t>SciTec Inc</t>
  </si>
  <si>
    <t>Associate C++ Developer</t>
  </si>
  <si>
    <t>SISU Devices</t>
  </si>
  <si>
    <t>Robotics UI Developer</t>
  </si>
  <si>
    <t>Software Design Developer</t>
  </si>
  <si>
    <t>Texas A&amp;M University - Department of Biology</t>
  </si>
  <si>
    <t>Associate Professional Staff I</t>
  </si>
  <si>
    <t>Topgolf</t>
  </si>
  <si>
    <t>Game Designer</t>
  </si>
  <si>
    <t>Travelers Insurance</t>
  </si>
  <si>
    <t>Technology Leadership Development Participant</t>
  </si>
  <si>
    <t>United Launch Alliance (ULA)</t>
  </si>
  <si>
    <t>Embedded Systems Engineer</t>
  </si>
  <si>
    <t>Software Engineer III</t>
  </si>
  <si>
    <t>USAA Real Estate Company</t>
  </si>
  <si>
    <t>Mobile Device Manager</t>
  </si>
  <si>
    <t>Consultant I</t>
  </si>
  <si>
    <t>Enterprise Development Engineer</t>
  </si>
  <si>
    <t>Systems Analyst</t>
  </si>
  <si>
    <t>Software Development Engineer II</t>
  </si>
  <si>
    <t>ADEPT Software Developer</t>
  </si>
  <si>
    <t>Detection Engineer/Cybersecurity Analyst</t>
  </si>
  <si>
    <t>Acciona</t>
  </si>
  <si>
    <t>Construction &amp; Electrical Engineer</t>
  </si>
  <si>
    <t>Platform Debug Engineer Intern</t>
  </si>
  <si>
    <t>SOC Design Verification Engineer</t>
  </si>
  <si>
    <t>Distribution Planning Consultant</t>
  </si>
  <si>
    <t>Transmission Analyst</t>
  </si>
  <si>
    <t>Cheniere Energy</t>
  </si>
  <si>
    <t>Control Systems Engineer Intern</t>
  </si>
  <si>
    <t>Product Test Engineer</t>
  </si>
  <si>
    <t>DBR Engineering Consultants, Inc.</t>
  </si>
  <si>
    <t>Design Group</t>
  </si>
  <si>
    <t>Eaton</t>
  </si>
  <si>
    <t>Production Specialist &amp; Fellow</t>
  </si>
  <si>
    <t>R&amp;D Associate Engineer</t>
  </si>
  <si>
    <t>Hardware Design Engineer</t>
  </si>
  <si>
    <t>Electronic Design Engineer</t>
  </si>
  <si>
    <t>Ladence Design Systems</t>
  </si>
  <si>
    <t>Electrical Systems Engineer</t>
  </si>
  <si>
    <t>Systems Electrical Engineer</t>
  </si>
  <si>
    <t>UI Entry Engineer</t>
  </si>
  <si>
    <t>Sourcing Engineer</t>
  </si>
  <si>
    <t>Digital Verification</t>
  </si>
  <si>
    <t>Pike Corporation: Pike Engineering, Pike Electric,</t>
  </si>
  <si>
    <t>Proteus Power Operations LLC</t>
  </si>
  <si>
    <t>Junior Project Developer</t>
  </si>
  <si>
    <t>Electrical Specialist</t>
  </si>
  <si>
    <t>Instrument Specialist</t>
  </si>
  <si>
    <t>Analog Design Verification</t>
  </si>
  <si>
    <t>Field Apps Engineer</t>
  </si>
  <si>
    <t>Product, Test, and Validation Engineer Rotation Pr</t>
  </si>
  <si>
    <t>Manufacturing Associate</t>
  </si>
  <si>
    <t>Thermo Systems LLC</t>
  </si>
  <si>
    <t>HVAC Systems Product Management Engineer</t>
  </si>
  <si>
    <t>Triad Control Systems</t>
  </si>
  <si>
    <t>Automation Specialist</t>
  </si>
  <si>
    <t>Data Programmer</t>
  </si>
  <si>
    <t>Analog Bits Inc. (Engineering)</t>
  </si>
  <si>
    <t>SOC Design Engineer</t>
  </si>
  <si>
    <t>Formal Verification Engineer</t>
  </si>
  <si>
    <t>Engineer Development Program</t>
  </si>
  <si>
    <t>Fraunhofer Center for Sustainable Energy Systems</t>
  </si>
  <si>
    <t>MACOM Technology Solutions</t>
  </si>
  <si>
    <t>Senior Analog Design Engineer</t>
  </si>
  <si>
    <t>Mercedes Benz U.S. International, Inc.</t>
  </si>
  <si>
    <t>Algorithm Development</t>
  </si>
  <si>
    <t>Nira Technologies Inc</t>
  </si>
  <si>
    <t>Wireless System Engineer</t>
  </si>
  <si>
    <t>Senior Analog Designer</t>
  </si>
  <si>
    <t>Abdallah Al Salem University</t>
  </si>
  <si>
    <t>Power System Planning Consultant</t>
  </si>
  <si>
    <t>SwRI</t>
  </si>
  <si>
    <t>Alula Learning</t>
  </si>
  <si>
    <t>City of Bryan</t>
  </si>
  <si>
    <t>IT Systems Analyst</t>
  </si>
  <si>
    <t>Embedded Software Engineer</t>
  </si>
  <si>
    <t>Lockard &amp; White</t>
  </si>
  <si>
    <t>Associate Embedded Engineer</t>
  </si>
  <si>
    <t>NetEdge VR</t>
  </si>
  <si>
    <t>Junior Development</t>
  </si>
  <si>
    <t>Protection and Control Technician</t>
  </si>
  <si>
    <t>Cloud Consultant</t>
  </si>
  <si>
    <t>Power Control Information Systems Manager</t>
  </si>
  <si>
    <t>Substation Electrical Engineer</t>
  </si>
  <si>
    <t>Organizational Field Leader</t>
  </si>
  <si>
    <t>Teneo Software</t>
  </si>
  <si>
    <t>Entry Level Software Developer</t>
  </si>
  <si>
    <t>Product Test Validation Rotation</t>
  </si>
  <si>
    <t>Principal Project Engineer</t>
  </si>
  <si>
    <t>Data Gration</t>
  </si>
  <si>
    <t>Customer Solutions Engineer</t>
  </si>
  <si>
    <t>Juniper</t>
  </si>
  <si>
    <t>Materials Program Manager</t>
  </si>
  <si>
    <t>Water/Wastewater Engineer</t>
  </si>
  <si>
    <t>JMT</t>
  </si>
  <si>
    <t>Drainage Engineer</t>
  </si>
  <si>
    <t>KIT Civil Engineering Consultants</t>
  </si>
  <si>
    <t>KIT Professionals, Inc.</t>
  </si>
  <si>
    <t>Waste Engineer</t>
  </si>
  <si>
    <t>ABC Supply</t>
  </si>
  <si>
    <t>Inside Solar Representative</t>
  </si>
  <si>
    <t>SLDP Participant</t>
  </si>
  <si>
    <t>ADP</t>
  </si>
  <si>
    <t>Allied Electronics &amp; Automation</t>
  </si>
  <si>
    <t>Bartos Industries</t>
  </si>
  <si>
    <t>Inside Sales/Estimating</t>
  </si>
  <si>
    <t>Burns and Wilcox</t>
  </si>
  <si>
    <t>Associate Underwriter</t>
  </si>
  <si>
    <t>Cameron Ashley Building Products</t>
  </si>
  <si>
    <t>Customer Experience Representative</t>
  </si>
  <si>
    <t>Camp Olympia</t>
  </si>
  <si>
    <t>Assistant Director</t>
  </si>
  <si>
    <t>Capturing Kids Hearts</t>
  </si>
  <si>
    <t>Commercial Rep</t>
  </si>
  <si>
    <t>Cisco Systems, Inc.</t>
  </si>
  <si>
    <t>Hydrocarbon Scheduler</t>
  </si>
  <si>
    <t>Crawford Electric</t>
  </si>
  <si>
    <t>Business Technology Analyst</t>
  </si>
  <si>
    <t>Outside Sales Trainee</t>
  </si>
  <si>
    <t>ENGIE North America Inc.</t>
  </si>
  <si>
    <t>Commercial Analyst</t>
  </si>
  <si>
    <t>Engineered Products</t>
  </si>
  <si>
    <t>Epic Medical Systems</t>
  </si>
  <si>
    <t>Ferguson Enterprises</t>
  </si>
  <si>
    <t>Supply Chain Operations Trainee</t>
  </si>
  <si>
    <t>Gahagan &amp; Bryant Assoc., Inc.</t>
  </si>
  <si>
    <t>Gannett</t>
  </si>
  <si>
    <t>Social Media Marketing</t>
  </si>
  <si>
    <t>GEA of Texas Inc.</t>
  </si>
  <si>
    <t>Genesis</t>
  </si>
  <si>
    <t>Inside Technical Support</t>
  </si>
  <si>
    <t>GHX</t>
  </si>
  <si>
    <t>Hajoca</t>
  </si>
  <si>
    <t>ATL Program</t>
  </si>
  <si>
    <t>Heritage Pool Supply</t>
  </si>
  <si>
    <t>Hoar Construction, LLC</t>
  </si>
  <si>
    <t>Area Superintendent</t>
  </si>
  <si>
    <t>Houston Water Solutions</t>
  </si>
  <si>
    <t>Hughes Supply</t>
  </si>
  <si>
    <t>Program Trainee</t>
  </si>
  <si>
    <t>Hydraulic Service &amp; Supply</t>
  </si>
  <si>
    <t>Hydriaquip</t>
  </si>
  <si>
    <t>Technical Inside Sales</t>
  </si>
  <si>
    <t>Tech Sales Representative</t>
  </si>
  <si>
    <t>Infor</t>
  </si>
  <si>
    <t>Associate Solution Consultant</t>
  </si>
  <si>
    <t>SDP - Account Manager</t>
  </si>
  <si>
    <t>Sales Tech Trainee</t>
  </si>
  <si>
    <t>Sales Technician</t>
  </si>
  <si>
    <t>JVI Vibratory Equipment, Inc.</t>
  </si>
  <si>
    <t>Structural Field Engineer</t>
  </si>
  <si>
    <t>Supply Chain Specialist</t>
  </si>
  <si>
    <t>Project Planner</t>
  </si>
  <si>
    <t>Subcontractor Administrator</t>
  </si>
  <si>
    <t>Lone Star Recreation of Texas, LLC</t>
  </si>
  <si>
    <t>Luma Energy LLC</t>
  </si>
  <si>
    <t>Manager of Material Manager</t>
  </si>
  <si>
    <t>Product Associate</t>
  </si>
  <si>
    <t>Moore Supply Company</t>
  </si>
  <si>
    <t>sales</t>
  </si>
  <si>
    <t>NetSuite</t>
  </si>
  <si>
    <t>Associate Functional Consultant</t>
  </si>
  <si>
    <t>NFI Industries</t>
  </si>
  <si>
    <t>Supply Chain Trainee</t>
  </si>
  <si>
    <t>Technology Solutions Analyst</t>
  </si>
  <si>
    <t>Marketing Catalyst</t>
  </si>
  <si>
    <t>Purvis Industries</t>
  </si>
  <si>
    <t>RS Americas</t>
  </si>
  <si>
    <t>Junior Business Analyst</t>
  </si>
  <si>
    <t>RS Group</t>
  </si>
  <si>
    <t>Parts Counterman</t>
  </si>
  <si>
    <t>Contracting and Procurement</t>
  </si>
  <si>
    <t>Project Management Trainee Program</t>
  </si>
  <si>
    <t>SLSCO</t>
  </si>
  <si>
    <t>Southwest Wholesale Nursery</t>
  </si>
  <si>
    <t>Purchasing</t>
  </si>
  <si>
    <t>Spindletop Energy Products</t>
  </si>
  <si>
    <t>Deployment Trainee</t>
  </si>
  <si>
    <t>Temple Electric Supply</t>
  </si>
  <si>
    <t>Tri-Coastal Steel Trading, LLC</t>
  </si>
  <si>
    <t>Trader</t>
  </si>
  <si>
    <t>Trinity Industries</t>
  </si>
  <si>
    <t>TTI - Techtronic Industries</t>
  </si>
  <si>
    <t>College Development Trainee</t>
  </si>
  <si>
    <t>Universal Forest Products</t>
  </si>
  <si>
    <t>Vertical Roofing</t>
  </si>
  <si>
    <t>Wisenbaker Builder Services</t>
  </si>
  <si>
    <t>Special Projects Administrator</t>
  </si>
  <si>
    <t>Implementation Associate</t>
  </si>
  <si>
    <t>Alvarez &amp; Marsal</t>
  </si>
  <si>
    <t>CPI Analyst</t>
  </si>
  <si>
    <t>Safety Specialist</t>
  </si>
  <si>
    <t>ALDP Engineer</t>
  </si>
  <si>
    <t>Associate Gas Engineer</t>
  </si>
  <si>
    <t>Crane Worldwide Logistics</t>
  </si>
  <si>
    <t>Operations Analyst Engineer</t>
  </si>
  <si>
    <t>Finance Specialist</t>
  </si>
  <si>
    <t>Contracts Admin Specialist</t>
  </si>
  <si>
    <t>Frontgrade Technologies</t>
  </si>
  <si>
    <t>HB Trenchless, LLC</t>
  </si>
  <si>
    <t>Digital Sales Representative</t>
  </si>
  <si>
    <t>Global Supply Chain Network Design</t>
  </si>
  <si>
    <t>Jabian Consulting</t>
  </si>
  <si>
    <t>Human Performance Engineer</t>
  </si>
  <si>
    <t>OLDP Associate</t>
  </si>
  <si>
    <t>Operations Leadership Development</t>
  </si>
  <si>
    <t>Lone Star Analysis</t>
  </si>
  <si>
    <t>Analyst Associate</t>
  </si>
  <si>
    <t>Louis Dreyfus Company</t>
  </si>
  <si>
    <t>Method360</t>
  </si>
  <si>
    <t>NORD Gear Corporation</t>
  </si>
  <si>
    <t>Process &amp; Technology Consultant</t>
  </si>
  <si>
    <t>Business Transformation Analyst</t>
  </si>
  <si>
    <t>P&amp;G (Proctor &amp; Gamble)</t>
  </si>
  <si>
    <t>Process Engineer Manager</t>
  </si>
  <si>
    <t>Samson Controls Inc.</t>
  </si>
  <si>
    <t>OLDP</t>
  </si>
  <si>
    <t>Global Development Rotational Program</t>
  </si>
  <si>
    <t>Solugenix</t>
  </si>
  <si>
    <t>Lead IT Professional</t>
  </si>
  <si>
    <t>Syzygy Plasmonics</t>
  </si>
  <si>
    <t>Business and Operations Rotational Program</t>
  </si>
  <si>
    <t>Business Operations Rotational Associate</t>
  </si>
  <si>
    <t>IT Rotation Program</t>
  </si>
  <si>
    <t>Program Management Engineer</t>
  </si>
  <si>
    <t>Human Systems Engineer</t>
  </si>
  <si>
    <t>Project Planning &amp; Management Analyst</t>
  </si>
  <si>
    <t>Vehicle Logistics Trainee</t>
  </si>
  <si>
    <t>TRDI, Inc.</t>
  </si>
  <si>
    <t>Field Operations Engineer</t>
  </si>
  <si>
    <t>United Airlines</t>
  </si>
  <si>
    <t>Vaughn Construction</t>
  </si>
  <si>
    <t>09 Solutions</t>
  </si>
  <si>
    <t>Business Operations Specialist</t>
  </si>
  <si>
    <t>Commodity Manager</t>
  </si>
  <si>
    <t>Technical Program Manager</t>
  </si>
  <si>
    <t>Lead Prescriptive Analyst</t>
  </si>
  <si>
    <t>Bay Advanced Technologies</t>
  </si>
  <si>
    <t>Quality and Reliability Engineer</t>
  </si>
  <si>
    <t>Bhagwan Enterprise Textiles PVT LTD</t>
  </si>
  <si>
    <t>Bunge North America</t>
  </si>
  <si>
    <t>Global Leadership</t>
  </si>
  <si>
    <t>CHS Inc</t>
  </si>
  <si>
    <t>Continuous Improvement Specialist</t>
  </si>
  <si>
    <t>Purchasing and Supply Continuity Specialist</t>
  </si>
  <si>
    <t>Design Infiniti</t>
  </si>
  <si>
    <t>Strategic Planner</t>
  </si>
  <si>
    <t>Foxconn Assembly LLC</t>
  </si>
  <si>
    <t>Madix, Inc.</t>
  </si>
  <si>
    <t>Loan Process Engineering</t>
  </si>
  <si>
    <t>Corporate Engineer</t>
  </si>
  <si>
    <t>Terminix</t>
  </si>
  <si>
    <t>Senior Data Scientist</t>
  </si>
  <si>
    <t>Associate Program Manager</t>
  </si>
  <si>
    <t>Material Flow Systems Engineer</t>
  </si>
  <si>
    <t>Supply Operations Analyst</t>
  </si>
  <si>
    <t>Logistics Packaging Engines</t>
  </si>
  <si>
    <t>Zipline</t>
  </si>
  <si>
    <t>SDE</t>
  </si>
  <si>
    <t>Automotive Engineer</t>
  </si>
  <si>
    <t>SIL International</t>
  </si>
  <si>
    <t>Audio Engineer</t>
  </si>
  <si>
    <t>ViaSat, Inc.</t>
  </si>
  <si>
    <t>Hanwha Aerospace</t>
  </si>
  <si>
    <t>The Kraft Heinz Company</t>
  </si>
  <si>
    <t>Alloy Machine Works</t>
  </si>
  <si>
    <t>Betacom</t>
  </si>
  <si>
    <t>I 3 Corp</t>
  </si>
  <si>
    <t>Integrated Machinery Solutions</t>
  </si>
  <si>
    <t>Engineer Technologist I</t>
  </si>
  <si>
    <t>Oakridge Bellows</t>
  </si>
  <si>
    <t>TDC2</t>
  </si>
  <si>
    <t>The Quikrete Companies, Inc.</t>
  </si>
  <si>
    <t>Plant Manager Trainee</t>
  </si>
  <si>
    <t>U.S. Bolt Manufacturing Inc</t>
  </si>
  <si>
    <t>Ultimate Top Drives Inc.</t>
  </si>
  <si>
    <t>Associate Product Manager</t>
  </si>
  <si>
    <t>College Ministry Resident</t>
  </si>
  <si>
    <t>Rubber Polymer Engineer</t>
  </si>
  <si>
    <t>Material Engineer</t>
  </si>
  <si>
    <t>Product Realization Engineer</t>
  </si>
  <si>
    <t>Materials, Process &amp; Physics Engineering</t>
  </si>
  <si>
    <t>Chemical and Material Engineer</t>
  </si>
  <si>
    <t>Sarens</t>
  </si>
  <si>
    <t>Junior Project Engineer</t>
  </si>
  <si>
    <t>Senior Research Specialist</t>
  </si>
  <si>
    <t>Saint Gobain NorPro</t>
  </si>
  <si>
    <t>Research Information Analyst</t>
  </si>
  <si>
    <t>Schunt XyCarb Technology</t>
  </si>
  <si>
    <t>Process Developer Engineer</t>
  </si>
  <si>
    <t>Acutronic USA Inc</t>
  </si>
  <si>
    <t>Additive Manufacturing Engineer</t>
  </si>
  <si>
    <t>Blast Effects Co-op Student</t>
  </si>
  <si>
    <t>Aspire  Program</t>
  </si>
  <si>
    <t>Barry Wehmiller Paper Systems</t>
  </si>
  <si>
    <t>BASF Agricultural Solutions</t>
  </si>
  <si>
    <t>Construction Engineer</t>
  </si>
  <si>
    <t>Boeing Intelligence and Analytics</t>
  </si>
  <si>
    <t>ERDP</t>
  </si>
  <si>
    <t>LTDP Operations Rotational Program</t>
  </si>
  <si>
    <t>Rotational Development Program</t>
  </si>
  <si>
    <t>Chemex, LLC</t>
  </si>
  <si>
    <t>Coretrax Americas Limited</t>
  </si>
  <si>
    <t>CytonomeST</t>
  </si>
  <si>
    <t>Business Tech Solutions</t>
  </si>
  <si>
    <t>Strategy Analyst</t>
  </si>
  <si>
    <t>Epiroc Drilling Solutions LLC</t>
  </si>
  <si>
    <t>Manufacturing Intern</t>
  </si>
  <si>
    <t>Strategy &amp; Transaction Associate</t>
  </si>
  <si>
    <t>Factor Mutual Global</t>
  </si>
  <si>
    <t>Plan Review Consultant</t>
  </si>
  <si>
    <t>Federal Employee Advocates</t>
  </si>
  <si>
    <t>Appointment Setter</t>
  </si>
  <si>
    <t>Force Corporation</t>
  </si>
  <si>
    <t>Plant Estimator &amp; Designer</t>
  </si>
  <si>
    <t>Formentera Operations</t>
  </si>
  <si>
    <t>Transmission &amp; Utilities Engineer</t>
  </si>
  <si>
    <t>French Engineering, LLC</t>
  </si>
  <si>
    <t>Global Markets Analyst</t>
  </si>
  <si>
    <t>Heat Transfer Solutions, Inc</t>
  </si>
  <si>
    <t>Hilco</t>
  </si>
  <si>
    <t>Process and Design Engineer</t>
  </si>
  <si>
    <t>Manufacturing Equipment Engineer</t>
  </si>
  <si>
    <t>Infrastructure &amp; Energy Alternatives</t>
  </si>
  <si>
    <t>New Development Quality Engineer</t>
  </si>
  <si>
    <t>Structural Integrity Engineer</t>
  </si>
  <si>
    <t>Piping Engineer</t>
  </si>
  <si>
    <t>Pipeline Engineer I</t>
  </si>
  <si>
    <t>Structural Engineer Associate</t>
  </si>
  <si>
    <t>Hydrodynamic Engineer</t>
  </si>
  <si>
    <t>LG Energy Solution Michigan</t>
  </si>
  <si>
    <t>Operations Leadership Development Associate</t>
  </si>
  <si>
    <t>A&amp;D Engineer</t>
  </si>
  <si>
    <t>Nuclear Facilities Engineer</t>
  </si>
  <si>
    <t>Production Analyst</t>
  </si>
  <si>
    <t>Melissa &amp; Doug</t>
  </si>
  <si>
    <t>Associate Product Design Engineer</t>
  </si>
  <si>
    <t>Process Team Support Engineer</t>
  </si>
  <si>
    <t>Associate Aeronautical Engineer</t>
  </si>
  <si>
    <t>Rotational EDP Engineer</t>
  </si>
  <si>
    <t>Associate Scientist</t>
  </si>
  <si>
    <t>PAE Government Services</t>
  </si>
  <si>
    <t>Pressure Maintenance Engineer</t>
  </si>
  <si>
    <t>PING Golf</t>
  </si>
  <si>
    <t>Pratt-Miller Corvette Racing</t>
  </si>
  <si>
    <t>Motorsports Intern</t>
  </si>
  <si>
    <t>Probe Incorporated</t>
  </si>
  <si>
    <t>Purdy-McGuire Inc</t>
  </si>
  <si>
    <t>Systems Integration</t>
  </si>
  <si>
    <t>Ritens</t>
  </si>
  <si>
    <t>Sager</t>
  </si>
  <si>
    <t>Sandy Creek Bible Camp</t>
  </si>
  <si>
    <t>Core Staff</t>
  </si>
  <si>
    <t>Integration and Test Engineer</t>
  </si>
  <si>
    <t>Strategic Mechanical Engineer</t>
  </si>
  <si>
    <t>IRM Products Engineer</t>
  </si>
  <si>
    <t>Rotational NET Engineer</t>
  </si>
  <si>
    <t>Universal Creative</t>
  </si>
  <si>
    <t>Verizon Leadership Development Program</t>
  </si>
  <si>
    <t>Whirlpool</t>
  </si>
  <si>
    <t>WERLD Program</t>
  </si>
  <si>
    <t>Zupt LLC</t>
  </si>
  <si>
    <t>Staff Mechanical Engineer</t>
  </si>
  <si>
    <t>Command Commissioning, LLC</t>
  </si>
  <si>
    <t>Application Support Engineer</t>
  </si>
  <si>
    <t>Enerfin</t>
  </si>
  <si>
    <t>General Atomics</t>
  </si>
  <si>
    <t>Houston Advanced Research Center</t>
  </si>
  <si>
    <t>Leidos - NASA Johnson Space Center</t>
  </si>
  <si>
    <t>Ommo Technologies</t>
  </si>
  <si>
    <t>Phaidra</t>
  </si>
  <si>
    <t>Redwood Materials</t>
  </si>
  <si>
    <t>Schlumberger ePrime</t>
  </si>
  <si>
    <t>Crash Test Engineer</t>
  </si>
  <si>
    <t>Ursa Major</t>
  </si>
  <si>
    <t>Watts Water Technologies</t>
  </si>
  <si>
    <t>AM Batteries Inc</t>
  </si>
  <si>
    <t>ANSYS, Inc.</t>
  </si>
  <si>
    <t>OpsLab</t>
  </si>
  <si>
    <t>Operations Research Engineer</t>
  </si>
  <si>
    <t>Simulation Engineer</t>
  </si>
  <si>
    <t>EControls | FW Murphy Production Controls</t>
  </si>
  <si>
    <t>Security Systems Administrator</t>
  </si>
  <si>
    <t>Kongsberg Automotive</t>
  </si>
  <si>
    <t>System Engineer I</t>
  </si>
  <si>
    <t>Machina Automation</t>
  </si>
  <si>
    <t>Omron</t>
  </si>
  <si>
    <t>Maintenance Manufacturing</t>
  </si>
  <si>
    <t>Pearland ISD</t>
  </si>
  <si>
    <t>Space Mobil</t>
  </si>
  <si>
    <t>Electro-mechanical Technician I</t>
  </si>
  <si>
    <t>Square Root</t>
  </si>
  <si>
    <t>Test Tech Associates</t>
  </si>
  <si>
    <t>Radiation Health Specialist</t>
  </si>
  <si>
    <t>Radiological Health Engineer</t>
  </si>
  <si>
    <t>Nuclear Plant Equipment Operator</t>
  </si>
  <si>
    <t>Fluor Marine Propulsion</t>
  </si>
  <si>
    <t>Desk Engineer</t>
  </si>
  <si>
    <t>Waste Control Specialists LLC</t>
  </si>
  <si>
    <t>X-energy</t>
  </si>
  <si>
    <t>Neutronics Analyst</t>
  </si>
  <si>
    <t>Ministry of Energy and Natural Resources of Republ</t>
  </si>
  <si>
    <t>Thermal Analysis Engineer</t>
  </si>
  <si>
    <t>Aspire Rotational Engineer</t>
  </si>
  <si>
    <t>Blackfin Offshore</t>
  </si>
  <si>
    <t>Subsea Project Engineer</t>
  </si>
  <si>
    <t>GBA: Architecture, Engineering, and Construction S</t>
  </si>
  <si>
    <t>Shift Engineer</t>
  </si>
  <si>
    <t>Ocean Engineer</t>
  </si>
  <si>
    <t>LJR Engineering</t>
  </si>
  <si>
    <t>Onesource Amusements</t>
  </si>
  <si>
    <t>Advanced Stimulation Technology</t>
  </si>
  <si>
    <t>Ameredev</t>
  </si>
  <si>
    <t>Lonquist &amp; Co., LLC</t>
  </si>
  <si>
    <t>Marathon Oil</t>
  </si>
  <si>
    <t>Production</t>
  </si>
  <si>
    <t>Silverback Exploration LLC</t>
  </si>
  <si>
    <t>Production/Facilities Engineer</t>
  </si>
  <si>
    <t>Field Engineer Trainee</t>
  </si>
  <si>
    <t>PetroTechnical Engineer</t>
  </si>
  <si>
    <t>Remote Operations Field Engineer</t>
  </si>
  <si>
    <t>MPD Engineering - Next Gen</t>
  </si>
  <si>
    <t>Welltel</t>
  </si>
  <si>
    <t>Wildfire Energy LLC</t>
  </si>
  <si>
    <t>Production Engineering Analyst</t>
  </si>
  <si>
    <t>Wells Horizon Engineer</t>
  </si>
  <si>
    <t>Workover and Completions Supervisor</t>
  </si>
  <si>
    <t>Pioctek</t>
  </si>
  <si>
    <t>Research Institute of Petroleum and Development</t>
  </si>
  <si>
    <t>Axis Communications</t>
  </si>
  <si>
    <t>BECU</t>
  </si>
  <si>
    <t>Senior Data Protection Operating Engineer</t>
  </si>
  <si>
    <t>Bombardier</t>
  </si>
  <si>
    <t>Supply Chain Management Specialist</t>
  </si>
  <si>
    <t>Gainwell Technologies</t>
  </si>
  <si>
    <t>Senior Manager</t>
  </si>
  <si>
    <t>Construction Project Manager</t>
  </si>
  <si>
    <t>Account Technical Leader</t>
  </si>
  <si>
    <t>Operations Manager</t>
  </si>
  <si>
    <t>Program Director for Institutional Computing</t>
  </si>
  <si>
    <t>Critical Facility Engineer</t>
  </si>
  <si>
    <t>Federal Project Manager</t>
  </si>
  <si>
    <t>Director Development Engineering Execution</t>
  </si>
  <si>
    <t>Senior Project Engineer</t>
  </si>
  <si>
    <t>Help Desk Analyst</t>
  </si>
  <si>
    <t>Cyber Watch Systems</t>
  </si>
  <si>
    <t>Senior Consultant</t>
  </si>
  <si>
    <t>EGCS</t>
  </si>
  <si>
    <t>Representative</t>
  </si>
  <si>
    <t>IE Connectivity</t>
  </si>
  <si>
    <t>ITCubed</t>
  </si>
  <si>
    <t>Politon Inc</t>
  </si>
  <si>
    <t>Signify Lighting</t>
  </si>
  <si>
    <t>Technical Writer</t>
  </si>
  <si>
    <t>Sky Ranch Christian Camps Inc.</t>
  </si>
  <si>
    <t>Texas A&amp;M University - Police Department</t>
  </si>
  <si>
    <t>Police Communications Officer</t>
  </si>
  <si>
    <t>Program Coordinator</t>
  </si>
  <si>
    <t>Texas A&amp;M University - Technology Services for Col</t>
  </si>
  <si>
    <t>IT Programmer</t>
  </si>
  <si>
    <t>Aerojet Rocketdym</t>
  </si>
  <si>
    <t>Associate Structures Engineer</t>
  </si>
  <si>
    <t>Flight Test / Systems Engineer</t>
  </si>
  <si>
    <t>Army Test and Evaluation Command</t>
  </si>
  <si>
    <t>Axiom Space</t>
  </si>
  <si>
    <t>Entry Level Engineer</t>
  </si>
  <si>
    <t>Flight Operations GNC Engineering</t>
  </si>
  <si>
    <t>Design and Analysis Engineer</t>
  </si>
  <si>
    <t>Boeing Defense</t>
  </si>
  <si>
    <t>System Design &amp; Analysis</t>
  </si>
  <si>
    <t>Fulcrum Engineering</t>
  </si>
  <si>
    <t>Associate Aerospace Engineer</t>
  </si>
  <si>
    <t>Huntington Ingalls Industries</t>
  </si>
  <si>
    <t>Flight Dynamics</t>
  </si>
  <si>
    <t>J&amp;K Technologies</t>
  </si>
  <si>
    <t>Performance Engineer</t>
  </si>
  <si>
    <t>Lifeport</t>
  </si>
  <si>
    <t>F-35 Manufacturing Engineer</t>
  </si>
  <si>
    <t>Flight Test Instrumentation Operator</t>
  </si>
  <si>
    <t>Guidance, Navigation &amp; Control Engineer</t>
  </si>
  <si>
    <t>Mechanical Electrical Engineer</t>
  </si>
  <si>
    <t>Power &amp; Thermal Management Engineer</t>
  </si>
  <si>
    <t>Systems Engineering  Associate</t>
  </si>
  <si>
    <t>Research &amp; Development Engineer</t>
  </si>
  <si>
    <t>NASA Jet Propulsion Laboratory</t>
  </si>
  <si>
    <t>NAVAIR</t>
  </si>
  <si>
    <t>Noah's Ark Whitewater Rafting</t>
  </si>
  <si>
    <t>Raft Guide</t>
  </si>
  <si>
    <t>NGI Associate Mechanical Engineer</t>
  </si>
  <si>
    <t>Field Service Analyst</t>
  </si>
  <si>
    <t>Raytheon Intelligence &amp; Space</t>
  </si>
  <si>
    <t>Recaro</t>
  </si>
  <si>
    <t>Certification Enineering</t>
  </si>
  <si>
    <t>Dynamics Engineer</t>
  </si>
  <si>
    <t>Pilot Select</t>
  </si>
  <si>
    <t>GNC Software Engineer</t>
  </si>
  <si>
    <t>Systems Test and Qualification</t>
  </si>
  <si>
    <t>JT4</t>
  </si>
  <si>
    <t>Test Analyst</t>
  </si>
  <si>
    <t>Lockheed Martin Aeronautics</t>
  </si>
  <si>
    <t>Control Research Engineer</t>
  </si>
  <si>
    <t>Aerospace Software Engineer</t>
  </si>
  <si>
    <t>Warheads Engineer</t>
  </si>
  <si>
    <t>Taco Bell</t>
  </si>
  <si>
    <t>Nightshift Associate Manager</t>
  </si>
  <si>
    <t>Renselaer Polytechnic Institute</t>
  </si>
  <si>
    <t>University of Michigan</t>
  </si>
  <si>
    <t>ARCO / Murray</t>
  </si>
  <si>
    <t>Brockette Davis Drake</t>
  </si>
  <si>
    <t>CMCODI</t>
  </si>
  <si>
    <t>Element Structural Engineers</t>
  </si>
  <si>
    <t>Structural Designer 1</t>
  </si>
  <si>
    <t>HOAR Construction</t>
  </si>
  <si>
    <t>MHHS</t>
  </si>
  <si>
    <t>Consultant Electrical Engineer</t>
  </si>
  <si>
    <t>Mechanical Engineering Consultant</t>
  </si>
  <si>
    <t>Abbott Cardiovascular</t>
  </si>
  <si>
    <t>Cardiac Anthem Management Clinical Specialist</t>
  </si>
  <si>
    <t>AMD Metal Works</t>
  </si>
  <si>
    <t>Analog Devices Inc</t>
  </si>
  <si>
    <t>Product Application Engineer</t>
  </si>
  <si>
    <t>Barry Wehmiller Design Group</t>
  </si>
  <si>
    <t>Bio-rad Laboratory Incorporated</t>
  </si>
  <si>
    <t>Biostable</t>
  </si>
  <si>
    <t>Clinical Representative</t>
  </si>
  <si>
    <t>Bristol Myers Squibb</t>
  </si>
  <si>
    <t>Rotational Associate</t>
  </si>
  <si>
    <t>CardioQuip</t>
  </si>
  <si>
    <t>CPRIT</t>
  </si>
  <si>
    <t>iBio Inc</t>
  </si>
  <si>
    <t>Medtronic; Inc</t>
  </si>
  <si>
    <t>Millar, Inc</t>
  </si>
  <si>
    <t>DEM Engineer</t>
  </si>
  <si>
    <t>Network Partners</t>
  </si>
  <si>
    <t>New Braunfels Christian Academy</t>
  </si>
  <si>
    <t>Quorum Software</t>
  </si>
  <si>
    <t>Technical Engineer</t>
  </si>
  <si>
    <t>Texas A&amp;M Small Animal Hospital</t>
  </si>
  <si>
    <t>Cardiopathology Lab</t>
  </si>
  <si>
    <t>University of California, San Francisco</t>
  </si>
  <si>
    <t>Research Specialist</t>
  </si>
  <si>
    <t>Veeva System</t>
  </si>
  <si>
    <t>Rhythmia Mapping Specialist</t>
  </si>
  <si>
    <t>CAI</t>
  </si>
  <si>
    <t>Parexel</t>
  </si>
  <si>
    <t>Clinical Research Coordinator</t>
  </si>
  <si>
    <t>Argonee National Labs</t>
  </si>
  <si>
    <t>Avenda Health</t>
  </si>
  <si>
    <t>Project Engineer II</t>
  </si>
  <si>
    <t>Associate Clinical Trial Manager</t>
  </si>
  <si>
    <t>Professor of Instruction</t>
  </si>
  <si>
    <t>ATUM</t>
  </si>
  <si>
    <t>Well Line Development Production</t>
  </si>
  <si>
    <t>Ginkgo Bioworks</t>
  </si>
  <si>
    <t>Mammalian Engineer</t>
  </si>
  <si>
    <t>iBio Inc.</t>
  </si>
  <si>
    <t>Immatics</t>
  </si>
  <si>
    <t>A114</t>
  </si>
  <si>
    <t>ALLEX Rotational Engineer</t>
  </si>
  <si>
    <t>Alpine Achievers Initiative</t>
  </si>
  <si>
    <t>Student Engagement Specialist</t>
  </si>
  <si>
    <t>Altivia Specialty Chemicals</t>
  </si>
  <si>
    <t>Technology Services Management Trainee</t>
  </si>
  <si>
    <t>AstraZeneca</t>
  </si>
  <si>
    <t>Processing Engineer</t>
  </si>
  <si>
    <t>Chemical Process Engineer</t>
  </si>
  <si>
    <t>Cargill; Inc</t>
  </si>
  <si>
    <t>Continuous Improvement Associate</t>
  </si>
  <si>
    <t>Engineer Sales Consultant</t>
  </si>
  <si>
    <t>Coffeyville Resources Nitrogen Fertilizers</t>
  </si>
  <si>
    <t>Process Chemical Engineer I</t>
  </si>
  <si>
    <t>Contech Control Services</t>
  </si>
  <si>
    <t>Associate Control Systems Specialist</t>
  </si>
  <si>
    <t>Delek US</t>
  </si>
  <si>
    <t>DOW Chemical</t>
  </si>
  <si>
    <t>Development Rotational Engineer</t>
  </si>
  <si>
    <t>Evonik Corporation</t>
  </si>
  <si>
    <t>Process Contact Engineer</t>
  </si>
  <si>
    <t>Process Contract Engineer</t>
  </si>
  <si>
    <t>Unit Contact Engineer</t>
  </si>
  <si>
    <t>High Radius Company</t>
  </si>
  <si>
    <t>Industrial Valuation Services</t>
  </si>
  <si>
    <t>Valuation Engineer</t>
  </si>
  <si>
    <t>REACH Process Engineer</t>
  </si>
  <si>
    <t>Kristen Polymers</t>
  </si>
  <si>
    <t>KVaton</t>
  </si>
  <si>
    <t>Lam Research</t>
  </si>
  <si>
    <t>Mary Kay Global</t>
  </si>
  <si>
    <t>Moderna</t>
  </si>
  <si>
    <t>Quorum Buisness Solutions</t>
  </si>
  <si>
    <t>CORP Engineer</t>
  </si>
  <si>
    <t>CORP Program</t>
  </si>
  <si>
    <t>Offshore Support Engineerr</t>
  </si>
  <si>
    <t>Sherwin Williams</t>
  </si>
  <si>
    <t>LD R&amp;D</t>
  </si>
  <si>
    <t>SUEZ Water Technologies, Indorama Ventures</t>
  </si>
  <si>
    <t>Tesla; Inc.</t>
  </si>
  <si>
    <t>Unilever</t>
  </si>
  <si>
    <t>Nuclear Propulsion Officer</t>
  </si>
  <si>
    <t>Submarine Warfare Officer</t>
  </si>
  <si>
    <t>Associate Environmental Engineer</t>
  </si>
  <si>
    <t>Wipro</t>
  </si>
  <si>
    <t>Wood, PLC</t>
  </si>
  <si>
    <t>Leadership Structural Program</t>
  </si>
  <si>
    <t>Demetrix</t>
  </si>
  <si>
    <t>Software Research Engineer</t>
  </si>
  <si>
    <t>Marshall University</t>
  </si>
  <si>
    <t>PoLis</t>
  </si>
  <si>
    <t>Postdoctoral Fellow</t>
  </si>
  <si>
    <t>A &amp; S Engineers</t>
  </si>
  <si>
    <t>A&amp;S Engineers; Inc.</t>
  </si>
  <si>
    <t>Entry Level Transportation Engineer</t>
  </si>
  <si>
    <t>AMCI Develpment</t>
  </si>
  <si>
    <t>Austin Bridge &amp; Road Inc</t>
  </si>
  <si>
    <t>EIT Site Development</t>
  </si>
  <si>
    <t>Transportation Engineer EIT</t>
  </si>
  <si>
    <t>Binkley &amp; Barfield; Inc.</t>
  </si>
  <si>
    <t>EDGE- Civil Engineer I</t>
  </si>
  <si>
    <t>CP&amp;Y</t>
  </si>
  <si>
    <t>DOWL</t>
  </si>
  <si>
    <t>Garver Engineering</t>
  </si>
  <si>
    <t>Transportation EIT</t>
  </si>
  <si>
    <t>Hewitt Dental Inc.</t>
  </si>
  <si>
    <t>Huitt-Zollars</t>
  </si>
  <si>
    <t>HZB Engineering</t>
  </si>
  <si>
    <t>EIT</t>
  </si>
  <si>
    <t>Jones Carter / Quiddity</t>
  </si>
  <si>
    <t>Jones/Carter</t>
  </si>
  <si>
    <t>Kasberg, Patricks &amp; Associates, LLC</t>
  </si>
  <si>
    <t>Keller North America</t>
  </si>
  <si>
    <t>LTA Engineering, Inc</t>
  </si>
  <si>
    <t>Designer I</t>
  </si>
  <si>
    <t>Pacheco Koch  a Westwood Company</t>
  </si>
  <si>
    <t>Pape Dawson Engineers, Inc.</t>
  </si>
  <si>
    <t>EIT I</t>
  </si>
  <si>
    <t>EIT Level 1</t>
  </si>
  <si>
    <t>R.G. Miller</t>
  </si>
  <si>
    <t>Racheco Koch a Westwood Company</t>
  </si>
  <si>
    <t>Schultz-Burman</t>
  </si>
  <si>
    <t>Skanska Koch</t>
  </si>
  <si>
    <t>Spiars Engineering</t>
  </si>
  <si>
    <t>Civil EIT</t>
  </si>
  <si>
    <t>Steel Fab Texas</t>
  </si>
  <si>
    <t>Project Manager Assistant</t>
  </si>
  <si>
    <t>Teagie Nall &amp; Perkins</t>
  </si>
  <si>
    <t>Teagie Nall and Perkins</t>
  </si>
  <si>
    <t>Land Development Civil Engineer</t>
  </si>
  <si>
    <t>Texas Department of Transportation</t>
  </si>
  <si>
    <t>Timmons Group</t>
  </si>
  <si>
    <t>Ulteig</t>
  </si>
  <si>
    <t>Union Company</t>
  </si>
  <si>
    <t>Cyberspace Operation Officer</t>
  </si>
  <si>
    <t>US Government</t>
  </si>
  <si>
    <t>WB INC</t>
  </si>
  <si>
    <t>Westwood Professional Service</t>
  </si>
  <si>
    <t>Associate Discipline Manager</t>
  </si>
  <si>
    <t>Baker Risk</t>
  </si>
  <si>
    <t>Structures Consultant</t>
  </si>
  <si>
    <t>Bliss &amp; Nyitray</t>
  </si>
  <si>
    <t>Cadence McShane Construction</t>
  </si>
  <si>
    <t>Traffic Coordinator/ EIT</t>
  </si>
  <si>
    <t>IMEG Corporation</t>
  </si>
  <si>
    <t>Infiltrator Water Technologies</t>
  </si>
  <si>
    <t>KPA Engineers</t>
  </si>
  <si>
    <t>KSS Engineer</t>
  </si>
  <si>
    <t>Langan Engineering</t>
  </si>
  <si>
    <t>NDR</t>
  </si>
  <si>
    <t>STV</t>
  </si>
  <si>
    <t>Project Controls Specialist</t>
  </si>
  <si>
    <t>Tellepsen</t>
  </si>
  <si>
    <t>BIM Engineer</t>
  </si>
  <si>
    <t>Traffic Control Structures Engineering Assistant</t>
  </si>
  <si>
    <t>Thornton Tomasetti</t>
  </si>
  <si>
    <t>Civil Engineer Corps Officer</t>
  </si>
  <si>
    <t>Walsh Group</t>
  </si>
  <si>
    <t>Georgia Institute of Technology</t>
  </si>
  <si>
    <t>Principal Structural Engineer</t>
  </si>
  <si>
    <t>Overair</t>
  </si>
  <si>
    <t>TEES</t>
  </si>
  <si>
    <t>University of Toronto</t>
  </si>
  <si>
    <t>Atec, Inc.</t>
  </si>
  <si>
    <t>System Design Engineer</t>
  </si>
  <si>
    <t>Associate Cybersecurity Engineer</t>
  </si>
  <si>
    <t>Coastal Custom Home Plans</t>
  </si>
  <si>
    <t>AutoCAD Designer</t>
  </si>
  <si>
    <t>Edgile, LLC</t>
  </si>
  <si>
    <t>Ericson</t>
  </si>
  <si>
    <t>Gen X Comm</t>
  </si>
  <si>
    <t>Core Engineering Analyst</t>
  </si>
  <si>
    <t>Inmar Intelligence</t>
  </si>
  <si>
    <t>IPI Global</t>
  </si>
  <si>
    <t>JPMorgan Chase</t>
  </si>
  <si>
    <t>LGS Labs, CACI Inc.</t>
  </si>
  <si>
    <t>Metecs</t>
  </si>
  <si>
    <t>System Application Engineer</t>
  </si>
  <si>
    <t>Prelude Dynamics</t>
  </si>
  <si>
    <t>CPU Design Engineer</t>
  </si>
  <si>
    <t>Cyberoperations Officer</t>
  </si>
  <si>
    <t>Duke University</t>
  </si>
  <si>
    <t>Platform Architect</t>
  </si>
  <si>
    <t>Amazon Robotics</t>
  </si>
  <si>
    <t>Barry Wehmiller  design Group</t>
  </si>
  <si>
    <t>Fast CAD Methodology Services</t>
  </si>
  <si>
    <t>Oata Enigineer</t>
  </si>
  <si>
    <t>Microprocessor Validation</t>
  </si>
  <si>
    <t>Joby Ariatron</t>
  </si>
  <si>
    <t>Embedded Software</t>
  </si>
  <si>
    <t>Software Development Programmer</t>
  </si>
  <si>
    <t>Labbatt Inc.</t>
  </si>
  <si>
    <t>Major Key Technologies</t>
  </si>
  <si>
    <t>Technical Assistant</t>
  </si>
  <si>
    <t>Meridian LTE LLC</t>
  </si>
  <si>
    <t>Systems Administrator Assistant</t>
  </si>
  <si>
    <t>SAP</t>
  </si>
  <si>
    <t>Security Austin Semiconductor</t>
  </si>
  <si>
    <t>US Space Force</t>
  </si>
  <si>
    <t>Developmental Engineer</t>
  </si>
  <si>
    <t>YUM Brands</t>
  </si>
  <si>
    <t>Entry Level SRE</t>
  </si>
  <si>
    <t>Software Design Engineer</t>
  </si>
  <si>
    <t>Kowert, Hood, Munyon, Rankin &amp; Goetzel</t>
  </si>
  <si>
    <t>Audit Analyst</t>
  </si>
  <si>
    <t>Software &amp; Platform Engineer</t>
  </si>
  <si>
    <t>Tech Dev Program Associate</t>
  </si>
  <si>
    <t>Technical Development Program Associate</t>
  </si>
  <si>
    <t>Technical Development Program Software Engineer</t>
  </si>
  <si>
    <t>Technology Development</t>
  </si>
  <si>
    <t>Technology Development Associate</t>
  </si>
  <si>
    <t>Carmax</t>
  </si>
  <si>
    <t>Chewy</t>
  </si>
  <si>
    <t>Digital Software Engineer Interim Analyst</t>
  </si>
  <si>
    <t>Cognizant</t>
  </si>
  <si>
    <t>Frontal Software Developer</t>
  </si>
  <si>
    <t>Security Rotational Analyst</t>
  </si>
  <si>
    <t>Coursera</t>
  </si>
  <si>
    <t>Solutions Analyst</t>
  </si>
  <si>
    <t>Enduring Games</t>
  </si>
  <si>
    <t>ASFC Design</t>
  </si>
  <si>
    <t>Facebook</t>
  </si>
  <si>
    <t>FAST Enterprises</t>
  </si>
  <si>
    <t>Implementation Specialist</t>
  </si>
  <si>
    <t>Federal Government</t>
  </si>
  <si>
    <t>Garmin International</t>
  </si>
  <si>
    <t>Gearbox Entertainment</t>
  </si>
  <si>
    <t>Associate Gameplay Programmer</t>
  </si>
  <si>
    <t>Jr. Robotics Engineer</t>
  </si>
  <si>
    <t>Home Depot</t>
  </si>
  <si>
    <t>HP</t>
  </si>
  <si>
    <t>Iaclv System LLC</t>
  </si>
  <si>
    <t>Iti-Rez Studios</t>
  </si>
  <si>
    <t>Senior Gameplay Programmer</t>
  </si>
  <si>
    <t>Jane Street Captial</t>
  </si>
  <si>
    <t>Jr Software Developer</t>
  </si>
  <si>
    <t>Lids</t>
  </si>
  <si>
    <t>MarkLogic</t>
  </si>
  <si>
    <t>Database Software Engineer</t>
  </si>
  <si>
    <t>Mathworks</t>
  </si>
  <si>
    <t>Engineering Development Group</t>
  </si>
  <si>
    <t>Mouser Electronics</t>
  </si>
  <si>
    <t>Developer I</t>
  </si>
  <si>
    <t>Nuro</t>
  </si>
  <si>
    <t>Application Security Analyst</t>
  </si>
  <si>
    <t>Cybersecurity Privacy Consultant</t>
  </si>
  <si>
    <t>Technology Developer Associate</t>
  </si>
  <si>
    <t>SWE Associate</t>
  </si>
  <si>
    <t>Raycom</t>
  </si>
  <si>
    <t>Software Developer I</t>
  </si>
  <si>
    <t>SAIC/NASA</t>
  </si>
  <si>
    <t>VR Developer Intern</t>
  </si>
  <si>
    <t>Salesforce</t>
  </si>
  <si>
    <t>Associate Technical Consultant</t>
  </si>
  <si>
    <t>Synchrogrid</t>
  </si>
  <si>
    <t>Scientific Software Engineer</t>
  </si>
  <si>
    <t>Information Technology</t>
  </si>
  <si>
    <t>The Hartford</t>
  </si>
  <si>
    <t>Two Sigma</t>
  </si>
  <si>
    <t>PAQ Computer Scientist</t>
  </si>
  <si>
    <t>Space Operations Officer</t>
  </si>
  <si>
    <t>VM Ware</t>
  </si>
  <si>
    <t>ADOBG</t>
  </si>
  <si>
    <t>Advanta Seed</t>
  </si>
  <si>
    <t>Software Developer &amp; Integrator</t>
  </si>
  <si>
    <t>Bill.com</t>
  </si>
  <si>
    <t>Solution Engineering Analyst</t>
  </si>
  <si>
    <t>ESRI</t>
  </si>
  <si>
    <t>Sam's Club</t>
  </si>
  <si>
    <t>SOLUTE</t>
  </si>
  <si>
    <t>HR Officer</t>
  </si>
  <si>
    <t>JPC</t>
  </si>
  <si>
    <t>Walt Disney Animation Studio</t>
  </si>
  <si>
    <t>Cybersecurity Associate</t>
  </si>
  <si>
    <t>Hexaware</t>
  </si>
  <si>
    <t>NTT Data</t>
  </si>
  <si>
    <t>Digital Transformation Consultant</t>
  </si>
  <si>
    <t>Tennessee Department of Treasury</t>
  </si>
  <si>
    <t>Teradata</t>
  </si>
  <si>
    <t>TAP Architect Analyst</t>
  </si>
  <si>
    <t>ARM Automation</t>
  </si>
  <si>
    <t>System Integration Engineer</t>
  </si>
  <si>
    <t>Electrical Subsystem Design Engineer</t>
  </si>
  <si>
    <t>British Petroleum</t>
  </si>
  <si>
    <t>Brookneal OSB</t>
  </si>
  <si>
    <t>Assistant Distribution Engineer</t>
  </si>
  <si>
    <t>Technical Advisory Analyst</t>
  </si>
  <si>
    <t>Graduate Rotation Program</t>
  </si>
  <si>
    <t>Software Engineer Training Program</t>
  </si>
  <si>
    <t>CenterPoint Energy</t>
  </si>
  <si>
    <t>Control System Electrical Engineer</t>
  </si>
  <si>
    <t>Champion Tech Service</t>
  </si>
  <si>
    <t>Champion Technology Services LLC</t>
  </si>
  <si>
    <t>DCKAP</t>
  </si>
  <si>
    <t>Regulatory Engineer</t>
  </si>
  <si>
    <t>Web application developer</t>
  </si>
  <si>
    <t>DSX Engineering</t>
  </si>
  <si>
    <t>DWC</t>
  </si>
  <si>
    <t>Electric Reliability Council of Texas</t>
  </si>
  <si>
    <t>Enprotech Hibbs &amp; Todd, Inc.</t>
  </si>
  <si>
    <t>Engine Development Engineer</t>
  </si>
  <si>
    <t>FAA</t>
  </si>
  <si>
    <t>Fleetwatch</t>
  </si>
  <si>
    <t>Track Software</t>
  </si>
  <si>
    <t>GoodRX</t>
  </si>
  <si>
    <t>Greenstar Engineering</t>
  </si>
  <si>
    <t>Haliburton</t>
  </si>
  <si>
    <t>R &amp; D Electrical Engineer</t>
  </si>
  <si>
    <t>Processor Characterization Engineer</t>
  </si>
  <si>
    <t>Infinity MEP Consultants</t>
  </si>
  <si>
    <t>Keppel Amfels</t>
  </si>
  <si>
    <t>Keysight Technologies</t>
  </si>
  <si>
    <t>Weapons Integration Engineer</t>
  </si>
  <si>
    <t>Marvell Technology</t>
  </si>
  <si>
    <t>Design for Test Engineer</t>
  </si>
  <si>
    <t>Oncor Electric Delivery</t>
  </si>
  <si>
    <t>Substation Design Engineer I</t>
  </si>
  <si>
    <t>Power/Energy Company</t>
  </si>
  <si>
    <t>Electrical Design Engineer I</t>
  </si>
  <si>
    <t>Premier Dath Solutions</t>
  </si>
  <si>
    <t>Project Management</t>
  </si>
  <si>
    <t>Purdy-McGuire, Inc.</t>
  </si>
  <si>
    <t>Electrical &amp; Electronics Engineering I</t>
  </si>
  <si>
    <t>Entry Level Electrical Engineer</t>
  </si>
  <si>
    <t>Raytheon Missile and Defense</t>
  </si>
  <si>
    <t>Signal Processing Engineer I</t>
  </si>
  <si>
    <t>Mechanical, Electrical &amp; Plumbing Engineer</t>
  </si>
  <si>
    <t>Sargint &amp; Lundry</t>
  </si>
  <si>
    <t>Siemens EDA</t>
  </si>
  <si>
    <t>Associate Rotation Engineer</t>
  </si>
  <si>
    <t>Spectrum</t>
  </si>
  <si>
    <t>Application Rotation Program</t>
  </si>
  <si>
    <t>Facilities Development</t>
  </si>
  <si>
    <t>Information Technolgy Engineer</t>
  </si>
  <si>
    <t>Product Marketing Engineer Rotation</t>
  </si>
  <si>
    <t>Product, Validation, Test Engineer</t>
  </si>
  <si>
    <t>Textron Specialized Vehicles</t>
  </si>
  <si>
    <t>United Cooperative Services</t>
  </si>
  <si>
    <t>Engineering Graduate</t>
  </si>
  <si>
    <t>US Defense Intelligence Agency</t>
  </si>
  <si>
    <t>IT Engineer</t>
  </si>
  <si>
    <t>WS Nelson</t>
  </si>
  <si>
    <t>A&amp;C Best</t>
  </si>
  <si>
    <t>Predictive Analyst</t>
  </si>
  <si>
    <t>Electromagnetic Effects Engineer II</t>
  </si>
  <si>
    <t>Clayton &amp; Associates Consultants</t>
  </si>
  <si>
    <t>Principal Technical Professional</t>
  </si>
  <si>
    <t>SiTime Corporation</t>
  </si>
  <si>
    <t>Systems Engineering Intern</t>
  </si>
  <si>
    <t>Solidiym</t>
  </si>
  <si>
    <t>Western Digital</t>
  </si>
  <si>
    <t>Staff Analog</t>
  </si>
  <si>
    <t>Machine Learning Engineering</t>
  </si>
  <si>
    <t>Children's Hospital of Phildelphia</t>
  </si>
  <si>
    <t>Guidehouse</t>
  </si>
  <si>
    <t>Nuprobe USA Inc.</t>
  </si>
  <si>
    <t>Engineering Scientist</t>
  </si>
  <si>
    <t>PDF Solutions</t>
  </si>
  <si>
    <t>Hardware Systems Engineer</t>
  </si>
  <si>
    <t>University of California Los Angeles</t>
  </si>
  <si>
    <t>Vidahonre Inc.</t>
  </si>
  <si>
    <t>Yale University</t>
  </si>
  <si>
    <t>Business &amp; Integration Architect Analyst</t>
  </si>
  <si>
    <t>Atwell</t>
  </si>
  <si>
    <t>Criteria Labs</t>
  </si>
  <si>
    <t>Jr. Test Engineer</t>
  </si>
  <si>
    <t>EDPR</t>
  </si>
  <si>
    <t>Mc2</t>
  </si>
  <si>
    <t>Mixon Hill</t>
  </si>
  <si>
    <t>Cross-Rotational Engineer</t>
  </si>
  <si>
    <t>XRP Engineer</t>
  </si>
  <si>
    <t>Device Test Engineer</t>
  </si>
  <si>
    <t>Ofije</t>
  </si>
  <si>
    <t>Quanta Telecomm</t>
  </si>
  <si>
    <t>RKF Engineering Solutions</t>
  </si>
  <si>
    <t>Educational Consultant</t>
  </si>
  <si>
    <t>Teradyne Inc.</t>
  </si>
  <si>
    <t>Field Application Test Engineer</t>
  </si>
  <si>
    <t>IT Professional I</t>
  </si>
  <si>
    <t>Elementis</t>
  </si>
  <si>
    <t>Energy Scientist</t>
  </si>
  <si>
    <t>Sr Production Engineer</t>
  </si>
  <si>
    <t>Geological Technician</t>
  </si>
  <si>
    <t>AgriLife</t>
  </si>
  <si>
    <t>Security Analyst III</t>
  </si>
  <si>
    <t>Armbrust Inc.</t>
  </si>
  <si>
    <t>Technical Unit Manager</t>
  </si>
  <si>
    <t>St. Joseph Academy</t>
  </si>
  <si>
    <t>Avinext</t>
  </si>
  <si>
    <t>Frito-Lay</t>
  </si>
  <si>
    <t>Proces Mechanical Engineer</t>
  </si>
  <si>
    <t>Process Mechanical Engineer</t>
  </si>
  <si>
    <t>Garza Engineering Management &amp; Consulting</t>
  </si>
  <si>
    <t>H &amp; H Engineer</t>
  </si>
  <si>
    <t>Consulting Development Analyst</t>
  </si>
  <si>
    <t>ACME</t>
  </si>
  <si>
    <t>SLDP Member</t>
  </si>
  <si>
    <t>Acme Construction</t>
  </si>
  <si>
    <t>ERC Implementation Associate</t>
  </si>
  <si>
    <t>Alterman, Inc.</t>
  </si>
  <si>
    <t>Jobsite Solutions</t>
  </si>
  <si>
    <t>Amsty</t>
  </si>
  <si>
    <t>Account Management Specialist</t>
  </si>
  <si>
    <t>B2B Sales Representative</t>
  </si>
  <si>
    <t>Austin Stone Community Church</t>
  </si>
  <si>
    <t>Student's Representative</t>
  </si>
  <si>
    <t>Ben E. Kieth</t>
  </si>
  <si>
    <t>Border States Electric</t>
  </si>
  <si>
    <t>Distribution Leadership Program</t>
  </si>
  <si>
    <t>Boston Consulting Group</t>
  </si>
  <si>
    <t>Bruchner's Truck &amp; Equipment</t>
  </si>
  <si>
    <t>Rotational Intern</t>
  </si>
  <si>
    <t>Assistant Exeditor</t>
  </si>
  <si>
    <t>Camelot Realty</t>
  </si>
  <si>
    <t>Real Estate Agent</t>
  </si>
  <si>
    <t>Assistant Category Merchant</t>
  </si>
  <si>
    <t>MRP Associate</t>
  </si>
  <si>
    <t>Leadership Technical Development Program</t>
  </si>
  <si>
    <t>Sales &amp; Operations Trainee</t>
  </si>
  <si>
    <t>Associate Inside Sales Representative</t>
  </si>
  <si>
    <t>Business Tech Solutions Analyst</t>
  </si>
  <si>
    <t>Documation</t>
  </si>
  <si>
    <t>Sales Consultant</t>
  </si>
  <si>
    <t>DrilQuip Inc</t>
  </si>
  <si>
    <t>Service Technician</t>
  </si>
  <si>
    <t>DXP Enterprises</t>
  </si>
  <si>
    <t>Implementation Team Member</t>
  </si>
  <si>
    <t>Emerge Medical Solutions</t>
  </si>
  <si>
    <t>Executive Sales Training Program</t>
  </si>
  <si>
    <t>Supply Chain Consultant</t>
  </si>
  <si>
    <t>Ewing Irrigation</t>
  </si>
  <si>
    <t>Gas Equipment Company</t>
  </si>
  <si>
    <t>Industrial Sales Coordinator</t>
  </si>
  <si>
    <t>Global Compression Services</t>
  </si>
  <si>
    <t>LDP Trainee</t>
  </si>
  <si>
    <t>Hajoca-Moore Supply</t>
  </si>
  <si>
    <t>SUPP Trainee</t>
  </si>
  <si>
    <t>Associate Team Leader</t>
  </si>
  <si>
    <t>Store Operations Manager</t>
  </si>
  <si>
    <t>Heritage Landscaping Supply Group</t>
  </si>
  <si>
    <t>Holt Lunsford Commercial</t>
  </si>
  <si>
    <t>Marketing Analyst</t>
  </si>
  <si>
    <t>Hubspot</t>
  </si>
  <si>
    <t>Business Development Representative</t>
  </si>
  <si>
    <t>Hydraquip Inc.</t>
  </si>
  <si>
    <t>Service Coordinator</t>
  </si>
  <si>
    <t>Jetstream Houston</t>
  </si>
  <si>
    <t>Junior Logistics Analyst</t>
  </si>
  <si>
    <t>Mongo DB</t>
  </si>
  <si>
    <t>Account Development Representative</t>
  </si>
  <si>
    <t>Mustang Cat</t>
  </si>
  <si>
    <t>Nutanix</t>
  </si>
  <si>
    <t>nVent</t>
  </si>
  <si>
    <t>Olympus Controls</t>
  </si>
  <si>
    <t>One Source Distributors</t>
  </si>
  <si>
    <t>Sales &amp; Operations Development</t>
  </si>
  <si>
    <t>Business Development Consultant</t>
  </si>
  <si>
    <t>Pape Material Handling</t>
  </si>
  <si>
    <t>Sales Development</t>
  </si>
  <si>
    <t>Pentair</t>
  </si>
  <si>
    <t>Rotational Development Engineer</t>
  </si>
  <si>
    <t>Pluralsight</t>
  </si>
  <si>
    <t>Polymer Shapes</t>
  </si>
  <si>
    <t>Cloud &amp; Digital Managed Services Associate</t>
  </si>
  <si>
    <t>Pump Solutions</t>
  </si>
  <si>
    <t>OSCRP</t>
  </si>
  <si>
    <t>RBC Bearings</t>
  </si>
  <si>
    <t>Industrial Salesperson</t>
  </si>
  <si>
    <t>Early Career Sales Development</t>
  </si>
  <si>
    <t>Service Supply of Victoria</t>
  </si>
  <si>
    <t>Service Advisor</t>
  </si>
  <si>
    <t>SHI International Corp</t>
  </si>
  <si>
    <t>Stephens Consolidated Inc.</t>
  </si>
  <si>
    <t>Sunneidey Electric</t>
  </si>
  <si>
    <t>SWI Inc.</t>
  </si>
  <si>
    <t>Tandem Solutions</t>
  </si>
  <si>
    <t>Project Planning Manager</t>
  </si>
  <si>
    <t>The Allied Group</t>
  </si>
  <si>
    <t>Thermon</t>
  </si>
  <si>
    <t>Trimags</t>
  </si>
  <si>
    <t>College Development Program</t>
  </si>
  <si>
    <t>Infantry Officer</t>
  </si>
  <si>
    <t>Naval Officer</t>
  </si>
  <si>
    <t>Officer Candidate</t>
  </si>
  <si>
    <t>Supply &amp; Trading Associate</t>
  </si>
  <si>
    <t>Valin</t>
  </si>
  <si>
    <t>Veryone Inc</t>
  </si>
  <si>
    <t>CRM Developer</t>
  </si>
  <si>
    <t>Wesco Distribution</t>
  </si>
  <si>
    <t>Supply Chain Development</t>
  </si>
  <si>
    <t>WG Consulting</t>
  </si>
  <si>
    <t>Wilson Lighting</t>
  </si>
  <si>
    <t>Warehouse Manager</t>
  </si>
  <si>
    <t>Director of Supply Chain</t>
  </si>
  <si>
    <t>Manufacturing Supervisor</t>
  </si>
  <si>
    <t>Allied Electronics &amp;  Automation</t>
  </si>
  <si>
    <t>SAP Specialist</t>
  </si>
  <si>
    <t>Pricing Analyst</t>
  </si>
  <si>
    <t>ALP Supply Inc.</t>
  </si>
  <si>
    <t>Boise Cascade</t>
  </si>
  <si>
    <t>Bray Commercial</t>
  </si>
  <si>
    <t>Customer Service Manager</t>
  </si>
  <si>
    <t>Certainteed</t>
  </si>
  <si>
    <t>District Manager</t>
  </si>
  <si>
    <t>ChampionX Artificial Lift</t>
  </si>
  <si>
    <t>Strategy &amp; Key Accounts</t>
  </si>
  <si>
    <t>Eikenhout</t>
  </si>
  <si>
    <t>Purchasing Coordinator</t>
  </si>
  <si>
    <t>Global O-Rings and Seals</t>
  </si>
  <si>
    <t>VP Operations</t>
  </si>
  <si>
    <t>Business Operations Analyst</t>
  </si>
  <si>
    <t>EFTA</t>
  </si>
  <si>
    <t>Hosc of South Texas Inc</t>
  </si>
  <si>
    <t>E-Commerce and Marketing</t>
  </si>
  <si>
    <t>Intralox, LLC</t>
  </si>
  <si>
    <t>James International Inc</t>
  </si>
  <si>
    <t>HVAC Customer Representative</t>
  </si>
  <si>
    <t>Lawless Group</t>
  </si>
  <si>
    <t>Lehigh Hanson</t>
  </si>
  <si>
    <t>Subcontract Manager</t>
  </si>
  <si>
    <t>Lockheed Martin Space</t>
  </si>
  <si>
    <t>Subcontract Administrator Senior</t>
  </si>
  <si>
    <t>Martin Truck Center</t>
  </si>
  <si>
    <t>Parts Manager</t>
  </si>
  <si>
    <t>Project Materials Manager</t>
  </si>
  <si>
    <t>McMaster - Carr</t>
  </si>
  <si>
    <t>Distribution Generalist</t>
  </si>
  <si>
    <t>Mimaki USA</t>
  </si>
  <si>
    <t>Channel Sales Representative</t>
  </si>
  <si>
    <t>New York Life</t>
  </si>
  <si>
    <t>Advisor</t>
  </si>
  <si>
    <t>Procure Technologies</t>
  </si>
  <si>
    <t>VP Customer Success</t>
  </si>
  <si>
    <t>Sales Director</t>
  </si>
  <si>
    <t>Ronco Industrial Supply</t>
  </si>
  <si>
    <t>Saint Gobain</t>
  </si>
  <si>
    <t>Sanders Supply</t>
  </si>
  <si>
    <t>Job Delivery Lead</t>
  </si>
  <si>
    <t>Sundt Construction</t>
  </si>
  <si>
    <t>Synouos</t>
  </si>
  <si>
    <t>Key Accounts Representative</t>
  </si>
  <si>
    <t>Business &amp; Integration Analyst</t>
  </si>
  <si>
    <t>Business Tech Integration</t>
  </si>
  <si>
    <t>ACRI Services &amp; Consulting</t>
  </si>
  <si>
    <t>Junior Engineer</t>
  </si>
  <si>
    <t>Special Services Technician I</t>
  </si>
  <si>
    <t>Technical Business Manager</t>
  </si>
  <si>
    <t>OLDP Tech I</t>
  </si>
  <si>
    <t>Bimbo Bakeries</t>
  </si>
  <si>
    <t>Manufacturing Transformation Supervisor</t>
  </si>
  <si>
    <t>Bristol State Liners</t>
  </si>
  <si>
    <t>Video &amp; Analytics Coordinator</t>
  </si>
  <si>
    <t>Controls System Engineer</t>
  </si>
  <si>
    <t>Section Manager</t>
  </si>
  <si>
    <t>Performance Implementator</t>
  </si>
  <si>
    <t>Performance Improvement Engineer</t>
  </si>
  <si>
    <t>Cole and Associates</t>
  </si>
  <si>
    <t>CBS Coordinator</t>
  </si>
  <si>
    <t>DB Consulting</t>
  </si>
  <si>
    <t>Voice Controller</t>
  </si>
  <si>
    <t>Business Technology Solution Analyst</t>
  </si>
  <si>
    <t>Improvement Specialist</t>
  </si>
  <si>
    <t>DSI</t>
  </si>
  <si>
    <t>Ellwood Texas Forge</t>
  </si>
  <si>
    <t>Die Designer</t>
  </si>
  <si>
    <t>Performance and Improvement Specialist</t>
  </si>
  <si>
    <t>Supply Chain &amp; Engineering Associate</t>
  </si>
  <si>
    <t>Geodis</t>
  </si>
  <si>
    <t>Leadership Rotational Program</t>
  </si>
  <si>
    <t>Goosehead Insurance</t>
  </si>
  <si>
    <t>Supply Chain Management Analyst</t>
  </si>
  <si>
    <t>Industrial Systems Engineer</t>
  </si>
  <si>
    <t>Technical Support engineer</t>
  </si>
  <si>
    <t>Joshua Tree Group</t>
  </si>
  <si>
    <t>Quality Associate</t>
  </si>
  <si>
    <t>Lindsey Properties</t>
  </si>
  <si>
    <t>OPEX</t>
  </si>
  <si>
    <t>Facilities Operation Manager</t>
  </si>
  <si>
    <t>PriceWaterhouseCoopers</t>
  </si>
  <si>
    <t>Technology Consulting Associate</t>
  </si>
  <si>
    <t>Premium Engagements</t>
  </si>
  <si>
    <t>SCGTS</t>
  </si>
  <si>
    <t>Global Category Specialist</t>
  </si>
  <si>
    <t>Technical Marketing Leadership Development Program</t>
  </si>
  <si>
    <t>Smith System Manufacturing</t>
  </si>
  <si>
    <t>Smithfield Foods</t>
  </si>
  <si>
    <t>System Planning &amp; Analysis, Inc.</t>
  </si>
  <si>
    <t>Texas Critical System Mechanical Contractor</t>
  </si>
  <si>
    <t>IT Development Program Employee</t>
  </si>
  <si>
    <t>The Estee Lauder Company</t>
  </si>
  <si>
    <t>Cyberspace Operations Officer</t>
  </si>
  <si>
    <t>Gold Bar Recruiter</t>
  </si>
  <si>
    <t>Operations Research Analyst</t>
  </si>
  <si>
    <t>Vacanza Properties LLC</t>
  </si>
  <si>
    <t>OPP Manager</t>
  </si>
  <si>
    <t>Technical Services Intern</t>
  </si>
  <si>
    <t>Nissan North America</t>
  </si>
  <si>
    <t>Global Supply Analyst</t>
  </si>
  <si>
    <t>Ally Financial</t>
  </si>
  <si>
    <t>Sr. Data Scientist</t>
  </si>
  <si>
    <t>Nielsen</t>
  </si>
  <si>
    <t>Alvarez and Marsal</t>
  </si>
  <si>
    <t>Emissions Testing Engineer</t>
  </si>
  <si>
    <t>Teale Engineering LLC</t>
  </si>
  <si>
    <t>Research and Development Lead</t>
  </si>
  <si>
    <t>AIT Consulting</t>
  </si>
  <si>
    <t>Allfast Fastening Systems</t>
  </si>
  <si>
    <t>Divine Lighting</t>
  </si>
  <si>
    <t>DXS</t>
  </si>
  <si>
    <t>Emerson Pressure Management</t>
  </si>
  <si>
    <t>Exosent Engineering; LLC</t>
  </si>
  <si>
    <t>CAD Design Project Management</t>
  </si>
  <si>
    <t>Fanar American Corporation</t>
  </si>
  <si>
    <t>Ignite Engineer</t>
  </si>
  <si>
    <t>G-Con Manufacturing</t>
  </si>
  <si>
    <t>Global Development</t>
  </si>
  <si>
    <t>Artificial Lift Engineer</t>
  </si>
  <si>
    <t>Innovex Downhole Solutions</t>
  </si>
  <si>
    <t>Experimental Evaluation Engineering Tech</t>
  </si>
  <si>
    <t>Northside Electric Motor</t>
  </si>
  <si>
    <t>Pirelli Tires</t>
  </si>
  <si>
    <t>Plastikon</t>
  </si>
  <si>
    <t>PPG Aerospace</t>
  </si>
  <si>
    <t>Southwestern PTS</t>
  </si>
  <si>
    <t>Trendsetter Engineering</t>
  </si>
  <si>
    <t>VOPAK Terminals</t>
  </si>
  <si>
    <t>Applied Methods</t>
  </si>
  <si>
    <t>Product Support Engineer</t>
  </si>
  <si>
    <t>Delek Logistics</t>
  </si>
  <si>
    <t>Associate Corrosion Engineer</t>
  </si>
  <si>
    <t>Filter All Inc.</t>
  </si>
  <si>
    <t>Vice President</t>
  </si>
  <si>
    <t>API/ RBI Corrosion Engineer</t>
  </si>
  <si>
    <t>Grifols Biomat Plasma</t>
  </si>
  <si>
    <t>Donor Center Technician</t>
  </si>
  <si>
    <t>Hitachi</t>
  </si>
  <si>
    <t>Tax Associate</t>
  </si>
  <si>
    <t>National Park Service</t>
  </si>
  <si>
    <t>Oak Ridge National Lab</t>
  </si>
  <si>
    <t>SULI Intern</t>
  </si>
  <si>
    <t>Solvus Global</t>
  </si>
  <si>
    <t>Entec</t>
  </si>
  <si>
    <t>Materials Researcher</t>
  </si>
  <si>
    <t>Cornell University</t>
  </si>
  <si>
    <t>Lawrence Livermore National Lab</t>
  </si>
  <si>
    <t>Xerion Advanced Battery Coup</t>
  </si>
  <si>
    <t>Materials Scientist</t>
  </si>
  <si>
    <t>Altec Integrated Solutions</t>
  </si>
  <si>
    <t>Industrial Engineer Analyst</t>
  </si>
  <si>
    <t>Aspire Associate II- Engineering and Technology</t>
  </si>
  <si>
    <t>Manufacturing Engineer- MRB</t>
  </si>
  <si>
    <t>Flight Management System Engineer</t>
  </si>
  <si>
    <t>Brandt</t>
  </si>
  <si>
    <t>Assistant Mechanical Engineer</t>
  </si>
  <si>
    <t>Cimarron Inc</t>
  </si>
  <si>
    <t>Clearly Zimmermann Engineers</t>
  </si>
  <si>
    <t>Crestwood Midstream Partners</t>
  </si>
  <si>
    <t>GPS Analyst</t>
  </si>
  <si>
    <t>Directed Machines</t>
  </si>
  <si>
    <t>Field Assembly Engineer</t>
  </si>
  <si>
    <t>Improvement Engineer</t>
  </si>
  <si>
    <t>DW Distribution Inc.</t>
  </si>
  <si>
    <t>Door Fabrication Engineer</t>
  </si>
  <si>
    <t>EKU Power Drives</t>
  </si>
  <si>
    <t>EN Engineering</t>
  </si>
  <si>
    <t>Fixed Equipment Engineer</t>
  </si>
  <si>
    <t>Upstream Engineer</t>
  </si>
  <si>
    <t>Fortna</t>
  </si>
  <si>
    <t>LADR Analyst</t>
  </si>
  <si>
    <t>Fracht FWO</t>
  </si>
  <si>
    <t>Business Solutions Analyst</t>
  </si>
  <si>
    <t>Mechanical Track Program</t>
  </si>
  <si>
    <t>Track Rotational Hardware Engineer</t>
  </si>
  <si>
    <t>Gracon</t>
  </si>
  <si>
    <t>H4 Architects &amp; Engineers</t>
  </si>
  <si>
    <t>Insight Sourcing Group</t>
  </si>
  <si>
    <t>Energy Analyst</t>
  </si>
  <si>
    <t>J Eftekhar &amp; Assoc</t>
  </si>
  <si>
    <t>Entry HVAC Engineer</t>
  </si>
  <si>
    <t>HVAC Design Engineer - Federal</t>
  </si>
  <si>
    <t>Jelec</t>
  </si>
  <si>
    <t>L2 Engineering</t>
  </si>
  <si>
    <t>LeBus International</t>
  </si>
  <si>
    <t>Quality Assurance Manager</t>
  </si>
  <si>
    <t>Ledwell &amp; Son Enterprises</t>
  </si>
  <si>
    <t>Electromechanical Engineer</t>
  </si>
  <si>
    <t>Lab Operations Engineer</t>
  </si>
  <si>
    <t>Life Cycle Analyst</t>
  </si>
  <si>
    <t>Manufacturing Engineer Associate</t>
  </si>
  <si>
    <t>Stress Analysis Engineer</t>
  </si>
  <si>
    <t>Manhatten Associates</t>
  </si>
  <si>
    <t>Software Test Engineer</t>
  </si>
  <si>
    <t>National Aerospace Solutions</t>
  </si>
  <si>
    <t>Nichols Engineering</t>
  </si>
  <si>
    <t>Optimized Process Digital</t>
  </si>
  <si>
    <t>Paccar</t>
  </si>
  <si>
    <t>Embedded Control System Engineer</t>
  </si>
  <si>
    <t>Partner Engineering &amp; Science</t>
  </si>
  <si>
    <t>Property Condition Assessor</t>
  </si>
  <si>
    <t>Petrotech</t>
  </si>
  <si>
    <t>Process and Methods Engineer</t>
  </si>
  <si>
    <t>Power Controls and System Information</t>
  </si>
  <si>
    <t>Progress Rail</t>
  </si>
  <si>
    <t>Machine Learning / AI Engineer</t>
  </si>
  <si>
    <t>Radiance Technologies</t>
  </si>
  <si>
    <t>Rivian</t>
  </si>
  <si>
    <t>Chassis Engineer</t>
  </si>
  <si>
    <t>RREAF Holdings</t>
  </si>
  <si>
    <t>Junior Analyst</t>
  </si>
  <si>
    <t>GCS Gas Engineer</t>
  </si>
  <si>
    <t>One Start Engineering Trainee</t>
  </si>
  <si>
    <t>Wireless Communication Engineer</t>
  </si>
  <si>
    <t>Self Employed</t>
  </si>
  <si>
    <t>Engineering Leadership Development Program</t>
  </si>
  <si>
    <t>Engineering Management Acceleration Program</t>
  </si>
  <si>
    <t>Siemens Gamesa Renewable Energy</t>
  </si>
  <si>
    <t>Rotation Development Program</t>
  </si>
  <si>
    <t>Development Test Engineer</t>
  </si>
  <si>
    <t>Technip FMC</t>
  </si>
  <si>
    <t>Telios Engineering</t>
  </si>
  <si>
    <t>Battery Engineer</t>
  </si>
  <si>
    <t>Chassis Design Engineer</t>
  </si>
  <si>
    <t>Weight Engineer</t>
  </si>
  <si>
    <t>The Boring Company</t>
  </si>
  <si>
    <t>Engineering Trainee</t>
  </si>
  <si>
    <t>US Department of Defense</t>
  </si>
  <si>
    <t>US Patent &amp; Trademark Office</t>
  </si>
  <si>
    <t>Patent Examiner</t>
  </si>
  <si>
    <t>USA Shade</t>
  </si>
  <si>
    <t>Viking Power Solutions</t>
  </si>
  <si>
    <t>Wilson Company</t>
  </si>
  <si>
    <t>Axiom Construction</t>
  </si>
  <si>
    <t>Dynamic Motion Controls</t>
  </si>
  <si>
    <t>Engineering Design Group</t>
  </si>
  <si>
    <t>Nuclear Refueling Engineering</t>
  </si>
  <si>
    <t>Amgen</t>
  </si>
  <si>
    <t>Sensory Perception Researcher</t>
  </si>
  <si>
    <t>KUKA</t>
  </si>
  <si>
    <t>Lam Research Inc.</t>
  </si>
  <si>
    <t>Lung Biotechnology PBC</t>
  </si>
  <si>
    <t>Print Process Engineer</t>
  </si>
  <si>
    <t>MKS Instruments, Inc.</t>
  </si>
  <si>
    <t>Ohio Northern University</t>
  </si>
  <si>
    <t>Suranaree University, Thailand</t>
  </si>
  <si>
    <t>Academia</t>
  </si>
  <si>
    <t>University of North Carolina</t>
  </si>
  <si>
    <t>Actalent</t>
  </si>
  <si>
    <t>Payload Systems Integration Engineer</t>
  </si>
  <si>
    <t>Anadarko Petroleum</t>
  </si>
  <si>
    <t>Training Engineer</t>
  </si>
  <si>
    <t>Benthic</t>
  </si>
  <si>
    <t>Crown Holdings Inc.</t>
  </si>
  <si>
    <t>Industrial Operations Trainee</t>
  </si>
  <si>
    <t>Current Power</t>
  </si>
  <si>
    <t>Fenrir Works</t>
  </si>
  <si>
    <t>Director of Engineering</t>
  </si>
  <si>
    <t>JBT Automated System</t>
  </si>
  <si>
    <t>Hardware Electrical Engineer</t>
  </si>
  <si>
    <t>Automation Specialist I</t>
  </si>
  <si>
    <t>Pro Automated</t>
  </si>
  <si>
    <t>Rugged Robotics</t>
  </si>
  <si>
    <t>Robotics Operations Engineer</t>
  </si>
  <si>
    <t>Test Technology Associates</t>
  </si>
  <si>
    <t>Combat Systems Officer</t>
  </si>
  <si>
    <t>ODP</t>
  </si>
  <si>
    <t>Nuclear Lab Technician</t>
  </si>
  <si>
    <t>Test Operation Engineer</t>
  </si>
  <si>
    <t>Radiation Health Engineer</t>
  </si>
  <si>
    <t>NNL</t>
  </si>
  <si>
    <t>Associate Engineer Multi-Disciplined</t>
  </si>
  <si>
    <t>NNL/Fluor Marine Propulsion</t>
  </si>
  <si>
    <t>Associate Compliance Engineer</t>
  </si>
  <si>
    <t>Assistant Health Physicist</t>
  </si>
  <si>
    <t>Nuclear Surface Warfare Officer</t>
  </si>
  <si>
    <t>R&amp;D Engineer 2</t>
  </si>
  <si>
    <t>Atomic Energy Licensing Board</t>
  </si>
  <si>
    <t>Science Officer</t>
  </si>
  <si>
    <t>Idaho National Laboratory</t>
  </si>
  <si>
    <t>Computational Scientist</t>
  </si>
  <si>
    <t>Bullock, Bennett and Associates</t>
  </si>
  <si>
    <t>Graduate Staff Engineer</t>
  </si>
  <si>
    <t>Costello Inc.</t>
  </si>
  <si>
    <t>Entek Engineering</t>
  </si>
  <si>
    <t>Fugro</t>
  </si>
  <si>
    <t>Assistant Surveyor</t>
  </si>
  <si>
    <t>GustoMSC-NOV</t>
  </si>
  <si>
    <t>HECOM</t>
  </si>
  <si>
    <t>Coastal Engineer</t>
  </si>
  <si>
    <t>Kelson Marine Co.</t>
  </si>
  <si>
    <t>Ocean Engineer in Training</t>
  </si>
  <si>
    <t>KS Associates</t>
  </si>
  <si>
    <t>Main Lane Industries</t>
  </si>
  <si>
    <t>Peinado Construction</t>
  </si>
  <si>
    <t>Remotely Piloted Aircraft Pilot</t>
  </si>
  <si>
    <t>Kongsberg Maritime</t>
  </si>
  <si>
    <t>Riser Engineer</t>
  </si>
  <si>
    <t>Marine Inspector</t>
  </si>
  <si>
    <t>Acquire Oilfield Solutions</t>
  </si>
  <si>
    <t>Frac Field Engineer</t>
  </si>
  <si>
    <t>Alamo Pressure Pumping</t>
  </si>
  <si>
    <t>Aspire Engineer-Engletech</t>
  </si>
  <si>
    <t>Canatex Completion Solutions</t>
  </si>
  <si>
    <t>Operations &amp; Sales Support Engineer</t>
  </si>
  <si>
    <t>Cudd Energy Services</t>
  </si>
  <si>
    <t>Field Engineer I</t>
  </si>
  <si>
    <t>Engineer/Rotation</t>
  </si>
  <si>
    <t>Edge Systems Datalog Geological Services</t>
  </si>
  <si>
    <t>Wellsite Geologist Trainee</t>
  </si>
  <si>
    <t>Endeavor Energy Resources</t>
  </si>
  <si>
    <t>Contract Wellsite Engineer</t>
  </si>
  <si>
    <t>H&amp;P Drilling</t>
  </si>
  <si>
    <t>Frac / Acid Engineer</t>
  </si>
  <si>
    <t>Jefferies; LLC</t>
  </si>
  <si>
    <t>Energy Investment Banking</t>
  </si>
  <si>
    <t>Junior Production Engineer</t>
  </si>
  <si>
    <t>Pan America Engineer</t>
  </si>
  <si>
    <t>Engineering Development Program</t>
  </si>
  <si>
    <t>Riverbend Energy Group</t>
  </si>
  <si>
    <t>Associate Pipeline Integrity Engineer</t>
  </si>
  <si>
    <t>Schaper Energy Consulting</t>
  </si>
  <si>
    <t>MWD Field Engineer</t>
  </si>
  <si>
    <t>MWP Operator</t>
  </si>
  <si>
    <t>Remote Operations Engineer</t>
  </si>
  <si>
    <t>Remote Operations-Wireline</t>
  </si>
  <si>
    <t>Technical Development Engineer</t>
  </si>
  <si>
    <t>Solar Turbines</t>
  </si>
  <si>
    <t>Field Services Representative (FSR)</t>
  </si>
  <si>
    <t>Trenchless Engineering Group</t>
  </si>
  <si>
    <t>TRP Energy</t>
  </si>
  <si>
    <t>2nd Lt</t>
  </si>
  <si>
    <t>W.D. Von Gonten</t>
  </si>
  <si>
    <t>Digital Transformation Intern</t>
  </si>
  <si>
    <t>Wood Mackenzie</t>
  </si>
  <si>
    <t>Sr. R&amp;P Scientist</t>
  </si>
  <si>
    <t>Geomechanical Researcher</t>
  </si>
  <si>
    <t>Posco</t>
  </si>
  <si>
    <t>Director</t>
  </si>
  <si>
    <t>HSE Data &amp; Systems Lead</t>
  </si>
  <si>
    <t>Delaware Resource Group</t>
  </si>
  <si>
    <t>Quality Assurance/Quality Control Manager</t>
  </si>
  <si>
    <t>Enbridge</t>
  </si>
  <si>
    <t>Senior Petroleum Geologist</t>
  </si>
  <si>
    <t>Gibbs &amp; Cox</t>
  </si>
  <si>
    <t>Instron</t>
  </si>
  <si>
    <t>Modification Integrator</t>
  </si>
  <si>
    <t>Deputy Division Leader</t>
  </si>
  <si>
    <t>Deputy Group Leader</t>
  </si>
  <si>
    <t>Natgasoline LLC</t>
  </si>
  <si>
    <t>Regulatory Manager II</t>
  </si>
  <si>
    <t>Transmission Grid Controller</t>
  </si>
  <si>
    <t>Optimized Process Designs</t>
  </si>
  <si>
    <t>Fleet Engineer</t>
  </si>
  <si>
    <t>Relevant Power Solutions</t>
  </si>
  <si>
    <t>Assistant Director of Production</t>
  </si>
  <si>
    <t>Stack Infastructure</t>
  </si>
  <si>
    <t>Assistant Critical Operations Manager</t>
  </si>
  <si>
    <t>SuperMicro Inc.</t>
  </si>
  <si>
    <t>Attitude Determination Control Officer</t>
  </si>
  <si>
    <t>Airworthiness Engineer</t>
  </si>
  <si>
    <t>Heights Engineer</t>
  </si>
  <si>
    <t>CNPC USA Corp.</t>
  </si>
  <si>
    <t>Entry Level Flight Controller</t>
  </si>
  <si>
    <t>Flight Controller Trainee</t>
  </si>
  <si>
    <t>Guidance Navigation and Control  Engineer</t>
  </si>
  <si>
    <t>Lunar Gateway Flight Software Development Engineer</t>
  </si>
  <si>
    <t>Aerodynamic Engineer</t>
  </si>
  <si>
    <t>Lead GNC Engineer</t>
  </si>
  <si>
    <t>Air Force Research Lab</t>
  </si>
  <si>
    <t>Spacesuit IP&amp;A Engineer</t>
  </si>
  <si>
    <t>Test Methods &amp; Technology Engineer</t>
  </si>
  <si>
    <t>Honda R&amp;D Americas, Inc.</t>
  </si>
  <si>
    <t>Research Aerospace Engineer</t>
  </si>
  <si>
    <t>NASA Langley</t>
  </si>
  <si>
    <t>Rockwall Automation</t>
  </si>
  <si>
    <t>Modeling and Simulation Engineer</t>
  </si>
  <si>
    <t>University of Connecticut</t>
  </si>
  <si>
    <t>Post-Doc</t>
  </si>
  <si>
    <t>Argon Medical Devices</t>
  </si>
  <si>
    <t>Arthrex</t>
  </si>
  <si>
    <t>CRM Field Clinical Representative</t>
  </si>
  <si>
    <t>CVS Caremark</t>
  </si>
  <si>
    <t>Pharmacy Technician</t>
  </si>
  <si>
    <t>Quality Assurance Audit and Inspection Specialist</t>
  </si>
  <si>
    <t>Space Suit Design Engineer</t>
  </si>
  <si>
    <t>Varian Medical</t>
  </si>
  <si>
    <t>Contract Research &amp; Development Engineer</t>
  </si>
  <si>
    <t>Sustaining Engineer</t>
  </si>
  <si>
    <t>Edwards Lifesciences</t>
  </si>
  <si>
    <t>New Product Development Quality Engineer</t>
  </si>
  <si>
    <t>Guest Medical</t>
  </si>
  <si>
    <t>Sage Sensors</t>
  </si>
  <si>
    <t>Chief Operations Officer</t>
  </si>
  <si>
    <t>Stratus Medical</t>
  </si>
  <si>
    <t>Varian Medical Systems</t>
  </si>
  <si>
    <t>V&amp;V Engineer</t>
  </si>
  <si>
    <t>Calico Life Sciences</t>
  </si>
  <si>
    <t>Microfluidics Engineer</t>
  </si>
  <si>
    <t>Chronus Health</t>
  </si>
  <si>
    <t>GenCure</t>
  </si>
  <si>
    <t>Molecular Devices</t>
  </si>
  <si>
    <t>Application Scientist</t>
  </si>
  <si>
    <t>MSK Cancer Center</t>
  </si>
  <si>
    <t>Research Scholar</t>
  </si>
  <si>
    <t>Instructional Assistant Professor</t>
  </si>
  <si>
    <t>QC Chemist I</t>
  </si>
  <si>
    <t>Fuel Engineer</t>
  </si>
  <si>
    <t>Audubon Engineering Solutions</t>
  </si>
  <si>
    <t>Process Engineer I</t>
  </si>
  <si>
    <t>Business Analyst Associate</t>
  </si>
  <si>
    <t>City of Austin</t>
  </si>
  <si>
    <t>Cognascents Consulting Group, LLC</t>
  </si>
  <si>
    <t>Rotational Technical Engineer</t>
  </si>
  <si>
    <t>Hydrocarbons Production Engineer</t>
  </si>
  <si>
    <t>Fleet Electrification Project Manager</t>
  </si>
  <si>
    <t>H.B. Fuller</t>
  </si>
  <si>
    <t>Refining Engineer I</t>
  </si>
  <si>
    <t>Mars Wrigley</t>
  </si>
  <si>
    <t>Supply Chain Supervisor</t>
  </si>
  <si>
    <t>Procter &amp; Gamble</t>
  </si>
  <si>
    <t>Purce Cycle Technologies</t>
  </si>
  <si>
    <t>Industrial Automation Engineer</t>
  </si>
  <si>
    <t>Disney College Program</t>
  </si>
  <si>
    <t>The Wood Group</t>
  </si>
  <si>
    <t>Entry Level Process Engineer</t>
  </si>
  <si>
    <t>Bryan Research and Engineering</t>
  </si>
  <si>
    <t>Materials Compliance Engineer</t>
  </si>
  <si>
    <t>Advanced Device Development Engineer</t>
  </si>
  <si>
    <t>National Academy of Sciences</t>
  </si>
  <si>
    <t>Program Officer</t>
  </si>
  <si>
    <t>Northwestern Universtiy Argonne National Laborator</t>
  </si>
  <si>
    <t>The Dow Chemical Company</t>
  </si>
  <si>
    <t>The University of Texas at Austin</t>
  </si>
  <si>
    <t>Andres Construction Services</t>
  </si>
  <si>
    <t>Office Engineer</t>
  </si>
  <si>
    <t>Atkins North America</t>
  </si>
  <si>
    <t>Trans</t>
  </si>
  <si>
    <t>B&amp;B Glass, Inc,</t>
  </si>
  <si>
    <t>Beck Group, The</t>
  </si>
  <si>
    <t>Transmission Line Engineer</t>
  </si>
  <si>
    <t>CIMA Services LP</t>
  </si>
  <si>
    <t>Junior Project Manager</t>
  </si>
  <si>
    <t>Cuatro Consultants, Ltd.</t>
  </si>
  <si>
    <t>DCS Engineering, LLC</t>
  </si>
  <si>
    <t>Product Engineer 1</t>
  </si>
  <si>
    <t>EST Comprehensive Engineering Services</t>
  </si>
  <si>
    <t>GEI Inc.</t>
  </si>
  <si>
    <t>KFW Engineers &amp; Surveying</t>
  </si>
  <si>
    <t>Engineer in Training - Development Services</t>
  </si>
  <si>
    <t>Transportational EIT</t>
  </si>
  <si>
    <t>Langan Engineering and Environmental Services</t>
  </si>
  <si>
    <t>Engineer in Training II</t>
  </si>
  <si>
    <t>Lockwood, Andrews &amp; Newnam, Inc.</t>
  </si>
  <si>
    <t>District Engineer</t>
  </si>
  <si>
    <t>Roadway Engineering</t>
  </si>
  <si>
    <t>Manbard Consulting</t>
  </si>
  <si>
    <t>Surveyor I</t>
  </si>
  <si>
    <t>Project Manager Associate</t>
  </si>
  <si>
    <t>Quality Engineering</t>
  </si>
  <si>
    <t>Reformed University Fellowship</t>
  </si>
  <si>
    <t>Construction Engineer Inspector</t>
  </si>
  <si>
    <t>Slay Engineering Company, Inc.</t>
  </si>
  <si>
    <t>Entry Level CAD Technician</t>
  </si>
  <si>
    <t>Civil Engineer In Training</t>
  </si>
  <si>
    <t>Terracon Consultants, Inc.</t>
  </si>
  <si>
    <t>Associate Staff Engineer</t>
  </si>
  <si>
    <t>Washburn &amp; Company Land Surveying</t>
  </si>
  <si>
    <t>Balfour Beatty US</t>
  </si>
  <si>
    <t>Cost Engineer</t>
  </si>
  <si>
    <t>Project Controls Senior Associate</t>
  </si>
  <si>
    <t>Construction Manager</t>
  </si>
  <si>
    <t>CONSOR Engineers, LLC</t>
  </si>
  <si>
    <t>Structural Project Engineer</t>
  </si>
  <si>
    <t>DPR Construction</t>
  </si>
  <si>
    <t>Dunaway Associates, LP</t>
  </si>
  <si>
    <t>ECS Limited</t>
  </si>
  <si>
    <t>Construction Materials Staff Project Manager</t>
  </si>
  <si>
    <t>Fehr &amp; Peers</t>
  </si>
  <si>
    <t>Construction Engineer II</t>
  </si>
  <si>
    <t>Water / Wastewater Engineer</t>
  </si>
  <si>
    <t>HKS Inc.</t>
  </si>
  <si>
    <t>Structural Engineering Graduate</t>
  </si>
  <si>
    <t>Graduate Engineer II</t>
  </si>
  <si>
    <t>Modjeski Masters</t>
  </si>
  <si>
    <t>Bridge Engineer</t>
  </si>
  <si>
    <t>Moss and Associates</t>
  </si>
  <si>
    <t>VDC Engineer</t>
  </si>
  <si>
    <t>SGH</t>
  </si>
  <si>
    <t>Associate Project Consultant</t>
  </si>
  <si>
    <t>Teague Nall &amp; Perkins, Inc.</t>
  </si>
  <si>
    <t>Geotechnical Earthquake Engineer</t>
  </si>
  <si>
    <t>Associate Structural Engineer</t>
  </si>
  <si>
    <t>The Dorerstein Companies</t>
  </si>
  <si>
    <t>Assistant Manager - Conceptual Construction</t>
  </si>
  <si>
    <t>Townbridge</t>
  </si>
  <si>
    <t>Worldwide Professional Solutions</t>
  </si>
  <si>
    <t>BIM Coordinator</t>
  </si>
  <si>
    <t>XL Construction</t>
  </si>
  <si>
    <t>Construction Technology Engineer</t>
  </si>
  <si>
    <t>Yates Construction</t>
  </si>
  <si>
    <t>Traffic ITS Engineer</t>
  </si>
  <si>
    <t>George Mason University</t>
  </si>
  <si>
    <t>TAMKO Building Products</t>
  </si>
  <si>
    <t>Asphalt Research Scientist</t>
  </si>
  <si>
    <t>Postdoctoral Research Associate</t>
  </si>
  <si>
    <t>Trimble</t>
  </si>
  <si>
    <t>University of Jamestown</t>
  </si>
  <si>
    <t>Senior Pricing Consulting</t>
  </si>
  <si>
    <t>Capabilities Development Specialist</t>
  </si>
  <si>
    <t>Controls Engineer I</t>
  </si>
  <si>
    <t>Fujitsu America, Inc.</t>
  </si>
  <si>
    <t>Full-Stack Software Engineer</t>
  </si>
  <si>
    <t>Software Engineer/System Administrator</t>
  </si>
  <si>
    <t>Graduate Systems Architect Engineer</t>
  </si>
  <si>
    <t>Systems &amp; Development Engineer</t>
  </si>
  <si>
    <t>Business Technology Solutions Consultant</t>
  </si>
  <si>
    <t>Discover Financial Services - PULSE</t>
  </si>
  <si>
    <t>Business Technology Engineer</t>
  </si>
  <si>
    <t>Kingland Systems Corporation</t>
  </si>
  <si>
    <t>Midtronics</t>
  </si>
  <si>
    <t>Origami Risk</t>
  </si>
  <si>
    <t>Restore Hyper Wellness</t>
  </si>
  <si>
    <t>Software Developer 1</t>
  </si>
  <si>
    <t>System Development Engineer</t>
  </si>
  <si>
    <t>Turbopass Cooperation</t>
  </si>
  <si>
    <t>Design &amp; Integration Engineer</t>
  </si>
  <si>
    <t>Development Specialist</t>
  </si>
  <si>
    <t>eBay</t>
  </si>
  <si>
    <t>Marvell Semiconductor Inc.</t>
  </si>
  <si>
    <t>MediaTek USA Inc.</t>
  </si>
  <si>
    <t>DFT Engineer</t>
  </si>
  <si>
    <t>Senior Software CAD Engineer</t>
  </si>
  <si>
    <t>TriSept Corporation</t>
  </si>
  <si>
    <t>Alliance HCM</t>
  </si>
  <si>
    <t>IT / Web Developer</t>
  </si>
  <si>
    <t>Barclays</t>
  </si>
  <si>
    <t>BMU</t>
  </si>
  <si>
    <t>Technology Development Program Associate</t>
  </si>
  <si>
    <t>CarMax</t>
  </si>
  <si>
    <t>CitiBank</t>
  </si>
  <si>
    <t>Delcom Engineering</t>
  </si>
  <si>
    <t>Everest Systems Inc</t>
  </si>
  <si>
    <t>EMIT</t>
  </si>
  <si>
    <t>Tech</t>
  </si>
  <si>
    <t>Indeed Hire</t>
  </si>
  <si>
    <t>Middleware Development Engineer</t>
  </si>
  <si>
    <t>Klaviyo</t>
  </si>
  <si>
    <t>Lutron Electronics Co. Inc.</t>
  </si>
  <si>
    <t>Ntropy</t>
  </si>
  <si>
    <t>PCS Software</t>
  </si>
  <si>
    <t>PricewaterhouseCoopers, LLP (PWC)</t>
  </si>
  <si>
    <t>Technology Consultant Associate</t>
  </si>
  <si>
    <t>Samsung Electronics America</t>
  </si>
  <si>
    <t>Thomson Reuters</t>
  </si>
  <si>
    <t>Urban Resilience AI Lab</t>
  </si>
  <si>
    <t>Software Engineer 3</t>
  </si>
  <si>
    <t>Neeva</t>
  </si>
  <si>
    <t>Systems Software Engineer</t>
  </si>
  <si>
    <t>Florida State University</t>
  </si>
  <si>
    <t>Tenure-Track Assistant Professor</t>
  </si>
  <si>
    <t>Mitre Corp</t>
  </si>
  <si>
    <t>Senior Cyber Engineer</t>
  </si>
  <si>
    <t>OPPO US Research Center</t>
  </si>
  <si>
    <t>Stanford University</t>
  </si>
  <si>
    <t>HEB Digital</t>
  </si>
  <si>
    <t>Advanced Intralogistics</t>
  </si>
  <si>
    <t>Mobile Client LSE</t>
  </si>
  <si>
    <t>AEI Engineering, LLC</t>
  </si>
  <si>
    <t>Engineer 1</t>
  </si>
  <si>
    <t>Associate Account Executive</t>
  </si>
  <si>
    <t>SoC Physical Engineer</t>
  </si>
  <si>
    <t>ARUP United States Incorporated</t>
  </si>
  <si>
    <t>Barns &amp; McDonnell</t>
  </si>
  <si>
    <t>Reliability and Maintainability Engineer</t>
  </si>
  <si>
    <t>Electrical Graduate Engineer</t>
  </si>
  <si>
    <t>Engineering Field Technician</t>
  </si>
  <si>
    <t>GMS Applications Developer I</t>
  </si>
  <si>
    <t>Development Program Engineer</t>
  </si>
  <si>
    <t>Maxim Integrated</t>
  </si>
  <si>
    <t>MISO Energy</t>
  </si>
  <si>
    <t>Engineer in Reserve I</t>
  </si>
  <si>
    <t>Major Design Engineer and Project Manager</t>
  </si>
  <si>
    <t>Signal Processing Engineer</t>
  </si>
  <si>
    <t>Test / Product Engineer</t>
  </si>
  <si>
    <t>TRC Consultants</t>
  </si>
  <si>
    <t>Solution Analyst</t>
  </si>
  <si>
    <t>Monitoring Dispatch</t>
  </si>
  <si>
    <t>Analog Design Engineeer</t>
  </si>
  <si>
    <t>Viasat</t>
  </si>
  <si>
    <t>Software Engineer Machine Learning</t>
  </si>
  <si>
    <t>Brookhaven National Laboratory</t>
  </si>
  <si>
    <t>Electric Power Engineers, LLC</t>
  </si>
  <si>
    <t>Distribution Systems Engineer</t>
  </si>
  <si>
    <t>National Renewable Energy Laboratory</t>
  </si>
  <si>
    <t>Researcher</t>
  </si>
  <si>
    <t>Princeton University</t>
  </si>
  <si>
    <t>Entry Level Systems Engineer</t>
  </si>
  <si>
    <t>Cybersecurity Defense Analyst</t>
  </si>
  <si>
    <t>Cisco Meraki</t>
  </si>
  <si>
    <t>College Station Utility</t>
  </si>
  <si>
    <t>Electrical Relay Technician</t>
  </si>
  <si>
    <t>Assistant Design Engineer I</t>
  </si>
  <si>
    <t>Forward Slope Inc.</t>
  </si>
  <si>
    <t>Associate Network Engineer</t>
  </si>
  <si>
    <t>KBTX Media</t>
  </si>
  <si>
    <t>Oceus Networks</t>
  </si>
  <si>
    <t>Associate Network Technician</t>
  </si>
  <si>
    <t>Automation Specialist 1</t>
  </si>
  <si>
    <t>Manufacturing &amp; IT/OT Operation Start Up Leader</t>
  </si>
  <si>
    <t>Serco</t>
  </si>
  <si>
    <t>Software Developer &amp; Programmer</t>
  </si>
  <si>
    <t>Teletronix</t>
  </si>
  <si>
    <t>Product Validation and Testing Engineer Rotational</t>
  </si>
  <si>
    <t>Thermo Fisher Scientific</t>
  </si>
  <si>
    <t>Field Service Engineer 2</t>
  </si>
  <si>
    <t>Radio Frequency Performance Engineer</t>
  </si>
  <si>
    <t>Worlds</t>
  </si>
  <si>
    <t>Bureau Veritas</t>
  </si>
  <si>
    <t>Technical Services Director</t>
  </si>
  <si>
    <t>Business Consultant</t>
  </si>
  <si>
    <t>Ecopetrol</t>
  </si>
  <si>
    <t>Ogelthorpe Power Corporation</t>
  </si>
  <si>
    <t>Combustion Turbine Technician</t>
  </si>
  <si>
    <t>Qatar Gas (Qatar)</t>
  </si>
  <si>
    <t>Enviornmental Engineer</t>
  </si>
  <si>
    <t>Universal Engineering</t>
  </si>
  <si>
    <t>Technical Asset Engineer</t>
  </si>
  <si>
    <t>EDP Renewables North America LLC (formerly Horizon</t>
  </si>
  <si>
    <t>PMO Analyst</t>
  </si>
  <si>
    <t>Keyence Corporation of America</t>
  </si>
  <si>
    <t>Strategic Business Development Associate</t>
  </si>
  <si>
    <t>Chemical Engineer Associate</t>
  </si>
  <si>
    <t>LTDP</t>
  </si>
  <si>
    <t>Texas A&amp;M Transportation Institute (TTI)</t>
  </si>
  <si>
    <t>Researcher IV</t>
  </si>
  <si>
    <t>Site Civil Design Engineer</t>
  </si>
  <si>
    <t>ACME Brick</t>
  </si>
  <si>
    <t>SLDP</t>
  </si>
  <si>
    <t>Blue Bridge Logistics LLC</t>
  </si>
  <si>
    <t>Operations Support Assistant</t>
  </si>
  <si>
    <t>Brenntag Lubricants</t>
  </si>
  <si>
    <t>Strategic Sourcing Specialist</t>
  </si>
  <si>
    <t>CEO Technologies</t>
  </si>
  <si>
    <t>Project Quotations Specialist</t>
  </si>
  <si>
    <t>Eads Distribution</t>
  </si>
  <si>
    <t>Operations Management Leadership Development Progr</t>
  </si>
  <si>
    <t>Valve Application Engineer</t>
  </si>
  <si>
    <t>Ewing Irrigation and Landscape Supply</t>
  </si>
  <si>
    <t>Employee</t>
  </si>
  <si>
    <t>Graybar Electric</t>
  </si>
  <si>
    <t>Leadership Trainee</t>
  </si>
  <si>
    <t>Sales Trainer</t>
  </si>
  <si>
    <t>LIFT Program</t>
  </si>
  <si>
    <t>Operations Team Lead</t>
  </si>
  <si>
    <t>Heritage Landscaping</t>
  </si>
  <si>
    <t>Management Training</t>
  </si>
  <si>
    <t>Holt Cat</t>
  </si>
  <si>
    <t>IKG USA, LLC.</t>
  </si>
  <si>
    <t>Johnstone Supply of South Texas</t>
  </si>
  <si>
    <t>Operations Planning</t>
  </si>
  <si>
    <t>Financial Management</t>
  </si>
  <si>
    <t>Account Associate</t>
  </si>
  <si>
    <t>Morris Builders LTD</t>
  </si>
  <si>
    <t>Development Supervisor</t>
  </si>
  <si>
    <t>Mustang CAT</t>
  </si>
  <si>
    <t>Sales and Development</t>
  </si>
  <si>
    <t>Nasdaq</t>
  </si>
  <si>
    <t>Sales Leadership Development Program</t>
  </si>
  <si>
    <t>Accelerated Commercial Experience</t>
  </si>
  <si>
    <t>ACE Employee</t>
  </si>
  <si>
    <t>Reynolds and Reynolds Sales Leadership Institute</t>
  </si>
  <si>
    <t>Richards Ranch, Inc.</t>
  </si>
  <si>
    <t>Ranch Hand</t>
  </si>
  <si>
    <t>Robert Madden Industries</t>
  </si>
  <si>
    <t>Counter Sales Associate</t>
  </si>
  <si>
    <t>Ryder</t>
  </si>
  <si>
    <t>Carrier Development Associate</t>
  </si>
  <si>
    <t>Service Supply</t>
  </si>
  <si>
    <t>Relationship Manager in Training</t>
  </si>
  <si>
    <t>New Car Salesperson</t>
  </si>
  <si>
    <t>Sterling Portfolio Managers</t>
  </si>
  <si>
    <t>Sales Developmental Program</t>
  </si>
  <si>
    <t>Sunbelt Group L.P.</t>
  </si>
  <si>
    <t>Swagelok Texas Mid-Coast</t>
  </si>
  <si>
    <t>The Resource Group</t>
  </si>
  <si>
    <t>Deployment Analyst</t>
  </si>
  <si>
    <t>Industrial Controls Specialist</t>
  </si>
  <si>
    <t>Total Quality Logistics</t>
  </si>
  <si>
    <t>Logistics Account Executive Trainee</t>
  </si>
  <si>
    <t>Associate Commercial Development Program</t>
  </si>
  <si>
    <t>Weishun Engineering Inc.</t>
  </si>
  <si>
    <t>Network Planning Analyst</t>
  </si>
  <si>
    <t>ARCO/Murray Design Build</t>
  </si>
  <si>
    <t>NASA Mission Control Flight Controller</t>
  </si>
  <si>
    <t>Brazos Valley Recycling</t>
  </si>
  <si>
    <t>Operator Manager</t>
  </si>
  <si>
    <t>Assistant Project Controls Specialist</t>
  </si>
  <si>
    <t>Technology Analyst</t>
  </si>
  <si>
    <t>Operations and Technology Analyst</t>
  </si>
  <si>
    <t>Rotational Analysis</t>
  </si>
  <si>
    <t>Product Management Analyst</t>
  </si>
  <si>
    <t>Deterta Chem</t>
  </si>
  <si>
    <t>Logistics Engineer</t>
  </si>
  <si>
    <t>Essilor Luxottica</t>
  </si>
  <si>
    <t>EQMS Systems Administrator</t>
  </si>
  <si>
    <t>Project Engineering Coordinator</t>
  </si>
  <si>
    <t>Brand Technical Sales Specialist</t>
  </si>
  <si>
    <t>Supply Management</t>
  </si>
  <si>
    <t>K2Share, LLC</t>
  </si>
  <si>
    <t>Fullstack Developer</t>
  </si>
  <si>
    <t>Kimley Horn</t>
  </si>
  <si>
    <t>F-22 Product Support Engineer</t>
  </si>
  <si>
    <t>Systems Engineer - Reliability Analytics</t>
  </si>
  <si>
    <t>Marine Corps Systems Command - Quantico</t>
  </si>
  <si>
    <t>Azure Support Engineer</t>
  </si>
  <si>
    <t>MW Builders</t>
  </si>
  <si>
    <t>Systems Engineer I</t>
  </si>
  <si>
    <t>Secure America Institute</t>
  </si>
  <si>
    <t>Technical Lab Manager</t>
  </si>
  <si>
    <t>Associate Data Scientist</t>
  </si>
  <si>
    <t>Service Packaging Engineer</t>
  </si>
  <si>
    <t>Associate IE Supervisor</t>
  </si>
  <si>
    <t>VTI of Texas, INC</t>
  </si>
  <si>
    <t>Continuous Improvement Lead</t>
  </si>
  <si>
    <t>World Wide Technology</t>
  </si>
  <si>
    <t>Associate Consulting Systems Engineer</t>
  </si>
  <si>
    <t>Wyman Gordon</t>
  </si>
  <si>
    <t>Process Tooling Engineer</t>
  </si>
  <si>
    <t>Pathways Opertions Manager</t>
  </si>
  <si>
    <t>Customer Engineer, Global Installation Team</t>
  </si>
  <si>
    <t>ArcBest Technologies</t>
  </si>
  <si>
    <t>Prescriptive Analyst</t>
  </si>
  <si>
    <t>GM Financial</t>
  </si>
  <si>
    <t>Acquisition Analytics Associate</t>
  </si>
  <si>
    <t>Koch Specialty Plant Services</t>
  </si>
  <si>
    <t>Lowe's Companies</t>
  </si>
  <si>
    <t>ML Engineer</t>
  </si>
  <si>
    <t>Taiwan Semiconductor Manufacturing Company</t>
  </si>
  <si>
    <t>Production Planning</t>
  </si>
  <si>
    <t>Logistics Finance Analyst</t>
  </si>
  <si>
    <t>SIE</t>
  </si>
  <si>
    <t>Supplies Industrialization Engineer</t>
  </si>
  <si>
    <t>The Home Depot</t>
  </si>
  <si>
    <t>Senior Data Analyst</t>
  </si>
  <si>
    <t>Instructoral Assistant Professor</t>
  </si>
  <si>
    <t>Texas State University</t>
  </si>
  <si>
    <t>Lecturer</t>
  </si>
  <si>
    <t>University of Puerto Rico</t>
  </si>
  <si>
    <t>Professor</t>
  </si>
  <si>
    <t>US Naval Research Lab</t>
  </si>
  <si>
    <t>Manufacturing Engineer III</t>
  </si>
  <si>
    <t>Gel Blaster LLC</t>
  </si>
  <si>
    <t>Manufacturing Team Leader</t>
  </si>
  <si>
    <t>Joeris General Contractors, Inc.</t>
  </si>
  <si>
    <t>Klune Industries</t>
  </si>
  <si>
    <t>Leaf Engineers</t>
  </si>
  <si>
    <t>Field Technician</t>
  </si>
  <si>
    <t>National Equipment Corp. (NECO)</t>
  </si>
  <si>
    <t>CAM Engineer</t>
  </si>
  <si>
    <t>Phoenix Technology Services</t>
  </si>
  <si>
    <t>MWD Operator</t>
  </si>
  <si>
    <t>TEAM Solutions Inc.</t>
  </si>
  <si>
    <t>Control System Design Engineer</t>
  </si>
  <si>
    <t>Toshiba America, Inc.</t>
  </si>
  <si>
    <t>Process Support Engineer I</t>
  </si>
  <si>
    <t>InterApp Group</t>
  </si>
  <si>
    <t>Junior Inside Sales Engineer</t>
  </si>
  <si>
    <t>StataCorp, LP</t>
  </si>
  <si>
    <t>Production Manager</t>
  </si>
  <si>
    <t>Elgin AFB</t>
  </si>
  <si>
    <t>AGA MSD</t>
  </si>
  <si>
    <t>Corporate Program Engineer</t>
  </si>
  <si>
    <t>Manufacturing Quality Engineer</t>
  </si>
  <si>
    <t>Entought</t>
  </si>
  <si>
    <t>Scientific Software Developer</t>
  </si>
  <si>
    <t>Eurotins Nanolab Technologies</t>
  </si>
  <si>
    <t>Packaging R&amp;D Engineer</t>
  </si>
  <si>
    <t>PTD Engineer</t>
  </si>
  <si>
    <t>Shanghai Jiaotong University</t>
  </si>
  <si>
    <t>TEES-Texas A&amp;M Engineering Experiment Station</t>
  </si>
  <si>
    <t>Texas A&amp;M High Performance Research Computing</t>
  </si>
  <si>
    <t>User Service</t>
  </si>
  <si>
    <t>RDI Engineer</t>
  </si>
  <si>
    <t>Anslow Bryant</t>
  </si>
  <si>
    <t>ASEC Engineering Consultants</t>
  </si>
  <si>
    <t>Field Installation Engineer</t>
  </si>
  <si>
    <t>HMI Designer</t>
  </si>
  <si>
    <t>Caterpillar</t>
  </si>
  <si>
    <t>Engineering Rotational Development</t>
  </si>
  <si>
    <t>Mechanical 3D Design Engineer</t>
  </si>
  <si>
    <t>Process Technician</t>
  </si>
  <si>
    <t>Operations Supervisor</t>
  </si>
  <si>
    <t>Campus Missionary</t>
  </si>
  <si>
    <t>Grey Steel</t>
  </si>
  <si>
    <t>Investment Sales</t>
  </si>
  <si>
    <t>Kabota Tractor Company</t>
  </si>
  <si>
    <t>Compliance Engineer</t>
  </si>
  <si>
    <t>Crew Station Design Engineer</t>
  </si>
  <si>
    <t>Structural Test Engineer</t>
  </si>
  <si>
    <t>Mechanical Reliability Engineer</t>
  </si>
  <si>
    <t>Refinery Engineer</t>
  </si>
  <si>
    <t>Fluid Engineer</t>
  </si>
  <si>
    <t>Novsot</t>
  </si>
  <si>
    <t>Robert Bosch Foundation Fellowship Program</t>
  </si>
  <si>
    <t>Sage Geosystems</t>
  </si>
  <si>
    <t>Offshore Support Engineer</t>
  </si>
  <si>
    <t>Smith Pump Company, Inc.</t>
  </si>
  <si>
    <t>Test Equipment Engineer</t>
  </si>
  <si>
    <t>Swift Current Energy</t>
  </si>
  <si>
    <t>Associate Asset Manager</t>
  </si>
  <si>
    <t>TCS Mechanical</t>
  </si>
  <si>
    <t>Engineering Process Technician GFTX</t>
  </si>
  <si>
    <t>NPI Process Technician</t>
  </si>
  <si>
    <t>Vehicle Dynamics Engineer</t>
  </si>
  <si>
    <t>Veryable</t>
  </si>
  <si>
    <t>Business Development</t>
  </si>
  <si>
    <t>Wood Plc.</t>
  </si>
  <si>
    <t>ADV Integrity</t>
  </si>
  <si>
    <t>Pipeline Integrity Engineer</t>
  </si>
  <si>
    <t>Bristol-Myers Squibb (BMS)</t>
  </si>
  <si>
    <t>Lead Utility Consulting Analyst</t>
  </si>
  <si>
    <t>Deere &amp; Company</t>
  </si>
  <si>
    <t>Henyli Hydraulic America</t>
  </si>
  <si>
    <t>Valve Designer</t>
  </si>
  <si>
    <t>HIS Innovations</t>
  </si>
  <si>
    <t>Process Solution Engineer</t>
  </si>
  <si>
    <t>ICF International</t>
  </si>
  <si>
    <t>LA Turbine</t>
  </si>
  <si>
    <t>Aeronautical Engineer III</t>
  </si>
  <si>
    <t>CAE Engineer</t>
  </si>
  <si>
    <t>Pathways Engineer Mechanical</t>
  </si>
  <si>
    <t>Test Engineer I</t>
  </si>
  <si>
    <t>Manufacturing Design Engineer</t>
  </si>
  <si>
    <t>Senior RF Engineer</t>
  </si>
  <si>
    <t>Structure Stress Analysis Engineer</t>
  </si>
  <si>
    <t>Canon Nanotechnologies, Inc</t>
  </si>
  <si>
    <t>Senior R&amp;D Jetting Engineer</t>
  </si>
  <si>
    <t>Framatome Inc.</t>
  </si>
  <si>
    <t>Lam Research Corporation</t>
  </si>
  <si>
    <t>Louisiana State University</t>
  </si>
  <si>
    <t>LT Tech &amp; Services</t>
  </si>
  <si>
    <t>Senior Opto-Mechanical Engineer</t>
  </si>
  <si>
    <t>Minnesota Mining and Manufacturing</t>
  </si>
  <si>
    <t>Senior Research Engineer</t>
  </si>
  <si>
    <t>Qassim University</t>
  </si>
  <si>
    <t>Seagate</t>
  </si>
  <si>
    <t>University of Maryland, Baltimore</t>
  </si>
  <si>
    <t>Angellis Tank Robotics</t>
  </si>
  <si>
    <t>Systems Install Engineer</t>
  </si>
  <si>
    <t>Caldwell Banker</t>
  </si>
  <si>
    <t>Associate Controls System Specialist</t>
  </si>
  <si>
    <t>Ipoz Systems</t>
  </si>
  <si>
    <t>Electrical System Engineer</t>
  </si>
  <si>
    <t>Ranger Conveying &amp; Supply Co., Inc.</t>
  </si>
  <si>
    <t>Automation Controls Technician</t>
  </si>
  <si>
    <t>CAM Builder's LLC</t>
  </si>
  <si>
    <t>Office Manager &amp; Superintendent</t>
  </si>
  <si>
    <t>Nuclear Material Account and Control</t>
  </si>
  <si>
    <t>Turkish Nuclear Regulatory Authority</t>
  </si>
  <si>
    <t>Specialist</t>
  </si>
  <si>
    <t>National Institute of Standards and Technology</t>
  </si>
  <si>
    <t>Senior Member of Technical Staff</t>
  </si>
  <si>
    <t>Sales-in-Training</t>
  </si>
  <si>
    <t>Daewood Shipbuilding Marine Engineer</t>
  </si>
  <si>
    <t>Structure Engineer</t>
  </si>
  <si>
    <t>US Army Corps of Engineers - Galveston District</t>
  </si>
  <si>
    <t>University of California, Berkeley</t>
  </si>
  <si>
    <t>University of Florida</t>
  </si>
  <si>
    <t>University of Houston</t>
  </si>
  <si>
    <t>Associate Reservoir Engineer</t>
  </si>
  <si>
    <t>L48 Engineer</t>
  </si>
  <si>
    <t>Ensign Services</t>
  </si>
  <si>
    <t>Excel Construction Services, LLC</t>
  </si>
  <si>
    <t>Field Engineer 1</t>
  </si>
  <si>
    <t>Scientific Drilling International</t>
  </si>
  <si>
    <t>Data Analytics Engineer</t>
  </si>
  <si>
    <t>Metalworking Fluid Petroleum Engineer</t>
  </si>
  <si>
    <t>Operations Planning Engineer I</t>
  </si>
  <si>
    <t>Managed Pressure Drilling Field Engineer</t>
  </si>
  <si>
    <t>Next-Gen</t>
  </si>
  <si>
    <t>Workover Engineer</t>
  </si>
  <si>
    <t>Moyes &amp; Co.</t>
  </si>
  <si>
    <t>Production Engineer Advisor</t>
  </si>
  <si>
    <t>Data Scientist Engineer</t>
  </si>
  <si>
    <t>Cormetech Inc</t>
  </si>
  <si>
    <t>Test Engineer Scientist</t>
  </si>
  <si>
    <t>Kosha</t>
  </si>
  <si>
    <t>System Safety Engineer</t>
  </si>
  <si>
    <t>Asset Living</t>
  </si>
  <si>
    <t>Texas A&amp;M University - Security Operations Center</t>
  </si>
  <si>
    <t>Security Analyst 1</t>
  </si>
  <si>
    <t>Texas A&amp;M University Police Department</t>
  </si>
  <si>
    <t>Ameritax Machine &amp; Engineering</t>
  </si>
  <si>
    <t>ELLSS Vacuum Engineer</t>
  </si>
  <si>
    <t>Spacecraft Systems Engineer</t>
  </si>
  <si>
    <t>Technologist</t>
  </si>
  <si>
    <t>Spacecraft Guidance &amp; Navigation Control Modeling</t>
  </si>
  <si>
    <t>HippoMed Technologies</t>
  </si>
  <si>
    <t>Chief Technical Officer</t>
  </si>
  <si>
    <t>Associate Technical Systems Engineer</t>
  </si>
  <si>
    <t>Pratt and Whitney</t>
  </si>
  <si>
    <t>Build Reliability Engineer</t>
  </si>
  <si>
    <t>Stratolaunch</t>
  </si>
  <si>
    <t>Avionics Engineer</t>
  </si>
  <si>
    <t>Textron Systems</t>
  </si>
  <si>
    <t>Systems Integration &amp; Test Engineer</t>
  </si>
  <si>
    <t>US Air Force Research Lab</t>
  </si>
  <si>
    <t>Aerospace Engineer Trainee</t>
  </si>
  <si>
    <t>ABL Space Systems</t>
  </si>
  <si>
    <t>Hardware Development Engineer</t>
  </si>
  <si>
    <t>Altain Engineering</t>
  </si>
  <si>
    <t>Structural Analysis Associate</t>
  </si>
  <si>
    <t>Aerospace/Software research</t>
  </si>
  <si>
    <t>Regulatory Specialist</t>
  </si>
  <si>
    <t>Ops Plan Flight Controller</t>
  </si>
  <si>
    <t>Texas A&amp;M University VTTP Research</t>
  </si>
  <si>
    <t>R&amp;D Intern</t>
  </si>
  <si>
    <t>Associate Account Specialist</t>
  </si>
  <si>
    <t>Evaheart</t>
  </si>
  <si>
    <t>Clinical Support Specialist</t>
  </si>
  <si>
    <t>FUJIFILM Diosynth Biotechnologies</t>
  </si>
  <si>
    <t>GE Healthcare</t>
  </si>
  <si>
    <t>Quality/Regulatory Leadership Program</t>
  </si>
  <si>
    <t>Orthofix</t>
  </si>
  <si>
    <t>SageDerma</t>
  </si>
  <si>
    <t>Teleflex</t>
  </si>
  <si>
    <t>University of Notre Dame</t>
  </si>
  <si>
    <t>Research and Development Technician</t>
  </si>
  <si>
    <t>iBio, Inc.</t>
  </si>
  <si>
    <t>Marketing Development Analyst</t>
  </si>
  <si>
    <t>AB InBev</t>
  </si>
  <si>
    <t>Group Manager</t>
  </si>
  <si>
    <t>Career Development Program Engineer</t>
  </si>
  <si>
    <t>Altria</t>
  </si>
  <si>
    <t>ELDP Engineer I</t>
  </si>
  <si>
    <t>Biewery Training Program</t>
  </si>
  <si>
    <t>FUEL Rotational Engineer</t>
  </si>
  <si>
    <t>Gulf Coast Technical Development Engineer</t>
  </si>
  <si>
    <t>Materials Process &amp; Physics Engineer</t>
  </si>
  <si>
    <t>CNS Pantex</t>
  </si>
  <si>
    <t>District Representative</t>
  </si>
  <si>
    <t>FOCUS</t>
  </si>
  <si>
    <t>Leadership</t>
  </si>
  <si>
    <t>Technical Service Engineer</t>
  </si>
  <si>
    <t>Safety Specialist I</t>
  </si>
  <si>
    <t>KiemIT</t>
  </si>
  <si>
    <t>Controls and Inctermtation Engineer</t>
  </si>
  <si>
    <t>Lhoist North America</t>
  </si>
  <si>
    <t>Assistant Process Engineer</t>
  </si>
  <si>
    <t>Occidental (Oxy)</t>
  </si>
  <si>
    <t>Veolia Environmental</t>
  </si>
  <si>
    <t>Assistant to Operations</t>
  </si>
  <si>
    <t>Kinberly-Clark</t>
  </si>
  <si>
    <t>Modality Solutions</t>
  </si>
  <si>
    <t>ABSG Consulting</t>
  </si>
  <si>
    <t>Austin Bridge and Road</t>
  </si>
  <si>
    <t>Cole &amp; Associates</t>
  </si>
  <si>
    <t>CVS Pharmacy</t>
  </si>
  <si>
    <t>Graduate Stuctural Engineer</t>
  </si>
  <si>
    <t>Elevation Land Services</t>
  </si>
  <si>
    <t>Freese &amp; Nichols</t>
  </si>
  <si>
    <t>Stormwater I</t>
  </si>
  <si>
    <t>FST, Inc.</t>
  </si>
  <si>
    <t>Water Environmental Engineer</t>
  </si>
  <si>
    <t>Graduate Engineering</t>
  </si>
  <si>
    <t>Ink Civil</t>
  </si>
  <si>
    <t>IOS Engineering Group</t>
  </si>
  <si>
    <t>K+Friese &amp; Associates</t>
  </si>
  <si>
    <t>Kimley Hom</t>
  </si>
  <si>
    <t>KSA Engineering</t>
  </si>
  <si>
    <t>Langan</t>
  </si>
  <si>
    <t>LIRA</t>
  </si>
  <si>
    <t>Graduate Bridge Design Engineer</t>
  </si>
  <si>
    <t>McCarthy Building Company</t>
  </si>
  <si>
    <t>McClure and Browne Engineering</t>
  </si>
  <si>
    <t>Pacheco Koch</t>
  </si>
  <si>
    <t>Project Engineering</t>
  </si>
  <si>
    <t>Peloton Land Solutions</t>
  </si>
  <si>
    <t>Ragnar Benson</t>
  </si>
  <si>
    <t>Rio Delta Engineering</t>
  </si>
  <si>
    <t>Scheibe Consulting</t>
  </si>
  <si>
    <t>Schultz Engineering</t>
  </si>
  <si>
    <t>Post Grad Associate Engineer</t>
  </si>
  <si>
    <t>Spiars Engineering and Surveying</t>
  </si>
  <si>
    <t>TES</t>
  </si>
  <si>
    <t>GIS Consultant Analyst</t>
  </si>
  <si>
    <t>TX Morrow Construction</t>
  </si>
  <si>
    <t>Civil Engireering Corp</t>
  </si>
  <si>
    <t>Ward Getz and Associates</t>
  </si>
  <si>
    <t>Site Development Engineer</t>
  </si>
  <si>
    <t>Wonderkind Co.</t>
  </si>
  <si>
    <t>Graphic Designer</t>
  </si>
  <si>
    <t>AECOM Water Resources Group</t>
  </si>
  <si>
    <t>Alphathree Consulting LLC</t>
  </si>
  <si>
    <t>City of Beaverton</t>
  </si>
  <si>
    <t>Evoqua</t>
  </si>
  <si>
    <t>HKS; Inc.</t>
  </si>
  <si>
    <t>Horizon International Group, LLC</t>
  </si>
  <si>
    <t>Lennar</t>
  </si>
  <si>
    <t>Matrix Structures</t>
  </si>
  <si>
    <t>Civil Associate</t>
  </si>
  <si>
    <t>Moldex</t>
  </si>
  <si>
    <t>Urban Structure</t>
  </si>
  <si>
    <t>Intelligence Officer</t>
  </si>
  <si>
    <t>Uzun and Case</t>
  </si>
  <si>
    <t>Vickery &amp; Associates LLC</t>
  </si>
  <si>
    <t>WJE Associates</t>
  </si>
  <si>
    <t>WPM</t>
  </si>
  <si>
    <t>Engineering Technology Associates</t>
  </si>
  <si>
    <t>Herzog</t>
  </si>
  <si>
    <t>Bit GO</t>
  </si>
  <si>
    <t>Inside Product Specialist</t>
  </si>
  <si>
    <t>Bell Textron</t>
  </si>
  <si>
    <t>Gateway Software Engineer</t>
  </si>
  <si>
    <t>Liti</t>
  </si>
  <si>
    <t>Software Quality Engineer</t>
  </si>
  <si>
    <t>User ID and Process Automation Engineer</t>
  </si>
  <si>
    <t>NetedgeVR</t>
  </si>
  <si>
    <t>VR Developer</t>
  </si>
  <si>
    <t>Quad, Inc.</t>
  </si>
  <si>
    <t>Resi Media</t>
  </si>
  <si>
    <t>CPU Verification Engineer</t>
  </si>
  <si>
    <t>Arm, Inc</t>
  </si>
  <si>
    <t>Performance Architect</t>
  </si>
  <si>
    <t>Johnson and Johnson - Biosense Webster Inc</t>
  </si>
  <si>
    <t>Samsung Electronics Inc.</t>
  </si>
  <si>
    <t>Silars</t>
  </si>
  <si>
    <t>Walmart Labs</t>
  </si>
  <si>
    <t>Validation Software Engineer</t>
  </si>
  <si>
    <t>Advanced App Engineering Analyst</t>
  </si>
  <si>
    <t>BuildOn Technologies</t>
  </si>
  <si>
    <t>Cignity</t>
  </si>
  <si>
    <t>analyst solution engineer</t>
  </si>
  <si>
    <t>Dropbox</t>
  </si>
  <si>
    <t>Emerson Electric</t>
  </si>
  <si>
    <t>machine learning engineer</t>
  </si>
  <si>
    <t>Lowes Companies Inc</t>
  </si>
  <si>
    <t>LRS</t>
  </si>
  <si>
    <t>Parweda</t>
  </si>
  <si>
    <t>Pros</t>
  </si>
  <si>
    <t>Roblox LLC</t>
  </si>
  <si>
    <t>Roku Inc.</t>
  </si>
  <si>
    <t>Texas Life Extention</t>
  </si>
  <si>
    <t>Programmer I</t>
  </si>
  <si>
    <t>University of Texas</t>
  </si>
  <si>
    <t>Computer System Design Engineer Officer</t>
  </si>
  <si>
    <t>Vectra</t>
  </si>
  <si>
    <t>Woodridge Software</t>
  </si>
  <si>
    <t>Match Group (Tinder)</t>
  </si>
  <si>
    <t>Deep Learning Software Engineer</t>
  </si>
  <si>
    <t>Roku</t>
  </si>
  <si>
    <t>Research Computer Scientist</t>
  </si>
  <si>
    <t>Quantlab Financial</t>
  </si>
  <si>
    <t>Quantitative Developer</t>
  </si>
  <si>
    <t>Rice University</t>
  </si>
  <si>
    <t>Cendera</t>
  </si>
  <si>
    <t>Auscom</t>
  </si>
  <si>
    <t>ATP program consultant</t>
  </si>
  <si>
    <t>Ciravs Logre</t>
  </si>
  <si>
    <t>Epic Industrial</t>
  </si>
  <si>
    <t>Hubbell Control Solutions</t>
  </si>
  <si>
    <t>Associate Firmware Engineer</t>
  </si>
  <si>
    <t>Hubbell Inc.</t>
  </si>
  <si>
    <t>Associate Systems Test Engineer</t>
  </si>
  <si>
    <t>Hyniva LLC</t>
  </si>
  <si>
    <t>Business Architect</t>
  </si>
  <si>
    <t>KHMR&amp;G</t>
  </si>
  <si>
    <t>Technical Advisor/ Patent Agent</t>
  </si>
  <si>
    <t>RF Wireless Engineering</t>
  </si>
  <si>
    <t>Electrical Distribution Engineer</t>
  </si>
  <si>
    <t>Microelectricians</t>
  </si>
  <si>
    <t>Semiconductor Failure Analysis</t>
  </si>
  <si>
    <t>Rotational Electrical Engineer</t>
  </si>
  <si>
    <t>Oncor Electrical Delivery</t>
  </si>
  <si>
    <t>PANTEX</t>
  </si>
  <si>
    <t>Core Engineer associate</t>
  </si>
  <si>
    <t>Solutions Engineering</t>
  </si>
  <si>
    <t>US Department of Justice</t>
  </si>
  <si>
    <t>US Patent Office</t>
  </si>
  <si>
    <t>Plant Reliability Engineer</t>
  </si>
  <si>
    <t>Senior Solution Engineer</t>
  </si>
  <si>
    <t>Weapon Systems Engineering Manager</t>
  </si>
  <si>
    <t>MediaTek</t>
  </si>
  <si>
    <t>Product/Test Engineer</t>
  </si>
  <si>
    <t>Renesas Electronics America INC.</t>
  </si>
  <si>
    <t>Applied Researcher</t>
  </si>
  <si>
    <t>Qatargas</t>
  </si>
  <si>
    <t>PhD</t>
  </si>
  <si>
    <t>Mechanical Install Engineer 1</t>
  </si>
  <si>
    <t>Aukin</t>
  </si>
  <si>
    <t>Dell EMC</t>
  </si>
  <si>
    <t>DWG</t>
  </si>
  <si>
    <t>Ford AV</t>
  </si>
  <si>
    <t>Project Engineer In Training</t>
  </si>
  <si>
    <t>MDI</t>
  </si>
  <si>
    <t>Sierra Nevada Corporation</t>
  </si>
  <si>
    <t>Sun Power</t>
  </si>
  <si>
    <t>IT Engineer III</t>
  </si>
  <si>
    <t>Texas A&amp;M University - Commerce</t>
  </si>
  <si>
    <t>Senior IT Professional II</t>
  </si>
  <si>
    <t>Development Security Operations Engineer</t>
  </si>
  <si>
    <t>Wellman Group Inc.</t>
  </si>
  <si>
    <t>IT Manager</t>
  </si>
  <si>
    <t>City of Dallas</t>
  </si>
  <si>
    <t>Chemist</t>
  </si>
  <si>
    <t>Engie</t>
  </si>
  <si>
    <t>Development Associate</t>
  </si>
  <si>
    <t>LINDE</t>
  </si>
  <si>
    <t>Methanex Corporation</t>
  </si>
  <si>
    <t>Process Engineer/Field Engineer</t>
  </si>
  <si>
    <t>Senior Manager, Quality Operations</t>
  </si>
  <si>
    <t>Feddo Group</t>
  </si>
  <si>
    <t>Industrial Engineer I</t>
  </si>
  <si>
    <t>Triumph Group Inc.</t>
  </si>
  <si>
    <t>Peraton</t>
  </si>
  <si>
    <t>RF Test Engineer</t>
  </si>
  <si>
    <t>abc plastics</t>
  </si>
  <si>
    <t>Sales Executive</t>
  </si>
  <si>
    <t>ABC Supply Co</t>
  </si>
  <si>
    <t>Sales Leadership &amp; Development</t>
  </si>
  <si>
    <t>Senior Leadership Development Program</t>
  </si>
  <si>
    <t>Aerzeu USA</t>
  </si>
  <si>
    <t>Altina</t>
  </si>
  <si>
    <t>Materials Project Management</t>
  </si>
  <si>
    <t>automated dynamics corp</t>
  </si>
  <si>
    <t>Brinker International</t>
  </si>
  <si>
    <t>Bruckner's</t>
  </si>
  <si>
    <t>E-Commerce Director</t>
  </si>
  <si>
    <t>Assistant Expeditor</t>
  </si>
  <si>
    <t>Cameron Ashley</t>
  </si>
  <si>
    <t>CCC Group</t>
  </si>
  <si>
    <t>Sales and Leadership Trainee</t>
  </si>
  <si>
    <t>Sales Rotational Program</t>
  </si>
  <si>
    <t>Sales Training</t>
  </si>
  <si>
    <t>Century HUAC Distribution</t>
  </si>
  <si>
    <t>DSWi</t>
  </si>
  <si>
    <t>DuPont Pioneer</t>
  </si>
  <si>
    <t>Logistics Specialists</t>
  </si>
  <si>
    <t>East Coast International Tire</t>
  </si>
  <si>
    <t>Account Engineer</t>
  </si>
  <si>
    <t>Endress &amp; Hauser</t>
  </si>
  <si>
    <t>National Technology Consultant</t>
  </si>
  <si>
    <t>Ewing Irrigation and Landscape</t>
  </si>
  <si>
    <t>Full Time Missionary</t>
  </si>
  <si>
    <t>FlipCo Inc.</t>
  </si>
  <si>
    <t>Operation Team</t>
  </si>
  <si>
    <t>General Plastics &amp; Composites</t>
  </si>
  <si>
    <t>Giga Energy, Inc.</t>
  </si>
  <si>
    <t>Fellow</t>
  </si>
  <si>
    <t>H &amp; D Distributiors</t>
  </si>
  <si>
    <t>Halton Hall Insurance</t>
  </si>
  <si>
    <t>Insurance Agent</t>
  </si>
  <si>
    <t>Harrington Process Solutions</t>
  </si>
  <si>
    <t>Hawx</t>
  </si>
  <si>
    <t>Outside Sales</t>
  </si>
  <si>
    <t>Assistant Team Leader</t>
  </si>
  <si>
    <t>Hi-Tech Industrial Services</t>
  </si>
  <si>
    <t>Project Administrator</t>
  </si>
  <si>
    <t>Insight Global</t>
  </si>
  <si>
    <t>Introductory Recruiter</t>
  </si>
  <si>
    <t>Jetstream</t>
  </si>
  <si>
    <t>Sales Tech</t>
  </si>
  <si>
    <t>Warehouse Transportation Manager</t>
  </si>
  <si>
    <t>Market Analyst</t>
  </si>
  <si>
    <t>K-Solv Group</t>
  </si>
  <si>
    <t>Sustainment Program Management</t>
  </si>
  <si>
    <t>Logigear Corp</t>
  </si>
  <si>
    <t>Forecasting Planning</t>
  </si>
  <si>
    <t>Molecula</t>
  </si>
  <si>
    <t>Marketing Development Representation</t>
  </si>
  <si>
    <t>Moore Supply</t>
  </si>
  <si>
    <t>Sales Operations</t>
  </si>
  <si>
    <t>MORSCO</t>
  </si>
  <si>
    <t>Impact Management Trainee</t>
  </si>
  <si>
    <t>NSK Americas</t>
  </si>
  <si>
    <t>Opportune; LLP</t>
  </si>
  <si>
    <t>Process and Technology Consultant</t>
  </si>
  <si>
    <t>Global Sales Analyst</t>
  </si>
  <si>
    <t>Premise Data</t>
  </si>
  <si>
    <t>Deal Valuation Associate</t>
  </si>
  <si>
    <t>Rainbird Corporation</t>
  </si>
  <si>
    <t>Contractor Account Manager</t>
  </si>
  <si>
    <t>Quality Control Specialist</t>
  </si>
  <si>
    <t>Associate Account Manager</t>
  </si>
  <si>
    <t>Samuel, Son &amp; Co</t>
  </si>
  <si>
    <t>Sequeira Civil Construction</t>
  </si>
  <si>
    <t>Sun City Group</t>
  </si>
  <si>
    <t>Logistics Operations</t>
  </si>
  <si>
    <t>Texas Meter and Device</t>
  </si>
  <si>
    <t>Outside Sales Associate</t>
  </si>
  <si>
    <t>Sales Account Manager</t>
  </si>
  <si>
    <t>Aircraft Maintenance Officer</t>
  </si>
  <si>
    <t>Operation Research Analyst</t>
  </si>
  <si>
    <t>Student Naval Flight Officer</t>
  </si>
  <si>
    <t>Associate in Commercial development Program</t>
  </si>
  <si>
    <t>Warren CAT</t>
  </si>
  <si>
    <t>Warren Valve</t>
  </si>
  <si>
    <t>Wesco Anixter</t>
  </si>
  <si>
    <t>Wisenbaker</t>
  </si>
  <si>
    <t>Customer Relations Specialist</t>
  </si>
  <si>
    <t>Technical Project / Program Manager</t>
  </si>
  <si>
    <t>TDP Technical Business Manager</t>
  </si>
  <si>
    <t>Change Architect</t>
  </si>
  <si>
    <t>Bridgepoint</t>
  </si>
  <si>
    <t>C.C. Creations</t>
  </si>
  <si>
    <t>CAPgemini</t>
  </si>
  <si>
    <t>Champion Container</t>
  </si>
  <si>
    <t>Daikin North America</t>
  </si>
  <si>
    <t>Logistics Solutions Specialist</t>
  </si>
  <si>
    <t>Business Technology Consultant</t>
  </si>
  <si>
    <t>Supply Chain Rotational Associate</t>
  </si>
  <si>
    <t>Elite Cell Part</t>
  </si>
  <si>
    <t>People Advisory Services Consultant</t>
  </si>
  <si>
    <t>Fike Corporation</t>
  </si>
  <si>
    <t>Geon</t>
  </si>
  <si>
    <t>H&amp;H Door Co.</t>
  </si>
  <si>
    <t>Detailer</t>
  </si>
  <si>
    <t>Hormel Foods Corporation</t>
  </si>
  <si>
    <t>Entry Level Consultant</t>
  </si>
  <si>
    <t>Lean Leadership Development Associate</t>
  </si>
  <si>
    <t>Pegasas Logistics Group</t>
  </si>
  <si>
    <t>Pinnacle Reliability</t>
  </si>
  <si>
    <t>Asset Integrity Analyst</t>
  </si>
  <si>
    <t>Steffes</t>
  </si>
  <si>
    <t>Global Trainee</t>
  </si>
  <si>
    <t>Global Trainee Program</t>
  </si>
  <si>
    <t>Industrial Engineer Supervisor</t>
  </si>
  <si>
    <t>US Logistics Solutions</t>
  </si>
  <si>
    <t>Young &amp; Pratt, INC</t>
  </si>
  <si>
    <t>Arventis Tech Inc.</t>
  </si>
  <si>
    <t>SAP ERP Business Analyst</t>
  </si>
  <si>
    <t>Staff Data Scientist</t>
  </si>
  <si>
    <t>Faurecia</t>
  </si>
  <si>
    <t>Commodity Buyer</t>
  </si>
  <si>
    <t>FES&amp;P Engineer</t>
  </si>
  <si>
    <t>Transformation Project Coordinator</t>
  </si>
  <si>
    <t>Jostens</t>
  </si>
  <si>
    <t>OPTYM Innovative Scheduling</t>
  </si>
  <si>
    <t>OR Scientist</t>
  </si>
  <si>
    <t>OSI Sofe</t>
  </si>
  <si>
    <t>Producer Support Engineer</t>
  </si>
  <si>
    <t>Tesla</t>
  </si>
  <si>
    <t>Supplies Industrialization</t>
  </si>
  <si>
    <t>48forty</t>
  </si>
  <si>
    <t>Plant Manager</t>
  </si>
  <si>
    <t>Water Account Manager</t>
  </si>
  <si>
    <t>AG Kunz</t>
  </si>
  <si>
    <t>Alion Science and Technology</t>
  </si>
  <si>
    <t>RF Engineering Associate</t>
  </si>
  <si>
    <t>Altamira Material Solutions</t>
  </si>
  <si>
    <t>Production and Controls</t>
  </si>
  <si>
    <t>Reliability Maintenance Engineer</t>
  </si>
  <si>
    <t>Workplace Health and Safety Specialist</t>
  </si>
  <si>
    <t>Avancez</t>
  </si>
  <si>
    <t>Material Review Board Engineer- Supply Chain</t>
  </si>
  <si>
    <t>HDL Research</t>
  </si>
  <si>
    <t>Associate Maintenance Engineer</t>
  </si>
  <si>
    <t>Manufacturing Management Trainee</t>
  </si>
  <si>
    <t>Lone Star Blower</t>
  </si>
  <si>
    <t>Midcoast Energy</t>
  </si>
  <si>
    <t>MM Systems</t>
  </si>
  <si>
    <t>Primary Arms Optics</t>
  </si>
  <si>
    <t>Rovisys</t>
  </si>
  <si>
    <t>Sareus USA</t>
  </si>
  <si>
    <t>SKA Fabricating</t>
  </si>
  <si>
    <t>TD Industries</t>
  </si>
  <si>
    <t>Process Analyst</t>
  </si>
  <si>
    <t>Texas Materials</t>
  </si>
  <si>
    <t>Aggregate Project Manager</t>
  </si>
  <si>
    <t>Thomas Conveyor</t>
  </si>
  <si>
    <t>Production Control Coordinator</t>
  </si>
  <si>
    <t>Student Naval Aviator</t>
  </si>
  <si>
    <t>Wolfram Manufacturing</t>
  </si>
  <si>
    <t>Process / Field Engineer</t>
  </si>
  <si>
    <t>Xylem</t>
  </si>
  <si>
    <t>Associate Applications Engineer</t>
  </si>
  <si>
    <t>Associate Consultant - R&amp;D</t>
  </si>
  <si>
    <t>Arrambide Water Waste Management</t>
  </si>
  <si>
    <t>ASEC Engineering</t>
  </si>
  <si>
    <t>Blackstone</t>
  </si>
  <si>
    <t>Private Equity Analyst</t>
  </si>
  <si>
    <t>C-Lars LLC</t>
  </si>
  <si>
    <t>Mechanical</t>
  </si>
  <si>
    <t>Calpine Energy</t>
  </si>
  <si>
    <t>OPS Engineer</t>
  </si>
  <si>
    <t>Engineering Rotational Development Associate</t>
  </si>
  <si>
    <t>Mechanical Reliability - Grad</t>
  </si>
  <si>
    <t>Conoco Phillips</t>
  </si>
  <si>
    <t>CRU Ministries</t>
  </si>
  <si>
    <t>Business Tech Analyst</t>
  </si>
  <si>
    <t>DMC Inc</t>
  </si>
  <si>
    <t>Embark Trucks</t>
  </si>
  <si>
    <t>Hardware Test Engineer</t>
  </si>
  <si>
    <t>Pipeline Field Engineer</t>
  </si>
  <si>
    <t>French Engineering LLC</t>
  </si>
  <si>
    <t>Commissioning Engineer</t>
  </si>
  <si>
    <t>Professional Technician</t>
  </si>
  <si>
    <t>Nuclear Test Engineer</t>
  </si>
  <si>
    <t>Engineer I Project Manager</t>
  </si>
  <si>
    <t>Civil Analyst - Lead Development</t>
  </si>
  <si>
    <t>Sustainment Engineer</t>
  </si>
  <si>
    <t>Laser Welding Solutions</t>
  </si>
  <si>
    <t>LPL Solar</t>
  </si>
  <si>
    <t>Multidimensional Integration</t>
  </si>
  <si>
    <t>ONEGAS</t>
  </si>
  <si>
    <t>Orode</t>
  </si>
  <si>
    <t>Quest Medical</t>
  </si>
  <si>
    <t>Advance Process Engineer</t>
  </si>
  <si>
    <t>Refrigeration Vessels &amp; Systems</t>
  </si>
  <si>
    <t>Mechanical Specialist</t>
  </si>
  <si>
    <t>S&amp;B Filters</t>
  </si>
  <si>
    <t>SAIC</t>
  </si>
  <si>
    <t>Xeva Tools Safety Engineering</t>
  </si>
  <si>
    <t>Graduate Intern</t>
  </si>
  <si>
    <t>Sol-Ark</t>
  </si>
  <si>
    <t>Solar Engineer</t>
  </si>
  <si>
    <t>swagelok</t>
  </si>
  <si>
    <t>Facilities Engineering Development Program</t>
  </si>
  <si>
    <t>Trone</t>
  </si>
  <si>
    <t>Engineering Sales</t>
  </si>
  <si>
    <t>Ursa Major Technologies</t>
  </si>
  <si>
    <t>Propulsion Development Engineer</t>
  </si>
  <si>
    <t>PAQ Mechanical Engineer</t>
  </si>
  <si>
    <t>Valv Technologies</t>
  </si>
  <si>
    <t>Associate Application Engineer</t>
  </si>
  <si>
    <t>Abbott</t>
  </si>
  <si>
    <t>Clinical Technical Specialist</t>
  </si>
  <si>
    <t>Tech Development Analyst</t>
  </si>
  <si>
    <t>Aeva</t>
  </si>
  <si>
    <t>New Product Manufacturing Engineer</t>
  </si>
  <si>
    <t>Bureau of Reclamation</t>
  </si>
  <si>
    <t>Cerebre</t>
  </si>
  <si>
    <t>Faraday Future</t>
  </si>
  <si>
    <t>Thermal Control Engineer</t>
  </si>
  <si>
    <t>Forum Energy Technologies</t>
  </si>
  <si>
    <t>Proposal Manager</t>
  </si>
  <si>
    <t>GPD Track Software Engineer</t>
  </si>
  <si>
    <t>Industrial and Systems Engineer</t>
  </si>
  <si>
    <t>Design Engineering Associate</t>
  </si>
  <si>
    <t>EDG Engineer</t>
  </si>
  <si>
    <t>Trial Engineer</t>
  </si>
  <si>
    <t>Sandia Construction</t>
  </si>
  <si>
    <t>Assistant Project Engineer</t>
  </si>
  <si>
    <t>Savannah River Remediation</t>
  </si>
  <si>
    <t>Taylor Collaboration</t>
  </si>
  <si>
    <t>R &amp; D Intern</t>
  </si>
  <si>
    <t>Tesla Inc</t>
  </si>
  <si>
    <t>Senior Thermal Engineer</t>
  </si>
  <si>
    <t>Senior Modeling and Simulation Engineer</t>
  </si>
  <si>
    <t>Ohio State University</t>
  </si>
  <si>
    <t>Axient</t>
  </si>
  <si>
    <t>Software Development Analyst</t>
  </si>
  <si>
    <t>GNM Trucking</t>
  </si>
  <si>
    <t>Lead Mechanic</t>
  </si>
  <si>
    <t>McCreary &amp; Associates</t>
  </si>
  <si>
    <t>PLC &amp; HMI Programmer</t>
  </si>
  <si>
    <t>Mechanical Reps, Inc.</t>
  </si>
  <si>
    <t>P&amp;C Tech</t>
  </si>
  <si>
    <t>WAGMI &amp; Klim Dao</t>
  </si>
  <si>
    <t>Policy Manager</t>
  </si>
  <si>
    <t>Nuclear System Design Engineer</t>
  </si>
  <si>
    <t>Horizon 3</t>
  </si>
  <si>
    <t>Lattimore</t>
  </si>
  <si>
    <t>Radiant Nuclear</t>
  </si>
  <si>
    <t>Safety Basis Analyst</t>
  </si>
  <si>
    <t>NGFP Fellar</t>
  </si>
  <si>
    <t>Zachry Nuclear Engineering</t>
  </si>
  <si>
    <t>Numerical Engineer</t>
  </si>
  <si>
    <t>Deep Ocean</t>
  </si>
  <si>
    <t>Great Hearts</t>
  </si>
  <si>
    <t>AIS</t>
  </si>
  <si>
    <t>Amereder, LLC</t>
  </si>
  <si>
    <t>Field Engineer, Pipeline Integrity Engineer</t>
  </si>
  <si>
    <t>Brigelink Commodities</t>
  </si>
  <si>
    <t>Associate Analyst</t>
  </si>
  <si>
    <t>Combo Curve</t>
  </si>
  <si>
    <t>NexTeir</t>
  </si>
  <si>
    <t>Orintir Inc</t>
  </si>
  <si>
    <t>Pro Petro</t>
  </si>
  <si>
    <t>Transocean International</t>
  </si>
  <si>
    <t>Ocean Drilling Program</t>
  </si>
  <si>
    <t>EAG</t>
  </si>
  <si>
    <t>Laboratory Service Engineer</t>
  </si>
  <si>
    <t>TGS</t>
  </si>
  <si>
    <t>Framergy</t>
  </si>
  <si>
    <t>Chemist / Chemical Engineer</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</si>
</sst>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Aptos Narrow"/>
      <scheme val="minor"/>
    </font>
    <font>
      <sz val="12.0"/>
      <color theme="1"/>
      <name val="Arial"/>
    </font>
    <font>
      <b/>
      <sz val="16.0"/>
      <color theme="1"/>
      <name val="Arial"/>
    </font>
    <font/>
    <font>
      <sz val="16.0"/>
      <color theme="1"/>
      <name val="Arial"/>
    </font>
    <font>
      <b/>
      <sz val="14.0"/>
      <color theme="1"/>
      <name val="Arial"/>
    </font>
    <font>
      <b/>
      <sz val="10.0"/>
      <color theme="1"/>
      <name val="Arial"/>
    </font>
    <font>
      <sz val="10.0"/>
      <color theme="1"/>
      <name val="Arial"/>
    </font>
    <font>
      <b/>
      <i/>
      <sz val="22.0"/>
      <color rgb="FFFF0000"/>
      <name val="Arial"/>
    </font>
    <font>
      <b/>
      <sz val="12.0"/>
      <color theme="1"/>
      <name val="Arial"/>
    </font>
    <font>
      <sz val="11.0"/>
      <color theme="1"/>
      <name val="Aptos Narrow"/>
    </font>
    <font>
      <b/>
      <sz val="11.0"/>
      <color theme="1"/>
      <name val="Aptos Narrow"/>
    </font>
    <font>
      <u/>
      <sz val="11.0"/>
      <color theme="10"/>
      <name val="Aptos Narrow"/>
    </font>
    <font>
      <sz val="10.0"/>
      <color theme="1"/>
      <name val="System-ui"/>
    </font>
    <font>
      <color theme="1"/>
      <name val="Aptos Narrow"/>
      <scheme val="minor"/>
    </font>
    <font>
      <sz val="10.0"/>
      <color rgb="FF333333"/>
      <name val="System-ui"/>
    </font>
    <font>
      <u/>
      <sz val="11.0"/>
      <color theme="10"/>
      <name val="Aptos Narrow"/>
    </font>
    <font>
      <b/>
      <sz val="11.0"/>
      <color rgb="FF000000"/>
      <name val="Open Sans"/>
    </font>
    <font>
      <sz val="11.0"/>
      <color rgb="FF000000"/>
      <name val="Open Sans"/>
    </font>
  </fonts>
  <fills count="9">
    <fill>
      <patternFill patternType="none"/>
    </fill>
    <fill>
      <patternFill patternType="lightGray"/>
    </fill>
    <fill>
      <patternFill patternType="solid">
        <fgColor theme="0"/>
        <bgColor theme="0"/>
      </patternFill>
    </fill>
    <fill>
      <patternFill patternType="solid">
        <fgColor rgb="FFAEAEAE"/>
        <bgColor rgb="FFAEAEAE"/>
      </patternFill>
    </fill>
    <fill>
      <patternFill patternType="solid">
        <fgColor theme="1"/>
        <bgColor theme="1"/>
      </patternFill>
    </fill>
    <fill>
      <patternFill patternType="solid">
        <fgColor rgb="FFD0D0D0"/>
        <bgColor rgb="FFD0D0D0"/>
      </patternFill>
    </fill>
    <fill>
      <patternFill patternType="solid">
        <fgColor rgb="FFF2F2F2"/>
        <bgColor rgb="FFF2F2F2"/>
      </patternFill>
    </fill>
    <fill>
      <patternFill patternType="solid">
        <fgColor rgb="FFC1E4F5"/>
        <bgColor rgb="FFC1E4F5"/>
      </patternFill>
    </fill>
    <fill>
      <patternFill patternType="solid">
        <fgColor rgb="FFFFFFFF"/>
        <bgColor rgb="FFFFFFFF"/>
      </patternFill>
    </fill>
  </fills>
  <borders count="34">
    <border/>
    <border>
      <left style="medium">
        <color rgb="FF000000"/>
      </left>
      <top style="medium">
        <color rgb="FF000000"/>
      </top>
      <bottom/>
    </border>
    <border>
      <right/>
      <top style="medium">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border>
    <border>
      <right style="medium">
        <color rgb="FF000000"/>
      </right>
      <top style="medium">
        <color rgb="FF000000"/>
      </top>
      <bottom/>
    </border>
    <border>
      <left style="medium">
        <color rgb="FF000000"/>
      </left>
      <right/>
      <top/>
      <bottom/>
    </border>
    <border>
      <left/>
      <right/>
      <top/>
      <bottom/>
    </border>
    <border>
      <left/>
      <right style="medium">
        <color rgb="FF000000"/>
      </right>
      <top/>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thin">
        <color rgb="FF000000"/>
      </left>
      <right style="thin">
        <color rgb="FF000000"/>
      </right>
      <top style="medium">
        <color rgb="FF000000"/>
      </top>
      <bottom style="thin">
        <color rgb="FF000000"/>
      </bottom>
    </border>
    <border>
      <left style="medium">
        <color rgb="FF000000"/>
      </left>
      <bottom style="medium">
        <color rgb="FF000000"/>
      </bottom>
    </border>
    <border>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2" fontId="4" numFmtId="0" xfId="0" applyAlignment="1" applyBorder="1" applyFont="1">
      <alignment horizontal="center" readingOrder="0"/>
    </xf>
    <xf borderId="4" fillId="0" fontId="3" numFmtId="0" xfId="0" applyBorder="1" applyFont="1"/>
    <xf borderId="5" fillId="0" fontId="3" numFmtId="0" xfId="0" applyBorder="1" applyFont="1"/>
    <xf borderId="1" fillId="3" fontId="2" numFmtId="0" xfId="0" applyAlignment="1" applyBorder="1" applyFill="1" applyFont="1">
      <alignment horizontal="center"/>
    </xf>
    <xf borderId="6" fillId="0" fontId="3" numFmtId="0" xfId="0" applyBorder="1" applyFont="1"/>
    <xf borderId="7" fillId="0" fontId="3" numFmtId="0" xfId="0" applyBorder="1" applyFont="1"/>
    <xf borderId="8" fillId="4" fontId="1" numFmtId="0" xfId="0" applyBorder="1" applyFill="1" applyFont="1"/>
    <xf borderId="9" fillId="4" fontId="1" numFmtId="0" xfId="0" applyBorder="1" applyFont="1"/>
    <xf borderId="10" fillId="4" fontId="1" numFmtId="0" xfId="0" applyBorder="1" applyFont="1"/>
    <xf borderId="8" fillId="2" fontId="1" numFmtId="0" xfId="0" applyBorder="1" applyFont="1"/>
    <xf borderId="9" fillId="2" fontId="1" numFmtId="0" xfId="0" applyBorder="1" applyFont="1"/>
    <xf borderId="10" fillId="2" fontId="1" numFmtId="0" xfId="0" applyBorder="1" applyFont="1"/>
    <xf borderId="3" fillId="5" fontId="5" numFmtId="0" xfId="0" applyAlignment="1" applyBorder="1" applyFill="1" applyFont="1">
      <alignment horizontal="center"/>
    </xf>
    <xf borderId="1" fillId="5" fontId="5" numFmtId="0" xfId="0" applyAlignment="1" applyBorder="1" applyFont="1">
      <alignment horizontal="center"/>
    </xf>
    <xf borderId="11" fillId="5" fontId="6" numFmtId="0" xfId="0" applyAlignment="1" applyBorder="1" applyFont="1">
      <alignment horizontal="left"/>
    </xf>
    <xf borderId="12" fillId="2" fontId="7" numFmtId="0" xfId="0" applyAlignment="1" applyBorder="1" applyFont="1">
      <alignment horizontal="center"/>
    </xf>
    <xf borderId="13" fillId="2" fontId="7" numFmtId="0" xfId="0" applyAlignment="1" applyBorder="1" applyFont="1">
      <alignment horizontal="center"/>
    </xf>
    <xf borderId="9" fillId="2" fontId="7" numFmtId="0" xfId="0" applyBorder="1" applyFont="1"/>
    <xf borderId="3" fillId="2" fontId="7" numFmtId="0" xfId="0" applyAlignment="1" applyBorder="1" applyFont="1">
      <alignment horizontal="center"/>
    </xf>
    <xf borderId="14" fillId="5" fontId="6" numFmtId="0" xfId="0" applyBorder="1" applyFont="1"/>
    <xf borderId="15" fillId="2" fontId="7" numFmtId="0" xfId="0" applyAlignment="1" applyBorder="1" applyFont="1">
      <alignment horizontal="center"/>
    </xf>
    <xf borderId="10" fillId="2" fontId="7" numFmtId="0" xfId="0" applyBorder="1" applyFont="1"/>
    <xf borderId="16" fillId="5" fontId="6" numFmtId="0" xfId="0" applyAlignment="1" applyBorder="1" applyFont="1">
      <alignment horizontal="left"/>
    </xf>
    <xf borderId="17" fillId="0" fontId="7" numFmtId="0" xfId="0" applyAlignment="1" applyBorder="1" applyFont="1">
      <alignment horizontal="center"/>
    </xf>
    <xf borderId="18" fillId="2" fontId="7" numFmtId="0" xfId="0" applyAlignment="1" applyBorder="1" applyFont="1">
      <alignment horizontal="center"/>
    </xf>
    <xf borderId="16" fillId="5" fontId="6" numFmtId="0" xfId="0" applyBorder="1" applyFont="1"/>
    <xf borderId="19" fillId="5" fontId="6" numFmtId="0" xfId="0" applyBorder="1" applyFont="1"/>
    <xf borderId="20" fillId="2" fontId="7" numFmtId="0" xfId="0" applyAlignment="1" applyBorder="1" applyFont="1">
      <alignment horizontal="center"/>
    </xf>
    <xf borderId="19" fillId="5" fontId="6" numFmtId="0" xfId="0" applyAlignment="1" applyBorder="1" applyFont="1">
      <alignment horizontal="left"/>
    </xf>
    <xf borderId="21" fillId="2" fontId="7" numFmtId="0" xfId="0" applyAlignment="1" applyBorder="1" applyFont="1">
      <alignment horizontal="center"/>
    </xf>
    <xf borderId="8" fillId="2" fontId="7" numFmtId="0" xfId="0" applyBorder="1" applyFont="1"/>
    <xf borderId="22" fillId="6" fontId="8" numFmtId="0" xfId="0" applyAlignment="1" applyBorder="1" applyFill="1" applyFont="1">
      <alignment horizontal="center" vertical="center"/>
    </xf>
    <xf borderId="23" fillId="0" fontId="3" numFmtId="0" xfId="0" applyBorder="1" applyFont="1"/>
    <xf borderId="24" fillId="0" fontId="3" numFmtId="0" xfId="0" applyBorder="1" applyFont="1"/>
    <xf borderId="25" fillId="0" fontId="3" numFmtId="0" xfId="0" applyBorder="1" applyFont="1"/>
    <xf borderId="14" fillId="7" fontId="9" numFmtId="0" xfId="0" applyAlignment="1" applyBorder="1" applyFill="1" applyFont="1">
      <alignment horizontal="center"/>
    </xf>
    <xf borderId="26" fillId="7" fontId="6" numFmtId="0" xfId="0" applyAlignment="1" applyBorder="1" applyFont="1">
      <alignment horizontal="center"/>
    </xf>
    <xf borderId="15" fillId="7" fontId="6" numFmtId="0" xfId="0" applyAlignment="1" applyBorder="1" applyFont="1">
      <alignment horizontal="center"/>
    </xf>
    <xf borderId="16" fillId="7" fontId="6" numFmtId="0" xfId="0" applyBorder="1" applyFont="1"/>
    <xf borderId="17" fillId="0" fontId="10" numFmtId="0" xfId="0" applyAlignment="1" applyBorder="1" applyFont="1">
      <alignment horizontal="center"/>
    </xf>
    <xf borderId="17" fillId="2" fontId="7" numFmtId="0" xfId="0" applyAlignment="1" applyBorder="1" applyFont="1">
      <alignment horizontal="center"/>
    </xf>
    <xf borderId="19" fillId="7" fontId="6" numFmtId="0" xfId="0" applyBorder="1" applyFont="1"/>
    <xf borderId="27" fillId="0" fontId="3" numFmtId="0" xfId="0" applyBorder="1" applyFont="1"/>
    <xf borderId="28" fillId="0" fontId="3" numFmtId="0" xfId="0" applyBorder="1" applyFont="1"/>
    <xf borderId="29" fillId="2" fontId="7" numFmtId="0" xfId="0" applyBorder="1" applyFont="1"/>
    <xf borderId="30" fillId="2" fontId="7" numFmtId="0" xfId="0" applyBorder="1" applyFont="1"/>
    <xf borderId="31" fillId="2" fontId="7" numFmtId="0" xfId="0" applyBorder="1" applyFont="1"/>
    <xf borderId="17" fillId="5" fontId="11" numFmtId="0" xfId="0" applyAlignment="1" applyBorder="1" applyFont="1">
      <alignment horizontal="center"/>
    </xf>
    <xf borderId="17" fillId="8" fontId="7" numFmtId="0" xfId="0" applyAlignment="1" applyBorder="1" applyFill="1" applyFont="1">
      <alignment horizontal="center" shrinkToFit="0" wrapText="1"/>
    </xf>
    <xf borderId="32" fillId="0" fontId="12" numFmtId="0" xfId="0" applyAlignment="1" applyBorder="1" applyFont="1">
      <alignment shrinkToFit="0" wrapText="1"/>
    </xf>
    <xf borderId="32" fillId="0" fontId="13" numFmtId="0" xfId="0" applyAlignment="1" applyBorder="1" applyFont="1">
      <alignment shrinkToFit="0" wrapText="1"/>
    </xf>
    <xf borderId="0" fillId="0" fontId="14" numFmtId="0" xfId="0" applyFont="1"/>
    <xf borderId="33" fillId="0" fontId="15" numFmtId="0" xfId="0" applyAlignment="1" applyBorder="1" applyFont="1">
      <alignment shrinkToFit="0" wrapText="1"/>
    </xf>
    <xf borderId="33" fillId="0" fontId="16" numFmtId="0" xfId="0" applyAlignment="1" applyBorder="1" applyFont="1">
      <alignment shrinkToFit="0" wrapText="1"/>
    </xf>
    <xf borderId="33" fillId="0" fontId="15" numFmtId="0" xfId="0" applyAlignment="1" applyBorder="1" applyFont="1">
      <alignment horizontal="right" shrinkToFit="0" wrapText="1"/>
    </xf>
    <xf borderId="33" fillId="0" fontId="7" numFmtId="0" xfId="0" applyAlignment="1" applyBorder="1" applyFont="1">
      <alignment shrinkToFit="0" wrapText="1"/>
    </xf>
    <xf borderId="33" fillId="0" fontId="15" numFmtId="16" xfId="0" applyAlignment="1" applyBorder="1" applyFont="1" applyNumberFormat="1">
      <alignment horizontal="right" shrinkToFit="0" wrapText="1"/>
    </xf>
    <xf borderId="33" fillId="0" fontId="13" numFmtId="0" xfId="0" applyAlignment="1" applyBorder="1" applyFont="1">
      <alignment horizontal="center" shrinkToFit="0" wrapText="1"/>
    </xf>
    <xf borderId="33" fillId="0" fontId="15" numFmtId="0" xfId="0" applyAlignment="1" applyBorder="1" applyFont="1">
      <alignment vertical="center"/>
    </xf>
    <xf borderId="32" fillId="0" fontId="15" numFmtId="0" xfId="0" applyAlignment="1" applyBorder="1" applyFont="1">
      <alignment shrinkToFit="0" wrapText="1"/>
    </xf>
    <xf borderId="32" fillId="0" fontId="15" numFmtId="0" xfId="0" applyAlignment="1" applyBorder="1" applyFont="1">
      <alignment horizontal="right" shrinkToFit="0" wrapText="1"/>
    </xf>
    <xf borderId="32" fillId="0" fontId="7" numFmtId="0" xfId="0" applyAlignment="1" applyBorder="1" applyFont="1">
      <alignment shrinkToFit="0" wrapText="1"/>
    </xf>
    <xf borderId="32" fillId="0" fontId="15" numFmtId="16" xfId="0" applyAlignment="1" applyBorder="1" applyFont="1" applyNumberFormat="1">
      <alignment horizontal="right" shrinkToFit="0" wrapText="1"/>
    </xf>
    <xf borderId="32" fillId="0" fontId="13" numFmtId="0" xfId="0" applyAlignment="1" applyBorder="1" applyFont="1">
      <alignment horizontal="center" shrinkToFit="0" wrapText="1"/>
    </xf>
    <xf borderId="33" fillId="0" fontId="15" numFmtId="0" xfId="0" applyAlignment="1" applyBorder="1" applyFont="1">
      <alignment horizontal="center" shrinkToFit="0" wrapText="1"/>
    </xf>
    <xf borderId="32" fillId="0" fontId="15" numFmtId="0" xfId="0" applyAlignment="1" applyBorder="1" applyFont="1">
      <alignment vertical="center"/>
    </xf>
    <xf borderId="0" fillId="0" fontId="17" numFmtId="0" xfId="0" applyAlignment="1" applyFont="1">
      <alignment horizontal="left"/>
    </xf>
    <xf borderId="0" fillId="0" fontId="18" numFmtId="0" xfId="0" applyAlignment="1" applyFont="1">
      <alignment horizontal="left" vertical="top"/>
    </xf>
  </cellXfs>
  <cellStyles count="1">
    <cellStyle xfId="0" name="Normal" builtinId="0"/>
  </cellStyles>
  <dxfs count="13">
    <dxf>
      <font>
        <b/>
        <color theme="1"/>
      </font>
      <numFmt numFmtId="0" formatCode=";;;&quot;N/A&quot;"/>
      <fill>
        <patternFill patternType="solid">
          <fgColor theme="1"/>
          <bgColor theme="1"/>
        </patternFill>
      </fill>
      <border/>
    </dxf>
    <dxf>
      <font>
        <b/>
        <color theme="0"/>
      </font>
      <numFmt numFmtId="0" formatCode=";;;&quot;2 Day&quot;"/>
      <fill>
        <patternFill patternType="solid">
          <fgColor rgb="FF4D94D8"/>
          <bgColor rgb="FF4D94D8"/>
        </patternFill>
      </fill>
      <border/>
    </dxf>
    <dxf>
      <font>
        <b/>
        <color theme="0"/>
      </font>
      <numFmt numFmtId="0" formatCode=";;;&quot;1 Day&quot;"/>
      <fill>
        <patternFill patternType="solid">
          <fgColor rgb="FF4D94D8"/>
          <bgColor rgb="FF4D94D8"/>
        </patternFill>
      </fill>
      <border/>
    </dxf>
    <dxf>
      <font>
        <b/>
        <color theme="0"/>
      </font>
      <numFmt numFmtId="0" formatCode=";;;&quot;1 Day&quot;"/>
      <fill>
        <patternFill patternType="solid">
          <fgColor rgb="FF990000"/>
          <bgColor rgb="FF990000"/>
        </patternFill>
      </fill>
      <border/>
    </dxf>
    <dxf>
      <font>
        <b/>
        <color theme="0"/>
      </font>
      <numFmt numFmtId="0" formatCode=";;;&quot;2 Day&quot;"/>
      <fill>
        <patternFill patternType="solid">
          <fgColor rgb="FF990000"/>
          <bgColor rgb="FF990000"/>
        </patternFill>
      </fill>
      <border/>
    </dxf>
    <dxf>
      <font>
        <b/>
      </font>
      <numFmt numFmtId="0" formatCode=";;;&quot;2 Day&quot;"/>
      <fill>
        <patternFill patternType="solid">
          <fgColor rgb="FFFAE2D5"/>
          <bgColor rgb="FFFAE2D5"/>
        </patternFill>
      </fill>
      <border/>
    </dxf>
    <dxf>
      <font>
        <b/>
      </font>
      <numFmt numFmtId="0" formatCode=";;;&quot;1 Day&quot;"/>
      <fill>
        <patternFill patternType="solid">
          <fgColor rgb="FFFAE2D5"/>
          <bgColor rgb="FFFAE2D5"/>
        </patternFill>
      </fill>
      <border/>
    </dxf>
    <dxf>
      <font>
        <b/>
      </font>
      <numFmt numFmtId="0" formatCode=";;;&quot;2 Day&quot;"/>
      <fill>
        <patternFill patternType="solid">
          <fgColor rgb="FFBFBFBF"/>
          <bgColor rgb="FFBFBFBF"/>
        </patternFill>
      </fill>
      <border/>
    </dxf>
    <dxf>
      <font>
        <b/>
      </font>
      <numFmt numFmtId="0" formatCode=";;;&quot;1 Day&quot;"/>
      <fill>
        <patternFill patternType="solid">
          <fgColor rgb="FFBFBFBF"/>
          <bgColor rgb="FFBFBFBF"/>
        </patternFill>
      </fill>
      <border/>
    </dxf>
    <dxf>
      <font>
        <b/>
      </font>
      <numFmt numFmtId="0" formatCode=";;;&quot;1 Day&quot;"/>
      <fill>
        <patternFill patternType="solid">
          <fgColor rgb="FFCC9900"/>
          <bgColor rgb="FFCC9900"/>
        </patternFill>
      </fill>
      <border/>
    </dxf>
    <dxf>
      <font>
        <b/>
      </font>
      <numFmt numFmtId="0" formatCode=";;;&quot;2 Day&quot;"/>
      <fill>
        <patternFill patternType="solid">
          <fgColor rgb="FFCC9900"/>
          <bgColor rgb="FFCC9900"/>
        </patternFill>
      </fill>
      <border/>
    </dxf>
    <dxf>
      <font>
        <b/>
      </font>
      <fill>
        <patternFill patternType="solid">
          <fgColor rgb="FFFF7C80"/>
          <bgColor rgb="FFFF7C80"/>
        </patternFill>
      </fill>
      <border/>
    </dxf>
    <dxf>
      <font>
        <b/>
      </font>
      <fill>
        <patternFill patternType="solid">
          <fgColor rgb="FF8ED873"/>
          <bgColor rgb="FF8ED87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1"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mailto:brooke.day@awc-inc.com" TargetMode="External"/><Relationship Id="rId190" Type="http://schemas.openxmlformats.org/officeDocument/2006/relationships/hyperlink" Target="mailto:talent@lan-inc.com" TargetMode="External"/><Relationship Id="rId42" Type="http://schemas.openxmlformats.org/officeDocument/2006/relationships/hyperlink" Target="mailto:careers@bhbinc.com" TargetMode="External"/><Relationship Id="rId41" Type="http://schemas.openxmlformats.org/officeDocument/2006/relationships/hyperlink" Target="mailto:engrmba@mays.tamu.edu" TargetMode="External"/><Relationship Id="rId44" Type="http://schemas.openxmlformats.org/officeDocument/2006/relationships/hyperlink" Target="mailto:ilham.farehan@bakerhughes.com" TargetMode="External"/><Relationship Id="rId194" Type="http://schemas.openxmlformats.org/officeDocument/2006/relationships/hyperlink" Target="mailto:carla.clack@lty-engineers.com" TargetMode="External"/><Relationship Id="rId43" Type="http://schemas.openxmlformats.org/officeDocument/2006/relationships/hyperlink" Target="mailto:cruzja@bakerconstruction.com" TargetMode="External"/><Relationship Id="rId193" Type="http://schemas.openxmlformats.org/officeDocument/2006/relationships/hyperlink" Target="mailto:bexley.knight@lplfinancial.com" TargetMode="External"/><Relationship Id="rId46" Type="http://schemas.openxmlformats.org/officeDocument/2006/relationships/hyperlink" Target="mailto:ewaite@bennett-pless.com" TargetMode="External"/><Relationship Id="rId192" Type="http://schemas.openxmlformats.org/officeDocument/2006/relationships/hyperlink" Target="mailto:kgill@lonestarturbo.com" TargetMode="External"/><Relationship Id="rId45" Type="http://schemas.openxmlformats.org/officeDocument/2006/relationships/hyperlink" Target="mailto:kquinonesmixon@barnhartcrane.com" TargetMode="External"/><Relationship Id="rId191" Type="http://schemas.openxmlformats.org/officeDocument/2006/relationships/hyperlink" Target="mailto:rcrane@loenbro.com" TargetMode="External"/><Relationship Id="rId48" Type="http://schemas.openxmlformats.org/officeDocument/2006/relationships/hyperlink" Target="mailto:jackie.spinosa@grupobimbo.com" TargetMode="External"/><Relationship Id="rId187" Type="http://schemas.openxmlformats.org/officeDocument/2006/relationships/hyperlink" Target="mailto:gia.bryant@lhoist.com" TargetMode="External"/><Relationship Id="rId47" Type="http://schemas.openxmlformats.org/officeDocument/2006/relationships/hyperlink" Target="mailto:bgecampus@bgeinc.com" TargetMode="External"/><Relationship Id="rId186" Type="http://schemas.openxmlformats.org/officeDocument/2006/relationships/hyperlink" Target="mailto:eoistalentacquisition@drs.com" TargetMode="External"/><Relationship Id="rId185" Type="http://schemas.openxmlformats.org/officeDocument/2006/relationships/hyperlink" Target="mailto:kkloesel@labattfood.com" TargetMode="External"/><Relationship Id="rId49" Type="http://schemas.openxmlformats.org/officeDocument/2006/relationships/hyperlink" Target="mailto:amanda.willott@biotronik.com" TargetMode="External"/><Relationship Id="rId184" Type="http://schemas.openxmlformats.org/officeDocument/2006/relationships/hyperlink" Target="mailto:L3harris@nc3.com" TargetMode="External"/><Relationship Id="rId189" Type="http://schemas.openxmlformats.org/officeDocument/2006/relationships/hyperlink" Target="mailto:barbara.serna@lockesolutions.com" TargetMode="External"/><Relationship Id="rId188" Type="http://schemas.openxmlformats.org/officeDocument/2006/relationships/hyperlink" Target="mailto:mjackson@lja.com" TargetMode="External"/><Relationship Id="rId31" Type="http://schemas.openxmlformats.org/officeDocument/2006/relationships/hyperlink" Target="mailto:jobs@arionblue.com" TargetMode="External"/><Relationship Id="rId30" Type="http://schemas.openxmlformats.org/officeDocument/2006/relationships/hyperlink" Target="mailto:esanborn@ardurra.com" TargetMode="External"/><Relationship Id="rId33" Type="http://schemas.openxmlformats.org/officeDocument/2006/relationships/hyperlink" Target="mailto:lherzog@atlas.energy" TargetMode="External"/><Relationship Id="rId183" Type="http://schemas.openxmlformats.org/officeDocument/2006/relationships/hyperlink" Target="mailto:contact@ktcivil.com" TargetMode="External"/><Relationship Id="rId32" Type="http://schemas.openxmlformats.org/officeDocument/2006/relationships/hyperlink" Target="mailto:Veronica.Bernal@atkinsrealis.com" TargetMode="External"/><Relationship Id="rId182" Type="http://schemas.openxmlformats.org/officeDocument/2006/relationships/hyperlink" Target="mailto:luis.ibarra@global.komatsu" TargetMode="External"/><Relationship Id="rId35" Type="http://schemas.openxmlformats.org/officeDocument/2006/relationships/hyperlink" Target="mailto:sduwenhoegger@atwell.com" TargetMode="External"/><Relationship Id="rId181" Type="http://schemas.openxmlformats.org/officeDocument/2006/relationships/hyperlink" Target="mailto:kcoble@koilenergy.com" TargetMode="External"/><Relationship Id="rId34" Type="http://schemas.openxmlformats.org/officeDocument/2006/relationships/hyperlink" Target="mailto:garrett.newsom@atmosenergy.com" TargetMode="External"/><Relationship Id="rId180" Type="http://schemas.openxmlformats.org/officeDocument/2006/relationships/hyperlink" Target="mailto:adoster@kleintools.com" TargetMode="External"/><Relationship Id="rId37" Type="http://schemas.openxmlformats.org/officeDocument/2006/relationships/hyperlink" Target="mailto:kschnadelbach@auduboncompanies.com" TargetMode="External"/><Relationship Id="rId176" Type="http://schemas.openxmlformats.org/officeDocument/2006/relationships/hyperlink" Target="mailto:kelsey.shumake@kimley-horn.com" TargetMode="External"/><Relationship Id="rId297" Type="http://schemas.openxmlformats.org/officeDocument/2006/relationships/hyperlink" Target="mailto:taylor.mckenzie@underdogfantasy.com" TargetMode="External"/><Relationship Id="rId36" Type="http://schemas.openxmlformats.org/officeDocument/2006/relationships/hyperlink" Target="mailto:riley.durbin@auctane.com" TargetMode="External"/><Relationship Id="rId175" Type="http://schemas.openxmlformats.org/officeDocument/2006/relationships/hyperlink" Target="mailto:recruitingsupport@kiewit.com" TargetMode="External"/><Relationship Id="rId296" Type="http://schemas.openxmlformats.org/officeDocument/2006/relationships/hyperlink" Target="mailto:recruiting@trihydro.com" TargetMode="External"/><Relationship Id="rId39" Type="http://schemas.openxmlformats.org/officeDocument/2006/relationships/hyperlink" Target="mailto:srainey@autosoln.com" TargetMode="External"/><Relationship Id="rId174" Type="http://schemas.openxmlformats.org/officeDocument/2006/relationships/hyperlink" Target="mailto:sniese@kfm-llc.com" TargetMode="External"/><Relationship Id="rId295" Type="http://schemas.openxmlformats.org/officeDocument/2006/relationships/hyperlink" Target="mailto:kaythleen.gonzalez@trdi.org" TargetMode="External"/><Relationship Id="rId38" Type="http://schemas.openxmlformats.org/officeDocument/2006/relationships/hyperlink" Target="mailto:ifraga@austin-ind.com" TargetMode="External"/><Relationship Id="rId173" Type="http://schemas.openxmlformats.org/officeDocument/2006/relationships/hyperlink" Target="mailto:egorman@keystoneengr.com" TargetMode="External"/><Relationship Id="rId294" Type="http://schemas.openxmlformats.org/officeDocument/2006/relationships/hyperlink" Target="mailto:amanda.davis@tranetechnologies.com" TargetMode="External"/><Relationship Id="rId179" Type="http://schemas.openxmlformats.org/officeDocument/2006/relationships/hyperlink" Target="mailto:haley.buesing@trustke.com" TargetMode="External"/><Relationship Id="rId178" Type="http://schemas.openxmlformats.org/officeDocument/2006/relationships/hyperlink" Target="mailto:joellen.beedon@kinectrics.com" TargetMode="External"/><Relationship Id="rId299" Type="http://schemas.openxmlformats.org/officeDocument/2006/relationships/hyperlink" Target="mailto:universityrelations@usps.gov" TargetMode="External"/><Relationship Id="rId177" Type="http://schemas.openxmlformats.org/officeDocument/2006/relationships/hyperlink" Target="mailto:enezhadgholi@kinaxis.com" TargetMode="External"/><Relationship Id="rId298" Type="http://schemas.openxmlformats.org/officeDocument/2006/relationships/hyperlink" Target="mailto:gbillups@uri.com" TargetMode="External"/><Relationship Id="rId20" Type="http://schemas.openxmlformats.org/officeDocument/2006/relationships/hyperlink" Target="mailto:r.rodriguez@alphaomega-eng.com" TargetMode="External"/><Relationship Id="rId22" Type="http://schemas.openxmlformats.org/officeDocument/2006/relationships/hyperlink" Target="mailto:heather.hancock@us.amentum.com" TargetMode="External"/><Relationship Id="rId21" Type="http://schemas.openxmlformats.org/officeDocument/2006/relationships/hyperlink" Target="mailto:grayson@altranmagnetics.com" TargetMode="External"/><Relationship Id="rId24" Type="http://schemas.openxmlformats.org/officeDocument/2006/relationships/hyperlink" Target="mailto:hgardner@aep.com" TargetMode="External"/><Relationship Id="rId23" Type="http://schemas.openxmlformats.org/officeDocument/2006/relationships/hyperlink" Target="mailto:ehouse@american-usa.com" TargetMode="External"/><Relationship Id="rId26" Type="http://schemas.openxmlformats.org/officeDocument/2006/relationships/hyperlink" Target="mailto:landon@andresconstruction.com" TargetMode="External"/><Relationship Id="rId25" Type="http://schemas.openxmlformats.org/officeDocument/2006/relationships/hyperlink" Target="mailto:eva.lee@andersencorp.com" TargetMode="External"/><Relationship Id="rId28" Type="http://schemas.openxmlformats.org/officeDocument/2006/relationships/hyperlink" Target="mailto:kelvin.burns@aptim.com" TargetMode="External"/><Relationship Id="rId27" Type="http://schemas.openxmlformats.org/officeDocument/2006/relationships/hyperlink" Target="mailto:recruiting@arlut.utexas.edu" TargetMode="External"/><Relationship Id="rId29" Type="http://schemas.openxmlformats.org/officeDocument/2006/relationships/hyperlink" Target="mailto:mmeade@arcomurray.com" TargetMode="External"/><Relationship Id="rId11" Type="http://schemas.openxmlformats.org/officeDocument/2006/relationships/hyperlink" Target="mailto:studentprograms@fujitsu.com" TargetMode="External"/><Relationship Id="rId10" Type="http://schemas.openxmlformats.org/officeDocument/2006/relationships/hyperlink" Target="https://tamu-csm.symplicity.com/manager/index.php?_so_list_aateadf68848d8b4b458e89417fd8b1b491=250&amp;_so_list_sorteadf68848d8b4b458e89417fd8b1b491=registered_on%3Aasc" TargetMode="External"/><Relationship Id="rId13" Type="http://schemas.openxmlformats.org/officeDocument/2006/relationships/hyperlink" Target="mailto:elizabeth.lipstreu@us.abb.com" TargetMode="External"/><Relationship Id="rId12" Type="http://schemas.openxmlformats.org/officeDocument/2006/relationships/hyperlink" Target="mailto:rda@as-engineers.com" TargetMode="External"/><Relationship Id="rId15" Type="http://schemas.openxmlformats.org/officeDocument/2006/relationships/hyperlink" Target="mailto:shirley.faust@aguirre-fields.com" TargetMode="External"/><Relationship Id="rId198" Type="http://schemas.openxmlformats.org/officeDocument/2006/relationships/hyperlink" Target="mailto:eeo@mansonconstruction.com" TargetMode="External"/><Relationship Id="rId14" Type="http://schemas.openxmlformats.org/officeDocument/2006/relationships/hyperlink" Target="mailto:ssivakumar@age-se.com" TargetMode="External"/><Relationship Id="rId197" Type="http://schemas.openxmlformats.org/officeDocument/2006/relationships/hyperlink" Target="mailto:mgofman@manh.com" TargetMode="External"/><Relationship Id="rId17" Type="http://schemas.openxmlformats.org/officeDocument/2006/relationships/hyperlink" Target="mailto:matthew.rockwell@ajinomotofoods.com" TargetMode="External"/><Relationship Id="rId196" Type="http://schemas.openxmlformats.org/officeDocument/2006/relationships/hyperlink" Target="mailto:hillary.traylor@mammoet.com" TargetMode="External"/><Relationship Id="rId16" Type="http://schemas.openxmlformats.org/officeDocument/2006/relationships/hyperlink" Target="mailto:airliquide@nc3.com" TargetMode="External"/><Relationship Id="rId195" Type="http://schemas.openxmlformats.org/officeDocument/2006/relationships/hyperlink" Target="mailto:bmartinets@msengr.com" TargetMode="External"/><Relationship Id="rId19" Type="http://schemas.openxmlformats.org/officeDocument/2006/relationships/hyperlink" Target="mailto:dameon.middleton@alfalaval.com" TargetMode="External"/><Relationship Id="rId18" Type="http://schemas.openxmlformats.org/officeDocument/2006/relationships/hyperlink" Target="mailto:kyoung@albers.aero" TargetMode="External"/><Relationship Id="rId199" Type="http://schemas.openxmlformats.org/officeDocument/2006/relationships/hyperlink" Target="mailto:mjeffries@massman.net" TargetMode="External"/><Relationship Id="rId84" Type="http://schemas.openxmlformats.org/officeDocument/2006/relationships/hyperlink" Target="mailto:joey.holland@consoreng.com" TargetMode="External"/><Relationship Id="rId83" Type="http://schemas.openxmlformats.org/officeDocument/2006/relationships/hyperlink" Target="mailto:carl.vogel@csusa.us" TargetMode="External"/><Relationship Id="rId86" Type="http://schemas.openxmlformats.org/officeDocument/2006/relationships/hyperlink" Target="mailto:careers@cronustec.com" TargetMode="External"/><Relationship Id="rId85" Type="http://schemas.openxmlformats.org/officeDocument/2006/relationships/hyperlink" Target="mailto:angelica.harrell@contechnet.com" TargetMode="External"/><Relationship Id="rId88" Type="http://schemas.openxmlformats.org/officeDocument/2006/relationships/hyperlink" Target="mailto:rreeder@cumulusquality.com" TargetMode="External"/><Relationship Id="rId150" Type="http://schemas.openxmlformats.org/officeDocument/2006/relationships/hyperlink" Target="mailto:recruiting@horrocks.com" TargetMode="External"/><Relationship Id="rId271" Type="http://schemas.openxmlformats.org/officeDocument/2006/relationships/hyperlink" Target="mailto:earlycareers@stvinc.com" TargetMode="External"/><Relationship Id="rId87" Type="http://schemas.openxmlformats.org/officeDocument/2006/relationships/hyperlink" Target="mailto:cjackson@crossland.com" TargetMode="External"/><Relationship Id="rId270" Type="http://schemas.openxmlformats.org/officeDocument/2006/relationships/hyperlink" Target="mailto:hcollins@ssiteam.com" TargetMode="External"/><Relationship Id="rId89" Type="http://schemas.openxmlformats.org/officeDocument/2006/relationships/hyperlink" Target="mailto:humanresources@dailyinst.com" TargetMode="External"/><Relationship Id="rId80" Type="http://schemas.openxmlformats.org/officeDocument/2006/relationships/hyperlink" Target="mailto:brooke.vandine@cmc.com" TargetMode="External"/><Relationship Id="rId82" Type="http://schemas.openxmlformats.org/officeDocument/2006/relationships/hyperlink" Target="mailto:campusrecruiting@collierseng.com" TargetMode="External"/><Relationship Id="rId81" Type="http://schemas.openxmlformats.org/officeDocument/2006/relationships/hyperlink" Target="mailto:RECRUITING@COBBFENDLEY.COM" TargetMode="External"/><Relationship Id="rId1" Type="http://schemas.openxmlformats.org/officeDocument/2006/relationships/hyperlink" Target="https://tamu-csm.symplicity.com/manager/index.php?_so_list_aateadf68848d8b4b458e89417fd8b1b491=250&amp;_so_list_sorteadf68848d8b4b458e89417fd8b1b491=name%3Adesc" TargetMode="External"/><Relationship Id="rId2" Type="http://schemas.openxmlformats.org/officeDocument/2006/relationships/hyperlink" Target="https://tamu-csm.symplicity.com/manager/index.php?_so_list_aateadf68848d8b4b458e89417fd8b1b491=250&amp;_so_list_sorteadf68848d8b4b458e89417fd8b1b491=fullname%3Aasc" TargetMode="External"/><Relationship Id="rId3" Type="http://schemas.openxmlformats.org/officeDocument/2006/relationships/hyperlink" Target="https://tamu-csm.symplicity.com/manager/index.php?_so_list_aateadf68848d8b4b458e89417fd8b1b491=250&amp;_so_list_sorteadf68848d8b4b458e89417fd8b1b491=phone%3Aasc" TargetMode="External"/><Relationship Id="rId149" Type="http://schemas.openxmlformats.org/officeDocument/2006/relationships/hyperlink" Target="mailto:mwinters@hntb.com" TargetMode="External"/><Relationship Id="rId4" Type="http://schemas.openxmlformats.org/officeDocument/2006/relationships/hyperlink" Target="https://tamu-csm.symplicity.com/manager/index.php?_so_list_aateadf68848d8b4b458e89417fd8b1b491=250&amp;_so_list_sorteadf68848d8b4b458e89417fd8b1b491=sal_virtual_fair_681eedf8651f95f2677bae5c12edc13b%3Aasc" TargetMode="External"/><Relationship Id="rId148" Type="http://schemas.openxmlformats.org/officeDocument/2006/relationships/hyperlink" Target="mailto:kendram@hmtnb.com" TargetMode="External"/><Relationship Id="rId269" Type="http://schemas.openxmlformats.org/officeDocument/2006/relationships/hyperlink" Target="mailto:Michelle.Howison@stress.com" TargetMode="External"/><Relationship Id="rId9" Type="http://schemas.openxmlformats.org/officeDocument/2006/relationships/hyperlink" Target="https://tamu-csm.symplicity.com/manager/index.php?_so_list_aateadf68848d8b4b458e89417fd8b1b491=250&amp;_so_list_sorteadf68848d8b4b458e89417fd8b1b491=attendee_type%3Aasc" TargetMode="External"/><Relationship Id="rId143" Type="http://schemas.openxmlformats.org/officeDocument/2006/relationships/hyperlink" Target="mailto:deidre.brearley@haskell.com" TargetMode="External"/><Relationship Id="rId264" Type="http://schemas.openxmlformats.org/officeDocument/2006/relationships/hyperlink" Target="mailto:emily.whitaker@southlandind.com" TargetMode="External"/><Relationship Id="rId142" Type="http://schemas.openxmlformats.org/officeDocument/2006/relationships/hyperlink" Target="mailto:hwalker@hartgaugler.com" TargetMode="External"/><Relationship Id="rId263" Type="http://schemas.openxmlformats.org/officeDocument/2006/relationships/hyperlink" Target="mailto:michelle.ramirez@smithburgess.com" TargetMode="External"/><Relationship Id="rId141" Type="http://schemas.openxmlformats.org/officeDocument/2006/relationships/hyperlink" Target="mailto:edmund.johnson@hctra.org" TargetMode="External"/><Relationship Id="rId262" Type="http://schemas.openxmlformats.org/officeDocument/2006/relationships/hyperlink" Target="mailto:Felicia.Donley@skywatertechnology.com" TargetMode="External"/><Relationship Id="rId140" Type="http://schemas.openxmlformats.org/officeDocument/2006/relationships/hyperlink" Target="mailto:resource.hou.fhouuniv@halliburton.com" TargetMode="External"/><Relationship Id="rId261" Type="http://schemas.openxmlformats.org/officeDocument/2006/relationships/hyperlink" Target="mailto:brooke.maedel@signalenergy.com" TargetMode="External"/><Relationship Id="rId5" Type="http://schemas.openxmlformats.org/officeDocument/2006/relationships/hyperlink" Target="https://tamu-csm.symplicity.com/manager/index.php?_so_list_aateadf68848d8b4b458e89417fd8b1b491=250&amp;_so_list_sorteadf68848d8b4b458e89417fd8b1b491=reps529be184%3Aasc" TargetMode="External"/><Relationship Id="rId147" Type="http://schemas.openxmlformats.org/officeDocument/2006/relationships/hyperlink" Target="mailto:rhett.turner@hfa-ae.com" TargetMode="External"/><Relationship Id="rId268" Type="http://schemas.openxmlformats.org/officeDocument/2006/relationships/hyperlink" Target="mailto:kristen.traylor@spiarsengineering.com" TargetMode="External"/><Relationship Id="rId6" Type="http://schemas.openxmlformats.org/officeDocument/2006/relationships/hyperlink" Target="https://tamu-csm.symplicity.com/manager/index.php?_so_list_aateadf68848d8b4b458e89417fd8b1b491=250&amp;_so_list_sorteadf68848d8b4b458e89417fd8b1b491=sal_day_2_1f276bae906c5363a9e96849cf0e1c3c%3Aasc" TargetMode="External"/><Relationship Id="rId146" Type="http://schemas.openxmlformats.org/officeDocument/2006/relationships/hyperlink" Target="mailto:hpe@nc3.com" TargetMode="External"/><Relationship Id="rId267" Type="http://schemas.openxmlformats.org/officeDocument/2006/relationships/hyperlink" Target="mailto:cweeber@southwestern.com" TargetMode="External"/><Relationship Id="rId7" Type="http://schemas.openxmlformats.org/officeDocument/2006/relationships/hyperlink" Target="https://tamu-csm.symplicity.com/manager/index.php?_so_list_aateadf68848d8b4b458e89417fd8b1b491=250&amp;_so_list_sorteadf68848d8b4b458e89417fd8b1b491=sal_sister_company_placement_b42f03e81ba1bba4e9f23968a8794a67%3Aasc" TargetMode="External"/><Relationship Id="rId145" Type="http://schemas.openxmlformats.org/officeDocument/2006/relationships/hyperlink" Target="mailto:emily.rehler@hdrinc.com" TargetMode="External"/><Relationship Id="rId266" Type="http://schemas.openxmlformats.org/officeDocument/2006/relationships/hyperlink" Target="mailto:rachel.pelayo@swri.org" TargetMode="External"/><Relationship Id="rId8" Type="http://schemas.openxmlformats.org/officeDocument/2006/relationships/hyperlink" Target="https://tamu-csm.symplicity.com/manager/index.php?_so_list_aateadf68848d8b4b458e89417fd8b1b491=250&amp;_so_list_sorteadf68848d8b4b458e89417fd8b1b491=sal_booth_location_065ec030a79655d6ac773759b9c3657e%3Aasc" TargetMode="External"/><Relationship Id="rId144" Type="http://schemas.openxmlformats.org/officeDocument/2006/relationships/hyperlink" Target="mailto:jonathan.guaetta@hatch.com" TargetMode="External"/><Relationship Id="rId265" Type="http://schemas.openxmlformats.org/officeDocument/2006/relationships/hyperlink" Target="mailto:marketing@swengineers.com" TargetMode="External"/><Relationship Id="rId73" Type="http://schemas.openxmlformats.org/officeDocument/2006/relationships/hyperlink" Target="mailto:allyssa.gutierrez@csg.heicocompanies.com" TargetMode="External"/><Relationship Id="rId72" Type="http://schemas.openxmlformats.org/officeDocument/2006/relationships/hyperlink" Target="mailto:chclift@cdc-usa.com" TargetMode="External"/><Relationship Id="rId75" Type="http://schemas.openxmlformats.org/officeDocument/2006/relationships/hyperlink" Target="mailto:hope4@uce.cia.gov" TargetMode="External"/><Relationship Id="rId74" Type="http://schemas.openxmlformats.org/officeDocument/2006/relationships/hyperlink" Target="mailto:scott.r.yoder@centerpointenergy.com" TargetMode="External"/><Relationship Id="rId77" Type="http://schemas.openxmlformats.org/officeDocument/2006/relationships/hyperlink" Target="mailto:laurie.firmin@champtechnology.com" TargetMode="External"/><Relationship Id="rId260" Type="http://schemas.openxmlformats.org/officeDocument/2006/relationships/hyperlink" Target="mailto:reagan.squire@shield-engineering.com" TargetMode="External"/><Relationship Id="rId76" Type="http://schemas.openxmlformats.org/officeDocument/2006/relationships/hyperlink" Target="mailto:acurtin@chasolutions.com" TargetMode="External"/><Relationship Id="rId79" Type="http://schemas.openxmlformats.org/officeDocument/2006/relationships/hyperlink" Target="mailto:nwrazen@cecinc.com" TargetMode="External"/><Relationship Id="rId78" Type="http://schemas.openxmlformats.org/officeDocument/2006/relationships/hyperlink" Target="mailto:hannah.coleman@hudsonproducts.com" TargetMode="External"/><Relationship Id="rId71" Type="http://schemas.openxmlformats.org/officeDocument/2006/relationships/hyperlink" Target="mailto:brad.veath@cbi.com" TargetMode="External"/><Relationship Id="rId70" Type="http://schemas.openxmlformats.org/officeDocument/2006/relationships/hyperlink" Target="mailto:talent_acquisition@cat.com" TargetMode="External"/><Relationship Id="rId139" Type="http://schemas.openxmlformats.org/officeDocument/2006/relationships/hyperlink" Target="mailto:mgallego@halff.com" TargetMode="External"/><Relationship Id="rId138" Type="http://schemas.openxmlformats.org/officeDocument/2006/relationships/hyperlink" Target="mailto:milly.sordo@h2bengineers.com" TargetMode="External"/><Relationship Id="rId259" Type="http://schemas.openxmlformats.org/officeDocument/2006/relationships/hyperlink" Target="mailto:jose.marquez@shermco.com" TargetMode="External"/><Relationship Id="rId137" Type="http://schemas.openxmlformats.org/officeDocument/2006/relationships/hyperlink" Target="mailto:collegerecruiting@heb.com" TargetMode="External"/><Relationship Id="rId258" Type="http://schemas.openxmlformats.org/officeDocument/2006/relationships/hyperlink" Target="mailto:hhightower@shahsmith.com" TargetMode="External"/><Relationship Id="rId132" Type="http://schemas.openxmlformats.org/officeDocument/2006/relationships/hyperlink" Target="mailto:info@gray-civil.com" TargetMode="External"/><Relationship Id="rId253" Type="http://schemas.openxmlformats.org/officeDocument/2006/relationships/hyperlink" Target="mailto:kmccormick@schnabel-eng.com" TargetMode="External"/><Relationship Id="rId131" Type="http://schemas.openxmlformats.org/officeDocument/2006/relationships/hyperlink" Target="mailto:mbaacke@gmcivil.com" TargetMode="External"/><Relationship Id="rId252" Type="http://schemas.openxmlformats.org/officeDocument/2006/relationships/hyperlink" Target="mailto:dharris@scheibeconsulting.com" TargetMode="External"/><Relationship Id="rId130" Type="http://schemas.openxmlformats.org/officeDocument/2006/relationships/hyperlink" Target="mailto:hr@gessnereng.com" TargetMode="External"/><Relationship Id="rId251" Type="http://schemas.openxmlformats.org/officeDocument/2006/relationships/hyperlink" Target="mailto:ariechman@sazerac.com" TargetMode="External"/><Relationship Id="rId250" Type="http://schemas.openxmlformats.org/officeDocument/2006/relationships/hyperlink" Target="mailto:jennifer.lowery@samsongroup.com" TargetMode="External"/><Relationship Id="rId136" Type="http://schemas.openxmlformats.org/officeDocument/2006/relationships/hyperlink" Target="mailto:cbourns@hm-ec.com" TargetMode="External"/><Relationship Id="rId257" Type="http://schemas.openxmlformats.org/officeDocument/2006/relationships/hyperlink" Target="mailto:hr@sescocement.com" TargetMode="External"/><Relationship Id="rId135" Type="http://schemas.openxmlformats.org/officeDocument/2006/relationships/hyperlink" Target="mailto:reneeg@gie.com" TargetMode="External"/><Relationship Id="rId256" Type="http://schemas.openxmlformats.org/officeDocument/2006/relationships/hyperlink" Target="mailto:careerfair@sec.tamu.edu" TargetMode="External"/><Relationship Id="rId134" Type="http://schemas.openxmlformats.org/officeDocument/2006/relationships/hyperlink" Target="mailto:allison.blake@greatplainsmfg.com" TargetMode="External"/><Relationship Id="rId255" Type="http://schemas.openxmlformats.org/officeDocument/2006/relationships/hyperlink" Target="mailto:jennifer.l.perrill@saic.com" TargetMode="External"/><Relationship Id="rId133" Type="http://schemas.openxmlformats.org/officeDocument/2006/relationships/hyperlink" Target="mailto:wbryan@gldd.com" TargetMode="External"/><Relationship Id="rId254" Type="http://schemas.openxmlformats.org/officeDocument/2006/relationships/hyperlink" Target="mailto:internships@selinc.com" TargetMode="External"/><Relationship Id="rId62" Type="http://schemas.openxmlformats.org/officeDocument/2006/relationships/hyperlink" Target="mailto:mgreen@cadencemcshane.com" TargetMode="External"/><Relationship Id="rId61" Type="http://schemas.openxmlformats.org/officeDocument/2006/relationships/hyperlink" Target="mailto:npauline@cadence.com" TargetMode="External"/><Relationship Id="rId64" Type="http://schemas.openxmlformats.org/officeDocument/2006/relationships/hyperlink" Target="mailto:camposmarketing@camposengineering.com" TargetMode="External"/><Relationship Id="rId63" Type="http://schemas.openxmlformats.org/officeDocument/2006/relationships/hyperlink" Target="mailto:tburns@camintegrated.com" TargetMode="External"/><Relationship Id="rId66" Type="http://schemas.openxmlformats.org/officeDocument/2006/relationships/hyperlink" Target="mailto:recruiting@capsher.com" TargetMode="External"/><Relationship Id="rId172" Type="http://schemas.openxmlformats.org/officeDocument/2006/relationships/hyperlink" Target="mailto:Shelby.capell@kdrp.com" TargetMode="External"/><Relationship Id="rId293" Type="http://schemas.openxmlformats.org/officeDocument/2006/relationships/hyperlink" Target="mailto:michael.blevins@towerextrusion.com" TargetMode="External"/><Relationship Id="rId65" Type="http://schemas.openxmlformats.org/officeDocument/2006/relationships/hyperlink" Target="mailto:brandon.rich@capco.com" TargetMode="External"/><Relationship Id="rId171" Type="http://schemas.openxmlformats.org/officeDocument/2006/relationships/hyperlink" Target="mailto:sydni.forcone@kci.com" TargetMode="External"/><Relationship Id="rId292" Type="http://schemas.openxmlformats.org/officeDocument/2006/relationships/hyperlink" Target="mailto:chris.finney@toshiba.com" TargetMode="External"/><Relationship Id="rId68" Type="http://schemas.openxmlformats.org/officeDocument/2006/relationships/hyperlink" Target="mailto:cargill@nc3.com" TargetMode="External"/><Relationship Id="rId170" Type="http://schemas.openxmlformats.org/officeDocument/2006/relationships/hyperlink" Target="mailto:katie@kasparcompanies.com" TargetMode="External"/><Relationship Id="rId291" Type="http://schemas.openxmlformats.org/officeDocument/2006/relationships/hyperlink" Target="mailto:maryjane.law@torchtechnologies.com" TargetMode="External"/><Relationship Id="rId67" Type="http://schemas.openxmlformats.org/officeDocument/2006/relationships/hyperlink" Target="mailto:bobr@cardinalpaint.com" TargetMode="External"/><Relationship Id="rId290" Type="http://schemas.openxmlformats.org/officeDocument/2006/relationships/hyperlink" Target="mailto:mwong@tweinc.com" TargetMode="External"/><Relationship Id="rId60" Type="http://schemas.openxmlformats.org/officeDocument/2006/relationships/hyperlink" Target="mailto:angela.berman@bwdesigngroup.com" TargetMode="External"/><Relationship Id="rId165" Type="http://schemas.openxmlformats.org/officeDocument/2006/relationships/hyperlink" Target="mailto:csullivan@jaycashman.com" TargetMode="External"/><Relationship Id="rId286" Type="http://schemas.openxmlformats.org/officeDocument/2006/relationships/hyperlink" Target="mailto:sheila.brooks@txdot.gov" TargetMode="External"/><Relationship Id="rId69" Type="http://schemas.openxmlformats.org/officeDocument/2006/relationships/hyperlink" Target="mailto:rhegazi@carollo.com" TargetMode="External"/><Relationship Id="rId164" Type="http://schemas.openxmlformats.org/officeDocument/2006/relationships/hyperlink" Target="mailto:gabriela.head@janicki.com" TargetMode="External"/><Relationship Id="rId285" Type="http://schemas.openxmlformats.org/officeDocument/2006/relationships/hyperlink" Target="mailto:andrea_patterson@exchange.tamu.edu" TargetMode="External"/><Relationship Id="rId163" Type="http://schemas.openxmlformats.org/officeDocument/2006/relationships/hyperlink" Target="mailto:GlobalFutureTalent@jacobs.com" TargetMode="External"/><Relationship Id="rId284" Type="http://schemas.openxmlformats.org/officeDocument/2006/relationships/hyperlink" Target="mailto:ritz@tamu.edu" TargetMode="External"/><Relationship Id="rId162" Type="http://schemas.openxmlformats.org/officeDocument/2006/relationships/hyperlink" Target="mailto:xmedina@ie-services.com" TargetMode="External"/><Relationship Id="rId283" Type="http://schemas.openxmlformats.org/officeDocument/2006/relationships/hyperlink" Target="mailto:ceretzer@tamu.edu" TargetMode="External"/><Relationship Id="rId169" Type="http://schemas.openxmlformats.org/officeDocument/2006/relationships/hyperlink" Target="mailto:cally.hesidenz@jtthorpe.com" TargetMode="External"/><Relationship Id="rId168" Type="http://schemas.openxmlformats.org/officeDocument/2006/relationships/hyperlink" Target="mailto:cluke@jonesengineeringsolutions.com" TargetMode="External"/><Relationship Id="rId289" Type="http://schemas.openxmlformats.org/officeDocument/2006/relationships/hyperlink" Target="mailto:collegerecruiting@tindallcorp.com" TargetMode="External"/><Relationship Id="rId167" Type="http://schemas.openxmlformats.org/officeDocument/2006/relationships/hyperlink" Target="mailto:jnj@nc3.com" TargetMode="External"/><Relationship Id="rId288" Type="http://schemas.openxmlformats.org/officeDocument/2006/relationships/hyperlink" Target="mailto:sean.pauly@txnmenergy.com" TargetMode="External"/><Relationship Id="rId166" Type="http://schemas.openxmlformats.org/officeDocument/2006/relationships/hyperlink" Target="mailto:scollins@jmt.com" TargetMode="External"/><Relationship Id="rId287" Type="http://schemas.openxmlformats.org/officeDocument/2006/relationships/hyperlink" Target="mailto:ti@nc3.com" TargetMode="External"/><Relationship Id="rId51" Type="http://schemas.openxmlformats.org/officeDocument/2006/relationships/hyperlink" Target="mailto:TalentAcquisition@bnsf.com" TargetMode="External"/><Relationship Id="rId50" Type="http://schemas.openxmlformats.org/officeDocument/2006/relationships/hyperlink" Target="mailto:earlycareers@bv.com" TargetMode="External"/><Relationship Id="rId53" Type="http://schemas.openxmlformats.org/officeDocument/2006/relationships/hyperlink" Target="mailto:nick@boeservices.com" TargetMode="External"/><Relationship Id="rId52" Type="http://schemas.openxmlformats.org/officeDocument/2006/relationships/hyperlink" Target="mailto:nicole.hartman@bwpipelines.com" TargetMode="External"/><Relationship Id="rId55" Type="http://schemas.openxmlformats.org/officeDocument/2006/relationships/hyperlink" Target="mailto:busa.recruiting@bray.com" TargetMode="External"/><Relationship Id="rId161" Type="http://schemas.openxmlformats.org/officeDocument/2006/relationships/hyperlink" Target="mailto:cfinegan@integra.com" TargetMode="External"/><Relationship Id="rId282" Type="http://schemas.openxmlformats.org/officeDocument/2006/relationships/hyperlink" Target="mailto:dharrison@terrestrialenergy.com" TargetMode="External"/><Relationship Id="rId54" Type="http://schemas.openxmlformats.org/officeDocument/2006/relationships/hyperlink" Target="mailto:japeters@brplusa.com" TargetMode="External"/><Relationship Id="rId160" Type="http://schemas.openxmlformats.org/officeDocument/2006/relationships/hyperlink" Target="mailto:ana.schoua@innovex-inc.com" TargetMode="External"/><Relationship Id="rId281" Type="http://schemas.openxmlformats.org/officeDocument/2006/relationships/hyperlink" Target="mailto:arielle.mcelhinney@terracon.com" TargetMode="External"/><Relationship Id="rId57" Type="http://schemas.openxmlformats.org/officeDocument/2006/relationships/hyperlink" Target="mailto:careers@bre.com" TargetMode="External"/><Relationship Id="rId280" Type="http://schemas.openxmlformats.org/officeDocument/2006/relationships/hyperlink" Target="mailto:hrdevelopment@tenaris.com" TargetMode="External"/><Relationship Id="rId56" Type="http://schemas.openxmlformats.org/officeDocument/2006/relationships/hyperlink" Target="mailto:jvillarreal@brownsville-pub.com" TargetMode="External"/><Relationship Id="rId159" Type="http://schemas.openxmlformats.org/officeDocument/2006/relationships/hyperlink" Target="mailto:infineon@nc3.com" TargetMode="External"/><Relationship Id="rId59" Type="http://schemas.openxmlformats.org/officeDocument/2006/relationships/hyperlink" Target="mailto:sarivera@tamu.edu" TargetMode="External"/><Relationship Id="rId154" Type="http://schemas.openxmlformats.org/officeDocument/2006/relationships/hyperlink" Target="mailto:ccody@h-jinc.com" TargetMode="External"/><Relationship Id="rId275" Type="http://schemas.openxmlformats.org/officeDocument/2006/relationships/hyperlink" Target="mailto:jperez@synchrogrid.com" TargetMode="External"/><Relationship Id="rId58" Type="http://schemas.openxmlformats.org/officeDocument/2006/relationships/hyperlink" Target="mailto:CampusRecruiting@burnsmcd.com" TargetMode="External"/><Relationship Id="rId153" Type="http://schemas.openxmlformats.org/officeDocument/2006/relationships/hyperlink" Target="mailto:vsantos@huitt-zollars.com" TargetMode="External"/><Relationship Id="rId274" Type="http://schemas.openxmlformats.org/officeDocument/2006/relationships/hyperlink" Target="mailto:jfox@sutton.engineering" TargetMode="External"/><Relationship Id="rId152" Type="http://schemas.openxmlformats.org/officeDocument/2006/relationships/hyperlink" Target="mailto:misty.proler@hts.com" TargetMode="External"/><Relationship Id="rId273" Type="http://schemas.openxmlformats.org/officeDocument/2006/relationships/hyperlink" Target="mailto:drhee@eoh-inc.com" TargetMode="External"/><Relationship Id="rId151" Type="http://schemas.openxmlformats.org/officeDocument/2006/relationships/hyperlink" Target="mailto:campusconnect@hrgreen.com" TargetMode="External"/><Relationship Id="rId272" Type="http://schemas.openxmlformats.org/officeDocument/2006/relationships/hyperlink" Target="mailto:JOEL.RAMIREZ@SULZER.COM" TargetMode="External"/><Relationship Id="rId158" Type="http://schemas.openxmlformats.org/officeDocument/2006/relationships/hyperlink" Target="mailto:dot.recruitment@illinois.gov" TargetMode="External"/><Relationship Id="rId279" Type="http://schemas.openxmlformats.org/officeDocument/2006/relationships/hyperlink" Target="mailto:sho.pilloff@technipfmc.com" TargetMode="External"/><Relationship Id="rId157" Type="http://schemas.openxmlformats.org/officeDocument/2006/relationships/hyperlink" Target="mailto:aspire@ieaworld.com" TargetMode="External"/><Relationship Id="rId278" Type="http://schemas.openxmlformats.org/officeDocument/2006/relationships/hyperlink" Target="mailto:t.nigina@tcs.com" TargetMode="External"/><Relationship Id="rId156" Type="http://schemas.openxmlformats.org/officeDocument/2006/relationships/hyperlink" Target="mailto:marketing@idseg.com" TargetMode="External"/><Relationship Id="rId277" Type="http://schemas.openxmlformats.org/officeDocument/2006/relationships/hyperlink" Target="mailto:kmuskrat@talon-industries.com" TargetMode="External"/><Relationship Id="rId155" Type="http://schemas.openxmlformats.org/officeDocument/2006/relationships/hyperlink" Target="mailto:llutz@idtech.com" TargetMode="External"/><Relationship Id="rId276" Type="http://schemas.openxmlformats.org/officeDocument/2006/relationships/hyperlink" Target="mailto:cgrant@syska.com" TargetMode="External"/><Relationship Id="rId107" Type="http://schemas.openxmlformats.org/officeDocument/2006/relationships/hyperlink" Target="mailto:universityprograms@ecslimited.com" TargetMode="External"/><Relationship Id="rId228" Type="http://schemas.openxmlformats.org/officeDocument/2006/relationships/hyperlink" Target="mailto:james.sellars@pantex.doe.gov" TargetMode="External"/><Relationship Id="rId106" Type="http://schemas.openxmlformats.org/officeDocument/2006/relationships/hyperlink" Target="mailto:jennifer.johnson@enfrasolutions.com" TargetMode="External"/><Relationship Id="rId227" Type="http://schemas.openxmlformats.org/officeDocument/2006/relationships/hyperlink" Target="mailto:barbara.gillow@pnnl.gov" TargetMode="External"/><Relationship Id="rId105" Type="http://schemas.openxmlformats.org/officeDocument/2006/relationships/hyperlink" Target="mailto:mcooney@enercon.com" TargetMode="External"/><Relationship Id="rId226" Type="http://schemas.openxmlformats.org/officeDocument/2006/relationships/hyperlink" Target="mailto:mlopez@oscarordunoinc.com" TargetMode="External"/><Relationship Id="rId104" Type="http://schemas.openxmlformats.org/officeDocument/2006/relationships/hyperlink" Target="mailto:careers@eec-tx.com" TargetMode="External"/><Relationship Id="rId225" Type="http://schemas.openxmlformats.org/officeDocument/2006/relationships/hyperlink" Target="mailto:rmendoza@orn.net" TargetMode="External"/><Relationship Id="rId109" Type="http://schemas.openxmlformats.org/officeDocument/2006/relationships/hyperlink" Target="mailto:mclane.wood@entegris.com" TargetMode="External"/><Relationship Id="rId108" Type="http://schemas.openxmlformats.org/officeDocument/2006/relationships/hyperlink" Target="mailto:lromer@entact.com" TargetMode="External"/><Relationship Id="rId229" Type="http://schemas.openxmlformats.org/officeDocument/2006/relationships/hyperlink" Target="mailto:campusrecruiting@pape-dawson.com" TargetMode="External"/><Relationship Id="rId220" Type="http://schemas.openxmlformats.org/officeDocument/2006/relationships/hyperlink" Target="mailto:ppool@odinenv.com" TargetMode="External"/><Relationship Id="rId103" Type="http://schemas.openxmlformats.org/officeDocument/2006/relationships/hyperlink" Target="mailto:lgoss@enchantedrock.com" TargetMode="External"/><Relationship Id="rId224" Type="http://schemas.openxmlformats.org/officeDocument/2006/relationships/hyperlink" Target="mailto:mgillespie@142dg.com" TargetMode="External"/><Relationship Id="rId102" Type="http://schemas.openxmlformats.org/officeDocument/2006/relationships/hyperlink" Target="mailto:sbrowning@elevationlandsolutions.com" TargetMode="External"/><Relationship Id="rId223" Type="http://schemas.openxmlformats.org/officeDocument/2006/relationships/hyperlink" Target="mailto:derek.aquiningoc@oncor.com" TargetMode="External"/><Relationship Id="rId101" Type="http://schemas.openxmlformats.org/officeDocument/2006/relationships/hyperlink" Target="mailto:jonellefrazier@epdltd.com" TargetMode="External"/><Relationship Id="rId222" Type="http://schemas.openxmlformats.org/officeDocument/2006/relationships/hyperlink" Target="mailto:hchristensen@olsson.com" TargetMode="External"/><Relationship Id="rId100" Type="http://schemas.openxmlformats.org/officeDocument/2006/relationships/hyperlink" Target="mailto:mia.perez@ercot.com" TargetMode="External"/><Relationship Id="rId221" Type="http://schemas.openxmlformats.org/officeDocument/2006/relationships/hyperlink" Target="mailto:amori.lunney@odysseysr.com" TargetMode="External"/><Relationship Id="rId217" Type="http://schemas.openxmlformats.org/officeDocument/2006/relationships/hyperlink" Target="mailto:allison.best@nucor.com" TargetMode="External"/><Relationship Id="rId216" Type="http://schemas.openxmlformats.org/officeDocument/2006/relationships/hyperlink" Target="mailto:jmoore@ntnusa.com" TargetMode="External"/><Relationship Id="rId215" Type="http://schemas.openxmlformats.org/officeDocument/2006/relationships/hyperlink" Target="mailto:lidia.chach@nov.com" TargetMode="External"/><Relationship Id="rId214" Type="http://schemas.openxmlformats.org/officeDocument/2006/relationships/hyperlink" Target="mailto:NNSY_Engineer_Recruiting@navy.mil" TargetMode="External"/><Relationship Id="rId219" Type="http://schemas.openxmlformats.org/officeDocument/2006/relationships/hyperlink" Target="mailto:wstein@oceaneering.com" TargetMode="External"/><Relationship Id="rId218" Type="http://schemas.openxmlformats.org/officeDocument/2006/relationships/hyperlink" Target="mailto:baley.cody@nxp.com" TargetMode="External"/><Relationship Id="rId213" Type="http://schemas.openxmlformats.org/officeDocument/2006/relationships/hyperlink" Target="mailto:leah.cabusao@nikkisoceig.com" TargetMode="External"/><Relationship Id="rId212" Type="http://schemas.openxmlformats.org/officeDocument/2006/relationships/hyperlink" Target="mailto:chamar.mcdonald@neel-schaffer.com" TargetMode="External"/><Relationship Id="rId211" Type="http://schemas.openxmlformats.org/officeDocument/2006/relationships/hyperlink" Target="mailto:russell.mendoza@unnpp.gov" TargetMode="External"/><Relationship Id="rId210" Type="http://schemas.openxmlformats.org/officeDocument/2006/relationships/hyperlink" Target="mailto:kaley.metz@caci.com" TargetMode="External"/><Relationship Id="rId129" Type="http://schemas.openxmlformats.org/officeDocument/2006/relationships/hyperlink" Target="mailto:ebuniversityrelations@gdeb.com" TargetMode="External"/><Relationship Id="rId128" Type="http://schemas.openxmlformats.org/officeDocument/2006/relationships/hyperlink" Target="mailto:geoffrey.kollmer@gemmapower.com" TargetMode="External"/><Relationship Id="rId249" Type="http://schemas.openxmlformats.org/officeDocument/2006/relationships/hyperlink" Target="mailto:asa.chambers@srpnet.com" TargetMode="External"/><Relationship Id="rId127" Type="http://schemas.openxmlformats.org/officeDocument/2006/relationships/hyperlink" Target="mailto:jessica.reynolds@gevernova.com" TargetMode="External"/><Relationship Id="rId248" Type="http://schemas.openxmlformats.org/officeDocument/2006/relationships/hyperlink" Target="mailto:ebentley@sbec.com" TargetMode="External"/><Relationship Id="rId126" Type="http://schemas.openxmlformats.org/officeDocument/2006/relationships/hyperlink" Target="mailto:jmorgan@gbateam.com" TargetMode="External"/><Relationship Id="rId247" Type="http://schemas.openxmlformats.org/officeDocument/2006/relationships/hyperlink" Target="mailto:rtx@nc3.com" TargetMode="External"/><Relationship Id="rId121" Type="http://schemas.openxmlformats.org/officeDocument/2006/relationships/hyperlink" Target="mailto:janelle.casey@freese.com" TargetMode="External"/><Relationship Id="rId242" Type="http://schemas.openxmlformats.org/officeDocument/2006/relationships/hyperlink" Target="mailto:keri.tucker@repsol.com" TargetMode="External"/><Relationship Id="rId120" Type="http://schemas.openxmlformats.org/officeDocument/2006/relationships/hyperlink" Target="mailto:pamelar@ftpc.fpcusa.com" TargetMode="External"/><Relationship Id="rId241" Type="http://schemas.openxmlformats.org/officeDocument/2006/relationships/hyperlink" Target="mailto:mkhandekar@ramboll.com" TargetMode="External"/><Relationship Id="rId240" Type="http://schemas.openxmlformats.org/officeDocument/2006/relationships/hyperlink" Target="mailto:joann.herrador@rrcassidy.com" TargetMode="External"/><Relationship Id="rId125" Type="http://schemas.openxmlformats.org/officeDocument/2006/relationships/hyperlink" Target="mailto:kayla.maxey@gatx.com" TargetMode="External"/><Relationship Id="rId246" Type="http://schemas.openxmlformats.org/officeDocument/2006/relationships/hyperlink" Target="mailto:codeythomas@rrccompanies.com" TargetMode="External"/><Relationship Id="rId124" Type="http://schemas.openxmlformats.org/officeDocument/2006/relationships/hyperlink" Target="mailto:Studentlife@gaf.com" TargetMode="External"/><Relationship Id="rId245" Type="http://schemas.openxmlformats.org/officeDocument/2006/relationships/hyperlink" Target="mailto:careers@rovisys.com" TargetMode="External"/><Relationship Id="rId123" Type="http://schemas.openxmlformats.org/officeDocument/2006/relationships/hyperlink" Target="mailto:h.brooks@fugro.com" TargetMode="External"/><Relationship Id="rId244" Type="http://schemas.openxmlformats.org/officeDocument/2006/relationships/hyperlink" Target="mailto:alexandra.s.castillo@rolls-royce.com" TargetMode="External"/><Relationship Id="rId122" Type="http://schemas.openxmlformats.org/officeDocument/2006/relationships/hyperlink" Target="mailto:laura.butler@ffltech.com" TargetMode="External"/><Relationship Id="rId243" Type="http://schemas.openxmlformats.org/officeDocument/2006/relationships/hyperlink" Target="mailto:tyler@republiceds.com" TargetMode="External"/><Relationship Id="rId95" Type="http://schemas.openxmlformats.org/officeDocument/2006/relationships/hyperlink" Target="mailto:ddominguez@dfwcgi.com" TargetMode="External"/><Relationship Id="rId94" Type="http://schemas.openxmlformats.org/officeDocument/2006/relationships/hyperlink" Target="mailto:Nisha.Ali@deltaww.com" TargetMode="External"/><Relationship Id="rId97" Type="http://schemas.openxmlformats.org/officeDocument/2006/relationships/hyperlink" Target="mailto:pmendiola@dunaway.com" TargetMode="External"/><Relationship Id="rId96" Type="http://schemas.openxmlformats.org/officeDocument/2006/relationships/hyperlink" Target="mailto:jack@diracinc.com" TargetMode="External"/><Relationship Id="rId99" Type="http://schemas.openxmlformats.org/officeDocument/2006/relationships/hyperlink" Target="mailto:dspitz@genisyscontrols.com" TargetMode="External"/><Relationship Id="rId98" Type="http://schemas.openxmlformats.org/officeDocument/2006/relationships/hyperlink" Target="mailto:marketing@dsi.us" TargetMode="External"/><Relationship Id="rId91" Type="http://schemas.openxmlformats.org/officeDocument/2006/relationships/hyperlink" Target="mailto:bbi.hr@dccm.com" TargetMode="External"/><Relationship Id="rId90" Type="http://schemas.openxmlformats.org/officeDocument/2006/relationships/hyperlink" Target="mailto:tori.smith@dashiell.com" TargetMode="External"/><Relationship Id="rId93" Type="http://schemas.openxmlformats.org/officeDocument/2006/relationships/hyperlink" Target="mailto:dell@nc3.com" TargetMode="External"/><Relationship Id="rId92" Type="http://schemas.openxmlformats.org/officeDocument/2006/relationships/hyperlink" Target="mailto:mchiasson@ddgpc.com" TargetMode="External"/><Relationship Id="rId118" Type="http://schemas.openxmlformats.org/officeDocument/2006/relationships/hyperlink" Target="mailto:eearl@flowserve.com" TargetMode="External"/><Relationship Id="rId239" Type="http://schemas.openxmlformats.org/officeDocument/2006/relationships/hyperlink" Target="mailto:recruiting@quiddity.com" TargetMode="External"/><Relationship Id="rId117" Type="http://schemas.openxmlformats.org/officeDocument/2006/relationships/hyperlink" Target="mailto:francesca.demorizi@fireflyspace.com" TargetMode="External"/><Relationship Id="rId238" Type="http://schemas.openxmlformats.org/officeDocument/2006/relationships/hyperlink" Target="mailto:earlycareers@quantaisg.com" TargetMode="External"/><Relationship Id="rId116" Type="http://schemas.openxmlformats.org/officeDocument/2006/relationships/hyperlink" Target="mailto:charles.carr@fmr.com" TargetMode="External"/><Relationship Id="rId237" Type="http://schemas.openxmlformats.org/officeDocument/2006/relationships/hyperlink" Target="mailto:shamm@proceanic.com" TargetMode="External"/><Relationship Id="rId115" Type="http://schemas.openxmlformats.org/officeDocument/2006/relationships/hyperlink" Target="mailto:jhoffman@ferrovial.com" TargetMode="External"/><Relationship Id="rId236" Type="http://schemas.openxmlformats.org/officeDocument/2006/relationships/hyperlink" Target="mailto:skliebert@prim.com" TargetMode="External"/><Relationship Id="rId119" Type="http://schemas.openxmlformats.org/officeDocument/2006/relationships/hyperlink" Target="mailto:University.Relations@fluor.com" TargetMode="External"/><Relationship Id="rId110" Type="http://schemas.openxmlformats.org/officeDocument/2006/relationships/hyperlink" Target="mailto:lhende9@entergy.com" TargetMode="External"/><Relationship Id="rId231" Type="http://schemas.openxmlformats.org/officeDocument/2006/relationships/hyperlink" Target="mailto:conner.avants@paycomonline.com" TargetMode="External"/><Relationship Id="rId230" Type="http://schemas.openxmlformats.org/officeDocument/2006/relationships/hyperlink" Target="mailto:mikinzy.boggs@PatEnergy.com" TargetMode="External"/><Relationship Id="rId114" Type="http://schemas.openxmlformats.org/officeDocument/2006/relationships/hyperlink" Target="mailto:kblanco@fbdfrozen.com" TargetMode="External"/><Relationship Id="rId235" Type="http://schemas.openxmlformats.org/officeDocument/2006/relationships/hyperlink" Target="mailto:smoss@primepathmedtech.com" TargetMode="External"/><Relationship Id="rId113" Type="http://schemas.openxmlformats.org/officeDocument/2006/relationships/hyperlink" Target="mailto:mdadian@fhpaschen.com" TargetMode="External"/><Relationship Id="rId234" Type="http://schemas.openxmlformats.org/officeDocument/2006/relationships/hyperlink" Target="mailto:k.lehman@prime-controls.com" TargetMode="External"/><Relationship Id="rId112" Type="http://schemas.openxmlformats.org/officeDocument/2006/relationships/hyperlink" Target="mailto:profiles@epic.com" TargetMode="External"/><Relationship Id="rId233" Type="http://schemas.openxmlformats.org/officeDocument/2006/relationships/hyperlink" Target="mailto:megan.hugger@peloton.com" TargetMode="External"/><Relationship Id="rId111" Type="http://schemas.openxmlformats.org/officeDocument/2006/relationships/hyperlink" Target="mailto:jbarrowdemaris@eprod.com" TargetMode="External"/><Relationship Id="rId232" Type="http://schemas.openxmlformats.org/officeDocument/2006/relationships/hyperlink" Target="mailto:Lyndsey.Hyde@paycomonline.com" TargetMode="External"/><Relationship Id="rId305" Type="http://schemas.openxmlformats.org/officeDocument/2006/relationships/hyperlink" Target="mailto:brian.bahe@vinsonprocess.com" TargetMode="External"/><Relationship Id="rId304" Type="http://schemas.openxmlformats.org/officeDocument/2006/relationships/hyperlink" Target="mailto:awood@venturegloballng.com" TargetMode="External"/><Relationship Id="rId303" Type="http://schemas.openxmlformats.org/officeDocument/2006/relationships/hyperlink" Target="mailto:tyree@varda.com" TargetMode="External"/><Relationship Id="rId302" Type="http://schemas.openxmlformats.org/officeDocument/2006/relationships/hyperlink" Target="mailto:justin.c.kennedy1.mil@us.navy.mil" TargetMode="External"/><Relationship Id="rId309" Type="http://schemas.openxmlformats.org/officeDocument/2006/relationships/hyperlink" Target="mailto:marykate.markey@wardandburke.com" TargetMode="External"/><Relationship Id="rId308" Type="http://schemas.openxmlformats.org/officeDocument/2006/relationships/hyperlink" Target="mailto:cmuska@walkerpartners.com" TargetMode="External"/><Relationship Id="rId307" Type="http://schemas.openxmlformats.org/officeDocument/2006/relationships/hyperlink" Target="mailto:lmatakovich@wadetrim.com" TargetMode="External"/><Relationship Id="rId306" Type="http://schemas.openxmlformats.org/officeDocument/2006/relationships/hyperlink" Target="mailto:angela.wattley@viridiengroup.com" TargetMode="External"/><Relationship Id="rId301" Type="http://schemas.openxmlformats.org/officeDocument/2006/relationships/hyperlink" Target="mailto:dylanflorentin@usconec.com" TargetMode="External"/><Relationship Id="rId300" Type="http://schemas.openxmlformats.org/officeDocument/2006/relationships/hyperlink" Target="mailto:paulreyes@upwingenergy.com" TargetMode="External"/><Relationship Id="rId206" Type="http://schemas.openxmlformats.org/officeDocument/2006/relationships/hyperlink" Target="mailto:sbielamowicz@meglobal.biz" TargetMode="External"/><Relationship Id="rId205" Type="http://schemas.openxmlformats.org/officeDocument/2006/relationships/hyperlink" Target="mailto:sandra.lopez@mcmaster.com" TargetMode="External"/><Relationship Id="rId204" Type="http://schemas.openxmlformats.org/officeDocument/2006/relationships/hyperlink" Target="mailto:mvelezrodriguez@mccarthy.com" TargetMode="External"/><Relationship Id="rId203" Type="http://schemas.openxmlformats.org/officeDocument/2006/relationships/hyperlink" Target="mailto:jsprayberry@mays.tamu.edu" TargetMode="External"/><Relationship Id="rId209" Type="http://schemas.openxmlformats.org/officeDocument/2006/relationships/hyperlink" Target="mailto:syoung@mpmaterials.com" TargetMode="External"/><Relationship Id="rId208" Type="http://schemas.openxmlformats.org/officeDocument/2006/relationships/hyperlink" Target="mailto:collegerecruiting@mortenson.com" TargetMode="External"/><Relationship Id="rId207" Type="http://schemas.openxmlformats.org/officeDocument/2006/relationships/hyperlink" Target="mailto:leneeyoung@micron.com" TargetMode="External"/><Relationship Id="rId202" Type="http://schemas.openxmlformats.org/officeDocument/2006/relationships/hyperlink" Target="mailto:sekraheck@matrixstructural.com" TargetMode="External"/><Relationship Id="rId201" Type="http://schemas.openxmlformats.org/officeDocument/2006/relationships/hyperlink" Target="mailto:jharbuck@matkinhoover.com" TargetMode="External"/><Relationship Id="rId322" Type="http://schemas.openxmlformats.org/officeDocument/2006/relationships/drawing" Target="../drawings/drawing3.xml"/><Relationship Id="rId200" Type="http://schemas.openxmlformats.org/officeDocument/2006/relationships/hyperlink" Target="mailto:careers@matadorresources.com" TargetMode="External"/><Relationship Id="rId321" Type="http://schemas.openxmlformats.org/officeDocument/2006/relationships/hyperlink" Target="mailto:keith@yalgoengineering.com" TargetMode="External"/><Relationship Id="rId320" Type="http://schemas.openxmlformats.org/officeDocument/2006/relationships/hyperlink" Target="mailto:rschrock@wylieeng.com" TargetMode="External"/><Relationship Id="rId316" Type="http://schemas.openxmlformats.org/officeDocument/2006/relationships/hyperlink" Target="mailto:kbowie@wrallp.com" TargetMode="External"/><Relationship Id="rId315" Type="http://schemas.openxmlformats.org/officeDocument/2006/relationships/hyperlink" Target="mailto:kimberly.sinegal@whcenergyservices.com" TargetMode="External"/><Relationship Id="rId314" Type="http://schemas.openxmlformats.org/officeDocument/2006/relationships/hyperlink" Target="mailto:ltanco@wga-llc.com" TargetMode="External"/><Relationship Id="rId313" Type="http://schemas.openxmlformats.org/officeDocument/2006/relationships/hyperlink" Target="mailto:careers@westwoodps.com" TargetMode="External"/><Relationship Id="rId319" Type="http://schemas.openxmlformats.org/officeDocument/2006/relationships/hyperlink" Target="mailto:emily.campbell@wsp.com" TargetMode="External"/><Relationship Id="rId318" Type="http://schemas.openxmlformats.org/officeDocument/2006/relationships/hyperlink" Target="mailto:erin.niebylski@worley.com" TargetMode="External"/><Relationship Id="rId317" Type="http://schemas.openxmlformats.org/officeDocument/2006/relationships/hyperlink" Target="mailto:TAMI.KOSTERS@WOODPLC.COM" TargetMode="External"/><Relationship Id="rId312" Type="http://schemas.openxmlformats.org/officeDocument/2006/relationships/hyperlink" Target="mailto:keti.spirovski@westinghouse.com" TargetMode="External"/><Relationship Id="rId311" Type="http://schemas.openxmlformats.org/officeDocument/2006/relationships/hyperlink" Target="mailto:esin@wwebber.com" TargetMode="External"/><Relationship Id="rId310" Type="http://schemas.openxmlformats.org/officeDocument/2006/relationships/hyperlink" Target="mailto:byoung@wcgrp.com"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mailto:Studentlife@gaf.com" TargetMode="External"/><Relationship Id="rId194" Type="http://schemas.openxmlformats.org/officeDocument/2006/relationships/hyperlink" Target="mailto:tessa.nguyen1@ge.com" TargetMode="External"/><Relationship Id="rId193" Type="http://schemas.openxmlformats.org/officeDocument/2006/relationships/hyperlink" Target="mailto:jmorgan@gbateam.com" TargetMode="External"/><Relationship Id="rId192" Type="http://schemas.openxmlformats.org/officeDocument/2006/relationships/hyperlink" Target="mailto:abartscher@gateprecast.com" TargetMode="External"/><Relationship Id="rId191" Type="http://schemas.openxmlformats.org/officeDocument/2006/relationships/hyperlink" Target="mailto:crystal.gutierrezhinojos@garmin.com" TargetMode="External"/><Relationship Id="rId187" Type="http://schemas.openxmlformats.org/officeDocument/2006/relationships/hyperlink" Target="mailto:albert.choi@fnacc.com" TargetMode="External"/><Relationship Id="rId186" Type="http://schemas.openxmlformats.org/officeDocument/2006/relationships/hyperlink" Target="mailto:lauren.hodge@freese.com" TargetMode="External"/><Relationship Id="rId185" Type="http://schemas.openxmlformats.org/officeDocument/2006/relationships/hyperlink" Target="mailto:jpaustin@fransenpittman.com" TargetMode="External"/><Relationship Id="rId184" Type="http://schemas.openxmlformats.org/officeDocument/2006/relationships/hyperlink" Target="mailto:requisitions.us@framatome.com" TargetMode="External"/><Relationship Id="rId189" Type="http://schemas.openxmlformats.org/officeDocument/2006/relationships/hyperlink" Target="mailto:jocelyn.lyons@fujifilm.com" TargetMode="External"/><Relationship Id="rId188" Type="http://schemas.openxmlformats.org/officeDocument/2006/relationships/hyperlink" Target="mailto:phillip.steagall@fticonsulting.com" TargetMode="External"/><Relationship Id="rId183" Type="http://schemas.openxmlformats.org/officeDocument/2006/relationships/hyperlink" Target="mailto:pamelar@ftpc.fpcusa.com" TargetMode="External"/><Relationship Id="rId182" Type="http://schemas.openxmlformats.org/officeDocument/2006/relationships/hyperlink" Target="mailto:michelle.smith@fmglobal.com" TargetMode="External"/><Relationship Id="rId181" Type="http://schemas.openxmlformats.org/officeDocument/2006/relationships/hyperlink" Target="mailto:University.Relations@fluor.com" TargetMode="External"/><Relationship Id="rId180" Type="http://schemas.openxmlformats.org/officeDocument/2006/relationships/hyperlink" Target="mailto:eearl@flowserve.com" TargetMode="External"/><Relationship Id="rId176" Type="http://schemas.openxmlformats.org/officeDocument/2006/relationships/hyperlink" Target="mailto:cecilia.deatherage@fireflyspace.com" TargetMode="External"/><Relationship Id="rId297" Type="http://schemas.openxmlformats.org/officeDocument/2006/relationships/hyperlink" Target="mailto:julie.winn@lockesolutions.com" TargetMode="External"/><Relationship Id="rId175" Type="http://schemas.openxmlformats.org/officeDocument/2006/relationships/hyperlink" Target="mailto:yaritza.deluna@ge.com" TargetMode="External"/><Relationship Id="rId296" Type="http://schemas.openxmlformats.org/officeDocument/2006/relationships/hyperlink" Target="mailto:jharshbarger@ljbinc.com" TargetMode="External"/><Relationship Id="rId174" Type="http://schemas.openxmlformats.org/officeDocument/2006/relationships/hyperlink" Target="mailto:sam.sturges@fgfbrands.com" TargetMode="External"/><Relationship Id="rId295" Type="http://schemas.openxmlformats.org/officeDocument/2006/relationships/hyperlink" Target="mailto:rholt@lja.com" TargetMode="External"/><Relationship Id="rId173" Type="http://schemas.openxmlformats.org/officeDocument/2006/relationships/hyperlink" Target="mailto:joe.bisacca@fervoenergy.com" TargetMode="External"/><Relationship Id="rId294" Type="http://schemas.openxmlformats.org/officeDocument/2006/relationships/hyperlink" Target="mailto:leacareers@linde.com" TargetMode="External"/><Relationship Id="rId179" Type="http://schemas.openxmlformats.org/officeDocument/2006/relationships/hyperlink" Target="mailto:fhrearlycareer@kochcc.com" TargetMode="External"/><Relationship Id="rId178" Type="http://schemas.openxmlformats.org/officeDocument/2006/relationships/hyperlink" Target="mailto:ggedville@flatironcorp.com" TargetMode="External"/><Relationship Id="rId299" Type="http://schemas.openxmlformats.org/officeDocument/2006/relationships/hyperlink" Target="mailto:pygarcia@lan-inc.com" TargetMode="External"/><Relationship Id="rId177" Type="http://schemas.openxmlformats.org/officeDocument/2006/relationships/hyperlink" Target="mailto:dcartagena@fivestarmanagement.com" TargetMode="External"/><Relationship Id="rId298" Type="http://schemas.openxmlformats.org/officeDocument/2006/relationships/hyperlink" Target="mailto:lmco@nc3.com" TargetMode="External"/><Relationship Id="rId198" Type="http://schemas.openxmlformats.org/officeDocument/2006/relationships/hyperlink" Target="mailto:angie.baker@genesys-aerosystems.com" TargetMode="External"/><Relationship Id="rId197" Type="http://schemas.openxmlformats.org/officeDocument/2006/relationships/hyperlink" Target="mailto:sophia.jewell@gm.com" TargetMode="External"/><Relationship Id="rId196" Type="http://schemas.openxmlformats.org/officeDocument/2006/relationships/hyperlink" Target="mailto:ebuniversityrelations@gdeb.com" TargetMode="External"/><Relationship Id="rId195" Type="http://schemas.openxmlformats.org/officeDocument/2006/relationships/hyperlink" Target="mailto:geoffrey.kollmer@gemmapower.com" TargetMode="External"/><Relationship Id="rId199" Type="http://schemas.openxmlformats.org/officeDocument/2006/relationships/hyperlink" Target="mailto:chante.nelms@gerdau.com" TargetMode="External"/><Relationship Id="rId150" Type="http://schemas.openxmlformats.org/officeDocument/2006/relationships/hyperlink" Target="mailto:ashley.garrison@eec-tx.com" TargetMode="External"/><Relationship Id="rId271" Type="http://schemas.openxmlformats.org/officeDocument/2006/relationships/hyperlink" Target="mailto:Katie@kasparcompanies.com" TargetMode="External"/><Relationship Id="rId392" Type="http://schemas.openxmlformats.org/officeDocument/2006/relationships/hyperlink" Target="mailto:amorais@rehrig.com" TargetMode="External"/><Relationship Id="rId270" Type="http://schemas.openxmlformats.org/officeDocument/2006/relationships/hyperlink" Target="mailto:deysi.espinosa@kaneka.com" TargetMode="External"/><Relationship Id="rId391" Type="http://schemas.openxmlformats.org/officeDocument/2006/relationships/hyperlink" Target="mailto:bvang@rambus.com" TargetMode="External"/><Relationship Id="rId390" Type="http://schemas.openxmlformats.org/officeDocument/2006/relationships/hyperlink" Target="mailto:mkhandekar@ramboll.com" TargetMode="External"/><Relationship Id="rId1" Type="http://schemas.openxmlformats.org/officeDocument/2006/relationships/hyperlink" Target="https://tamu-csm.symplicity.com/manager/index.php?_so_list_aat62969cfa0a217d35bf1b2a7e1c85a4c3=250&amp;_so_list_sort62969cfa0a217d35bf1b2a7e1c85a4c3=name%3Adesc" TargetMode="External"/><Relationship Id="rId2" Type="http://schemas.openxmlformats.org/officeDocument/2006/relationships/hyperlink" Target="https://tamu-csm.symplicity.com/manager/index.php?_so_list_aat62969cfa0a217d35bf1b2a7e1c85a4c3=250&amp;_so_list_sort62969cfa0a217d35bf1b2a7e1c85a4c3=fullname%3Aasc" TargetMode="External"/><Relationship Id="rId3" Type="http://schemas.openxmlformats.org/officeDocument/2006/relationships/hyperlink" Target="https://tamu-csm.symplicity.com/manager/index.php?_so_list_aat62969cfa0a217d35bf1b2a7e1c85a4c3=250&amp;_so_list_sort62969cfa0a217d35bf1b2a7e1c85a4c3=phone%3Aasc" TargetMode="External"/><Relationship Id="rId149" Type="http://schemas.openxmlformats.org/officeDocument/2006/relationships/hyperlink" Target="mailto:nevy.mustafic@emerson.com" TargetMode="External"/><Relationship Id="rId4" Type="http://schemas.openxmlformats.org/officeDocument/2006/relationships/hyperlink" Target="https://tamu-csm.symplicity.com/manager/index.php?_so_list_aat62969cfa0a217d35bf1b2a7e1c85a4c3=250&amp;_so_list_sort62969cfa0a217d35bf1b2a7e1c85a4c3=sal_booth_location_065ec030a79655d6ac773759b9c3657e%3Aasc" TargetMode="External"/><Relationship Id="rId148" Type="http://schemas.openxmlformats.org/officeDocument/2006/relationships/hyperlink" Target="mailto:roien@elm-ess.com" TargetMode="External"/><Relationship Id="rId269" Type="http://schemas.openxmlformats.org/officeDocument/2006/relationships/hyperlink" Target="mailto:careers@kairospower.com" TargetMode="External"/><Relationship Id="rId9" Type="http://schemas.openxmlformats.org/officeDocument/2006/relationships/hyperlink" Target="mailto:elizabeth.lipstreu@us.abb.com" TargetMode="External"/><Relationship Id="rId143" Type="http://schemas.openxmlformats.org/officeDocument/2006/relationships/hyperlink" Target="mailto:dspitz@genisyscontrols.com" TargetMode="External"/><Relationship Id="rId264" Type="http://schemas.openxmlformats.org/officeDocument/2006/relationships/hyperlink" Target="mailto:paul.wyman@jelec.com" TargetMode="External"/><Relationship Id="rId385" Type="http://schemas.openxmlformats.org/officeDocument/2006/relationships/hyperlink" Target="mailto:earlycareers@quantaisg.com" TargetMode="External"/><Relationship Id="rId142" Type="http://schemas.openxmlformats.org/officeDocument/2006/relationships/hyperlink" Target="mailto:lyndsy.urban@ecolab.com" TargetMode="External"/><Relationship Id="rId263" Type="http://schemas.openxmlformats.org/officeDocument/2006/relationships/hyperlink" Target="mailto:jillian.fleming@jedunn.com" TargetMode="External"/><Relationship Id="rId384" Type="http://schemas.openxmlformats.org/officeDocument/2006/relationships/hyperlink" Target="mailto:ryan.carey@qtsdatacenters.com" TargetMode="External"/><Relationship Id="rId141" Type="http://schemas.openxmlformats.org/officeDocument/2006/relationships/hyperlink" Target="mailto:joshua.munsart@eastman.com" TargetMode="External"/><Relationship Id="rId262" Type="http://schemas.openxmlformats.org/officeDocument/2006/relationships/hyperlink" Target="mailto:csullivan@jaycashman.com" TargetMode="External"/><Relationship Id="rId383" Type="http://schemas.openxmlformats.org/officeDocument/2006/relationships/hyperlink" Target="mailto:melissa.kissinger@qorvo.com" TargetMode="External"/><Relationship Id="rId140" Type="http://schemas.openxmlformats.org/officeDocument/2006/relationships/hyperlink" Target="mailto:marketing@dsi.us" TargetMode="External"/><Relationship Id="rId261" Type="http://schemas.openxmlformats.org/officeDocument/2006/relationships/hyperlink" Target="mailto:rdavis@jaycashman.com" TargetMode="External"/><Relationship Id="rId382" Type="http://schemas.openxmlformats.org/officeDocument/2006/relationships/hyperlink" Target="mailto:mmigioia@proautomated.com" TargetMode="External"/><Relationship Id="rId5" Type="http://schemas.openxmlformats.org/officeDocument/2006/relationships/hyperlink" Target="https://tamu-csm.symplicity.com/manager/index.php?_so_list_aat62969cfa0a217d35bf1b2a7e1c85a4c3=250&amp;_so_list_sort62969cfa0a217d35bf1b2a7e1c85a4c3=attendee_type%3Aasc" TargetMode="External"/><Relationship Id="rId147" Type="http://schemas.openxmlformats.org/officeDocument/2006/relationships/hyperlink" Target="mailto:balbuena_maria_c@lilly.com" TargetMode="External"/><Relationship Id="rId268" Type="http://schemas.openxmlformats.org/officeDocument/2006/relationships/hyperlink" Target="mailto:cluke@jonesengineeringsolutions.com" TargetMode="External"/><Relationship Id="rId389" Type="http://schemas.openxmlformats.org/officeDocument/2006/relationships/hyperlink" Target="mailto:elyce.hill@rrc.texas.gov" TargetMode="External"/><Relationship Id="rId6" Type="http://schemas.openxmlformats.org/officeDocument/2006/relationships/hyperlink" Target="https://tamu-csm.symplicity.com/manager/index.php?_so_list_aat62969cfa0a217d35bf1b2a7e1c85a4c3=250&amp;_so_list_sort62969cfa0a217d35bf1b2a7e1c85a4c3=registered_on%3Aasc" TargetMode="External"/><Relationship Id="rId146" Type="http://schemas.openxmlformats.org/officeDocument/2006/relationships/hyperlink" Target="mailto:mia.perez@ercot.com" TargetMode="External"/><Relationship Id="rId267" Type="http://schemas.openxmlformats.org/officeDocument/2006/relationships/hyperlink" Target="mailto:jnj@nc3.com" TargetMode="External"/><Relationship Id="rId388" Type="http://schemas.openxmlformats.org/officeDocument/2006/relationships/hyperlink" Target="mailto:mhallman@ragleinc.com" TargetMode="External"/><Relationship Id="rId7" Type="http://schemas.openxmlformats.org/officeDocument/2006/relationships/hyperlink" Target="mailto:studentprograms@fujitsu.com" TargetMode="External"/><Relationship Id="rId145" Type="http://schemas.openxmlformats.org/officeDocument/2006/relationships/hyperlink" Target="mailto:jason.greer@elbitsystems-us.com" TargetMode="External"/><Relationship Id="rId266" Type="http://schemas.openxmlformats.org/officeDocument/2006/relationships/hyperlink" Target="mailto:dmorale6@jhu.edu" TargetMode="External"/><Relationship Id="rId387" Type="http://schemas.openxmlformats.org/officeDocument/2006/relationships/hyperlink" Target="mailto:recruiting@quiddity.com" TargetMode="External"/><Relationship Id="rId8" Type="http://schemas.openxmlformats.org/officeDocument/2006/relationships/hyperlink" Target="mailto:rda@as-engineers.com" TargetMode="External"/><Relationship Id="rId144" Type="http://schemas.openxmlformats.org/officeDocument/2006/relationships/hyperlink" Target="mailto:imirza@ehra.team" TargetMode="External"/><Relationship Id="rId265" Type="http://schemas.openxmlformats.org/officeDocument/2006/relationships/hyperlink" Target="mailto:scollins@jmt.com" TargetMode="External"/><Relationship Id="rId386" Type="http://schemas.openxmlformats.org/officeDocument/2006/relationships/hyperlink" Target="mailto:astickney@quantaservices.com" TargetMode="External"/><Relationship Id="rId260" Type="http://schemas.openxmlformats.org/officeDocument/2006/relationships/hyperlink" Target="mailto:GlobalFutureTalent@jacobs.com" TargetMode="External"/><Relationship Id="rId381" Type="http://schemas.openxmlformats.org/officeDocument/2006/relationships/hyperlink" Target="mailto:skliebert@prim.com" TargetMode="External"/><Relationship Id="rId380" Type="http://schemas.openxmlformats.org/officeDocument/2006/relationships/hyperlink" Target="mailto:britney.hoang@powellind.com" TargetMode="External"/><Relationship Id="rId139" Type="http://schemas.openxmlformats.org/officeDocument/2006/relationships/hyperlink" Target="mailto:gcammisa@dynamicec.com" TargetMode="External"/><Relationship Id="rId138" Type="http://schemas.openxmlformats.org/officeDocument/2006/relationships/hyperlink" Target="mailto:pmendiola@dunaway.com" TargetMode="External"/><Relationship Id="rId259" Type="http://schemas.openxmlformats.org/officeDocument/2006/relationships/hyperlink" Target="mailto:msl@iteris.com" TargetMode="External"/><Relationship Id="rId137" Type="http://schemas.openxmlformats.org/officeDocument/2006/relationships/hyperlink" Target="mailto:blin@draper.com" TargetMode="External"/><Relationship Id="rId258" Type="http://schemas.openxmlformats.org/officeDocument/2006/relationships/hyperlink" Target="mailto:KPurdy@intuitivemachines.com" TargetMode="External"/><Relationship Id="rId379" Type="http://schemas.openxmlformats.org/officeDocument/2006/relationships/hyperlink" Target="mailto:mmoser@plummer.com" TargetMode="External"/><Relationship Id="rId132" Type="http://schemas.openxmlformats.org/officeDocument/2006/relationships/hyperlink" Target="mailto:dell@nc3.com" TargetMode="External"/><Relationship Id="rId253" Type="http://schemas.openxmlformats.org/officeDocument/2006/relationships/hyperlink" Target="mailto:philip_jaquith@irco.com" TargetMode="External"/><Relationship Id="rId374" Type="http://schemas.openxmlformats.org/officeDocument/2006/relationships/hyperlink" Target="mailto:pepsico@nc3.com" TargetMode="External"/><Relationship Id="rId495" Type="http://schemas.openxmlformats.org/officeDocument/2006/relationships/hyperlink" Target="mailto:luke.p.thomas3.mil@us.navy.mil" TargetMode="External"/><Relationship Id="rId131" Type="http://schemas.openxmlformats.org/officeDocument/2006/relationships/hyperlink" Target="mailto:sandra@briannas.com" TargetMode="External"/><Relationship Id="rId252" Type="http://schemas.openxmlformats.org/officeDocument/2006/relationships/hyperlink" Target="mailto:hajarah.mabike@ingeniapolymers.com" TargetMode="External"/><Relationship Id="rId373" Type="http://schemas.openxmlformats.org/officeDocument/2006/relationships/hyperlink" Target="mailto:megan.hugger@peloton.com" TargetMode="External"/><Relationship Id="rId494" Type="http://schemas.openxmlformats.org/officeDocument/2006/relationships/hyperlink" Target="mailto:laurenburns@usconec.com" TargetMode="External"/><Relationship Id="rId130" Type="http://schemas.openxmlformats.org/officeDocument/2006/relationships/hyperlink" Target="mailto:kayla.hollingsworth@denora.com" TargetMode="External"/><Relationship Id="rId251" Type="http://schemas.openxmlformats.org/officeDocument/2006/relationships/hyperlink" Target="mailto:infineon@nc3.com" TargetMode="External"/><Relationship Id="rId372" Type="http://schemas.openxmlformats.org/officeDocument/2006/relationships/hyperlink" Target="mailto:solarusarecruiting@pcl.com" TargetMode="External"/><Relationship Id="rId493" Type="http://schemas.openxmlformats.org/officeDocument/2006/relationships/hyperlink" Target="mailto:careers@ulteig.com" TargetMode="External"/><Relationship Id="rId250" Type="http://schemas.openxmlformats.org/officeDocument/2006/relationships/hyperlink" Target="mailto:opusa.recruiting@ineos.com" TargetMode="External"/><Relationship Id="rId371" Type="http://schemas.openxmlformats.org/officeDocument/2006/relationships/hyperlink" Target="mailto:tony.talamantes@paycomonline.com" TargetMode="External"/><Relationship Id="rId492" Type="http://schemas.openxmlformats.org/officeDocument/2006/relationships/hyperlink" Target="mailto:mgell@teamues.com" TargetMode="External"/><Relationship Id="rId136" Type="http://schemas.openxmlformats.org/officeDocument/2006/relationships/hyperlink" Target="mailto:kajuettemeyer@dow.com" TargetMode="External"/><Relationship Id="rId257" Type="http://schemas.openxmlformats.org/officeDocument/2006/relationships/hyperlink" Target="mailto:logan.olson@ipaper.com" TargetMode="External"/><Relationship Id="rId378" Type="http://schemas.openxmlformats.org/officeDocument/2006/relationships/hyperlink" Target="mailto:gabriela.martinez@pinnaclereliability.com" TargetMode="External"/><Relationship Id="rId499" Type="http://schemas.openxmlformats.org/officeDocument/2006/relationships/hyperlink" Target="mailto:smartinez@vectra.ai" TargetMode="External"/><Relationship Id="rId135" Type="http://schemas.openxmlformats.org/officeDocument/2006/relationships/hyperlink" Target="mailto:jobs@dmcinfo.com" TargetMode="External"/><Relationship Id="rId256" Type="http://schemas.openxmlformats.org/officeDocument/2006/relationships/hyperlink" Target="mailto:rene.alvarado@international.com" TargetMode="External"/><Relationship Id="rId377" Type="http://schemas.openxmlformats.org/officeDocument/2006/relationships/hyperlink" Target="mailto:jwsimpson@pike.com" TargetMode="External"/><Relationship Id="rId498" Type="http://schemas.openxmlformats.org/officeDocument/2006/relationships/hyperlink" Target="mailto:laci.stamm@valero.com" TargetMode="External"/><Relationship Id="rId134" Type="http://schemas.openxmlformats.org/officeDocument/2006/relationships/hyperlink" Target="mailto:leticia.y.jimenez@dnv.com" TargetMode="External"/><Relationship Id="rId255" Type="http://schemas.openxmlformats.org/officeDocument/2006/relationships/hyperlink" Target="mailto:xmedina@ie-services.com" TargetMode="External"/><Relationship Id="rId376" Type="http://schemas.openxmlformats.org/officeDocument/2006/relationships/hyperlink" Target="mailto:earlycareerrecruiting@p66.com" TargetMode="External"/><Relationship Id="rId497" Type="http://schemas.openxmlformats.org/officeDocument/2006/relationships/hyperlink" Target="mailto:hannah.seliskar@valentpartners.com" TargetMode="External"/><Relationship Id="rId133" Type="http://schemas.openxmlformats.org/officeDocument/2006/relationships/hyperlink" Target="mailto:martha.whitt@delta.com" TargetMode="External"/><Relationship Id="rId254" Type="http://schemas.openxmlformats.org/officeDocument/2006/relationships/hyperlink" Target="mailto:nick.gregoire@ips.us" TargetMode="External"/><Relationship Id="rId375" Type="http://schemas.openxmlformats.org/officeDocument/2006/relationships/hyperlink" Target="mailto:tiffany.carrier@percheronllc.com" TargetMode="External"/><Relationship Id="rId496" Type="http://schemas.openxmlformats.org/officeDocument/2006/relationships/hyperlink" Target="mailto:sarah.southerly@usaa.com" TargetMode="External"/><Relationship Id="rId172" Type="http://schemas.openxmlformats.org/officeDocument/2006/relationships/hyperlink" Target="mailto:rmunozmartinezblanco@ferrovial.com" TargetMode="External"/><Relationship Id="rId293" Type="http://schemas.openxmlformats.org/officeDocument/2006/relationships/hyperlink" Target="mailto:vthomason@ltraengineers.com" TargetMode="External"/><Relationship Id="rId171" Type="http://schemas.openxmlformats.org/officeDocument/2006/relationships/hyperlink" Target="mailto:oleon@ferrovial.com" TargetMode="External"/><Relationship Id="rId292" Type="http://schemas.openxmlformats.org/officeDocument/2006/relationships/hyperlink" Target="mailto:elizabeth.schmidt@lhoist.com" TargetMode="External"/><Relationship Id="rId170" Type="http://schemas.openxmlformats.org/officeDocument/2006/relationships/hyperlink" Target="mailto:cfountas@fenaghengineering.com" TargetMode="External"/><Relationship Id="rId291" Type="http://schemas.openxmlformats.org/officeDocument/2006/relationships/hyperlink" Target="mailto:leni.nickas@lennox.com" TargetMode="External"/><Relationship Id="rId290" Type="http://schemas.openxmlformats.org/officeDocument/2006/relationships/hyperlink" Target="mailto:valerie.watt@lcra.org" TargetMode="External"/><Relationship Id="rId165" Type="http://schemas.openxmlformats.org/officeDocument/2006/relationships/hyperlink" Target="mailto:mdadian@fhpaschen.com" TargetMode="External"/><Relationship Id="rId286" Type="http://schemas.openxmlformats.org/officeDocument/2006/relationships/hyperlink" Target="mailto:mnbrown@kpmg.com" TargetMode="External"/><Relationship Id="rId164" Type="http://schemas.openxmlformats.org/officeDocument/2006/relationships/hyperlink" Target="mailto:brad.currie@exxonmobil.com" TargetMode="External"/><Relationship Id="rId285" Type="http://schemas.openxmlformats.org/officeDocument/2006/relationships/hyperlink" Target="mailto:luis.ibarra@global.komatsu" TargetMode="External"/><Relationship Id="rId163" Type="http://schemas.openxmlformats.org/officeDocument/2006/relationships/hyperlink" Target="mailto:sshupak@exmaroffshore.com" TargetMode="External"/><Relationship Id="rId284" Type="http://schemas.openxmlformats.org/officeDocument/2006/relationships/hyperlink" Target="mailto:EarlyCareer@kochgs.com" TargetMode="External"/><Relationship Id="rId162" Type="http://schemas.openxmlformats.org/officeDocument/2006/relationships/hyperlink" Target="mailto:holly.bosher@evonik.com" TargetMode="External"/><Relationship Id="rId283" Type="http://schemas.openxmlformats.org/officeDocument/2006/relationships/hyperlink" Target="mailto:adoster@kleintools.com" TargetMode="External"/><Relationship Id="rId169" Type="http://schemas.openxmlformats.org/officeDocument/2006/relationships/hyperlink" Target="mailto:human.resources@fhueng.com" TargetMode="External"/><Relationship Id="rId168" Type="http://schemas.openxmlformats.org/officeDocument/2006/relationships/hyperlink" Target="mailto:antionette.d-ctr.meridth@faa.gov" TargetMode="External"/><Relationship Id="rId289" Type="http://schemas.openxmlformats.org/officeDocument/2006/relationships/hyperlink" Target="mailto:kgrona@labattfood.com" TargetMode="External"/><Relationship Id="rId167" Type="http://schemas.openxmlformats.org/officeDocument/2006/relationships/hyperlink" Target="mailto:kblanco@fbdfrozen.com" TargetMode="External"/><Relationship Id="rId288" Type="http://schemas.openxmlformats.org/officeDocument/2006/relationships/hyperlink" Target="mailto:L3harris@nc3.com" TargetMode="External"/><Relationship Id="rId166" Type="http://schemas.openxmlformats.org/officeDocument/2006/relationships/hyperlink" Target="mailto:paisleyzimmerman@yahoo.com" TargetMode="External"/><Relationship Id="rId287" Type="http://schemas.openxmlformats.org/officeDocument/2006/relationships/hyperlink" Target="mailto:contact@ktcivil.com" TargetMode="External"/><Relationship Id="rId161" Type="http://schemas.openxmlformats.org/officeDocument/2006/relationships/hyperlink" Target="mailto:izzie.pagano@epsilon.com" TargetMode="External"/><Relationship Id="rId282" Type="http://schemas.openxmlformats.org/officeDocument/2006/relationships/hyperlink" Target="mailto:haley.buesing@trustke.com" TargetMode="External"/><Relationship Id="rId160" Type="http://schemas.openxmlformats.org/officeDocument/2006/relationships/hyperlink" Target="mailto:marisa.hettinger@epiroc.com" TargetMode="External"/><Relationship Id="rId281" Type="http://schemas.openxmlformats.org/officeDocument/2006/relationships/hyperlink" Target="mailto:joellen.beedon@kinectrics.com" TargetMode="External"/><Relationship Id="rId280" Type="http://schemas.openxmlformats.org/officeDocument/2006/relationships/hyperlink" Target="mailto:jessica_raymond@Kindermorgan.com" TargetMode="External"/><Relationship Id="rId159" Type="http://schemas.openxmlformats.org/officeDocument/2006/relationships/hyperlink" Target="mailto:profiles@epic.com" TargetMode="External"/><Relationship Id="rId154" Type="http://schemas.openxmlformats.org/officeDocument/2006/relationships/hyperlink" Target="mailto:universityprograms@ecslimited.com" TargetMode="External"/><Relationship Id="rId275" Type="http://schemas.openxmlformats.org/officeDocument/2006/relationships/hyperlink" Target="mailto:egorman@keystoneengr.com" TargetMode="External"/><Relationship Id="rId396" Type="http://schemas.openxmlformats.org/officeDocument/2006/relationships/hyperlink" Target="mailto:judy@rlkengineering.com" TargetMode="External"/><Relationship Id="rId153" Type="http://schemas.openxmlformats.org/officeDocument/2006/relationships/hyperlink" Target="mailto:jeannette.troup@energytransfer.com" TargetMode="External"/><Relationship Id="rId274" Type="http://schemas.openxmlformats.org/officeDocument/2006/relationships/hyperlink" Target="mailto:kourtnie@stewarthg.com" TargetMode="External"/><Relationship Id="rId395" Type="http://schemas.openxmlformats.org/officeDocument/2006/relationships/hyperlink" Target="mailto:stahir@rimkus.com" TargetMode="External"/><Relationship Id="rId152" Type="http://schemas.openxmlformats.org/officeDocument/2006/relationships/hyperlink" Target="mailto:khenderson@enerflex.com" TargetMode="External"/><Relationship Id="rId273" Type="http://schemas.openxmlformats.org/officeDocument/2006/relationships/hyperlink" Target="mailto:lauren.deloach@kdrp.com" TargetMode="External"/><Relationship Id="rId394" Type="http://schemas.openxmlformats.org/officeDocument/2006/relationships/hyperlink" Target="mailto:lauren.kraichely@rheem.com" TargetMode="External"/><Relationship Id="rId151" Type="http://schemas.openxmlformats.org/officeDocument/2006/relationships/hyperlink" Target="mailto:mcooney@enercon.com" TargetMode="External"/><Relationship Id="rId272" Type="http://schemas.openxmlformats.org/officeDocument/2006/relationships/hyperlink" Target="mailto:haley.boyle@ketjen.com" TargetMode="External"/><Relationship Id="rId393" Type="http://schemas.openxmlformats.org/officeDocument/2006/relationships/hyperlink" Target="mailto:tyler@republiceds.com" TargetMode="External"/><Relationship Id="rId158" Type="http://schemas.openxmlformats.org/officeDocument/2006/relationships/hyperlink" Target="mailto:jbarrowdemaris@eprod.com" TargetMode="External"/><Relationship Id="rId279" Type="http://schemas.openxmlformats.org/officeDocument/2006/relationships/hyperlink" Target="mailto:katelyn.zuberbueler@kimley-horn.com" TargetMode="External"/><Relationship Id="rId157" Type="http://schemas.openxmlformats.org/officeDocument/2006/relationships/hyperlink" Target="mailto:lhende9@entergy.com" TargetMode="External"/><Relationship Id="rId278" Type="http://schemas.openxmlformats.org/officeDocument/2006/relationships/hyperlink" Target="mailto:mckenzie.markwood@kcc.com" TargetMode="External"/><Relationship Id="rId399" Type="http://schemas.openxmlformats.org/officeDocument/2006/relationships/hyperlink" Target="mailto:jwilkins@rosen-group.com" TargetMode="External"/><Relationship Id="rId156" Type="http://schemas.openxmlformats.org/officeDocument/2006/relationships/hyperlink" Target="mailto:mclane.wood@entegris.com" TargetMode="External"/><Relationship Id="rId277" Type="http://schemas.openxmlformats.org/officeDocument/2006/relationships/hyperlink" Target="mailto:recruitingsupport@kiewit.com" TargetMode="External"/><Relationship Id="rId398" Type="http://schemas.openxmlformats.org/officeDocument/2006/relationships/hyperlink" Target="mailto:kim.cardoso@rocrich.com" TargetMode="External"/><Relationship Id="rId155" Type="http://schemas.openxmlformats.org/officeDocument/2006/relationships/hyperlink" Target="mailto:lromer@entact.com" TargetMode="External"/><Relationship Id="rId276" Type="http://schemas.openxmlformats.org/officeDocument/2006/relationships/hyperlink" Target="mailto:shilo@kfm-llc.com" TargetMode="External"/><Relationship Id="rId397" Type="http://schemas.openxmlformats.org/officeDocument/2006/relationships/hyperlink" Target="mailto:rockwellautomation@nc3.com" TargetMode="External"/><Relationship Id="rId40" Type="http://schemas.openxmlformats.org/officeDocument/2006/relationships/hyperlink" Target="mailto:snelso1@ascendmaterials.com" TargetMode="External"/><Relationship Id="rId42" Type="http://schemas.openxmlformats.org/officeDocument/2006/relationships/hyperlink" Target="mailto:lherzog@atlas.energy" TargetMode="External"/><Relationship Id="rId41" Type="http://schemas.openxmlformats.org/officeDocument/2006/relationships/hyperlink" Target="mailto:Veronica.Bernal@atkinsrealis.com" TargetMode="External"/><Relationship Id="rId44" Type="http://schemas.openxmlformats.org/officeDocument/2006/relationships/hyperlink" Target="mailto:khenry@atsdrilling.com" TargetMode="External"/><Relationship Id="rId43" Type="http://schemas.openxmlformats.org/officeDocument/2006/relationships/hyperlink" Target="mailto:brian.nelson@atmosenergy.com" TargetMode="External"/><Relationship Id="rId46" Type="http://schemas.openxmlformats.org/officeDocument/2006/relationships/hyperlink" Target="mailto:kschnadelbach@auduboncompanies.com" TargetMode="External"/><Relationship Id="rId45" Type="http://schemas.openxmlformats.org/officeDocument/2006/relationships/hyperlink" Target="mailto:sduwenhoegger@atwell.com" TargetMode="External"/><Relationship Id="rId509" Type="http://schemas.openxmlformats.org/officeDocument/2006/relationships/hyperlink" Target="mailto:karen.carr@weatherford.com" TargetMode="External"/><Relationship Id="rId508" Type="http://schemas.openxmlformats.org/officeDocument/2006/relationships/hyperlink" Target="mailto:Chris.Garrett@walmart.com" TargetMode="External"/><Relationship Id="rId503" Type="http://schemas.openxmlformats.org/officeDocument/2006/relationships/hyperlink" Target="mailto:mike_beem@vex.com" TargetMode="External"/><Relationship Id="rId502" Type="http://schemas.openxmlformats.org/officeDocument/2006/relationships/hyperlink" Target="mailto:verizon@nc3.com" TargetMode="External"/><Relationship Id="rId501" Type="http://schemas.openxmlformats.org/officeDocument/2006/relationships/hyperlink" Target="mailto:awood@venturegloballng.com" TargetMode="External"/><Relationship Id="rId500" Type="http://schemas.openxmlformats.org/officeDocument/2006/relationships/hyperlink" Target="mailto:dhruvil@ventiairproducts.com" TargetMode="External"/><Relationship Id="rId507" Type="http://schemas.openxmlformats.org/officeDocument/2006/relationships/hyperlink" Target="mailto:cmuska@walkerpartners.com" TargetMode="External"/><Relationship Id="rId506" Type="http://schemas.openxmlformats.org/officeDocument/2006/relationships/hyperlink" Target="mailto:cross@wadetrim.com" TargetMode="External"/><Relationship Id="rId505" Type="http://schemas.openxmlformats.org/officeDocument/2006/relationships/hyperlink" Target="mailto:lauren.metz-contractor@viridiengroup.com" TargetMode="External"/><Relationship Id="rId504" Type="http://schemas.openxmlformats.org/officeDocument/2006/relationships/hyperlink" Target="mailto:jeanette.hyde@vpcco.com" TargetMode="External"/><Relationship Id="rId48" Type="http://schemas.openxmlformats.org/officeDocument/2006/relationships/hyperlink" Target="mailto:thannya.castro@axispipeandtube.com" TargetMode="External"/><Relationship Id="rId47" Type="http://schemas.openxmlformats.org/officeDocument/2006/relationships/hyperlink" Target="mailto:jesusflores@austin-ind.com" TargetMode="External"/><Relationship Id="rId49" Type="http://schemas.openxmlformats.org/officeDocument/2006/relationships/hyperlink" Target="mailto:edward.merida@okfoods.com" TargetMode="External"/><Relationship Id="rId31" Type="http://schemas.openxmlformats.org/officeDocument/2006/relationships/hyperlink" Target="mailto:accounting@appliedclimate.com" TargetMode="External"/><Relationship Id="rId30" Type="http://schemas.openxmlformats.org/officeDocument/2006/relationships/hyperlink" Target="mailto:eva.lee@andersencorp.com" TargetMode="External"/><Relationship Id="rId33" Type="http://schemas.openxmlformats.org/officeDocument/2006/relationships/hyperlink" Target="mailto:bbecerra@ara.com" TargetMode="External"/><Relationship Id="rId32" Type="http://schemas.openxmlformats.org/officeDocument/2006/relationships/hyperlink" Target="mailto:jalys_caro@amat.com" TargetMode="External"/><Relationship Id="rId35" Type="http://schemas.openxmlformats.org/officeDocument/2006/relationships/hyperlink" Target="mailto:ronald.avalos@aramcoamericas.com" TargetMode="External"/><Relationship Id="rId34" Type="http://schemas.openxmlformats.org/officeDocument/2006/relationships/hyperlink" Target="mailto:recruiting@arlut.utexas.edu" TargetMode="External"/><Relationship Id="rId37" Type="http://schemas.openxmlformats.org/officeDocument/2006/relationships/hyperlink" Target="mailto:kdillon@anl.gov" TargetMode="External"/><Relationship Id="rId36" Type="http://schemas.openxmlformats.org/officeDocument/2006/relationships/hyperlink" Target="mailto:mmeade@arcomurray.com" TargetMode="External"/><Relationship Id="rId39" Type="http://schemas.openxmlformats.org/officeDocument/2006/relationships/hyperlink" Target="mailto:imadgeorges.badran@arm.com" TargetMode="External"/><Relationship Id="rId38" Type="http://schemas.openxmlformats.org/officeDocument/2006/relationships/hyperlink" Target="mailto:jobs@arionblue.com" TargetMode="External"/><Relationship Id="rId20" Type="http://schemas.openxmlformats.org/officeDocument/2006/relationships/hyperlink" Target="mailto:dameon.middleton@alfalaval.com" TargetMode="External"/><Relationship Id="rId22" Type="http://schemas.openxmlformats.org/officeDocument/2006/relationships/hyperlink" Target="mailto:joanne.delapaz@alliantgroup.com" TargetMode="External"/><Relationship Id="rId21" Type="http://schemas.openxmlformats.org/officeDocument/2006/relationships/hyperlink" Target="mailto:azenofsky@allegromicro.com" TargetMode="External"/><Relationship Id="rId24" Type="http://schemas.openxmlformats.org/officeDocument/2006/relationships/hyperlink" Target="mailto:jhoag@arcomurray.com" TargetMode="External"/><Relationship Id="rId23" Type="http://schemas.openxmlformats.org/officeDocument/2006/relationships/hyperlink" Target="mailto:lexis.bort@altamira-us.com" TargetMode="External"/><Relationship Id="rId409" Type="http://schemas.openxmlformats.org/officeDocument/2006/relationships/hyperlink" Target="mailto:recruit.univ@samsung.com" TargetMode="External"/><Relationship Id="rId404" Type="http://schemas.openxmlformats.org/officeDocument/2006/relationships/hyperlink" Target="mailto:alice.huang@rystadenergy.com" TargetMode="External"/><Relationship Id="rId525" Type="http://schemas.openxmlformats.org/officeDocument/2006/relationships/hyperlink" Target="mailto:rschrock@wylieeng.com" TargetMode="External"/><Relationship Id="rId403" Type="http://schemas.openxmlformats.org/officeDocument/2006/relationships/hyperlink" Target="mailto:rtx@nc3.com" TargetMode="External"/><Relationship Id="rId524" Type="http://schemas.openxmlformats.org/officeDocument/2006/relationships/hyperlink" Target="mailto:milan.sood@wsp.com" TargetMode="External"/><Relationship Id="rId402" Type="http://schemas.openxmlformats.org/officeDocument/2006/relationships/hyperlink" Target="mailto:tkeeney@rptalliance.com" TargetMode="External"/><Relationship Id="rId523" Type="http://schemas.openxmlformats.org/officeDocument/2006/relationships/hyperlink" Target="mailto:kbowie@wrallp.com" TargetMode="External"/><Relationship Id="rId401" Type="http://schemas.openxmlformats.org/officeDocument/2006/relationships/hyperlink" Target="mailto:careers@rovisys.com" TargetMode="External"/><Relationship Id="rId522" Type="http://schemas.openxmlformats.org/officeDocument/2006/relationships/hyperlink" Target="mailto:erin.niebylski@worley.com" TargetMode="External"/><Relationship Id="rId408" Type="http://schemas.openxmlformats.org/officeDocument/2006/relationships/hyperlink" Target="mailto:jennifer.lowery@samsongroup.com" TargetMode="External"/><Relationship Id="rId529" Type="http://schemas.openxmlformats.org/officeDocument/2006/relationships/drawing" Target="../drawings/drawing4.xml"/><Relationship Id="rId407" Type="http://schemas.openxmlformats.org/officeDocument/2006/relationships/hyperlink" Target="mailto:alexis.barber@srpnet.com" TargetMode="External"/><Relationship Id="rId528" Type="http://schemas.openxmlformats.org/officeDocument/2006/relationships/hyperlink" Target="mailto:michelle.moore@zachrycorp.com" TargetMode="External"/><Relationship Id="rId406" Type="http://schemas.openxmlformats.org/officeDocument/2006/relationships/hyperlink" Target="mailto:cynthia.escamilla@saberpower.com" TargetMode="External"/><Relationship Id="rId527" Type="http://schemas.openxmlformats.org/officeDocument/2006/relationships/hyperlink" Target="mailto:keith@yalgoengineering.com" TargetMode="External"/><Relationship Id="rId405" Type="http://schemas.openxmlformats.org/officeDocument/2006/relationships/hyperlink" Target="mailto:sdburns@sbec.com" TargetMode="External"/><Relationship Id="rId526" Type="http://schemas.openxmlformats.org/officeDocument/2006/relationships/hyperlink" Target="mailto:yminayar@x-energy.com" TargetMode="External"/><Relationship Id="rId26" Type="http://schemas.openxmlformats.org/officeDocument/2006/relationships/hyperlink" Target="mailto:matthew.mack@aa.com" TargetMode="External"/><Relationship Id="rId25" Type="http://schemas.openxmlformats.org/officeDocument/2006/relationships/hyperlink" Target="mailto:heather.hancock@us.amentum.com" TargetMode="External"/><Relationship Id="rId28" Type="http://schemas.openxmlformats.org/officeDocument/2006/relationships/hyperlink" Target="mailto:hgardner@aep.com" TargetMode="External"/><Relationship Id="rId27" Type="http://schemas.openxmlformats.org/officeDocument/2006/relationships/hyperlink" Target="mailto:aherron@american-usa.com" TargetMode="External"/><Relationship Id="rId400" Type="http://schemas.openxmlformats.org/officeDocument/2006/relationships/hyperlink" Target="mailto:aortiz@rosendin.com" TargetMode="External"/><Relationship Id="rId521" Type="http://schemas.openxmlformats.org/officeDocument/2006/relationships/hyperlink" Target="mailto:kaley.braunling@woolpert.com" TargetMode="External"/><Relationship Id="rId29" Type="http://schemas.openxmlformats.org/officeDocument/2006/relationships/hyperlink" Target="mailto:jessica.utreras@amrize.com" TargetMode="External"/><Relationship Id="rId520" Type="http://schemas.openxmlformats.org/officeDocument/2006/relationships/hyperlink" Target="mailto:nishaw@wcec.org" TargetMode="External"/><Relationship Id="rId11" Type="http://schemas.openxmlformats.org/officeDocument/2006/relationships/hyperlink" Target="mailto:caallen@eagle.org" TargetMode="External"/><Relationship Id="rId10" Type="http://schemas.openxmlformats.org/officeDocument/2006/relationships/hyperlink" Target="mailto:lauren.cotnoir@abbvie.com" TargetMode="External"/><Relationship Id="rId13" Type="http://schemas.openxmlformats.org/officeDocument/2006/relationships/hyperlink" Target="mailto:carrie.smith@acethermalsystems.com" TargetMode="External"/><Relationship Id="rId12" Type="http://schemas.openxmlformats.org/officeDocument/2006/relationships/hyperlink" Target="mailto:grace.brown@accuracy.com" TargetMode="External"/><Relationship Id="rId519" Type="http://schemas.openxmlformats.org/officeDocument/2006/relationships/hyperlink" Target="mailto:TAMI.KOSTERS@WOODPLC.COM" TargetMode="External"/><Relationship Id="rId514" Type="http://schemas.openxmlformats.org/officeDocument/2006/relationships/hyperlink" Target="mailto:scolletta@westlake.com" TargetMode="External"/><Relationship Id="rId513" Type="http://schemas.openxmlformats.org/officeDocument/2006/relationships/hyperlink" Target="mailto:keti.spirovski@westinghouse.com" TargetMode="External"/><Relationship Id="rId512" Type="http://schemas.openxmlformats.org/officeDocument/2006/relationships/hyperlink" Target="mailto:esin@wwebber.com" TargetMode="External"/><Relationship Id="rId511" Type="http://schemas.openxmlformats.org/officeDocument/2006/relationships/hyperlink" Target="mailto:cmichael@wcgrp.com" TargetMode="External"/><Relationship Id="rId518" Type="http://schemas.openxmlformats.org/officeDocument/2006/relationships/hyperlink" Target="mailto:shammond@wettllc.com" TargetMode="External"/><Relationship Id="rId517" Type="http://schemas.openxmlformats.org/officeDocument/2006/relationships/hyperlink" Target="mailto:kimberly.sinegal@whcenergyservices.com" TargetMode="External"/><Relationship Id="rId516" Type="http://schemas.openxmlformats.org/officeDocument/2006/relationships/hyperlink" Target="mailto:lpicard@wga-llp.com" TargetMode="External"/><Relationship Id="rId515" Type="http://schemas.openxmlformats.org/officeDocument/2006/relationships/hyperlink" Target="mailto:careers@westwoodps.com" TargetMode="External"/><Relationship Id="rId15" Type="http://schemas.openxmlformats.org/officeDocument/2006/relationships/hyperlink" Target="mailto:oncampus@aeieng.com" TargetMode="External"/><Relationship Id="rId14" Type="http://schemas.openxmlformats.org/officeDocument/2006/relationships/hyperlink" Target="mailto:tammie.letroise-brown@aegisaero.com" TargetMode="External"/><Relationship Id="rId17" Type="http://schemas.openxmlformats.org/officeDocument/2006/relationships/hyperlink" Target="mailto:nia.lewis@albemarle.com" TargetMode="External"/><Relationship Id="rId16" Type="http://schemas.openxmlformats.org/officeDocument/2006/relationships/hyperlink" Target="mailto:airliquide@nc3.com" TargetMode="External"/><Relationship Id="rId19" Type="http://schemas.openxmlformats.org/officeDocument/2006/relationships/hyperlink" Target="mailto:abbey.brewer@alcon.com" TargetMode="External"/><Relationship Id="rId510" Type="http://schemas.openxmlformats.org/officeDocument/2006/relationships/hyperlink" Target="mailto:Sarah.Meinhold@Weaver.com" TargetMode="External"/><Relationship Id="rId18" Type="http://schemas.openxmlformats.org/officeDocument/2006/relationships/hyperlink" Target="mailto:jjulian@albers.aero" TargetMode="External"/><Relationship Id="rId84" Type="http://schemas.openxmlformats.org/officeDocument/2006/relationships/hyperlink" Target="mailto:jstevenson@ctumeylawgroup.com" TargetMode="External"/><Relationship Id="rId83" Type="http://schemas.openxmlformats.org/officeDocument/2006/relationships/hyperlink" Target="mailto:angela.berman@bwdesigngroup.com" TargetMode="External"/><Relationship Id="rId86" Type="http://schemas.openxmlformats.org/officeDocument/2006/relationships/hyperlink" Target="mailto:hrrecruitment@calpine.com" TargetMode="External"/><Relationship Id="rId85" Type="http://schemas.openxmlformats.org/officeDocument/2006/relationships/hyperlink" Target="mailto:daniel.erdberg@caci.com" TargetMode="External"/><Relationship Id="rId88" Type="http://schemas.openxmlformats.org/officeDocument/2006/relationships/hyperlink" Target="mailto:kelley.rice@capco.com" TargetMode="External"/><Relationship Id="rId87" Type="http://schemas.openxmlformats.org/officeDocument/2006/relationships/hyperlink" Target="mailto:tburns@camintegrated.com" TargetMode="External"/><Relationship Id="rId89" Type="http://schemas.openxmlformats.org/officeDocument/2006/relationships/hyperlink" Target="mailto:emily.batchelder@capitalone.com" TargetMode="External"/><Relationship Id="rId80" Type="http://schemas.openxmlformats.org/officeDocument/2006/relationships/hyperlink" Target="mailto:svaid@burnsmcd.com" TargetMode="External"/><Relationship Id="rId82" Type="http://schemas.openxmlformats.org/officeDocument/2006/relationships/hyperlink" Target="mailto:sarivera@tamu.edu" TargetMode="External"/><Relationship Id="rId81" Type="http://schemas.openxmlformats.org/officeDocument/2006/relationships/hyperlink" Target="mailto:jscott@burns-group.com" TargetMode="External"/><Relationship Id="rId73" Type="http://schemas.openxmlformats.org/officeDocument/2006/relationships/hyperlink" Target="mailto:rescalera@brocksolutions.com" TargetMode="External"/><Relationship Id="rId72" Type="http://schemas.openxmlformats.org/officeDocument/2006/relationships/hyperlink" Target="mailto:busa.recruiting@bray.com" TargetMode="External"/><Relationship Id="rId75" Type="http://schemas.openxmlformats.org/officeDocument/2006/relationships/hyperlink" Target="mailto:jvillarreal@brownsville-pub.com" TargetMode="External"/><Relationship Id="rId74" Type="http://schemas.openxmlformats.org/officeDocument/2006/relationships/hyperlink" Target="mailto:deandre.fahie@bachamber.com" TargetMode="External"/><Relationship Id="rId77" Type="http://schemas.openxmlformats.org/officeDocument/2006/relationships/hyperlink" Target="mailto:cshauger@geoneering.com" TargetMode="External"/><Relationship Id="rId76" Type="http://schemas.openxmlformats.org/officeDocument/2006/relationships/hyperlink" Target="mailto:careers@bre.com" TargetMode="External"/><Relationship Id="rId79" Type="http://schemas.openxmlformats.org/officeDocument/2006/relationships/hyperlink" Target="mailto:receptionist@buildingcrafts.com" TargetMode="External"/><Relationship Id="rId78" Type="http://schemas.openxmlformats.org/officeDocument/2006/relationships/hyperlink" Target="mailto:krphillips@buckeye.com" TargetMode="External"/><Relationship Id="rId71" Type="http://schemas.openxmlformats.org/officeDocument/2006/relationships/hyperlink" Target="mailto:nancy.cohen@bp.com" TargetMode="External"/><Relationship Id="rId70" Type="http://schemas.openxmlformats.org/officeDocument/2006/relationships/hyperlink" Target="mailto:casandra.catache@bowman.com" TargetMode="External"/><Relationship Id="rId62" Type="http://schemas.openxmlformats.org/officeDocument/2006/relationships/hyperlink" Target="mailto:recruiting@bgeinc.com" TargetMode="External"/><Relationship Id="rId61" Type="http://schemas.openxmlformats.org/officeDocument/2006/relationships/hyperlink" Target="mailto:jennifer.johnson@bernhard.com" TargetMode="External"/><Relationship Id="rId64" Type="http://schemas.openxmlformats.org/officeDocument/2006/relationships/hyperlink" Target="mailto:valentina.sanchez@bitkernel.com" TargetMode="External"/><Relationship Id="rId63" Type="http://schemas.openxmlformats.org/officeDocument/2006/relationships/hyperlink" Target="mailto:jackie.spinosa@grupobimbo.com" TargetMode="External"/><Relationship Id="rId66" Type="http://schemas.openxmlformats.org/officeDocument/2006/relationships/hyperlink" Target="mailto:TalentAcquisition@bnsf.com" TargetMode="External"/><Relationship Id="rId65" Type="http://schemas.openxmlformats.org/officeDocument/2006/relationships/hyperlink" Target="mailto:hoganmc@bv.com" TargetMode="External"/><Relationship Id="rId68" Type="http://schemas.openxmlformats.org/officeDocument/2006/relationships/hyperlink" Target="mailto:marcie.vargas@bodycote.com" TargetMode="External"/><Relationship Id="rId67" Type="http://schemas.openxmlformats.org/officeDocument/2006/relationships/hyperlink" Target="mailto:dorie.york@bwpipelines.com" TargetMode="External"/><Relationship Id="rId60" Type="http://schemas.openxmlformats.org/officeDocument/2006/relationships/hyperlink" Target="mailto:talentacquisition@benesch.com" TargetMode="External"/><Relationship Id="rId69" Type="http://schemas.openxmlformats.org/officeDocument/2006/relationships/hyperlink" Target="mailto:nick@bo-engineering.com" TargetMode="External"/><Relationship Id="rId51" Type="http://schemas.openxmlformats.org/officeDocument/2006/relationships/hyperlink" Target="mailto:Recruiting@bakerrisk.com" TargetMode="External"/><Relationship Id="rId50" Type="http://schemas.openxmlformats.org/officeDocument/2006/relationships/hyperlink" Target="mailto:careers@bhbinc.com" TargetMode="External"/><Relationship Id="rId53" Type="http://schemas.openxmlformats.org/officeDocument/2006/relationships/hyperlink" Target="mailto:kquinonesmixon@barnhartcrane.com" TargetMode="External"/><Relationship Id="rId52" Type="http://schemas.openxmlformats.org/officeDocument/2006/relationships/hyperlink" Target="mailto:ilham.farehan@bakerhughes.com" TargetMode="External"/><Relationship Id="rId55" Type="http://schemas.openxmlformats.org/officeDocument/2006/relationships/hyperlink" Target="mailto:eugene.houghton@bauerfoundations.com" TargetMode="External"/><Relationship Id="rId54" Type="http://schemas.openxmlformats.org/officeDocument/2006/relationships/hyperlink" Target="mailto:naidely.alvarez@basf.com" TargetMode="External"/><Relationship Id="rId57" Type="http://schemas.openxmlformats.org/officeDocument/2006/relationships/hyperlink" Target="mailto:bayer@nc3.com" TargetMode="External"/><Relationship Id="rId56" Type="http://schemas.openxmlformats.org/officeDocument/2006/relationships/hyperlink" Target="mailto:cmedina@baxterwoodman.com" TargetMode="External"/><Relationship Id="rId59" Type="http://schemas.openxmlformats.org/officeDocument/2006/relationships/hyperlink" Target="mailto:p.zurlinden@beckhoff.com" TargetMode="External"/><Relationship Id="rId58" Type="http://schemas.openxmlformats.org/officeDocument/2006/relationships/hyperlink" Target="mailto:christina.martinez@baystar.com" TargetMode="External"/><Relationship Id="rId107" Type="http://schemas.openxmlformats.org/officeDocument/2006/relationships/hyperlink" Target="mailto:nwrazen@cecinc.com" TargetMode="External"/><Relationship Id="rId228" Type="http://schemas.openxmlformats.org/officeDocument/2006/relationships/hyperlink" Target="mailto:asanchez@hess.com" TargetMode="External"/><Relationship Id="rId349" Type="http://schemas.openxmlformats.org/officeDocument/2006/relationships/hyperlink" Target="mailto:jmoore@ntnusa.com" TargetMode="External"/><Relationship Id="rId106" Type="http://schemas.openxmlformats.org/officeDocument/2006/relationships/hyperlink" Target="mailto:ewipper@citgo.com" TargetMode="External"/><Relationship Id="rId227" Type="http://schemas.openxmlformats.org/officeDocument/2006/relationships/hyperlink" Target="mailto:carter.olson@hendersonengineers.com" TargetMode="External"/><Relationship Id="rId348" Type="http://schemas.openxmlformats.org/officeDocument/2006/relationships/hyperlink" Target="mailto:earlycareers@nrg.com" TargetMode="External"/><Relationship Id="rId469" Type="http://schemas.openxmlformats.org/officeDocument/2006/relationships/hyperlink" Target="mailto:ritz@tamu.edu" TargetMode="External"/><Relationship Id="rId105" Type="http://schemas.openxmlformats.org/officeDocument/2006/relationships/hyperlink" Target="mailto:butlej@cpchem.com" TargetMode="External"/><Relationship Id="rId226" Type="http://schemas.openxmlformats.org/officeDocument/2006/relationships/hyperlink" Target="mailto:hannah.holloway@heidelbergmaterials.com" TargetMode="External"/><Relationship Id="rId347" Type="http://schemas.openxmlformats.org/officeDocument/2006/relationships/hyperlink" Target="mailto:lidia.chach@nov.com" TargetMode="External"/><Relationship Id="rId468" Type="http://schemas.openxmlformats.org/officeDocument/2006/relationships/hyperlink" Target="mailto:ceretzer@tamu.edu" TargetMode="External"/><Relationship Id="rId104" Type="http://schemas.openxmlformats.org/officeDocument/2006/relationships/hyperlink" Target="mailto:ehevents@chevron.com" TargetMode="External"/><Relationship Id="rId225" Type="http://schemas.openxmlformats.org/officeDocument/2006/relationships/hyperlink" Target="mailto:npersyn@htstx.com" TargetMode="External"/><Relationship Id="rId346" Type="http://schemas.openxmlformats.org/officeDocument/2006/relationships/hyperlink" Target="mailto:kendall.headley@nouryon.com" TargetMode="External"/><Relationship Id="rId467" Type="http://schemas.openxmlformats.org/officeDocument/2006/relationships/hyperlink" Target="mailto:dharrison@terrestrialenergy.com" TargetMode="External"/><Relationship Id="rId109" Type="http://schemas.openxmlformats.org/officeDocument/2006/relationships/hyperlink" Target="mailto:ur@cmta.com" TargetMode="External"/><Relationship Id="rId108" Type="http://schemas.openxmlformats.org/officeDocument/2006/relationships/hyperlink" Target="mailto:emendakis@clsind.com" TargetMode="External"/><Relationship Id="rId229" Type="http://schemas.openxmlformats.org/officeDocument/2006/relationships/hyperlink" Target="mailto:hpe@nc3.com" TargetMode="External"/><Relationship Id="rId220" Type="http://schemas.openxmlformats.org/officeDocument/2006/relationships/hyperlink" Target="mailto:CampusNorthAmerica@hatch.com" TargetMode="External"/><Relationship Id="rId341" Type="http://schemas.openxmlformats.org/officeDocument/2006/relationships/hyperlink" Target="mailto:chamar.mcdonald@neel-schaffer.com" TargetMode="External"/><Relationship Id="rId462" Type="http://schemas.openxmlformats.org/officeDocument/2006/relationships/hyperlink" Target="mailto:jovalle@teliospc.com" TargetMode="External"/><Relationship Id="rId340" Type="http://schemas.openxmlformats.org/officeDocument/2006/relationships/hyperlink" Target="mailto:mccaleigh.harris@ncratleos.com" TargetMode="External"/><Relationship Id="rId461" Type="http://schemas.openxmlformats.org/officeDocument/2006/relationships/hyperlink" Target="mailto:tiffany.reyna@technipfmc.com" TargetMode="External"/><Relationship Id="rId460" Type="http://schemas.openxmlformats.org/officeDocument/2006/relationships/hyperlink" Target="mailto:rachael.hamer@technipenergies.com" TargetMode="External"/><Relationship Id="rId103" Type="http://schemas.openxmlformats.org/officeDocument/2006/relationships/hyperlink" Target="mailto:najwa.corum@chemours.com" TargetMode="External"/><Relationship Id="rId224" Type="http://schemas.openxmlformats.org/officeDocument/2006/relationships/hyperlink" Target="mailto:thomas.mendez@hdrinc.com" TargetMode="External"/><Relationship Id="rId345" Type="http://schemas.openxmlformats.org/officeDocument/2006/relationships/hyperlink" Target="mailto:campus@gresearch.co.uk" TargetMode="External"/><Relationship Id="rId466" Type="http://schemas.openxmlformats.org/officeDocument/2006/relationships/hyperlink" Target="mailto:theresa.bridges@terracon.com" TargetMode="External"/><Relationship Id="rId102" Type="http://schemas.openxmlformats.org/officeDocument/2006/relationships/hyperlink" Target="mailto:hannah.coleman@hudsonproducts.com" TargetMode="External"/><Relationship Id="rId223" Type="http://schemas.openxmlformats.org/officeDocument/2006/relationships/hyperlink" Target="mailto:hannah@hdlpower.com" TargetMode="External"/><Relationship Id="rId344" Type="http://schemas.openxmlformats.org/officeDocument/2006/relationships/hyperlink" Target="mailto:NNSY_Engineer_Recruiting@navy.mil" TargetMode="External"/><Relationship Id="rId465" Type="http://schemas.openxmlformats.org/officeDocument/2006/relationships/hyperlink" Target="mailto:taekim@tenstorrent.com" TargetMode="External"/><Relationship Id="rId101" Type="http://schemas.openxmlformats.org/officeDocument/2006/relationships/hyperlink" Target="mailto:laurie.firmin@champtechnology.com" TargetMode="External"/><Relationship Id="rId222" Type="http://schemas.openxmlformats.org/officeDocument/2006/relationships/hyperlink" Target="mailto:amber.williams@hayselectrical.com" TargetMode="External"/><Relationship Id="rId343" Type="http://schemas.openxmlformats.org/officeDocument/2006/relationships/hyperlink" Target="mailto:leah.cabusao@nikkisoceig.com" TargetMode="External"/><Relationship Id="rId464" Type="http://schemas.openxmlformats.org/officeDocument/2006/relationships/hyperlink" Target="http://tenstorrent.com/" TargetMode="External"/><Relationship Id="rId100" Type="http://schemas.openxmlformats.org/officeDocument/2006/relationships/hyperlink" Target="mailto:hvanderpool@cerris.com" TargetMode="External"/><Relationship Id="rId221" Type="http://schemas.openxmlformats.org/officeDocument/2006/relationships/hyperlink" Target="mailto:allison.cohn@haynesboone.com" TargetMode="External"/><Relationship Id="rId342" Type="http://schemas.openxmlformats.org/officeDocument/2006/relationships/hyperlink" Target="mailto:christine.mercier@fpl.com" TargetMode="External"/><Relationship Id="rId463" Type="http://schemas.openxmlformats.org/officeDocument/2006/relationships/hyperlink" Target="mailto:cbalmoridelamiyar@tenaris.com" TargetMode="External"/><Relationship Id="rId217" Type="http://schemas.openxmlformats.org/officeDocument/2006/relationships/hyperlink" Target="mailto:shirschvogel@hanson-inc.com" TargetMode="External"/><Relationship Id="rId338" Type="http://schemas.openxmlformats.org/officeDocument/2006/relationships/hyperlink" Target="mailto:Kaley.metz@caci.com" TargetMode="External"/><Relationship Id="rId459" Type="http://schemas.openxmlformats.org/officeDocument/2006/relationships/hyperlink" Target="mailto:student_programs@tcenergy.com" TargetMode="External"/><Relationship Id="rId216" Type="http://schemas.openxmlformats.org/officeDocument/2006/relationships/hyperlink" Target="mailto:Michelle.Acedera@halliburton.com" TargetMode="External"/><Relationship Id="rId337" Type="http://schemas.openxmlformats.org/officeDocument/2006/relationships/hyperlink" Target="mailto:kourtnee.phillips@nabors.com" TargetMode="External"/><Relationship Id="rId458" Type="http://schemas.openxmlformats.org/officeDocument/2006/relationships/hyperlink" Target="mailto:campusrecruiting@targaresources.com" TargetMode="External"/><Relationship Id="rId215" Type="http://schemas.openxmlformats.org/officeDocument/2006/relationships/hyperlink" Target="mailto:denise.mitchell@halff.com" TargetMode="External"/><Relationship Id="rId336" Type="http://schemas.openxmlformats.org/officeDocument/2006/relationships/hyperlink" Target="mailto:jessica.brown@nabors.com" TargetMode="External"/><Relationship Id="rId457" Type="http://schemas.openxmlformats.org/officeDocument/2006/relationships/hyperlink" Target="mailto:bella.ayala@tanium.com" TargetMode="External"/><Relationship Id="rId214" Type="http://schemas.openxmlformats.org/officeDocument/2006/relationships/hyperlink" Target="mailto:collegerecruiting@heb.com" TargetMode="External"/><Relationship Id="rId335" Type="http://schemas.openxmlformats.org/officeDocument/2006/relationships/hyperlink" Target="mailto:kari.hinojos@mrbgroup.com" TargetMode="External"/><Relationship Id="rId456" Type="http://schemas.openxmlformats.org/officeDocument/2006/relationships/hyperlink" Target="mailto:ellie.shahmoradi@talosenergy.com" TargetMode="External"/><Relationship Id="rId219" Type="http://schemas.openxmlformats.org/officeDocument/2006/relationships/hyperlink" Target="mailto:deidre.brearley@haskell.com" TargetMode="External"/><Relationship Id="rId218" Type="http://schemas.openxmlformats.org/officeDocument/2006/relationships/hyperlink" Target="mailto:sara.daredia@harvestmidstream.com" TargetMode="External"/><Relationship Id="rId339" Type="http://schemas.openxmlformats.org/officeDocument/2006/relationships/hyperlink" Target="mailto:russell.mendoza@unnpp.gov" TargetMode="External"/><Relationship Id="rId330" Type="http://schemas.openxmlformats.org/officeDocument/2006/relationships/hyperlink" Target="mailto:dlarson@mmatexas.com" TargetMode="External"/><Relationship Id="rId451" Type="http://schemas.openxmlformats.org/officeDocument/2006/relationships/hyperlink" Target="mailto:chet.sparks@syensqo.com" TargetMode="External"/><Relationship Id="rId450" Type="http://schemas.openxmlformats.org/officeDocument/2006/relationships/hyperlink" Target="mailto:drhee@eoh-inc.com" TargetMode="External"/><Relationship Id="rId213" Type="http://schemas.openxmlformats.org/officeDocument/2006/relationships/hyperlink" Target="mailto:cbourns@hm-ec.com" TargetMode="External"/><Relationship Id="rId334" Type="http://schemas.openxmlformats.org/officeDocument/2006/relationships/hyperlink" Target="mailto:syoung@mpmaterials.com" TargetMode="External"/><Relationship Id="rId455" Type="http://schemas.openxmlformats.org/officeDocument/2006/relationships/hyperlink" Target="mailto:kmuskrat@talon-industries.com" TargetMode="External"/><Relationship Id="rId212" Type="http://schemas.openxmlformats.org/officeDocument/2006/relationships/hyperlink" Target="mailto:kristi.kim@gulfstream.com" TargetMode="External"/><Relationship Id="rId333" Type="http://schemas.openxmlformats.org/officeDocument/2006/relationships/hyperlink" Target="mailto:erika.fonseca@mottmac.com" TargetMode="External"/><Relationship Id="rId454" Type="http://schemas.openxmlformats.org/officeDocument/2006/relationships/hyperlink" Target="mailto:natalia.boyce@tallgrass.com" TargetMode="External"/><Relationship Id="rId211" Type="http://schemas.openxmlformats.org/officeDocument/2006/relationships/hyperlink" Target="mailto:reneeg@gie.com" TargetMode="External"/><Relationship Id="rId332" Type="http://schemas.openxmlformats.org/officeDocument/2006/relationships/hyperlink" Target="mailto:tayler.haynes@motiva.com" TargetMode="External"/><Relationship Id="rId453" Type="http://schemas.openxmlformats.org/officeDocument/2006/relationships/hyperlink" Target="mailto:kweaver@talley-riggins.com" TargetMode="External"/><Relationship Id="rId210" Type="http://schemas.openxmlformats.org/officeDocument/2006/relationships/hyperlink" Target="mailto:allison.blake@greatplainsmfg.com" TargetMode="External"/><Relationship Id="rId331" Type="http://schemas.openxmlformats.org/officeDocument/2006/relationships/hyperlink" Target="mailto:collegerecruiting@mortenson.com" TargetMode="External"/><Relationship Id="rId452" Type="http://schemas.openxmlformats.org/officeDocument/2006/relationships/hyperlink" Target="mailto:chloe.goudeau@synchrogrid.com" TargetMode="External"/><Relationship Id="rId370" Type="http://schemas.openxmlformats.org/officeDocument/2006/relationships/hyperlink" Target="mailto:brausch@pattieng.com" TargetMode="External"/><Relationship Id="rId491" Type="http://schemas.openxmlformats.org/officeDocument/2006/relationships/hyperlink" Target="mailto:plam@tsmc.com" TargetMode="External"/><Relationship Id="rId490" Type="http://schemas.openxmlformats.org/officeDocument/2006/relationships/hyperlink" Target="mailto:recruitment@trinityconsultants.com" TargetMode="External"/><Relationship Id="rId129" Type="http://schemas.openxmlformats.org/officeDocument/2006/relationships/hyperlink" Target="mailto:rstrozewski@dcs-engineering.com" TargetMode="External"/><Relationship Id="rId128" Type="http://schemas.openxmlformats.org/officeDocument/2006/relationships/hyperlink" Target="mailto:mbutton@datumengineers.com" TargetMode="External"/><Relationship Id="rId249" Type="http://schemas.openxmlformats.org/officeDocument/2006/relationships/hyperlink" Target="mailto:egarcia@indusrb.com" TargetMode="External"/><Relationship Id="rId127" Type="http://schemas.openxmlformats.org/officeDocument/2006/relationships/hyperlink" Target="mailto:tori.smith@dashiell.com" TargetMode="External"/><Relationship Id="rId248" Type="http://schemas.openxmlformats.org/officeDocument/2006/relationships/hyperlink" Target="mailto:jaime.loyo@us.indorama.net" TargetMode="External"/><Relationship Id="rId369" Type="http://schemas.openxmlformats.org/officeDocument/2006/relationships/hyperlink" Target="mailto:Mikinzy.Boggs@PatEnergy.com" TargetMode="External"/><Relationship Id="rId126" Type="http://schemas.openxmlformats.org/officeDocument/2006/relationships/hyperlink" Target="mailto:sorth@dallyassociates.com" TargetMode="External"/><Relationship Id="rId247" Type="http://schemas.openxmlformats.org/officeDocument/2006/relationships/hyperlink" Target="mailto:paige.k.trimble@imegcorp.com" TargetMode="External"/><Relationship Id="rId368" Type="http://schemas.openxmlformats.org/officeDocument/2006/relationships/hyperlink" Target="mailto:valencia.griffin@parker.com" TargetMode="External"/><Relationship Id="rId489" Type="http://schemas.openxmlformats.org/officeDocument/2006/relationships/hyperlink" Target="mailto:jstonum@trihydro.com" TargetMode="External"/><Relationship Id="rId121" Type="http://schemas.openxmlformats.org/officeDocument/2006/relationships/hyperlink" Target="mailto:alex.kaiser@credera.com" TargetMode="External"/><Relationship Id="rId242" Type="http://schemas.openxmlformats.org/officeDocument/2006/relationships/hyperlink" Target="mailto:calist@ibm.com" TargetMode="External"/><Relationship Id="rId363" Type="http://schemas.openxmlformats.org/officeDocument/2006/relationships/hyperlink" Target="mailto:shelly.robertsfrost@palski.com" TargetMode="External"/><Relationship Id="rId484" Type="http://schemas.openxmlformats.org/officeDocument/2006/relationships/hyperlink" Target="mailto:toyota@nc3.com" TargetMode="External"/><Relationship Id="rId120" Type="http://schemas.openxmlformats.org/officeDocument/2006/relationships/hyperlink" Target="mailto:cassie.stultz@crbgroup.com" TargetMode="External"/><Relationship Id="rId241" Type="http://schemas.openxmlformats.org/officeDocument/2006/relationships/hyperlink" Target="mailto:colin_mitchell@huntsman.com" TargetMode="External"/><Relationship Id="rId362" Type="http://schemas.openxmlformats.org/officeDocument/2006/relationships/hyperlink" Target="mailto:morison.r@pg.com" TargetMode="External"/><Relationship Id="rId483" Type="http://schemas.openxmlformats.org/officeDocument/2006/relationships/hyperlink" Target="mailto:raven.fuller@external.totalenergies.com" TargetMode="External"/><Relationship Id="rId240" Type="http://schemas.openxmlformats.org/officeDocument/2006/relationships/hyperlink" Target="mailto:vdeluna@huitt-zollars.com" TargetMode="External"/><Relationship Id="rId361" Type="http://schemas.openxmlformats.org/officeDocument/2006/relationships/hyperlink" Target="mailto:University_Relations@oxy.com" TargetMode="External"/><Relationship Id="rId482" Type="http://schemas.openxmlformats.org/officeDocument/2006/relationships/hyperlink" Target="mailto:chris.finney@toshiba.com" TargetMode="External"/><Relationship Id="rId360" Type="http://schemas.openxmlformats.org/officeDocument/2006/relationships/hyperlink" Target="mailto:owenscorning@nc3.com" TargetMode="External"/><Relationship Id="rId481" Type="http://schemas.openxmlformats.org/officeDocument/2006/relationships/hyperlink" Target="mailto:careers@us.tel.com" TargetMode="External"/><Relationship Id="rId125" Type="http://schemas.openxmlformats.org/officeDocument/2006/relationships/hyperlink" Target="mailto:humanresources@dailyinst.com" TargetMode="External"/><Relationship Id="rId246" Type="http://schemas.openxmlformats.org/officeDocument/2006/relationships/hyperlink" Target="mailto:dot.recruitment@illinois.gov" TargetMode="External"/><Relationship Id="rId367" Type="http://schemas.openxmlformats.org/officeDocument/2006/relationships/hyperlink" Target="mailto:campusrecruiting@parivedasolutions.com" TargetMode="External"/><Relationship Id="rId488" Type="http://schemas.openxmlformats.org/officeDocument/2006/relationships/hyperlink" Target="mailto:a.dinh@trendsetterengineering.com" TargetMode="External"/><Relationship Id="rId124" Type="http://schemas.openxmlformats.org/officeDocument/2006/relationships/hyperlink" Target="mailto:nicole.seaton@daikincomfort.com" TargetMode="External"/><Relationship Id="rId245" Type="http://schemas.openxmlformats.org/officeDocument/2006/relationships/hyperlink" Target="mailto:aspire@ieaworld.com" TargetMode="External"/><Relationship Id="rId366" Type="http://schemas.openxmlformats.org/officeDocument/2006/relationships/hyperlink" Target="mailto:lchiarelli@paric.com" TargetMode="External"/><Relationship Id="rId487" Type="http://schemas.openxmlformats.org/officeDocument/2006/relationships/hyperlink" Target="mailto:sbrown@trccompanies.com" TargetMode="External"/><Relationship Id="rId123" Type="http://schemas.openxmlformats.org/officeDocument/2006/relationships/hyperlink" Target="mailto:shannonnelson@cushingterrell.com" TargetMode="External"/><Relationship Id="rId244" Type="http://schemas.openxmlformats.org/officeDocument/2006/relationships/hyperlink" Target="mailto:marketing@idseg.com" TargetMode="External"/><Relationship Id="rId365" Type="http://schemas.openxmlformats.org/officeDocument/2006/relationships/hyperlink" Target="mailto:campusrecruiting@pape-dawson.com" TargetMode="External"/><Relationship Id="rId486" Type="http://schemas.openxmlformats.org/officeDocument/2006/relationships/hyperlink" Target="mailto:sbrown@trccompanies.com" TargetMode="External"/><Relationship Id="rId122" Type="http://schemas.openxmlformats.org/officeDocument/2006/relationships/hyperlink" Target="mailto:careers@cudeengineers.com" TargetMode="External"/><Relationship Id="rId243" Type="http://schemas.openxmlformats.org/officeDocument/2006/relationships/hyperlink" Target="mailto:kimberly.schuebert@inl.gov" TargetMode="External"/><Relationship Id="rId364" Type="http://schemas.openxmlformats.org/officeDocument/2006/relationships/hyperlink" Target="mailto:markrosspx@gmail.com" TargetMode="External"/><Relationship Id="rId485" Type="http://schemas.openxmlformats.org/officeDocument/2006/relationships/hyperlink" Target="mailto:amanda.davis@tranetechnologies.com" TargetMode="External"/><Relationship Id="rId95" Type="http://schemas.openxmlformats.org/officeDocument/2006/relationships/hyperlink" Target="mailto:talent_acquisition@cat.com" TargetMode="External"/><Relationship Id="rId94" Type="http://schemas.openxmlformats.org/officeDocument/2006/relationships/hyperlink" Target="mailto:rhegazi@carollo.com" TargetMode="External"/><Relationship Id="rId97" Type="http://schemas.openxmlformats.org/officeDocument/2006/relationships/hyperlink" Target="mailto:allyssa.gutierrez@csg.heicocompanies.com" TargetMode="External"/><Relationship Id="rId96" Type="http://schemas.openxmlformats.org/officeDocument/2006/relationships/hyperlink" Target="mailto:brad.veath@cbi.com" TargetMode="External"/><Relationship Id="rId99" Type="http://schemas.openxmlformats.org/officeDocument/2006/relationships/hyperlink" Target="mailto:scott.r.yoder@centerpointenergy.com" TargetMode="External"/><Relationship Id="rId480" Type="http://schemas.openxmlformats.org/officeDocument/2006/relationships/hyperlink" Target="mailto:tnphr@tnpinc.com" TargetMode="External"/><Relationship Id="rId98" Type="http://schemas.openxmlformats.org/officeDocument/2006/relationships/hyperlink" Target="mailto:jacqueline1.hall@celanese.com" TargetMode="External"/><Relationship Id="rId91" Type="http://schemas.openxmlformats.org/officeDocument/2006/relationships/hyperlink" Target="mailto:recruiting@capsher.com" TargetMode="External"/><Relationship Id="rId90" Type="http://schemas.openxmlformats.org/officeDocument/2006/relationships/hyperlink" Target="mailto:lindsay.hartman@capitolaggregates.com" TargetMode="External"/><Relationship Id="rId93" Type="http://schemas.openxmlformats.org/officeDocument/2006/relationships/hyperlink" Target="mailto:cargill@nc3.com" TargetMode="External"/><Relationship Id="rId92" Type="http://schemas.openxmlformats.org/officeDocument/2006/relationships/hyperlink" Target="mailto:taylor.hauger@capspire.com" TargetMode="External"/><Relationship Id="rId118" Type="http://schemas.openxmlformats.org/officeDocument/2006/relationships/hyperlink" Target="mailto:rachel.graham@cornerstone-bb.com" TargetMode="External"/><Relationship Id="rId239" Type="http://schemas.openxmlformats.org/officeDocument/2006/relationships/hyperlink" Target="mailto:misty.proler@hts.com" TargetMode="External"/><Relationship Id="rId117" Type="http://schemas.openxmlformats.org/officeDocument/2006/relationships/hyperlink" Target="mailto:jennifer.thomas@clr.com" TargetMode="External"/><Relationship Id="rId238" Type="http://schemas.openxmlformats.org/officeDocument/2006/relationships/hyperlink" Target="mailto:nitha.nolan@hrgreen.com" TargetMode="External"/><Relationship Id="rId359" Type="http://schemas.openxmlformats.org/officeDocument/2006/relationships/hyperlink" Target="mailto:university.recruiting@ovintiv.com" TargetMode="External"/><Relationship Id="rId116" Type="http://schemas.openxmlformats.org/officeDocument/2006/relationships/hyperlink" Target="mailto:angelica.harrell@contechnet.com" TargetMode="External"/><Relationship Id="rId237" Type="http://schemas.openxmlformats.org/officeDocument/2006/relationships/hyperlink" Target="mailto:anita.lembach@howmet.com" TargetMode="External"/><Relationship Id="rId358" Type="http://schemas.openxmlformats.org/officeDocument/2006/relationships/hyperlink" Target="mailto:mlopez@oscarordunoinc.com" TargetMode="External"/><Relationship Id="rId479" Type="http://schemas.openxmlformats.org/officeDocument/2006/relationships/hyperlink" Target="mailto:jessica.jarels@tmeic.com" TargetMode="External"/><Relationship Id="rId115" Type="http://schemas.openxmlformats.org/officeDocument/2006/relationships/hyperlink" Target="mailto:carly.husband@consoreng.com" TargetMode="External"/><Relationship Id="rId236" Type="http://schemas.openxmlformats.org/officeDocument/2006/relationships/hyperlink" Target="mailto:HoneywellUr@Honeywell.com" TargetMode="External"/><Relationship Id="rId357" Type="http://schemas.openxmlformats.org/officeDocument/2006/relationships/hyperlink" Target="mailto:rmendoza@orn.net" TargetMode="External"/><Relationship Id="rId478" Type="http://schemas.openxmlformats.org/officeDocument/2006/relationships/hyperlink" Target="mailto:brianna.fitzgerald@timken.com" TargetMode="External"/><Relationship Id="rId119" Type="http://schemas.openxmlformats.org/officeDocument/2006/relationships/hyperlink" Target="mailto:jill.sobieralski@covestro.com" TargetMode="External"/><Relationship Id="rId110" Type="http://schemas.openxmlformats.org/officeDocument/2006/relationships/hyperlink" Target="mailto:amber.wicks@y12nsc.doe.gov" TargetMode="External"/><Relationship Id="rId231" Type="http://schemas.openxmlformats.org/officeDocument/2006/relationships/hyperlink" Target="mailto:rhett.turner@hfa-ae.com" TargetMode="External"/><Relationship Id="rId352" Type="http://schemas.openxmlformats.org/officeDocument/2006/relationships/hyperlink" Target="mailto:amori.lunney@odysseysr.com" TargetMode="External"/><Relationship Id="rId473" Type="http://schemas.openxmlformats.org/officeDocument/2006/relationships/hyperlink" Target="mailto:ti@nc3.com" TargetMode="External"/><Relationship Id="rId230" Type="http://schemas.openxmlformats.org/officeDocument/2006/relationships/hyperlink" Target="mailto:jessica.stone@hexagon.com" TargetMode="External"/><Relationship Id="rId351" Type="http://schemas.openxmlformats.org/officeDocument/2006/relationships/hyperlink" Target="mailto:baley.cody@nxp.com" TargetMode="External"/><Relationship Id="rId472" Type="http://schemas.openxmlformats.org/officeDocument/2006/relationships/hyperlink" Target="mailto:sheila.brooks@txdot.gov" TargetMode="External"/><Relationship Id="rId350" Type="http://schemas.openxmlformats.org/officeDocument/2006/relationships/hyperlink" Target="mailto:allison.best@nucor.com" TargetMode="External"/><Relationship Id="rId471" Type="http://schemas.openxmlformats.org/officeDocument/2006/relationships/hyperlink" Target="mailto:sreaton@tamu.edu" TargetMode="External"/><Relationship Id="rId470" Type="http://schemas.openxmlformats.org/officeDocument/2006/relationships/hyperlink" Target="mailto:cblanton@tamu.edu" TargetMode="External"/><Relationship Id="rId114" Type="http://schemas.openxmlformats.org/officeDocument/2006/relationships/hyperlink" Target="mailto:MaryJo.Rogers@conocophillips.com" TargetMode="External"/><Relationship Id="rId235" Type="http://schemas.openxmlformats.org/officeDocument/2006/relationships/hyperlink" Target="mailto:Jen-mcCalley@hoffmancorp.com" TargetMode="External"/><Relationship Id="rId356" Type="http://schemas.openxmlformats.org/officeDocument/2006/relationships/hyperlink" Target="mailto:cpope@opportune.com" TargetMode="External"/><Relationship Id="rId477" Type="http://schemas.openxmlformats.org/officeDocument/2006/relationships/hyperlink" Target="mailto:emily.lawler@brandt.us" TargetMode="External"/><Relationship Id="rId113" Type="http://schemas.openxmlformats.org/officeDocument/2006/relationships/hyperlink" Target="mailto:campusrecruiting@collierseng.com" TargetMode="External"/><Relationship Id="rId234" Type="http://schemas.openxmlformats.org/officeDocument/2006/relationships/hyperlink" Target="mailto:bmazyn@hobaspipe.com" TargetMode="External"/><Relationship Id="rId355" Type="http://schemas.openxmlformats.org/officeDocument/2006/relationships/hyperlink" Target="mailto:derek.aquiningoc@oncor.com" TargetMode="External"/><Relationship Id="rId476" Type="http://schemas.openxmlformats.org/officeDocument/2006/relationships/hyperlink" Target="mailto:trenton.r.seely@boeing.com" TargetMode="External"/><Relationship Id="rId112" Type="http://schemas.openxmlformats.org/officeDocument/2006/relationships/hyperlink" Target="mailto:stacy.nation@coffman.com" TargetMode="External"/><Relationship Id="rId233" Type="http://schemas.openxmlformats.org/officeDocument/2006/relationships/hyperlink" Target="mailto:kendram@hmtnb.com" TargetMode="External"/><Relationship Id="rId354" Type="http://schemas.openxmlformats.org/officeDocument/2006/relationships/hyperlink" Target="mailto:hchristensen@olsson.com" TargetMode="External"/><Relationship Id="rId475" Type="http://schemas.openxmlformats.org/officeDocument/2006/relationships/hyperlink" Target="mailto:jcamarillo@acutronic.com" TargetMode="External"/><Relationship Id="rId111" Type="http://schemas.openxmlformats.org/officeDocument/2006/relationships/hyperlink" Target="mailto:arnell.leslie@cobbfendley.com" TargetMode="External"/><Relationship Id="rId232" Type="http://schemas.openxmlformats.org/officeDocument/2006/relationships/hyperlink" Target="mailto:michelle.thomsen@hmhw.com" TargetMode="External"/><Relationship Id="rId353" Type="http://schemas.openxmlformats.org/officeDocument/2006/relationships/hyperlink" Target="mailto:universityrecruiting@olin.com" TargetMode="External"/><Relationship Id="rId474" Type="http://schemas.openxmlformats.org/officeDocument/2006/relationships/hyperlink" Target="mailto:kceesay@textron.com" TargetMode="External"/><Relationship Id="rId305" Type="http://schemas.openxmlformats.org/officeDocument/2006/relationships/hyperlink" Target="mailto:hr@lty-engineers.com" TargetMode="External"/><Relationship Id="rId426" Type="http://schemas.openxmlformats.org/officeDocument/2006/relationships/hyperlink" Target="mailto:lanerica.crayton@siigroup.com" TargetMode="External"/><Relationship Id="rId304" Type="http://schemas.openxmlformats.org/officeDocument/2006/relationships/hyperlink" Target="mailto:aya@lanl.gov" TargetMode="External"/><Relationship Id="rId425" Type="http://schemas.openxmlformats.org/officeDocument/2006/relationships/hyperlink" Target="mailto:reagan.squire@shield-engineering.com" TargetMode="External"/><Relationship Id="rId303" Type="http://schemas.openxmlformats.org/officeDocument/2006/relationships/hyperlink" Target="mailto:ryan.j.larson@loram.com" TargetMode="External"/><Relationship Id="rId424" Type="http://schemas.openxmlformats.org/officeDocument/2006/relationships/hyperlink" Target="mailto:anna.moon@shermco.com" TargetMode="External"/><Relationship Id="rId302" Type="http://schemas.openxmlformats.org/officeDocument/2006/relationships/hyperlink" Target="mailto:angela.m.bendtsen@loram.com" TargetMode="External"/><Relationship Id="rId423" Type="http://schemas.openxmlformats.org/officeDocument/2006/relationships/hyperlink" Target="mailto:clare.pagatpat@shell.com" TargetMode="External"/><Relationship Id="rId309" Type="http://schemas.openxmlformats.org/officeDocument/2006/relationships/hyperlink" Target="mailto:ksimpson@msengr.com" TargetMode="External"/><Relationship Id="rId308" Type="http://schemas.openxmlformats.org/officeDocument/2006/relationships/hyperlink" Target="mailto:danielle.quintanilla@lyondellbasell.com" TargetMode="External"/><Relationship Id="rId429" Type="http://schemas.openxmlformats.org/officeDocument/2006/relationships/hyperlink" Target="mailto:brooke.maedel@signalenergy.com" TargetMode="External"/><Relationship Id="rId307" Type="http://schemas.openxmlformats.org/officeDocument/2006/relationships/hyperlink" Target="mailto:celestina.encinia@lynngroup.com" TargetMode="External"/><Relationship Id="rId428" Type="http://schemas.openxmlformats.org/officeDocument/2006/relationships/hyperlink" Target="mailto:universityrecruiting.us@siemens.com" TargetMode="External"/><Relationship Id="rId306" Type="http://schemas.openxmlformats.org/officeDocument/2006/relationships/hyperlink" Target="mailto:lauren.stokley@lubrizol.com" TargetMode="External"/><Relationship Id="rId427" Type="http://schemas.openxmlformats.org/officeDocument/2006/relationships/hyperlink" Target="mailto:jackie.engstrom@sick.com" TargetMode="External"/><Relationship Id="rId301" Type="http://schemas.openxmlformats.org/officeDocument/2006/relationships/hyperlink" Target="mailto:bblandford@lsnde.com" TargetMode="External"/><Relationship Id="rId422" Type="http://schemas.openxmlformats.org/officeDocument/2006/relationships/hyperlink" Target="mailto:c.perez2@shell.com" TargetMode="External"/><Relationship Id="rId300" Type="http://schemas.openxmlformats.org/officeDocument/2006/relationships/hyperlink" Target="mailto:kgill@lonestarturbo.com" TargetMode="External"/><Relationship Id="rId421" Type="http://schemas.openxmlformats.org/officeDocument/2006/relationships/hyperlink" Target="mailto:hhightower@shahsmith.com" TargetMode="External"/><Relationship Id="rId420" Type="http://schemas.openxmlformats.org/officeDocument/2006/relationships/hyperlink" Target="mailto:h.tortorice@sescocement.com" TargetMode="External"/><Relationship Id="rId415" Type="http://schemas.openxmlformats.org/officeDocument/2006/relationships/hyperlink" Target="mailto:andrew.hjort-michel@schnabel.com" TargetMode="External"/><Relationship Id="rId414" Type="http://schemas.openxmlformats.org/officeDocument/2006/relationships/hyperlink" Target="mailto:dharris@scheibeconsulting.com" TargetMode="External"/><Relationship Id="rId413" Type="http://schemas.openxmlformats.org/officeDocument/2006/relationships/hyperlink" Target="mailto:sylvia.zimmermann@srs.gov" TargetMode="External"/><Relationship Id="rId412" Type="http://schemas.openxmlformats.org/officeDocument/2006/relationships/hyperlink" Target="mailto:connie.yung@srs.gov" TargetMode="External"/><Relationship Id="rId419" Type="http://schemas.openxmlformats.org/officeDocument/2006/relationships/hyperlink" Target="mailto:panelson@secretariat-intl.com" TargetMode="External"/><Relationship Id="rId418" Type="http://schemas.openxmlformats.org/officeDocument/2006/relationships/hyperlink" Target="mailto:careerfair@sec.tamu.edu" TargetMode="External"/><Relationship Id="rId417" Type="http://schemas.openxmlformats.org/officeDocument/2006/relationships/hyperlink" Target="mailto:jennifer.l.perrill@saic.com" TargetMode="External"/><Relationship Id="rId416" Type="http://schemas.openxmlformats.org/officeDocument/2006/relationships/hyperlink" Target="mailto:andrea_patterson@exchange.tamu.edu" TargetMode="External"/><Relationship Id="rId411" Type="http://schemas.openxmlformats.org/officeDocument/2006/relationships/hyperlink" Target="mailto:anmonta@sandia.gov" TargetMode="External"/><Relationship Id="rId410" Type="http://schemas.openxmlformats.org/officeDocument/2006/relationships/hyperlink" Target="mailto:khuerter@sjra.net" TargetMode="External"/><Relationship Id="rId206" Type="http://schemas.openxmlformats.org/officeDocument/2006/relationships/hyperlink" Target="mailto:jeremy.jackson@gcinc.com" TargetMode="External"/><Relationship Id="rId327" Type="http://schemas.openxmlformats.org/officeDocument/2006/relationships/hyperlink" Target="mailto:amanda.wheeless@miller-gray.com" TargetMode="External"/><Relationship Id="rId448" Type="http://schemas.openxmlformats.org/officeDocument/2006/relationships/hyperlink" Target="mailto:darin.dooley@subsea7.com" TargetMode="External"/><Relationship Id="rId205" Type="http://schemas.openxmlformats.org/officeDocument/2006/relationships/hyperlink" Target="mailto:staylor@grahamcivil.com" TargetMode="External"/><Relationship Id="rId326" Type="http://schemas.openxmlformats.org/officeDocument/2006/relationships/hyperlink" Target="mailto:leneeyoung@micron.com" TargetMode="External"/><Relationship Id="rId447" Type="http://schemas.openxmlformats.org/officeDocument/2006/relationships/hyperlink" Target="mailto:ashley.compton@stress.com" TargetMode="External"/><Relationship Id="rId204" Type="http://schemas.openxmlformats.org/officeDocument/2006/relationships/hyperlink" Target="mailto:campus_recruiting@goodyear.com" TargetMode="External"/><Relationship Id="rId325" Type="http://schemas.openxmlformats.org/officeDocument/2006/relationships/hyperlink" Target="mailto:meghan.thein@biotronik.com" TargetMode="External"/><Relationship Id="rId446" Type="http://schemas.openxmlformats.org/officeDocument/2006/relationships/hyperlink" Target="mailto:ljhoffman@stpegs.com" TargetMode="External"/><Relationship Id="rId203" Type="http://schemas.openxmlformats.org/officeDocument/2006/relationships/hyperlink" Target="mailto:mbaacke@gmcivil.com" TargetMode="External"/><Relationship Id="rId324" Type="http://schemas.openxmlformats.org/officeDocument/2006/relationships/hyperlink" Target="mailto:sbielamowicz@meglobal.biz" TargetMode="External"/><Relationship Id="rId445" Type="http://schemas.openxmlformats.org/officeDocument/2006/relationships/hyperlink" Target="mailto:kimber.matocha@stegerbizzell.com" TargetMode="External"/><Relationship Id="rId209" Type="http://schemas.openxmlformats.org/officeDocument/2006/relationships/hyperlink" Target="mailto:thelmabrown@gldd.com" TargetMode="External"/><Relationship Id="rId208" Type="http://schemas.openxmlformats.org/officeDocument/2006/relationships/hyperlink" Target="mailto:thelmabrown@gldd.com" TargetMode="External"/><Relationship Id="rId329" Type="http://schemas.openxmlformats.org/officeDocument/2006/relationships/hyperlink" Target="mailto:hthomas@mii.com" TargetMode="External"/><Relationship Id="rId207" Type="http://schemas.openxmlformats.org/officeDocument/2006/relationships/hyperlink" Target="mailto:info@gray-civil.com" TargetMode="External"/><Relationship Id="rId328" Type="http://schemas.openxmlformats.org/officeDocument/2006/relationships/hyperlink" Target="mailto:wrobbins@misoenergy.org" TargetMode="External"/><Relationship Id="rId449" Type="http://schemas.openxmlformats.org/officeDocument/2006/relationships/hyperlink" Target="mailto:JOEL.RAMIREZ@SULZER.COM" TargetMode="External"/><Relationship Id="rId440" Type="http://schemas.openxmlformats.org/officeDocument/2006/relationships/hyperlink" Target="mailto:marketing@swengineers.com" TargetMode="External"/><Relationship Id="rId202" Type="http://schemas.openxmlformats.org/officeDocument/2006/relationships/hyperlink" Target="mailto:anthony.pesina@globalfoundries.com" TargetMode="External"/><Relationship Id="rId323" Type="http://schemas.openxmlformats.org/officeDocument/2006/relationships/hyperlink" Target="mailto:melissaa@mckinstry.com" TargetMode="External"/><Relationship Id="rId444" Type="http://schemas.openxmlformats.org/officeDocument/2006/relationships/hyperlink" Target="mailto:eric.cook.gdqm@statefarm.com" TargetMode="External"/><Relationship Id="rId201" Type="http://schemas.openxmlformats.org/officeDocument/2006/relationships/hyperlink" Target="mailto:bbiechele@globalpriorart.com" TargetMode="External"/><Relationship Id="rId322" Type="http://schemas.openxmlformats.org/officeDocument/2006/relationships/hyperlink" Target="mailto:mvelezrodriguez@mccarthy.com" TargetMode="External"/><Relationship Id="rId443" Type="http://schemas.openxmlformats.org/officeDocument/2006/relationships/hyperlink" Target="mailto:steve.blaschke@spiarsengineering.com" TargetMode="External"/><Relationship Id="rId200" Type="http://schemas.openxmlformats.org/officeDocument/2006/relationships/hyperlink" Target="mailto:skoskowski@gate.energy" TargetMode="External"/><Relationship Id="rId321" Type="http://schemas.openxmlformats.org/officeDocument/2006/relationships/hyperlink" Target="mailto:bellen@mays.tamu.edu" TargetMode="External"/><Relationship Id="rId442" Type="http://schemas.openxmlformats.org/officeDocument/2006/relationships/hyperlink" Target="mailto:paulh@sparxeng.com" TargetMode="External"/><Relationship Id="rId320" Type="http://schemas.openxmlformats.org/officeDocument/2006/relationships/hyperlink" Target="mailto:mpappu@mays.tamu.edu" TargetMode="External"/><Relationship Id="rId441" Type="http://schemas.openxmlformats.org/officeDocument/2006/relationships/hyperlink" Target="mailto:rachel.pelayo@swri.org" TargetMode="External"/><Relationship Id="rId316" Type="http://schemas.openxmlformats.org/officeDocument/2006/relationships/hyperlink" Target="mailto:elizabeth.gallegos@martinmarietta.com" TargetMode="External"/><Relationship Id="rId437" Type="http://schemas.openxmlformats.org/officeDocument/2006/relationships/hyperlink" Target="mailto:jillian.ciarletta@smith-nephew.com" TargetMode="External"/><Relationship Id="rId315" Type="http://schemas.openxmlformats.org/officeDocument/2006/relationships/hyperlink" Target="mailto:nmcastillo@marathonpetroleum.com" TargetMode="External"/><Relationship Id="rId436" Type="http://schemas.openxmlformats.org/officeDocument/2006/relationships/hyperlink" Target="mailto:lwhite@ssr-inc.com" TargetMode="External"/><Relationship Id="rId314" Type="http://schemas.openxmlformats.org/officeDocument/2006/relationships/hyperlink" Target="mailto:eeo@mansonconstruction.com" TargetMode="External"/><Relationship Id="rId435" Type="http://schemas.openxmlformats.org/officeDocument/2006/relationships/hyperlink" Target="mailto:college.recruiting@sm-energy.com" TargetMode="External"/><Relationship Id="rId313" Type="http://schemas.openxmlformats.org/officeDocument/2006/relationships/hyperlink" Target="mailto:mgofman@manh.com" TargetMode="External"/><Relationship Id="rId434" Type="http://schemas.openxmlformats.org/officeDocument/2006/relationships/hyperlink" Target="mailto:slb@nc3.com" TargetMode="External"/><Relationship Id="rId319" Type="http://schemas.openxmlformats.org/officeDocument/2006/relationships/hyperlink" Target="mailto:jharbuck@matkinhoover.com" TargetMode="External"/><Relationship Id="rId318" Type="http://schemas.openxmlformats.org/officeDocument/2006/relationships/hyperlink" Target="mailto:careers@matadorresources.com" TargetMode="External"/><Relationship Id="rId439" Type="http://schemas.openxmlformats.org/officeDocument/2006/relationships/hyperlink" Target="mailto:jacob.sintich@sonoco.com" TargetMode="External"/><Relationship Id="rId317" Type="http://schemas.openxmlformats.org/officeDocument/2006/relationships/hyperlink" Target="mailto:mjeffries@massman.net" TargetMode="External"/><Relationship Id="rId438" Type="http://schemas.openxmlformats.org/officeDocument/2006/relationships/hyperlink" Target="mailto:alexandra.cooper@solarturbines.com" TargetMode="External"/><Relationship Id="rId312" Type="http://schemas.openxmlformats.org/officeDocument/2006/relationships/hyperlink" Target="mailto:jmartinez@manhard.com" TargetMode="External"/><Relationship Id="rId433" Type="http://schemas.openxmlformats.org/officeDocument/2006/relationships/hyperlink" Target="mailto:diksha.carron@skyworksinc.com" TargetMode="External"/><Relationship Id="rId311" Type="http://schemas.openxmlformats.org/officeDocument/2006/relationships/hyperlink" Target="mailto:hillary.traylor@mammoet.com" TargetMode="External"/><Relationship Id="rId432" Type="http://schemas.openxmlformats.org/officeDocument/2006/relationships/hyperlink" Target="mailto:connie.adams@skywatertechnology.com" TargetMode="External"/><Relationship Id="rId310" Type="http://schemas.openxmlformats.org/officeDocument/2006/relationships/hyperlink" Target="mailto:lvaughn@mahoneyeng.com" TargetMode="External"/><Relationship Id="rId431" Type="http://schemas.openxmlformats.org/officeDocument/2006/relationships/hyperlink" Target="mailto:aaguilar@mariosinacola.com" TargetMode="External"/><Relationship Id="rId430" Type="http://schemas.openxmlformats.org/officeDocument/2006/relationships/hyperlink" Target="mailto:JEanes@spsilica.com"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mailto:ryan.c.dudark@l3harris.com" TargetMode="External"/><Relationship Id="rId194" Type="http://schemas.openxmlformats.org/officeDocument/2006/relationships/hyperlink" Target="mailto:vthomason@ltraengineers.com" TargetMode="External"/><Relationship Id="rId193" Type="http://schemas.openxmlformats.org/officeDocument/2006/relationships/hyperlink" Target="mailto:jmoreno@lightriver.com" TargetMode="External"/><Relationship Id="rId192" Type="http://schemas.openxmlformats.org/officeDocument/2006/relationships/hyperlink" Target="mailto:elizabeth.schmidt@lhoist.com" TargetMode="External"/><Relationship Id="rId191" Type="http://schemas.openxmlformats.org/officeDocument/2006/relationships/hyperlink" Target="mailto:kgrona@labattfood.com" TargetMode="External"/><Relationship Id="rId187" Type="http://schemas.openxmlformats.org/officeDocument/2006/relationships/hyperlink" Target="mailto:whitney.schubarth@global.komatsu" TargetMode="External"/><Relationship Id="rId186" Type="http://schemas.openxmlformats.org/officeDocument/2006/relationships/hyperlink" Target="mailto:cwarner@kleintools.com" TargetMode="External"/><Relationship Id="rId185" Type="http://schemas.openxmlformats.org/officeDocument/2006/relationships/hyperlink" Target="mailto:haley.buesing@trustke.com" TargetMode="External"/><Relationship Id="rId184" Type="http://schemas.openxmlformats.org/officeDocument/2006/relationships/hyperlink" Target="mailto:joellen.beedon@kinectrics.com" TargetMode="External"/><Relationship Id="rId189" Type="http://schemas.openxmlformats.org/officeDocument/2006/relationships/hyperlink" Target="mailto:contact@ktcivil.com" TargetMode="External"/><Relationship Id="rId188" Type="http://schemas.openxmlformats.org/officeDocument/2006/relationships/hyperlink" Target="mailto:mnbrown@kpmg.com" TargetMode="External"/><Relationship Id="rId183" Type="http://schemas.openxmlformats.org/officeDocument/2006/relationships/hyperlink" Target="mailto:katelyn.zuberbueler@kimley-horn.com" TargetMode="External"/><Relationship Id="rId182" Type="http://schemas.openxmlformats.org/officeDocument/2006/relationships/hyperlink" Target="mailto:Recruitingsupport@kiewit.com" TargetMode="External"/><Relationship Id="rId181" Type="http://schemas.openxmlformats.org/officeDocument/2006/relationships/hyperlink" Target="mailto:egorman@keystoneengr.com" TargetMode="External"/><Relationship Id="rId180" Type="http://schemas.openxmlformats.org/officeDocument/2006/relationships/hyperlink" Target="mailto:kourtnie@stewarthg.com" TargetMode="External"/><Relationship Id="rId176" Type="http://schemas.openxmlformats.org/officeDocument/2006/relationships/hyperlink" Target="mailto:cally.hesidenz@jtthorpe.com" TargetMode="External"/><Relationship Id="rId297" Type="http://schemas.openxmlformats.org/officeDocument/2006/relationships/hyperlink" Target="mailto:samuel.gonzalez@kirbycorp.com" TargetMode="External"/><Relationship Id="rId175" Type="http://schemas.openxmlformats.org/officeDocument/2006/relationships/hyperlink" Target="mailto:amoore@jmt.com" TargetMode="External"/><Relationship Id="rId296" Type="http://schemas.openxmlformats.org/officeDocument/2006/relationships/hyperlink" Target="mailto:kimber.matocha@stegerbizzell.com" TargetMode="External"/><Relationship Id="rId174" Type="http://schemas.openxmlformats.org/officeDocument/2006/relationships/hyperlink" Target="mailto:jnj@nc3.com" TargetMode="External"/><Relationship Id="rId295" Type="http://schemas.openxmlformats.org/officeDocument/2006/relationships/hyperlink" Target="mailto:stncampusrecruiting@stantec.com" TargetMode="External"/><Relationship Id="rId173" Type="http://schemas.openxmlformats.org/officeDocument/2006/relationships/hyperlink" Target="mailto:mandy.banks@jedunn.com" TargetMode="External"/><Relationship Id="rId294" Type="http://schemas.openxmlformats.org/officeDocument/2006/relationships/hyperlink" Target="mailto:steve.blaschke@spiarsengineering.com" TargetMode="External"/><Relationship Id="rId179" Type="http://schemas.openxmlformats.org/officeDocument/2006/relationships/hyperlink" Target="mailto:Margaret.DeLaRosa@kentplc.com" TargetMode="External"/><Relationship Id="rId178" Type="http://schemas.openxmlformats.org/officeDocument/2006/relationships/hyperlink" Target="mailto:lauren.grisanti@kci.com" TargetMode="External"/><Relationship Id="rId299" Type="http://schemas.openxmlformats.org/officeDocument/2006/relationships/hyperlink" Target="mailto:JOEL.RAMIREZ@SULZER.COM" TargetMode="External"/><Relationship Id="rId177" Type="http://schemas.openxmlformats.org/officeDocument/2006/relationships/hyperlink" Target="mailto:cbickenbach@kbhome.com" TargetMode="External"/><Relationship Id="rId298" Type="http://schemas.openxmlformats.org/officeDocument/2006/relationships/hyperlink" Target="mailto:ljhoffman@stpegs.com" TargetMode="External"/><Relationship Id="rId198" Type="http://schemas.openxmlformats.org/officeDocument/2006/relationships/hyperlink" Target="mailto:CVNguyen@leoadaly.com" TargetMode="External"/><Relationship Id="rId197" Type="http://schemas.openxmlformats.org/officeDocument/2006/relationships/hyperlink" Target="mailto:julie.winn@lockesolutions.com" TargetMode="External"/><Relationship Id="rId196" Type="http://schemas.openxmlformats.org/officeDocument/2006/relationships/hyperlink" Target="mailto:rholt@lja.com" TargetMode="External"/><Relationship Id="rId195" Type="http://schemas.openxmlformats.org/officeDocument/2006/relationships/hyperlink" Target="mailto:leacareers@linde.com" TargetMode="External"/><Relationship Id="rId199" Type="http://schemas.openxmlformats.org/officeDocument/2006/relationships/hyperlink" Target="mailto:sporter@lonestarturbo.com" TargetMode="External"/><Relationship Id="rId150" Type="http://schemas.openxmlformats.org/officeDocument/2006/relationships/hyperlink" Target="mailto:jessica.stone@hexagon.com" TargetMode="External"/><Relationship Id="rId271" Type="http://schemas.openxmlformats.org/officeDocument/2006/relationships/hyperlink" Target="mailto:careers@rovisys.com" TargetMode="External"/><Relationship Id="rId270" Type="http://schemas.openxmlformats.org/officeDocument/2006/relationships/hyperlink" Target="mailto:edevine@rouxinc.com" TargetMode="External"/><Relationship Id="rId1" Type="http://schemas.openxmlformats.org/officeDocument/2006/relationships/hyperlink" Target="https://tamu-csm.symplicity.com/manager/index.php?_so_list_aat0c3e02688721f4b8ba4b12568aa86118=250&amp;_so_list_sort0c3e02688721f4b8ba4b12568aa86118=name%3Adesc" TargetMode="External"/><Relationship Id="rId2" Type="http://schemas.openxmlformats.org/officeDocument/2006/relationships/hyperlink" Target="https://tamu-csm.symplicity.com/manager/index.php?_so_list_aat0c3e02688721f4b8ba4b12568aa86118=250&amp;_so_list_sort0c3e02688721f4b8ba4b12568aa86118=fullname%3Aasc" TargetMode="External"/><Relationship Id="rId3" Type="http://schemas.openxmlformats.org/officeDocument/2006/relationships/hyperlink" Target="https://tamu-csm.symplicity.com/manager/index.php?_so_list_aat0c3e02688721f4b8ba4b12568aa86118=250&amp;_so_list_sort0c3e02688721f4b8ba4b12568aa86118=sal_office_phone__032e6d03a9e7023b1b0885ef574f4c91%3Aasc" TargetMode="External"/><Relationship Id="rId149" Type="http://schemas.openxmlformats.org/officeDocument/2006/relationships/hyperlink" Target="mailto:hpe@nc3.com" TargetMode="External"/><Relationship Id="rId4" Type="http://schemas.openxmlformats.org/officeDocument/2006/relationships/hyperlink" Target="https://tamu-csm.symplicity.com/manager/index.php?_so_list_aat0c3e02688721f4b8ba4b12568aa86118=250&amp;_so_list_sort0c3e02688721f4b8ba4b12568aa86118=reps529be184%3Aasc" TargetMode="External"/><Relationship Id="rId148" Type="http://schemas.openxmlformats.org/officeDocument/2006/relationships/hyperlink" Target="mailto:mhenderson@hendersonrogers.com" TargetMode="External"/><Relationship Id="rId269" Type="http://schemas.openxmlformats.org/officeDocument/2006/relationships/hyperlink" Target="mailto:tdo@rosen-group.com" TargetMode="External"/><Relationship Id="rId9" Type="http://schemas.openxmlformats.org/officeDocument/2006/relationships/hyperlink" Target="mailto:ryan.schnabel@174powerglobal.com" TargetMode="External"/><Relationship Id="rId143" Type="http://schemas.openxmlformats.org/officeDocument/2006/relationships/hyperlink" Target="mailto:deidre.brearley@haskell.com" TargetMode="External"/><Relationship Id="rId264" Type="http://schemas.openxmlformats.org/officeDocument/2006/relationships/hyperlink" Target="mailto:tguevara@rgmiller.com" TargetMode="External"/><Relationship Id="rId142" Type="http://schemas.openxmlformats.org/officeDocument/2006/relationships/hyperlink" Target="mailto:hwalker@hartgaugler.com" TargetMode="External"/><Relationship Id="rId263" Type="http://schemas.openxmlformats.org/officeDocument/2006/relationships/hyperlink" Target="mailto:caguirre@rambus.com" TargetMode="External"/><Relationship Id="rId141" Type="http://schemas.openxmlformats.org/officeDocument/2006/relationships/hyperlink" Target="mailto:daniel.pino@hesconnect.com" TargetMode="External"/><Relationship Id="rId262" Type="http://schemas.openxmlformats.org/officeDocument/2006/relationships/hyperlink" Target="mailto:mkhandekar@ramboll.com" TargetMode="External"/><Relationship Id="rId140" Type="http://schemas.openxmlformats.org/officeDocument/2006/relationships/hyperlink" Target="mailto:rick.anderson@hctra.org" TargetMode="External"/><Relationship Id="rId261" Type="http://schemas.openxmlformats.org/officeDocument/2006/relationships/hyperlink" Target="mailto:khenson@ritd-llc.com" TargetMode="External"/><Relationship Id="rId5" Type="http://schemas.openxmlformats.org/officeDocument/2006/relationships/hyperlink" Target="https://tamu-csm.symplicity.com/manager/index.php?_so_list_aat0c3e02688721f4b8ba4b12568aa86118=250&amp;_so_list_sort0c3e02688721f4b8ba4b12568aa86118=sal_day_2_1f276bae906c5363a9e96849cf0e1c3c%3Aasc" TargetMode="External"/><Relationship Id="rId147" Type="http://schemas.openxmlformats.org/officeDocument/2006/relationships/hyperlink" Target="mailto:hannah.holloway@heidelbergmaterials.com" TargetMode="External"/><Relationship Id="rId268" Type="http://schemas.openxmlformats.org/officeDocument/2006/relationships/hyperlink" Target="mailto:colton.kovar@rokstonecru.com" TargetMode="External"/><Relationship Id="rId6" Type="http://schemas.openxmlformats.org/officeDocument/2006/relationships/hyperlink" Target="https://tamu-csm.symplicity.com/manager/index.php?_so_list_aat0c3e02688721f4b8ba4b12568aa86118=250&amp;_so_list_sort0c3e02688721f4b8ba4b12568aa86118=sal_booth_location_065ec030a79655d6ac773759b9c3657e%3Aasc" TargetMode="External"/><Relationship Id="rId146" Type="http://schemas.openxmlformats.org/officeDocument/2006/relationships/hyperlink" Target="mailto:emily.rehler@hdrinc.com" TargetMode="External"/><Relationship Id="rId267" Type="http://schemas.openxmlformats.org/officeDocument/2006/relationships/hyperlink" Target="mailto:kimberly.cardoso@rocrich.com" TargetMode="External"/><Relationship Id="rId7" Type="http://schemas.openxmlformats.org/officeDocument/2006/relationships/hyperlink" Target="https://tamu-csm.symplicity.com/manager/index.php?_so_list_aat0c3e02688721f4b8ba4b12568aa86118=250&amp;_so_list_sort0c3e02688721f4b8ba4b12568aa86118=attendee_type%3Aasc" TargetMode="External"/><Relationship Id="rId145" Type="http://schemas.openxmlformats.org/officeDocument/2006/relationships/hyperlink" Target="mailto:allison.cohn@haynesboone.com" TargetMode="External"/><Relationship Id="rId266" Type="http://schemas.openxmlformats.org/officeDocument/2006/relationships/hyperlink" Target="mailto:stahir@rimkus.com" TargetMode="External"/><Relationship Id="rId8" Type="http://schemas.openxmlformats.org/officeDocument/2006/relationships/hyperlink" Target="https://tamu-csm.symplicity.com/manager/index.php?_so_list_aat0c3e02688721f4b8ba4b12568aa86118=250&amp;_so_list_sort0c3e02688721f4b8ba4b12568aa86118=registered_on%3Aasc" TargetMode="External"/><Relationship Id="rId144" Type="http://schemas.openxmlformats.org/officeDocument/2006/relationships/hyperlink" Target="mailto:CampusNorthAmerica@hatch.com" TargetMode="External"/><Relationship Id="rId265" Type="http://schemas.openxmlformats.org/officeDocument/2006/relationships/hyperlink" Target="mailto:lauren.kraichely@rheem.com" TargetMode="External"/><Relationship Id="rId260" Type="http://schemas.openxmlformats.org/officeDocument/2006/relationships/hyperlink" Target="mailto:mhallman@ragleinc.com" TargetMode="External"/><Relationship Id="rId139" Type="http://schemas.openxmlformats.org/officeDocument/2006/relationships/hyperlink" Target="mailto:cmjackson@hargrove-epc.com" TargetMode="External"/><Relationship Id="rId138" Type="http://schemas.openxmlformats.org/officeDocument/2006/relationships/hyperlink" Target="mailto:resource.hou.fhouuniv@halliburton.com" TargetMode="External"/><Relationship Id="rId259" Type="http://schemas.openxmlformats.org/officeDocument/2006/relationships/hyperlink" Target="mailto:recruiting@quiddity.com" TargetMode="External"/><Relationship Id="rId137" Type="http://schemas.openxmlformats.org/officeDocument/2006/relationships/hyperlink" Target="mailto:gchin@halff.com" TargetMode="External"/><Relationship Id="rId258" Type="http://schemas.openxmlformats.org/officeDocument/2006/relationships/hyperlink" Target="mailto:eve.wulah@qtsdatacenters.com" TargetMode="External"/><Relationship Id="rId132" Type="http://schemas.openxmlformats.org/officeDocument/2006/relationships/hyperlink" Target="mailto:wbryan@gldd.com" TargetMode="External"/><Relationship Id="rId253" Type="http://schemas.openxmlformats.org/officeDocument/2006/relationships/hyperlink" Target="mailto:gabriela.martinez@pinnaclereliability.com" TargetMode="External"/><Relationship Id="rId131" Type="http://schemas.openxmlformats.org/officeDocument/2006/relationships/hyperlink" Target="mailto:thelmabrown@gldd.com" TargetMode="External"/><Relationship Id="rId252" Type="http://schemas.openxmlformats.org/officeDocument/2006/relationships/hyperlink" Target="mailto:jwsimpson@pike.com" TargetMode="External"/><Relationship Id="rId130" Type="http://schemas.openxmlformats.org/officeDocument/2006/relationships/hyperlink" Target="mailto:mbaacke@gmcivil.com" TargetMode="External"/><Relationship Id="rId251" Type="http://schemas.openxmlformats.org/officeDocument/2006/relationships/hyperlink" Target="mailto:rormiston@petsystems.com" TargetMode="External"/><Relationship Id="rId250" Type="http://schemas.openxmlformats.org/officeDocument/2006/relationships/hyperlink" Target="mailto:emily.pinfold@peloton.com" TargetMode="External"/><Relationship Id="rId136" Type="http://schemas.openxmlformats.org/officeDocument/2006/relationships/hyperlink" Target="mailto:beth.goodlander@h2bengineers.com" TargetMode="External"/><Relationship Id="rId257" Type="http://schemas.openxmlformats.org/officeDocument/2006/relationships/hyperlink" Target="mailto:skliebert@prim.com" TargetMode="External"/><Relationship Id="rId135" Type="http://schemas.openxmlformats.org/officeDocument/2006/relationships/hyperlink" Target="mailto:collegerecruiting@heb.com" TargetMode="External"/><Relationship Id="rId256" Type="http://schemas.openxmlformats.org/officeDocument/2006/relationships/hyperlink" Target="mailto:k.lehman@prime-controls.com" TargetMode="External"/><Relationship Id="rId134" Type="http://schemas.openxmlformats.org/officeDocument/2006/relationships/hyperlink" Target="mailto:reneeg@gie.com" TargetMode="External"/><Relationship Id="rId255" Type="http://schemas.openxmlformats.org/officeDocument/2006/relationships/hyperlink" Target="mailto:collegerecruiting@powereng.com" TargetMode="External"/><Relationship Id="rId133" Type="http://schemas.openxmlformats.org/officeDocument/2006/relationships/hyperlink" Target="mailto:allison.blake@greatplainsmfg.com" TargetMode="External"/><Relationship Id="rId254" Type="http://schemas.openxmlformats.org/officeDocument/2006/relationships/hyperlink" Target="mailto:mmoser@plummer.com" TargetMode="External"/><Relationship Id="rId172" Type="http://schemas.openxmlformats.org/officeDocument/2006/relationships/hyperlink" Target="mailto:csullivan@jaycashman.com" TargetMode="External"/><Relationship Id="rId293" Type="http://schemas.openxmlformats.org/officeDocument/2006/relationships/hyperlink" Target="mailto:rachel.pelayo@swri.org" TargetMode="External"/><Relationship Id="rId171" Type="http://schemas.openxmlformats.org/officeDocument/2006/relationships/hyperlink" Target="mailto:GlobalFutureTalent@jacobs.com" TargetMode="External"/><Relationship Id="rId292" Type="http://schemas.openxmlformats.org/officeDocument/2006/relationships/hyperlink" Target="mailto:marketing@swengineers.com" TargetMode="External"/><Relationship Id="rId170" Type="http://schemas.openxmlformats.org/officeDocument/2006/relationships/hyperlink" Target="mailto:pchopra@intuitivemachines.com" TargetMode="External"/><Relationship Id="rId291" Type="http://schemas.openxmlformats.org/officeDocument/2006/relationships/hyperlink" Target="mailto:slb@nc3.com" TargetMode="External"/><Relationship Id="rId290" Type="http://schemas.openxmlformats.org/officeDocument/2006/relationships/hyperlink" Target="mailto:anushree.datta@siemens-energy.com" TargetMode="External"/><Relationship Id="rId165" Type="http://schemas.openxmlformats.org/officeDocument/2006/relationships/hyperlink" Target="mailto:egarcia@indusrb.com" TargetMode="External"/><Relationship Id="rId286" Type="http://schemas.openxmlformats.org/officeDocument/2006/relationships/hyperlink" Target="mailto:hhightower@shahsmith.com" TargetMode="External"/><Relationship Id="rId164" Type="http://schemas.openxmlformats.org/officeDocument/2006/relationships/hyperlink" Target="mailto:jaime.loyo@us.indorama.net" TargetMode="External"/><Relationship Id="rId285" Type="http://schemas.openxmlformats.org/officeDocument/2006/relationships/hyperlink" Target="mailto:apply@se-texas.com" TargetMode="External"/><Relationship Id="rId163" Type="http://schemas.openxmlformats.org/officeDocument/2006/relationships/hyperlink" Target="mailto:paige.k.trimble@imegcorp.com" TargetMode="External"/><Relationship Id="rId284" Type="http://schemas.openxmlformats.org/officeDocument/2006/relationships/hyperlink" Target="mailto:careerfair@sec.tamu.edu" TargetMode="External"/><Relationship Id="rId162" Type="http://schemas.openxmlformats.org/officeDocument/2006/relationships/hyperlink" Target="mailto:ivan.barajas@illinois.gov" TargetMode="External"/><Relationship Id="rId283" Type="http://schemas.openxmlformats.org/officeDocument/2006/relationships/hyperlink" Target="mailto:cameronkramr@warriorsystem.com" TargetMode="External"/><Relationship Id="rId169" Type="http://schemas.openxmlformats.org/officeDocument/2006/relationships/hyperlink" Target="mailto:xmedina@ie-services.com" TargetMode="External"/><Relationship Id="rId168" Type="http://schemas.openxmlformats.org/officeDocument/2006/relationships/hyperlink" Target="mailto:mikkel.chaisson@innovex-inc.com" TargetMode="External"/><Relationship Id="rId289" Type="http://schemas.openxmlformats.org/officeDocument/2006/relationships/hyperlink" Target="mailto:reed.hull@siemens-energy.com" TargetMode="External"/><Relationship Id="rId167" Type="http://schemas.openxmlformats.org/officeDocument/2006/relationships/hyperlink" Target="mailto:lmartin@r717.net" TargetMode="External"/><Relationship Id="rId288" Type="http://schemas.openxmlformats.org/officeDocument/2006/relationships/hyperlink" Target="mailto:reagan.squire@shield-engineering.com" TargetMode="External"/><Relationship Id="rId166" Type="http://schemas.openxmlformats.org/officeDocument/2006/relationships/hyperlink" Target="mailto:infineon@nc3.com" TargetMode="External"/><Relationship Id="rId287" Type="http://schemas.openxmlformats.org/officeDocument/2006/relationships/hyperlink" Target="mailto:anna.moon@shermco.com" TargetMode="External"/><Relationship Id="rId161" Type="http://schemas.openxmlformats.org/officeDocument/2006/relationships/hyperlink" Target="mailto:marketing@ieaworld.com" TargetMode="External"/><Relationship Id="rId282" Type="http://schemas.openxmlformats.org/officeDocument/2006/relationships/hyperlink" Target="mailto:jennifer.l.perrill@saic.com" TargetMode="External"/><Relationship Id="rId160" Type="http://schemas.openxmlformats.org/officeDocument/2006/relationships/hyperlink" Target="mailto:marketing@idseg.com" TargetMode="External"/><Relationship Id="rId281" Type="http://schemas.openxmlformats.org/officeDocument/2006/relationships/hyperlink" Target="mailto:internships@selinc.com" TargetMode="External"/><Relationship Id="rId280" Type="http://schemas.openxmlformats.org/officeDocument/2006/relationships/hyperlink" Target="mailto:kmccormick@schnabel-eng.com" TargetMode="External"/><Relationship Id="rId159" Type="http://schemas.openxmlformats.org/officeDocument/2006/relationships/hyperlink" Target="mailto:llutz@idtech.com" TargetMode="External"/><Relationship Id="rId154" Type="http://schemas.openxmlformats.org/officeDocument/2006/relationships/hyperlink" Target="mailto:Jen-mcCalley@hoffmancorp.com" TargetMode="External"/><Relationship Id="rId275" Type="http://schemas.openxmlformats.org/officeDocument/2006/relationships/hyperlink" Target="mailto:cynthia.escamilla@saberpower.com" TargetMode="External"/><Relationship Id="rId153" Type="http://schemas.openxmlformats.org/officeDocument/2006/relationships/hyperlink" Target="mailto:mwinters@hntb.com" TargetMode="External"/><Relationship Id="rId274" Type="http://schemas.openxmlformats.org/officeDocument/2006/relationships/hyperlink" Target="mailto:dlschultz@sbec.com" TargetMode="External"/><Relationship Id="rId152" Type="http://schemas.openxmlformats.org/officeDocument/2006/relationships/hyperlink" Target="mailto:kendram@hmtnb.com" TargetMode="External"/><Relationship Id="rId273" Type="http://schemas.openxmlformats.org/officeDocument/2006/relationships/hyperlink" Target="mailto:madison.boe@ryancompanies.com" TargetMode="External"/><Relationship Id="rId151" Type="http://schemas.openxmlformats.org/officeDocument/2006/relationships/hyperlink" Target="mailto:ashley.mcelroy@hfa-ae.com" TargetMode="External"/><Relationship Id="rId272" Type="http://schemas.openxmlformats.org/officeDocument/2006/relationships/hyperlink" Target="mailto:rtx@nc3.com" TargetMode="External"/><Relationship Id="rId158" Type="http://schemas.openxmlformats.org/officeDocument/2006/relationships/hyperlink" Target="mailto:ccody@h-jinc.com" TargetMode="External"/><Relationship Id="rId279" Type="http://schemas.openxmlformats.org/officeDocument/2006/relationships/hyperlink" Target="mailto:dharris@scheibeconsulting.com" TargetMode="External"/><Relationship Id="rId157" Type="http://schemas.openxmlformats.org/officeDocument/2006/relationships/hyperlink" Target="mailto:vdeluna@huitt-zollars.com" TargetMode="External"/><Relationship Id="rId278" Type="http://schemas.openxmlformats.org/officeDocument/2006/relationships/hyperlink" Target="mailto:anmonta@sandia.gov" TargetMode="External"/><Relationship Id="rId156" Type="http://schemas.openxmlformats.org/officeDocument/2006/relationships/hyperlink" Target="mailto:misty.proler@hts.com" TargetMode="External"/><Relationship Id="rId277" Type="http://schemas.openxmlformats.org/officeDocument/2006/relationships/hyperlink" Target="mailto:khuerter@sjra.net" TargetMode="External"/><Relationship Id="rId155" Type="http://schemas.openxmlformats.org/officeDocument/2006/relationships/hyperlink" Target="mailto:ashley.peckham@hrgreen.com" TargetMode="External"/><Relationship Id="rId276" Type="http://schemas.openxmlformats.org/officeDocument/2006/relationships/hyperlink" Target="mailto:jennifer.lowery@samsongroup.com" TargetMode="External"/><Relationship Id="rId40" Type="http://schemas.openxmlformats.org/officeDocument/2006/relationships/hyperlink" Target="mailto:aanderson@barnhartcrane.com" TargetMode="External"/><Relationship Id="rId42" Type="http://schemas.openxmlformats.org/officeDocument/2006/relationships/hyperlink" Target="mailto:recruiting@bgeinc.com" TargetMode="External"/><Relationship Id="rId41" Type="http://schemas.openxmlformats.org/officeDocument/2006/relationships/hyperlink" Target="mailto:drewg@barronstark.com" TargetMode="External"/><Relationship Id="rId44" Type="http://schemas.openxmlformats.org/officeDocument/2006/relationships/hyperlink" Target="mailto:WheelerSE@bv.com" TargetMode="External"/><Relationship Id="rId43" Type="http://schemas.openxmlformats.org/officeDocument/2006/relationships/hyperlink" Target="mailto:bbi.hr@dccm.com" TargetMode="External"/><Relationship Id="rId46" Type="http://schemas.openxmlformats.org/officeDocument/2006/relationships/hyperlink" Target="mailto:fgavelli@blueeandc.com" TargetMode="External"/><Relationship Id="rId45" Type="http://schemas.openxmlformats.org/officeDocument/2006/relationships/hyperlink" Target="mailto:twalker@bleylengineering.com" TargetMode="External"/><Relationship Id="rId48" Type="http://schemas.openxmlformats.org/officeDocument/2006/relationships/hyperlink" Target="mailto:lori.mckissic@bowman.com" TargetMode="External"/><Relationship Id="rId47" Type="http://schemas.openxmlformats.org/officeDocument/2006/relationships/hyperlink" Target="mailto:nick@bo-engineering.com" TargetMode="External"/><Relationship Id="rId49" Type="http://schemas.openxmlformats.org/officeDocument/2006/relationships/hyperlink" Target="mailto:anfowler@bec-inc.com" TargetMode="External"/><Relationship Id="rId31" Type="http://schemas.openxmlformats.org/officeDocument/2006/relationships/hyperlink" Target="mailto:kevin.edwards@oneatlas.com" TargetMode="External"/><Relationship Id="rId30" Type="http://schemas.openxmlformats.org/officeDocument/2006/relationships/hyperlink" Target="mailto:lherzog@atlas.energy" TargetMode="External"/><Relationship Id="rId33" Type="http://schemas.openxmlformats.org/officeDocument/2006/relationships/hyperlink" Target="mailto:eemerson@austin-ind.com" TargetMode="External"/><Relationship Id="rId32" Type="http://schemas.openxmlformats.org/officeDocument/2006/relationships/hyperlink" Target="mailto:kschnadelbach@auduboncompanies.com" TargetMode="External"/><Relationship Id="rId35" Type="http://schemas.openxmlformats.org/officeDocument/2006/relationships/hyperlink" Target="mailto:awesterkamp@symplicity.com" TargetMode="External"/><Relationship Id="rId34" Type="http://schemas.openxmlformats.org/officeDocument/2006/relationships/hyperlink" Target="mailto:brooke.day@awc-inc.com" TargetMode="External"/><Relationship Id="rId37" Type="http://schemas.openxmlformats.org/officeDocument/2006/relationships/hyperlink" Target="mailto:scott.nowlin@baesystems.us" TargetMode="External"/><Relationship Id="rId36" Type="http://schemas.openxmlformats.org/officeDocument/2006/relationships/hyperlink" Target="mailto:pamela.cavazos@axensgroup.com" TargetMode="External"/><Relationship Id="rId39" Type="http://schemas.openxmlformats.org/officeDocument/2006/relationships/hyperlink" Target="mailto:ilham.farehan@bakerhughes.com" TargetMode="External"/><Relationship Id="rId38" Type="http://schemas.openxmlformats.org/officeDocument/2006/relationships/hyperlink" Target="mailto:careers@bhbinc.com" TargetMode="External"/><Relationship Id="rId20" Type="http://schemas.openxmlformats.org/officeDocument/2006/relationships/hyperlink" Target="mailto:christopher.y.tidmore.mil@us.navy.mil" TargetMode="External"/><Relationship Id="rId22" Type="http://schemas.openxmlformats.org/officeDocument/2006/relationships/hyperlink" Target="mailto:r.singh@advancedoilfieldinnovations.com" TargetMode="External"/><Relationship Id="rId21" Type="http://schemas.openxmlformats.org/officeDocument/2006/relationships/hyperlink" Target="mailto:felicia.nguyen@andersencorp.com" TargetMode="External"/><Relationship Id="rId24" Type="http://schemas.openxmlformats.org/officeDocument/2006/relationships/hyperlink" Target="mailto:recruiting@arlut.utexas.edu" TargetMode="External"/><Relationship Id="rId23" Type="http://schemas.openxmlformats.org/officeDocument/2006/relationships/hyperlink" Target="mailto:bbecerra@ara.com" TargetMode="External"/><Relationship Id="rId26" Type="http://schemas.openxmlformats.org/officeDocument/2006/relationships/hyperlink" Target="mailto:mmeade@arcomurray.com" TargetMode="External"/><Relationship Id="rId25" Type="http://schemas.openxmlformats.org/officeDocument/2006/relationships/hyperlink" Target="mailto:sheila@arbin.com" TargetMode="External"/><Relationship Id="rId28" Type="http://schemas.openxmlformats.org/officeDocument/2006/relationships/hyperlink" Target="mailto:jobs@arionblue.com" TargetMode="External"/><Relationship Id="rId27" Type="http://schemas.openxmlformats.org/officeDocument/2006/relationships/hyperlink" Target="mailto:morban@ardurra.com" TargetMode="External"/><Relationship Id="rId29" Type="http://schemas.openxmlformats.org/officeDocument/2006/relationships/hyperlink" Target="mailto:Charles.Slack@atkinsrealis.com" TargetMode="External"/><Relationship Id="rId11" Type="http://schemas.openxmlformats.org/officeDocument/2006/relationships/hyperlink" Target="mailto:ecurry@age-se.com" TargetMode="External"/><Relationship Id="rId10" Type="http://schemas.openxmlformats.org/officeDocument/2006/relationships/hyperlink" Target="mailto:rda@as-engineers.com" TargetMode="External"/><Relationship Id="rId13" Type="http://schemas.openxmlformats.org/officeDocument/2006/relationships/hyperlink" Target="mailto:airliquide@nc3.com" TargetMode="External"/><Relationship Id="rId12" Type="http://schemas.openxmlformats.org/officeDocument/2006/relationships/hyperlink" Target="mailto:shirley.faust@aguirre-fields.com" TargetMode="External"/><Relationship Id="rId15" Type="http://schemas.openxmlformats.org/officeDocument/2006/relationships/hyperlink" Target="mailto:chance.cook@alfalaval.com" TargetMode="External"/><Relationship Id="rId14" Type="http://schemas.openxmlformats.org/officeDocument/2006/relationships/hyperlink" Target="mailto:jjulian@albers.aero" TargetMode="External"/><Relationship Id="rId17" Type="http://schemas.openxmlformats.org/officeDocument/2006/relationships/hyperlink" Target="mailto:jnguyen@abbae.com" TargetMode="External"/><Relationship Id="rId16" Type="http://schemas.openxmlformats.org/officeDocument/2006/relationships/hyperlink" Target="mailto:ahebert@all4inc.com" TargetMode="External"/><Relationship Id="rId19" Type="http://schemas.openxmlformats.org/officeDocument/2006/relationships/hyperlink" Target="mailto:heather.hancock@us.amentum.com" TargetMode="External"/><Relationship Id="rId18" Type="http://schemas.openxmlformats.org/officeDocument/2006/relationships/hyperlink" Target="mailto:joanne.delapaz@alliantgroup.com" TargetMode="External"/><Relationship Id="rId84" Type="http://schemas.openxmlformats.org/officeDocument/2006/relationships/hyperlink" Target="mailto:shannonnelson@cushingterrell.com" TargetMode="External"/><Relationship Id="rId83" Type="http://schemas.openxmlformats.org/officeDocument/2006/relationships/hyperlink" Target="mailto:rmckissack@cphengineering.com" TargetMode="External"/><Relationship Id="rId86" Type="http://schemas.openxmlformats.org/officeDocument/2006/relationships/hyperlink" Target="mailto:sorth@dallyassociates.com" TargetMode="External"/><Relationship Id="rId85" Type="http://schemas.openxmlformats.org/officeDocument/2006/relationships/hyperlink" Target="mailto:humanresources@dailyinst.com" TargetMode="External"/><Relationship Id="rId88" Type="http://schemas.openxmlformats.org/officeDocument/2006/relationships/hyperlink" Target="mailto:erikap@datumengineers.com" TargetMode="External"/><Relationship Id="rId87" Type="http://schemas.openxmlformats.org/officeDocument/2006/relationships/hyperlink" Target="mailto:tori.smith@dashiell.com" TargetMode="External"/><Relationship Id="rId89" Type="http://schemas.openxmlformats.org/officeDocument/2006/relationships/hyperlink" Target="mailto:rc@dbi-cc.com" TargetMode="External"/><Relationship Id="rId80" Type="http://schemas.openxmlformats.org/officeDocument/2006/relationships/hyperlink" Target="mailto:ginnessa.johnson@collierseng.com" TargetMode="External"/><Relationship Id="rId82" Type="http://schemas.openxmlformats.org/officeDocument/2006/relationships/hyperlink" Target="mailto:khamilton@coreslab.com" TargetMode="External"/><Relationship Id="rId81" Type="http://schemas.openxmlformats.org/officeDocument/2006/relationships/hyperlink" Target="mailto:angelica.harrell@contechnet.com" TargetMode="External"/><Relationship Id="rId73" Type="http://schemas.openxmlformats.org/officeDocument/2006/relationships/hyperlink" Target="mailto:hannah.coleman@hudsonproducts.com" TargetMode="External"/><Relationship Id="rId72" Type="http://schemas.openxmlformats.org/officeDocument/2006/relationships/hyperlink" Target="mailto:laurie.firmin@champtechnology.com" TargetMode="External"/><Relationship Id="rId75" Type="http://schemas.openxmlformats.org/officeDocument/2006/relationships/hyperlink" Target="mailto:caceituno@newbraunfels.gov" TargetMode="External"/><Relationship Id="rId74" Type="http://schemas.openxmlformats.org/officeDocument/2006/relationships/hyperlink" Target="mailto:gregory1.lopez@citi.com" TargetMode="External"/><Relationship Id="rId77" Type="http://schemas.openxmlformats.org/officeDocument/2006/relationships/hyperlink" Target="mailto:cayla.tucker@cmc.com" TargetMode="External"/><Relationship Id="rId76" Type="http://schemas.openxmlformats.org/officeDocument/2006/relationships/hyperlink" Target="mailto:breinstadtler@cecinc.com" TargetMode="External"/><Relationship Id="rId79" Type="http://schemas.openxmlformats.org/officeDocument/2006/relationships/hyperlink" Target="mailto:recruiting@cobbfendley.com" TargetMode="External"/><Relationship Id="rId78" Type="http://schemas.openxmlformats.org/officeDocument/2006/relationships/hyperlink" Target="mailto:ur@cmta.com" TargetMode="External"/><Relationship Id="rId71" Type="http://schemas.openxmlformats.org/officeDocument/2006/relationships/hyperlink" Target="mailto:scott.r.yoder@centerpointenergy.com" TargetMode="External"/><Relationship Id="rId70" Type="http://schemas.openxmlformats.org/officeDocument/2006/relationships/hyperlink" Target="mailto:chclift@cdc-usa.com" TargetMode="External"/><Relationship Id="rId62" Type="http://schemas.openxmlformats.org/officeDocument/2006/relationships/hyperlink" Target="mailto:academicnetwork_na@cadence.com" TargetMode="External"/><Relationship Id="rId61" Type="http://schemas.openxmlformats.org/officeDocument/2006/relationships/hyperlink" Target="mailto:angela.berman@bwdesigngroup.com" TargetMode="External"/><Relationship Id="rId64" Type="http://schemas.openxmlformats.org/officeDocument/2006/relationships/hyperlink" Target="mailto:Brandon.Rich@capco.com" TargetMode="External"/><Relationship Id="rId63" Type="http://schemas.openxmlformats.org/officeDocument/2006/relationships/hyperlink" Target="mailto:dan.wilkerson@camposepc.com" TargetMode="External"/><Relationship Id="rId66" Type="http://schemas.openxmlformats.org/officeDocument/2006/relationships/hyperlink" Target="mailto:cargill@nc3.com" TargetMode="External"/><Relationship Id="rId65" Type="http://schemas.openxmlformats.org/officeDocument/2006/relationships/hyperlink" Target="mailto:recruiting@capsher.com" TargetMode="External"/><Relationship Id="rId68" Type="http://schemas.openxmlformats.org/officeDocument/2006/relationships/hyperlink" Target="mailto:talent_acquisition@cat.com" TargetMode="External"/><Relationship Id="rId67" Type="http://schemas.openxmlformats.org/officeDocument/2006/relationships/hyperlink" Target="mailto:CSowells@carollo.com" TargetMode="External"/><Relationship Id="rId60" Type="http://schemas.openxmlformats.org/officeDocument/2006/relationships/hyperlink" Target="mailto:sarivera@tamu.edu" TargetMode="External"/><Relationship Id="rId69" Type="http://schemas.openxmlformats.org/officeDocument/2006/relationships/hyperlink" Target="mailto:brad.veath@cbi.com" TargetMode="External"/><Relationship Id="rId51" Type="http://schemas.openxmlformats.org/officeDocument/2006/relationships/hyperlink" Target="mailto:busa.recruiting@bray.com" TargetMode="External"/><Relationship Id="rId50" Type="http://schemas.openxmlformats.org/officeDocument/2006/relationships/hyperlink" Target="mailto:cpurvis@brasfieldgorrie.com" TargetMode="External"/><Relationship Id="rId53" Type="http://schemas.openxmlformats.org/officeDocument/2006/relationships/hyperlink" Target="mailto:sbullock@brocksolutions.com" TargetMode="External"/><Relationship Id="rId52" Type="http://schemas.openxmlformats.org/officeDocument/2006/relationships/hyperlink" Target="mailto:lsewell@brazoselectric.com" TargetMode="External"/><Relationship Id="rId55" Type="http://schemas.openxmlformats.org/officeDocument/2006/relationships/hyperlink" Target="mailto:palbrecht@brwncald.com" TargetMode="External"/><Relationship Id="rId54" Type="http://schemas.openxmlformats.org/officeDocument/2006/relationships/hyperlink" Target="mailto:deandre.fahie@bachamber.com" TargetMode="External"/><Relationship Id="rId57" Type="http://schemas.openxmlformats.org/officeDocument/2006/relationships/hyperlink" Target="mailto:careers@bre.com" TargetMode="External"/><Relationship Id="rId56" Type="http://schemas.openxmlformats.org/officeDocument/2006/relationships/hyperlink" Target="mailto:jvillarreal@brownsville-pub.com" TargetMode="External"/><Relationship Id="rId59" Type="http://schemas.openxmlformats.org/officeDocument/2006/relationships/hyperlink" Target="mailto:CampusRecruiting@burnsmcd.com" TargetMode="External"/><Relationship Id="rId58" Type="http://schemas.openxmlformats.org/officeDocument/2006/relationships/hyperlink" Target="mailto:cshauger@geoneering.com" TargetMode="External"/><Relationship Id="rId107" Type="http://schemas.openxmlformats.org/officeDocument/2006/relationships/hyperlink" Target="mailto:lromer@entact.com" TargetMode="External"/><Relationship Id="rId228" Type="http://schemas.openxmlformats.org/officeDocument/2006/relationships/hyperlink" Target="mailto:russell.mendoza@unnpp.gov" TargetMode="External"/><Relationship Id="rId349" Type="http://schemas.openxmlformats.org/officeDocument/2006/relationships/hyperlink" Target="mailto:kbowie@wrallp.com" TargetMode="External"/><Relationship Id="rId106" Type="http://schemas.openxmlformats.org/officeDocument/2006/relationships/hyperlink" Target="mailto:rsilva@engdyn.com" TargetMode="External"/><Relationship Id="rId227" Type="http://schemas.openxmlformats.org/officeDocument/2006/relationships/hyperlink" Target="mailto:elise.k.sutherland2.civ@us.navy.mil" TargetMode="External"/><Relationship Id="rId348" Type="http://schemas.openxmlformats.org/officeDocument/2006/relationships/hyperlink" Target="mailto:lpicard@wga-llp.com" TargetMode="External"/><Relationship Id="rId105" Type="http://schemas.openxmlformats.org/officeDocument/2006/relationships/hyperlink" Target="mailto:universityprograms@ecslimited.com" TargetMode="External"/><Relationship Id="rId226" Type="http://schemas.openxmlformats.org/officeDocument/2006/relationships/hyperlink" Target="mailto:chandler.m.steele.civ@us.navy.mil" TargetMode="External"/><Relationship Id="rId347" Type="http://schemas.openxmlformats.org/officeDocument/2006/relationships/hyperlink" Target="mailto:careers@westwoodps.com" TargetMode="External"/><Relationship Id="rId104" Type="http://schemas.openxmlformats.org/officeDocument/2006/relationships/hyperlink" Target="mailto:jeannette.troup@energytransfer.com" TargetMode="External"/><Relationship Id="rId225" Type="http://schemas.openxmlformats.org/officeDocument/2006/relationships/hyperlink" Target="mailto:anna.tuvelman@caci.com" TargetMode="External"/><Relationship Id="rId346" Type="http://schemas.openxmlformats.org/officeDocument/2006/relationships/hyperlink" Target="mailto:sopamm@westinghouse.com" TargetMode="External"/><Relationship Id="rId109" Type="http://schemas.openxmlformats.org/officeDocument/2006/relationships/hyperlink" Target="mailto:lhende9@entergy.com" TargetMode="External"/><Relationship Id="rId108" Type="http://schemas.openxmlformats.org/officeDocument/2006/relationships/hyperlink" Target="mailto:mclane.wood@entegris.com" TargetMode="External"/><Relationship Id="rId229" Type="http://schemas.openxmlformats.org/officeDocument/2006/relationships/hyperlink" Target="mailto:andrew.t.loh.civ@us.navy.mil" TargetMode="External"/><Relationship Id="rId220" Type="http://schemas.openxmlformats.org/officeDocument/2006/relationships/hyperlink" Target="mailto:thedfwrecruiter@gmail.com" TargetMode="External"/><Relationship Id="rId341" Type="http://schemas.openxmlformats.org/officeDocument/2006/relationships/hyperlink" Target="mailto:asalas@vs-eng.com" TargetMode="External"/><Relationship Id="rId340" Type="http://schemas.openxmlformats.org/officeDocument/2006/relationships/hyperlink" Target="mailto:sarah.lynn@vistracorp.com" TargetMode="External"/><Relationship Id="rId103" Type="http://schemas.openxmlformats.org/officeDocument/2006/relationships/hyperlink" Target="mailto:mcooney@enercon.com" TargetMode="External"/><Relationship Id="rId224" Type="http://schemas.openxmlformats.org/officeDocument/2006/relationships/hyperlink" Target="mailto:vincent.reed@nnsa.doe.gov" TargetMode="External"/><Relationship Id="rId345" Type="http://schemas.openxmlformats.org/officeDocument/2006/relationships/hyperlink" Target="mailto:esin@wwebber.com" TargetMode="External"/><Relationship Id="rId102" Type="http://schemas.openxmlformats.org/officeDocument/2006/relationships/hyperlink" Target="mailto:ashley.garrison@eec-tx.com" TargetMode="External"/><Relationship Id="rId223" Type="http://schemas.openxmlformats.org/officeDocument/2006/relationships/hyperlink" Target="mailto:elizabeth.c.blome@nasa.gov" TargetMode="External"/><Relationship Id="rId344" Type="http://schemas.openxmlformats.org/officeDocument/2006/relationships/hyperlink" Target="mailto:cmichael@wcgrp.com" TargetMode="External"/><Relationship Id="rId101" Type="http://schemas.openxmlformats.org/officeDocument/2006/relationships/hyperlink" Target="mailto:sgarcia@elevationlandsolutions.com" TargetMode="External"/><Relationship Id="rId222" Type="http://schemas.openxmlformats.org/officeDocument/2006/relationships/hyperlink" Target="mailto:kourtnee.phillips@nabors.com" TargetMode="External"/><Relationship Id="rId343" Type="http://schemas.openxmlformats.org/officeDocument/2006/relationships/hyperlink" Target="mailto:marykate.markey@wardandburke.com" TargetMode="External"/><Relationship Id="rId100" Type="http://schemas.openxmlformats.org/officeDocument/2006/relationships/hyperlink" Target="mailto:danielfrericks@epdltd.com" TargetMode="External"/><Relationship Id="rId221" Type="http://schemas.openxmlformats.org/officeDocument/2006/relationships/hyperlink" Target="mailto:mecinfo@murfee.com" TargetMode="External"/><Relationship Id="rId342" Type="http://schemas.openxmlformats.org/officeDocument/2006/relationships/hyperlink" Target="mailto:cmuska@walkerpartners.com" TargetMode="External"/><Relationship Id="rId217" Type="http://schemas.openxmlformats.org/officeDocument/2006/relationships/hyperlink" Target="mailto:pquilter@micron.com" TargetMode="External"/><Relationship Id="rId338" Type="http://schemas.openxmlformats.org/officeDocument/2006/relationships/hyperlink" Target="mailto:mike_beem@vex.com" TargetMode="External"/><Relationship Id="rId216" Type="http://schemas.openxmlformats.org/officeDocument/2006/relationships/hyperlink" Target="mailto:sbielamowicz@meglobal.biz" TargetMode="External"/><Relationship Id="rId337" Type="http://schemas.openxmlformats.org/officeDocument/2006/relationships/hyperlink" Target="mailto:awood@venturegloballng.com" TargetMode="External"/><Relationship Id="rId215" Type="http://schemas.openxmlformats.org/officeDocument/2006/relationships/hyperlink" Target="mailto:careers@mckinstry.com" TargetMode="External"/><Relationship Id="rId336" Type="http://schemas.openxmlformats.org/officeDocument/2006/relationships/hyperlink" Target="mailto:mroland@pscu.com" TargetMode="External"/><Relationship Id="rId214" Type="http://schemas.openxmlformats.org/officeDocument/2006/relationships/hyperlink" Target="mailto:mvelezrodriguez@mccarthy.com" TargetMode="External"/><Relationship Id="rId335" Type="http://schemas.openxmlformats.org/officeDocument/2006/relationships/hyperlink" Target="mailto:laci.stamm@valero.com" TargetMode="External"/><Relationship Id="rId219" Type="http://schemas.openxmlformats.org/officeDocument/2006/relationships/hyperlink" Target="mailto:collegerecruiting@mortenson.com" TargetMode="External"/><Relationship Id="rId218" Type="http://schemas.openxmlformats.org/officeDocument/2006/relationships/hyperlink" Target="mailto:dlarson@mmatexas.com" TargetMode="External"/><Relationship Id="rId339" Type="http://schemas.openxmlformats.org/officeDocument/2006/relationships/hyperlink" Target="mailto:lauren.metz-contractor@viridiengroup.com" TargetMode="External"/><Relationship Id="rId330" Type="http://schemas.openxmlformats.org/officeDocument/2006/relationships/hyperlink" Target="mailto:ngarrity@ups.com" TargetMode="External"/><Relationship Id="rId213" Type="http://schemas.openxmlformats.org/officeDocument/2006/relationships/hyperlink" Target="mailto:bellen@mays.tamu.edu" TargetMode="External"/><Relationship Id="rId334" Type="http://schemas.openxmlformats.org/officeDocument/2006/relationships/hyperlink" Target="mailto:victoria.guevara@usaa.com" TargetMode="External"/><Relationship Id="rId212" Type="http://schemas.openxmlformats.org/officeDocument/2006/relationships/hyperlink" Target="mailto:jsprayberry@mays.tamu.edu" TargetMode="External"/><Relationship Id="rId333" Type="http://schemas.openxmlformats.org/officeDocument/2006/relationships/hyperlink" Target="mailto:laurenburns@usconec.com" TargetMode="External"/><Relationship Id="rId211" Type="http://schemas.openxmlformats.org/officeDocument/2006/relationships/hyperlink" Target="mailto:jharbuck@matkinhoover.com" TargetMode="External"/><Relationship Id="rId332" Type="http://schemas.openxmlformats.org/officeDocument/2006/relationships/hyperlink" Target="mailto:kasey.e.krall@usace.army.mil" TargetMode="External"/><Relationship Id="rId210" Type="http://schemas.openxmlformats.org/officeDocument/2006/relationships/hyperlink" Target="mailto:careers@matadorresources.com" TargetMode="External"/><Relationship Id="rId331" Type="http://schemas.openxmlformats.org/officeDocument/2006/relationships/hyperlink" Target="mailto:scott.gemmill@usace.army.mil" TargetMode="External"/><Relationship Id="rId129" Type="http://schemas.openxmlformats.org/officeDocument/2006/relationships/hyperlink" Target="mailto:hr@gessnereng.com" TargetMode="External"/><Relationship Id="rId128" Type="http://schemas.openxmlformats.org/officeDocument/2006/relationships/hyperlink" Target="mailto:ebuniversityrelations@gdeb.com" TargetMode="External"/><Relationship Id="rId249" Type="http://schemas.openxmlformats.org/officeDocument/2006/relationships/hyperlink" Target="mailto:tony.talamantes@paycomonline.com" TargetMode="External"/><Relationship Id="rId127" Type="http://schemas.openxmlformats.org/officeDocument/2006/relationships/hyperlink" Target="mailto:jmorgan@gbateam.com" TargetMode="External"/><Relationship Id="rId248" Type="http://schemas.openxmlformats.org/officeDocument/2006/relationships/hyperlink" Target="mailto:mikinzy.boggs@nextierofs.com" TargetMode="External"/><Relationship Id="rId126" Type="http://schemas.openxmlformats.org/officeDocument/2006/relationships/hyperlink" Target="mailto:kayla.maxey@gatx.com" TargetMode="External"/><Relationship Id="rId247" Type="http://schemas.openxmlformats.org/officeDocument/2006/relationships/hyperlink" Target="mailto:campusrecruiting@pape-dawson.com" TargetMode="External"/><Relationship Id="rId121" Type="http://schemas.openxmlformats.org/officeDocument/2006/relationships/hyperlink" Target="mailto:kblanco@fbdfrozen.com" TargetMode="External"/><Relationship Id="rId242" Type="http://schemas.openxmlformats.org/officeDocument/2006/relationships/hyperlink" Target="mailto:derek.aquiningoc@oncor.com" TargetMode="External"/><Relationship Id="rId120" Type="http://schemas.openxmlformats.org/officeDocument/2006/relationships/hyperlink" Target="mailto:kyle.beeler@fnacc.com" TargetMode="External"/><Relationship Id="rId241" Type="http://schemas.openxmlformats.org/officeDocument/2006/relationships/hyperlink" Target="mailto:hchristensen@olsson.com" TargetMode="External"/><Relationship Id="rId240" Type="http://schemas.openxmlformats.org/officeDocument/2006/relationships/hyperlink" Target="mailto:amori.lunney@odysseysr.com" TargetMode="External"/><Relationship Id="rId125" Type="http://schemas.openxmlformats.org/officeDocument/2006/relationships/hyperlink" Target="mailto:lpinto@gate.energy" TargetMode="External"/><Relationship Id="rId246" Type="http://schemas.openxmlformats.org/officeDocument/2006/relationships/hyperlink" Target="mailto:sabrina.perez@pantex.doe.gov" TargetMode="External"/><Relationship Id="rId124" Type="http://schemas.openxmlformats.org/officeDocument/2006/relationships/hyperlink" Target="mailto:crecruiting@garverusa.com" TargetMode="External"/><Relationship Id="rId245" Type="http://schemas.openxmlformats.org/officeDocument/2006/relationships/hyperlink" Target="mailto:brubio@oscarordunoinc.com" TargetMode="External"/><Relationship Id="rId123" Type="http://schemas.openxmlformats.org/officeDocument/2006/relationships/hyperlink" Target="mailto:Studentlife@gaf.com" TargetMode="External"/><Relationship Id="rId244" Type="http://schemas.openxmlformats.org/officeDocument/2006/relationships/hyperlink" Target="mailto:ariah@orsted.com" TargetMode="External"/><Relationship Id="rId122" Type="http://schemas.openxmlformats.org/officeDocument/2006/relationships/hyperlink" Target="mailto:phillip.steagall@fticonsulting.com" TargetMode="External"/><Relationship Id="rId243" Type="http://schemas.openxmlformats.org/officeDocument/2006/relationships/hyperlink" Target="mailto:rmendoza@orn.net" TargetMode="External"/><Relationship Id="rId95" Type="http://schemas.openxmlformats.org/officeDocument/2006/relationships/hyperlink" Target="mailto:gcammisa@dynamicec.com" TargetMode="External"/><Relationship Id="rId94" Type="http://schemas.openxmlformats.org/officeDocument/2006/relationships/hyperlink" Target="mailto:pmendiola@dunaway.com" TargetMode="External"/><Relationship Id="rId97" Type="http://schemas.openxmlformats.org/officeDocument/2006/relationships/hyperlink" Target="mailto:joshua.munsart@eastman.com" TargetMode="External"/><Relationship Id="rId96" Type="http://schemas.openxmlformats.org/officeDocument/2006/relationships/hyperlink" Target="mailto:marketing@dsi.us" TargetMode="External"/><Relationship Id="rId99" Type="http://schemas.openxmlformats.org/officeDocument/2006/relationships/hyperlink" Target="mailto:mia.perez@ercot.com" TargetMode="External"/><Relationship Id="rId98" Type="http://schemas.openxmlformats.org/officeDocument/2006/relationships/hyperlink" Target="mailto:careers@edg.net" TargetMode="External"/><Relationship Id="rId91" Type="http://schemas.openxmlformats.org/officeDocument/2006/relationships/hyperlink" Target="mailto:kevin.mandeville@dnv.com" TargetMode="External"/><Relationship Id="rId90" Type="http://schemas.openxmlformats.org/officeDocument/2006/relationships/hyperlink" Target="mailto:cio_recruiting@dodiis.mil" TargetMode="External"/><Relationship Id="rId93" Type="http://schemas.openxmlformats.org/officeDocument/2006/relationships/hyperlink" Target="mailto:carla.weissenberg@dresserutility.com" TargetMode="External"/><Relationship Id="rId92" Type="http://schemas.openxmlformats.org/officeDocument/2006/relationships/hyperlink" Target="mailto:jobs@dmcinfo.com" TargetMode="External"/><Relationship Id="rId118" Type="http://schemas.openxmlformats.org/officeDocument/2006/relationships/hyperlink" Target="mailto:University.Relations@fluor.com" TargetMode="External"/><Relationship Id="rId239" Type="http://schemas.openxmlformats.org/officeDocument/2006/relationships/hyperlink" Target="mailto:ppool@odinenv.com" TargetMode="External"/><Relationship Id="rId117" Type="http://schemas.openxmlformats.org/officeDocument/2006/relationships/hyperlink" Target="mailto:yaritza.deluna@ge.com" TargetMode="External"/><Relationship Id="rId238" Type="http://schemas.openxmlformats.org/officeDocument/2006/relationships/hyperlink" Target="mailto:wstein@oceaneering.com" TargetMode="External"/><Relationship Id="rId116" Type="http://schemas.openxmlformats.org/officeDocument/2006/relationships/hyperlink" Target="mailto:oleon@ferrovial.com" TargetMode="External"/><Relationship Id="rId237" Type="http://schemas.openxmlformats.org/officeDocument/2006/relationships/hyperlink" Target="mailto:leti.rinaldini@nxp.com" TargetMode="External"/><Relationship Id="rId115" Type="http://schemas.openxmlformats.org/officeDocument/2006/relationships/hyperlink" Target="mailto:9-csa-es-jobs@faa.gov" TargetMode="External"/><Relationship Id="rId236" Type="http://schemas.openxmlformats.org/officeDocument/2006/relationships/hyperlink" Target="mailto:agladden@vulcraft-tx.com" TargetMode="External"/><Relationship Id="rId357" Type="http://schemas.openxmlformats.org/officeDocument/2006/relationships/drawing" Target="../drawings/drawing5.xml"/><Relationship Id="rId119" Type="http://schemas.openxmlformats.org/officeDocument/2006/relationships/hyperlink" Target="mailto:lauren.hodge@freese.com" TargetMode="External"/><Relationship Id="rId110" Type="http://schemas.openxmlformats.org/officeDocument/2006/relationships/hyperlink" Target="mailto:jbarrowdemaris@eprod.com" TargetMode="External"/><Relationship Id="rId231" Type="http://schemas.openxmlformats.org/officeDocument/2006/relationships/hyperlink" Target="mailto:NNSY_Engineer_Recruiting@navy.mil" TargetMode="External"/><Relationship Id="rId352" Type="http://schemas.openxmlformats.org/officeDocument/2006/relationships/hyperlink" Target="mailto:blake.strunk@wsp.com" TargetMode="External"/><Relationship Id="rId230" Type="http://schemas.openxmlformats.org/officeDocument/2006/relationships/hyperlink" Target="mailto:leah.cabusao@nikkisoceig.com" TargetMode="External"/><Relationship Id="rId351" Type="http://schemas.openxmlformats.org/officeDocument/2006/relationships/hyperlink" Target="mailto:erin.niebylski@worley.com" TargetMode="External"/><Relationship Id="rId350" Type="http://schemas.openxmlformats.org/officeDocument/2006/relationships/hyperlink" Target="mailto:tami.kosters@woodplc.com" TargetMode="External"/><Relationship Id="rId114" Type="http://schemas.openxmlformats.org/officeDocument/2006/relationships/hyperlink" Target="mailto:mdadian@fhpaschen.com" TargetMode="External"/><Relationship Id="rId235" Type="http://schemas.openxmlformats.org/officeDocument/2006/relationships/hyperlink" Target="mailto:misti.beasley@nucor.com" TargetMode="External"/><Relationship Id="rId356" Type="http://schemas.openxmlformats.org/officeDocument/2006/relationships/hyperlink" Target="mailto:fosbennerm@zapecs.com" TargetMode="External"/><Relationship Id="rId113" Type="http://schemas.openxmlformats.org/officeDocument/2006/relationships/hyperlink" Target="mailto:nreding@exponent.com" TargetMode="External"/><Relationship Id="rId234" Type="http://schemas.openxmlformats.org/officeDocument/2006/relationships/hyperlink" Target="mailto:allison.best@nucor.com" TargetMode="External"/><Relationship Id="rId355" Type="http://schemas.openxmlformats.org/officeDocument/2006/relationships/hyperlink" Target="mailto:keith@yalgoengineering.com" TargetMode="External"/><Relationship Id="rId112" Type="http://schemas.openxmlformats.org/officeDocument/2006/relationships/hyperlink" Target="mailto:kristin@esepartners.com" TargetMode="External"/><Relationship Id="rId233" Type="http://schemas.openxmlformats.org/officeDocument/2006/relationships/hyperlink" Target="mailto:carolyn.kucera@nov.com" TargetMode="External"/><Relationship Id="rId354" Type="http://schemas.openxmlformats.org/officeDocument/2006/relationships/hyperlink" Target="mailto:anazmi@wylieeng.com" TargetMode="External"/><Relationship Id="rId111" Type="http://schemas.openxmlformats.org/officeDocument/2006/relationships/hyperlink" Target="mailto:profiles@epic.com" TargetMode="External"/><Relationship Id="rId232" Type="http://schemas.openxmlformats.org/officeDocument/2006/relationships/hyperlink" Target="mailto:larissa.griffithcalls@nouryon.com" TargetMode="External"/><Relationship Id="rId353" Type="http://schemas.openxmlformats.org/officeDocument/2006/relationships/hyperlink" Target="mailto:milan.sood@wsp.com" TargetMode="External"/><Relationship Id="rId305" Type="http://schemas.openxmlformats.org/officeDocument/2006/relationships/hyperlink" Target="mailto:tiffany.reyna@technipfmc.com" TargetMode="External"/><Relationship Id="rId304" Type="http://schemas.openxmlformats.org/officeDocument/2006/relationships/hyperlink" Target="mailto:rachael.hamer@technipenergies.com" TargetMode="External"/><Relationship Id="rId303" Type="http://schemas.openxmlformats.org/officeDocument/2006/relationships/hyperlink" Target="mailto:student_programs@tcenergy.com" TargetMode="External"/><Relationship Id="rId302" Type="http://schemas.openxmlformats.org/officeDocument/2006/relationships/hyperlink" Target="mailto:rogelio.martinez@tfwarren.com" TargetMode="External"/><Relationship Id="rId309" Type="http://schemas.openxmlformats.org/officeDocument/2006/relationships/hyperlink" Target="mailto:ritz@tamu.edu" TargetMode="External"/><Relationship Id="rId308" Type="http://schemas.openxmlformats.org/officeDocument/2006/relationships/hyperlink" Target="mailto:ceretzer@tamu.edu" TargetMode="External"/><Relationship Id="rId307" Type="http://schemas.openxmlformats.org/officeDocument/2006/relationships/hyperlink" Target="mailto:michelle.atchley@tetratech.com" TargetMode="External"/><Relationship Id="rId306" Type="http://schemas.openxmlformats.org/officeDocument/2006/relationships/hyperlink" Target="mailto:TeNguyen@Tenaris.com" TargetMode="External"/><Relationship Id="rId301" Type="http://schemas.openxmlformats.org/officeDocument/2006/relationships/hyperlink" Target="mailto:cayla.messick@trwd.com" TargetMode="External"/><Relationship Id="rId300" Type="http://schemas.openxmlformats.org/officeDocument/2006/relationships/hyperlink" Target="mailto:chloe.weldon@synchrogrid.com" TargetMode="External"/><Relationship Id="rId206" Type="http://schemas.openxmlformats.org/officeDocument/2006/relationships/hyperlink" Target="mailto:hillary.traylor@mammoet.com" TargetMode="External"/><Relationship Id="rId327" Type="http://schemas.openxmlformats.org/officeDocument/2006/relationships/hyperlink" Target="mailto:cordell.cielencki@trimasyscontrol.com" TargetMode="External"/><Relationship Id="rId205" Type="http://schemas.openxmlformats.org/officeDocument/2006/relationships/hyperlink" Target="mailto:lvaughn@mahoneyeng.com" TargetMode="External"/><Relationship Id="rId326" Type="http://schemas.openxmlformats.org/officeDocument/2006/relationships/hyperlink" Target="mailto:jstonum@trihydro.com" TargetMode="External"/><Relationship Id="rId204" Type="http://schemas.openxmlformats.org/officeDocument/2006/relationships/hyperlink" Target="mailto:ksimpson@msengr.com" TargetMode="External"/><Relationship Id="rId325" Type="http://schemas.openxmlformats.org/officeDocument/2006/relationships/hyperlink" Target="mailto:cskrivanek@tremcoinc.com" TargetMode="External"/><Relationship Id="rId203" Type="http://schemas.openxmlformats.org/officeDocument/2006/relationships/hyperlink" Target="mailto:b.ruggles@luciferlighting.com" TargetMode="External"/><Relationship Id="rId324" Type="http://schemas.openxmlformats.org/officeDocument/2006/relationships/hyperlink" Target="mailto:gregory.guetzloe@trdi.org" TargetMode="External"/><Relationship Id="rId209" Type="http://schemas.openxmlformats.org/officeDocument/2006/relationships/hyperlink" Target="mailto:nmcastillo@marathonpetroleum.com" TargetMode="External"/><Relationship Id="rId208" Type="http://schemas.openxmlformats.org/officeDocument/2006/relationships/hyperlink" Target="mailto:kdickens@mansoncc.com" TargetMode="External"/><Relationship Id="rId329" Type="http://schemas.openxmlformats.org/officeDocument/2006/relationships/hyperlink" Target="mailto:universityrelations@usps.gov" TargetMode="External"/><Relationship Id="rId207" Type="http://schemas.openxmlformats.org/officeDocument/2006/relationships/hyperlink" Target="mailto:jmartinez@manhard.com" TargetMode="External"/><Relationship Id="rId328" Type="http://schemas.openxmlformats.org/officeDocument/2006/relationships/hyperlink" Target="mailto:sjyangw@tsmc.com" TargetMode="External"/><Relationship Id="rId202" Type="http://schemas.openxmlformats.org/officeDocument/2006/relationships/hyperlink" Target="mailto:hr@lty-engineers.com" TargetMode="External"/><Relationship Id="rId323" Type="http://schemas.openxmlformats.org/officeDocument/2006/relationships/hyperlink" Target="mailto:jherzig@trccompanies.com" TargetMode="External"/><Relationship Id="rId201" Type="http://schemas.openxmlformats.org/officeDocument/2006/relationships/hyperlink" Target="mailto:jkirk@lpadesignstudios.com" TargetMode="External"/><Relationship Id="rId322" Type="http://schemas.openxmlformats.org/officeDocument/2006/relationships/hyperlink" Target="mailto:amanda.davis@tranetechnologies.com" TargetMode="External"/><Relationship Id="rId200" Type="http://schemas.openxmlformats.org/officeDocument/2006/relationships/hyperlink" Target="mailto:paul.murello@lcra.org" TargetMode="External"/><Relationship Id="rId321" Type="http://schemas.openxmlformats.org/officeDocument/2006/relationships/hyperlink" Target="mailto:francisca.lopez@toshiba.com" TargetMode="External"/><Relationship Id="rId320" Type="http://schemas.openxmlformats.org/officeDocument/2006/relationships/hyperlink" Target="mailto:tnphr@tnpinc.com" TargetMode="External"/><Relationship Id="rId316" Type="http://schemas.openxmlformats.org/officeDocument/2006/relationships/hyperlink" Target="mailto:crystal.kerr@brandt.us" TargetMode="External"/><Relationship Id="rId315" Type="http://schemas.openxmlformats.org/officeDocument/2006/relationships/hyperlink" Target="mailto:ti@nc3.com" TargetMode="External"/><Relationship Id="rId314" Type="http://schemas.openxmlformats.org/officeDocument/2006/relationships/hyperlink" Target="mailto:sheila.brooks@txdot.gov" TargetMode="External"/><Relationship Id="rId313" Type="http://schemas.openxmlformats.org/officeDocument/2006/relationships/hyperlink" Target="mailto:whitney.chiu@cpa.texas.gov" TargetMode="External"/><Relationship Id="rId319" Type="http://schemas.openxmlformats.org/officeDocument/2006/relationships/hyperlink" Target="mailto:krystina.hares@tke-engineering.com" TargetMode="External"/><Relationship Id="rId318" Type="http://schemas.openxmlformats.org/officeDocument/2006/relationships/hyperlink" Target="mailto:secareers@us.af.mil" TargetMode="External"/><Relationship Id="rId317" Type="http://schemas.openxmlformats.org/officeDocument/2006/relationships/hyperlink" Target="mailto:robyn.baca@whiting-turner.com" TargetMode="External"/><Relationship Id="rId312" Type="http://schemas.openxmlformats.org/officeDocument/2006/relationships/hyperlink" Target="mailto:sarah.daniel@meriton.com" TargetMode="External"/><Relationship Id="rId311" Type="http://schemas.openxmlformats.org/officeDocument/2006/relationships/hyperlink" Target="mailto:sreaton@tamu.edu" TargetMode="External"/><Relationship Id="rId310" Type="http://schemas.openxmlformats.org/officeDocument/2006/relationships/hyperlink" Target="mailto:cblanton@tamu.edu"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mailto:antionette.d-meridth@faa.gov" TargetMode="External"/><Relationship Id="rId194" Type="http://schemas.openxmlformats.org/officeDocument/2006/relationships/hyperlink" Target="mailto:RGLASCOE@FERROVIAL.US" TargetMode="External"/><Relationship Id="rId193" Type="http://schemas.openxmlformats.org/officeDocument/2006/relationships/hyperlink" Target="mailto:human.resources@fhueng.com" TargetMode="External"/><Relationship Id="rId192" Type="http://schemas.openxmlformats.org/officeDocument/2006/relationships/hyperlink" Target="mailto:bjnguyen@fbi.gov" TargetMode="External"/><Relationship Id="rId191" Type="http://schemas.openxmlformats.org/officeDocument/2006/relationships/hyperlink" Target="mailto:doug.huntsman@faa.gov" TargetMode="External"/><Relationship Id="rId187" Type="http://schemas.openxmlformats.org/officeDocument/2006/relationships/hyperlink" Target="mailto:mdadian@fhpaschen.com" TargetMode="External"/><Relationship Id="rId186" Type="http://schemas.openxmlformats.org/officeDocument/2006/relationships/hyperlink" Target="mailto:elijah.t.culpepper@exxonmobil.com" TargetMode="External"/><Relationship Id="rId185" Type="http://schemas.openxmlformats.org/officeDocument/2006/relationships/hyperlink" Target="mailto:dtran@exmaroffshore.com" TargetMode="External"/><Relationship Id="rId184" Type="http://schemas.openxmlformats.org/officeDocument/2006/relationships/hyperlink" Target="mailto:holly.bosher@evonik.com" TargetMode="External"/><Relationship Id="rId189" Type="http://schemas.openxmlformats.org/officeDocument/2006/relationships/hyperlink" Target="mailto:ehingst@fastenterprises.com" TargetMode="External"/><Relationship Id="rId188" Type="http://schemas.openxmlformats.org/officeDocument/2006/relationships/hyperlink" Target="mailto:ehinson@falkcon.com" TargetMode="External"/><Relationship Id="rId183" Type="http://schemas.openxmlformats.org/officeDocument/2006/relationships/hyperlink" Target="mailto:profiles@epic.com" TargetMode="External"/><Relationship Id="rId182" Type="http://schemas.openxmlformats.org/officeDocument/2006/relationships/hyperlink" Target="mailto:terry.mills@envent.net" TargetMode="External"/><Relationship Id="rId181" Type="http://schemas.openxmlformats.org/officeDocument/2006/relationships/hyperlink" Target="mailto:jbarrowdemaris@eprod.com" TargetMode="External"/><Relationship Id="rId180" Type="http://schemas.openxmlformats.org/officeDocument/2006/relationships/hyperlink" Target="mailto:lhende9@entergy.com" TargetMode="External"/><Relationship Id="rId176" Type="http://schemas.openxmlformats.org/officeDocument/2006/relationships/hyperlink" Target="mailto:madison.duke@enovis.com" TargetMode="External"/><Relationship Id="rId297" Type="http://schemas.openxmlformats.org/officeDocument/2006/relationships/hyperlink" Target="mailto:hrkenmor@csg.heicocompanies.com" TargetMode="External"/><Relationship Id="rId175" Type="http://schemas.openxmlformats.org/officeDocument/2006/relationships/hyperlink" Target="mailto:rsilva@engdyn.com" TargetMode="External"/><Relationship Id="rId296" Type="http://schemas.openxmlformats.org/officeDocument/2006/relationships/hyperlink" Target="mailto:lauren.grisanti@kci.com" TargetMode="External"/><Relationship Id="rId174" Type="http://schemas.openxmlformats.org/officeDocument/2006/relationships/hyperlink" Target="mailto:universityprograms@ecslimited.com" TargetMode="External"/><Relationship Id="rId295" Type="http://schemas.openxmlformats.org/officeDocument/2006/relationships/hyperlink" Target="mailto:autumn.townsend@us.kbr.com" TargetMode="External"/><Relationship Id="rId173" Type="http://schemas.openxmlformats.org/officeDocument/2006/relationships/hyperlink" Target="mailto:jeannette.troup@energytransfer.com" TargetMode="External"/><Relationship Id="rId294" Type="http://schemas.openxmlformats.org/officeDocument/2006/relationships/hyperlink" Target="mailto:melissa.bowman@kaneka.com" TargetMode="External"/><Relationship Id="rId179" Type="http://schemas.openxmlformats.org/officeDocument/2006/relationships/hyperlink" Target="mailto:mclane.wood@entegris.com" TargetMode="External"/><Relationship Id="rId178" Type="http://schemas.openxmlformats.org/officeDocument/2006/relationships/hyperlink" Target="mailto:msosa@entechhou.com" TargetMode="External"/><Relationship Id="rId299" Type="http://schemas.openxmlformats.org/officeDocument/2006/relationships/hyperlink" Target="mailto:William.Brown@kdrp.com" TargetMode="External"/><Relationship Id="rId177" Type="http://schemas.openxmlformats.org/officeDocument/2006/relationships/hyperlink" Target="mailto:lromer@entact.com" TargetMode="External"/><Relationship Id="rId298" Type="http://schemas.openxmlformats.org/officeDocument/2006/relationships/hyperlink" Target="mailto:haley.boyle@ketjen.com" TargetMode="External"/><Relationship Id="rId198" Type="http://schemas.openxmlformats.org/officeDocument/2006/relationships/hyperlink" Target="mailto:cecilia.deatherage@fireflyspace.com" TargetMode="External"/><Relationship Id="rId197" Type="http://schemas.openxmlformats.org/officeDocument/2006/relationships/hyperlink" Target="mailto:yaritza.deluna@ge.com" TargetMode="External"/><Relationship Id="rId196" Type="http://schemas.openxmlformats.org/officeDocument/2006/relationships/hyperlink" Target="mailto:joe.bisacca@fervoenergy.com" TargetMode="External"/><Relationship Id="rId195" Type="http://schemas.openxmlformats.org/officeDocument/2006/relationships/hyperlink" Target="mailto:jfernandezsanjulian@ferrovial.com" TargetMode="External"/><Relationship Id="rId199" Type="http://schemas.openxmlformats.org/officeDocument/2006/relationships/hyperlink" Target="mailto:liz.parent@5engineering.com" TargetMode="External"/><Relationship Id="rId150" Type="http://schemas.openxmlformats.org/officeDocument/2006/relationships/hyperlink" Target="mailto:asanders@detectachem.com" TargetMode="External"/><Relationship Id="rId271" Type="http://schemas.openxmlformats.org/officeDocument/2006/relationships/hyperlink" Target="mailto:marketing@idseg.com" TargetMode="External"/><Relationship Id="rId392" Type="http://schemas.openxmlformats.org/officeDocument/2006/relationships/hyperlink" Target="mailto:amori.lunney@odysseysr.com" TargetMode="External"/><Relationship Id="rId270" Type="http://schemas.openxmlformats.org/officeDocument/2006/relationships/hyperlink" Target="mailto:kimberly.schuebert@inl.gov" TargetMode="External"/><Relationship Id="rId391" Type="http://schemas.openxmlformats.org/officeDocument/2006/relationships/hyperlink" Target="mailto:ppool@odinenv.com" TargetMode="External"/><Relationship Id="rId390" Type="http://schemas.openxmlformats.org/officeDocument/2006/relationships/hyperlink" Target="mailto:robert@otconst.com" TargetMode="External"/><Relationship Id="rId1" Type="http://schemas.openxmlformats.org/officeDocument/2006/relationships/hyperlink" Target="https://tamu-csm.symplicity.com/manager/index.php?_so_list_aat6bb5c50ab239daadf82400426e253c9c=250&amp;_so_list_sort6bb5c50ab239daadf82400426e253c9c=name%3Adesc" TargetMode="External"/><Relationship Id="rId2" Type="http://schemas.openxmlformats.org/officeDocument/2006/relationships/hyperlink" Target="https://tamu-csm.symplicity.com/manager/index.php?_so_list_aat6bb5c50ab239daadf82400426e253c9c=250&amp;_so_list_sort6bb5c50ab239daadf82400426e253c9c=fullname%3Aasc" TargetMode="External"/><Relationship Id="rId3" Type="http://schemas.openxmlformats.org/officeDocument/2006/relationships/hyperlink" Target="https://tamu-csm.symplicity.com/manager/index.php?_so_list_aat6bb5c50ab239daadf82400426e253c9c=250&amp;_so_list_sort6bb5c50ab239daadf82400426e253c9c=sal_office_phone__032e6d03a9e7023b1b0885ef574f4c91%3Aasc" TargetMode="External"/><Relationship Id="rId149" Type="http://schemas.openxmlformats.org/officeDocument/2006/relationships/hyperlink" Target="mailto:matthew.c.porter@delta.com" TargetMode="External"/><Relationship Id="rId4" Type="http://schemas.openxmlformats.org/officeDocument/2006/relationships/hyperlink" Target="https://tamu-csm.symplicity.com/manager/index.php?_so_list_aat6bb5c50ab239daadf82400426e253c9c=250&amp;_so_list_sort6bb5c50ab239daadf82400426e253c9c=third_party%3Aasc" TargetMode="External"/><Relationship Id="rId148" Type="http://schemas.openxmlformats.org/officeDocument/2006/relationships/hyperlink" Target="mailto:dell@nc3.com" TargetMode="External"/><Relationship Id="rId269" Type="http://schemas.openxmlformats.org/officeDocument/2006/relationships/hyperlink" Target="mailto:jsmalts@us.ibm.com" TargetMode="External"/><Relationship Id="rId9" Type="http://schemas.openxmlformats.org/officeDocument/2006/relationships/hyperlink" Target="https://tamu-csm.symplicity.com/manager/index.php?_so_list_aat6bb5c50ab239daadf82400426e253c9c=250&amp;_so_list_sort6bb5c50ab239daadf82400426e253c9c=registered_on%3Aasc" TargetMode="External"/><Relationship Id="rId143" Type="http://schemas.openxmlformats.org/officeDocument/2006/relationships/hyperlink" Target="mailto:shannon.strode@deainc.com" TargetMode="External"/><Relationship Id="rId264" Type="http://schemas.openxmlformats.org/officeDocument/2006/relationships/hyperlink" Target="mailto:riah.kindle@hp.com" TargetMode="External"/><Relationship Id="rId385" Type="http://schemas.openxmlformats.org/officeDocument/2006/relationships/hyperlink" Target="mailto:carolyn.kucera@nov.com" TargetMode="External"/><Relationship Id="rId142" Type="http://schemas.openxmlformats.org/officeDocument/2006/relationships/hyperlink" Target="mailto:erikap@datumengineers.com" TargetMode="External"/><Relationship Id="rId263" Type="http://schemas.openxmlformats.org/officeDocument/2006/relationships/hyperlink" Target="mailto:nicole.richard@howmet.com" TargetMode="External"/><Relationship Id="rId384" Type="http://schemas.openxmlformats.org/officeDocument/2006/relationships/hyperlink" Target="mailto:kristi.noble@nouryon.com" TargetMode="External"/><Relationship Id="rId141" Type="http://schemas.openxmlformats.org/officeDocument/2006/relationships/hyperlink" Target="mailto:tori.smith@dashiell.com" TargetMode="External"/><Relationship Id="rId262" Type="http://schemas.openxmlformats.org/officeDocument/2006/relationships/hyperlink" Target="mailto:moglesby@howard-ind.com" TargetMode="External"/><Relationship Id="rId383" Type="http://schemas.openxmlformats.org/officeDocument/2006/relationships/hyperlink" Target="mailto:NNSY_Engineer_Recruiting@navy.mil" TargetMode="External"/><Relationship Id="rId140" Type="http://schemas.openxmlformats.org/officeDocument/2006/relationships/hyperlink" Target="mailto:tori.wright@daikincomfort.com" TargetMode="External"/><Relationship Id="rId261" Type="http://schemas.openxmlformats.org/officeDocument/2006/relationships/hyperlink" Target="mailto:taylor.polad@horrocks.com" TargetMode="External"/><Relationship Id="rId382" Type="http://schemas.openxmlformats.org/officeDocument/2006/relationships/hyperlink" Target="mailto:rpery@nexanteca.com" TargetMode="External"/><Relationship Id="rId5" Type="http://schemas.openxmlformats.org/officeDocument/2006/relationships/hyperlink" Target="https://tamu-csm.symplicity.com/manager/index.php?_so_list_aat6bb5c50ab239daadf82400426e253c9c=250&amp;_so_list_sort6bb5c50ab239daadf82400426e253c9c=reps529be184%3Aasc" TargetMode="External"/><Relationship Id="rId147" Type="http://schemas.openxmlformats.org/officeDocument/2006/relationships/hyperlink" Target="mailto:cio_recruiting@dodiis.mil" TargetMode="External"/><Relationship Id="rId268" Type="http://schemas.openxmlformats.org/officeDocument/2006/relationships/hyperlink" Target="mailto:apoole@eoh-inc.com" TargetMode="External"/><Relationship Id="rId389" Type="http://schemas.openxmlformats.org/officeDocument/2006/relationships/hyperlink" Target="mailto:baley.hutchinson@nxp.com" TargetMode="External"/><Relationship Id="rId6" Type="http://schemas.openxmlformats.org/officeDocument/2006/relationships/hyperlink" Target="https://tamu-csm.symplicity.com/manager/index.php?_so_list_aat6bb5c50ab239daadf82400426e253c9c=250&amp;_so_list_sort6bb5c50ab239daadf82400426e253c9c=sal_day_2_1f276bae906c5363a9e96849cf0e1c3c%3Aasc" TargetMode="External"/><Relationship Id="rId146" Type="http://schemas.openxmlformats.org/officeDocument/2006/relationships/hyperlink" Target="mailto:rstrozewski@dcs-engineering.com" TargetMode="External"/><Relationship Id="rId267" Type="http://schemas.openxmlformats.org/officeDocument/2006/relationships/hyperlink" Target="mailto:colin_mitchell@huntsman.com" TargetMode="External"/><Relationship Id="rId388" Type="http://schemas.openxmlformats.org/officeDocument/2006/relationships/hyperlink" Target="mailto:misti.beasley@nucor.com" TargetMode="External"/><Relationship Id="rId7" Type="http://schemas.openxmlformats.org/officeDocument/2006/relationships/hyperlink" Target="https://tamu-csm.symplicity.com/manager/index.php?_so_list_aat6bb5c50ab239daadf82400426e253c9c=250&amp;_so_list_sort6bb5c50ab239daadf82400426e253c9c=sal_booth_location_065ec030a79655d6ac773759b9c3657e%3Aasc" TargetMode="External"/><Relationship Id="rId145" Type="http://schemas.openxmlformats.org/officeDocument/2006/relationships/hyperlink" Target="mailto:megan.muller@dbmvircon.com" TargetMode="External"/><Relationship Id="rId266" Type="http://schemas.openxmlformats.org/officeDocument/2006/relationships/hyperlink" Target="mailto:vdeluna@huitt-zollars.com" TargetMode="External"/><Relationship Id="rId387" Type="http://schemas.openxmlformats.org/officeDocument/2006/relationships/hyperlink" Target="mailto:jacob.dorsett@nucor.com" TargetMode="External"/><Relationship Id="rId8" Type="http://schemas.openxmlformats.org/officeDocument/2006/relationships/hyperlink" Target="https://tamu-csm.symplicity.com/manager/index.php?_so_list_aat6bb5c50ab239daadf82400426e253c9c=250&amp;_so_list_sort6bb5c50ab239daadf82400426e253c9c=attendee_type%3Aasc" TargetMode="External"/><Relationship Id="rId144" Type="http://schemas.openxmlformats.org/officeDocument/2006/relationships/hyperlink" Target="mailto:rc@dbi-cc.com" TargetMode="External"/><Relationship Id="rId265" Type="http://schemas.openxmlformats.org/officeDocument/2006/relationships/hyperlink" Target="mailto:misty.proler@hts.com" TargetMode="External"/><Relationship Id="rId386" Type="http://schemas.openxmlformats.org/officeDocument/2006/relationships/hyperlink" Target="mailto:katherine.petersen@vivint.com" TargetMode="External"/><Relationship Id="rId260" Type="http://schemas.openxmlformats.org/officeDocument/2006/relationships/hyperlink" Target="mailto:HoneywellUr@Honeywell.com" TargetMode="External"/><Relationship Id="rId381" Type="http://schemas.openxmlformats.org/officeDocument/2006/relationships/hyperlink" Target="mailto:mccaleigh.harris@ncratleos.com" TargetMode="External"/><Relationship Id="rId380" Type="http://schemas.openxmlformats.org/officeDocument/2006/relationships/hyperlink" Target="mailto:edgar.oviedo@navistar.com" TargetMode="External"/><Relationship Id="rId139" Type="http://schemas.openxmlformats.org/officeDocument/2006/relationships/hyperlink" Target="mailto:careers@drhorton.com" TargetMode="External"/><Relationship Id="rId138" Type="http://schemas.openxmlformats.org/officeDocument/2006/relationships/hyperlink" Target="mailto:trish.darezzo@crowncastle.com" TargetMode="External"/><Relationship Id="rId259" Type="http://schemas.openxmlformats.org/officeDocument/2006/relationships/hyperlink" Target="mailto:Jen-mcCalley@hoffmancorp.com" TargetMode="External"/><Relationship Id="rId137" Type="http://schemas.openxmlformats.org/officeDocument/2006/relationships/hyperlink" Target="mailto:allie.buckmaster@credera.com" TargetMode="External"/><Relationship Id="rId258" Type="http://schemas.openxmlformats.org/officeDocument/2006/relationships/hyperlink" Target="mailto:michelle.thomsen@hmhw.com" TargetMode="External"/><Relationship Id="rId379" Type="http://schemas.openxmlformats.org/officeDocument/2006/relationships/hyperlink" Target="mailto:nswcpcd_recruiting.fct@navy.mil" TargetMode="External"/><Relationship Id="rId132" Type="http://schemas.openxmlformats.org/officeDocument/2006/relationships/hyperlink" Target="mailto:carrsyn.gregor@continental-corporation.com" TargetMode="External"/><Relationship Id="rId253" Type="http://schemas.openxmlformats.org/officeDocument/2006/relationships/hyperlink" Target="mailto:universityrelations@hii-tsd.com" TargetMode="External"/><Relationship Id="rId374" Type="http://schemas.openxmlformats.org/officeDocument/2006/relationships/hyperlink" Target="mailto:melissa.oneil@caci.com" TargetMode="External"/><Relationship Id="rId495" Type="http://schemas.openxmlformats.org/officeDocument/2006/relationships/hyperlink" Target="mailto:mwillmore@stress.com" TargetMode="External"/><Relationship Id="rId131" Type="http://schemas.openxmlformats.org/officeDocument/2006/relationships/hyperlink" Target="mailto:angelica.harrell@contechnet.com" TargetMode="External"/><Relationship Id="rId252" Type="http://schemas.openxmlformats.org/officeDocument/2006/relationships/hyperlink" Target="mailto:ashley.mcelroy@hfa-ae.com" TargetMode="External"/><Relationship Id="rId373" Type="http://schemas.openxmlformats.org/officeDocument/2006/relationships/hyperlink" Target="mailto:Jerretta.N.Fairley@nga.mil" TargetMode="External"/><Relationship Id="rId494" Type="http://schemas.openxmlformats.org/officeDocument/2006/relationships/hyperlink" Target="mailto:ljhoffman@stpegs.com" TargetMode="External"/><Relationship Id="rId130" Type="http://schemas.openxmlformats.org/officeDocument/2006/relationships/hyperlink" Target="mailto:sui.amaama@consoreng.com" TargetMode="External"/><Relationship Id="rId251" Type="http://schemas.openxmlformats.org/officeDocument/2006/relationships/hyperlink" Target="mailto:hpe@nc3.com" TargetMode="External"/><Relationship Id="rId372" Type="http://schemas.openxmlformats.org/officeDocument/2006/relationships/hyperlink" Target="mailto:kourtnee.phillips@nabors.com" TargetMode="External"/><Relationship Id="rId493" Type="http://schemas.openxmlformats.org/officeDocument/2006/relationships/hyperlink" Target="mailto:clayton.robinson@stgen.com" TargetMode="External"/><Relationship Id="rId250" Type="http://schemas.openxmlformats.org/officeDocument/2006/relationships/hyperlink" Target="mailto:asanchez@hess.com" TargetMode="External"/><Relationship Id="rId371" Type="http://schemas.openxmlformats.org/officeDocument/2006/relationships/hyperlink" Target="mailto:syoung@mpmaterials.com" TargetMode="External"/><Relationship Id="rId492" Type="http://schemas.openxmlformats.org/officeDocument/2006/relationships/hyperlink" Target="mailto:kimber.matocha@stegerbizzell.com" TargetMode="External"/><Relationship Id="rId136" Type="http://schemas.openxmlformats.org/officeDocument/2006/relationships/hyperlink" Target="mailto:cassie.stultz@crbgroup.com" TargetMode="External"/><Relationship Id="rId257" Type="http://schemas.openxmlformats.org/officeDocument/2006/relationships/hyperlink" Target="mailto:gracebrown@hka.com" TargetMode="External"/><Relationship Id="rId378" Type="http://schemas.openxmlformats.org/officeDocument/2006/relationships/hyperlink" Target="mailto:andrew.t.loh.civ@us.navy.mil" TargetMode="External"/><Relationship Id="rId499" Type="http://schemas.openxmlformats.org/officeDocument/2006/relationships/hyperlink" Target="mailto:tricia.landers@synchrogrid.com" TargetMode="External"/><Relationship Id="rId135" Type="http://schemas.openxmlformats.org/officeDocument/2006/relationships/hyperlink" Target="mailto:VDrummond@cranecpe.com" TargetMode="External"/><Relationship Id="rId256" Type="http://schemas.openxmlformats.org/officeDocument/2006/relationships/hyperlink" Target="mailto:universityrecruiting@hilti.com" TargetMode="External"/><Relationship Id="rId377" Type="http://schemas.openxmlformats.org/officeDocument/2006/relationships/hyperlink" Target="mailto:russell.mendoza@unnpp.gov" TargetMode="External"/><Relationship Id="rId498" Type="http://schemas.openxmlformats.org/officeDocument/2006/relationships/hyperlink" Target="mailto:chet.sparks@syensqo.com" TargetMode="External"/><Relationship Id="rId134" Type="http://schemas.openxmlformats.org/officeDocument/2006/relationships/hyperlink" Target="mailto:jill.sobieralski@covestro.com" TargetMode="External"/><Relationship Id="rId255" Type="http://schemas.openxmlformats.org/officeDocument/2006/relationships/hyperlink" Target="mailto:chase_bloyd@hillspet.com" TargetMode="External"/><Relationship Id="rId376" Type="http://schemas.openxmlformats.org/officeDocument/2006/relationships/hyperlink" Target="mailto:dyanruth.l.frohlich.civ@us.navy.mil" TargetMode="External"/><Relationship Id="rId497" Type="http://schemas.openxmlformats.org/officeDocument/2006/relationships/hyperlink" Target="mailto:JOEL.RAMIREZ@SULZER.COM" TargetMode="External"/><Relationship Id="rId133" Type="http://schemas.openxmlformats.org/officeDocument/2006/relationships/hyperlink" Target="mailto:erica.segura@coterra.com" TargetMode="External"/><Relationship Id="rId254" Type="http://schemas.openxmlformats.org/officeDocument/2006/relationships/hyperlink" Target="mailto:nnsurr@hii-nns.com" TargetMode="External"/><Relationship Id="rId375" Type="http://schemas.openxmlformats.org/officeDocument/2006/relationships/hyperlink" Target="mailto:jessica.t.hinson.civ@us.navy.mil" TargetMode="External"/><Relationship Id="rId496" Type="http://schemas.openxmlformats.org/officeDocument/2006/relationships/hyperlink" Target="mailto:sam.terkelsen@stvinc.com" TargetMode="External"/><Relationship Id="rId172" Type="http://schemas.openxmlformats.org/officeDocument/2006/relationships/hyperlink" Target="mailto:mcooney@enercon.com" TargetMode="External"/><Relationship Id="rId293" Type="http://schemas.openxmlformats.org/officeDocument/2006/relationships/hyperlink" Target="mailto:eturner@kfriese.com" TargetMode="External"/><Relationship Id="rId171" Type="http://schemas.openxmlformats.org/officeDocument/2006/relationships/hyperlink" Target="mailto:ashley.garrison@eec-tx.com" TargetMode="External"/><Relationship Id="rId292" Type="http://schemas.openxmlformats.org/officeDocument/2006/relationships/hyperlink" Target="mailto:cally.hesidenz@jtthorpe.com" TargetMode="External"/><Relationship Id="rId170" Type="http://schemas.openxmlformats.org/officeDocument/2006/relationships/hyperlink" Target="mailto:angel.galbreath@emerson.com" TargetMode="External"/><Relationship Id="rId291" Type="http://schemas.openxmlformats.org/officeDocument/2006/relationships/hyperlink" Target="mailto:epatterson@jmt.com" TargetMode="External"/><Relationship Id="rId290" Type="http://schemas.openxmlformats.org/officeDocument/2006/relationships/hyperlink" Target="mailto:jnj@nc3.com" TargetMode="External"/><Relationship Id="rId165" Type="http://schemas.openxmlformats.org/officeDocument/2006/relationships/hyperlink" Target="mailto:arojas@ehrainc.com" TargetMode="External"/><Relationship Id="rId286" Type="http://schemas.openxmlformats.org/officeDocument/2006/relationships/hyperlink" Target="mailto:ashley.landis@jacobs.com" TargetMode="External"/><Relationship Id="rId164" Type="http://schemas.openxmlformats.org/officeDocument/2006/relationships/hyperlink" Target="mailto:Joshua.Bowie@edgile.com" TargetMode="External"/><Relationship Id="rId285" Type="http://schemas.openxmlformats.org/officeDocument/2006/relationships/hyperlink" Target="mailto:rc.jmdesign@gmail.com" TargetMode="External"/><Relationship Id="rId163" Type="http://schemas.openxmlformats.org/officeDocument/2006/relationships/hyperlink" Target="mailto:careers@edg.net" TargetMode="External"/><Relationship Id="rId284" Type="http://schemas.openxmlformats.org/officeDocument/2006/relationships/hyperlink" Target="mailto:gmt2@iteris.com" TargetMode="External"/><Relationship Id="rId162" Type="http://schemas.openxmlformats.org/officeDocument/2006/relationships/hyperlink" Target="mailto:dspitz@genisyscontrols.com" TargetMode="External"/><Relationship Id="rId283" Type="http://schemas.openxmlformats.org/officeDocument/2006/relationships/hyperlink" Target="http://iteris.com/" TargetMode="External"/><Relationship Id="rId169" Type="http://schemas.openxmlformats.org/officeDocument/2006/relationships/hyperlink" Target="mailto:sgarcia@elevationlandsolutions.com" TargetMode="External"/><Relationship Id="rId168" Type="http://schemas.openxmlformats.org/officeDocument/2006/relationships/hyperlink" Target="mailto:hrdirector@eciusa.com" TargetMode="External"/><Relationship Id="rId289" Type="http://schemas.openxmlformats.org/officeDocument/2006/relationships/hyperlink" Target="mailto:mitchell.pivovar@jedunn.com" TargetMode="External"/><Relationship Id="rId167" Type="http://schemas.openxmlformats.org/officeDocument/2006/relationships/hyperlink" Target="mailto:mia.perez@ercot.com" TargetMode="External"/><Relationship Id="rId288" Type="http://schemas.openxmlformats.org/officeDocument/2006/relationships/hyperlink" Target="mailto:csullivan@jaycashman.com" TargetMode="External"/><Relationship Id="rId166" Type="http://schemas.openxmlformats.org/officeDocument/2006/relationships/hyperlink" Target="mailto:jason.greer@elbitsystems-us.com" TargetMode="External"/><Relationship Id="rId287" Type="http://schemas.openxmlformats.org/officeDocument/2006/relationships/hyperlink" Target="mailto:heather.hancock@jacobs.com" TargetMode="External"/><Relationship Id="rId161" Type="http://schemas.openxmlformats.org/officeDocument/2006/relationships/hyperlink" Target="mailto:selah.jacobs@ecolab.com" TargetMode="External"/><Relationship Id="rId282" Type="http://schemas.openxmlformats.org/officeDocument/2006/relationships/hyperlink" Target="mailto:Abigail.Lutz@ipaper.com" TargetMode="External"/><Relationship Id="rId160" Type="http://schemas.openxmlformats.org/officeDocument/2006/relationships/hyperlink" Target="mailto:melissa.hein@eastman.com" TargetMode="External"/><Relationship Id="rId281" Type="http://schemas.openxmlformats.org/officeDocument/2006/relationships/hyperlink" Target="mailto:xmedina@ie-services.com" TargetMode="External"/><Relationship Id="rId280" Type="http://schemas.openxmlformats.org/officeDocument/2006/relationships/hyperlink" Target="mailto:derek.bowen@ips.us" TargetMode="External"/><Relationship Id="rId159" Type="http://schemas.openxmlformats.org/officeDocument/2006/relationships/hyperlink" Target="mailto:marketing@dsi.us" TargetMode="External"/><Relationship Id="rId154" Type="http://schemas.openxmlformats.org/officeDocument/2006/relationships/hyperlink" Target="mailto:kajuettemeyer@dow.com" TargetMode="External"/><Relationship Id="rId275" Type="http://schemas.openxmlformats.org/officeDocument/2006/relationships/hyperlink" Target="mailto:LorraineH.Black@INEOS.com" TargetMode="External"/><Relationship Id="rId396" Type="http://schemas.openxmlformats.org/officeDocument/2006/relationships/hyperlink" Target="mailto:brubio@oscarordunoinc.com" TargetMode="External"/><Relationship Id="rId153" Type="http://schemas.openxmlformats.org/officeDocument/2006/relationships/hyperlink" Target="mailto:ava.m.plummer@dominionenergy.com" TargetMode="External"/><Relationship Id="rId274" Type="http://schemas.openxmlformats.org/officeDocument/2006/relationships/hyperlink" Target="mailto:j.loyo@hotmail.com" TargetMode="External"/><Relationship Id="rId395" Type="http://schemas.openxmlformats.org/officeDocument/2006/relationships/hyperlink" Target="mailto:cpope@opportune.com" TargetMode="External"/><Relationship Id="rId152" Type="http://schemas.openxmlformats.org/officeDocument/2006/relationships/hyperlink" Target="mailto:jobs@dmcinfo.com" TargetMode="External"/><Relationship Id="rId273" Type="http://schemas.openxmlformats.org/officeDocument/2006/relationships/hyperlink" Target="mailto:paige.k.trimble@imegcorp.com" TargetMode="External"/><Relationship Id="rId394" Type="http://schemas.openxmlformats.org/officeDocument/2006/relationships/hyperlink" Target="mailto:derek.aquiningoc@oncor.com" TargetMode="External"/><Relationship Id="rId151" Type="http://schemas.openxmlformats.org/officeDocument/2006/relationships/hyperlink" Target="mailto:jhord@diamondbackenergy.com" TargetMode="External"/><Relationship Id="rId272" Type="http://schemas.openxmlformats.org/officeDocument/2006/relationships/hyperlink" Target="mailto:marketing@ieaworld.com" TargetMode="External"/><Relationship Id="rId393" Type="http://schemas.openxmlformats.org/officeDocument/2006/relationships/hyperlink" Target="mailto:hchristensen@olsson.com" TargetMode="External"/><Relationship Id="rId158" Type="http://schemas.openxmlformats.org/officeDocument/2006/relationships/hyperlink" Target="mailto:gcammisa@dynamicec.com" TargetMode="External"/><Relationship Id="rId279" Type="http://schemas.openxmlformats.org/officeDocument/2006/relationships/hyperlink" Target="mailto:kelly.williams@iidm.com" TargetMode="External"/><Relationship Id="rId157" Type="http://schemas.openxmlformats.org/officeDocument/2006/relationships/hyperlink" Target="mailto:mandi.shushtari@dxpe.com" TargetMode="External"/><Relationship Id="rId278" Type="http://schemas.openxmlformats.org/officeDocument/2006/relationships/hyperlink" Target="mailto:PAUL_CERDA@IRCO.COM" TargetMode="External"/><Relationship Id="rId399" Type="http://schemas.openxmlformats.org/officeDocument/2006/relationships/hyperlink" Target="mailto:rochelle.robinson@owenscorning.com" TargetMode="External"/><Relationship Id="rId156" Type="http://schemas.openxmlformats.org/officeDocument/2006/relationships/hyperlink" Target="mailto:dbretherton2@dss.net" TargetMode="External"/><Relationship Id="rId277" Type="http://schemas.openxmlformats.org/officeDocument/2006/relationships/hyperlink" Target="mailto:hajarah.mabike@ingeniapolymers.com" TargetMode="External"/><Relationship Id="rId398" Type="http://schemas.openxmlformats.org/officeDocument/2006/relationships/hyperlink" Target="mailto:nella.stanic@ovintiv.com" TargetMode="External"/><Relationship Id="rId155" Type="http://schemas.openxmlformats.org/officeDocument/2006/relationships/hyperlink" Target="mailto:blin@draper.com" TargetMode="External"/><Relationship Id="rId276" Type="http://schemas.openxmlformats.org/officeDocument/2006/relationships/hyperlink" Target="mailto:infineon@nc3.com" TargetMode="External"/><Relationship Id="rId397" Type="http://schemas.openxmlformats.org/officeDocument/2006/relationships/hyperlink" Target="mailto:skoparde@othon.com" TargetMode="External"/><Relationship Id="rId40" Type="http://schemas.openxmlformats.org/officeDocument/2006/relationships/hyperlink" Target="mailto:daniela.castillo-rocha@arlut.utexas.edu" TargetMode="External"/><Relationship Id="rId42" Type="http://schemas.openxmlformats.org/officeDocument/2006/relationships/hyperlink" Target="mailto:RecruitingSupport@arcb.com" TargetMode="External"/><Relationship Id="rId41" Type="http://schemas.openxmlformats.org/officeDocument/2006/relationships/hyperlink" Target="mailto:sheila@arbinmail.com" TargetMode="External"/><Relationship Id="rId44" Type="http://schemas.openxmlformats.org/officeDocument/2006/relationships/hyperlink" Target="mailto:morban@ardurra.com" TargetMode="External"/><Relationship Id="rId43" Type="http://schemas.openxmlformats.org/officeDocument/2006/relationships/hyperlink" Target="mailto:jhoag@arcomurray.com" TargetMode="External"/><Relationship Id="rId46" Type="http://schemas.openxmlformats.org/officeDocument/2006/relationships/hyperlink" Target="mailto:Phillip.Weaver@arionblue.com" TargetMode="External"/><Relationship Id="rId45" Type="http://schemas.openxmlformats.org/officeDocument/2006/relationships/hyperlink" Target="mailto:bmery@arenaenergy.com" TargetMode="External"/><Relationship Id="rId509" Type="http://schemas.openxmlformats.org/officeDocument/2006/relationships/hyperlink" Target="mailto:jovalle@teliospc.com" TargetMode="External"/><Relationship Id="rId508" Type="http://schemas.openxmlformats.org/officeDocument/2006/relationships/hyperlink" Target="mailto:tiffany.reyna@technipfmc.com" TargetMode="External"/><Relationship Id="rId503" Type="http://schemas.openxmlformats.org/officeDocument/2006/relationships/hyperlink" Target="mailto:ritz@tamu.edu" TargetMode="External"/><Relationship Id="rId502" Type="http://schemas.openxmlformats.org/officeDocument/2006/relationships/hyperlink" Target="mailto:debkmann@tamu.edu" TargetMode="External"/><Relationship Id="rId501" Type="http://schemas.openxmlformats.org/officeDocument/2006/relationships/hyperlink" Target="mailto:natalia.boyce@tallgrass.com" TargetMode="External"/><Relationship Id="rId500" Type="http://schemas.openxmlformats.org/officeDocument/2006/relationships/hyperlink" Target="mailto:zoek@synopsys.com" TargetMode="External"/><Relationship Id="rId507" Type="http://schemas.openxmlformats.org/officeDocument/2006/relationships/hyperlink" Target="mailto:rachael.hamer@ten.com" TargetMode="External"/><Relationship Id="rId506" Type="http://schemas.openxmlformats.org/officeDocument/2006/relationships/hyperlink" Target="mailto:student_programs@tcenergy.com" TargetMode="External"/><Relationship Id="rId505" Type="http://schemas.openxmlformats.org/officeDocument/2006/relationships/hyperlink" Target="mailto:smase@targaresources.com" TargetMode="External"/><Relationship Id="rId504" Type="http://schemas.openxmlformats.org/officeDocument/2006/relationships/hyperlink" Target="mailto:hope.barnes@tanium.com" TargetMode="External"/><Relationship Id="rId48" Type="http://schemas.openxmlformats.org/officeDocument/2006/relationships/hyperlink" Target="mailto:bdiaz@ascendmaterials.com" TargetMode="External"/><Relationship Id="rId47" Type="http://schemas.openxmlformats.org/officeDocument/2006/relationships/hyperlink" Target="mailto:imad.badran2@arm.com" TargetMode="External"/><Relationship Id="rId49" Type="http://schemas.openxmlformats.org/officeDocument/2006/relationships/hyperlink" Target="mailto:bdiaz@ascendmaterials.com" TargetMode="External"/><Relationship Id="rId31" Type="http://schemas.openxmlformats.org/officeDocument/2006/relationships/hyperlink" Target="mailto:christopher.y.tidmore.mil@us.navy.mil" TargetMode="External"/><Relationship Id="rId30" Type="http://schemas.openxmlformats.org/officeDocument/2006/relationships/hyperlink" Target="mailto:mmeade@arcomurray.com" TargetMode="External"/><Relationship Id="rId33" Type="http://schemas.openxmlformats.org/officeDocument/2006/relationships/hyperlink" Target="mailto:aneely@structurepoint.com" TargetMode="External"/><Relationship Id="rId32" Type="http://schemas.openxmlformats.org/officeDocument/2006/relationships/hyperlink" Target="mailto:art.salcedo@aa.com" TargetMode="External"/><Relationship Id="rId35" Type="http://schemas.openxmlformats.org/officeDocument/2006/relationships/hyperlink" Target="mailto:felicia.nguyen@andersencorp.com" TargetMode="External"/><Relationship Id="rId34" Type="http://schemas.openxmlformats.org/officeDocument/2006/relationships/hyperlink" Target="mailto:jack.stover@analog.com" TargetMode="External"/><Relationship Id="rId37" Type="http://schemas.openxmlformats.org/officeDocument/2006/relationships/hyperlink" Target="mailto:university.relations@apachecorp.com" TargetMode="External"/><Relationship Id="rId36" Type="http://schemas.openxmlformats.org/officeDocument/2006/relationships/hyperlink" Target="mailto:donnie.owens@ansgeo.com" TargetMode="External"/><Relationship Id="rId39" Type="http://schemas.openxmlformats.org/officeDocument/2006/relationships/hyperlink" Target="mailto:bbecerra@ara.com" TargetMode="External"/><Relationship Id="rId38" Type="http://schemas.openxmlformats.org/officeDocument/2006/relationships/hyperlink" Target="mailto:university_relations@amat.com" TargetMode="External"/><Relationship Id="rId20" Type="http://schemas.openxmlformats.org/officeDocument/2006/relationships/hyperlink" Target="mailto:airliquide@nc3.com" TargetMode="External"/><Relationship Id="rId22" Type="http://schemas.openxmlformats.org/officeDocument/2006/relationships/hyperlink" Target="mailto:nia.lewis@albemarle.com" TargetMode="External"/><Relationship Id="rId21" Type="http://schemas.openxmlformats.org/officeDocument/2006/relationships/hyperlink" Target="mailto:airproducts@nc3.com" TargetMode="External"/><Relationship Id="rId24" Type="http://schemas.openxmlformats.org/officeDocument/2006/relationships/hyperlink" Target="mailto:abbey.brewer@alcon.com" TargetMode="External"/><Relationship Id="rId23" Type="http://schemas.openxmlformats.org/officeDocument/2006/relationships/hyperlink" Target="mailto:kc130j@gmail.com" TargetMode="External"/><Relationship Id="rId409" Type="http://schemas.openxmlformats.org/officeDocument/2006/relationships/hyperlink" Target="mailto:brausch@pattieng.com" TargetMode="External"/><Relationship Id="rId404" Type="http://schemas.openxmlformats.org/officeDocument/2006/relationships/hyperlink" Target="mailto:campusrecruiting@pape-dawson.com" TargetMode="External"/><Relationship Id="rId525" Type="http://schemas.openxmlformats.org/officeDocument/2006/relationships/hyperlink" Target="mailto:crystal.kerr@brandt.us" TargetMode="External"/><Relationship Id="rId403" Type="http://schemas.openxmlformats.org/officeDocument/2006/relationships/hyperlink" Target="mailto:jessiemoore@packagingcorp.com" TargetMode="External"/><Relationship Id="rId524" Type="http://schemas.openxmlformats.org/officeDocument/2006/relationships/hyperlink" Target="mailto:heidi.libby@boldt.com" TargetMode="External"/><Relationship Id="rId402" Type="http://schemas.openxmlformats.org/officeDocument/2006/relationships/hyperlink" Target="mailto:teresa@pacificoenergy.com" TargetMode="External"/><Relationship Id="rId523" Type="http://schemas.openxmlformats.org/officeDocument/2006/relationships/hyperlink" Target="mailto:trenton.r.seely@boeing.com" TargetMode="External"/><Relationship Id="rId401" Type="http://schemas.openxmlformats.org/officeDocument/2006/relationships/hyperlink" Target="mailto:morison.r@pg.com" TargetMode="External"/><Relationship Id="rId522" Type="http://schemas.openxmlformats.org/officeDocument/2006/relationships/hyperlink" Target="mailto:universityrecruiting@textron.com" TargetMode="External"/><Relationship Id="rId408" Type="http://schemas.openxmlformats.org/officeDocument/2006/relationships/hyperlink" Target="mailto:adam.trimble@patenergy.com" TargetMode="External"/><Relationship Id="rId529" Type="http://schemas.openxmlformats.org/officeDocument/2006/relationships/hyperlink" Target="mailto:patrick.gibboney@sherwin.com" TargetMode="External"/><Relationship Id="rId407" Type="http://schemas.openxmlformats.org/officeDocument/2006/relationships/hyperlink" Target="mailto:ksechrist@parkhill.com" TargetMode="External"/><Relationship Id="rId528" Type="http://schemas.openxmlformats.org/officeDocument/2006/relationships/hyperlink" Target="mailto:jpriore@nyiso.com" TargetMode="External"/><Relationship Id="rId406" Type="http://schemas.openxmlformats.org/officeDocument/2006/relationships/hyperlink" Target="mailto:valencia.griffin@parker.com" TargetMode="External"/><Relationship Id="rId527" Type="http://schemas.openxmlformats.org/officeDocument/2006/relationships/hyperlink" Target="mailto:nicole.anderson@jhuapl.edu" TargetMode="External"/><Relationship Id="rId405" Type="http://schemas.openxmlformats.org/officeDocument/2006/relationships/hyperlink" Target="mailto:campusrecruiting@parivedasolutions.com" TargetMode="External"/><Relationship Id="rId526" Type="http://schemas.openxmlformats.org/officeDocument/2006/relationships/hyperlink" Target="mailto:ecearley@friedkin.com" TargetMode="External"/><Relationship Id="rId26" Type="http://schemas.openxmlformats.org/officeDocument/2006/relationships/hyperlink" Target="mailto:ahebert@all4inc.com" TargetMode="External"/><Relationship Id="rId25" Type="http://schemas.openxmlformats.org/officeDocument/2006/relationships/hyperlink" Target="mailto:chance.cook@alfalaval.com" TargetMode="External"/><Relationship Id="rId28" Type="http://schemas.openxmlformats.org/officeDocument/2006/relationships/hyperlink" Target="mailto:ctapia@emailatg.com" TargetMode="External"/><Relationship Id="rId27" Type="http://schemas.openxmlformats.org/officeDocument/2006/relationships/hyperlink" Target="mailto:azenofsky@allegromicro.com" TargetMode="External"/><Relationship Id="rId400" Type="http://schemas.openxmlformats.org/officeDocument/2006/relationships/hyperlink" Target="mailto:University_Relations@oxy.com" TargetMode="External"/><Relationship Id="rId521" Type="http://schemas.openxmlformats.org/officeDocument/2006/relationships/hyperlink" Target="mailto:ti@nc3.com" TargetMode="External"/><Relationship Id="rId29" Type="http://schemas.openxmlformats.org/officeDocument/2006/relationships/hyperlink" Target="mailto:maria.sepulveda@altamira-us.com" TargetMode="External"/><Relationship Id="rId520" Type="http://schemas.openxmlformats.org/officeDocument/2006/relationships/hyperlink" Target="mailto:sheila.brooks@txdot.gov" TargetMode="External"/><Relationship Id="rId11" Type="http://schemas.openxmlformats.org/officeDocument/2006/relationships/hyperlink" Target="mailto:rda@as-engineers.com" TargetMode="External"/><Relationship Id="rId10" Type="http://schemas.openxmlformats.org/officeDocument/2006/relationships/hyperlink" Target="mailto:mnbrown@kpmg.com" TargetMode="External"/><Relationship Id="rId13" Type="http://schemas.openxmlformats.org/officeDocument/2006/relationships/hyperlink" Target="mailto:robert.mccloud@abbvie.com" TargetMode="External"/><Relationship Id="rId12" Type="http://schemas.openxmlformats.org/officeDocument/2006/relationships/hyperlink" Target="mailto:elizabeth.lipstreu@us.abb.com" TargetMode="External"/><Relationship Id="rId519" Type="http://schemas.openxmlformats.org/officeDocument/2006/relationships/hyperlink" Target="mailto:chance.lyde@meriton.com" TargetMode="External"/><Relationship Id="rId514" Type="http://schemas.openxmlformats.org/officeDocument/2006/relationships/hyperlink" Target="mailto:online-degree@geos.tamu.edu" TargetMode="External"/><Relationship Id="rId513" Type="http://schemas.openxmlformats.org/officeDocument/2006/relationships/hyperlink" Target="mailto:ceretzer@tamu.edu" TargetMode="External"/><Relationship Id="rId512" Type="http://schemas.openxmlformats.org/officeDocument/2006/relationships/hyperlink" Target="mailto:michelle.atchley@tetratech.com" TargetMode="External"/><Relationship Id="rId511" Type="http://schemas.openxmlformats.org/officeDocument/2006/relationships/hyperlink" Target="mailto:theresa.bridges@terracon.com" TargetMode="External"/><Relationship Id="rId518" Type="http://schemas.openxmlformats.org/officeDocument/2006/relationships/hyperlink" Target="mailto:acollier@txap.com" TargetMode="External"/><Relationship Id="rId517" Type="http://schemas.openxmlformats.org/officeDocument/2006/relationships/hyperlink" Target="mailto:jlinder@mays.tamu.edu" TargetMode="External"/><Relationship Id="rId516" Type="http://schemas.openxmlformats.org/officeDocument/2006/relationships/hyperlink" Target="mailto:vmclaughlin@mays.tamu.edu" TargetMode="External"/><Relationship Id="rId515" Type="http://schemas.openxmlformats.org/officeDocument/2006/relationships/hyperlink" Target="mailto:enmed.admissions@tamu.edu" TargetMode="External"/><Relationship Id="rId15" Type="http://schemas.openxmlformats.org/officeDocument/2006/relationships/hyperlink" Target="mailto:kallen@acutronic.com" TargetMode="External"/><Relationship Id="rId14" Type="http://schemas.openxmlformats.org/officeDocument/2006/relationships/hyperlink" Target="mailto:universityrelations@eagle.org" TargetMode="External"/><Relationship Id="rId17" Type="http://schemas.openxmlformats.org/officeDocument/2006/relationships/hyperlink" Target="mailto:tammie.letroise-brown@aegisaero.com" TargetMode="External"/><Relationship Id="rId16" Type="http://schemas.openxmlformats.org/officeDocument/2006/relationships/hyperlink" Target="mailto:aecom@nc3.com" TargetMode="External"/><Relationship Id="rId19" Type="http://schemas.openxmlformats.org/officeDocument/2006/relationships/hyperlink" Target="mailto:shirley.faust@aguirre-fields.com" TargetMode="External"/><Relationship Id="rId510" Type="http://schemas.openxmlformats.org/officeDocument/2006/relationships/hyperlink" Target="mailto:TeNguyen@Tenaris.com" TargetMode="External"/><Relationship Id="rId18" Type="http://schemas.openxmlformats.org/officeDocument/2006/relationships/hyperlink" Target="mailto:oncampus@aeieng.com" TargetMode="External"/><Relationship Id="rId84" Type="http://schemas.openxmlformats.org/officeDocument/2006/relationships/hyperlink" Target="mailto:ekirkconnell@bowman.com" TargetMode="External"/><Relationship Id="rId83" Type="http://schemas.openxmlformats.org/officeDocument/2006/relationships/hyperlink" Target="mailto:nick@bo-engineering.com" TargetMode="External"/><Relationship Id="rId86" Type="http://schemas.openxmlformats.org/officeDocument/2006/relationships/hyperlink" Target="mailto:cpurvis@brasfieldgorrie.com" TargetMode="External"/><Relationship Id="rId85" Type="http://schemas.openxmlformats.org/officeDocument/2006/relationships/hyperlink" Target="mailto:jessie.dengsavang@bp.com" TargetMode="External"/><Relationship Id="rId88" Type="http://schemas.openxmlformats.org/officeDocument/2006/relationships/hyperlink" Target="mailto:erika.everett@bray.com" TargetMode="External"/><Relationship Id="rId87" Type="http://schemas.openxmlformats.org/officeDocument/2006/relationships/hyperlink" Target="mailto:david.currie@braskem.com" TargetMode="External"/><Relationship Id="rId89" Type="http://schemas.openxmlformats.org/officeDocument/2006/relationships/hyperlink" Target="mailto:sgray@brocksolutions.com" TargetMode="External"/><Relationship Id="rId80" Type="http://schemas.openxmlformats.org/officeDocument/2006/relationships/hyperlink" Target="mailto:lpecoy@blumeng.com" TargetMode="External"/><Relationship Id="rId82" Type="http://schemas.openxmlformats.org/officeDocument/2006/relationships/hyperlink" Target="mailto:marcie.vargas@bodycote.com" TargetMode="External"/><Relationship Id="rId81" Type="http://schemas.openxmlformats.org/officeDocument/2006/relationships/hyperlink" Target="mailto:talentacquisition@bnsf.com" TargetMode="External"/><Relationship Id="rId73" Type="http://schemas.openxmlformats.org/officeDocument/2006/relationships/hyperlink" Target="mailto:cmckay@baxterwoodman.com" TargetMode="External"/><Relationship Id="rId72" Type="http://schemas.openxmlformats.org/officeDocument/2006/relationships/hyperlink" Target="mailto:manuela.builes@basf.com" TargetMode="External"/><Relationship Id="rId75" Type="http://schemas.openxmlformats.org/officeDocument/2006/relationships/hyperlink" Target="mailto:jennifer.johnson@bernhard.com" TargetMode="External"/><Relationship Id="rId74" Type="http://schemas.openxmlformats.org/officeDocument/2006/relationships/hyperlink" Target="mailto:p.zurlinden@beckhoff.com" TargetMode="External"/><Relationship Id="rId77" Type="http://schemas.openxmlformats.org/officeDocument/2006/relationships/hyperlink" Target="mailto:hr@binkleybarfield.com" TargetMode="External"/><Relationship Id="rId76" Type="http://schemas.openxmlformats.org/officeDocument/2006/relationships/hyperlink" Target="mailto:recruiting@bgeinc.com" TargetMode="External"/><Relationship Id="rId79" Type="http://schemas.openxmlformats.org/officeDocument/2006/relationships/hyperlink" Target="mailto:fgavelli@blueeandc.com" TargetMode="External"/><Relationship Id="rId78" Type="http://schemas.openxmlformats.org/officeDocument/2006/relationships/hyperlink" Target="mailto:WheelerSE@bv.com" TargetMode="External"/><Relationship Id="rId71" Type="http://schemas.openxmlformats.org/officeDocument/2006/relationships/hyperlink" Target="mailto:angela.berman@bwdesigngroup.com" TargetMode="External"/><Relationship Id="rId70" Type="http://schemas.openxmlformats.org/officeDocument/2006/relationships/hyperlink" Target="mailto:aanderson@barnhartcrane.com" TargetMode="External"/><Relationship Id="rId62" Type="http://schemas.openxmlformats.org/officeDocument/2006/relationships/hyperlink" Target="mailto:brooke.day@awc-inc.com" TargetMode="External"/><Relationship Id="rId61" Type="http://schemas.openxmlformats.org/officeDocument/2006/relationships/hyperlink" Target="mailto:ashlee.vann2@avangrid.com" TargetMode="External"/><Relationship Id="rId64" Type="http://schemas.openxmlformats.org/officeDocument/2006/relationships/hyperlink" Target="mailto:taylorc@bakerconcrete.com" TargetMode="External"/><Relationship Id="rId63" Type="http://schemas.openxmlformats.org/officeDocument/2006/relationships/hyperlink" Target="mailto:careers@bhbinc.com" TargetMode="External"/><Relationship Id="rId66" Type="http://schemas.openxmlformats.org/officeDocument/2006/relationships/hyperlink" Target="mailto:brooke.ostrander@bakerhughes.com" TargetMode="External"/><Relationship Id="rId65" Type="http://schemas.openxmlformats.org/officeDocument/2006/relationships/hyperlink" Target="mailto:wildl@bakerconstruction.com" TargetMode="External"/><Relationship Id="rId68" Type="http://schemas.openxmlformats.org/officeDocument/2006/relationships/hyperlink" Target="mailto:emilee.crouse@ballardmc.com" TargetMode="External"/><Relationship Id="rId67" Type="http://schemas.openxmlformats.org/officeDocument/2006/relationships/hyperlink" Target="mailto:lrodriguez@bakerrisk.com" TargetMode="External"/><Relationship Id="rId60" Type="http://schemas.openxmlformats.org/officeDocument/2006/relationships/hyperlink" Target="mailto:jlittle@austin-ind.com" TargetMode="External"/><Relationship Id="rId69" Type="http://schemas.openxmlformats.org/officeDocument/2006/relationships/hyperlink" Target="mailto:nshaw@bardex.com" TargetMode="External"/><Relationship Id="rId51" Type="http://schemas.openxmlformats.org/officeDocument/2006/relationships/hyperlink" Target="mailto:atwarren@ashland.com" TargetMode="External"/><Relationship Id="rId50" Type="http://schemas.openxmlformats.org/officeDocument/2006/relationships/hyperlink" Target="mailto:rspencer@asec-engineers.com" TargetMode="External"/><Relationship Id="rId53" Type="http://schemas.openxmlformats.org/officeDocument/2006/relationships/hyperlink" Target="mailto:shaq.lowe@atkinsrealis.com" TargetMode="External"/><Relationship Id="rId52" Type="http://schemas.openxmlformats.org/officeDocument/2006/relationships/hyperlink" Target="mailto:william.scholten@ata-e.com" TargetMode="External"/><Relationship Id="rId55" Type="http://schemas.openxmlformats.org/officeDocument/2006/relationships/hyperlink" Target="mailto:jeremy.brunner@atmosenergy.com" TargetMode="External"/><Relationship Id="rId54" Type="http://schemas.openxmlformats.org/officeDocument/2006/relationships/hyperlink" Target="mailto:mvang@atlas.energy" TargetMode="External"/><Relationship Id="rId57" Type="http://schemas.openxmlformats.org/officeDocument/2006/relationships/hyperlink" Target="mailto:karaelizatucker@gmail.com" TargetMode="External"/><Relationship Id="rId56" Type="http://schemas.openxmlformats.org/officeDocument/2006/relationships/hyperlink" Target="mailto:sduwenhoegger@atwell-group.com" TargetMode="External"/><Relationship Id="rId59" Type="http://schemas.openxmlformats.org/officeDocument/2006/relationships/hyperlink" Target="mailto:Ltrujillo@austin-ind.com" TargetMode="External"/><Relationship Id="rId58" Type="http://schemas.openxmlformats.org/officeDocument/2006/relationships/hyperlink" Target="mailto:ian.mcentee@auroraer.com" TargetMode="External"/><Relationship Id="rId590" Type="http://schemas.openxmlformats.org/officeDocument/2006/relationships/hyperlink" Target="mailto:blake.strunk@wsp.com" TargetMode="External"/><Relationship Id="rId107" Type="http://schemas.openxmlformats.org/officeDocument/2006/relationships/hyperlink" Target="mailto:allyssa.gutierrez@csg.heicocompanies.com" TargetMode="External"/><Relationship Id="rId228" Type="http://schemas.openxmlformats.org/officeDocument/2006/relationships/hyperlink" Target="mailto:gserrao@gtweed.com" TargetMode="External"/><Relationship Id="rId349" Type="http://schemas.openxmlformats.org/officeDocument/2006/relationships/hyperlink" Target="mailto:careers@matadorresources.com" TargetMode="External"/><Relationship Id="rId106" Type="http://schemas.openxmlformats.org/officeDocument/2006/relationships/hyperlink" Target="mailto:brad.veath@cbi.com" TargetMode="External"/><Relationship Id="rId227" Type="http://schemas.openxmlformats.org/officeDocument/2006/relationships/hyperlink" Target="mailto:allison.blake@greatplainsmfg.com" TargetMode="External"/><Relationship Id="rId348" Type="http://schemas.openxmlformats.org/officeDocument/2006/relationships/hyperlink" Target="mailto:mjeffries@massman.net" TargetMode="External"/><Relationship Id="rId469" Type="http://schemas.openxmlformats.org/officeDocument/2006/relationships/hyperlink" Target="mailto:brian.wilks@shell.com" TargetMode="External"/><Relationship Id="rId105" Type="http://schemas.openxmlformats.org/officeDocument/2006/relationships/hyperlink" Target="mailto:molly.shock@cat.com" TargetMode="External"/><Relationship Id="rId226" Type="http://schemas.openxmlformats.org/officeDocument/2006/relationships/hyperlink" Target="mailto:thelmabrown@gldd.com" TargetMode="External"/><Relationship Id="rId347" Type="http://schemas.openxmlformats.org/officeDocument/2006/relationships/hyperlink" Target="mailto:nmcastillo@marathonpetroleum.com" TargetMode="External"/><Relationship Id="rId468" Type="http://schemas.openxmlformats.org/officeDocument/2006/relationships/hyperlink" Target="mailto:c.perez2@shell.com" TargetMode="External"/><Relationship Id="rId589" Type="http://schemas.openxmlformats.org/officeDocument/2006/relationships/hyperlink" Target="mailto:bforbush@wrightengineers.com" TargetMode="External"/><Relationship Id="rId104" Type="http://schemas.openxmlformats.org/officeDocument/2006/relationships/hyperlink" Target="mailto:cargill@nc3.com" TargetMode="External"/><Relationship Id="rId225" Type="http://schemas.openxmlformats.org/officeDocument/2006/relationships/hyperlink" Target="mailto:info@grayengineeringinc.com" TargetMode="External"/><Relationship Id="rId346" Type="http://schemas.openxmlformats.org/officeDocument/2006/relationships/hyperlink" Target="mailto:kdickens@mansoncc.com" TargetMode="External"/><Relationship Id="rId467" Type="http://schemas.openxmlformats.org/officeDocument/2006/relationships/hyperlink" Target="mailto:hhightower@shahsmith.com" TargetMode="External"/><Relationship Id="rId588" Type="http://schemas.openxmlformats.org/officeDocument/2006/relationships/hyperlink" Target="mailto:erin.niebylski@worley.com" TargetMode="External"/><Relationship Id="rId109" Type="http://schemas.openxmlformats.org/officeDocument/2006/relationships/hyperlink" Target="mailto:scott.r.yoder@centerpointenergy.com" TargetMode="External"/><Relationship Id="rId108" Type="http://schemas.openxmlformats.org/officeDocument/2006/relationships/hyperlink" Target="mailto:jacqueline1.hall@celanese.com" TargetMode="External"/><Relationship Id="rId229" Type="http://schemas.openxmlformats.org/officeDocument/2006/relationships/hyperlink" Target="mailto:nnichoha@grundfos.com" TargetMode="External"/><Relationship Id="rId220" Type="http://schemas.openxmlformats.org/officeDocument/2006/relationships/hyperlink" Target="mailto:elizabeth@gigaenergy.com" TargetMode="External"/><Relationship Id="rId341" Type="http://schemas.openxmlformats.org/officeDocument/2006/relationships/hyperlink" Target="mailto:esaucedo@cudeengineers.com" TargetMode="External"/><Relationship Id="rId462" Type="http://schemas.openxmlformats.org/officeDocument/2006/relationships/hyperlink" Target="mailto:jennifer.l.perrill@saic.com" TargetMode="External"/><Relationship Id="rId583" Type="http://schemas.openxmlformats.org/officeDocument/2006/relationships/hyperlink" Target="mailto:kbowie@wrallp.com" TargetMode="External"/><Relationship Id="rId340" Type="http://schemas.openxmlformats.org/officeDocument/2006/relationships/hyperlink" Target="mailto:bmartinets@msengr.com" TargetMode="External"/><Relationship Id="rId461" Type="http://schemas.openxmlformats.org/officeDocument/2006/relationships/hyperlink" Target="mailto:jackie.schelter@schreiberfoods.com" TargetMode="External"/><Relationship Id="rId582" Type="http://schemas.openxmlformats.org/officeDocument/2006/relationships/hyperlink" Target="mailto:cleon@whartonsmith.com" TargetMode="External"/><Relationship Id="rId460" Type="http://schemas.openxmlformats.org/officeDocument/2006/relationships/hyperlink" Target="mailto:ksejaspadilla@schnabel-eng.com" TargetMode="External"/><Relationship Id="rId581" Type="http://schemas.openxmlformats.org/officeDocument/2006/relationships/hyperlink" Target="mailto:kiera.odonnell@wginc.com" TargetMode="External"/><Relationship Id="rId580" Type="http://schemas.openxmlformats.org/officeDocument/2006/relationships/hyperlink" Target="mailto:jnguyen@wga-llp.com" TargetMode="External"/><Relationship Id="rId103" Type="http://schemas.openxmlformats.org/officeDocument/2006/relationships/hyperlink" Target="mailto:micayla.kiselak@capspire.com" TargetMode="External"/><Relationship Id="rId224" Type="http://schemas.openxmlformats.org/officeDocument/2006/relationships/hyperlink" Target="mailto:makayla.kennedy@gcinc.com" TargetMode="External"/><Relationship Id="rId345" Type="http://schemas.openxmlformats.org/officeDocument/2006/relationships/hyperlink" Target="mailto:mgofman@manh.com" TargetMode="External"/><Relationship Id="rId466" Type="http://schemas.openxmlformats.org/officeDocument/2006/relationships/hyperlink" Target="mailto:k.romano@sescocement.com" TargetMode="External"/><Relationship Id="rId587" Type="http://schemas.openxmlformats.org/officeDocument/2006/relationships/hyperlink" Target="mailto:gabby.burkett@woolpert.com" TargetMode="External"/><Relationship Id="rId102" Type="http://schemas.openxmlformats.org/officeDocument/2006/relationships/hyperlink" Target="mailto:recruiting@capsher.com" TargetMode="External"/><Relationship Id="rId223" Type="http://schemas.openxmlformats.org/officeDocument/2006/relationships/hyperlink" Target="mailto:staylor@grahamcivil.com" TargetMode="External"/><Relationship Id="rId344" Type="http://schemas.openxmlformats.org/officeDocument/2006/relationships/hyperlink" Target="mailto:jmartinez@manhard.com" TargetMode="External"/><Relationship Id="rId465" Type="http://schemas.openxmlformats.org/officeDocument/2006/relationships/hyperlink" Target="mailto:apply@se-texas.com" TargetMode="External"/><Relationship Id="rId586" Type="http://schemas.openxmlformats.org/officeDocument/2006/relationships/hyperlink" Target="mailto:TAMI.KOSTERS@WOODPLC.COM" TargetMode="External"/><Relationship Id="rId101" Type="http://schemas.openxmlformats.org/officeDocument/2006/relationships/hyperlink" Target="mailto:marissa.delgado@capitolaggregates.com" TargetMode="External"/><Relationship Id="rId222" Type="http://schemas.openxmlformats.org/officeDocument/2006/relationships/hyperlink" Target="mailto:mbaacke@gmcivil.com" TargetMode="External"/><Relationship Id="rId343" Type="http://schemas.openxmlformats.org/officeDocument/2006/relationships/hyperlink" Target="mailto:Hillarynicole@yahoo.com" TargetMode="External"/><Relationship Id="rId464" Type="http://schemas.openxmlformats.org/officeDocument/2006/relationships/hyperlink" Target="mailto:kelsey_cummings@selinc.com" TargetMode="External"/><Relationship Id="rId585" Type="http://schemas.openxmlformats.org/officeDocument/2006/relationships/hyperlink" Target="mailto:shammond@wettllc.com" TargetMode="External"/><Relationship Id="rId100" Type="http://schemas.openxmlformats.org/officeDocument/2006/relationships/hyperlink" Target="mailto:karrie.valenti@capco.com" TargetMode="External"/><Relationship Id="rId221" Type="http://schemas.openxmlformats.org/officeDocument/2006/relationships/hyperlink" Target="mailto:zachary.zelinski@globalfoundries.com" TargetMode="External"/><Relationship Id="rId342" Type="http://schemas.openxmlformats.org/officeDocument/2006/relationships/hyperlink" Target="mailto:lvaughn@mahoneyeng.com" TargetMode="External"/><Relationship Id="rId463" Type="http://schemas.openxmlformats.org/officeDocument/2006/relationships/hyperlink" Target="mailto:panelson@secretariat-intl.com" TargetMode="External"/><Relationship Id="rId584" Type="http://schemas.openxmlformats.org/officeDocument/2006/relationships/hyperlink" Target="mailto:collegerecruiting@Williams.com" TargetMode="External"/><Relationship Id="rId217" Type="http://schemas.openxmlformats.org/officeDocument/2006/relationships/hyperlink" Target="mailto:andrew.dover@gapac.com" TargetMode="External"/><Relationship Id="rId338" Type="http://schemas.openxmlformats.org/officeDocument/2006/relationships/hyperlink" Target="mailto:david.smith2@lyondellbasell.com" TargetMode="External"/><Relationship Id="rId459" Type="http://schemas.openxmlformats.org/officeDocument/2006/relationships/hyperlink" Target="mailto:andrew.hjort-michel@schnabel.com" TargetMode="External"/><Relationship Id="rId216" Type="http://schemas.openxmlformats.org/officeDocument/2006/relationships/hyperlink" Target="mailto:angie.baker@genesys-aerosystems.com" TargetMode="External"/><Relationship Id="rId337" Type="http://schemas.openxmlformats.org/officeDocument/2006/relationships/hyperlink" Target="mailto:rebecca.berger@lynntech.com" TargetMode="External"/><Relationship Id="rId458" Type="http://schemas.openxmlformats.org/officeDocument/2006/relationships/hyperlink" Target="mailto:dharris@scheibeconsulting.com" TargetMode="External"/><Relationship Id="rId579" Type="http://schemas.openxmlformats.org/officeDocument/2006/relationships/hyperlink" Target="mailto:careers@westwoodps.com" TargetMode="External"/><Relationship Id="rId215" Type="http://schemas.openxmlformats.org/officeDocument/2006/relationships/hyperlink" Target="mailto:EBUniversityrelations@gdeb.com" TargetMode="External"/><Relationship Id="rId336" Type="http://schemas.openxmlformats.org/officeDocument/2006/relationships/hyperlink" Target="mailto:lauren.stokley@lubrizol.com" TargetMode="External"/><Relationship Id="rId457" Type="http://schemas.openxmlformats.org/officeDocument/2006/relationships/hyperlink" Target="mailto:kedesha.mcclary@srs.gov" TargetMode="External"/><Relationship Id="rId578" Type="http://schemas.openxmlformats.org/officeDocument/2006/relationships/hyperlink" Target="mailto:scolletta@westlake.com" TargetMode="External"/><Relationship Id="rId214" Type="http://schemas.openxmlformats.org/officeDocument/2006/relationships/hyperlink" Target="mailto:lrockhold@gbateam.com" TargetMode="External"/><Relationship Id="rId335" Type="http://schemas.openxmlformats.org/officeDocument/2006/relationships/hyperlink" Target="mailto:marykay.yu@lty-engineers.com" TargetMode="External"/><Relationship Id="rId456" Type="http://schemas.openxmlformats.org/officeDocument/2006/relationships/hyperlink" Target="mailto:connie.yung@srs.gov" TargetMode="External"/><Relationship Id="rId577" Type="http://schemas.openxmlformats.org/officeDocument/2006/relationships/hyperlink" Target="mailto:lorenr@westerngroup.com" TargetMode="External"/><Relationship Id="rId219" Type="http://schemas.openxmlformats.org/officeDocument/2006/relationships/hyperlink" Target="mailto:charlotte.rice@gerdau.com" TargetMode="External"/><Relationship Id="rId218" Type="http://schemas.openxmlformats.org/officeDocument/2006/relationships/hyperlink" Target="mailto:gpearlycareer@kochgs.com" TargetMode="External"/><Relationship Id="rId339" Type="http://schemas.openxmlformats.org/officeDocument/2006/relationships/hyperlink" Target="mailto:ksimpson@msengr.com" TargetMode="External"/><Relationship Id="rId330" Type="http://schemas.openxmlformats.org/officeDocument/2006/relationships/hyperlink" Target="mailto:jharshbarger@ljbinc.com" TargetMode="External"/><Relationship Id="rId451" Type="http://schemas.openxmlformats.org/officeDocument/2006/relationships/hyperlink" Target="mailto:jennifer.lowery@samsongroup.com" TargetMode="External"/><Relationship Id="rId572" Type="http://schemas.openxmlformats.org/officeDocument/2006/relationships/hyperlink" Target="mailto:david.ainslie@weatherford.com" TargetMode="External"/><Relationship Id="rId450" Type="http://schemas.openxmlformats.org/officeDocument/2006/relationships/hyperlink" Target="mailto:john.derosa@salasobrien.com" TargetMode="External"/><Relationship Id="rId571" Type="http://schemas.openxmlformats.org/officeDocument/2006/relationships/hyperlink" Target="mailto:cmuska@walkerpartners.com" TargetMode="External"/><Relationship Id="rId570" Type="http://schemas.openxmlformats.org/officeDocument/2006/relationships/hyperlink" Target="mailto:cross@wadetrim.com" TargetMode="External"/><Relationship Id="rId213" Type="http://schemas.openxmlformats.org/officeDocument/2006/relationships/hyperlink" Target="mailto:lpinto@gate.energy" TargetMode="External"/><Relationship Id="rId334" Type="http://schemas.openxmlformats.org/officeDocument/2006/relationships/hyperlink" Target="mailto:ryan.j.larson@loram.com" TargetMode="External"/><Relationship Id="rId455" Type="http://schemas.openxmlformats.org/officeDocument/2006/relationships/hyperlink" Target="mailto:paolarobles@savageco.com" TargetMode="External"/><Relationship Id="rId576" Type="http://schemas.openxmlformats.org/officeDocument/2006/relationships/hyperlink" Target="mailto:tgreaves@westmonroe.com" TargetMode="External"/><Relationship Id="rId212" Type="http://schemas.openxmlformats.org/officeDocument/2006/relationships/hyperlink" Target="mailto:alievirisci@garney.com" TargetMode="External"/><Relationship Id="rId333" Type="http://schemas.openxmlformats.org/officeDocument/2006/relationships/hyperlink" Target="mailto:sporter@lonestarturbo.com" TargetMode="External"/><Relationship Id="rId454" Type="http://schemas.openxmlformats.org/officeDocument/2006/relationships/hyperlink" Target="mailto:anmonta@sandia.gov" TargetMode="External"/><Relationship Id="rId575" Type="http://schemas.openxmlformats.org/officeDocument/2006/relationships/hyperlink" Target="mailto:tglover@wwebber.com" TargetMode="External"/><Relationship Id="rId211" Type="http://schemas.openxmlformats.org/officeDocument/2006/relationships/hyperlink" Target="mailto:crystal.gutierrezhinojos@garmin.com" TargetMode="External"/><Relationship Id="rId332" Type="http://schemas.openxmlformats.org/officeDocument/2006/relationships/hyperlink" Target="mailto:bnzamora@lan-inc.com" TargetMode="External"/><Relationship Id="rId453" Type="http://schemas.openxmlformats.org/officeDocument/2006/relationships/hyperlink" Target="mailto:khuerter@sjra.net" TargetMode="External"/><Relationship Id="rId574" Type="http://schemas.openxmlformats.org/officeDocument/2006/relationships/hyperlink" Target="mailto:byoung@wcgrp.com" TargetMode="External"/><Relationship Id="rId210" Type="http://schemas.openxmlformats.org/officeDocument/2006/relationships/hyperlink" Target="mailto:Studentlife@gaf.com" TargetMode="External"/><Relationship Id="rId331" Type="http://schemas.openxmlformats.org/officeDocument/2006/relationships/hyperlink" Target="mailto:lmco@nc3.com" TargetMode="External"/><Relationship Id="rId452" Type="http://schemas.openxmlformats.org/officeDocument/2006/relationships/hyperlink" Target="mailto:jalys.caro@samsung.com" TargetMode="External"/><Relationship Id="rId573" Type="http://schemas.openxmlformats.org/officeDocument/2006/relationships/hyperlink" Target="mailto:Sarah.Meinhold@Weaver.com" TargetMode="External"/><Relationship Id="rId370" Type="http://schemas.openxmlformats.org/officeDocument/2006/relationships/hyperlink" Target="mailto:erika.fonseca@mottmac.com" TargetMode="External"/><Relationship Id="rId491" Type="http://schemas.openxmlformats.org/officeDocument/2006/relationships/hyperlink" Target="mailto:eric.cook.gdqm@statefarm.com" TargetMode="External"/><Relationship Id="rId490" Type="http://schemas.openxmlformats.org/officeDocument/2006/relationships/hyperlink" Target="mailto:stncampusrecruiting@stantec.com" TargetMode="External"/><Relationship Id="rId129" Type="http://schemas.openxmlformats.org/officeDocument/2006/relationships/hyperlink" Target="mailto:MaryJo.Rogers@conocophillips.com" TargetMode="External"/><Relationship Id="rId128" Type="http://schemas.openxmlformats.org/officeDocument/2006/relationships/hyperlink" Target="mailto:bahafertepe@connico.com" TargetMode="External"/><Relationship Id="rId249" Type="http://schemas.openxmlformats.org/officeDocument/2006/relationships/hyperlink" Target="mailto:mhenderson@hendersonrogers.com" TargetMode="External"/><Relationship Id="rId127" Type="http://schemas.openxmlformats.org/officeDocument/2006/relationships/hyperlink" Target="mailto:campusrecruiting@conagra.com" TargetMode="External"/><Relationship Id="rId248" Type="http://schemas.openxmlformats.org/officeDocument/2006/relationships/hyperlink" Target="mailto:hannah.holloway@heidelbergmaterials.com" TargetMode="External"/><Relationship Id="rId369" Type="http://schemas.openxmlformats.org/officeDocument/2006/relationships/hyperlink" Target="mailto:tayler.haynes@motiva.com" TargetMode="External"/><Relationship Id="rId126" Type="http://schemas.openxmlformats.org/officeDocument/2006/relationships/hyperlink" Target="mailto:bmusgrove@mays.tamu.edu" TargetMode="External"/><Relationship Id="rId247" Type="http://schemas.openxmlformats.org/officeDocument/2006/relationships/hyperlink" Target="mailto:collegerecruiting@heb.com" TargetMode="External"/><Relationship Id="rId368" Type="http://schemas.openxmlformats.org/officeDocument/2006/relationships/hyperlink" Target="mailto:collegerecruiting@mortenson.com" TargetMode="External"/><Relationship Id="rId489" Type="http://schemas.openxmlformats.org/officeDocument/2006/relationships/hyperlink" Target="mailto:sagerkim@stanleygroup.com" TargetMode="External"/><Relationship Id="rId121" Type="http://schemas.openxmlformats.org/officeDocument/2006/relationships/hyperlink" Target="mailto:ur@cmta.com" TargetMode="External"/><Relationship Id="rId242" Type="http://schemas.openxmlformats.org/officeDocument/2006/relationships/hyperlink" Target="mailto:deidre.brearley@haskell.com" TargetMode="External"/><Relationship Id="rId363" Type="http://schemas.openxmlformats.org/officeDocument/2006/relationships/hyperlink" Target="mailto:michaelgolubski@callmc.com" TargetMode="External"/><Relationship Id="rId484" Type="http://schemas.openxmlformats.org/officeDocument/2006/relationships/hyperlink" Target="mailto:bmcmanus@spp.org" TargetMode="External"/><Relationship Id="rId120" Type="http://schemas.openxmlformats.org/officeDocument/2006/relationships/hyperlink" Target="mailto:cayla.tucker@cmc.com" TargetMode="External"/><Relationship Id="rId241" Type="http://schemas.openxmlformats.org/officeDocument/2006/relationships/hyperlink" Target="mailto:bburkhalter@harvestmidstream.com" TargetMode="External"/><Relationship Id="rId362" Type="http://schemas.openxmlformats.org/officeDocument/2006/relationships/hyperlink" Target="mailto:dlarson@mmatexas.com" TargetMode="External"/><Relationship Id="rId483" Type="http://schemas.openxmlformats.org/officeDocument/2006/relationships/hyperlink" Target="mailto:jacob.sintich@sonoco.com" TargetMode="External"/><Relationship Id="rId240" Type="http://schemas.openxmlformats.org/officeDocument/2006/relationships/hyperlink" Target="mailto:rick.anderson@hctra.org" TargetMode="External"/><Relationship Id="rId361" Type="http://schemas.openxmlformats.org/officeDocument/2006/relationships/hyperlink" Target="mailto:hthomas@mii.com" TargetMode="External"/><Relationship Id="rId482" Type="http://schemas.openxmlformats.org/officeDocument/2006/relationships/hyperlink" Target="mailto:alessandro.saglia@solarturbines.com" TargetMode="External"/><Relationship Id="rId360" Type="http://schemas.openxmlformats.org/officeDocument/2006/relationships/hyperlink" Target="mailto:wrobbins@misoenergy.org" TargetMode="External"/><Relationship Id="rId481" Type="http://schemas.openxmlformats.org/officeDocument/2006/relationships/hyperlink" Target="mailto:lwhite@ssr-inc.com" TargetMode="External"/><Relationship Id="rId125" Type="http://schemas.openxmlformats.org/officeDocument/2006/relationships/hyperlink" Target="mailto:collins@nc3.com" TargetMode="External"/><Relationship Id="rId246" Type="http://schemas.openxmlformats.org/officeDocument/2006/relationships/hyperlink" Target="mailto:emily.rehler@hdrinc.com" TargetMode="External"/><Relationship Id="rId367" Type="http://schemas.openxmlformats.org/officeDocument/2006/relationships/hyperlink" Target="mailto:nmorrison@morrowenergy.com" TargetMode="External"/><Relationship Id="rId488" Type="http://schemas.openxmlformats.org/officeDocument/2006/relationships/hyperlink" Target="mailto:tlockett@ssoe.com" TargetMode="External"/><Relationship Id="rId124" Type="http://schemas.openxmlformats.org/officeDocument/2006/relationships/hyperlink" Target="mailto:luke.seyfert@collierseng.com" TargetMode="External"/><Relationship Id="rId245" Type="http://schemas.openxmlformats.org/officeDocument/2006/relationships/hyperlink" Target="mailto:hannah@hdlpower.com" TargetMode="External"/><Relationship Id="rId366" Type="http://schemas.openxmlformats.org/officeDocument/2006/relationships/hyperlink" Target="mailto:cburnett@monumentchemical.com" TargetMode="External"/><Relationship Id="rId487" Type="http://schemas.openxmlformats.org/officeDocument/2006/relationships/hyperlink" Target="mailto:ndones@splunk.com" TargetMode="External"/><Relationship Id="rId123" Type="http://schemas.openxmlformats.org/officeDocument/2006/relationships/hyperlink" Target="mailto:stacy.nation@coffman.com" TargetMode="External"/><Relationship Id="rId244" Type="http://schemas.openxmlformats.org/officeDocument/2006/relationships/hyperlink" Target="mailto:cdonnan@haytereng.com" TargetMode="External"/><Relationship Id="rId365" Type="http://schemas.openxmlformats.org/officeDocument/2006/relationships/hyperlink" Target="mailto:lucas.tollini@monolithicpower.com" TargetMode="External"/><Relationship Id="rId486" Type="http://schemas.openxmlformats.org/officeDocument/2006/relationships/hyperlink" Target="mailto:steve.blaschke@spiarsengineering.com" TargetMode="External"/><Relationship Id="rId122" Type="http://schemas.openxmlformats.org/officeDocument/2006/relationships/hyperlink" Target="mailto:sabrina.perez@pxy12.doe.gov" TargetMode="External"/><Relationship Id="rId243" Type="http://schemas.openxmlformats.org/officeDocument/2006/relationships/hyperlink" Target="mailto:CampusNorthAmerica@hatch.com" TargetMode="External"/><Relationship Id="rId364" Type="http://schemas.openxmlformats.org/officeDocument/2006/relationships/hyperlink" Target="mailto:rbattista@modality-solutions.com" TargetMode="External"/><Relationship Id="rId485" Type="http://schemas.openxmlformats.org/officeDocument/2006/relationships/hyperlink" Target="mailto:rachel.pelayo@swri.org" TargetMode="External"/><Relationship Id="rId95" Type="http://schemas.openxmlformats.org/officeDocument/2006/relationships/hyperlink" Target="mailto:sarivera@tamu.edu" TargetMode="External"/><Relationship Id="rId94" Type="http://schemas.openxmlformats.org/officeDocument/2006/relationships/hyperlink" Target="mailto:kristen.gaustad@burrowglobal.com" TargetMode="External"/><Relationship Id="rId97" Type="http://schemas.openxmlformats.org/officeDocument/2006/relationships/hyperlink" Target="mailto:christiane.lamonica@caci.com" TargetMode="External"/><Relationship Id="rId96" Type="http://schemas.openxmlformats.org/officeDocument/2006/relationships/hyperlink" Target="mailto:jstevenson@ctumeylawgroup.com" TargetMode="External"/><Relationship Id="rId99" Type="http://schemas.openxmlformats.org/officeDocument/2006/relationships/hyperlink" Target="mailto:heather.humalainen@calpine.com" TargetMode="External"/><Relationship Id="rId480" Type="http://schemas.openxmlformats.org/officeDocument/2006/relationships/hyperlink" Target="mailto:ldiedrich@sm-energy.com" TargetMode="External"/><Relationship Id="rId98" Type="http://schemas.openxmlformats.org/officeDocument/2006/relationships/hyperlink" Target="mailto:sara.martinez@caemilusa.com" TargetMode="External"/><Relationship Id="rId91" Type="http://schemas.openxmlformats.org/officeDocument/2006/relationships/hyperlink" Target="mailto:careers@bre.com" TargetMode="External"/><Relationship Id="rId90" Type="http://schemas.openxmlformats.org/officeDocument/2006/relationships/hyperlink" Target="mailto:jvillarreal@brownsville-pub.com" TargetMode="External"/><Relationship Id="rId93" Type="http://schemas.openxmlformats.org/officeDocument/2006/relationships/hyperlink" Target="mailto:kpchancy@burnsmcd.com" TargetMode="External"/><Relationship Id="rId92" Type="http://schemas.openxmlformats.org/officeDocument/2006/relationships/hyperlink" Target="mailto:kbarber@blm.gov" TargetMode="External"/><Relationship Id="rId118" Type="http://schemas.openxmlformats.org/officeDocument/2006/relationships/hyperlink" Target="mailto:nwrazen@cecinc.com" TargetMode="External"/><Relationship Id="rId239" Type="http://schemas.openxmlformats.org/officeDocument/2006/relationships/hyperlink" Target="mailto:cmjackson@hargrove-epc.com" TargetMode="External"/><Relationship Id="rId117" Type="http://schemas.openxmlformats.org/officeDocument/2006/relationships/hyperlink" Target="mailto:ewipper@citgo.com" TargetMode="External"/><Relationship Id="rId238" Type="http://schemas.openxmlformats.org/officeDocument/2006/relationships/hyperlink" Target="mailto:tmazzini@hanson-inc.com" TargetMode="External"/><Relationship Id="rId359" Type="http://schemas.openxmlformats.org/officeDocument/2006/relationships/hyperlink" Target="mailto:pquilter@micron.com" TargetMode="External"/><Relationship Id="rId116" Type="http://schemas.openxmlformats.org/officeDocument/2006/relationships/hyperlink" Target="mailto:yasmeen.khattab@cirrus.com" TargetMode="External"/><Relationship Id="rId237" Type="http://schemas.openxmlformats.org/officeDocument/2006/relationships/hyperlink" Target="mailto:resource.hou.fhouuniv@halliburton.com" TargetMode="External"/><Relationship Id="rId358" Type="http://schemas.openxmlformats.org/officeDocument/2006/relationships/hyperlink" Target="mailto:meghan.thein@biotronik.com" TargetMode="External"/><Relationship Id="rId479" Type="http://schemas.openxmlformats.org/officeDocument/2006/relationships/hyperlink" Target="mailto:slb@nc3.com" TargetMode="External"/><Relationship Id="rId115" Type="http://schemas.openxmlformats.org/officeDocument/2006/relationships/hyperlink" Target="mailto:spitza@cpchem.com" TargetMode="External"/><Relationship Id="rId236" Type="http://schemas.openxmlformats.org/officeDocument/2006/relationships/hyperlink" Target="mailto:gchin@halff.com" TargetMode="External"/><Relationship Id="rId357" Type="http://schemas.openxmlformats.org/officeDocument/2006/relationships/hyperlink" Target="mailto:marisela.murillo@mbakerintl.com" TargetMode="External"/><Relationship Id="rId478" Type="http://schemas.openxmlformats.org/officeDocument/2006/relationships/hyperlink" Target="mailto:dmjadwisiak@gmail.com" TargetMode="External"/><Relationship Id="rId119" Type="http://schemas.openxmlformats.org/officeDocument/2006/relationships/hyperlink" Target="mailto:iulia.furcea@climeworks.com" TargetMode="External"/><Relationship Id="rId110" Type="http://schemas.openxmlformats.org/officeDocument/2006/relationships/hyperlink" Target="mailto:laurie.firmin@champtechnology.com" TargetMode="External"/><Relationship Id="rId231" Type="http://schemas.openxmlformats.org/officeDocument/2006/relationships/hyperlink" Target="mailto:reneeg@gie.com" TargetMode="External"/><Relationship Id="rId352" Type="http://schemas.openxmlformats.org/officeDocument/2006/relationships/hyperlink" Target="mailto:kstober@mays.tamu.edu" TargetMode="External"/><Relationship Id="rId473" Type="http://schemas.openxmlformats.org/officeDocument/2006/relationships/hyperlink" Target="mailto:jackie.engstrom@sick.com" TargetMode="External"/><Relationship Id="rId594" Type="http://schemas.openxmlformats.org/officeDocument/2006/relationships/hyperlink" Target="mailto:mgmoore67@yahoo.com" TargetMode="External"/><Relationship Id="rId230" Type="http://schemas.openxmlformats.org/officeDocument/2006/relationships/hyperlink" Target="mailto:rkhourshid@gti.energy" TargetMode="External"/><Relationship Id="rId351" Type="http://schemas.openxmlformats.org/officeDocument/2006/relationships/hyperlink" Target="mailto:jsprayberry@mays.tamu.edu" TargetMode="External"/><Relationship Id="rId472" Type="http://schemas.openxmlformats.org/officeDocument/2006/relationships/hyperlink" Target="mailto:cathleen.smith@siigroup.com" TargetMode="External"/><Relationship Id="rId593" Type="http://schemas.openxmlformats.org/officeDocument/2006/relationships/hyperlink" Target="mailto:keith@yalgoengineering.com" TargetMode="External"/><Relationship Id="rId350" Type="http://schemas.openxmlformats.org/officeDocument/2006/relationships/hyperlink" Target="mailto:sekraheck@matrixstructural.com" TargetMode="External"/><Relationship Id="rId471" Type="http://schemas.openxmlformats.org/officeDocument/2006/relationships/hyperlink" Target="mailto:charles.jackson@shimmick.com" TargetMode="External"/><Relationship Id="rId592" Type="http://schemas.openxmlformats.org/officeDocument/2006/relationships/hyperlink" Target="mailto:yahoo@nc3.com" TargetMode="External"/><Relationship Id="rId470" Type="http://schemas.openxmlformats.org/officeDocument/2006/relationships/hyperlink" Target="mailto:reagan.squire@shield-engineering.com" TargetMode="External"/><Relationship Id="rId591" Type="http://schemas.openxmlformats.org/officeDocument/2006/relationships/hyperlink" Target="mailto:rachelwylie0202@yahoo.com" TargetMode="External"/><Relationship Id="rId114" Type="http://schemas.openxmlformats.org/officeDocument/2006/relationships/hyperlink" Target="mailto:ehevents@chevron.com" TargetMode="External"/><Relationship Id="rId235" Type="http://schemas.openxmlformats.org/officeDocument/2006/relationships/hyperlink" Target="mailto:beth.goodlander@h2bengineers.com" TargetMode="External"/><Relationship Id="rId356" Type="http://schemas.openxmlformats.org/officeDocument/2006/relationships/hyperlink" Target="mailto:kelsey.helt@mewbourne.com" TargetMode="External"/><Relationship Id="rId477" Type="http://schemas.openxmlformats.org/officeDocument/2006/relationships/hyperlink" Target="mailto:matt.alspaugh@silabs.com" TargetMode="External"/><Relationship Id="rId113" Type="http://schemas.openxmlformats.org/officeDocument/2006/relationships/hyperlink" Target="mailto:luke.viegas1@chemours.com" TargetMode="External"/><Relationship Id="rId234" Type="http://schemas.openxmlformats.org/officeDocument/2006/relationships/hyperlink" Target="mailto:cbourns@hm-ec.com" TargetMode="External"/><Relationship Id="rId355" Type="http://schemas.openxmlformats.org/officeDocument/2006/relationships/hyperlink" Target="mailto:jp.fenn@metoxtech.com" TargetMode="External"/><Relationship Id="rId476" Type="http://schemas.openxmlformats.org/officeDocument/2006/relationships/hyperlink" Target="mailto:pkelley@spsilica.com" TargetMode="External"/><Relationship Id="rId597" Type="http://schemas.openxmlformats.org/officeDocument/2006/relationships/drawing" Target="../drawings/drawing6.xml"/><Relationship Id="rId112" Type="http://schemas.openxmlformats.org/officeDocument/2006/relationships/hyperlink" Target="mailto:hannah.coleman@hudsonproducts.com" TargetMode="External"/><Relationship Id="rId233" Type="http://schemas.openxmlformats.org/officeDocument/2006/relationships/hyperlink" Target="mailto:presley.olivas@atkn.com" TargetMode="External"/><Relationship Id="rId354" Type="http://schemas.openxmlformats.org/officeDocument/2006/relationships/hyperlink" Target="mailto:h.wilson1@medpace.com" TargetMode="External"/><Relationship Id="rId475" Type="http://schemas.openxmlformats.org/officeDocument/2006/relationships/hyperlink" Target="mailto:will.cates@siemens-energy.com" TargetMode="External"/><Relationship Id="rId596" Type="http://schemas.openxmlformats.org/officeDocument/2006/relationships/hyperlink" Target="mailto:allen.huang@zoomlion.com" TargetMode="External"/><Relationship Id="rId111" Type="http://schemas.openxmlformats.org/officeDocument/2006/relationships/hyperlink" Target="mailto:krystal.upshaw@championx.com" TargetMode="External"/><Relationship Id="rId232" Type="http://schemas.openxmlformats.org/officeDocument/2006/relationships/hyperlink" Target="mailto:kristi.kim@gulfstream.com" TargetMode="External"/><Relationship Id="rId353" Type="http://schemas.openxmlformats.org/officeDocument/2006/relationships/hyperlink" Target="mailto:mvelezrodriguez@mccarthy.com" TargetMode="External"/><Relationship Id="rId474" Type="http://schemas.openxmlformats.org/officeDocument/2006/relationships/hyperlink" Target="mailto:victoria.gemignani@siemens.com" TargetMode="External"/><Relationship Id="rId595" Type="http://schemas.openxmlformats.org/officeDocument/2006/relationships/hyperlink" Target="mailto:fosbennerm@zapecs.com" TargetMode="External"/><Relationship Id="rId305" Type="http://schemas.openxmlformats.org/officeDocument/2006/relationships/hyperlink" Target="mailto:jessica_raymond@Kindermorgan.com" TargetMode="External"/><Relationship Id="rId426" Type="http://schemas.openxmlformats.org/officeDocument/2006/relationships/hyperlink" Target="mailto:frank.martinez@propetroservices.com" TargetMode="External"/><Relationship Id="rId547" Type="http://schemas.openxmlformats.org/officeDocument/2006/relationships/hyperlink" Target="mailto:jstonum@trihydro.com" TargetMode="External"/><Relationship Id="rId304" Type="http://schemas.openxmlformats.org/officeDocument/2006/relationships/hyperlink" Target="mailto:katelyn.zuberbueler@kimley-horn.com" TargetMode="External"/><Relationship Id="rId425" Type="http://schemas.openxmlformats.org/officeDocument/2006/relationships/hyperlink" Target="mailto:nholt@prim.com" TargetMode="External"/><Relationship Id="rId546" Type="http://schemas.openxmlformats.org/officeDocument/2006/relationships/hyperlink" Target="mailto:jherzig@trccompanies.com" TargetMode="External"/><Relationship Id="rId303" Type="http://schemas.openxmlformats.org/officeDocument/2006/relationships/hyperlink" Target="mailto:jamestyreeborom@gmail.com" TargetMode="External"/><Relationship Id="rId424" Type="http://schemas.openxmlformats.org/officeDocument/2006/relationships/hyperlink" Target="mailto:collegerecruiting@powereng.com" TargetMode="External"/><Relationship Id="rId545" Type="http://schemas.openxmlformats.org/officeDocument/2006/relationships/hyperlink" Target="mailto:cawindham@transystems.com" TargetMode="External"/><Relationship Id="rId302" Type="http://schemas.openxmlformats.org/officeDocument/2006/relationships/hyperlink" Target="mailto:Recruitingsupport@kiewit.com" TargetMode="External"/><Relationship Id="rId423" Type="http://schemas.openxmlformats.org/officeDocument/2006/relationships/hyperlink" Target="mailto:mmoser@plummer.com" TargetMode="External"/><Relationship Id="rId544" Type="http://schemas.openxmlformats.org/officeDocument/2006/relationships/hyperlink" Target="mailto:amanda.davis@tranetechnologies.com" TargetMode="External"/><Relationship Id="rId309" Type="http://schemas.openxmlformats.org/officeDocument/2006/relationships/hyperlink" Target="mailto:EarlyCareer@kochgs.com" TargetMode="External"/><Relationship Id="rId308" Type="http://schemas.openxmlformats.org/officeDocument/2006/relationships/hyperlink" Target="mailto:cwarner@kleintools.com" TargetMode="External"/><Relationship Id="rId429" Type="http://schemas.openxmlformats.org/officeDocument/2006/relationships/hyperlink" Target="mailto:sgarima@questmedical.com" TargetMode="External"/><Relationship Id="rId307" Type="http://schemas.openxmlformats.org/officeDocument/2006/relationships/hyperlink" Target="mailto:haley.buesing@trustke.com" TargetMode="External"/><Relationship Id="rId428" Type="http://schemas.openxmlformats.org/officeDocument/2006/relationships/hyperlink" Target="mailto:courtney.schutte@qtsdatacenters.com" TargetMode="External"/><Relationship Id="rId549" Type="http://schemas.openxmlformats.org/officeDocument/2006/relationships/hyperlink" Target="mailto:SJYANGW@TSMC.COM" TargetMode="External"/><Relationship Id="rId306" Type="http://schemas.openxmlformats.org/officeDocument/2006/relationships/hyperlink" Target="mailto:joellen.beedon@kinectrics.com" TargetMode="External"/><Relationship Id="rId427" Type="http://schemas.openxmlformats.org/officeDocument/2006/relationships/hyperlink" Target="mailto:melissa.kissinger@qorvo.com" TargetMode="External"/><Relationship Id="rId548" Type="http://schemas.openxmlformats.org/officeDocument/2006/relationships/hyperlink" Target="mailto:ccampbell@trinityconsultants.com" TargetMode="External"/><Relationship Id="rId301" Type="http://schemas.openxmlformats.org/officeDocument/2006/relationships/hyperlink" Target="mailto:lfowler@kfm-llc.com" TargetMode="External"/><Relationship Id="rId422" Type="http://schemas.openxmlformats.org/officeDocument/2006/relationships/hyperlink" Target="mailto:jwsimpson@pike.com" TargetMode="External"/><Relationship Id="rId543" Type="http://schemas.openxmlformats.org/officeDocument/2006/relationships/hyperlink" Target="mailto:tom.alkire@toyota.com" TargetMode="External"/><Relationship Id="rId300" Type="http://schemas.openxmlformats.org/officeDocument/2006/relationships/hyperlink" Target="mailto:egorman@keystoneengr.com" TargetMode="External"/><Relationship Id="rId421" Type="http://schemas.openxmlformats.org/officeDocument/2006/relationships/hyperlink" Target="mailto:rdunmire@phoenixcontact.com" TargetMode="External"/><Relationship Id="rId542" Type="http://schemas.openxmlformats.org/officeDocument/2006/relationships/hyperlink" Target="mailto:tashanta.ross@totalenergies.com" TargetMode="External"/><Relationship Id="rId420" Type="http://schemas.openxmlformats.org/officeDocument/2006/relationships/hyperlink" Target="mailto:Tandi.R.Smith@p66.com" TargetMode="External"/><Relationship Id="rId541" Type="http://schemas.openxmlformats.org/officeDocument/2006/relationships/hyperlink" Target="mailto:francisca.lopez@toshiba.com" TargetMode="External"/><Relationship Id="rId540" Type="http://schemas.openxmlformats.org/officeDocument/2006/relationships/hyperlink" Target="mailto:maja.owens@topographic.com" TargetMode="External"/><Relationship Id="rId415" Type="http://schemas.openxmlformats.org/officeDocument/2006/relationships/hyperlink" Target="mailto:recruiting@percheronllc.com" TargetMode="External"/><Relationship Id="rId536" Type="http://schemas.openxmlformats.org/officeDocument/2006/relationships/hyperlink" Target="mailto:krystina.hares@tke-engineering.com" TargetMode="External"/><Relationship Id="rId414" Type="http://schemas.openxmlformats.org/officeDocument/2006/relationships/hyperlink" Target="mailto:pepsico@nc3.com" TargetMode="External"/><Relationship Id="rId535" Type="http://schemas.openxmlformats.org/officeDocument/2006/relationships/hyperlink" Target="mailto:secareers@us.af.mil" TargetMode="External"/><Relationship Id="rId413" Type="http://schemas.openxmlformats.org/officeDocument/2006/relationships/hyperlink" Target="mailto:emily.condara@peloton.com" TargetMode="External"/><Relationship Id="rId534" Type="http://schemas.openxmlformats.org/officeDocument/2006/relationships/hyperlink" Target="mailto:dianadiaz@tindallcorp.com" TargetMode="External"/><Relationship Id="rId412" Type="http://schemas.openxmlformats.org/officeDocument/2006/relationships/hyperlink" Target="mailto:afedorenko@peagroup.com" TargetMode="External"/><Relationship Id="rId533" Type="http://schemas.openxmlformats.org/officeDocument/2006/relationships/hyperlink" Target="mailto:jfgreen@tigerbrain.com" TargetMode="External"/><Relationship Id="rId419" Type="http://schemas.openxmlformats.org/officeDocument/2006/relationships/hyperlink" Target="mailto:jschafer@phigenics.com" TargetMode="External"/><Relationship Id="rId418" Type="http://schemas.openxmlformats.org/officeDocument/2006/relationships/hyperlink" Target="mailto:chelsea.thompson2@pfizer.com" TargetMode="External"/><Relationship Id="rId539" Type="http://schemas.openxmlformats.org/officeDocument/2006/relationships/hyperlink" Target="mailto:careers@us.tel.com" TargetMode="External"/><Relationship Id="rId417" Type="http://schemas.openxmlformats.org/officeDocument/2006/relationships/hyperlink" Target="mailto:heather.ferrer@paccar.com" TargetMode="External"/><Relationship Id="rId538" Type="http://schemas.openxmlformats.org/officeDocument/2006/relationships/hyperlink" Target="mailto:tnphr@tnpinc.com" TargetMode="External"/><Relationship Id="rId416" Type="http://schemas.openxmlformats.org/officeDocument/2006/relationships/hyperlink" Target="mailto:avery.rohr@permianres.com" TargetMode="External"/><Relationship Id="rId537" Type="http://schemas.openxmlformats.org/officeDocument/2006/relationships/hyperlink" Target="mailto:jessica.jarels@tmeic.com" TargetMode="External"/><Relationship Id="rId411" Type="http://schemas.openxmlformats.org/officeDocument/2006/relationships/hyperlink" Target="mailto:lygibson@pcl.com" TargetMode="External"/><Relationship Id="rId532" Type="http://schemas.openxmlformats.org/officeDocument/2006/relationships/hyperlink" Target="mailto:robyn.baca@whiting-turner.com" TargetMode="External"/><Relationship Id="rId410" Type="http://schemas.openxmlformats.org/officeDocument/2006/relationships/hyperlink" Target="mailto:tony.talamantes@paycomonline.com" TargetMode="External"/><Relationship Id="rId531" Type="http://schemas.openxmlformats.org/officeDocument/2006/relationships/hyperlink" Target="mailto:jtodd@vertexeng.com" TargetMode="External"/><Relationship Id="rId530" Type="http://schemas.openxmlformats.org/officeDocument/2006/relationships/hyperlink" Target="mailto:heather.hines@timken.com" TargetMode="External"/><Relationship Id="rId206" Type="http://schemas.openxmlformats.org/officeDocument/2006/relationships/hyperlink" Target="mailto:phillip.steagall@fticonsulting.com" TargetMode="External"/><Relationship Id="rId327" Type="http://schemas.openxmlformats.org/officeDocument/2006/relationships/hyperlink" Target="mailto:jelisa.jones@linde.com" TargetMode="External"/><Relationship Id="rId448" Type="http://schemas.openxmlformats.org/officeDocument/2006/relationships/hyperlink" Target="mailto:cynthia.escamilla@saberpower.com" TargetMode="External"/><Relationship Id="rId569" Type="http://schemas.openxmlformats.org/officeDocument/2006/relationships/hyperlink" Target="mailto:rodriguezs@vmcmail.com" TargetMode="External"/><Relationship Id="rId205" Type="http://schemas.openxmlformats.org/officeDocument/2006/relationships/hyperlink" Target="mailto:Kyle.Beeler@fnacc.com" TargetMode="External"/><Relationship Id="rId326" Type="http://schemas.openxmlformats.org/officeDocument/2006/relationships/hyperlink" Target="mailto:iyonna_griggs@lincolnelectric.com" TargetMode="External"/><Relationship Id="rId447" Type="http://schemas.openxmlformats.org/officeDocument/2006/relationships/hyperlink" Target="mailto:dlschultz@sbec.com" TargetMode="External"/><Relationship Id="rId568" Type="http://schemas.openxmlformats.org/officeDocument/2006/relationships/hyperlink" Target="mailto:lauren.metz-contractor@viridiengroup.com" TargetMode="External"/><Relationship Id="rId204" Type="http://schemas.openxmlformats.org/officeDocument/2006/relationships/hyperlink" Target="mailto:lauren.hodge@freese.com" TargetMode="External"/><Relationship Id="rId325" Type="http://schemas.openxmlformats.org/officeDocument/2006/relationships/hyperlink" Target="mailto:vthomason@ltraengineers.com" TargetMode="External"/><Relationship Id="rId446" Type="http://schemas.openxmlformats.org/officeDocument/2006/relationships/hyperlink" Target="mailto:alice.huang@rystadenergy.com" TargetMode="External"/><Relationship Id="rId567" Type="http://schemas.openxmlformats.org/officeDocument/2006/relationships/hyperlink" Target="mailto:jeanette.hyde@vpcco.com" TargetMode="External"/><Relationship Id="rId203" Type="http://schemas.openxmlformats.org/officeDocument/2006/relationships/hyperlink" Target="mailto:michelle.smith@fmglobal.com" TargetMode="External"/><Relationship Id="rId324" Type="http://schemas.openxmlformats.org/officeDocument/2006/relationships/hyperlink" Target="mailto:fgonzalez@lilly.com" TargetMode="External"/><Relationship Id="rId445" Type="http://schemas.openxmlformats.org/officeDocument/2006/relationships/hyperlink" Target="mailto:rtx@nc3.com" TargetMode="External"/><Relationship Id="rId566" Type="http://schemas.openxmlformats.org/officeDocument/2006/relationships/hyperlink" Target="mailto:mike_beem@vex.com" TargetMode="External"/><Relationship Id="rId209" Type="http://schemas.openxmlformats.org/officeDocument/2006/relationships/hyperlink" Target="mailto:lauren.radzevich@gresearch.com" TargetMode="External"/><Relationship Id="rId208" Type="http://schemas.openxmlformats.org/officeDocument/2006/relationships/hyperlink" Target="mailto:studentprograms@fujitsu.com" TargetMode="External"/><Relationship Id="rId329" Type="http://schemas.openxmlformats.org/officeDocument/2006/relationships/hyperlink" Target="mailto:rholt@lja.com" TargetMode="External"/><Relationship Id="rId207" Type="http://schemas.openxmlformats.org/officeDocument/2006/relationships/hyperlink" Target="mailto:q.moore@fugro.com" TargetMode="External"/><Relationship Id="rId328" Type="http://schemas.openxmlformats.org/officeDocument/2006/relationships/hyperlink" Target="mailto:priscilla.lopez@linde.com" TargetMode="External"/><Relationship Id="rId449" Type="http://schemas.openxmlformats.org/officeDocument/2006/relationships/hyperlink" Target="mailto:blaire.burks@wipp.ws" TargetMode="External"/><Relationship Id="rId440" Type="http://schemas.openxmlformats.org/officeDocument/2006/relationships/hyperlink" Target="mailto:jmoreno@rtg-texas.com" TargetMode="External"/><Relationship Id="rId561" Type="http://schemas.openxmlformats.org/officeDocument/2006/relationships/hyperlink" Target="mailto:haley.ngo@valaris.com" TargetMode="External"/><Relationship Id="rId560" Type="http://schemas.openxmlformats.org/officeDocument/2006/relationships/hyperlink" Target="mailto:amanda.bermea@usaa.com" TargetMode="External"/><Relationship Id="rId202" Type="http://schemas.openxmlformats.org/officeDocument/2006/relationships/hyperlink" Target="mailto:University.Relations@fluor.com" TargetMode="External"/><Relationship Id="rId323" Type="http://schemas.openxmlformats.org/officeDocument/2006/relationships/hyperlink" Target="mailto:elizabeth.schmidt@lhoist.com" TargetMode="External"/><Relationship Id="rId444" Type="http://schemas.openxmlformats.org/officeDocument/2006/relationships/hyperlink" Target="mailto:careers@rovisys.com" TargetMode="External"/><Relationship Id="rId565" Type="http://schemas.openxmlformats.org/officeDocument/2006/relationships/hyperlink" Target="mailto:awood@venturegloballng.com" TargetMode="External"/><Relationship Id="rId201" Type="http://schemas.openxmlformats.org/officeDocument/2006/relationships/hyperlink" Target="mailto:amavromatis@flowserve.com" TargetMode="External"/><Relationship Id="rId322" Type="http://schemas.openxmlformats.org/officeDocument/2006/relationships/hyperlink" Target="mailto:jbarajas@lewisenergy.com" TargetMode="External"/><Relationship Id="rId443" Type="http://schemas.openxmlformats.org/officeDocument/2006/relationships/hyperlink" Target="mailto:edevine@rouxinc.com" TargetMode="External"/><Relationship Id="rId564" Type="http://schemas.openxmlformats.org/officeDocument/2006/relationships/hyperlink" Target="mailto:mhartman@valv.com" TargetMode="External"/><Relationship Id="rId200" Type="http://schemas.openxmlformats.org/officeDocument/2006/relationships/hyperlink" Target="mailto:ggedville@flatironcorp.com" TargetMode="External"/><Relationship Id="rId321" Type="http://schemas.openxmlformats.org/officeDocument/2006/relationships/hyperlink" Target="mailto:amanda.vadney@drs.com" TargetMode="External"/><Relationship Id="rId442" Type="http://schemas.openxmlformats.org/officeDocument/2006/relationships/hyperlink" Target="mailto:aortiz@rosendin.com" TargetMode="External"/><Relationship Id="rId563" Type="http://schemas.openxmlformats.org/officeDocument/2006/relationships/hyperlink" Target="mailto:laci.stamm@valero.com" TargetMode="External"/><Relationship Id="rId320" Type="http://schemas.openxmlformats.org/officeDocument/2006/relationships/hyperlink" Target="mailto:rebecca.weathers@lennox.com" TargetMode="External"/><Relationship Id="rId441" Type="http://schemas.openxmlformats.org/officeDocument/2006/relationships/hyperlink" Target="mailto:tdo@rosen-group.com" TargetMode="External"/><Relationship Id="rId562" Type="http://schemas.openxmlformats.org/officeDocument/2006/relationships/hyperlink" Target="mailto:recruiting@valentpartners.com" TargetMode="External"/><Relationship Id="rId316" Type="http://schemas.openxmlformats.org/officeDocument/2006/relationships/hyperlink" Target="mailto:lajasmine.fitch@kuraray.com" TargetMode="External"/><Relationship Id="rId437" Type="http://schemas.openxmlformats.org/officeDocument/2006/relationships/hyperlink" Target="mailto:mmacarthur@rkk.com" TargetMode="External"/><Relationship Id="rId558" Type="http://schemas.openxmlformats.org/officeDocument/2006/relationships/hyperlink" Target="mailto:kasey.e.krall@usace.army.mil" TargetMode="External"/><Relationship Id="rId315" Type="http://schemas.openxmlformats.org/officeDocument/2006/relationships/hyperlink" Target="mailto:brittany.patton@kubota.com" TargetMode="External"/><Relationship Id="rId436" Type="http://schemas.openxmlformats.org/officeDocument/2006/relationships/hyperlink" Target="mailto:lauren.kraichely@rheem.com" TargetMode="External"/><Relationship Id="rId557" Type="http://schemas.openxmlformats.org/officeDocument/2006/relationships/hyperlink" Target="mailto:kimberlee.j.simmons@usace.army.mil" TargetMode="External"/><Relationship Id="rId314" Type="http://schemas.openxmlformats.org/officeDocument/2006/relationships/hyperlink" Target="mailto:contact@ktcivil.com" TargetMode="External"/><Relationship Id="rId435" Type="http://schemas.openxmlformats.org/officeDocument/2006/relationships/hyperlink" Target="mailto:tguevara@rgmiller.com" TargetMode="External"/><Relationship Id="rId556" Type="http://schemas.openxmlformats.org/officeDocument/2006/relationships/hyperlink" Target="mailto:tguthrie@utk.edu" TargetMode="External"/><Relationship Id="rId313" Type="http://schemas.openxmlformats.org/officeDocument/2006/relationships/hyperlink" Target="mailto:kpack@ksaeng.com" TargetMode="External"/><Relationship Id="rId434" Type="http://schemas.openxmlformats.org/officeDocument/2006/relationships/hyperlink" Target="mailto:tyler@republiceds.com" TargetMode="External"/><Relationship Id="rId555" Type="http://schemas.openxmlformats.org/officeDocument/2006/relationships/hyperlink" Target="mailto:universityrelations@usps.gov" TargetMode="External"/><Relationship Id="rId319" Type="http://schemas.openxmlformats.org/officeDocument/2006/relationships/hyperlink" Target="mailto:froy.silva@lcra.org" TargetMode="External"/><Relationship Id="rId318" Type="http://schemas.openxmlformats.org/officeDocument/2006/relationships/hyperlink" Target="mailto:kkloesel@labattfood.com" TargetMode="External"/><Relationship Id="rId439" Type="http://schemas.openxmlformats.org/officeDocument/2006/relationships/hyperlink" Target="mailto:rockwellautomation@nc3.com" TargetMode="External"/><Relationship Id="rId317" Type="http://schemas.openxmlformats.org/officeDocument/2006/relationships/hyperlink" Target="mailto:L3harris@nc3.com" TargetMode="External"/><Relationship Id="rId438" Type="http://schemas.openxmlformats.org/officeDocument/2006/relationships/hyperlink" Target="mailto:RONNY@RLKENGINEERING.COM" TargetMode="External"/><Relationship Id="rId559" Type="http://schemas.openxmlformats.org/officeDocument/2006/relationships/hyperlink" Target="mailto:laurenburns@usconec.com" TargetMode="External"/><Relationship Id="rId550" Type="http://schemas.openxmlformats.org/officeDocument/2006/relationships/hyperlink" Target="mailto:stacie.schrader@usace.army.mil" TargetMode="External"/><Relationship Id="rId312" Type="http://schemas.openxmlformats.org/officeDocument/2006/relationships/hyperlink" Target="mailto:jeffrey.cole@kratosdefense.com" TargetMode="External"/><Relationship Id="rId433" Type="http://schemas.openxmlformats.org/officeDocument/2006/relationships/hyperlink" Target="mailto:keri.tucker@repsol.com" TargetMode="External"/><Relationship Id="rId554" Type="http://schemas.openxmlformats.org/officeDocument/2006/relationships/hyperlink" Target="mailto:recruitment@uspto.gov" TargetMode="External"/><Relationship Id="rId311" Type="http://schemas.openxmlformats.org/officeDocument/2006/relationships/hyperlink" Target="mailto:shirley.quiroa@kongsbergdigital.com" TargetMode="External"/><Relationship Id="rId432" Type="http://schemas.openxmlformats.org/officeDocument/2006/relationships/hyperlink" Target="mailto:mnoriega@randgroup.com" TargetMode="External"/><Relationship Id="rId553" Type="http://schemas.openxmlformats.org/officeDocument/2006/relationships/hyperlink" Target="mailto:bladelkm@state.gov" TargetMode="External"/><Relationship Id="rId310" Type="http://schemas.openxmlformats.org/officeDocument/2006/relationships/hyperlink" Target="mailto:whitney.schubarth@global.komatsu" TargetMode="External"/><Relationship Id="rId431" Type="http://schemas.openxmlformats.org/officeDocument/2006/relationships/hyperlink" Target="mailto:Pharp@ragleinc.com" TargetMode="External"/><Relationship Id="rId552" Type="http://schemas.openxmlformats.org/officeDocument/2006/relationships/hyperlink" Target="mailto:haley.knight@ulteig.com" TargetMode="External"/><Relationship Id="rId430" Type="http://schemas.openxmlformats.org/officeDocument/2006/relationships/hyperlink" Target="mailto:recruiting@quiddity.com" TargetMode="External"/><Relationship Id="rId551" Type="http://schemas.openxmlformats.org/officeDocument/2006/relationships/hyperlink" Target="mailto:kimberly.english@nrc.gov"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mailto:lauren.g.jones@hii-nns.com" TargetMode="External"/><Relationship Id="rId194" Type="http://schemas.openxmlformats.org/officeDocument/2006/relationships/hyperlink" Target="mailto:HoneywellUr@Honeywell.com" TargetMode="External"/><Relationship Id="rId193" Type="http://schemas.openxmlformats.org/officeDocument/2006/relationships/hyperlink" Target="mailto:mperez@hobaspipe.com" TargetMode="External"/><Relationship Id="rId192" Type="http://schemas.openxmlformats.org/officeDocument/2006/relationships/hyperlink" Target="mailto:mwinters@hntb.com" TargetMode="External"/><Relationship Id="rId191" Type="http://schemas.openxmlformats.org/officeDocument/2006/relationships/hyperlink" Target="mailto:kendram@hmtnb.com" TargetMode="External"/><Relationship Id="rId187" Type="http://schemas.openxmlformats.org/officeDocument/2006/relationships/hyperlink" Target="mailto:hpe@nc3.com" TargetMode="External"/><Relationship Id="rId186" Type="http://schemas.openxmlformats.org/officeDocument/2006/relationships/hyperlink" Target="mailto:mhenderson@hendersonrogers.com" TargetMode="External"/><Relationship Id="rId185" Type="http://schemas.openxmlformats.org/officeDocument/2006/relationships/hyperlink" Target="mailto:hannah.parry@heidelbergmaterials.com" TargetMode="External"/><Relationship Id="rId184" Type="http://schemas.openxmlformats.org/officeDocument/2006/relationships/hyperlink" Target="mailto:collegerecruiting@heb.com" TargetMode="External"/><Relationship Id="rId189" Type="http://schemas.openxmlformats.org/officeDocument/2006/relationships/hyperlink" Target="mailto:universityrelations@hii-tsd.com" TargetMode="External"/><Relationship Id="rId188" Type="http://schemas.openxmlformats.org/officeDocument/2006/relationships/hyperlink" Target="mailto:jessica.stone@hexagon.com" TargetMode="External"/><Relationship Id="rId183" Type="http://schemas.openxmlformats.org/officeDocument/2006/relationships/hyperlink" Target="mailto:hr@htri.net" TargetMode="External"/><Relationship Id="rId182" Type="http://schemas.openxmlformats.org/officeDocument/2006/relationships/hyperlink" Target="mailto:emily.rehler@hdrinc.com" TargetMode="External"/><Relationship Id="rId181" Type="http://schemas.openxmlformats.org/officeDocument/2006/relationships/hyperlink" Target="mailto:CampusNorthAmerica@hatch.com" TargetMode="External"/><Relationship Id="rId180" Type="http://schemas.openxmlformats.org/officeDocument/2006/relationships/hyperlink" Target="mailto:hwalker@hartgaugler.com" TargetMode="External"/><Relationship Id="rId176" Type="http://schemas.openxmlformats.org/officeDocument/2006/relationships/hyperlink" Target="mailto:resource.hou.fhouuniv@halliburton.com" TargetMode="External"/><Relationship Id="rId297" Type="http://schemas.openxmlformats.org/officeDocument/2006/relationships/hyperlink" Target="mailto:ppool@odinenv.com" TargetMode="External"/><Relationship Id="rId175" Type="http://schemas.openxmlformats.org/officeDocument/2006/relationships/hyperlink" Target="mailto:jessica.merritt@halff.com" TargetMode="External"/><Relationship Id="rId296" Type="http://schemas.openxmlformats.org/officeDocument/2006/relationships/hyperlink" Target="mailto:wstein@oceaneering.com" TargetMode="External"/><Relationship Id="rId174" Type="http://schemas.openxmlformats.org/officeDocument/2006/relationships/hyperlink" Target="mailto:bgetsinger@haleyaldrich.com" TargetMode="External"/><Relationship Id="rId295" Type="http://schemas.openxmlformats.org/officeDocument/2006/relationships/hyperlink" Target="mailto:baley.hutchinson@nxp.com" TargetMode="External"/><Relationship Id="rId173" Type="http://schemas.openxmlformats.org/officeDocument/2006/relationships/hyperlink" Target="mailto:milly.sordo@h2bengineers.com" TargetMode="External"/><Relationship Id="rId294" Type="http://schemas.openxmlformats.org/officeDocument/2006/relationships/hyperlink" Target="mailto:jacob.dorsett@nucor.com" TargetMode="External"/><Relationship Id="rId179" Type="http://schemas.openxmlformats.org/officeDocument/2006/relationships/hyperlink" Target="mailto:jessica@hesconnect.com" TargetMode="External"/><Relationship Id="rId178" Type="http://schemas.openxmlformats.org/officeDocument/2006/relationships/hyperlink" Target="mailto:robert.silva@harriscountytx.gov" TargetMode="External"/><Relationship Id="rId299" Type="http://schemas.openxmlformats.org/officeDocument/2006/relationships/hyperlink" Target="mailto:hchristensen@olsson.com" TargetMode="External"/><Relationship Id="rId177" Type="http://schemas.openxmlformats.org/officeDocument/2006/relationships/hyperlink" Target="mailto:cmjackson@hargrove-epc.com" TargetMode="External"/><Relationship Id="rId298" Type="http://schemas.openxmlformats.org/officeDocument/2006/relationships/hyperlink" Target="mailto:amori.lunney@odysseysr.com" TargetMode="External"/><Relationship Id="rId198" Type="http://schemas.openxmlformats.org/officeDocument/2006/relationships/hyperlink" Target="mailto:vdeluna@huitt-zollars.com" TargetMode="External"/><Relationship Id="rId197" Type="http://schemas.openxmlformats.org/officeDocument/2006/relationships/hyperlink" Target="mailto:misty.proler@hts.com" TargetMode="External"/><Relationship Id="rId196" Type="http://schemas.openxmlformats.org/officeDocument/2006/relationships/hyperlink" Target="mailto:jenglish@hrgreen.com" TargetMode="External"/><Relationship Id="rId195" Type="http://schemas.openxmlformats.org/officeDocument/2006/relationships/hyperlink" Target="mailto:lshivers@pdengineers.com" TargetMode="External"/><Relationship Id="rId199" Type="http://schemas.openxmlformats.org/officeDocument/2006/relationships/hyperlink" Target="mailto:mgraves@h-jinc.com" TargetMode="External"/><Relationship Id="rId150" Type="http://schemas.openxmlformats.org/officeDocument/2006/relationships/hyperlink" Target="mailto:bfreeman@flowserve.com" TargetMode="External"/><Relationship Id="rId271" Type="http://schemas.openxmlformats.org/officeDocument/2006/relationships/hyperlink" Target="mailto:h.wilson1@medpace.com" TargetMode="External"/><Relationship Id="rId392" Type="http://schemas.openxmlformats.org/officeDocument/2006/relationships/hyperlink" Target="mailto:ceretzer@tamu.edu" TargetMode="External"/><Relationship Id="rId270" Type="http://schemas.openxmlformats.org/officeDocument/2006/relationships/hyperlink" Target="mailto:mvelezrodriguez@mccarthy.com" TargetMode="External"/><Relationship Id="rId391" Type="http://schemas.openxmlformats.org/officeDocument/2006/relationships/hyperlink" Target="mailto:michelle.atchley@tetratech.com" TargetMode="External"/><Relationship Id="rId390" Type="http://schemas.openxmlformats.org/officeDocument/2006/relationships/hyperlink" Target="mailto:theresa.bridges@terracon.com" TargetMode="External"/><Relationship Id="rId1" Type="http://schemas.openxmlformats.org/officeDocument/2006/relationships/hyperlink" Target="https://tamu-csm.symplicity.com/manager/index.php?_so_list_aat4661b58a93547697edb574bcf14dcad0=250&amp;_so_list_sort4661b58a93547697edb574bcf14dcad0=name%3Adesc" TargetMode="External"/><Relationship Id="rId2" Type="http://schemas.openxmlformats.org/officeDocument/2006/relationships/hyperlink" Target="https://tamu-csm.symplicity.com/manager/index.php?_so_list_aat4661b58a93547697edb574bcf14dcad0=250&amp;_so_list_sort4661b58a93547697edb574bcf14dcad0=fullname%3Aasc" TargetMode="External"/><Relationship Id="rId3" Type="http://schemas.openxmlformats.org/officeDocument/2006/relationships/hyperlink" Target="https://tamu-csm.symplicity.com/manager/index.php?_so_list_aat4661b58a93547697edb574bcf14dcad0=250&amp;_so_list_sort4661b58a93547697edb574bcf14dcad0=phone%3Aasc" TargetMode="External"/><Relationship Id="rId149" Type="http://schemas.openxmlformats.org/officeDocument/2006/relationships/hyperlink" Target="mailto:laura.sanchez@ferrovial.com" TargetMode="External"/><Relationship Id="rId4" Type="http://schemas.openxmlformats.org/officeDocument/2006/relationships/hyperlink" Target="https://tamu-csm.symplicity.com/manager/index.php?_so_list_aat4661b58a93547697edb574bcf14dcad0=250&amp;_so_list_sort4661b58a93547697edb574bcf14dcad0=third_party%3Aasc" TargetMode="External"/><Relationship Id="rId148" Type="http://schemas.openxmlformats.org/officeDocument/2006/relationships/hyperlink" Target="mailto:human.resources@fhueng.com" TargetMode="External"/><Relationship Id="rId269" Type="http://schemas.openxmlformats.org/officeDocument/2006/relationships/hyperlink" Target="mailto:sekraheck@matrixstructural.com" TargetMode="External"/><Relationship Id="rId9" Type="http://schemas.openxmlformats.org/officeDocument/2006/relationships/hyperlink" Target="https://tamu-csm.symplicity.com/manager/index.php?_so_list_aat4661b58a93547697edb574bcf14dcad0=250&amp;_so_list_sort4661b58a93547697edb574bcf14dcad0=registered_on%3Aasc" TargetMode="External"/><Relationship Id="rId143" Type="http://schemas.openxmlformats.org/officeDocument/2006/relationships/hyperlink" Target="mailto:pzimmerman@farmerselectric.coop" TargetMode="External"/><Relationship Id="rId264" Type="http://schemas.openxmlformats.org/officeDocument/2006/relationships/hyperlink" Target="mailto:kdickens@mansoncc.com" TargetMode="External"/><Relationship Id="rId385" Type="http://schemas.openxmlformats.org/officeDocument/2006/relationships/hyperlink" Target="mailto:rachael.hamer@technipenergies.com" TargetMode="External"/><Relationship Id="rId142" Type="http://schemas.openxmlformats.org/officeDocument/2006/relationships/hyperlink" Target="mailto:mdadian@fhpaschen.com" TargetMode="External"/><Relationship Id="rId263" Type="http://schemas.openxmlformats.org/officeDocument/2006/relationships/hyperlink" Target="mailto:jmcrae@manh.com" TargetMode="External"/><Relationship Id="rId384" Type="http://schemas.openxmlformats.org/officeDocument/2006/relationships/hyperlink" Target="mailto:rogelio.martinez@tfwarren.com" TargetMode="External"/><Relationship Id="rId141" Type="http://schemas.openxmlformats.org/officeDocument/2006/relationships/hyperlink" Target="mailto:ncausey@ethosgroup.com" TargetMode="External"/><Relationship Id="rId262" Type="http://schemas.openxmlformats.org/officeDocument/2006/relationships/hyperlink" Target="mailto:jmartinez@manhard.com" TargetMode="External"/><Relationship Id="rId383" Type="http://schemas.openxmlformats.org/officeDocument/2006/relationships/hyperlink" Target="mailto:ritz@mays.tamu.edu" TargetMode="External"/><Relationship Id="rId140" Type="http://schemas.openxmlformats.org/officeDocument/2006/relationships/hyperlink" Target="mailto:wtubb@etainc.org" TargetMode="External"/><Relationship Id="rId261" Type="http://schemas.openxmlformats.org/officeDocument/2006/relationships/hyperlink" Target="mailto:hillary.traylor@mammoet.com" TargetMode="External"/><Relationship Id="rId382" Type="http://schemas.openxmlformats.org/officeDocument/2006/relationships/hyperlink" Target="mailto:cgrant@syska.com" TargetMode="External"/><Relationship Id="rId5" Type="http://schemas.openxmlformats.org/officeDocument/2006/relationships/hyperlink" Target="https://tamu-csm.symplicity.com/manager/index.php?_so_list_aat4661b58a93547697edb574bcf14dcad0=250&amp;_so_list_sort4661b58a93547697edb574bcf14dcad0=sal_company_showcase_be0988bcb504fed06778d172a8f637a6%3Aasc" TargetMode="External"/><Relationship Id="rId147" Type="http://schemas.openxmlformats.org/officeDocument/2006/relationships/hyperlink" Target="mailto:peter.frantz@dot.gov" TargetMode="External"/><Relationship Id="rId268" Type="http://schemas.openxmlformats.org/officeDocument/2006/relationships/hyperlink" Target="mailto:akeller@matkinhoover.com" TargetMode="External"/><Relationship Id="rId389" Type="http://schemas.openxmlformats.org/officeDocument/2006/relationships/hyperlink" Target="mailto:haley.patnaude@teradyne.com" TargetMode="External"/><Relationship Id="rId6" Type="http://schemas.openxmlformats.org/officeDocument/2006/relationships/hyperlink" Target="https://tamu-csm.symplicity.com/manager/index.php?_so_list_aat4661b58a93547697edb574bcf14dcad0=250&amp;_so_list_sort4661b58a93547697edb574bcf14dcad0=sal_welcome_social_9740ce8f08f0cb202e4212b344712015%3Aasc" TargetMode="External"/><Relationship Id="rId146" Type="http://schemas.openxmlformats.org/officeDocument/2006/relationships/hyperlink" Target="mailto:doug.huntsman@faa.gov" TargetMode="External"/><Relationship Id="rId267" Type="http://schemas.openxmlformats.org/officeDocument/2006/relationships/hyperlink" Target="mailto:careers@matadorresources.com" TargetMode="External"/><Relationship Id="rId388" Type="http://schemas.openxmlformats.org/officeDocument/2006/relationships/hyperlink" Target="mailto:TeNguyen@Tenaris.com" TargetMode="External"/><Relationship Id="rId7" Type="http://schemas.openxmlformats.org/officeDocument/2006/relationships/hyperlink" Target="https://tamu-csm.symplicity.com/manager/index.php?_so_list_aat4661b58a93547697edb574bcf14dcad0=250&amp;_so_list_sort4661b58a93547697edb574bcf14dcad0=sal_booth_location_065ec030a79655d6ac773759b9c3657e%3Aasc" TargetMode="External"/><Relationship Id="rId145" Type="http://schemas.openxmlformats.org/officeDocument/2006/relationships/hyperlink" Target="mailto:antionette.d-ctr.meridth@faa.gov" TargetMode="External"/><Relationship Id="rId266" Type="http://schemas.openxmlformats.org/officeDocument/2006/relationships/hyperlink" Target="mailto:mjeffries@massman.net" TargetMode="External"/><Relationship Id="rId387" Type="http://schemas.openxmlformats.org/officeDocument/2006/relationships/hyperlink" Target="mailto:kelsey.vaughn@tektronix.com" TargetMode="External"/><Relationship Id="rId8" Type="http://schemas.openxmlformats.org/officeDocument/2006/relationships/hyperlink" Target="https://tamu-csm.symplicity.com/manager/index.php?_so_list_aat4661b58a93547697edb574bcf14dcad0=250&amp;_so_list_sort4661b58a93547697edb574bcf14dcad0=attendee_type%3Aasc" TargetMode="External"/><Relationship Id="rId144" Type="http://schemas.openxmlformats.org/officeDocument/2006/relationships/hyperlink" Target="mailto:fastcareers@fastenterprises.com" TargetMode="External"/><Relationship Id="rId265" Type="http://schemas.openxmlformats.org/officeDocument/2006/relationships/hyperlink" Target="mailto:nmcastillo@marathonpetroleum.com" TargetMode="External"/><Relationship Id="rId386" Type="http://schemas.openxmlformats.org/officeDocument/2006/relationships/hyperlink" Target="mailto:tiffany.reyna@technipfmc.com" TargetMode="External"/><Relationship Id="rId260" Type="http://schemas.openxmlformats.org/officeDocument/2006/relationships/hyperlink" Target="mailto:lvaughn@mahoneyeng.com" TargetMode="External"/><Relationship Id="rId381" Type="http://schemas.openxmlformats.org/officeDocument/2006/relationships/hyperlink" Target="mailto:lea.kerstein@synchrogrid.com" TargetMode="External"/><Relationship Id="rId380" Type="http://schemas.openxmlformats.org/officeDocument/2006/relationships/hyperlink" Target="mailto:apoole@eoh-inc.com" TargetMode="External"/><Relationship Id="rId139" Type="http://schemas.openxmlformats.org/officeDocument/2006/relationships/hyperlink" Target="mailto:profiles@epic.com" TargetMode="External"/><Relationship Id="rId138" Type="http://schemas.openxmlformats.org/officeDocument/2006/relationships/hyperlink" Target="mailto:jbarrowdemaris@eprod.com" TargetMode="External"/><Relationship Id="rId259" Type="http://schemas.openxmlformats.org/officeDocument/2006/relationships/hyperlink" Target="mailto:ksimpson@msengr.com" TargetMode="External"/><Relationship Id="rId137" Type="http://schemas.openxmlformats.org/officeDocument/2006/relationships/hyperlink" Target="mailto:Kambea2@entergy.com" TargetMode="External"/><Relationship Id="rId258" Type="http://schemas.openxmlformats.org/officeDocument/2006/relationships/hyperlink" Target="mailto:david.smith2@lyondellbasell.com" TargetMode="External"/><Relationship Id="rId379" Type="http://schemas.openxmlformats.org/officeDocument/2006/relationships/hyperlink" Target="mailto:caberly@summit.us" TargetMode="External"/><Relationship Id="rId132" Type="http://schemas.openxmlformats.org/officeDocument/2006/relationships/hyperlink" Target="mailto:rsilva@engdyn.com" TargetMode="External"/><Relationship Id="rId253" Type="http://schemas.openxmlformats.org/officeDocument/2006/relationships/hyperlink" Target="mailto:sgrondona@lpadesignstudios.com" TargetMode="External"/><Relationship Id="rId374" Type="http://schemas.openxmlformats.org/officeDocument/2006/relationships/hyperlink" Target="mailto:clayton.robinson@stgen.com" TargetMode="External"/><Relationship Id="rId131" Type="http://schemas.openxmlformats.org/officeDocument/2006/relationships/hyperlink" Target="mailto:universityprograms@ecslimited.com" TargetMode="External"/><Relationship Id="rId252" Type="http://schemas.openxmlformats.org/officeDocument/2006/relationships/hyperlink" Target="mailto:ryan.ard@lnva.dst.tx.us" TargetMode="External"/><Relationship Id="rId373" Type="http://schemas.openxmlformats.org/officeDocument/2006/relationships/hyperlink" Target="mailto:kimber.matocha@stegerbizzell.com" TargetMode="External"/><Relationship Id="rId130" Type="http://schemas.openxmlformats.org/officeDocument/2006/relationships/hyperlink" Target="mailto:mcooney@enercon.com" TargetMode="External"/><Relationship Id="rId251" Type="http://schemas.openxmlformats.org/officeDocument/2006/relationships/hyperlink" Target="mailto:lnavarro@lotusworks.com" TargetMode="External"/><Relationship Id="rId372" Type="http://schemas.openxmlformats.org/officeDocument/2006/relationships/hyperlink" Target="mailto:melissa.mowery@stantec.com" TargetMode="External"/><Relationship Id="rId250" Type="http://schemas.openxmlformats.org/officeDocument/2006/relationships/hyperlink" Target="mailto:aya@lanl.gov" TargetMode="External"/><Relationship Id="rId371" Type="http://schemas.openxmlformats.org/officeDocument/2006/relationships/hyperlink" Target="mailto:ebruns@ssoe.com" TargetMode="External"/><Relationship Id="rId136" Type="http://schemas.openxmlformats.org/officeDocument/2006/relationships/hyperlink" Target="mailto:msosa@entechhou.com" TargetMode="External"/><Relationship Id="rId257" Type="http://schemas.openxmlformats.org/officeDocument/2006/relationships/hyperlink" Target="mailto:m.sanchez@luciferlighting.com" TargetMode="External"/><Relationship Id="rId378" Type="http://schemas.openxmlformats.org/officeDocument/2006/relationships/hyperlink" Target="mailto:JOEL.RAMIREZ@SULZER.COM" TargetMode="External"/><Relationship Id="rId135" Type="http://schemas.openxmlformats.org/officeDocument/2006/relationships/hyperlink" Target="mailto:lromer@entact.com" TargetMode="External"/><Relationship Id="rId256" Type="http://schemas.openxmlformats.org/officeDocument/2006/relationships/hyperlink" Target="mailto:lauren.stokley@lubrizol.com" TargetMode="External"/><Relationship Id="rId377" Type="http://schemas.openxmlformats.org/officeDocument/2006/relationships/hyperlink" Target="mailto:sam.terkelsen@stvinc.com" TargetMode="External"/><Relationship Id="rId134" Type="http://schemas.openxmlformats.org/officeDocument/2006/relationships/hyperlink" Target="mailto:jessica.long@e-ht.com" TargetMode="External"/><Relationship Id="rId255" Type="http://schemas.openxmlformats.org/officeDocument/2006/relationships/hyperlink" Target="mailto:marykay.yu@lty-engineers.com" TargetMode="External"/><Relationship Id="rId376" Type="http://schemas.openxmlformats.org/officeDocument/2006/relationships/hyperlink" Target="mailto:sarah@structurestx.com" TargetMode="External"/><Relationship Id="rId133" Type="http://schemas.openxmlformats.org/officeDocument/2006/relationships/hyperlink" Target="mailto:madison.duke@enovis.com" TargetMode="External"/><Relationship Id="rId254" Type="http://schemas.openxmlformats.org/officeDocument/2006/relationships/hyperlink" Target="mailto:ana.reyes@lplfinancial.com" TargetMode="External"/><Relationship Id="rId375" Type="http://schemas.openxmlformats.org/officeDocument/2006/relationships/hyperlink" Target="mailto:ljhoffman@stpegs.com" TargetMode="External"/><Relationship Id="rId172" Type="http://schemas.openxmlformats.org/officeDocument/2006/relationships/hyperlink" Target="mailto:reneeg@gie.com" TargetMode="External"/><Relationship Id="rId293" Type="http://schemas.openxmlformats.org/officeDocument/2006/relationships/hyperlink" Target="mailto:peyton.montelongo@nov.com" TargetMode="External"/><Relationship Id="rId171" Type="http://schemas.openxmlformats.org/officeDocument/2006/relationships/hyperlink" Target="mailto:rkhourshid@gti.energy" TargetMode="External"/><Relationship Id="rId292" Type="http://schemas.openxmlformats.org/officeDocument/2006/relationships/hyperlink" Target="mailto:nnsy_engineer_recruiting@navy.mil" TargetMode="External"/><Relationship Id="rId170" Type="http://schemas.openxmlformats.org/officeDocument/2006/relationships/hyperlink" Target="mailto:smwight@gsi-net.com" TargetMode="External"/><Relationship Id="rId291" Type="http://schemas.openxmlformats.org/officeDocument/2006/relationships/hyperlink" Target="mailto:amuir@nexanteca.com" TargetMode="External"/><Relationship Id="rId290" Type="http://schemas.openxmlformats.org/officeDocument/2006/relationships/hyperlink" Target="mailto:jh350012@ncratleos.com" TargetMode="External"/><Relationship Id="rId165" Type="http://schemas.openxmlformats.org/officeDocument/2006/relationships/hyperlink" Target="mailto:jknight@gilbaneco.com" TargetMode="External"/><Relationship Id="rId286" Type="http://schemas.openxmlformats.org/officeDocument/2006/relationships/hyperlink" Target="mailto:lindsey.r.savage.civ@us.navy.mil" TargetMode="External"/><Relationship Id="rId164" Type="http://schemas.openxmlformats.org/officeDocument/2006/relationships/hyperlink" Target="mailto:hr@gessnereng.com" TargetMode="External"/><Relationship Id="rId285" Type="http://schemas.openxmlformats.org/officeDocument/2006/relationships/hyperlink" Target="mailto:jessica.t.hinson.civ@us.navy.mil" TargetMode="External"/><Relationship Id="rId163" Type="http://schemas.openxmlformats.org/officeDocument/2006/relationships/hyperlink" Target="mailto:ebuniversityrelations@gdeb.com" TargetMode="External"/><Relationship Id="rId284" Type="http://schemas.openxmlformats.org/officeDocument/2006/relationships/hyperlink" Target="mailto:taylor.moffett@caci.com" TargetMode="External"/><Relationship Id="rId162" Type="http://schemas.openxmlformats.org/officeDocument/2006/relationships/hyperlink" Target="mailto:lrockhold@gbateam.com" TargetMode="External"/><Relationship Id="rId283" Type="http://schemas.openxmlformats.org/officeDocument/2006/relationships/hyperlink" Target="mailto:elizabeth.c.blome@nasa.gov" TargetMode="External"/><Relationship Id="rId169" Type="http://schemas.openxmlformats.org/officeDocument/2006/relationships/hyperlink" Target="mailto:wbryan@gldd.com" TargetMode="External"/><Relationship Id="rId168" Type="http://schemas.openxmlformats.org/officeDocument/2006/relationships/hyperlink" Target="mailto:cody.casey@graymechanical.com" TargetMode="External"/><Relationship Id="rId289" Type="http://schemas.openxmlformats.org/officeDocument/2006/relationships/hyperlink" Target="mailto:amber.r.hightower4.civ@us.navy.mil" TargetMode="External"/><Relationship Id="rId167" Type="http://schemas.openxmlformats.org/officeDocument/2006/relationships/hyperlink" Target="mailto:mbaacke@gmcivil.com" TargetMode="External"/><Relationship Id="rId288" Type="http://schemas.openxmlformats.org/officeDocument/2006/relationships/hyperlink" Target="mailto:andrew.t.loh.civ@us.navy.mil" TargetMode="External"/><Relationship Id="rId166" Type="http://schemas.openxmlformats.org/officeDocument/2006/relationships/hyperlink" Target="mailto:msengland@gw-globitech.com" TargetMode="External"/><Relationship Id="rId287" Type="http://schemas.openxmlformats.org/officeDocument/2006/relationships/hyperlink" Target="mailto:russell.mendoza@unnpp.gov" TargetMode="External"/><Relationship Id="rId161" Type="http://schemas.openxmlformats.org/officeDocument/2006/relationships/hyperlink" Target="mailto:crecruiting@garverusa.com" TargetMode="External"/><Relationship Id="rId282" Type="http://schemas.openxmlformats.org/officeDocument/2006/relationships/hyperlink" Target="mailto:kourtnee.phillips@nabors.com" TargetMode="External"/><Relationship Id="rId160" Type="http://schemas.openxmlformats.org/officeDocument/2006/relationships/hyperlink" Target="mailto:alievirisci@garney.com" TargetMode="External"/><Relationship Id="rId281" Type="http://schemas.openxmlformats.org/officeDocument/2006/relationships/hyperlink" Target="mailto:dkelley@mays.tamu.edu" TargetMode="External"/><Relationship Id="rId280" Type="http://schemas.openxmlformats.org/officeDocument/2006/relationships/hyperlink" Target="mailto:syoung@mpmaterials.com" TargetMode="External"/><Relationship Id="rId159" Type="http://schemas.openxmlformats.org/officeDocument/2006/relationships/hyperlink" Target="mailto:gina.goodman@gaf.energy" TargetMode="External"/><Relationship Id="rId154" Type="http://schemas.openxmlformats.org/officeDocument/2006/relationships/hyperlink" Target="mailto:pamelar@ftpc.fpcusa.com" TargetMode="External"/><Relationship Id="rId275" Type="http://schemas.openxmlformats.org/officeDocument/2006/relationships/hyperlink" Target="mailto:hthomas@mii.com" TargetMode="External"/><Relationship Id="rId396" Type="http://schemas.openxmlformats.org/officeDocument/2006/relationships/hyperlink" Target="mailto:sheila.brooks@txdot.gov" TargetMode="External"/><Relationship Id="rId153" Type="http://schemas.openxmlformats.org/officeDocument/2006/relationships/hyperlink" Target="mailto:mmcnair@fg-inc.net" TargetMode="External"/><Relationship Id="rId274" Type="http://schemas.openxmlformats.org/officeDocument/2006/relationships/hyperlink" Target="mailto:marisela.murillo@mbakerintl.com" TargetMode="External"/><Relationship Id="rId395" Type="http://schemas.openxmlformats.org/officeDocument/2006/relationships/hyperlink" Target="mailto:ciac@arch.tamu.edu" TargetMode="External"/><Relationship Id="rId152" Type="http://schemas.openxmlformats.org/officeDocument/2006/relationships/hyperlink" Target="mailto:catherine.lamb@fluor.com" TargetMode="External"/><Relationship Id="rId273" Type="http://schemas.openxmlformats.org/officeDocument/2006/relationships/hyperlink" Target="mailto:kelsey.helt@mewbourne.com" TargetMode="External"/><Relationship Id="rId394" Type="http://schemas.openxmlformats.org/officeDocument/2006/relationships/hyperlink" Target="mailto:sarivera@tamu.edu" TargetMode="External"/><Relationship Id="rId151" Type="http://schemas.openxmlformats.org/officeDocument/2006/relationships/hyperlink" Target="mailto:allison.stephens@fluke.com" TargetMode="External"/><Relationship Id="rId272" Type="http://schemas.openxmlformats.org/officeDocument/2006/relationships/hyperlink" Target="mailto:sbielamowicz@meglobal.biz" TargetMode="External"/><Relationship Id="rId393" Type="http://schemas.openxmlformats.org/officeDocument/2006/relationships/hyperlink" Target="mailto:online-degree@geos.tamu.edu" TargetMode="External"/><Relationship Id="rId158" Type="http://schemas.openxmlformats.org/officeDocument/2006/relationships/hyperlink" Target="mailto:beatriz.hernandez@gaf.com" TargetMode="External"/><Relationship Id="rId279" Type="http://schemas.openxmlformats.org/officeDocument/2006/relationships/hyperlink" Target="mailto:collegerecruiting@mortenson.com" TargetMode="External"/><Relationship Id="rId157" Type="http://schemas.openxmlformats.org/officeDocument/2006/relationships/hyperlink" Target="mailto:q.moore@fugro.com" TargetMode="External"/><Relationship Id="rId278" Type="http://schemas.openxmlformats.org/officeDocument/2006/relationships/hyperlink" Target="mailto:hrtx@monumentchemical.com" TargetMode="External"/><Relationship Id="rId399" Type="http://schemas.openxmlformats.org/officeDocument/2006/relationships/hyperlink" Target="mailto:hr@twdb.texas.gov" TargetMode="External"/><Relationship Id="rId156" Type="http://schemas.openxmlformats.org/officeDocument/2006/relationships/hyperlink" Target="mailto:phillip.steagall@fticonsulting.com" TargetMode="External"/><Relationship Id="rId277" Type="http://schemas.openxmlformats.org/officeDocument/2006/relationships/hyperlink" Target="mailto:Tribakovs@moffattnichol.com" TargetMode="External"/><Relationship Id="rId398" Type="http://schemas.openxmlformats.org/officeDocument/2006/relationships/hyperlink" Target="mailto:bbell@engineeringtexas.com" TargetMode="External"/><Relationship Id="rId155" Type="http://schemas.openxmlformats.org/officeDocument/2006/relationships/hyperlink" Target="mailto:lauren.hodge@freese.com" TargetMode="External"/><Relationship Id="rId276" Type="http://schemas.openxmlformats.org/officeDocument/2006/relationships/hyperlink" Target="mailto:dlarson@mmatexas.com" TargetMode="External"/><Relationship Id="rId397" Type="http://schemas.openxmlformats.org/officeDocument/2006/relationships/hyperlink" Target="mailto:ti@nc3.com" TargetMode="External"/><Relationship Id="rId40" Type="http://schemas.openxmlformats.org/officeDocument/2006/relationships/hyperlink" Target="mailto:andrea.boyle@baesystems.com" TargetMode="External"/><Relationship Id="rId42" Type="http://schemas.openxmlformats.org/officeDocument/2006/relationships/hyperlink" Target="mailto:riggallmc@bakerconcrete.com" TargetMode="External"/><Relationship Id="rId41" Type="http://schemas.openxmlformats.org/officeDocument/2006/relationships/hyperlink" Target="mailto:mhalpenny@bhbinc.com" TargetMode="External"/><Relationship Id="rId44" Type="http://schemas.openxmlformats.org/officeDocument/2006/relationships/hyperlink" Target="mailto:angela.berman@bwdesigngroup.com" TargetMode="External"/><Relationship Id="rId43" Type="http://schemas.openxmlformats.org/officeDocument/2006/relationships/hyperlink" Target="mailto:brooke.ostrander@bakerhughes.com" TargetMode="External"/><Relationship Id="rId46" Type="http://schemas.openxmlformats.org/officeDocument/2006/relationships/hyperlink" Target="mailto:eric.smith@bdenergysystems.com" TargetMode="External"/><Relationship Id="rId45" Type="http://schemas.openxmlformats.org/officeDocument/2006/relationships/hyperlink" Target="mailto:acastro@bcceng.com" TargetMode="External"/><Relationship Id="rId48" Type="http://schemas.openxmlformats.org/officeDocument/2006/relationships/hyperlink" Target="mailto:p.zurlinden@beckhoff.com" TargetMode="External"/><Relationship Id="rId47" Type="http://schemas.openxmlformats.org/officeDocument/2006/relationships/hyperlink" Target="mailto:CAREERS@BE-CI.COM" TargetMode="External"/><Relationship Id="rId49" Type="http://schemas.openxmlformats.org/officeDocument/2006/relationships/hyperlink" Target="mailto:donna@befcoengineering.com" TargetMode="External"/><Relationship Id="rId31" Type="http://schemas.openxmlformats.org/officeDocument/2006/relationships/hyperlink" Target="mailto:jdarnell@arsengineers.com" TargetMode="External"/><Relationship Id="rId30" Type="http://schemas.openxmlformats.org/officeDocument/2006/relationships/hyperlink" Target="mailto:jobs@arionblue.com" TargetMode="External"/><Relationship Id="rId33" Type="http://schemas.openxmlformats.org/officeDocument/2006/relationships/hyperlink" Target="mailto:asml@nc3.com" TargetMode="External"/><Relationship Id="rId32" Type="http://schemas.openxmlformats.org/officeDocument/2006/relationships/hyperlink" Target="mailto:rspencer@asec-engineers.com" TargetMode="External"/><Relationship Id="rId35" Type="http://schemas.openxmlformats.org/officeDocument/2006/relationships/hyperlink" Target="mailto:mvang@atlas.energy" TargetMode="External"/><Relationship Id="rId34" Type="http://schemas.openxmlformats.org/officeDocument/2006/relationships/hyperlink" Target="mailto:shaq.lowe@atkinsglobal.com" TargetMode="External"/><Relationship Id="rId37" Type="http://schemas.openxmlformats.org/officeDocument/2006/relationships/hyperlink" Target="mailto:sduwenhoegger@atwell-group.com" TargetMode="External"/><Relationship Id="rId36" Type="http://schemas.openxmlformats.org/officeDocument/2006/relationships/hyperlink" Target="mailto:brian.nelson@atmosenergy.com" TargetMode="External"/><Relationship Id="rId39" Type="http://schemas.openxmlformats.org/officeDocument/2006/relationships/hyperlink" Target="mailto:ltrujillo@austin-ind.com" TargetMode="External"/><Relationship Id="rId38" Type="http://schemas.openxmlformats.org/officeDocument/2006/relationships/hyperlink" Target="mailto:kschnadelbach@auduboncompanies.com" TargetMode="External"/><Relationship Id="rId20" Type="http://schemas.openxmlformats.org/officeDocument/2006/relationships/hyperlink" Target="mailto:lindsay.wieck@altrad.com" TargetMode="External"/><Relationship Id="rId22" Type="http://schemas.openxmlformats.org/officeDocument/2006/relationships/hyperlink" Target="mailto:cristal.n.rubio.mil@us.navy.mil" TargetMode="External"/><Relationship Id="rId21" Type="http://schemas.openxmlformats.org/officeDocument/2006/relationships/hyperlink" Target="mailto:lashel.williamson@altria.com" TargetMode="External"/><Relationship Id="rId24" Type="http://schemas.openxmlformats.org/officeDocument/2006/relationships/hyperlink" Target="mailto:recruiting@arlut.utexas.edu" TargetMode="External"/><Relationship Id="rId23" Type="http://schemas.openxmlformats.org/officeDocument/2006/relationships/hyperlink" Target="mailto:felicia.nguyen@andersencorp.com" TargetMode="External"/><Relationship Id="rId409" Type="http://schemas.openxmlformats.org/officeDocument/2006/relationships/hyperlink" Target="mailto:tnphr@tnpinc.com" TargetMode="External"/><Relationship Id="rId404" Type="http://schemas.openxmlformats.org/officeDocument/2006/relationships/hyperlink" Target="mailto:heather.hines@timken.com" TargetMode="External"/><Relationship Id="rId403" Type="http://schemas.openxmlformats.org/officeDocument/2006/relationships/hyperlink" Target="mailto:adavidson@huntongroup.com" TargetMode="External"/><Relationship Id="rId402" Type="http://schemas.openxmlformats.org/officeDocument/2006/relationships/hyperlink" Target="mailto:kristy.estes@teg-tx.com" TargetMode="External"/><Relationship Id="rId401" Type="http://schemas.openxmlformats.org/officeDocument/2006/relationships/hyperlink" Target="mailto:crystal.kerr@brandt.us" TargetMode="External"/><Relationship Id="rId408" Type="http://schemas.openxmlformats.org/officeDocument/2006/relationships/hyperlink" Target="mailto:krystina.hares@tke-engineering.com" TargetMode="External"/><Relationship Id="rId407" Type="http://schemas.openxmlformats.org/officeDocument/2006/relationships/hyperlink" Target="mailto:secareers@us.af.mil" TargetMode="External"/><Relationship Id="rId406" Type="http://schemas.openxmlformats.org/officeDocument/2006/relationships/hyperlink" Target="mailto:jtodd@vertexeng.com" TargetMode="External"/><Relationship Id="rId405" Type="http://schemas.openxmlformats.org/officeDocument/2006/relationships/hyperlink" Target="mailto:dora@thetranstecgroup.com" TargetMode="External"/><Relationship Id="rId26" Type="http://schemas.openxmlformats.org/officeDocument/2006/relationships/hyperlink" Target="mailto:agoodwin@arcb.com" TargetMode="External"/><Relationship Id="rId25" Type="http://schemas.openxmlformats.org/officeDocument/2006/relationships/hyperlink" Target="mailto:sheila@arbinmail.com" TargetMode="External"/><Relationship Id="rId28" Type="http://schemas.openxmlformats.org/officeDocument/2006/relationships/hyperlink" Target="mailto:morban@ardurra.com" TargetMode="External"/><Relationship Id="rId27" Type="http://schemas.openxmlformats.org/officeDocument/2006/relationships/hyperlink" Target="mailto:jhoag@arcomurray.com" TargetMode="External"/><Relationship Id="rId400" Type="http://schemas.openxmlformats.org/officeDocument/2006/relationships/hyperlink" Target="mailto:wbrown@swwc.com" TargetMode="External"/><Relationship Id="rId29" Type="http://schemas.openxmlformats.org/officeDocument/2006/relationships/hyperlink" Target="mailto:bmery@arenaenergy.com" TargetMode="External"/><Relationship Id="rId11" Type="http://schemas.openxmlformats.org/officeDocument/2006/relationships/hyperlink" Target="mailto:elizabeth.lipstreu@us.abb.com" TargetMode="External"/><Relationship Id="rId10" Type="http://schemas.openxmlformats.org/officeDocument/2006/relationships/hyperlink" Target="mailto:rda@as-engineers.com" TargetMode="External"/><Relationship Id="rId13" Type="http://schemas.openxmlformats.org/officeDocument/2006/relationships/hyperlink" Target="mailto:ecurry@age-se.com" TargetMode="External"/><Relationship Id="rId12" Type="http://schemas.openxmlformats.org/officeDocument/2006/relationships/hyperlink" Target="mailto:aecom@nc3.com" TargetMode="External"/><Relationship Id="rId15" Type="http://schemas.openxmlformats.org/officeDocument/2006/relationships/hyperlink" Target="mailto:airliquide@nc3.com" TargetMode="External"/><Relationship Id="rId14" Type="http://schemas.openxmlformats.org/officeDocument/2006/relationships/hyperlink" Target="mailto:sandra.hernandez@aguirre-fields.com" TargetMode="External"/><Relationship Id="rId17" Type="http://schemas.openxmlformats.org/officeDocument/2006/relationships/hyperlink" Target="mailto:ahebert@all4inc.com" TargetMode="External"/><Relationship Id="rId16" Type="http://schemas.openxmlformats.org/officeDocument/2006/relationships/hyperlink" Target="mailto:jjulian@albers.aero" TargetMode="External"/><Relationship Id="rId19" Type="http://schemas.openxmlformats.org/officeDocument/2006/relationships/hyperlink" Target="mailto:ctapia@emailatg.com" TargetMode="External"/><Relationship Id="rId18" Type="http://schemas.openxmlformats.org/officeDocument/2006/relationships/hyperlink" Target="mailto:thwang@abbae.com" TargetMode="External"/><Relationship Id="rId84" Type="http://schemas.openxmlformats.org/officeDocument/2006/relationships/hyperlink" Target="mailto:scott.r.yoder@centerpointenergy.com" TargetMode="External"/><Relationship Id="rId83" Type="http://schemas.openxmlformats.org/officeDocument/2006/relationships/hyperlink" Target="mailto:allyssa.gutierrez@csg.heicocompanies.com" TargetMode="External"/><Relationship Id="rId86" Type="http://schemas.openxmlformats.org/officeDocument/2006/relationships/hyperlink" Target="mailto:laurie.firmin@champtechnology.com" TargetMode="External"/><Relationship Id="rId85" Type="http://schemas.openxmlformats.org/officeDocument/2006/relationships/hyperlink" Target="mailto:lauren.metz-contractor@cgg.com" TargetMode="External"/><Relationship Id="rId88" Type="http://schemas.openxmlformats.org/officeDocument/2006/relationships/hyperlink" Target="mailto:klundgaard@cimarroninc.com" TargetMode="External"/><Relationship Id="rId87" Type="http://schemas.openxmlformats.org/officeDocument/2006/relationships/hyperlink" Target="mailto:morgan.wilbur@chartindustries.com" TargetMode="External"/><Relationship Id="rId89" Type="http://schemas.openxmlformats.org/officeDocument/2006/relationships/hyperlink" Target="mailto:nwrazen@cecinc.com" TargetMode="External"/><Relationship Id="rId80" Type="http://schemas.openxmlformats.org/officeDocument/2006/relationships/hyperlink" Target="mailto:brad.veath@mcdermott.com" TargetMode="External"/><Relationship Id="rId82" Type="http://schemas.openxmlformats.org/officeDocument/2006/relationships/hyperlink" Target="mailto:hr-recruiting@cdmsmith.com" TargetMode="External"/><Relationship Id="rId81" Type="http://schemas.openxmlformats.org/officeDocument/2006/relationships/hyperlink" Target="mailto:chclift@cdc-usa.com" TargetMode="External"/><Relationship Id="rId73" Type="http://schemas.openxmlformats.org/officeDocument/2006/relationships/hyperlink" Target="mailto:sara.martinez@caemilusa.com" TargetMode="External"/><Relationship Id="rId72" Type="http://schemas.openxmlformats.org/officeDocument/2006/relationships/hyperlink" Target="mailto:academicnetwork_na@cadence.com" TargetMode="External"/><Relationship Id="rId75" Type="http://schemas.openxmlformats.org/officeDocument/2006/relationships/hyperlink" Target="mailto:karrie.valenti@capco.com" TargetMode="External"/><Relationship Id="rId74" Type="http://schemas.openxmlformats.org/officeDocument/2006/relationships/hyperlink" Target="mailto:hrrecruitment@calpine.com" TargetMode="External"/><Relationship Id="rId77" Type="http://schemas.openxmlformats.org/officeDocument/2006/relationships/hyperlink" Target="mailto:lemmons@capsher.com" TargetMode="External"/><Relationship Id="rId76" Type="http://schemas.openxmlformats.org/officeDocument/2006/relationships/hyperlink" Target="mailto:HR@capitalizeconsulting.com" TargetMode="External"/><Relationship Id="rId79" Type="http://schemas.openxmlformats.org/officeDocument/2006/relationships/hyperlink" Target="mailto:talent_acquisition@cat.com" TargetMode="External"/><Relationship Id="rId78" Type="http://schemas.openxmlformats.org/officeDocument/2006/relationships/hyperlink" Target="mailto:cargill@nc3.com" TargetMode="External"/><Relationship Id="rId71" Type="http://schemas.openxmlformats.org/officeDocument/2006/relationships/hyperlink" Target="mailto:cchristian@bxgsystems.com" TargetMode="External"/><Relationship Id="rId70" Type="http://schemas.openxmlformats.org/officeDocument/2006/relationships/hyperlink" Target="mailto:svaid@burnsmcd.com" TargetMode="External"/><Relationship Id="rId62" Type="http://schemas.openxmlformats.org/officeDocument/2006/relationships/hyperlink" Target="mailto:rcole@brasfieldgorrie.com" TargetMode="External"/><Relationship Id="rId61" Type="http://schemas.openxmlformats.org/officeDocument/2006/relationships/hyperlink" Target="mailto:rose.markovic@brainlab.com" TargetMode="External"/><Relationship Id="rId64" Type="http://schemas.openxmlformats.org/officeDocument/2006/relationships/hyperlink" Target="mailto:erika.everett@bray.com" TargetMode="External"/><Relationship Id="rId63" Type="http://schemas.openxmlformats.org/officeDocument/2006/relationships/hyperlink" Target="mailto:david.currie@braskem.com" TargetMode="External"/><Relationship Id="rId66" Type="http://schemas.openxmlformats.org/officeDocument/2006/relationships/hyperlink" Target="mailto:Jhudspeth@brocksolutions.com" TargetMode="External"/><Relationship Id="rId65" Type="http://schemas.openxmlformats.org/officeDocument/2006/relationships/hyperlink" Target="mailto:lsewell@brazoselectric.com" TargetMode="External"/><Relationship Id="rId68" Type="http://schemas.openxmlformats.org/officeDocument/2006/relationships/hyperlink" Target="mailto:cshauger@geoneering.com" TargetMode="External"/><Relationship Id="rId67" Type="http://schemas.openxmlformats.org/officeDocument/2006/relationships/hyperlink" Target="mailto:careers@bre.com" TargetMode="External"/><Relationship Id="rId60" Type="http://schemas.openxmlformats.org/officeDocument/2006/relationships/hyperlink" Target="mailto:salemazkour@bowman.com" TargetMode="External"/><Relationship Id="rId69" Type="http://schemas.openxmlformats.org/officeDocument/2006/relationships/hyperlink" Target="mailto:hniemeyer@buckeye.com" TargetMode="External"/><Relationship Id="rId51" Type="http://schemas.openxmlformats.org/officeDocument/2006/relationships/hyperlink" Target="mailto:jennifer.johnson@bernhard.com" TargetMode="External"/><Relationship Id="rId50" Type="http://schemas.openxmlformats.org/officeDocument/2006/relationships/hyperlink" Target="mailto:talentacquisition@benesch.com" TargetMode="External"/><Relationship Id="rId53" Type="http://schemas.openxmlformats.org/officeDocument/2006/relationships/hyperlink" Target="mailto:jackie.spinosa@grupobimbo.com" TargetMode="External"/><Relationship Id="rId52" Type="http://schemas.openxmlformats.org/officeDocument/2006/relationships/hyperlink" Target="mailto:recruiting@bgeinc.com" TargetMode="External"/><Relationship Id="rId55" Type="http://schemas.openxmlformats.org/officeDocument/2006/relationships/hyperlink" Target="mailto:WheelerSE@bv.com" TargetMode="External"/><Relationship Id="rId54" Type="http://schemas.openxmlformats.org/officeDocument/2006/relationships/hyperlink" Target="mailto:hr@binkleybarfield.com" TargetMode="External"/><Relationship Id="rId57" Type="http://schemas.openxmlformats.org/officeDocument/2006/relationships/hyperlink" Target="mailto:collegerecruiting@bnsf.com" TargetMode="External"/><Relationship Id="rId56" Type="http://schemas.openxmlformats.org/officeDocument/2006/relationships/hyperlink" Target="mailto:twalker@bleylengineering.com" TargetMode="External"/><Relationship Id="rId59" Type="http://schemas.openxmlformats.org/officeDocument/2006/relationships/hyperlink" Target="mailto:larisabarr@bc.com" TargetMode="External"/><Relationship Id="rId58" Type="http://schemas.openxmlformats.org/officeDocument/2006/relationships/hyperlink" Target="mailto:emurphy@bohlereng.com" TargetMode="External"/><Relationship Id="rId107" Type="http://schemas.openxmlformats.org/officeDocument/2006/relationships/hyperlink" Target="mailto:cio_recruiting@dodiis.mil" TargetMode="External"/><Relationship Id="rId228" Type="http://schemas.openxmlformats.org/officeDocument/2006/relationships/hyperlink" Target="mailto:katelyn.zuberbueler@kimley-horn.com" TargetMode="External"/><Relationship Id="rId349" Type="http://schemas.openxmlformats.org/officeDocument/2006/relationships/hyperlink" Target="mailto:nick@sandlinservices.com" TargetMode="External"/><Relationship Id="rId106" Type="http://schemas.openxmlformats.org/officeDocument/2006/relationships/hyperlink" Target="mailto:tyler.hiroms@decorp.com" TargetMode="External"/><Relationship Id="rId227" Type="http://schemas.openxmlformats.org/officeDocument/2006/relationships/hyperlink" Target="mailto:james.borom@KCC.COM" TargetMode="External"/><Relationship Id="rId348" Type="http://schemas.openxmlformats.org/officeDocument/2006/relationships/hyperlink" Target="mailto:anmonta@sandia.gov" TargetMode="External"/><Relationship Id="rId105" Type="http://schemas.openxmlformats.org/officeDocument/2006/relationships/hyperlink" Target="mailto:rc@dbi-cc.com" TargetMode="External"/><Relationship Id="rId226" Type="http://schemas.openxmlformats.org/officeDocument/2006/relationships/hyperlink" Target="mailto:Recruitingsupport@kiewit.com" TargetMode="External"/><Relationship Id="rId347" Type="http://schemas.openxmlformats.org/officeDocument/2006/relationships/hyperlink" Target="mailto:mdusek@sambatek.com" TargetMode="External"/><Relationship Id="rId104" Type="http://schemas.openxmlformats.org/officeDocument/2006/relationships/hyperlink" Target="mailto:erikap@datumengineers.com" TargetMode="External"/><Relationship Id="rId225" Type="http://schemas.openxmlformats.org/officeDocument/2006/relationships/hyperlink" Target="mailto:lfowler@kfm-llc.com" TargetMode="External"/><Relationship Id="rId346" Type="http://schemas.openxmlformats.org/officeDocument/2006/relationships/hyperlink" Target="mailto:john.derosa@salasobrien.com" TargetMode="External"/><Relationship Id="rId109" Type="http://schemas.openxmlformats.org/officeDocument/2006/relationships/hyperlink" Target="mailto:dell@nc3.com" TargetMode="External"/><Relationship Id="rId108" Type="http://schemas.openxmlformats.org/officeDocument/2006/relationships/hyperlink" Target="mailto:brittany.miles@delekus.com" TargetMode="External"/><Relationship Id="rId229" Type="http://schemas.openxmlformats.org/officeDocument/2006/relationships/hyperlink" Target="mailto:haley.buesing@trustke.com" TargetMode="External"/><Relationship Id="rId220" Type="http://schemas.openxmlformats.org/officeDocument/2006/relationships/hyperlink" Target="mailto:theresa.moore@kci.com" TargetMode="External"/><Relationship Id="rId341" Type="http://schemas.openxmlformats.org/officeDocument/2006/relationships/hyperlink" Target="mailto:careers@rovisys.com" TargetMode="External"/><Relationship Id="rId340" Type="http://schemas.openxmlformats.org/officeDocument/2006/relationships/hyperlink" Target="mailto:dyork@rosen-group.com" TargetMode="External"/><Relationship Id="rId103" Type="http://schemas.openxmlformats.org/officeDocument/2006/relationships/hyperlink" Target="mailto:tori.smith@dashiell.com" TargetMode="External"/><Relationship Id="rId224" Type="http://schemas.openxmlformats.org/officeDocument/2006/relationships/hyperlink" Target="mailto:egorman@keystoneengr.com" TargetMode="External"/><Relationship Id="rId345" Type="http://schemas.openxmlformats.org/officeDocument/2006/relationships/hyperlink" Target="mailto:edna.hicks@saberpower.com" TargetMode="External"/><Relationship Id="rId102" Type="http://schemas.openxmlformats.org/officeDocument/2006/relationships/hyperlink" Target="mailto:sorth@dallyassociates.com" TargetMode="External"/><Relationship Id="rId223" Type="http://schemas.openxmlformats.org/officeDocument/2006/relationships/hyperlink" Target="mailto:resume@kemgroups.com" TargetMode="External"/><Relationship Id="rId344" Type="http://schemas.openxmlformats.org/officeDocument/2006/relationships/hyperlink" Target="mailto:dlschultz@sbec.com" TargetMode="External"/><Relationship Id="rId101" Type="http://schemas.openxmlformats.org/officeDocument/2006/relationships/hyperlink" Target="mailto:humanresources@dailyinst.com" TargetMode="External"/><Relationship Id="rId222" Type="http://schemas.openxmlformats.org/officeDocument/2006/relationships/hyperlink" Target="mailto:resumes@keller-na.com" TargetMode="External"/><Relationship Id="rId343" Type="http://schemas.openxmlformats.org/officeDocument/2006/relationships/hyperlink" Target="mailto:hr.jobs@russellmarinellc.com" TargetMode="External"/><Relationship Id="rId100" Type="http://schemas.openxmlformats.org/officeDocument/2006/relationships/hyperlink" Target="mailto:jane.hershman@crowncastle.com" TargetMode="External"/><Relationship Id="rId221" Type="http://schemas.openxmlformats.org/officeDocument/2006/relationships/hyperlink" Target="mailto:agrimm@keeleycompanies.com" TargetMode="External"/><Relationship Id="rId342" Type="http://schemas.openxmlformats.org/officeDocument/2006/relationships/hyperlink" Target="mailto:tkeeney@rptalliance.com" TargetMode="External"/><Relationship Id="rId217" Type="http://schemas.openxmlformats.org/officeDocument/2006/relationships/hyperlink" Target="mailto:jayme.faulkner@jswsteel.us" TargetMode="External"/><Relationship Id="rId338" Type="http://schemas.openxmlformats.org/officeDocument/2006/relationships/hyperlink" Target="mailto:Matt.Proctor@root3power.com" TargetMode="External"/><Relationship Id="rId216" Type="http://schemas.openxmlformats.org/officeDocument/2006/relationships/hyperlink" Target="mailto:tgoodson@jqeng.com" TargetMode="External"/><Relationship Id="rId337" Type="http://schemas.openxmlformats.org/officeDocument/2006/relationships/hyperlink" Target="mailto:bmiller@rtg-texas.com" TargetMode="External"/><Relationship Id="rId215" Type="http://schemas.openxmlformats.org/officeDocument/2006/relationships/hyperlink" Target="mailto:epatterson@jmt.com" TargetMode="External"/><Relationship Id="rId336" Type="http://schemas.openxmlformats.org/officeDocument/2006/relationships/hyperlink" Target="mailto:irene.fiand@rocrich.com" TargetMode="External"/><Relationship Id="rId214" Type="http://schemas.openxmlformats.org/officeDocument/2006/relationships/hyperlink" Target="mailto:jnj@nc3.com" TargetMode="External"/><Relationship Id="rId335" Type="http://schemas.openxmlformats.org/officeDocument/2006/relationships/hyperlink" Target="mailto:hr@rlginc.com" TargetMode="External"/><Relationship Id="rId219" Type="http://schemas.openxmlformats.org/officeDocument/2006/relationships/hyperlink" Target="mailto:donna.dumas@us.kbr.com" TargetMode="External"/><Relationship Id="rId218" Type="http://schemas.openxmlformats.org/officeDocument/2006/relationships/hyperlink" Target="mailto:eturner@kfriese.com" TargetMode="External"/><Relationship Id="rId339" Type="http://schemas.openxmlformats.org/officeDocument/2006/relationships/hyperlink" Target="mailto:sarah@rootmep.com" TargetMode="External"/><Relationship Id="rId330" Type="http://schemas.openxmlformats.org/officeDocument/2006/relationships/hyperlink" Target="mailto:lydia.humes@rrc.texas.gov" TargetMode="External"/><Relationship Id="rId213" Type="http://schemas.openxmlformats.org/officeDocument/2006/relationships/hyperlink" Target="mailto:mitchell.pivovar@jedunn.com" TargetMode="External"/><Relationship Id="rId334" Type="http://schemas.openxmlformats.org/officeDocument/2006/relationships/hyperlink" Target="mailto:tyler@republiceds.com" TargetMode="External"/><Relationship Id="rId212" Type="http://schemas.openxmlformats.org/officeDocument/2006/relationships/hyperlink" Target="mailto:csullivan@jaycashman.com" TargetMode="External"/><Relationship Id="rId333" Type="http://schemas.openxmlformats.org/officeDocument/2006/relationships/hyperlink" Target="mailto:rtx@nc3.com" TargetMode="External"/><Relationship Id="rId211" Type="http://schemas.openxmlformats.org/officeDocument/2006/relationships/hyperlink" Target="mailto:shelbi.severson@jacobs.com" TargetMode="External"/><Relationship Id="rId332" Type="http://schemas.openxmlformats.org/officeDocument/2006/relationships/hyperlink" Target="mailto:mkhandekar@ramboll.com" TargetMode="External"/><Relationship Id="rId210" Type="http://schemas.openxmlformats.org/officeDocument/2006/relationships/hyperlink" Target="mailto:lily.domico@jtthorpe.com" TargetMode="External"/><Relationship Id="rId331" Type="http://schemas.openxmlformats.org/officeDocument/2006/relationships/hyperlink" Target="mailto:khenson@ritd-llc.com" TargetMode="External"/><Relationship Id="rId370" Type="http://schemas.openxmlformats.org/officeDocument/2006/relationships/hyperlink" Target="mailto:steve.blaschke@spiarsengineering.com" TargetMode="External"/><Relationship Id="rId129" Type="http://schemas.openxmlformats.org/officeDocument/2006/relationships/hyperlink" Target="mailto:ashley.garrison@eec-tx.com" TargetMode="External"/><Relationship Id="rId128" Type="http://schemas.openxmlformats.org/officeDocument/2006/relationships/hyperlink" Target="mailto:lglameyer@elwd.com" TargetMode="External"/><Relationship Id="rId249" Type="http://schemas.openxmlformats.org/officeDocument/2006/relationships/hyperlink" Target="mailto:sporter@lonestarturbo.com" TargetMode="External"/><Relationship Id="rId127" Type="http://schemas.openxmlformats.org/officeDocument/2006/relationships/hyperlink" Target="mailto:sgarcia@elevationlandsolutions.com" TargetMode="External"/><Relationship Id="rId248" Type="http://schemas.openxmlformats.org/officeDocument/2006/relationships/hyperlink" Target="mailto:college@lan-inc.com" TargetMode="External"/><Relationship Id="rId369" Type="http://schemas.openxmlformats.org/officeDocument/2006/relationships/hyperlink" Target="mailto:cencinia@southwestern.com" TargetMode="External"/><Relationship Id="rId126" Type="http://schemas.openxmlformats.org/officeDocument/2006/relationships/hyperlink" Target="mailto:danielfrericks@epdltd.com" TargetMode="External"/><Relationship Id="rId247" Type="http://schemas.openxmlformats.org/officeDocument/2006/relationships/hyperlink" Target="mailto:dallevato@lja.com" TargetMode="External"/><Relationship Id="rId368" Type="http://schemas.openxmlformats.org/officeDocument/2006/relationships/hyperlink" Target="mailto:rachel.pelayo@swri.org" TargetMode="External"/><Relationship Id="rId121" Type="http://schemas.openxmlformats.org/officeDocument/2006/relationships/hyperlink" Target="mailto:jsteates@dynaten.com" TargetMode="External"/><Relationship Id="rId242" Type="http://schemas.openxmlformats.org/officeDocument/2006/relationships/hyperlink" Target="mailto:jcross@leprinofoods.com" TargetMode="External"/><Relationship Id="rId363" Type="http://schemas.openxmlformats.org/officeDocument/2006/relationships/hyperlink" Target="mailto:justin.stephens@siemens.com" TargetMode="External"/><Relationship Id="rId120" Type="http://schemas.openxmlformats.org/officeDocument/2006/relationships/hyperlink" Target="mailto:marketing@dsi.us" TargetMode="External"/><Relationship Id="rId241" Type="http://schemas.openxmlformats.org/officeDocument/2006/relationships/hyperlink" Target="mailto:amanda.vadney@drs.com" TargetMode="External"/><Relationship Id="rId362" Type="http://schemas.openxmlformats.org/officeDocument/2006/relationships/hyperlink" Target="mailto:jackie.engstrom@sick.com" TargetMode="External"/><Relationship Id="rId240" Type="http://schemas.openxmlformats.org/officeDocument/2006/relationships/hyperlink" Target="mailto:victoria.rockefellermiller@lennar.com" TargetMode="External"/><Relationship Id="rId361" Type="http://schemas.openxmlformats.org/officeDocument/2006/relationships/hyperlink" Target="mailto:payton.albrecht@shimmick.com" TargetMode="External"/><Relationship Id="rId360" Type="http://schemas.openxmlformats.org/officeDocument/2006/relationships/hyperlink" Target="mailto:ari.taheri@shield-engineering.com" TargetMode="External"/><Relationship Id="rId125" Type="http://schemas.openxmlformats.org/officeDocument/2006/relationships/hyperlink" Target="mailto:hrdirector@eciusa.com" TargetMode="External"/><Relationship Id="rId246" Type="http://schemas.openxmlformats.org/officeDocument/2006/relationships/hyperlink" Target="mailto:jelisa.jones@linde.com" TargetMode="External"/><Relationship Id="rId367" Type="http://schemas.openxmlformats.org/officeDocument/2006/relationships/hyperlink" Target="mailto:rmcmillen@spp.org" TargetMode="External"/><Relationship Id="rId124" Type="http://schemas.openxmlformats.org/officeDocument/2006/relationships/hyperlink" Target="mailto:mia.perez@ercot.com" TargetMode="External"/><Relationship Id="rId245" Type="http://schemas.openxmlformats.org/officeDocument/2006/relationships/hyperlink" Target="mailto:iyonna_griggs@lincolnelectric.com" TargetMode="External"/><Relationship Id="rId366" Type="http://schemas.openxmlformats.org/officeDocument/2006/relationships/hyperlink" Target="mailto:marketing@swengineers.com" TargetMode="External"/><Relationship Id="rId123" Type="http://schemas.openxmlformats.org/officeDocument/2006/relationships/hyperlink" Target="mailto:vincent.battles@elbitsystems-us.com" TargetMode="External"/><Relationship Id="rId244" Type="http://schemas.openxmlformats.org/officeDocument/2006/relationships/hyperlink" Target="mailto:vthomason@ltraengineers.com" TargetMode="External"/><Relationship Id="rId365" Type="http://schemas.openxmlformats.org/officeDocument/2006/relationships/hyperlink" Target="mailto:slb@nc3.com" TargetMode="External"/><Relationship Id="rId122" Type="http://schemas.openxmlformats.org/officeDocument/2006/relationships/hyperlink" Target="mailto:kspeasley@edg.net" TargetMode="External"/><Relationship Id="rId243" Type="http://schemas.openxmlformats.org/officeDocument/2006/relationships/hyperlink" Target="mailto:elizabeth.schmidt@lhoist.com" TargetMode="External"/><Relationship Id="rId364" Type="http://schemas.openxmlformats.org/officeDocument/2006/relationships/hyperlink" Target="mailto:will.cates@siemens-energy.com" TargetMode="External"/><Relationship Id="rId95" Type="http://schemas.openxmlformats.org/officeDocument/2006/relationships/hyperlink" Target="mailto:collins@nc3.com" TargetMode="External"/><Relationship Id="rId94" Type="http://schemas.openxmlformats.org/officeDocument/2006/relationships/hyperlink" Target="mailto:luke.seyfert@collierseng.com" TargetMode="External"/><Relationship Id="rId97" Type="http://schemas.openxmlformats.org/officeDocument/2006/relationships/hyperlink" Target="mailto:mcesana@consoreng.com" TargetMode="External"/><Relationship Id="rId96" Type="http://schemas.openxmlformats.org/officeDocument/2006/relationships/hyperlink" Target="mailto:irma.echeverria@conagra.com" TargetMode="External"/><Relationship Id="rId99" Type="http://schemas.openxmlformats.org/officeDocument/2006/relationships/hyperlink" Target="mailto:slovinglayfield@cranecpe.com" TargetMode="External"/><Relationship Id="rId98" Type="http://schemas.openxmlformats.org/officeDocument/2006/relationships/hyperlink" Target="mailto:angelica.harrell@contechnet.com" TargetMode="External"/><Relationship Id="rId91" Type="http://schemas.openxmlformats.org/officeDocument/2006/relationships/hyperlink" Target="mailto:drew@claymooreeng.com" TargetMode="External"/><Relationship Id="rId90" Type="http://schemas.openxmlformats.org/officeDocument/2006/relationships/hyperlink" Target="mailto:350sww.dpc.recruitment@us.af.mil" TargetMode="External"/><Relationship Id="rId93" Type="http://schemas.openxmlformats.org/officeDocument/2006/relationships/hyperlink" Target="mailto:houjun.jeon@cobbfendley.com" TargetMode="External"/><Relationship Id="rId92" Type="http://schemas.openxmlformats.org/officeDocument/2006/relationships/hyperlink" Target="mailto:HRSeguinSTexas@cmc.com" TargetMode="External"/><Relationship Id="rId118" Type="http://schemas.openxmlformats.org/officeDocument/2006/relationships/hyperlink" Target="mailto:mariana.paulo@dxpe.com" TargetMode="External"/><Relationship Id="rId239" Type="http://schemas.openxmlformats.org/officeDocument/2006/relationships/hyperlink" Target="mailto:stephanie.boddy@leidos.com" TargetMode="External"/><Relationship Id="rId117" Type="http://schemas.openxmlformats.org/officeDocument/2006/relationships/hyperlink" Target="mailto:mwilson@dtp.co" TargetMode="External"/><Relationship Id="rId238" Type="http://schemas.openxmlformats.org/officeDocument/2006/relationships/hyperlink" Target="mailto:tonell.broaders@lcra.org" TargetMode="External"/><Relationship Id="rId359" Type="http://schemas.openxmlformats.org/officeDocument/2006/relationships/hyperlink" Target="mailto:hhightower@shahsmith.com" TargetMode="External"/><Relationship Id="rId116" Type="http://schemas.openxmlformats.org/officeDocument/2006/relationships/hyperlink" Target="mailto:pmendiola@dunaway.com" TargetMode="External"/><Relationship Id="rId237" Type="http://schemas.openxmlformats.org/officeDocument/2006/relationships/hyperlink" Target="mailto:justus.calkins@lanmarkeng.net" TargetMode="External"/><Relationship Id="rId358" Type="http://schemas.openxmlformats.org/officeDocument/2006/relationships/hyperlink" Target="mailto:jhatten@secretariat-intl.com" TargetMode="External"/><Relationship Id="rId115" Type="http://schemas.openxmlformats.org/officeDocument/2006/relationships/hyperlink" Target="mailto:leticia.y.jimenez@dnv.com" TargetMode="External"/><Relationship Id="rId236" Type="http://schemas.openxmlformats.org/officeDocument/2006/relationships/hyperlink" Target="mailto:kkloesel@labattfood.com" TargetMode="External"/><Relationship Id="rId357" Type="http://schemas.openxmlformats.org/officeDocument/2006/relationships/hyperlink" Target="mailto:careerfair@sec.tamu.edu" TargetMode="External"/><Relationship Id="rId119" Type="http://schemas.openxmlformats.org/officeDocument/2006/relationships/hyperlink" Target="mailto:gcammisa@dynamicec.com" TargetMode="External"/><Relationship Id="rId110" Type="http://schemas.openxmlformats.org/officeDocument/2006/relationships/hyperlink" Target="mailto:teschenfelder@deltaairport.com" TargetMode="External"/><Relationship Id="rId231" Type="http://schemas.openxmlformats.org/officeDocument/2006/relationships/hyperlink" Target="mailto:claudio.yanezgallegos@global.komatsu" TargetMode="External"/><Relationship Id="rId352" Type="http://schemas.openxmlformats.org/officeDocument/2006/relationships/hyperlink" Target="mailto:ksejaspadilla@schnabel-eng.com" TargetMode="External"/><Relationship Id="rId230" Type="http://schemas.openxmlformats.org/officeDocument/2006/relationships/hyperlink" Target="mailto:cwarner@kleintools.com" TargetMode="External"/><Relationship Id="rId351" Type="http://schemas.openxmlformats.org/officeDocument/2006/relationships/hyperlink" Target="mailto:dharris@scheibeconsulting.com" TargetMode="External"/><Relationship Id="rId350" Type="http://schemas.openxmlformats.org/officeDocument/2006/relationships/hyperlink" Target="mailto:connie.yung@srs.gov" TargetMode="External"/><Relationship Id="rId114" Type="http://schemas.openxmlformats.org/officeDocument/2006/relationships/hyperlink" Target="mailto:tess.garbarino@de-simone.com" TargetMode="External"/><Relationship Id="rId235" Type="http://schemas.openxmlformats.org/officeDocument/2006/relationships/hyperlink" Target="mailto:l3harris@nc3.com" TargetMode="External"/><Relationship Id="rId356" Type="http://schemas.openxmlformats.org/officeDocument/2006/relationships/hyperlink" Target="mailto:jennifer.l.perrill@saic.com" TargetMode="External"/><Relationship Id="rId113" Type="http://schemas.openxmlformats.org/officeDocument/2006/relationships/hyperlink" Target="mailto:rachel.spaulding@de-simone.com" TargetMode="External"/><Relationship Id="rId234" Type="http://schemas.openxmlformats.org/officeDocument/2006/relationships/hyperlink" Target="mailto:mcahoe@l2engineering.com" TargetMode="External"/><Relationship Id="rId355" Type="http://schemas.openxmlformats.org/officeDocument/2006/relationships/hyperlink" Target="mailto:internships@selinc.com" TargetMode="External"/><Relationship Id="rId112" Type="http://schemas.openxmlformats.org/officeDocument/2006/relationships/hyperlink" Target="mailto:bbeatty@mays.tamu.edu" TargetMode="External"/><Relationship Id="rId233" Type="http://schemas.openxmlformats.org/officeDocument/2006/relationships/hyperlink" Target="mailto:brittany.patton@kubota.com" TargetMode="External"/><Relationship Id="rId354" Type="http://schemas.openxmlformats.org/officeDocument/2006/relationships/hyperlink" Target="mailto:apply@se-texas.com" TargetMode="External"/><Relationship Id="rId111" Type="http://schemas.openxmlformats.org/officeDocument/2006/relationships/hyperlink" Target="mailto:dvann@deltavinc.com" TargetMode="External"/><Relationship Id="rId232" Type="http://schemas.openxmlformats.org/officeDocument/2006/relationships/hyperlink" Target="mailto:contact@ktcivil.com" TargetMode="External"/><Relationship Id="rId353" Type="http://schemas.openxmlformats.org/officeDocument/2006/relationships/hyperlink" Target="mailto:andrew.hjort-michel@schnabel.com" TargetMode="External"/><Relationship Id="rId305" Type="http://schemas.openxmlformats.org/officeDocument/2006/relationships/hyperlink" Target="mailto:alexisbrown@packagingcorp.com" TargetMode="External"/><Relationship Id="rId426" Type="http://schemas.openxmlformats.org/officeDocument/2006/relationships/hyperlink" Target="mailto:asalas@vs-eng.com" TargetMode="External"/><Relationship Id="rId304" Type="http://schemas.openxmlformats.org/officeDocument/2006/relationships/hyperlink" Target="mailto:craig.willis@pnnl.gov" TargetMode="External"/><Relationship Id="rId425" Type="http://schemas.openxmlformats.org/officeDocument/2006/relationships/hyperlink" Target="mailto:mike_beem@vex.com" TargetMode="External"/><Relationship Id="rId303" Type="http://schemas.openxmlformats.org/officeDocument/2006/relationships/hyperlink" Target="mailto:cparsons@othon.com" TargetMode="External"/><Relationship Id="rId424" Type="http://schemas.openxmlformats.org/officeDocument/2006/relationships/hyperlink" Target="mailto:dduhe@venturegloballng.com" TargetMode="External"/><Relationship Id="rId302" Type="http://schemas.openxmlformats.org/officeDocument/2006/relationships/hyperlink" Target="mailto:mlopez@oscarordunoinc.com" TargetMode="External"/><Relationship Id="rId423" Type="http://schemas.openxmlformats.org/officeDocument/2006/relationships/hyperlink" Target="mailto:lcope@venturafoods.com" TargetMode="External"/><Relationship Id="rId309" Type="http://schemas.openxmlformats.org/officeDocument/2006/relationships/hyperlink" Target="mailto:mmaxwell@parkhill.com" TargetMode="External"/><Relationship Id="rId308" Type="http://schemas.openxmlformats.org/officeDocument/2006/relationships/hyperlink" Target="mailto:lstonE@parkhill.com" TargetMode="External"/><Relationship Id="rId429" Type="http://schemas.openxmlformats.org/officeDocument/2006/relationships/hyperlink" Target="mailto:cmichael@wcgrp.com" TargetMode="External"/><Relationship Id="rId307" Type="http://schemas.openxmlformats.org/officeDocument/2006/relationships/hyperlink" Target="mailto:alaufer@paradigmse.com" TargetMode="External"/><Relationship Id="rId428" Type="http://schemas.openxmlformats.org/officeDocument/2006/relationships/hyperlink" Target="mailto:cmuska@walkerpartners.com" TargetMode="External"/><Relationship Id="rId306" Type="http://schemas.openxmlformats.org/officeDocument/2006/relationships/hyperlink" Target="mailto:campusrecruiting@pape-dawson.com" TargetMode="External"/><Relationship Id="rId427" Type="http://schemas.openxmlformats.org/officeDocument/2006/relationships/hyperlink" Target="mailto:cory_garza@w-industries.com" TargetMode="External"/><Relationship Id="rId301" Type="http://schemas.openxmlformats.org/officeDocument/2006/relationships/hyperlink" Target="mailto:graciela.frausto@oq.com" TargetMode="External"/><Relationship Id="rId422" Type="http://schemas.openxmlformats.org/officeDocument/2006/relationships/hyperlink" Target="mailto:recruiting@valentpartners.com" TargetMode="External"/><Relationship Id="rId300" Type="http://schemas.openxmlformats.org/officeDocument/2006/relationships/hyperlink" Target="mailto:derek.aquiningoc@oncor.com" TargetMode="External"/><Relationship Id="rId421" Type="http://schemas.openxmlformats.org/officeDocument/2006/relationships/hyperlink" Target="mailto:alice.epley@valaris.com" TargetMode="External"/><Relationship Id="rId420" Type="http://schemas.openxmlformats.org/officeDocument/2006/relationships/hyperlink" Target="mailto:amanda.bermea@usaa.com" TargetMode="External"/><Relationship Id="rId415" Type="http://schemas.openxmlformats.org/officeDocument/2006/relationships/hyperlink" Target="mailto:vegar@tsmc.com" TargetMode="External"/><Relationship Id="rId414" Type="http://schemas.openxmlformats.org/officeDocument/2006/relationships/hyperlink" Target="mailto:cordell.cielencki@trimasyscontrol.com" TargetMode="External"/><Relationship Id="rId413" Type="http://schemas.openxmlformats.org/officeDocument/2006/relationships/hyperlink" Target="mailto:jstonum@trihydro.com" TargetMode="External"/><Relationship Id="rId412" Type="http://schemas.openxmlformats.org/officeDocument/2006/relationships/hyperlink" Target="mailto:cawindham@transystems.com" TargetMode="External"/><Relationship Id="rId419" Type="http://schemas.openxmlformats.org/officeDocument/2006/relationships/hyperlink" Target="mailto:kasey.e.krall@usace.army.mil" TargetMode="External"/><Relationship Id="rId418" Type="http://schemas.openxmlformats.org/officeDocument/2006/relationships/hyperlink" Target="mailto:universityrelations@usps.gov" TargetMode="External"/><Relationship Id="rId417" Type="http://schemas.openxmlformats.org/officeDocument/2006/relationships/hyperlink" Target="mailto:sivertsonkl@state.gov" TargetMode="External"/><Relationship Id="rId416" Type="http://schemas.openxmlformats.org/officeDocument/2006/relationships/hyperlink" Target="mailto:annak@unifyes.com" TargetMode="External"/><Relationship Id="rId411" Type="http://schemas.openxmlformats.org/officeDocument/2006/relationships/hyperlink" Target="mailto:amanda.davis@tranetechnologies.com" TargetMode="External"/><Relationship Id="rId410" Type="http://schemas.openxmlformats.org/officeDocument/2006/relationships/hyperlink" Target="mailto:chris.finney@toshiba.com" TargetMode="External"/><Relationship Id="rId206" Type="http://schemas.openxmlformats.org/officeDocument/2006/relationships/hyperlink" Target="mailto:opusa.recruiting@ineos.com" TargetMode="External"/><Relationship Id="rId327" Type="http://schemas.openxmlformats.org/officeDocument/2006/relationships/hyperlink" Target="mailto:recruiting@quiddity.com" TargetMode="External"/><Relationship Id="rId205" Type="http://schemas.openxmlformats.org/officeDocument/2006/relationships/hyperlink" Target="mailto:eric.schrock@indie.energy" TargetMode="External"/><Relationship Id="rId326" Type="http://schemas.openxmlformats.org/officeDocument/2006/relationships/hyperlink" Target="mailto:courtney.schutte@qtsdatacenters.com" TargetMode="External"/><Relationship Id="rId204" Type="http://schemas.openxmlformats.org/officeDocument/2006/relationships/hyperlink" Target="mailto:marketing@ieaworld.com" TargetMode="External"/><Relationship Id="rId325" Type="http://schemas.openxmlformats.org/officeDocument/2006/relationships/hyperlink" Target="mailto:recruiter@puc.texas.gov" TargetMode="External"/><Relationship Id="rId203" Type="http://schemas.openxmlformats.org/officeDocument/2006/relationships/hyperlink" Target="mailto:marketing@idseg.com" TargetMode="External"/><Relationship Id="rId324" Type="http://schemas.openxmlformats.org/officeDocument/2006/relationships/hyperlink" Target="mailto:skliebert@prim.com" TargetMode="External"/><Relationship Id="rId209" Type="http://schemas.openxmlformats.org/officeDocument/2006/relationships/hyperlink" Target="mailto:xmedina@ie-services.com" TargetMode="External"/><Relationship Id="rId208" Type="http://schemas.openxmlformats.org/officeDocument/2006/relationships/hyperlink" Target="mailto:officesupport@integritystructural.com" TargetMode="External"/><Relationship Id="rId329" Type="http://schemas.openxmlformats.org/officeDocument/2006/relationships/hyperlink" Target="mailto:pharp@ragleinc.com" TargetMode="External"/><Relationship Id="rId207" Type="http://schemas.openxmlformats.org/officeDocument/2006/relationships/hyperlink" Target="mailto:wtaylor@infinitymep.com" TargetMode="External"/><Relationship Id="rId328" Type="http://schemas.openxmlformats.org/officeDocument/2006/relationships/hyperlink" Target="mailto:tguevara@rgmiller.com" TargetMode="External"/><Relationship Id="rId440" Type="http://schemas.openxmlformats.org/officeDocument/2006/relationships/hyperlink" Target="mailto:kameron.raburn@wsp.com" TargetMode="External"/><Relationship Id="rId202" Type="http://schemas.openxmlformats.org/officeDocument/2006/relationships/hyperlink" Target="mailto:llutz@idtech.com" TargetMode="External"/><Relationship Id="rId323" Type="http://schemas.openxmlformats.org/officeDocument/2006/relationships/hyperlink" Target="mailto:ldiller@stratusteam.com" TargetMode="External"/><Relationship Id="rId444" Type="http://schemas.openxmlformats.org/officeDocument/2006/relationships/drawing" Target="../drawings/drawing7.xml"/><Relationship Id="rId201" Type="http://schemas.openxmlformats.org/officeDocument/2006/relationships/hyperlink" Target="mailto:ghellya@us.ibm.com" TargetMode="External"/><Relationship Id="rId322" Type="http://schemas.openxmlformats.org/officeDocument/2006/relationships/hyperlink" Target="mailto:lhamilton@preload.com" TargetMode="External"/><Relationship Id="rId443" Type="http://schemas.openxmlformats.org/officeDocument/2006/relationships/hyperlink" Target="mailto:becky.lemon@ztsystems.com" TargetMode="External"/><Relationship Id="rId200" Type="http://schemas.openxmlformats.org/officeDocument/2006/relationships/hyperlink" Target="mailto:afisher@hwlochner.com" TargetMode="External"/><Relationship Id="rId321" Type="http://schemas.openxmlformats.org/officeDocument/2006/relationships/hyperlink" Target="mailto:collegerecruiting@powereng.com" TargetMode="External"/><Relationship Id="rId442" Type="http://schemas.openxmlformats.org/officeDocument/2006/relationships/hyperlink" Target="mailto:keith@yalgoengineering.com" TargetMode="External"/><Relationship Id="rId320" Type="http://schemas.openxmlformats.org/officeDocument/2006/relationships/hyperlink" Target="mailto:Hiram.hurd@polkmechanical.com" TargetMode="External"/><Relationship Id="rId441" Type="http://schemas.openxmlformats.org/officeDocument/2006/relationships/hyperlink" Target="mailto:rschrock@wylieeng.com" TargetMode="External"/><Relationship Id="rId316" Type="http://schemas.openxmlformats.org/officeDocument/2006/relationships/hyperlink" Target="mailto:rormiston@petsystems.com" TargetMode="External"/><Relationship Id="rId437" Type="http://schemas.openxmlformats.org/officeDocument/2006/relationships/hyperlink" Target="mailto:erin.niebylski@worley.com" TargetMode="External"/><Relationship Id="rId315" Type="http://schemas.openxmlformats.org/officeDocument/2006/relationships/hyperlink" Target="mailto:ashley.britton@permianres.com" TargetMode="External"/><Relationship Id="rId436" Type="http://schemas.openxmlformats.org/officeDocument/2006/relationships/hyperlink" Target="mailto:tami.kosters@woodplc.com" TargetMode="External"/><Relationship Id="rId314" Type="http://schemas.openxmlformats.org/officeDocument/2006/relationships/hyperlink" Target="mailto:pepsico@nc3.com" TargetMode="External"/><Relationship Id="rId435" Type="http://schemas.openxmlformats.org/officeDocument/2006/relationships/hyperlink" Target="mailto:bchurchill@wettllc.com" TargetMode="External"/><Relationship Id="rId313" Type="http://schemas.openxmlformats.org/officeDocument/2006/relationships/hyperlink" Target="mailto:emily.condara@peloton.com" TargetMode="External"/><Relationship Id="rId434" Type="http://schemas.openxmlformats.org/officeDocument/2006/relationships/hyperlink" Target="mailto:kbowie@wrallp.com" TargetMode="External"/><Relationship Id="rId319" Type="http://schemas.openxmlformats.org/officeDocument/2006/relationships/hyperlink" Target="mailto:aflister@pndengineers.com" TargetMode="External"/><Relationship Id="rId318" Type="http://schemas.openxmlformats.org/officeDocument/2006/relationships/hyperlink" Target="mailto:mmoser@plummer.com" TargetMode="External"/><Relationship Id="rId439" Type="http://schemas.openxmlformats.org/officeDocument/2006/relationships/hyperlink" Target="mailto:ecullum@wsbeng.com" TargetMode="External"/><Relationship Id="rId317" Type="http://schemas.openxmlformats.org/officeDocument/2006/relationships/hyperlink" Target="mailto:energycareers@pike.com" TargetMode="External"/><Relationship Id="rId438" Type="http://schemas.openxmlformats.org/officeDocument/2006/relationships/hyperlink" Target="mailto:ksell@wrightengineers.com" TargetMode="External"/><Relationship Id="rId312" Type="http://schemas.openxmlformats.org/officeDocument/2006/relationships/hyperlink" Target="mailto:afedorenko@peagroup.com" TargetMode="External"/><Relationship Id="rId433" Type="http://schemas.openxmlformats.org/officeDocument/2006/relationships/hyperlink" Target="mailto:cluke@wga-llp.com" TargetMode="External"/><Relationship Id="rId311" Type="http://schemas.openxmlformats.org/officeDocument/2006/relationships/hyperlink" Target="mailto:tony.talamantes@paycomonline.com" TargetMode="External"/><Relationship Id="rId432" Type="http://schemas.openxmlformats.org/officeDocument/2006/relationships/hyperlink" Target="mailto:careers@westwoodps.com" TargetMode="External"/><Relationship Id="rId310" Type="http://schemas.openxmlformats.org/officeDocument/2006/relationships/hyperlink" Target="mailto:adam.trimble@nextierofs.com" TargetMode="External"/><Relationship Id="rId431" Type="http://schemas.openxmlformats.org/officeDocument/2006/relationships/hyperlink" Target="mailto:Donna.Harrell@westwoodps.com" TargetMode="External"/><Relationship Id="rId430" Type="http://schemas.openxmlformats.org/officeDocument/2006/relationships/hyperlink" Target="mailto:tglover@wwebber.com"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pageSetUpPr/>
  </sheetPr>
  <sheetViews>
    <sheetView workbookViewId="0"/>
  </sheetViews>
  <sheetFormatPr customHeight="1" defaultColWidth="12.63" defaultRowHeight="15.0"/>
  <cols>
    <col customWidth="1" min="1" max="26" width="12.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2" t="s">
        <v>0</v>
      </c>
      <c r="C3" s="3"/>
      <c r="D3" s="4" t="s">
        <v>1</v>
      </c>
      <c r="E3" s="5"/>
      <c r="F3" s="5"/>
      <c r="G3" s="5"/>
      <c r="H3" s="6"/>
      <c r="I3" s="7" t="s">
        <v>2</v>
      </c>
      <c r="J3" s="8"/>
      <c r="K3" s="8"/>
      <c r="L3" s="8"/>
      <c r="M3" s="8"/>
      <c r="N3" s="9"/>
      <c r="O3" s="1"/>
      <c r="P3" s="1"/>
      <c r="Q3" s="1"/>
      <c r="R3" s="1"/>
      <c r="S3" s="1"/>
      <c r="T3" s="1"/>
      <c r="U3" s="1"/>
      <c r="V3" s="1"/>
      <c r="W3" s="1"/>
      <c r="X3" s="1"/>
      <c r="Y3" s="1"/>
      <c r="Z3" s="1"/>
    </row>
    <row r="4" ht="5.25" customHeight="1">
      <c r="A4" s="1"/>
      <c r="B4" s="10"/>
      <c r="C4" s="11"/>
      <c r="D4" s="11"/>
      <c r="E4" s="11"/>
      <c r="F4" s="11"/>
      <c r="G4" s="11"/>
      <c r="H4" s="11"/>
      <c r="I4" s="11"/>
      <c r="J4" s="11"/>
      <c r="K4" s="11"/>
      <c r="L4" s="11"/>
      <c r="M4" s="11"/>
      <c r="N4" s="12"/>
      <c r="O4" s="1"/>
      <c r="P4" s="1"/>
      <c r="Q4" s="1"/>
      <c r="R4" s="1"/>
      <c r="S4" s="1"/>
      <c r="T4" s="1"/>
      <c r="U4" s="1"/>
      <c r="V4" s="1"/>
      <c r="W4" s="1"/>
      <c r="X4" s="1"/>
      <c r="Y4" s="1"/>
      <c r="Z4" s="1"/>
    </row>
    <row r="5">
      <c r="A5" s="1"/>
      <c r="B5" s="13"/>
      <c r="C5" s="14"/>
      <c r="D5" s="14"/>
      <c r="E5" s="14"/>
      <c r="F5" s="14"/>
      <c r="G5" s="14"/>
      <c r="H5" s="14"/>
      <c r="I5" s="14"/>
      <c r="J5" s="14"/>
      <c r="K5" s="14"/>
      <c r="L5" s="14"/>
      <c r="M5" s="14"/>
      <c r="N5" s="15"/>
      <c r="O5" s="1"/>
      <c r="P5" s="1"/>
      <c r="Q5" s="1"/>
      <c r="R5" s="1"/>
      <c r="S5" s="1"/>
      <c r="T5" s="1"/>
      <c r="U5" s="1"/>
      <c r="V5" s="1"/>
      <c r="W5" s="1"/>
      <c r="X5" s="1"/>
      <c r="Y5" s="1"/>
      <c r="Z5" s="1"/>
    </row>
    <row r="6">
      <c r="A6" s="1"/>
      <c r="B6" s="13"/>
      <c r="C6" s="16" t="s">
        <v>3</v>
      </c>
      <c r="D6" s="5"/>
      <c r="E6" s="6"/>
      <c r="F6" s="14"/>
      <c r="G6" s="16" t="s">
        <v>4</v>
      </c>
      <c r="H6" s="6"/>
      <c r="I6" s="14"/>
      <c r="J6" s="17" t="s">
        <v>5</v>
      </c>
      <c r="K6" s="9"/>
      <c r="L6" s="14"/>
      <c r="M6" s="14"/>
      <c r="N6" s="15"/>
      <c r="O6" s="1"/>
      <c r="P6" s="1"/>
      <c r="Q6" s="1"/>
      <c r="R6" s="1"/>
      <c r="S6" s="1"/>
      <c r="T6" s="1"/>
      <c r="U6" s="1"/>
      <c r="V6" s="1"/>
      <c r="W6" s="1"/>
      <c r="X6" s="1"/>
      <c r="Y6" s="1"/>
      <c r="Z6" s="1"/>
    </row>
    <row r="7">
      <c r="A7" s="1"/>
      <c r="B7" s="13"/>
      <c r="C7" s="18" t="s">
        <v>6</v>
      </c>
      <c r="D7" s="19" t="str">
        <f t="array" ref="D7">INDEX(CompanyList!B:B, MATCH(D3, CompanyList!A:A, 0))</f>
        <v>Private</v>
      </c>
      <c r="E7" s="20"/>
      <c r="F7" s="21"/>
      <c r="G7" s="22" t="str">
        <f t="array" ref="G7">INDEX(CompanyList!R:R, MATCH($D$3, CompanyList!A:A, 0))</f>
        <v>Yes</v>
      </c>
      <c r="H7" s="6"/>
      <c r="I7" s="21"/>
      <c r="J7" s="23" t="s">
        <v>7</v>
      </c>
      <c r="K7" s="24" t="str">
        <f t="array" ref="K7">INDEX(CompanyList!O:O, MATCH($D$3, CompanyList!A:A, 0))</f>
        <v>#VALUE!</v>
      </c>
      <c r="L7" s="21"/>
      <c r="M7" s="21"/>
      <c r="N7" s="25"/>
      <c r="O7" s="1"/>
      <c r="P7" s="1"/>
      <c r="Q7" s="1"/>
      <c r="R7" s="1"/>
      <c r="S7" s="1"/>
      <c r="T7" s="1"/>
      <c r="U7" s="1"/>
      <c r="V7" s="1"/>
      <c r="W7" s="1"/>
      <c r="X7" s="1"/>
      <c r="Y7" s="1"/>
      <c r="Z7" s="1"/>
    </row>
    <row r="8">
      <c r="A8" s="1"/>
      <c r="B8" s="13"/>
      <c r="C8" s="26" t="s">
        <v>8</v>
      </c>
      <c r="D8" s="27" t="str">
        <f t="array" ref="D8">INDEX(CompanyList!C:C, MATCH($D$3, CompanyList!A:A, 0))</f>
        <v/>
      </c>
      <c r="E8" s="28" t="s">
        <v>9</v>
      </c>
      <c r="F8" s="21"/>
      <c r="G8" s="21"/>
      <c r="H8" s="21"/>
      <c r="I8" s="21"/>
      <c r="J8" s="29" t="s">
        <v>10</v>
      </c>
      <c r="K8" s="28" t="str">
        <f t="array" ref="K8">INDEX(CompanyList!P:P, MATCH($D$3, CompanyList!A:A, 0))</f>
        <v>#VALUE!</v>
      </c>
      <c r="L8" s="21"/>
      <c r="M8" s="21"/>
      <c r="N8" s="25"/>
      <c r="O8" s="1"/>
      <c r="P8" s="1"/>
      <c r="Q8" s="1"/>
      <c r="R8" s="1"/>
      <c r="S8" s="1"/>
      <c r="T8" s="1"/>
      <c r="U8" s="1"/>
      <c r="V8" s="1"/>
      <c r="W8" s="1"/>
      <c r="X8" s="1"/>
      <c r="Y8" s="1"/>
      <c r="Z8" s="1"/>
    </row>
    <row r="9">
      <c r="A9" s="1"/>
      <c r="B9" s="13"/>
      <c r="C9" s="26" t="s">
        <v>11</v>
      </c>
      <c r="D9" s="27" t="str">
        <f t="array" ref="D9">INDEX(CompanyList!E:E, MATCH($D$3, CompanyList!A:A, 0))</f>
        <v/>
      </c>
      <c r="E9" s="28" t="s">
        <v>12</v>
      </c>
      <c r="F9" s="21"/>
      <c r="G9" s="21"/>
      <c r="H9" s="21"/>
      <c r="I9" s="21"/>
      <c r="J9" s="30" t="s">
        <v>13</v>
      </c>
      <c r="K9" s="31" t="str">
        <f t="array" ref="K9">INDEX(CompanyList!Q:Q, MATCH($D$3, CompanyList!A:A, 0))</f>
        <v>#VALUE!</v>
      </c>
      <c r="L9" s="21"/>
      <c r="M9" s="21"/>
      <c r="N9" s="25"/>
      <c r="O9" s="1"/>
      <c r="P9" s="1"/>
      <c r="Q9" s="1"/>
      <c r="R9" s="1"/>
      <c r="S9" s="1"/>
      <c r="T9" s="1"/>
      <c r="U9" s="1"/>
      <c r="V9" s="1"/>
      <c r="W9" s="1"/>
      <c r="X9" s="1"/>
      <c r="Y9" s="1"/>
      <c r="Z9" s="1"/>
    </row>
    <row r="10">
      <c r="A10" s="1"/>
      <c r="B10" s="13"/>
      <c r="C10" s="32" t="s">
        <v>14</v>
      </c>
      <c r="D10" s="33" t="str">
        <f t="array" ref="D10">INDEX(CompanyList!D:D, MATCH($D$3, CompanyList!A:A, 0))</f>
        <v/>
      </c>
      <c r="E10" s="31"/>
      <c r="F10" s="21"/>
      <c r="G10" s="21"/>
      <c r="H10" s="21"/>
      <c r="I10" s="21"/>
      <c r="J10" s="21"/>
      <c r="K10" s="21"/>
      <c r="L10" s="21"/>
      <c r="M10" s="21"/>
      <c r="N10" s="25"/>
      <c r="O10" s="1"/>
      <c r="P10" s="1"/>
      <c r="Q10" s="1"/>
      <c r="R10" s="1"/>
      <c r="S10" s="1"/>
      <c r="T10" s="1"/>
      <c r="U10" s="1"/>
      <c r="V10" s="1"/>
      <c r="W10" s="1"/>
      <c r="X10" s="1"/>
      <c r="Y10" s="1"/>
      <c r="Z10" s="1"/>
    </row>
    <row r="11">
      <c r="A11" s="1"/>
      <c r="B11" s="34"/>
      <c r="C11" s="21"/>
      <c r="D11" s="21"/>
      <c r="E11" s="21"/>
      <c r="F11" s="21"/>
      <c r="G11" s="21"/>
      <c r="H11" s="21"/>
      <c r="I11" s="21"/>
      <c r="J11" s="16" t="s">
        <v>15</v>
      </c>
      <c r="K11" s="6"/>
      <c r="L11" s="21"/>
      <c r="M11" s="21"/>
      <c r="N11" s="25"/>
      <c r="O11" s="1"/>
      <c r="P11" s="1"/>
      <c r="Q11" s="1"/>
      <c r="R11" s="1"/>
      <c r="S11" s="1"/>
      <c r="T11" s="1"/>
      <c r="U11" s="1"/>
      <c r="V11" s="1"/>
      <c r="W11" s="1"/>
      <c r="X11" s="1"/>
      <c r="Y11" s="1"/>
      <c r="Z11" s="1"/>
    </row>
    <row r="12">
      <c r="A12" s="1"/>
      <c r="B12" s="34"/>
      <c r="C12" s="21"/>
      <c r="D12" s="21"/>
      <c r="E12" s="21"/>
      <c r="F12" s="21"/>
      <c r="G12" s="21"/>
      <c r="H12" s="21"/>
      <c r="I12" s="21"/>
      <c r="J12" s="35" t="s">
        <v>16</v>
      </c>
      <c r="K12" s="36"/>
      <c r="L12" s="21"/>
      <c r="M12" s="21"/>
      <c r="N12" s="25"/>
      <c r="O12" s="1"/>
      <c r="P12" s="1"/>
      <c r="Q12" s="1"/>
      <c r="R12" s="1"/>
      <c r="S12" s="1"/>
      <c r="T12" s="1"/>
      <c r="U12" s="1"/>
      <c r="V12" s="1"/>
      <c r="W12" s="1"/>
      <c r="X12" s="1"/>
      <c r="Y12" s="1"/>
      <c r="Z12" s="1"/>
    </row>
    <row r="13">
      <c r="A13" s="1"/>
      <c r="B13" s="13"/>
      <c r="C13" s="17" t="s">
        <v>17</v>
      </c>
      <c r="D13" s="8"/>
      <c r="E13" s="8"/>
      <c r="F13" s="8"/>
      <c r="G13" s="8"/>
      <c r="H13" s="9"/>
      <c r="I13" s="21"/>
      <c r="J13" s="37"/>
      <c r="K13" s="38"/>
      <c r="L13" s="21"/>
      <c r="M13" s="21"/>
      <c r="N13" s="25"/>
      <c r="O13" s="1"/>
      <c r="P13" s="1"/>
      <c r="Q13" s="1"/>
      <c r="R13" s="1"/>
      <c r="S13" s="1"/>
      <c r="T13" s="1"/>
      <c r="U13" s="1"/>
      <c r="V13" s="1"/>
      <c r="W13" s="1"/>
      <c r="X13" s="1"/>
      <c r="Y13" s="1"/>
      <c r="Z13" s="1"/>
    </row>
    <row r="14">
      <c r="A14" s="1"/>
      <c r="B14" s="13"/>
      <c r="C14" s="39"/>
      <c r="D14" s="40" t="s">
        <v>18</v>
      </c>
      <c r="E14" s="40" t="s">
        <v>19</v>
      </c>
      <c r="F14" s="40" t="s">
        <v>20</v>
      </c>
      <c r="G14" s="40" t="s">
        <v>21</v>
      </c>
      <c r="H14" s="41" t="s">
        <v>22</v>
      </c>
      <c r="I14" s="21"/>
      <c r="J14" s="37"/>
      <c r="K14" s="38"/>
      <c r="L14" s="21"/>
      <c r="M14" s="21"/>
      <c r="N14" s="25"/>
      <c r="O14" s="1"/>
      <c r="P14" s="1"/>
      <c r="Q14" s="1"/>
      <c r="R14" s="1"/>
      <c r="S14" s="1"/>
      <c r="T14" s="1"/>
      <c r="U14" s="1"/>
      <c r="V14" s="1"/>
      <c r="W14" s="1"/>
      <c r="X14" s="1"/>
      <c r="Y14" s="1"/>
      <c r="Z14" s="1"/>
    </row>
    <row r="15">
      <c r="A15" s="1"/>
      <c r="B15" s="13"/>
      <c r="C15" s="42" t="s">
        <v>23</v>
      </c>
      <c r="D15" s="43" t="str">
        <f t="array" ref="D15">INDEX(CompanyList!AA:AA, MATCH($D$3, CompanyList!A:A, 0))</f>
        <v>Yes</v>
      </c>
      <c r="E15" s="43" t="str">
        <f t="array" ref="E15">INDEX(CompanyList!Y:Y, MATCH($D$3, CompanyList!$A:$A, 0))</f>
        <v>Yes</v>
      </c>
      <c r="F15" s="44" t="str">
        <f t="array" ref="F15">INDEX(CompanyList!W:W, MATCH($D$3, CompanyList!$A:$A, 0))</f>
        <v>Yes</v>
      </c>
      <c r="G15" s="44" t="str">
        <f t="array" ref="G15">INDEX(CompanyList!U:U, MATCH($D$3, CompanyList!$A:$A, 0))</f>
        <v>Yes</v>
      </c>
      <c r="H15" s="28" t="str">
        <f t="array" ref="H15">INDEX(CompanyList!S:S, MATCH($D$3, CompanyList!$A:$A, 0))</f>
        <v>Yes</v>
      </c>
      <c r="I15" s="21"/>
      <c r="J15" s="37"/>
      <c r="K15" s="38"/>
      <c r="L15" s="21"/>
      <c r="M15" s="21"/>
      <c r="N15" s="25"/>
      <c r="O15" s="1"/>
      <c r="P15" s="1"/>
      <c r="Q15" s="1"/>
      <c r="R15" s="1"/>
      <c r="S15" s="1"/>
      <c r="T15" s="1"/>
      <c r="U15" s="1"/>
      <c r="V15" s="1"/>
      <c r="W15" s="1"/>
      <c r="X15" s="1"/>
      <c r="Y15" s="1"/>
      <c r="Z15" s="1"/>
    </row>
    <row r="16">
      <c r="A16" s="1"/>
      <c r="B16" s="13"/>
      <c r="C16" s="42" t="s">
        <v>24</v>
      </c>
      <c r="D16" s="43" t="str">
        <f t="array" ref="D16">INDEX(CompanyList!AB:AB, MATCH($D$3, CompanyList!A:A, 0))</f>
        <v>Basic Two-Day [$2000.00]</v>
      </c>
      <c r="E16" s="44" t="str">
        <f t="array" ref="E16">INDEX(CompanyList!Z:Z, MATCH($D$3, CompanyList!$A:$A, 0))</f>
        <v>Basic One-Day: Thursday, September 5th [$1000.00]</v>
      </c>
      <c r="F16" s="44" t="str">
        <f t="array" ref="F16">INDEX(CompanyList!X:X, MATCH($D$3, CompanyList!$A:$A, 0))</f>
        <v>Basic One-Day: Thursday, January 23rd [$1000.00]</v>
      </c>
      <c r="G16" s="44" t="str">
        <f t="array" ref="G16">INDEX(CompanyList!V:V, MATCH($D$3, CompanyList!$A:$A, 0))</f>
        <v>Basic One-Day: Thursday, September 11th [$1000.00]</v>
      </c>
      <c r="H16" s="28" t="str">
        <f t="array" ref="H16">INDEX(CompanyList!T:T, MATCH($D$3, CompanyList!$A:$A, 0))</f>
        <v>Basic Two-Day [$2000.00]</v>
      </c>
      <c r="I16" s="21"/>
      <c r="J16" s="37"/>
      <c r="K16" s="38"/>
      <c r="L16" s="21"/>
      <c r="M16" s="21"/>
      <c r="N16" s="25"/>
      <c r="O16" s="1"/>
      <c r="P16" s="1"/>
      <c r="Q16" s="1"/>
      <c r="R16" s="1"/>
      <c r="S16" s="1"/>
      <c r="T16" s="1"/>
      <c r="U16" s="1"/>
      <c r="V16" s="1"/>
      <c r="W16" s="1"/>
      <c r="X16" s="1"/>
      <c r="Y16" s="1"/>
      <c r="Z16" s="1"/>
    </row>
    <row r="17">
      <c r="A17" s="1"/>
      <c r="B17" s="13"/>
      <c r="C17" s="45" t="s">
        <v>25</v>
      </c>
      <c r="D17" s="33">
        <f t="array" ref="D17">INDEX(CompanyList!J:J, MATCH($D$3, CompanyList!A:A, 0))</f>
        <v>0</v>
      </c>
      <c r="E17" s="33">
        <f t="array" ref="E17">INDEX(CompanyList!I:I, MATCH($D$3, CompanyList!$A:$A, 0))</f>
        <v>0</v>
      </c>
      <c r="F17" s="33">
        <f t="array" ref="F17">INDEX(CompanyList!H:H, MATCH($D$3, CompanyList!$A:$A, 0))</f>
        <v>0</v>
      </c>
      <c r="G17" s="33">
        <f t="array" ref="G17">INDEX(CompanyList!G:G, MATCH($D$3, CompanyList!$A:$A, 0))</f>
        <v>0</v>
      </c>
      <c r="H17" s="31">
        <f t="array" ref="H17">INDEX(CompanyList!F:F, MATCH($D$3, CompanyList!$A:$A, 0))</f>
        <v>0</v>
      </c>
      <c r="I17" s="21"/>
      <c r="J17" s="46"/>
      <c r="K17" s="47"/>
      <c r="L17" s="21"/>
      <c r="M17" s="21"/>
      <c r="N17" s="25"/>
      <c r="O17" s="1"/>
      <c r="P17" s="1"/>
      <c r="Q17" s="1"/>
      <c r="R17" s="1"/>
      <c r="S17" s="1"/>
      <c r="T17" s="1"/>
      <c r="U17" s="1"/>
      <c r="V17" s="1"/>
      <c r="W17" s="1"/>
      <c r="X17" s="1"/>
      <c r="Y17" s="1"/>
      <c r="Z17" s="1"/>
    </row>
    <row r="18">
      <c r="A18" s="1"/>
      <c r="B18" s="34"/>
      <c r="C18" s="21"/>
      <c r="D18" s="21"/>
      <c r="E18" s="21"/>
      <c r="F18" s="21"/>
      <c r="G18" s="21"/>
      <c r="H18" s="21"/>
      <c r="I18" s="21"/>
      <c r="J18" s="21"/>
      <c r="K18" s="21"/>
      <c r="L18" s="21"/>
      <c r="M18" s="21"/>
      <c r="N18" s="25"/>
      <c r="O18" s="1"/>
      <c r="P18" s="1"/>
      <c r="Q18" s="1"/>
      <c r="R18" s="1"/>
      <c r="S18" s="1"/>
      <c r="T18" s="1"/>
      <c r="U18" s="1"/>
      <c r="V18" s="1"/>
      <c r="W18" s="1"/>
      <c r="X18" s="1"/>
      <c r="Y18" s="1"/>
      <c r="Z18" s="1"/>
    </row>
    <row r="19">
      <c r="A19" s="1"/>
      <c r="B19" s="34"/>
      <c r="C19" s="21"/>
      <c r="D19" s="21"/>
      <c r="E19" s="21"/>
      <c r="F19" s="21"/>
      <c r="G19" s="21"/>
      <c r="H19" s="21"/>
      <c r="I19" s="21"/>
      <c r="J19" s="21"/>
      <c r="K19" s="21"/>
      <c r="L19" s="21"/>
      <c r="M19" s="21"/>
      <c r="N19" s="25"/>
      <c r="O19" s="1"/>
      <c r="P19" s="1"/>
      <c r="Q19" s="1"/>
      <c r="R19" s="1"/>
      <c r="S19" s="1"/>
      <c r="T19" s="1"/>
      <c r="U19" s="1"/>
      <c r="V19" s="1"/>
      <c r="W19" s="1"/>
      <c r="X19" s="1"/>
      <c r="Y19" s="1"/>
      <c r="Z19" s="1"/>
    </row>
    <row r="20">
      <c r="A20" s="1"/>
      <c r="B20" s="34"/>
      <c r="C20" s="21"/>
      <c r="D20" s="21"/>
      <c r="E20" s="21"/>
      <c r="F20" s="21"/>
      <c r="G20" s="21"/>
      <c r="H20" s="21"/>
      <c r="I20" s="21"/>
      <c r="J20" s="21"/>
      <c r="K20" s="21"/>
      <c r="L20" s="21"/>
      <c r="M20" s="21"/>
      <c r="N20" s="25"/>
      <c r="O20" s="1"/>
      <c r="P20" s="1"/>
      <c r="Q20" s="1"/>
      <c r="R20" s="1"/>
      <c r="S20" s="1"/>
      <c r="T20" s="1"/>
      <c r="U20" s="1"/>
      <c r="V20" s="1"/>
      <c r="W20" s="1"/>
      <c r="X20" s="1"/>
      <c r="Y20" s="1"/>
      <c r="Z20" s="1"/>
    </row>
    <row r="21" ht="15.75" customHeight="1">
      <c r="A21" s="1"/>
      <c r="B21" s="34"/>
      <c r="C21" s="21"/>
      <c r="D21" s="21"/>
      <c r="E21" s="21"/>
      <c r="F21" s="21"/>
      <c r="G21" s="21"/>
      <c r="H21" s="21"/>
      <c r="I21" s="21"/>
      <c r="J21" s="21"/>
      <c r="K21" s="21"/>
      <c r="L21" s="21"/>
      <c r="M21" s="21"/>
      <c r="N21" s="25"/>
      <c r="O21" s="1"/>
      <c r="P21" s="1"/>
      <c r="Q21" s="1"/>
      <c r="R21" s="1"/>
      <c r="S21" s="1"/>
      <c r="T21" s="1"/>
      <c r="U21" s="1"/>
      <c r="V21" s="1"/>
      <c r="W21" s="1"/>
      <c r="X21" s="1"/>
      <c r="Y21" s="1"/>
      <c r="Z21" s="1"/>
    </row>
    <row r="22" ht="15.75" customHeight="1">
      <c r="A22" s="1"/>
      <c r="B22" s="34"/>
      <c r="C22" s="21"/>
      <c r="D22" s="21"/>
      <c r="E22" s="21"/>
      <c r="F22" s="21"/>
      <c r="G22" s="21"/>
      <c r="H22" s="21"/>
      <c r="I22" s="21"/>
      <c r="J22" s="21"/>
      <c r="K22" s="21"/>
      <c r="L22" s="21"/>
      <c r="M22" s="21"/>
      <c r="N22" s="25"/>
      <c r="O22" s="1"/>
      <c r="P22" s="1"/>
      <c r="Q22" s="1"/>
      <c r="R22" s="1"/>
      <c r="S22" s="1"/>
      <c r="T22" s="1"/>
      <c r="U22" s="1"/>
      <c r="V22" s="1"/>
      <c r="W22" s="1"/>
      <c r="X22" s="1"/>
      <c r="Y22" s="1"/>
      <c r="Z22" s="1"/>
    </row>
    <row r="23" ht="15.75" customHeight="1">
      <c r="A23" s="1"/>
      <c r="B23" s="34"/>
      <c r="C23" s="21"/>
      <c r="D23" s="21"/>
      <c r="E23" s="21"/>
      <c r="F23" s="21"/>
      <c r="G23" s="21"/>
      <c r="H23" s="21"/>
      <c r="I23" s="21"/>
      <c r="J23" s="21"/>
      <c r="K23" s="21"/>
      <c r="L23" s="21"/>
      <c r="M23" s="21"/>
      <c r="N23" s="25"/>
      <c r="O23" s="1"/>
      <c r="P23" s="1"/>
      <c r="Q23" s="1"/>
      <c r="R23" s="1"/>
      <c r="S23" s="1"/>
      <c r="T23" s="1"/>
      <c r="U23" s="1"/>
      <c r="V23" s="1"/>
      <c r="W23" s="1"/>
      <c r="X23" s="1"/>
      <c r="Y23" s="1"/>
      <c r="Z23" s="1"/>
    </row>
    <row r="24" ht="15.75" customHeight="1">
      <c r="A24" s="1"/>
      <c r="B24" s="34"/>
      <c r="C24" s="21"/>
      <c r="D24" s="21"/>
      <c r="E24" s="21"/>
      <c r="F24" s="21"/>
      <c r="G24" s="21"/>
      <c r="H24" s="21"/>
      <c r="I24" s="21"/>
      <c r="J24" s="21"/>
      <c r="K24" s="21"/>
      <c r="L24" s="21"/>
      <c r="M24" s="21"/>
      <c r="N24" s="25"/>
      <c r="O24" s="1"/>
      <c r="P24" s="1"/>
      <c r="Q24" s="1"/>
      <c r="R24" s="1"/>
      <c r="S24" s="1"/>
      <c r="T24" s="1"/>
      <c r="U24" s="1"/>
      <c r="V24" s="1"/>
      <c r="W24" s="1"/>
      <c r="X24" s="1"/>
      <c r="Y24" s="1"/>
      <c r="Z24" s="1"/>
    </row>
    <row r="25" ht="15.75" customHeight="1">
      <c r="A25" s="1"/>
      <c r="B25" s="34"/>
      <c r="C25" s="21"/>
      <c r="D25" s="21"/>
      <c r="E25" s="21"/>
      <c r="F25" s="21"/>
      <c r="G25" s="21"/>
      <c r="H25" s="21"/>
      <c r="I25" s="21"/>
      <c r="J25" s="21"/>
      <c r="K25" s="21"/>
      <c r="L25" s="21"/>
      <c r="M25" s="21"/>
      <c r="N25" s="25"/>
      <c r="O25" s="1"/>
      <c r="P25" s="1"/>
      <c r="Q25" s="1"/>
      <c r="R25" s="1"/>
      <c r="S25" s="1"/>
      <c r="T25" s="1"/>
      <c r="U25" s="1"/>
      <c r="V25" s="1"/>
      <c r="W25" s="1"/>
      <c r="X25" s="1"/>
      <c r="Y25" s="1"/>
      <c r="Z25" s="1"/>
    </row>
    <row r="26" ht="15.75" customHeight="1">
      <c r="A26" s="1"/>
      <c r="B26" s="48"/>
      <c r="C26" s="49"/>
      <c r="D26" s="49"/>
      <c r="E26" s="49"/>
      <c r="F26" s="49"/>
      <c r="G26" s="49"/>
      <c r="H26" s="49"/>
      <c r="I26" s="49"/>
      <c r="J26" s="49"/>
      <c r="K26" s="49"/>
      <c r="L26" s="49"/>
      <c r="M26" s="49"/>
      <c r="N26" s="50"/>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
    <mergeCell ref="J11:K11"/>
    <mergeCell ref="J12:K17"/>
    <mergeCell ref="C13:H13"/>
    <mergeCell ref="B3:C3"/>
    <mergeCell ref="D3:H3"/>
    <mergeCell ref="I3:N3"/>
    <mergeCell ref="C6:E6"/>
    <mergeCell ref="G6:H6"/>
    <mergeCell ref="J6:K6"/>
    <mergeCell ref="G7:H7"/>
  </mergeCells>
  <conditionalFormatting sqref="D16:H16">
    <cfRule type="expression" dxfId="0" priority="1">
      <formula>ISNA(D16)</formula>
    </cfRule>
  </conditionalFormatting>
  <conditionalFormatting sqref="D16:H16">
    <cfRule type="expression" dxfId="1" priority="2">
      <formula>ISNUMBER(SEARCH("Diamond Two-Day", D16))</formula>
    </cfRule>
  </conditionalFormatting>
  <conditionalFormatting sqref="D16:H16">
    <cfRule type="expression" dxfId="2" priority="3">
      <formula>ISNUMBER(SEARCH("Diamond One-Day", D16))</formula>
    </cfRule>
  </conditionalFormatting>
  <conditionalFormatting sqref="D16:H16">
    <cfRule type="expression" dxfId="3" priority="4">
      <formula>ISNUMBER(SEARCH("Maroon One-Day", D16))</formula>
    </cfRule>
  </conditionalFormatting>
  <conditionalFormatting sqref="D16:H16">
    <cfRule type="expression" dxfId="4" priority="5">
      <formula>ISNUMBER(SEARCH("Maroon Two-Day", D16))</formula>
    </cfRule>
  </conditionalFormatting>
  <conditionalFormatting sqref="D16:H16">
    <cfRule type="expression" dxfId="5" priority="6">
      <formula>ISNUMBER(SEARCH("Basic Two-Day", D16))</formula>
    </cfRule>
  </conditionalFormatting>
  <conditionalFormatting sqref="D16:H16">
    <cfRule type="expression" dxfId="6" priority="7">
      <formula>ISNUMBER(SEARCH("Basic One-Day", D16))</formula>
    </cfRule>
  </conditionalFormatting>
  <conditionalFormatting sqref="D16:H16">
    <cfRule type="expression" dxfId="7" priority="8">
      <formula>ISNUMBER(SEARCH("Silver Two-Day", D16))</formula>
    </cfRule>
  </conditionalFormatting>
  <conditionalFormatting sqref="D16:H16">
    <cfRule type="expression" dxfId="8" priority="9">
      <formula>ISNUMBER(SEARCH("Silver One-Day", D16))</formula>
    </cfRule>
  </conditionalFormatting>
  <conditionalFormatting sqref="D16:H16">
    <cfRule type="expression" dxfId="9" priority="10">
      <formula>ISNUMBER(SEARCH("Gold One-Day",D16))</formula>
    </cfRule>
  </conditionalFormatting>
  <conditionalFormatting sqref="D16:H16">
    <cfRule type="expression" dxfId="10" priority="11">
      <formula>ISNUMBER(SEARCH("Gold Two-Day", D16))</formula>
    </cfRule>
  </conditionalFormatting>
  <conditionalFormatting sqref="D15:H15">
    <cfRule type="expression" dxfId="11" priority="12">
      <formula>ISNUMBER(SEARCH("No", D15))</formula>
    </cfRule>
  </conditionalFormatting>
  <conditionalFormatting sqref="D15:H15">
    <cfRule type="expression" dxfId="12" priority="13">
      <formula>ISNUMBER(SEARCH("Yes", D15))</formula>
    </cfRule>
  </conditionalFormatting>
  <dataValidations>
    <dataValidation type="list" allowBlank="1" showErrorMessage="1" sqref="D3">
      <formula1>CompanyList!$A$2:$A$278</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sheetViews>
  <sheetFormatPr customHeight="1" defaultColWidth="12.63" defaultRowHeight="15.0"/>
  <cols>
    <col customWidth="1" min="1" max="1" width="65.63"/>
    <col customWidth="1" min="2" max="2" width="21.13"/>
    <col customWidth="1" min="3" max="3" width="19.5"/>
    <col customWidth="1" min="4" max="4" width="14.5"/>
    <col customWidth="1" min="5" max="5" width="21.63"/>
    <col customWidth="1" min="6" max="6" width="9.5"/>
    <col customWidth="1" min="7" max="7" width="9.38"/>
    <col customWidth="1" min="8" max="8" width="9.5"/>
    <col customWidth="1" min="9" max="9" width="9.38"/>
    <col customWidth="1" min="10" max="10" width="9.5"/>
    <col customWidth="1" min="11" max="11" width="9.38"/>
    <col customWidth="1" min="12" max="12" width="9.5"/>
    <col customWidth="1" min="13" max="13" width="9.38"/>
    <col customWidth="1" min="14" max="14" width="9.5"/>
    <col customWidth="1" min="15" max="15" width="8.38"/>
    <col customWidth="1" min="16" max="16" width="6.63"/>
    <col customWidth="1" min="17" max="17" width="9.25"/>
    <col customWidth="1" min="18" max="18" width="16.88"/>
    <col customWidth="1" min="19" max="19" width="13.13"/>
    <col customWidth="1" min="20" max="20" width="46.63"/>
    <col customWidth="1" min="21" max="21" width="12.88"/>
    <col customWidth="1" min="22" max="22" width="49.38"/>
    <col customWidth="1" min="23" max="23" width="13.13"/>
    <col customWidth="1" min="24" max="24" width="47.13"/>
    <col customWidth="1" min="25" max="25" width="12.88"/>
    <col customWidth="1" min="26" max="26" width="48.38"/>
    <col customWidth="1" min="27" max="27" width="13.13"/>
    <col customWidth="1" min="28" max="28" width="24.88"/>
  </cols>
  <sheetData>
    <row r="1" ht="15.0" customHeight="1">
      <c r="A1" s="51" t="s">
        <v>26</v>
      </c>
      <c r="B1" s="51" t="s">
        <v>27</v>
      </c>
      <c r="C1" s="51" t="s">
        <v>28</v>
      </c>
      <c r="D1" s="51" t="s">
        <v>29</v>
      </c>
      <c r="E1" s="51" t="s">
        <v>30</v>
      </c>
      <c r="F1" s="51" t="s">
        <v>31</v>
      </c>
      <c r="G1" s="51" t="s">
        <v>32</v>
      </c>
      <c r="H1" s="51" t="s">
        <v>33</v>
      </c>
      <c r="I1" s="51" t="s">
        <v>34</v>
      </c>
      <c r="J1" s="51" t="s">
        <v>35</v>
      </c>
      <c r="K1" s="51" t="s">
        <v>36</v>
      </c>
      <c r="L1" s="51" t="s">
        <v>37</v>
      </c>
      <c r="M1" s="51" t="s">
        <v>38</v>
      </c>
      <c r="N1" s="51" t="s">
        <v>39</v>
      </c>
      <c r="O1" s="51" t="s">
        <v>40</v>
      </c>
      <c r="P1" s="51" t="s">
        <v>41</v>
      </c>
      <c r="Q1" s="51" t="s">
        <v>13</v>
      </c>
      <c r="R1" s="51" t="s">
        <v>4</v>
      </c>
      <c r="S1" s="51" t="s">
        <v>42</v>
      </c>
      <c r="T1" s="51" t="s">
        <v>43</v>
      </c>
      <c r="U1" s="51" t="s">
        <v>44</v>
      </c>
      <c r="V1" s="51" t="s">
        <v>45</v>
      </c>
      <c r="W1" s="51" t="s">
        <v>46</v>
      </c>
      <c r="X1" s="51" t="s">
        <v>47</v>
      </c>
      <c r="Y1" s="51" t="s">
        <v>48</v>
      </c>
      <c r="Z1" s="51" t="s">
        <v>49</v>
      </c>
      <c r="AA1" s="51" t="s">
        <v>50</v>
      </c>
      <c r="AB1" s="51" t="s">
        <v>51</v>
      </c>
    </row>
    <row r="2" ht="15.0" customHeight="1">
      <c r="A2" s="52" t="s">
        <v>1</v>
      </c>
      <c r="B2" s="43" t="s">
        <v>52</v>
      </c>
      <c r="C2" s="43"/>
      <c r="D2" s="43"/>
      <c r="E2" s="43"/>
      <c r="F2" s="43">
        <f>COUNTIF(S26_Emp!$C:$C,"*" &amp;A2 &amp; "*")</f>
        <v>0</v>
      </c>
      <c r="G2" s="43">
        <f>COUNTIF(F25_Emp!$C:$C,"*" &amp;A2 &amp; "*")</f>
        <v>0</v>
      </c>
      <c r="H2" s="43">
        <f>COUNTIF(S25_Emp!$C:$C,"*" &amp; A2 &amp; "*")</f>
        <v>0</v>
      </c>
      <c r="I2" s="43">
        <f>COUNTIF(F24_Emp!$C:$C,"*" &amp; $A2 &amp; "*")</f>
        <v>0</v>
      </c>
      <c r="J2" s="43">
        <f>COUNTIF(S24_Emp!$C:$C,"*" &amp; $A2 &amp; "*")</f>
        <v>0</v>
      </c>
      <c r="K2" s="43">
        <f>COUNTIF(F23_Emp!$C:$C,"*" &amp; $A2 &amp; "*")</f>
        <v>0</v>
      </c>
      <c r="L2" s="43">
        <f>COUNTIF(S23_Emp!$C:$C,"*" &amp; $A2 &amp; "*")</f>
        <v>0</v>
      </c>
      <c r="M2" s="43">
        <f>COUNTIF(F22_Emp!$C:$C,"*" &amp; $A2 &amp; "*")</f>
        <v>0</v>
      </c>
      <c r="N2" s="43">
        <f>COUNTIF(S22_Emp!$C:$C,"*" &amp; $A2 &amp; "*")</f>
        <v>0</v>
      </c>
      <c r="O2" s="43" t="str">
        <f>COUNTIFS(S22_Emp!$C:$C,"*" &amp; $A2 &amp; "*", S22_S25_Emp!$B:$B, "Bachelor")</f>
        <v>#VALUE!</v>
      </c>
      <c r="P2" s="43" t="str">
        <f>COUNTIFS(S22_Emp!$C:$C,"*" &amp; $A2 &amp; "*", S22_S25_Emp!$B:$B, "Master")</f>
        <v>#VALUE!</v>
      </c>
      <c r="Q2" s="43" t="str">
        <f>COUNTIFS(S22_Emp!$C:$C,"*" &amp; $A2 &amp; "*", S22_S25_Emp!$B:$B, "Doctorate")</f>
        <v>#VALUE!</v>
      </c>
      <c r="R2" s="43" t="str">
        <f t="array" ref="R2">IF(OR(INDEX(S26_CF!X:X, MATCH("*" &amp; $A2 &amp; "*", CompanyList!A:A, 0))=TRUE, INDEX(F25_CF!P:P, MATCH("*" &amp; $A2 &amp; "*", CompanyList!A:A, 0))=TRUE, INDEX(S25_CF!T:T, MATCH("*" &amp; $A2 &amp; "*", CompanyList!A:A, 0))=TRUE, INDEX(S24_CF!W:W, MATCH("*" &amp; $A2 &amp; "*", CompanyList!A:A, 0))=TRUE), "Yes", "No")</f>
        <v>Yes</v>
      </c>
      <c r="S2" s="43" t="str">
        <f>IF(COUNTIF(S26_CF!$A:$A,"*" &amp; $A2 &amp; "*") &lt;&gt; 0, "Yes", "No")</f>
        <v>Yes</v>
      </c>
      <c r="T2" s="43" t="str">
        <f t="array" ref="T2">INDEX(S26_CF!K:K, MATCH("*" &amp; $A2 &amp; "*", S26_CF!A:A, 0))</f>
        <v>Basic Two-Day [$2000.00]</v>
      </c>
      <c r="U2" s="43" t="str">
        <f>IF(COUNTIF(F25_CF!$A:$A,"*" &amp; $A2 &amp; "*") &lt;&gt; 0, "Yes", "No")</f>
        <v>Yes</v>
      </c>
      <c r="V2" s="43" t="str">
        <f t="array" ref="V2">INDEX(F25_CF!I:I, MATCH("*" &amp; $A2 &amp; "*", F25_CF!$A:$A, 0))</f>
        <v>Basic One-Day: Thursday, September 11th [$1000.00]</v>
      </c>
      <c r="W2" s="43" t="str">
        <f>IF(COUNTIF(S25_CF!$A:$A,"*" &amp; $A2 &amp; "*") &lt;&gt; 0, "Yes", "No")</f>
        <v>Yes</v>
      </c>
      <c r="X2" s="43" t="str">
        <f t="array" ref="X2">INDEX(S25_CF!J:J, MATCH("*" &amp; $A2 &amp; "*", S25_CF!$A:$A, 0))</f>
        <v>Basic One-Day: Thursday, January 23rd [$1000.00]</v>
      </c>
      <c r="Y2" s="43" t="str">
        <f>IF(COUNTIF(F24_CF!$A:$A,"*" &amp; $A2 &amp; "*") &lt;&gt; 0, "Yes", "No")</f>
        <v>Yes</v>
      </c>
      <c r="Z2" s="43" t="str">
        <f t="array" ref="Z2">INDEX(F24_CF!N:N, MATCH("*" &amp; $A2 &amp; "*", F24_CF!$A:$A, 0))</f>
        <v>Basic One-Day: Thursday, September 5th [$1000.00]</v>
      </c>
      <c r="AA2" s="43" t="str">
        <f>IF(COUNTIF(S24_CF!$A:$A,"*" &amp; $A2 &amp; "*") &lt;&gt; 0, "Yes", "No")</f>
        <v>Yes</v>
      </c>
      <c r="AB2" s="43" t="str">
        <f t="array" ref="AB2">INDEX(S24_CF!H:H, MATCH("*" &amp; $A2 &amp; "*", S24_CF!$A:$A, 0))</f>
        <v>Basic Two-Day [$2000.00]</v>
      </c>
    </row>
    <row r="3" ht="15.0" customHeight="1">
      <c r="A3" s="52" t="s">
        <v>53</v>
      </c>
      <c r="B3" s="43" t="s">
        <v>54</v>
      </c>
      <c r="C3" s="43">
        <v>32000.0</v>
      </c>
      <c r="D3" s="43">
        <v>105000.0</v>
      </c>
      <c r="E3" s="43">
        <v>100.0</v>
      </c>
      <c r="F3" s="43">
        <f>COUNTIF(S26_Emp!$C:$C,"*" &amp;A3 &amp; "*")</f>
        <v>0</v>
      </c>
      <c r="G3" s="43">
        <f>COUNTIF(F25_Emp!$C:$C,"*" &amp;#REF! &amp; "*")</f>
        <v>0</v>
      </c>
      <c r="H3" s="43">
        <f>COUNTIF(S25_Emp!$C:$C,"*" &amp; A3 &amp; "*")</f>
        <v>0</v>
      </c>
      <c r="I3" s="43">
        <f>COUNTIF(F24_Emp!$C:$C,"*" &amp; B3 &amp; "*")</f>
        <v>1</v>
      </c>
      <c r="J3" s="43">
        <f>COUNTIF(S24_Emp!$C:$C,"*" &amp; $A3 &amp; "*")</f>
        <v>1</v>
      </c>
      <c r="K3" s="43">
        <f>COUNTIF(F23_Emp!$C:$C,"*" &amp; $A3 &amp; "*")</f>
        <v>0</v>
      </c>
      <c r="L3" s="43">
        <f>COUNTIF(S23_Emp!$C:$C,"*" &amp; $A3 &amp; "*")</f>
        <v>0</v>
      </c>
      <c r="M3" s="43">
        <f>COUNTIF(F22_Emp!$C:$C,"*" &amp; $A3 &amp; "*")</f>
        <v>0</v>
      </c>
      <c r="N3" s="43">
        <f>COUNTIF(S22_Emp!$C:$C,"*" &amp; $A3 &amp; "*")</f>
        <v>0</v>
      </c>
      <c r="O3" s="43" t="str">
        <f>COUNTIFS(S22_Emp!$C:$C,"*" &amp; $A3 &amp; "*", S22_S25_Emp!$B:$B, "Bachelor")</f>
        <v>#VALUE!</v>
      </c>
      <c r="P3" s="43" t="str">
        <f>COUNTIFS(S22_Emp!$C:$C,"*" &amp; $A3 &amp; "*", S22_S25_Emp!$B:$B, "Master")</f>
        <v>#VALUE!</v>
      </c>
      <c r="Q3" s="43" t="str">
        <f>COUNTIFS(S22_Emp!$C:$C,"*" &amp; $A3 &amp; "*", S22_S25_Emp!$B:$B, "Doctorate")</f>
        <v>#VALUE!</v>
      </c>
      <c r="R3" s="43" t="str">
        <f t="array" ref="R3">IF(OR(INDEX(S26_CF!X:X, MATCH("*" &amp; $A3 &amp; "*", CompanyList!A:A, 0))=TRUE, INDEX(F25_CF!P:P, MATCH("*" &amp; $A3 &amp; "*", CompanyList!A:A, 0))=TRUE, INDEX(S25_CF!T:T, MATCH("*" &amp; $A3 &amp; "*", CompanyList!A:A, 0))=TRUE, INDEX(S24_CF!W:W, MATCH("*" &amp; $A3 &amp; "*", CompanyList!A:A, 0))=TRUE), "Yes", "No")</f>
        <v>No</v>
      </c>
      <c r="S3" s="43" t="str">
        <f>IF(COUNTIF(S26_CF!$A:$A,"*" &amp; $A3 &amp; "*") &lt;&gt; 0, "Yes", "No")</f>
        <v>Yes</v>
      </c>
      <c r="T3" s="43" t="str">
        <f t="array" ref="T3">INDEX(S26_CF!K:K, MATCH("*" &amp; $A3 &amp; "*", S26_CF!A:A, 0))</f>
        <v>Gold One-Day: Wednesday, January 28th [$2500.00]</v>
      </c>
      <c r="U3" s="43" t="str">
        <f>IF(COUNTIF(F25_CF!$A:$A,"*" &amp; $A3 &amp; "*") &lt;&gt; 0, "Yes", "No")</f>
        <v>Yes</v>
      </c>
      <c r="V3" s="43" t="str">
        <f t="array" ref="V3">INDEX(F25_CF!I:I, MATCH("*" &amp; $A3 &amp; "*", F25_CF!$A:$A, 0))</f>
        <v>Gold One-Day: Wednesday, September 10th [$2500.00]</v>
      </c>
      <c r="W3" s="43" t="str">
        <f>IF(COUNTIF(S25_CF!$A:$A,"*" &amp; $A3 &amp; "*") &lt;&gt; 0, "Yes", "No")</f>
        <v>No</v>
      </c>
      <c r="X3" s="43" t="str">
        <f t="array" ref="X3">INDEX(S25_CF!J:J, MATCH("*" &amp; $A3 &amp; "*", S25_CF!$A:$A, 0))</f>
        <v>#N/A</v>
      </c>
      <c r="Y3" s="43" t="str">
        <f>IF(COUNTIF(F24_CF!$A:$A,"*" &amp; $A3 &amp; "*") &lt;&gt; 0, "Yes", "No")</f>
        <v>Yes</v>
      </c>
      <c r="Z3" s="43" t="str">
        <f t="array" ref="Z3">INDEX(F24_CF!N:N, MATCH("*" &amp; $A3 &amp; "*", F24_CF!$A:$A, 0))</f>
        <v>Gold One-Day: Wednesday, September 4th [$2500.00]</v>
      </c>
      <c r="AA3" s="43" t="str">
        <f>IF(COUNTIF(S24_CF!$A:$A,"*" &amp; $A3 &amp; "*") &lt;&gt; 0, "Yes", "No")</f>
        <v>Yes</v>
      </c>
      <c r="AB3" s="43" t="str">
        <f t="array" ref="AB3">INDEX(S24_CF!H:H, MATCH("*" &amp; $A3 &amp; "*", S24_CF!$A:$A, 0))</f>
        <v>Basic One-Day [$1000.00]</v>
      </c>
    </row>
    <row r="4" ht="15.0" customHeight="1">
      <c r="A4" s="52" t="s">
        <v>55</v>
      </c>
      <c r="B4" s="43" t="s">
        <v>52</v>
      </c>
      <c r="C4" s="43"/>
      <c r="D4" s="43"/>
      <c r="E4" s="43"/>
      <c r="F4" s="43">
        <f>COUNTIF(S26_Emp!$C:$C,"*" &amp;A4 &amp; "*")</f>
        <v>0</v>
      </c>
      <c r="G4" s="43">
        <f>COUNTIF(F25_Emp!$C:$C,"*" &amp;#REF! &amp; "*")</f>
        <v>0</v>
      </c>
      <c r="H4" s="43">
        <f>COUNTIF(S25_Emp!$C:$C,"*" &amp; A4 &amp; "*")</f>
        <v>0</v>
      </c>
      <c r="I4" s="43">
        <f>COUNTIF(F24_Emp!$C:$C,"*" &amp; B4 &amp; "*")</f>
        <v>0</v>
      </c>
      <c r="J4" s="43">
        <f>COUNTIF(S24_Emp!$C:$C,"*" &amp; $A4 &amp; "*")</f>
        <v>0</v>
      </c>
      <c r="K4" s="43">
        <f>COUNTIF(F23_Emp!$C:$C,"*" &amp; $A4 &amp; "*")</f>
        <v>1</v>
      </c>
      <c r="L4" s="43">
        <f>COUNTIF(S23_Emp!$C:$C,"*" &amp; $A4 &amp; "*")</f>
        <v>1</v>
      </c>
      <c r="M4" s="43">
        <f>COUNTIF(F22_Emp!$C:$C,"*" &amp; $A4 &amp; "*")</f>
        <v>0</v>
      </c>
      <c r="N4" s="43">
        <f>COUNTIF(S22_Emp!$C:$C,"*" &amp; $A4 &amp; "*")</f>
        <v>0</v>
      </c>
      <c r="O4" s="43" t="str">
        <f>COUNTIFS(S22_Emp!$C:$C,"*" &amp; $A4 &amp; "*", S22_S25_Emp!$B:$B, "Bachelor")</f>
        <v>#VALUE!</v>
      </c>
      <c r="P4" s="43" t="str">
        <f>COUNTIFS(S22_Emp!$C:$C,"*" &amp; $A4 &amp; "*", S22_S25_Emp!$B:$B, "Master")</f>
        <v>#VALUE!</v>
      </c>
      <c r="Q4" s="43" t="str">
        <f>COUNTIFS(S22_Emp!$C:$C,"*" &amp; $A4 &amp; "*", S22_S25_Emp!$B:$B, "Doctorate")</f>
        <v>#VALUE!</v>
      </c>
      <c r="R4" s="43" t="str">
        <f t="array" ref="R4">IF(OR(INDEX(S26_CF!X:X, MATCH("*" &amp; $A4 &amp; "*", CompanyList!A:A, 0))=TRUE, INDEX(F25_CF!P:P, MATCH("*" &amp; $A4 &amp; "*", CompanyList!A:A, 0))=TRUE, INDEX(S25_CF!T:T, MATCH("*" &amp; $A4 &amp; "*", CompanyList!A:A, 0))=TRUE, INDEX(S24_CF!W:W, MATCH("*" &amp; $A4 &amp; "*", CompanyList!A:A, 0))=TRUE), "Yes", "No")</f>
        <v>Yes</v>
      </c>
      <c r="S4" s="43" t="str">
        <f>IF(COUNTIF(S26_CF!$A:$A,"*" &amp; $A4 &amp; "*") &lt;&gt; 0, "Yes", "No")</f>
        <v>Yes</v>
      </c>
      <c r="T4" s="43" t="str">
        <f t="array" ref="T4">INDEX(S26_CF!K:K, MATCH("*" &amp; $A4 &amp; "*", S26_CF!A:A, 0))</f>
        <v>Basic One-Day: Wednesday, January 28th [$1000.00]</v>
      </c>
      <c r="U4" s="43" t="str">
        <f>IF(COUNTIF(F25_CF!$A:$A,"*" &amp; $A4 &amp; "*") &lt;&gt; 0, "Yes", "No")</f>
        <v>No</v>
      </c>
      <c r="V4" s="43" t="str">
        <f t="array" ref="V4">INDEX(F25_CF!I:I, MATCH("*" &amp; $A4 &amp; "*", F25_CF!$A:$A, 0))</f>
        <v>#N/A</v>
      </c>
      <c r="W4" s="43" t="str">
        <f>IF(COUNTIF(S25_CF!$A:$A,"*" &amp; $A4 &amp; "*") &lt;&gt; 0, "Yes", "No")</f>
        <v>Yes</v>
      </c>
      <c r="X4" s="43" t="str">
        <f t="array" ref="X4">INDEX(S25_CF!J:J, MATCH("*" &amp; $A4 &amp; "*", S25_CF!$A:$A, 0))</f>
        <v>Basic One-Day: Wednesday, January 22nd [$1000.00]</v>
      </c>
      <c r="Y4" s="43" t="str">
        <f>IF(COUNTIF(F24_CF!$A:$A,"*" &amp; $A4 &amp; "*") &lt;&gt; 0, "Yes", "No")</f>
        <v>No</v>
      </c>
      <c r="Z4" s="43" t="str">
        <f t="array" ref="Z4">INDEX(F24_CF!N:N, MATCH("*" &amp; $A4 &amp; "*", F24_CF!$A:$A, 0))</f>
        <v>#N/A</v>
      </c>
      <c r="AA4" s="43" t="str">
        <f>IF(COUNTIF(S24_CF!$A:$A,"*" &amp; $A4 &amp; "*") &lt;&gt; 0, "Yes", "No")</f>
        <v>Yes</v>
      </c>
      <c r="AB4" s="43" t="str">
        <f t="array" ref="AB4">INDEX(S24_CF!H:H, MATCH("*" &amp; $A4 &amp; "*", S24_CF!$A:$A, 0))</f>
        <v>Basic Two-Day [$2000.00]</v>
      </c>
    </row>
    <row r="5" ht="15.0" customHeight="1">
      <c r="A5" s="52" t="s">
        <v>56</v>
      </c>
      <c r="B5" s="43" t="s">
        <v>52</v>
      </c>
      <c r="C5" s="43"/>
      <c r="D5" s="43"/>
      <c r="E5" s="43"/>
      <c r="F5" s="43">
        <f>COUNTIF(S26_Emp!$C:$C,"*" &amp;A5 &amp; "*")</f>
        <v>0</v>
      </c>
      <c r="G5" s="43">
        <f>COUNTIF(F25_Emp!$C:$C,"*" &amp;#REF! &amp; "*")</f>
        <v>0</v>
      </c>
      <c r="H5" s="43">
        <f>COUNTIF(S25_Emp!$C:$C,"*" &amp; A5 &amp; "*")</f>
        <v>0</v>
      </c>
      <c r="I5" s="43">
        <f>COUNTIF(F24_Emp!$C:$C,"*" &amp; B5 &amp; "*")</f>
        <v>0</v>
      </c>
      <c r="J5" s="43">
        <f>COUNTIF(S24_Emp!$C:$C,"*" &amp; $A5 &amp; "*")</f>
        <v>0</v>
      </c>
      <c r="K5" s="43">
        <f>COUNTIF(F23_Emp!$C:$C,"*" &amp; $A5 &amp; "*")</f>
        <v>0</v>
      </c>
      <c r="L5" s="43">
        <f>COUNTIF(S23_Emp!$C:$C,"*" &amp; $A5 &amp; "*")</f>
        <v>1</v>
      </c>
      <c r="M5" s="43">
        <f>COUNTIF(F22_Emp!$C:$C,"*" &amp; $A5 &amp; "*")</f>
        <v>0</v>
      </c>
      <c r="N5" s="43">
        <f>COUNTIF(S22_Emp!$C:$C,"*" &amp; $A5 &amp; "*")</f>
        <v>0</v>
      </c>
      <c r="O5" s="43" t="str">
        <f>COUNTIFS(S22_Emp!$C:$C,"*" &amp; $A5 &amp; "*", S22_S25_Emp!$B:$B, "Bachelor")</f>
        <v>#VALUE!</v>
      </c>
      <c r="P5" s="43" t="str">
        <f>COUNTIFS(S22_Emp!$C:$C,"*" &amp; $A5 &amp; "*", S22_S25_Emp!$B:$B, "Master")</f>
        <v>#VALUE!</v>
      </c>
      <c r="Q5" s="43" t="str">
        <f>COUNTIFS(S22_Emp!$C:$C,"*" &amp; $A5 &amp; "*", S22_S25_Emp!$B:$B, "Doctorate")</f>
        <v>#VALUE!</v>
      </c>
      <c r="R5" s="43" t="str">
        <f t="array" ref="R5">IF(OR(INDEX(S26_CF!X:X, MATCH("*" &amp; $A5 &amp; "*", CompanyList!A:A, 0))=TRUE, INDEX(F25_CF!P:P, MATCH("*" &amp; $A5 &amp; "*", CompanyList!A:A, 0))=TRUE, INDEX(S25_CF!T:T, MATCH("*" &amp; $A5 &amp; "*", CompanyList!A:A, 0))=TRUE, INDEX(S24_CF!W:W, MATCH("*" &amp; $A5 &amp; "*", CompanyList!A:A, 0))=TRUE), "Yes", "No")</f>
        <v>No</v>
      </c>
      <c r="S5" s="43" t="str">
        <f>IF(COUNTIF(S26_CF!$A:$A,"*" &amp; $A5 &amp; "*") &lt;&gt; 0, "Yes", "No")</f>
        <v>Yes</v>
      </c>
      <c r="T5" s="43" t="str">
        <f t="array" ref="T5">INDEX(S26_CF!K:K, MATCH("*" &amp; $A5 &amp; "*", S26_CF!A:A, 0))</f>
        <v>Basic One-Day: Wednesday, January 28th [$1000.00]</v>
      </c>
      <c r="U5" s="43" t="str">
        <f>IF(COUNTIF(F25_CF!$A:$A,"*" &amp; $A5 &amp; "*") &lt;&gt; 0, "Yes", "No")</f>
        <v>No</v>
      </c>
      <c r="V5" s="43" t="str">
        <f t="array" ref="V5">INDEX(F25_CF!I:I, MATCH("*" &amp; $A5 &amp; "*", F25_CF!$A:$A, 0))</f>
        <v>#N/A</v>
      </c>
      <c r="W5" s="43" t="str">
        <f>IF(COUNTIF(S25_CF!$A:$A,"*" &amp; $A5 &amp; "*") &lt;&gt; 0, "Yes", "No")</f>
        <v>Yes</v>
      </c>
      <c r="X5" s="43" t="str">
        <f t="array" ref="X5">INDEX(S25_CF!J:J, MATCH("*" &amp; $A5 &amp; "*", S25_CF!$A:$A, 0))</f>
        <v>Basic One-Day: Thursday, January 23rd [$1000.00]</v>
      </c>
      <c r="Y5" s="43" t="str">
        <f>IF(COUNTIF(F24_CF!$A:$A,"*" &amp; $A5 &amp; "*") &lt;&gt; 0, "Yes", "No")</f>
        <v>Yes</v>
      </c>
      <c r="Z5" s="43" t="str">
        <f t="array" ref="Z5">INDEX(F24_CF!N:N, MATCH("*" &amp; $A5 &amp; "*", F24_CF!$A:$A, 0))</f>
        <v>Basic One-Day: Thursday, September 5th [$1000.00]</v>
      </c>
      <c r="AA5" s="43" t="str">
        <f>IF(COUNTIF(S24_CF!$A:$A,"*" &amp; $A5 &amp; "*") &lt;&gt; 0, "Yes", "No")</f>
        <v>Yes</v>
      </c>
      <c r="AB5" s="43" t="str">
        <f t="array" ref="AB5">INDEX(S24_CF!H:H, MATCH("*" &amp; $A5 &amp; "*", S24_CF!$A:$A, 0))</f>
        <v>Silver One-Day [$1800.00]</v>
      </c>
    </row>
    <row r="6" ht="15.0" customHeight="1">
      <c r="A6" s="52" t="s">
        <v>57</v>
      </c>
      <c r="B6" s="43" t="s">
        <v>54</v>
      </c>
      <c r="C6" s="43">
        <v>29500.0</v>
      </c>
      <c r="D6" s="43">
        <v>67000.0</v>
      </c>
      <c r="E6" s="43">
        <v>101.0</v>
      </c>
      <c r="F6" s="43">
        <f>COUNTIF(S26_Emp!$C:$C,"*" &amp;A6 &amp; "*")</f>
        <v>0</v>
      </c>
      <c r="G6" s="43">
        <f>COUNTIF(F25_Emp!$C:$C,"*" &amp;#REF! &amp; "*")</f>
        <v>0</v>
      </c>
      <c r="H6" s="43">
        <f>COUNTIF(S25_Emp!$C:$C,"*" &amp; A6 &amp; "*")</f>
        <v>1</v>
      </c>
      <c r="I6" s="43">
        <f>COUNTIF(F24_Emp!$C:$C,"*" &amp; B6 &amp; "*")</f>
        <v>1</v>
      </c>
      <c r="J6" s="43">
        <f>COUNTIF(S24_Emp!$C:$C,"*" &amp; $A6 &amp; "*")</f>
        <v>2</v>
      </c>
      <c r="K6" s="43">
        <f>COUNTIF(F23_Emp!$C:$C,"*" &amp; $A6 &amp; "*")</f>
        <v>1</v>
      </c>
      <c r="L6" s="43">
        <f>COUNTIF(S23_Emp!$C:$C,"*" &amp; $A6 &amp; "*")</f>
        <v>1</v>
      </c>
      <c r="M6" s="43">
        <f>COUNTIF(F22_Emp!$C:$C,"*" &amp; $A6 &amp; "*")</f>
        <v>1</v>
      </c>
      <c r="N6" s="43">
        <f>COUNTIF(S22_Emp!$C:$C,"*" &amp; $A6 &amp; "*")</f>
        <v>1</v>
      </c>
      <c r="O6" s="43" t="str">
        <f>COUNTIFS(S22_Emp!$C:$C,"*" &amp; $A6 &amp; "*", S22_S25_Emp!$B:$B, "Bachelor")</f>
        <v>#VALUE!</v>
      </c>
      <c r="P6" s="43" t="str">
        <f>COUNTIFS(S22_Emp!$C:$C,"*" &amp; $A6 &amp; "*", S22_S25_Emp!$B:$B, "Master")</f>
        <v>#VALUE!</v>
      </c>
      <c r="Q6" s="43" t="str">
        <f>COUNTIFS(S22_Emp!$C:$C,"*" &amp; $A6 &amp; "*", S22_S25_Emp!$B:$B, "Doctorate")</f>
        <v>#VALUE!</v>
      </c>
      <c r="R6" s="43" t="str">
        <f t="array" ref="R6">IF(OR(INDEX(S26_CF!X:X, MATCH("*" &amp; $A6 &amp; "*", CompanyList!A:A, 0))=TRUE, INDEX(F25_CF!P:P, MATCH("*" &amp; $A6 &amp; "*", CompanyList!A:A, 0))=TRUE, INDEX(S25_CF!T:T, MATCH("*" &amp; $A6 &amp; "*", CompanyList!A:A, 0))=TRUE, INDEX(S24_CF!W:W, MATCH("*" &amp; $A6 &amp; "*", CompanyList!A:A, 0))=TRUE), "Yes", "No")</f>
        <v>No</v>
      </c>
      <c r="S6" s="43" t="str">
        <f>IF(COUNTIF(S26_CF!$A:$A,"*" &amp; $A6 &amp; "*") &lt;&gt; 0, "Yes", "No")</f>
        <v>Yes</v>
      </c>
      <c r="T6" s="43" t="str">
        <f t="array" ref="T6">INDEX(S26_CF!K:K, MATCH("*" &amp; $A6 &amp; "*", S26_CF!A:A, 0))</f>
        <v>Basic One-Day: Wednesday, January 28th [$1000.00]</v>
      </c>
      <c r="U6" s="43" t="str">
        <f>IF(COUNTIF(F25_CF!$A:$A,"*" &amp; $A6 &amp; "*") &lt;&gt; 0, "Yes", "No")</f>
        <v>Yes</v>
      </c>
      <c r="V6" s="43" t="str">
        <f t="array" ref="V6">INDEX(F25_CF!I:I, MATCH("*" &amp; $A6 &amp; "*", F25_CF!$A:$A, 0))</f>
        <v>Basic One-Day: Wednesday, September 10th [$1000.00]</v>
      </c>
      <c r="W6" s="43" t="str">
        <f>IF(COUNTIF(S25_CF!$A:$A,"*" &amp; $A6 &amp; "*") &lt;&gt; 0, "Yes", "No")</f>
        <v>Yes</v>
      </c>
      <c r="X6" s="43" t="str">
        <f t="array" ref="X6">INDEX(S25_CF!J:J, MATCH("*" &amp; $A6 &amp; "*", S25_CF!$A:$A, 0))</f>
        <v>Basic One-Day: Thursday, January 23rd [$1000.00]</v>
      </c>
      <c r="Y6" s="43" t="str">
        <f>IF(COUNTIF(F24_CF!$A:$A,"*" &amp; $A6 &amp; "*") &lt;&gt; 0, "Yes", "No")</f>
        <v>Yes</v>
      </c>
      <c r="Z6" s="43" t="str">
        <f t="array" ref="Z6">INDEX(F24_CF!N:N, MATCH("*" &amp; $A6 &amp; "*", F24_CF!$A:$A, 0))</f>
        <v>Basic One-Day: Wednesday, September 4th [$1000.00]</v>
      </c>
      <c r="AA6" s="43" t="str">
        <f>IF(COUNTIF(S24_CF!$A:$A,"*" &amp; $A6 &amp; "*") &lt;&gt; 0, "Yes", "No")</f>
        <v>Yes</v>
      </c>
      <c r="AB6" s="43" t="str">
        <f t="array" ref="AB6">INDEX(S24_CF!H:H, MATCH("*" &amp; $A6 &amp; "*", S24_CF!$A:$A, 0))</f>
        <v>Basic One-Day [$1000.00]</v>
      </c>
    </row>
    <row r="7" ht="15.0" customHeight="1">
      <c r="A7" s="52" t="s">
        <v>58</v>
      </c>
      <c r="B7" s="43" t="s">
        <v>52</v>
      </c>
      <c r="C7" s="43"/>
      <c r="D7" s="43"/>
      <c r="E7" s="43"/>
      <c r="F7" s="43">
        <f>COUNTIF(S26_Emp!$C:$C,"*" &amp;A7 &amp; "*")</f>
        <v>0</v>
      </c>
      <c r="G7" s="43">
        <f>COUNTIF(F25_Emp!$C:$C,"*" &amp;#REF! &amp; "*")</f>
        <v>0</v>
      </c>
      <c r="H7" s="43">
        <f>COUNTIF(S25_Emp!$C:$C,"*" &amp; A7 &amp; "*")</f>
        <v>0</v>
      </c>
      <c r="I7" s="43">
        <f>COUNTIF(F24_Emp!$C:$C,"*" &amp; B7 &amp; "*")</f>
        <v>0</v>
      </c>
      <c r="J7" s="43">
        <f>COUNTIF(S24_Emp!$C:$C,"*" &amp; $A7 &amp; "*")</f>
        <v>0</v>
      </c>
      <c r="K7" s="43">
        <f>COUNTIF(F23_Emp!$C:$C,"*" &amp; $A7 &amp; "*")</f>
        <v>0</v>
      </c>
      <c r="L7" s="43">
        <f>COUNTIF(S23_Emp!$C:$C,"*" &amp; $A7 &amp; "*")</f>
        <v>2</v>
      </c>
      <c r="M7" s="43">
        <f>COUNTIF(F22_Emp!$C:$C,"*" &amp; $A7 &amp; "*")</f>
        <v>0</v>
      </c>
      <c r="N7" s="43">
        <f>COUNTIF(S22_Emp!$C:$C,"*" &amp; $A7 &amp; "*")</f>
        <v>2</v>
      </c>
      <c r="O7" s="43" t="str">
        <f>COUNTIFS(S22_Emp!$C:$C,"*" &amp; $A7 &amp; "*", S22_S25_Emp!$B:$B, "Bachelor")</f>
        <v>#VALUE!</v>
      </c>
      <c r="P7" s="43" t="str">
        <f>COUNTIFS(S22_Emp!$C:$C,"*" &amp; $A7 &amp; "*", S22_S25_Emp!$B:$B, "Master")</f>
        <v>#VALUE!</v>
      </c>
      <c r="Q7" s="43" t="str">
        <f>COUNTIFS(S22_Emp!$C:$C,"*" &amp; $A7 &amp; "*", S22_S25_Emp!$B:$B, "Doctorate")</f>
        <v>#VALUE!</v>
      </c>
      <c r="R7" s="43" t="str">
        <f t="array" ref="R7">IF(OR(INDEX(S26_CF!X:X, MATCH("*" &amp; $A7 &amp; "*", CompanyList!A:A, 0))=TRUE, INDEX(F25_CF!P:P, MATCH("*" &amp; $A7 &amp; "*", CompanyList!A:A, 0))=TRUE, INDEX(S25_CF!T:T, MATCH("*" &amp; $A7 &amp; "*", CompanyList!A:A, 0))=TRUE, INDEX(S24_CF!W:W, MATCH("*" &amp; $A7 &amp; "*", CompanyList!A:A, 0))=TRUE), "Yes", "No")</f>
        <v>No</v>
      </c>
      <c r="S7" s="43" t="str">
        <f>IF(COUNTIF(S26_CF!$A:$A,"*" &amp; $A7 &amp; "*") &lt;&gt; 0, "Yes", "No")</f>
        <v>No</v>
      </c>
      <c r="T7" s="43" t="str">
        <f t="array" ref="T7">INDEX(S26_CF!K:K, MATCH("*" &amp; $A7 &amp; "*", S26_CF!A:A, 0))</f>
        <v>#N/A</v>
      </c>
      <c r="U7" s="43" t="str">
        <f>IF(COUNTIF(F25_CF!$A:$A,"*" &amp; $A7 &amp; "*") &lt;&gt; 0, "Yes", "No")</f>
        <v>Yes</v>
      </c>
      <c r="V7" s="43" t="str">
        <f t="array" ref="V7">INDEX(F25_CF!I:I, MATCH("*" &amp; $A7 &amp; "*", F25_CF!$A:$A, 0))</f>
        <v>Basic Two-Day [$2000.00]</v>
      </c>
      <c r="W7" s="43" t="str">
        <f>IF(COUNTIF(S25_CF!$A:$A,"*" &amp; $A7 &amp; "*") &lt;&gt; 0, "Yes", "No")</f>
        <v>Yes</v>
      </c>
      <c r="X7" s="43" t="str">
        <f t="array" ref="X7">INDEX(S25_CF!J:J, MATCH("*" &amp; $A7 &amp; "*", S25_CF!$A:$A, 0))</f>
        <v>Basic One-Day: Thursday, January 23rd [$1000.00]</v>
      </c>
      <c r="Y7" s="43" t="str">
        <f>IF(COUNTIF(F24_CF!$A:$A,"*" &amp; $A7 &amp; "*") &lt;&gt; 0, "Yes", "No")</f>
        <v>Yes</v>
      </c>
      <c r="Z7" s="43" t="str">
        <f t="array" ref="Z7">INDEX(F24_CF!N:N, MATCH("*" &amp; $A7 &amp; "*", F24_CF!$A:$A, 0))</f>
        <v>Basic Two-Day [$2000.00]</v>
      </c>
      <c r="AA7" s="43" t="str">
        <f>IF(COUNTIF(S24_CF!$A:$A,"*" &amp; $A7 &amp; "*") &lt;&gt; 0, "Yes", "No")</f>
        <v>Yes</v>
      </c>
      <c r="AB7" s="43" t="str">
        <f t="array" ref="AB7">INDEX(S24_CF!H:H, MATCH("*" &amp; $A7 &amp; "*", S24_CF!$A:$A, 0))</f>
        <v>Basic Two-Day [$2000.00]</v>
      </c>
    </row>
    <row r="8" ht="15.0" customHeight="1">
      <c r="A8" s="52" t="s">
        <v>59</v>
      </c>
      <c r="B8" s="43" t="s">
        <v>52</v>
      </c>
      <c r="C8" s="43"/>
      <c r="D8" s="43"/>
      <c r="E8" s="43"/>
      <c r="F8" s="43">
        <f>COUNTIF(S26_Emp!$C:$C,"*" &amp;A8 &amp; "*")</f>
        <v>0</v>
      </c>
      <c r="G8" s="43">
        <f>COUNTIF(F25_Emp!$C:$C,"*" &amp;#REF! &amp; "*")</f>
        <v>0</v>
      </c>
      <c r="H8" s="43">
        <f>COUNTIF(S25_Emp!$C:$C,"*" &amp; A8 &amp; "*")</f>
        <v>0</v>
      </c>
      <c r="I8" s="43">
        <f>COUNTIF(F24_Emp!$C:$C,"*" &amp; B8 &amp; "*")</f>
        <v>0</v>
      </c>
      <c r="J8" s="43">
        <f>COUNTIF(S24_Emp!$C:$C,"*" &amp; $A8 &amp; "*")</f>
        <v>0</v>
      </c>
      <c r="K8" s="43">
        <f>COUNTIF(F23_Emp!$C:$C,"*" &amp; $A8 &amp; "*")</f>
        <v>0</v>
      </c>
      <c r="L8" s="43">
        <f>COUNTIF(S23_Emp!$C:$C,"*" &amp; $A8 &amp; "*")</f>
        <v>0</v>
      </c>
      <c r="M8" s="43">
        <f>COUNTIF(F22_Emp!$C:$C,"*" &amp; $A8 &amp; "*")</f>
        <v>0</v>
      </c>
      <c r="N8" s="43">
        <f>COUNTIF(S22_Emp!$C:$C,"*" &amp; $A8 &amp; "*")</f>
        <v>0</v>
      </c>
      <c r="O8" s="43" t="str">
        <f>COUNTIFS(S22_Emp!$C:$C,"*" &amp; $A8 &amp; "*", S22_S25_Emp!$B:$B, "Bachelor")</f>
        <v>#VALUE!</v>
      </c>
      <c r="P8" s="43" t="str">
        <f>COUNTIFS(S22_Emp!$C:$C,"*" &amp; $A8 &amp; "*", S22_S25_Emp!$B:$B, "Master")</f>
        <v>#VALUE!</v>
      </c>
      <c r="Q8" s="43" t="str">
        <f>COUNTIFS(S22_Emp!$C:$C,"*" &amp; $A8 &amp; "*", S22_S25_Emp!$B:$B, "Doctorate")</f>
        <v>#VALUE!</v>
      </c>
      <c r="R8" s="43" t="str">
        <f t="array" ref="R8">IF(OR(INDEX(S26_CF!X:X, MATCH("*" &amp; $A8 &amp; "*", CompanyList!A:A, 0))=TRUE, INDEX(F25_CF!P:P, MATCH("*" &amp; $A8 &amp; "*", CompanyList!A:A, 0))=TRUE, INDEX(S25_CF!T:T, MATCH("*" &amp; $A8 &amp; "*", CompanyList!A:A, 0))=TRUE, INDEX(S24_CF!W:W, MATCH("*" &amp; $A8 &amp; "*", CompanyList!A:A, 0))=TRUE), "Yes", "No")</f>
        <v>No</v>
      </c>
      <c r="S8" s="43" t="str">
        <f>IF(COUNTIF(S26_CF!$A:$A,"*" &amp; $A8 &amp; "*") &lt;&gt; 0, "Yes", "No")</f>
        <v>No</v>
      </c>
      <c r="T8" s="43" t="str">
        <f t="array" ref="T8">INDEX(S26_CF!K:K, MATCH("*" &amp; $A8 &amp; "*", S26_CF!A:A, 0))</f>
        <v>#N/A</v>
      </c>
      <c r="U8" s="43" t="str">
        <f>IF(COUNTIF(F25_CF!$A:$A,"*" &amp; $A8 &amp; "*") &lt;&gt; 0, "Yes", "No")</f>
        <v>No</v>
      </c>
      <c r="V8" s="43" t="str">
        <f t="array" ref="V8">INDEX(F25_CF!I:I, MATCH("*" &amp; $A8 &amp; "*", F25_CF!$A:$A, 0))</f>
        <v>#N/A</v>
      </c>
      <c r="W8" s="43" t="str">
        <f>IF(COUNTIF(S25_CF!$A:$A,"*" &amp; $A8 &amp; "*") &lt;&gt; 0, "Yes", "No")</f>
        <v>Yes</v>
      </c>
      <c r="X8" s="43" t="str">
        <f t="array" ref="X8">INDEX(S25_CF!J:J, MATCH("*" &amp; $A8 &amp; "*", S25_CF!$A:$A, 0))</f>
        <v>Basic One-Day: Wednesday, January 22nd [$1000.00]</v>
      </c>
      <c r="Y8" s="43" t="str">
        <f>IF(COUNTIF(F24_CF!$A:$A,"*" &amp; $A8 &amp; "*") &lt;&gt; 0, "Yes", "No")</f>
        <v>Yes</v>
      </c>
      <c r="Z8" s="43" t="str">
        <f t="array" ref="Z8">INDEX(F24_CF!N:N, MATCH("*" &amp; $A8 &amp; "*", F24_CF!$A:$A, 0))</f>
        <v>Basic One-Day: Thursday, September 5th [$1000.00]</v>
      </c>
      <c r="AA8" s="43" t="str">
        <f>IF(COUNTIF(S24_CF!$A:$A,"*" &amp; $A8 &amp; "*") &lt;&gt; 0, "Yes", "No")</f>
        <v>Yes</v>
      </c>
      <c r="AB8" s="43" t="str">
        <f t="array" ref="AB8">INDEX(S24_CF!H:H, MATCH("*" &amp; $A8 &amp; "*", S24_CF!$A:$A, 0))</f>
        <v>Basic One-Day [$1000.00]</v>
      </c>
    </row>
    <row r="9" ht="15.0" customHeight="1">
      <c r="A9" s="52" t="s">
        <v>60</v>
      </c>
      <c r="B9" s="43" t="s">
        <v>61</v>
      </c>
      <c r="C9" s="43"/>
      <c r="D9" s="43">
        <v>330000.0</v>
      </c>
      <c r="E9" s="43"/>
      <c r="F9" s="43">
        <f>COUNTIF(S26_Emp!$C:$C,"*" &amp;A9 &amp; "*")</f>
        <v>0</v>
      </c>
      <c r="G9" s="43">
        <f>COUNTIF(F25_Emp!$C:$C,"*" &amp;#REF! &amp; "*")</f>
        <v>0</v>
      </c>
      <c r="H9" s="43">
        <f>COUNTIF(S25_Emp!$C:$C,"*" &amp; A9 &amp; "*")</f>
        <v>0</v>
      </c>
      <c r="I9" s="43">
        <f>COUNTIF(F24_Emp!$C:$C,"*" &amp; B9 &amp; "*")</f>
        <v>0</v>
      </c>
      <c r="J9" s="43">
        <f>COUNTIF(S24_Emp!$C:$C,"*" &amp; $A9 &amp; "*")</f>
        <v>1</v>
      </c>
      <c r="K9" s="43">
        <f>COUNTIF(F23_Emp!$C:$C,"*" &amp; $A9 &amp; "*")</f>
        <v>0</v>
      </c>
      <c r="L9" s="43">
        <f>COUNTIF(S23_Emp!$C:$C,"*" &amp; $A9 &amp; "*")</f>
        <v>0</v>
      </c>
      <c r="M9" s="43">
        <f>COUNTIF(F22_Emp!$C:$C,"*" &amp; $A9 &amp; "*")</f>
        <v>0</v>
      </c>
      <c r="N9" s="43">
        <f>COUNTIF(S22_Emp!$C:$C,"*" &amp; $A9 &amp; "*")</f>
        <v>0</v>
      </c>
      <c r="O9" s="43" t="str">
        <f>COUNTIFS(S22_Emp!$C:$C,"*" &amp; $A9 &amp; "*", S22_S25_Emp!$B:$B, "Bachelor")</f>
        <v>#VALUE!</v>
      </c>
      <c r="P9" s="43" t="str">
        <f>COUNTIFS(S22_Emp!$C:$C,"*" &amp; $A9 &amp; "*", S22_S25_Emp!$B:$B, "Master")</f>
        <v>#VALUE!</v>
      </c>
      <c r="Q9" s="43" t="str">
        <f>COUNTIFS(S22_Emp!$C:$C,"*" &amp; $A9 &amp; "*", S22_S25_Emp!$B:$B, "Doctorate")</f>
        <v>#VALUE!</v>
      </c>
      <c r="R9" s="43" t="str">
        <f t="array" ref="R9">IF(OR(INDEX(S26_CF!X:X, MATCH("*" &amp; $A9 &amp; "*", CompanyList!A:A, 0))=TRUE, INDEX(F25_CF!P:P, MATCH("*" &amp; $A9 &amp; "*", CompanyList!A:A, 0))=TRUE, INDEX(S25_CF!T:T, MATCH("*" &amp; $A9 &amp; "*", CompanyList!A:A, 0))=TRUE, INDEX(S24_CF!W:W, MATCH("*" &amp; $A9 &amp; "*", CompanyList!A:A, 0))=TRUE), "Yes", "No")</f>
        <v>No</v>
      </c>
      <c r="S9" s="43" t="str">
        <f>IF(COUNTIF(S26_CF!$A:$A,"*" &amp; $A9 &amp; "*") &lt;&gt; 0, "Yes", "No")</f>
        <v>No</v>
      </c>
      <c r="T9" s="43" t="str">
        <f t="array" ref="T9">INDEX(S26_CF!K:K, MATCH("*" &amp; $A9 &amp; "*", S26_CF!A:A, 0))</f>
        <v>#N/A</v>
      </c>
      <c r="U9" s="43" t="str">
        <f>IF(COUNTIF(F25_CF!$A:$A,"*" &amp; $A9 &amp; "*") &lt;&gt; 0, "Yes", "No")</f>
        <v>No</v>
      </c>
      <c r="V9" s="43" t="str">
        <f t="array" ref="V9">INDEX(F25_CF!I:I, MATCH("*" &amp; $A9 &amp; "*", F25_CF!$A:$A, 0))</f>
        <v>#N/A</v>
      </c>
      <c r="W9" s="43" t="str">
        <f>IF(COUNTIF(S25_CF!$A:$A,"*" &amp; $A9 &amp; "*") &lt;&gt; 0, "Yes", "No")</f>
        <v>No</v>
      </c>
      <c r="X9" s="43" t="str">
        <f t="array" ref="X9">INDEX(S25_CF!J:J, MATCH("*" &amp; $A9 &amp; "*", S25_CF!$A:$A, 0))</f>
        <v>#N/A</v>
      </c>
      <c r="Y9" s="43" t="str">
        <f>IF(COUNTIF(F24_CF!$A:$A,"*" &amp; $A9 &amp; "*") &lt;&gt; 0, "Yes", "No")</f>
        <v>Yes</v>
      </c>
      <c r="Z9" s="43" t="str">
        <f t="array" ref="Z9">INDEX(F24_CF!N:N, MATCH("*" &amp; $A9 &amp; "*", F24_CF!$A:$A, 0))</f>
        <v>Basic Two-Day [$2000.00]</v>
      </c>
      <c r="AA9" s="43" t="str">
        <f>IF(COUNTIF(S24_CF!$A:$A,"*" &amp; $A9 &amp; "*") &lt;&gt; 0, "Yes", "No")</f>
        <v>Yes</v>
      </c>
      <c r="AB9" s="43" t="str">
        <f t="array" ref="AB9">INDEX(S24_CF!H:H, MATCH("*" &amp; $A9 &amp; "*", S24_CF!$A:$A, 0))</f>
        <v>Basic Two-Day [$2000.00]</v>
      </c>
    </row>
    <row r="10" ht="15.0" customHeight="1">
      <c r="A10" s="52" t="s">
        <v>62</v>
      </c>
      <c r="B10" s="43" t="s">
        <v>52</v>
      </c>
      <c r="C10" s="43">
        <v>3500.0</v>
      </c>
      <c r="D10" s="43">
        <v>13000.0</v>
      </c>
      <c r="E10" s="43"/>
      <c r="F10" s="43">
        <f>COUNTIF(S26_Emp!$C:$C,"*" &amp;A10 &amp; "*")</f>
        <v>0</v>
      </c>
      <c r="G10" s="43">
        <f>COUNTIF(F25_Emp!$C:$C,"*" &amp;#REF! &amp; "*")</f>
        <v>0</v>
      </c>
      <c r="H10" s="43">
        <f>COUNTIF(S25_Emp!$C:$C,"*" &amp; A10 &amp; "*")</f>
        <v>0</v>
      </c>
      <c r="I10" s="43">
        <f>COUNTIF(F24_Emp!$C:$C,"*" &amp; B10 &amp; "*")</f>
        <v>0</v>
      </c>
      <c r="J10" s="43">
        <f>COUNTIF(S24_Emp!$C:$C,"*" &amp; $A10 &amp; "*")</f>
        <v>0</v>
      </c>
      <c r="K10" s="43">
        <f>COUNTIF(F23_Emp!$C:$C,"*" &amp; $A10 &amp; "*")</f>
        <v>0</v>
      </c>
      <c r="L10" s="43">
        <f>COUNTIF(S23_Emp!$C:$C,"*" &amp; $A10 &amp; "*")</f>
        <v>0</v>
      </c>
      <c r="M10" s="43">
        <f>COUNTIF(F22_Emp!$C:$C,"*" &amp; $A10 &amp; "*")</f>
        <v>1</v>
      </c>
      <c r="N10" s="43">
        <f>COUNTIF(S22_Emp!$C:$C,"*" &amp; $A10 &amp; "*")</f>
        <v>2</v>
      </c>
      <c r="O10" s="43" t="str">
        <f>COUNTIFS(S22_Emp!$C:$C,"*" &amp; $A10 &amp; "*", S22_S25_Emp!$B:$B, "Bachelor")</f>
        <v>#VALUE!</v>
      </c>
      <c r="P10" s="43" t="str">
        <f>COUNTIFS(S22_Emp!$C:$C,"*" &amp; $A10 &amp; "*", S22_S25_Emp!$B:$B, "Master")</f>
        <v>#VALUE!</v>
      </c>
      <c r="Q10" s="43" t="str">
        <f>COUNTIFS(S22_Emp!$C:$C,"*" &amp; $A10 &amp; "*", S22_S25_Emp!$B:$B, "Doctorate")</f>
        <v>#VALUE!</v>
      </c>
      <c r="R10" s="43" t="str">
        <f t="array" ref="R10">IF(OR(INDEX(S26_CF!X:X, MATCH("*" &amp; $A10 &amp; "*", CompanyList!A:A, 0))=TRUE, INDEX(F25_CF!P:P, MATCH("*" &amp; $A10 &amp; "*", CompanyList!A:A, 0))=TRUE, INDEX(S25_CF!T:T, MATCH("*" &amp; $A10 &amp; "*", CompanyList!A:A, 0))=TRUE, INDEX(S24_CF!W:W, MATCH("*" &amp; $A10 &amp; "*", CompanyList!A:A, 0))=TRUE), "Yes", "No")</f>
        <v>Yes</v>
      </c>
      <c r="S10" s="43" t="str">
        <f>IF(COUNTIF(S26_CF!$A:$A,"*" &amp; $A10 &amp; "*") &lt;&gt; 0, "Yes", "No")</f>
        <v>Yes</v>
      </c>
      <c r="T10" s="43" t="str">
        <f t="array" ref="T10">INDEX(S26_CF!K:K, MATCH("*" &amp; $A10 &amp; "*", S26_CF!A:A, 0))</f>
        <v>Silver Two-Day [$3000.00]</v>
      </c>
      <c r="U10" s="43" t="str">
        <f>IF(COUNTIF(F25_CF!$A:$A,"*" &amp; $A10 &amp; "*") &lt;&gt; 0, "Yes", "No")</f>
        <v>Yes</v>
      </c>
      <c r="V10" s="43" t="str">
        <f t="array" ref="V10">INDEX(F25_CF!I:I, MATCH("*" &amp; $A10 &amp; "*", F25_CF!$A:$A, 0))</f>
        <v>Silver Two-Day [$3000.00]</v>
      </c>
      <c r="W10" s="43" t="str">
        <f>IF(COUNTIF(S25_CF!$A:$A,"*" &amp; $A10 &amp; "*") &lt;&gt; 0, "Yes", "No")</f>
        <v>Yes</v>
      </c>
      <c r="X10" s="43" t="str">
        <f t="array" ref="X10">INDEX(S25_CF!J:J, MATCH("*" &amp; $A10 &amp; "*", S25_CF!$A:$A, 0))</f>
        <v>Gold Two-Day [$5500.00]</v>
      </c>
      <c r="Y10" s="43" t="str">
        <f>IF(COUNTIF(F24_CF!$A:$A,"*" &amp; $A10 &amp; "*") &lt;&gt; 0, "Yes", "No")</f>
        <v>Yes</v>
      </c>
      <c r="Z10" s="43" t="str">
        <f t="array" ref="Z10">INDEX(F24_CF!N:N, MATCH("*" &amp; $A10 &amp; "*", F24_CF!$A:$A, 0))</f>
        <v>Gold Two-Day [$5500.00]</v>
      </c>
      <c r="AA10" s="43" t="str">
        <f>IF(COUNTIF(S24_CF!$A:$A,"*" &amp; $A10 &amp; "*") &lt;&gt; 0, "Yes", "No")</f>
        <v>Yes</v>
      </c>
      <c r="AB10" s="43" t="str">
        <f t="array" ref="AB10">INDEX(S24_CF!H:H, MATCH("*" &amp; $A10 &amp; "*", S24_CF!$A:$A, 0))</f>
        <v>Basic Two-Day [$2000.00]</v>
      </c>
    </row>
    <row r="11" ht="15.0" customHeight="1">
      <c r="A11" s="52" t="s">
        <v>63</v>
      </c>
      <c r="B11" s="43" t="s">
        <v>64</v>
      </c>
      <c r="C11" s="43"/>
      <c r="D11" s="43">
        <v>1000.0</v>
      </c>
      <c r="E11" s="43"/>
      <c r="F11" s="43">
        <f>COUNTIF(S26_Emp!$C:$C,"*" &amp;A11 &amp; "*")</f>
        <v>0</v>
      </c>
      <c r="G11" s="43">
        <f>COUNTIF(F25_Emp!$C:$C,"*" &amp;#REF! &amp; "*")</f>
        <v>0</v>
      </c>
      <c r="H11" s="43">
        <f>COUNTIF(S25_Emp!$C:$C,"*" &amp; A11 &amp; "*")</f>
        <v>0</v>
      </c>
      <c r="I11" s="43">
        <f>COUNTIF(F24_Emp!$C:$C,"*" &amp; B11 &amp; "*")</f>
        <v>0</v>
      </c>
      <c r="J11" s="43">
        <f>COUNTIF(S24_Emp!$C:$C,"*" &amp; $A11 &amp; "*")</f>
        <v>0</v>
      </c>
      <c r="K11" s="43">
        <f>COUNTIF(F23_Emp!$C:$C,"*" &amp; $A11 &amp; "*")</f>
        <v>0</v>
      </c>
      <c r="L11" s="43">
        <f>COUNTIF(S23_Emp!$C:$C,"*" &amp; $A11 &amp; "*")</f>
        <v>1</v>
      </c>
      <c r="M11" s="43">
        <f>COUNTIF(F22_Emp!$C:$C,"*" &amp; $A11 &amp; "*")</f>
        <v>0</v>
      </c>
      <c r="N11" s="43">
        <f>COUNTIF(S22_Emp!$C:$C,"*" &amp; $A11 &amp; "*")</f>
        <v>0</v>
      </c>
      <c r="O11" s="43" t="str">
        <f>COUNTIFS(S22_Emp!$C:$C,"*" &amp; $A11 &amp; "*", S22_S25_Emp!$B:$B, "Bachelor")</f>
        <v>#VALUE!</v>
      </c>
      <c r="P11" s="43" t="str">
        <f>COUNTIFS(S22_Emp!$C:$C,"*" &amp; $A11 &amp; "*", S22_S25_Emp!$B:$B, "Master")</f>
        <v>#VALUE!</v>
      </c>
      <c r="Q11" s="43" t="str">
        <f>COUNTIFS(S22_Emp!$C:$C,"*" &amp; $A11 &amp; "*", S22_S25_Emp!$B:$B, "Doctorate")</f>
        <v>#VALUE!</v>
      </c>
      <c r="R11" s="43" t="str">
        <f t="array" ref="R11">IF(OR(INDEX(S26_CF!X:X, MATCH("*" &amp; $A11 &amp; "*", CompanyList!A:A, 0))=TRUE, INDEX(F25_CF!P:P, MATCH("*" &amp; $A11 &amp; "*", CompanyList!A:A, 0))=TRUE, INDEX(S25_CF!T:T, MATCH("*" &amp; $A11 &amp; "*", CompanyList!A:A, 0))=TRUE, INDEX(S24_CF!W:W, MATCH("*" &amp; $A11 &amp; "*", CompanyList!A:A, 0))=TRUE), "Yes", "No")</f>
        <v>No</v>
      </c>
      <c r="S11" s="43" t="str">
        <f>IF(COUNTIF(S26_CF!$A:$A,"*" &amp; $A11 &amp; "*") &lt;&gt; 0, "Yes", "No")</f>
        <v>Yes</v>
      </c>
      <c r="T11" s="43" t="str">
        <f t="array" ref="T11">INDEX(S26_CF!K:K, MATCH("*" &amp; $A11 &amp; "*", S26_CF!A:A, 0))</f>
        <v>Gold Two-Day [$5500.00]</v>
      </c>
      <c r="U11" s="43" t="str">
        <f>IF(COUNTIF(F25_CF!$A:$A,"*" &amp; $A11 &amp; "*") &lt;&gt; 0, "Yes", "No")</f>
        <v>Yes</v>
      </c>
      <c r="V11" s="43" t="str">
        <f t="array" ref="V11">INDEX(F25_CF!I:I, MATCH("*" &amp; $A11 &amp; "*", F25_CF!$A:$A, 0))</f>
        <v>Gold Two-Day [$5500.00]</v>
      </c>
      <c r="W11" s="43" t="str">
        <f>IF(COUNTIF(S25_CF!$A:$A,"*" &amp; $A11 &amp; "*") &lt;&gt; 0, "Yes", "No")</f>
        <v>Yes</v>
      </c>
      <c r="X11" s="43" t="str">
        <f t="array" ref="X11">INDEX(S25_CF!J:J, MATCH("*" &amp; $A11 &amp; "*", S25_CF!$A:$A, 0))</f>
        <v>Gold Two-Day [$5500.00]</v>
      </c>
      <c r="Y11" s="43" t="str">
        <f>IF(COUNTIF(F24_CF!$A:$A,"*" &amp; $A11 &amp; "*") &lt;&gt; 0, "Yes", "No")</f>
        <v>Yes</v>
      </c>
      <c r="Z11" s="43" t="str">
        <f t="array" ref="Z11">INDEX(F24_CF!N:N, MATCH("*" &amp; $A11 &amp; "*", F24_CF!$A:$A, 0))</f>
        <v>Gold Two-Day [$5500.00]</v>
      </c>
      <c r="AA11" s="43" t="str">
        <f>IF(COUNTIF(S24_CF!$A:$A,"*" &amp; $A11 &amp; "*") &lt;&gt; 0, "Yes", "No")</f>
        <v>Yes</v>
      </c>
      <c r="AB11" s="43" t="str">
        <f t="array" ref="AB11">INDEX(S24_CF!H:H, MATCH("*" &amp; $A11 &amp; "*", S24_CF!$A:$A, 0))</f>
        <v>Gold Two-Day [$5000.00]</v>
      </c>
    </row>
    <row r="12" ht="15.0" customHeight="1">
      <c r="A12" s="52" t="s">
        <v>65</v>
      </c>
      <c r="B12" s="43" t="s">
        <v>52</v>
      </c>
      <c r="C12" s="43"/>
      <c r="D12" s="43"/>
      <c r="E12" s="43"/>
      <c r="F12" s="43">
        <f>COUNTIF(S26_Emp!$C:$C,"*" &amp;A12 &amp; "*")</f>
        <v>0</v>
      </c>
      <c r="G12" s="43">
        <f>COUNTIF(F25_Emp!$C:$C,"*" &amp;#REF! &amp; "*")</f>
        <v>0</v>
      </c>
      <c r="H12" s="43">
        <f>COUNTIF(S25_Emp!$C:$C,"*" &amp; A12 &amp; "*")</f>
        <v>0</v>
      </c>
      <c r="I12" s="43">
        <f>COUNTIF(F24_Emp!$C:$C,"*" &amp; B12 &amp; "*")</f>
        <v>0</v>
      </c>
      <c r="J12" s="43">
        <f>COUNTIF(S24_Emp!$C:$C,"*" &amp; $A12 &amp; "*")</f>
        <v>1</v>
      </c>
      <c r="K12" s="43">
        <f>COUNTIF(F23_Emp!$C:$C,"*" &amp; $A12 &amp; "*")</f>
        <v>0</v>
      </c>
      <c r="L12" s="43">
        <f>COUNTIF(S23_Emp!$C:$C,"*" &amp; $A12 &amp; "*")</f>
        <v>1</v>
      </c>
      <c r="M12" s="43">
        <f>COUNTIF(F22_Emp!$C:$C,"*" &amp; $A12 &amp; "*")</f>
        <v>0</v>
      </c>
      <c r="N12" s="43">
        <f>COUNTIF(S22_Emp!$C:$C,"*" &amp; $A12 &amp; "*")</f>
        <v>0</v>
      </c>
      <c r="O12" s="43" t="str">
        <f>COUNTIFS(S22_Emp!$C:$C,"*" &amp; $A12 &amp; "*", S22_S25_Emp!$B:$B, "Bachelor")</f>
        <v>#VALUE!</v>
      </c>
      <c r="P12" s="43" t="str">
        <f>COUNTIFS(S22_Emp!$C:$C,"*" &amp; $A12 &amp; "*", S22_S25_Emp!$B:$B, "Master")</f>
        <v>#VALUE!</v>
      </c>
      <c r="Q12" s="43" t="str">
        <f>COUNTIFS(S22_Emp!$C:$C,"*" &amp; $A12 &amp; "*", S22_S25_Emp!$B:$B, "Doctorate")</f>
        <v>#VALUE!</v>
      </c>
      <c r="R12" s="43" t="str">
        <f t="array" ref="R12">IF(OR(INDEX(S26_CF!X:X, MATCH("*" &amp; $A12 &amp; "*", CompanyList!A:A, 0))=TRUE, INDEX(F25_CF!P:P, MATCH("*" &amp; $A12 &amp; "*", CompanyList!A:A, 0))=TRUE, INDEX(S25_CF!T:T, MATCH("*" &amp; $A12 &amp; "*", CompanyList!A:A, 0))=TRUE, INDEX(S24_CF!W:W, MATCH("*" &amp; $A12 &amp; "*", CompanyList!A:A, 0))=TRUE), "Yes", "No")</f>
        <v>No</v>
      </c>
      <c r="S12" s="43" t="str">
        <f>IF(COUNTIF(S26_CF!$A:$A,"*" &amp; $A12 &amp; "*") &lt;&gt; 0, "Yes", "No")</f>
        <v>No</v>
      </c>
      <c r="T12" s="43" t="str">
        <f t="array" ref="T12">INDEX(S26_CF!K:K, MATCH("*" &amp; $A12 &amp; "*", S26_CF!A:A, 0))</f>
        <v>#N/A</v>
      </c>
      <c r="U12" s="43" t="str">
        <f>IF(COUNTIF(F25_CF!$A:$A,"*" &amp; $A12 &amp; "*") &lt;&gt; 0, "Yes", "No")</f>
        <v>No</v>
      </c>
      <c r="V12" s="43" t="str">
        <f t="array" ref="V12">INDEX(F25_CF!I:I, MATCH("*" &amp; $A12 &amp; "*", F25_CF!$A:$A, 0))</f>
        <v>#N/A</v>
      </c>
      <c r="W12" s="43" t="str">
        <f>IF(COUNTIF(S25_CF!$A:$A,"*" &amp; $A12 &amp; "*") &lt;&gt; 0, "Yes", "No")</f>
        <v>Yes</v>
      </c>
      <c r="X12" s="43" t="str">
        <f t="array" ref="X12">INDEX(S25_CF!J:J, MATCH("*" &amp; $A12 &amp; "*", S25_CF!$A:$A, 0))</f>
        <v>Gold Two-Day [$5500.00]</v>
      </c>
      <c r="Y12" s="43" t="str">
        <f>IF(COUNTIF(F24_CF!$A:$A,"*" &amp; $A12 &amp; "*") &lt;&gt; 0, "Yes", "No")</f>
        <v>Yes</v>
      </c>
      <c r="Z12" s="43" t="str">
        <f t="array" ref="Z12">INDEX(F24_CF!N:N, MATCH("*" &amp; $A12 &amp; "*", F24_CF!$A:$A, 0))</f>
        <v>Gold Two-Day [$5500.00]</v>
      </c>
      <c r="AA12" s="43" t="str">
        <f>IF(COUNTIF(S24_CF!$A:$A,"*" &amp; $A12 &amp; "*") &lt;&gt; 0, "Yes", "No")</f>
        <v>Yes</v>
      </c>
      <c r="AB12" s="43" t="str">
        <f t="array" ref="AB12">INDEX(S24_CF!H:H, MATCH("*" &amp; $A12 &amp; "*", S24_CF!$A:$A, 0))</f>
        <v>Gold Two-Day [$5000.00]</v>
      </c>
    </row>
    <row r="13" ht="15.0" customHeight="1">
      <c r="A13" s="52" t="s">
        <v>66</v>
      </c>
      <c r="B13" s="43" t="s">
        <v>52</v>
      </c>
      <c r="C13" s="43"/>
      <c r="D13" s="43"/>
      <c r="E13" s="43"/>
      <c r="F13" s="43">
        <f>COUNTIF(S26_Emp!$C:$C,"*" &amp;A13 &amp; "*")</f>
        <v>0</v>
      </c>
      <c r="G13" s="43">
        <f>COUNTIF(F25_Emp!$C:$C,"*" &amp;#REF! &amp; "*")</f>
        <v>0</v>
      </c>
      <c r="H13" s="43">
        <f>COUNTIF(S25_Emp!$C:$C,"*" &amp; A13 &amp; "*")</f>
        <v>0</v>
      </c>
      <c r="I13" s="43">
        <f>COUNTIF(F24_Emp!$C:$C,"*" &amp; B13 &amp; "*")</f>
        <v>0</v>
      </c>
      <c r="J13" s="43">
        <f>COUNTIF(S24_Emp!$C:$C,"*" &amp; $A13 &amp; "*")</f>
        <v>1</v>
      </c>
      <c r="K13" s="43">
        <f>COUNTIF(F23_Emp!$C:$C,"*" &amp; $A13 &amp; "*")</f>
        <v>0</v>
      </c>
      <c r="L13" s="43">
        <f>COUNTIF(S23_Emp!$C:$C,"*" &amp; $A13 &amp; "*")</f>
        <v>0</v>
      </c>
      <c r="M13" s="43">
        <f>COUNTIF(F22_Emp!$C:$C,"*" &amp; $A13 &amp; "*")</f>
        <v>0</v>
      </c>
      <c r="N13" s="43">
        <f>COUNTIF(S22_Emp!$C:$C,"*" &amp; $A13 &amp; "*")</f>
        <v>0</v>
      </c>
      <c r="O13" s="43" t="str">
        <f>COUNTIFS(S22_Emp!$C:$C,"*" &amp; $A13 &amp; "*", S22_S25_Emp!$B:$B, "Bachelor")</f>
        <v>#VALUE!</v>
      </c>
      <c r="P13" s="43" t="str">
        <f>COUNTIFS(S22_Emp!$C:$C,"*" &amp; $A13 &amp; "*", S22_S25_Emp!$B:$B, "Master")</f>
        <v>#VALUE!</v>
      </c>
      <c r="Q13" s="43" t="str">
        <f>COUNTIFS(S22_Emp!$C:$C,"*" &amp; $A13 &amp; "*", S22_S25_Emp!$B:$B, "Doctorate")</f>
        <v>#VALUE!</v>
      </c>
      <c r="R13" s="43" t="str">
        <f t="array" ref="R13">IF(OR(INDEX(S26_CF!X:X, MATCH("*" &amp; $A13 &amp; "*", CompanyList!A:A, 0))=TRUE, INDEX(F25_CF!P:P, MATCH("*" &amp; $A13 &amp; "*", CompanyList!A:A, 0))=TRUE, INDEX(S25_CF!T:T, MATCH("*" &amp; $A13 &amp; "*", CompanyList!A:A, 0))=TRUE, INDEX(S24_CF!W:W, MATCH("*" &amp; $A13 &amp; "*", CompanyList!A:A, 0))=TRUE), "Yes", "No")</f>
        <v>No</v>
      </c>
      <c r="S13" s="43" t="str">
        <f>IF(COUNTIF(S26_CF!$A:$A,"*" &amp; $A13 &amp; "*") &lt;&gt; 0, "Yes", "No")</f>
        <v>Yes</v>
      </c>
      <c r="T13" s="43" t="str">
        <f t="array" ref="T13">INDEX(S26_CF!K:K, MATCH("*" &amp; $A13 &amp; "*", S26_CF!A:A, 0))</f>
        <v>Basic Two-Day [$2000.00]</v>
      </c>
      <c r="U13" s="43" t="str">
        <f>IF(COUNTIF(F25_CF!$A:$A,"*" &amp; $A13 &amp; "*") &lt;&gt; 0, "Yes", "No")</f>
        <v>Yes</v>
      </c>
      <c r="V13" s="43" t="str">
        <f t="array" ref="V13">INDEX(F25_CF!I:I, MATCH("*" &amp; $A13 &amp; "*", F25_CF!$A:$A, 0))</f>
        <v>Basic Two-Day [$2000.00]</v>
      </c>
      <c r="W13" s="43" t="str">
        <f>IF(COUNTIF(S25_CF!$A:$A,"*" &amp; $A13 &amp; "*") &lt;&gt; 0, "Yes", "No")</f>
        <v>Yes</v>
      </c>
      <c r="X13" s="43" t="str">
        <f t="array" ref="X13">INDEX(S25_CF!J:J, MATCH("*" &amp; $A13 &amp; "*", S25_CF!$A:$A, 0))</f>
        <v>Basic Two-Day [$2000.00]</v>
      </c>
      <c r="Y13" s="43" t="str">
        <f>IF(COUNTIF(F24_CF!$A:$A,"*" &amp; $A13 &amp; "*") &lt;&gt; 0, "Yes", "No")</f>
        <v>Yes</v>
      </c>
      <c r="Z13" s="43" t="str">
        <f t="array" ref="Z13">INDEX(F24_CF!N:N, MATCH("*" &amp; $A13 &amp; "*", F24_CF!$A:$A, 0))</f>
        <v>Basic Two-Day [$2000.00]</v>
      </c>
      <c r="AA13" s="43" t="str">
        <f>IF(COUNTIF(S24_CF!$A:$A,"*" &amp; $A13 &amp; "*") &lt;&gt; 0, "Yes", "No")</f>
        <v>Yes</v>
      </c>
      <c r="AB13" s="43" t="str">
        <f t="array" ref="AB13">INDEX(S24_CF!H:H, MATCH("*" &amp; $A13 &amp; "*", S24_CF!$A:$A, 0))</f>
        <v>Basic Two-Day [$2000.00]</v>
      </c>
    </row>
    <row r="14" ht="15.0" customHeight="1">
      <c r="A14" s="52" t="s">
        <v>67</v>
      </c>
      <c r="B14" s="43" t="s">
        <v>52</v>
      </c>
      <c r="C14" s="43"/>
      <c r="D14" s="43"/>
      <c r="E14" s="43"/>
      <c r="F14" s="43">
        <f>COUNTIF(S26_Emp!$C:$C,"*" &amp;A14 &amp; "*")</f>
        <v>0</v>
      </c>
      <c r="G14" s="43">
        <f>COUNTIF(F25_Emp!$C:$C,"*" &amp;#REF! &amp; "*")</f>
        <v>0</v>
      </c>
      <c r="H14" s="43">
        <f>COUNTIF(S25_Emp!$C:$C,"*" &amp; A14 &amp; "*")</f>
        <v>0</v>
      </c>
      <c r="I14" s="43">
        <f>COUNTIF(F24_Emp!$C:$C,"*" &amp; B14 &amp; "*")</f>
        <v>0</v>
      </c>
      <c r="J14" s="43">
        <f>COUNTIF(S24_Emp!$C:$C,"*" &amp; $A14 &amp; "*")</f>
        <v>0</v>
      </c>
      <c r="K14" s="43">
        <f>COUNTIF(F23_Emp!$C:$C,"*" &amp; $A14 &amp; "*")</f>
        <v>0</v>
      </c>
      <c r="L14" s="43">
        <f>COUNTIF(S23_Emp!$C:$C,"*" &amp; $A14 &amp; "*")</f>
        <v>0</v>
      </c>
      <c r="M14" s="43">
        <f>COUNTIF(F22_Emp!$C:$C,"*" &amp; $A14 &amp; "*")</f>
        <v>0</v>
      </c>
      <c r="N14" s="43">
        <f>COUNTIF(S22_Emp!$C:$C,"*" &amp; $A14 &amp; "*")</f>
        <v>0</v>
      </c>
      <c r="O14" s="43" t="str">
        <f>COUNTIFS(S22_Emp!$C:$C,"*" &amp; $A14 &amp; "*", S22_S25_Emp!$B:$B, "Bachelor")</f>
        <v>#VALUE!</v>
      </c>
      <c r="P14" s="43" t="str">
        <f>COUNTIFS(S22_Emp!$C:$C,"*" &amp; $A14 &amp; "*", S22_S25_Emp!$B:$B, "Master")</f>
        <v>#VALUE!</v>
      </c>
      <c r="Q14" s="43" t="str">
        <f>COUNTIFS(S22_Emp!$C:$C,"*" &amp; $A14 &amp; "*", S22_S25_Emp!$B:$B, "Doctorate")</f>
        <v>#VALUE!</v>
      </c>
      <c r="R14" s="43" t="str">
        <f t="array" ref="R14">IF(OR(INDEX(S26_CF!X:X, MATCH("*" &amp; $A14 &amp; "*", CompanyList!A:A, 0))=TRUE, INDEX(F25_CF!P:P, MATCH("*" &amp; $A14 &amp; "*", CompanyList!A:A, 0))=TRUE, INDEX(S25_CF!T:T, MATCH("*" &amp; $A14 &amp; "*", CompanyList!A:A, 0))=TRUE, INDEX(S24_CF!W:W, MATCH("*" &amp; $A14 &amp; "*", CompanyList!A:A, 0))=TRUE), "Yes", "No")</f>
        <v>Yes</v>
      </c>
      <c r="S14" s="43" t="str">
        <f>IF(COUNTIF(S26_CF!$A:$A,"*" &amp; $A14 &amp; "*") &lt;&gt; 0, "Yes", "No")</f>
        <v>Yes</v>
      </c>
      <c r="T14" s="43" t="str">
        <f t="array" ref="T14">INDEX(S26_CF!K:K, MATCH("*" &amp; $A14 &amp; "*", S26_CF!A:A, 0))</f>
        <v>Basic One-Day: Wednesday, January 28th [$1000.00]</v>
      </c>
      <c r="U14" s="43" t="str">
        <f>IF(COUNTIF(F25_CF!$A:$A,"*" &amp; $A14 &amp; "*") &lt;&gt; 0, "Yes", "No")</f>
        <v>No</v>
      </c>
      <c r="V14" s="43" t="str">
        <f t="array" ref="V14">INDEX(F25_CF!I:I, MATCH("*" &amp; $A14 &amp; "*", F25_CF!$A:$A, 0))</f>
        <v>#N/A</v>
      </c>
      <c r="W14" s="43" t="str">
        <f>IF(COUNTIF(S25_CF!$A:$A,"*" &amp; $A14 &amp; "*") &lt;&gt; 0, "Yes", "No")</f>
        <v>Yes</v>
      </c>
      <c r="X14" s="43" t="str">
        <f t="array" ref="X14">INDEX(S25_CF!J:J, MATCH("*" &amp; $A14 &amp; "*", S25_CF!$A:$A, 0))</f>
        <v>Silver One-Day: Thursday, January 23rd [$1800.00]</v>
      </c>
      <c r="Y14" s="43" t="str">
        <f>IF(COUNTIF(F24_CF!$A:$A,"*" &amp; $A14 &amp; "*") &lt;&gt; 0, "Yes", "No")</f>
        <v>Yes</v>
      </c>
      <c r="Z14" s="43" t="str">
        <f t="array" ref="Z14">INDEX(F24_CF!N:N, MATCH("*" &amp; $A14 &amp; "*", F24_CF!$A:$A, 0))</f>
        <v>Gold One-Day: Thursday, September 5th [$2500.00]</v>
      </c>
      <c r="AA14" s="43" t="str">
        <f>IF(COUNTIF(S24_CF!$A:$A,"*" &amp; $A14 &amp; "*") &lt;&gt; 0, "Yes", "No")</f>
        <v>Yes</v>
      </c>
      <c r="AB14" s="43" t="str">
        <f t="array" ref="AB14">INDEX(S24_CF!H:H, MATCH("*" &amp; $A14 &amp; "*", S24_CF!$A:$A, 0))</f>
        <v>Basic Two-Day [$2000.00]</v>
      </c>
    </row>
    <row r="15" ht="15.0" customHeight="1">
      <c r="A15" s="52" t="s">
        <v>68</v>
      </c>
      <c r="B15" s="43" t="s">
        <v>52</v>
      </c>
      <c r="C15" s="43"/>
      <c r="D15" s="43"/>
      <c r="E15" s="43"/>
      <c r="F15" s="43">
        <f>COUNTIF(S26_Emp!$C:$C,"*" &amp;A15 &amp; "*")</f>
        <v>0</v>
      </c>
      <c r="G15" s="43">
        <f>COUNTIF(F25_Emp!$C:$C,"*" &amp;#REF! &amp; "*")</f>
        <v>0</v>
      </c>
      <c r="H15" s="43">
        <f>COUNTIF(S25_Emp!$C:$C,"*" &amp; A15 &amp; "*")</f>
        <v>0</v>
      </c>
      <c r="I15" s="43">
        <f>COUNTIF(F24_Emp!$C:$C,"*" &amp; B15 &amp; "*")</f>
        <v>0</v>
      </c>
      <c r="J15" s="43">
        <f>COUNTIF(S24_Emp!$C:$C,"*" &amp; $A15 &amp; "*")</f>
        <v>0</v>
      </c>
      <c r="K15" s="43">
        <f>COUNTIF(F23_Emp!$C:$C,"*" &amp; $A15 &amp; "*")</f>
        <v>0</v>
      </c>
      <c r="L15" s="43">
        <f>COUNTIF(S23_Emp!$C:$C,"*" &amp; $A15 &amp; "*")</f>
        <v>1</v>
      </c>
      <c r="M15" s="43">
        <f>COUNTIF(F22_Emp!$C:$C,"*" &amp; $A15 &amp; "*")</f>
        <v>1</v>
      </c>
      <c r="N15" s="43">
        <f>COUNTIF(S22_Emp!$C:$C,"*" &amp; $A15 &amp; "*")</f>
        <v>0</v>
      </c>
      <c r="O15" s="43" t="str">
        <f>COUNTIFS(S22_Emp!$C:$C,"*" &amp; $A15 &amp; "*", S22_S25_Emp!$B:$B, "Bachelor")</f>
        <v>#VALUE!</v>
      </c>
      <c r="P15" s="43" t="str">
        <f>COUNTIFS(S22_Emp!$C:$C,"*" &amp; $A15 &amp; "*", S22_S25_Emp!$B:$B, "Master")</f>
        <v>#VALUE!</v>
      </c>
      <c r="Q15" s="43" t="str">
        <f>COUNTIFS(S22_Emp!$C:$C,"*" &amp; $A15 &amp; "*", S22_S25_Emp!$B:$B, "Doctorate")</f>
        <v>#VALUE!</v>
      </c>
      <c r="R15" s="43" t="str">
        <f t="array" ref="R15">IF(OR(INDEX(S26_CF!X:X, MATCH("*" &amp; $A15 &amp; "*", CompanyList!A:A, 0))=TRUE, INDEX(F25_CF!P:P, MATCH("*" &amp; $A15 &amp; "*", CompanyList!A:A, 0))=TRUE, INDEX(S25_CF!T:T, MATCH("*" &amp; $A15 &amp; "*", CompanyList!A:A, 0))=TRUE, INDEX(S24_CF!W:W, MATCH("*" &amp; $A15 &amp; "*", CompanyList!A:A, 0))=TRUE), "Yes", "No")</f>
        <v>No</v>
      </c>
      <c r="S15" s="43" t="str">
        <f>IF(COUNTIF(S26_CF!$A:$A,"*" &amp; $A15 &amp; "*") &lt;&gt; 0, "Yes", "No")</f>
        <v>Yes</v>
      </c>
      <c r="T15" s="43" t="str">
        <f t="array" ref="T15">INDEX(S26_CF!K:K, MATCH("*" &amp; $A15 &amp; "*", S26_CF!A:A, 0))</f>
        <v>Basic One-Day: Thursday, January 29th [$1000.00]</v>
      </c>
      <c r="U15" s="43" t="str">
        <f>IF(COUNTIF(F25_CF!$A:$A,"*" &amp; $A15 &amp; "*") &lt;&gt; 0, "Yes", "No")</f>
        <v>Yes</v>
      </c>
      <c r="V15" s="43" t="str">
        <f t="array" ref="V15">INDEX(F25_CF!I:I, MATCH("*" &amp; $A15 &amp; "*", F25_CF!$A:$A, 0))</f>
        <v>Basic One-Day: Wednesday, September 10th [$1000.00]</v>
      </c>
      <c r="W15" s="43" t="str">
        <f>IF(COUNTIF(S25_CF!$A:$A,"*" &amp; $A15 &amp; "*") &lt;&gt; 0, "Yes", "No")</f>
        <v>Yes</v>
      </c>
      <c r="X15" s="43" t="str">
        <f t="array" ref="X15">INDEX(S25_CF!J:J, MATCH("*" &amp; $A15 &amp; "*", S25_CF!$A:$A, 0))</f>
        <v>Basic One-Day: Wednesday, January 22nd [$1000.00]</v>
      </c>
      <c r="Y15" s="43" t="str">
        <f>IF(COUNTIF(F24_CF!$A:$A,"*" &amp; $A15 &amp; "*") &lt;&gt; 0, "Yes", "No")</f>
        <v>No</v>
      </c>
      <c r="Z15" s="43" t="str">
        <f t="array" ref="Z15">INDEX(F24_CF!N:N, MATCH("*" &amp; $A15 &amp; "*", F24_CF!$A:$A, 0))</f>
        <v>#N/A</v>
      </c>
      <c r="AA15" s="43" t="str">
        <f>IF(COUNTIF(S24_CF!$A:$A,"*" &amp; $A15 &amp; "*") &lt;&gt; 0, "Yes", "No")</f>
        <v>Yes</v>
      </c>
      <c r="AB15" s="43" t="str">
        <f t="array" ref="AB15">INDEX(S24_CF!H:H, MATCH("*" &amp; $A15 &amp; "*", S24_CF!$A:$A, 0))</f>
        <v>Basic One-Day [$1000.00]</v>
      </c>
    </row>
    <row r="16" ht="15.0" customHeight="1">
      <c r="A16" s="52" t="s">
        <v>69</v>
      </c>
      <c r="B16" s="43" t="s">
        <v>54</v>
      </c>
      <c r="C16" s="43">
        <v>6500.0</v>
      </c>
      <c r="D16" s="43">
        <v>37000.0</v>
      </c>
      <c r="E16" s="43">
        <v>10.0</v>
      </c>
      <c r="F16" s="43">
        <f>COUNTIF(S26_Emp!$C:$C,"*" &amp;A16 &amp; "*")</f>
        <v>0</v>
      </c>
      <c r="G16" s="43">
        <f>COUNTIF(F25_Emp!$C:$C,"*" &amp;#REF! &amp; "*")</f>
        <v>0</v>
      </c>
      <c r="H16" s="43">
        <f>COUNTIF(S25_Emp!$C:$C,"*" &amp; A16 &amp; "*")</f>
        <v>0</v>
      </c>
      <c r="I16" s="43">
        <f>COUNTIF(F24_Emp!$C:$C,"*" &amp; B16 &amp; "*")</f>
        <v>1</v>
      </c>
      <c r="J16" s="43">
        <f>COUNTIF(S24_Emp!$C:$C,"*" &amp; $A16 &amp; "*")</f>
        <v>2</v>
      </c>
      <c r="K16" s="43">
        <f>COUNTIF(F23_Emp!$C:$C,"*" &amp; $A16 &amp; "*")</f>
        <v>1</v>
      </c>
      <c r="L16" s="43">
        <f>COUNTIF(S23_Emp!$C:$C,"*" &amp; $A16 &amp; "*")</f>
        <v>0</v>
      </c>
      <c r="M16" s="43">
        <f>COUNTIF(F22_Emp!$C:$C,"*" &amp; $A16 &amp; "*")</f>
        <v>0</v>
      </c>
      <c r="N16" s="43">
        <f>COUNTIF(S22_Emp!$C:$C,"*" &amp; $A16 &amp; "*")</f>
        <v>0</v>
      </c>
      <c r="O16" s="43" t="str">
        <f>COUNTIFS(S22_Emp!$C:$C,"*" &amp; $A16 &amp; "*", S22_S25_Emp!$B:$B, "Bachelor")</f>
        <v>#VALUE!</v>
      </c>
      <c r="P16" s="43" t="str">
        <f>COUNTIFS(S22_Emp!$C:$C,"*" &amp; $A16 &amp; "*", S22_S25_Emp!$B:$B, "Master")</f>
        <v>#VALUE!</v>
      </c>
      <c r="Q16" s="43" t="str">
        <f>COUNTIFS(S22_Emp!$C:$C,"*" &amp; $A16 &amp; "*", S22_S25_Emp!$B:$B, "Doctorate")</f>
        <v>#VALUE!</v>
      </c>
      <c r="R16" s="43" t="str">
        <f t="array" ref="R16">IF(OR(INDEX(S26_CF!X:X, MATCH("*" &amp; $A16 &amp; "*", CompanyList!A:A, 0))=TRUE, INDEX(F25_CF!P:P, MATCH("*" &amp; $A16 &amp; "*", CompanyList!A:A, 0))=TRUE, INDEX(S25_CF!T:T, MATCH("*" &amp; $A16 &amp; "*", CompanyList!A:A, 0))=TRUE, INDEX(S24_CF!W:W, MATCH("*" &amp; $A16 &amp; "*", CompanyList!A:A, 0))=TRUE), "Yes", "No")</f>
        <v>Yes</v>
      </c>
      <c r="S16" s="43" t="str">
        <f>IF(COUNTIF(S26_CF!$A:$A,"*" &amp; $A16 &amp; "*") &lt;&gt; 0, "Yes", "No")</f>
        <v>Yes</v>
      </c>
      <c r="T16" s="43" t="str">
        <f t="array" ref="T16">INDEX(S26_CF!K:K, MATCH("*" &amp; $A16 &amp; "*", S26_CF!A:A, 0))</f>
        <v>Basic One-Day: Wednesday, January 28th [$1000.00]</v>
      </c>
      <c r="U16" s="43" t="str">
        <f>IF(COUNTIF(F25_CF!$A:$A,"*" &amp; $A16 &amp; "*") &lt;&gt; 0, "Yes", "No")</f>
        <v>Yes</v>
      </c>
      <c r="V16" s="43" t="str">
        <f t="array" ref="V16">INDEX(F25_CF!I:I, MATCH("*" &amp; $A16 &amp; "*", F25_CF!$A:$A, 0))</f>
        <v>Basic One-Day: Wednesday, September 10th [$1000.00]</v>
      </c>
      <c r="W16" s="43" t="str">
        <f>IF(COUNTIF(S25_CF!$A:$A,"*" &amp; $A16 &amp; "*") &lt;&gt; 0, "Yes", "No")</f>
        <v>Yes</v>
      </c>
      <c r="X16" s="43" t="str">
        <f t="array" ref="X16">INDEX(S25_CF!J:J, MATCH("*" &amp; $A16 &amp; "*", S25_CF!$A:$A, 0))</f>
        <v>Basic One-Day: Wednesday, January 22nd [$1000.00]</v>
      </c>
      <c r="Y16" s="43" t="str">
        <f>IF(COUNTIF(F24_CF!$A:$A,"*" &amp; $A16 &amp; "*") &lt;&gt; 0, "Yes", "No")</f>
        <v>Yes</v>
      </c>
      <c r="Z16" s="43" t="str">
        <f t="array" ref="Z16">INDEX(F24_CF!N:N, MATCH("*" &amp; $A16 &amp; "*", F24_CF!$A:$A, 0))</f>
        <v>Basic One-Day: Wednesday, September 4th [$1000.00]</v>
      </c>
      <c r="AA16" s="43" t="str">
        <f>IF(COUNTIF(S24_CF!$A:$A,"*" &amp; $A16 &amp; "*") &lt;&gt; 0, "Yes", "No")</f>
        <v>Yes</v>
      </c>
      <c r="AB16" s="43" t="str">
        <f t="array" ref="AB16">INDEX(S24_CF!H:H, MATCH("*" &amp; $A16 &amp; "*", S24_CF!$A:$A, 0))</f>
        <v>Basic One-Day [$1000.00]</v>
      </c>
    </row>
    <row r="17" ht="15.0" customHeight="1">
      <c r="A17" s="52" t="s">
        <v>70</v>
      </c>
      <c r="B17" s="43" t="s">
        <v>52</v>
      </c>
      <c r="C17" s="43"/>
      <c r="D17" s="43"/>
      <c r="E17" s="43"/>
      <c r="F17" s="43">
        <f>COUNTIF(S26_Emp!$C:$C,"*" &amp;A17 &amp; "*")</f>
        <v>0</v>
      </c>
      <c r="G17" s="43">
        <f>COUNTIF(F25_Emp!$C:$C,"*" &amp;#REF! &amp; "*")</f>
        <v>0</v>
      </c>
      <c r="H17" s="43">
        <f>COUNTIF(S25_Emp!$C:$C,"*" &amp; A17 &amp; "*")</f>
        <v>0</v>
      </c>
      <c r="I17" s="43">
        <f>COUNTIF(F24_Emp!$C:$C,"*" &amp; B17 &amp; "*")</f>
        <v>0</v>
      </c>
      <c r="J17" s="43">
        <f>COUNTIF(S24_Emp!$C:$C,"*" &amp; $A17 &amp; "*")</f>
        <v>0</v>
      </c>
      <c r="K17" s="43">
        <f>COUNTIF(F23_Emp!$C:$C,"*" &amp; $A17 &amp; "*")</f>
        <v>0</v>
      </c>
      <c r="L17" s="43">
        <f>COUNTIF(S23_Emp!$C:$C,"*" &amp; $A17 &amp; "*")</f>
        <v>0</v>
      </c>
      <c r="M17" s="43">
        <f>COUNTIF(F22_Emp!$C:$C,"*" &amp; $A17 &amp; "*")</f>
        <v>0</v>
      </c>
      <c r="N17" s="43">
        <f>COUNTIF(S22_Emp!$C:$C,"*" &amp; $A17 &amp; "*")</f>
        <v>0</v>
      </c>
      <c r="O17" s="43" t="str">
        <f>COUNTIFS(S22_Emp!$C:$C,"*" &amp; $A17 &amp; "*", S22_S25_Emp!$B:$B, "Bachelor")</f>
        <v>#VALUE!</v>
      </c>
      <c r="P17" s="43" t="str">
        <f>COUNTIFS(S22_Emp!$C:$C,"*" &amp; $A17 &amp; "*", S22_S25_Emp!$B:$B, "Master")</f>
        <v>#VALUE!</v>
      </c>
      <c r="Q17" s="43" t="str">
        <f>COUNTIFS(S22_Emp!$C:$C,"*" &amp; $A17 &amp; "*", S22_S25_Emp!$B:$B, "Doctorate")</f>
        <v>#VALUE!</v>
      </c>
      <c r="R17" s="43" t="str">
        <f t="array" ref="R17">IF(OR(INDEX(S26_CF!X:X, MATCH("*" &amp; $A17 &amp; "*", CompanyList!A:A, 0))=TRUE, INDEX(F25_CF!P:P, MATCH("*" &amp; $A17 &amp; "*", CompanyList!A:A, 0))=TRUE, INDEX(S25_CF!T:T, MATCH("*" &amp; $A17 &amp; "*", CompanyList!A:A, 0))=TRUE, INDEX(S24_CF!W:W, MATCH("*" &amp; $A17 &amp; "*", CompanyList!A:A, 0))=TRUE), "Yes", "No")</f>
        <v>No</v>
      </c>
      <c r="S17" s="43" t="str">
        <f>IF(COUNTIF(S26_CF!$A:$A,"*" &amp; $A17 &amp; "*") &lt;&gt; 0, "Yes", "No")</f>
        <v>Yes</v>
      </c>
      <c r="T17" s="43" t="str">
        <f t="array" ref="T17">INDEX(S26_CF!K:K, MATCH("*" &amp; $A17 &amp; "*", S26_CF!A:A, 0))</f>
        <v>Basic One-Day: Thursday, January 29th [$1000.00]</v>
      </c>
      <c r="U17" s="43" t="str">
        <f>IF(COUNTIF(F25_CF!$A:$A,"*" &amp; $A17 &amp; "*") &lt;&gt; 0, "Yes", "No")</f>
        <v>Yes</v>
      </c>
      <c r="V17" s="43" t="str">
        <f t="array" ref="V17">INDEX(F25_CF!I:I, MATCH("*" &amp; $A17 &amp; "*", F25_CF!$A:$A, 0))</f>
        <v>Basic One-Day: Thursday, September 11th [$1000.00]</v>
      </c>
      <c r="W17" s="43" t="str">
        <f>IF(COUNTIF(S25_CF!$A:$A,"*" &amp; $A17 &amp; "*") &lt;&gt; 0, "Yes", "No")</f>
        <v>No</v>
      </c>
      <c r="X17" s="43" t="str">
        <f t="array" ref="X17">INDEX(S25_CF!J:J, MATCH("*" &amp; $A17 &amp; "*", S25_CF!$A:$A, 0))</f>
        <v>#N/A</v>
      </c>
      <c r="Y17" s="43" t="str">
        <f>IF(COUNTIF(F24_CF!$A:$A,"*" &amp; $A17 &amp; "*") &lt;&gt; 0, "Yes", "No")</f>
        <v>Yes</v>
      </c>
      <c r="Z17" s="43" t="str">
        <f t="array" ref="Z17">INDEX(F24_CF!N:N, MATCH("*" &amp; $A17 &amp; "*", F24_CF!$A:$A, 0))</f>
        <v>Basic One-Day: Wednesday, September 4th [$1000.00]</v>
      </c>
      <c r="AA17" s="43" t="str">
        <f>IF(COUNTIF(S24_CF!$A:$A,"*" &amp; $A17 &amp; "*") &lt;&gt; 0, "Yes", "No")</f>
        <v>Yes</v>
      </c>
      <c r="AB17" s="43" t="str">
        <f t="array" ref="AB17">INDEX(S24_CF!H:H, MATCH("*" &amp; $A17 &amp; "*", S24_CF!$A:$A, 0))</f>
        <v>Basic Two-Day [$2000.00]</v>
      </c>
    </row>
    <row r="18" ht="15.0" customHeight="1">
      <c r="A18" s="52" t="s">
        <v>71</v>
      </c>
      <c r="B18" s="43" t="s">
        <v>54</v>
      </c>
      <c r="C18" s="43">
        <v>4200.0</v>
      </c>
      <c r="D18" s="43">
        <v>4800.0</v>
      </c>
      <c r="E18" s="43">
        <v>17.0</v>
      </c>
      <c r="F18" s="43">
        <f>COUNTIF(S26_Emp!$C:$C,"*" &amp;A18 &amp; "*")</f>
        <v>0</v>
      </c>
      <c r="G18" s="43">
        <f>COUNTIF(F25_Emp!$C:$C,"*" &amp;#REF! &amp; "*")</f>
        <v>0</v>
      </c>
      <c r="H18" s="43">
        <f>COUNTIF(S25_Emp!$C:$C,"*" &amp; A18 &amp; "*")</f>
        <v>0</v>
      </c>
      <c r="I18" s="43">
        <f>COUNTIF(F24_Emp!$C:$C,"*" &amp; B18 &amp; "*")</f>
        <v>1</v>
      </c>
      <c r="J18" s="43">
        <f>COUNTIF(S24_Emp!$C:$C,"*" &amp; $A18 &amp; "*")</f>
        <v>2</v>
      </c>
      <c r="K18" s="43">
        <f>COUNTIF(F23_Emp!$C:$C,"*" &amp; $A18 &amp; "*")</f>
        <v>0</v>
      </c>
      <c r="L18" s="43">
        <f>COUNTIF(S23_Emp!$C:$C,"*" &amp; $A18 &amp; "*")</f>
        <v>0</v>
      </c>
      <c r="M18" s="43">
        <f>COUNTIF(F22_Emp!$C:$C,"*" &amp; $A18 &amp; "*")</f>
        <v>0</v>
      </c>
      <c r="N18" s="43">
        <f>COUNTIF(S22_Emp!$C:$C,"*" &amp; $A18 &amp; "*")</f>
        <v>0</v>
      </c>
      <c r="O18" s="43" t="str">
        <f>COUNTIFS(S22_Emp!$C:$C,"*" &amp; $A18 &amp; "*", S22_S25_Emp!$B:$B, "Bachelor")</f>
        <v>#VALUE!</v>
      </c>
      <c r="P18" s="43" t="str">
        <f>COUNTIFS(S22_Emp!$C:$C,"*" &amp; $A18 &amp; "*", S22_S25_Emp!$B:$B, "Master")</f>
        <v>#VALUE!</v>
      </c>
      <c r="Q18" s="43" t="str">
        <f>COUNTIFS(S22_Emp!$C:$C,"*" &amp; $A18 &amp; "*", S22_S25_Emp!$B:$B, "Doctorate")</f>
        <v>#VALUE!</v>
      </c>
      <c r="R18" s="43" t="str">
        <f t="array" ref="R18">IF(OR(INDEX(S26_CF!X:X, MATCH("*" &amp; $A18 &amp; "*", CompanyList!A:A, 0))=TRUE, INDEX(F25_CF!P:P, MATCH("*" &amp; $A18 &amp; "*", CompanyList!A:A, 0))=TRUE, INDEX(S25_CF!T:T, MATCH("*" &amp; $A18 &amp; "*", CompanyList!A:A, 0))=TRUE, INDEX(S24_CF!W:W, MATCH("*" &amp; $A18 &amp; "*", CompanyList!A:A, 0))=TRUE), "Yes", "No")</f>
        <v>Yes</v>
      </c>
      <c r="S18" s="43" t="str">
        <f>IF(COUNTIF(S26_CF!$A:$A,"*" &amp; $A18 &amp; "*") &lt;&gt; 0, "Yes", "No")</f>
        <v>Yes</v>
      </c>
      <c r="T18" s="43" t="str">
        <f t="array" ref="T18">INDEX(S26_CF!K:K, MATCH("*" &amp; $A18 &amp; "*", S26_CF!A:A, 0))</f>
        <v>Basic One-Day: Wednesday, January 28th [$1000.00]</v>
      </c>
      <c r="U18" s="43" t="str">
        <f>IF(COUNTIF(F25_CF!$A:$A,"*" &amp; $A18 &amp; "*") &lt;&gt; 0, "Yes", "No")</f>
        <v>Yes</v>
      </c>
      <c r="V18" s="43" t="str">
        <f t="array" ref="V18">INDEX(F25_CF!I:I, MATCH("*" &amp; $A18 &amp; "*", F25_CF!$A:$A, 0))</f>
        <v>Silver Two-Day [$3000.00]</v>
      </c>
      <c r="W18" s="43" t="str">
        <f>IF(COUNTIF(S25_CF!$A:$A,"*" &amp; $A18 &amp; "*") &lt;&gt; 0, "Yes", "No")</f>
        <v>No</v>
      </c>
      <c r="X18" s="43" t="str">
        <f t="array" ref="X18">INDEX(S25_CF!J:J, MATCH("*" &amp; $A18 &amp; "*", S25_CF!$A:$A, 0))</f>
        <v>#N/A</v>
      </c>
      <c r="Y18" s="43" t="str">
        <f>IF(COUNTIF(F24_CF!$A:$A,"*" &amp; $A18 &amp; "*") &lt;&gt; 0, "Yes", "No")</f>
        <v>Yes</v>
      </c>
      <c r="Z18" s="43" t="str">
        <f t="array" ref="Z18">INDEX(F24_CF!N:N, MATCH("*" &amp; $A18 &amp; "*", F24_CF!$A:$A, 0))</f>
        <v>Silver Two-Day [$3000.00]</v>
      </c>
      <c r="AA18" s="43" t="str">
        <f>IF(COUNTIF(S24_CF!$A:$A,"*" &amp; $A18 &amp; "*") &lt;&gt; 0, "Yes", "No")</f>
        <v>Yes</v>
      </c>
      <c r="AB18" s="43" t="str">
        <f t="array" ref="AB18">INDEX(S24_CF!H:H, MATCH("*" &amp; $A18 &amp; "*", S24_CF!$A:$A, 0))</f>
        <v>Basic One-Day [$1000.00]</v>
      </c>
    </row>
    <row r="19" ht="15.0" customHeight="1">
      <c r="A19" s="52" t="s">
        <v>72</v>
      </c>
      <c r="B19" s="43" t="s">
        <v>52</v>
      </c>
      <c r="C19" s="43"/>
      <c r="D19" s="43"/>
      <c r="E19" s="43"/>
      <c r="F19" s="43">
        <f>COUNTIF(S26_Emp!$C:$C,"*" &amp;A19 &amp; "*")</f>
        <v>0</v>
      </c>
      <c r="G19" s="43">
        <f>COUNTIF(F25_Emp!$C:$C,"*" &amp;#REF! &amp; "*")</f>
        <v>0</v>
      </c>
      <c r="H19" s="43">
        <f>COUNTIF(S25_Emp!$C:$C,"*" &amp; A19 &amp; "*")</f>
        <v>0</v>
      </c>
      <c r="I19" s="43">
        <f>COUNTIF(F24_Emp!$C:$C,"*" &amp; B19 &amp; "*")</f>
        <v>0</v>
      </c>
      <c r="J19" s="43">
        <f>COUNTIF(S24_Emp!$C:$C,"*" &amp; $A19 &amp; "*")</f>
        <v>0</v>
      </c>
      <c r="K19" s="43">
        <f>COUNTIF(F23_Emp!$C:$C,"*" &amp; $A19 &amp; "*")</f>
        <v>0</v>
      </c>
      <c r="L19" s="43">
        <f>COUNTIF(S23_Emp!$C:$C,"*" &amp; $A19 &amp; "*")</f>
        <v>0</v>
      </c>
      <c r="M19" s="43">
        <f>COUNTIF(F22_Emp!$C:$C,"*" &amp; $A19 &amp; "*")</f>
        <v>0</v>
      </c>
      <c r="N19" s="43">
        <f>COUNTIF(S22_Emp!$C:$C,"*" &amp; $A19 &amp; "*")</f>
        <v>0</v>
      </c>
      <c r="O19" s="43" t="str">
        <f>COUNTIFS(S22_Emp!$C:$C,"*" &amp; $A19 &amp; "*", S22_S25_Emp!$B:$B, "Bachelor")</f>
        <v>#VALUE!</v>
      </c>
      <c r="P19" s="43" t="str">
        <f>COUNTIFS(S22_Emp!$C:$C,"*" &amp; $A19 &amp; "*", S22_S25_Emp!$B:$B, "Master")</f>
        <v>#VALUE!</v>
      </c>
      <c r="Q19" s="43" t="str">
        <f>COUNTIFS(S22_Emp!$C:$C,"*" &amp; $A19 &amp; "*", S22_S25_Emp!$B:$B, "Doctorate")</f>
        <v>#VALUE!</v>
      </c>
      <c r="R19" s="43" t="str">
        <f t="array" ref="R19">IF(OR(INDEX(S26_CF!X:X, MATCH("*" &amp; $A19 &amp; "*", CompanyList!A:A, 0))=TRUE, INDEX(F25_CF!P:P, MATCH("*" &amp; $A19 &amp; "*", CompanyList!A:A, 0))=TRUE, INDEX(S25_CF!T:T, MATCH("*" &amp; $A19 &amp; "*", CompanyList!A:A, 0))=TRUE, INDEX(S24_CF!W:W, MATCH("*" &amp; $A19 &amp; "*", CompanyList!A:A, 0))=TRUE), "Yes", "No")</f>
        <v>Yes</v>
      </c>
      <c r="S19" s="43" t="str">
        <f>IF(COUNTIF(S26_CF!$A:$A,"*" &amp; $A19 &amp; "*") &lt;&gt; 0, "Yes", "No")</f>
        <v>Yes</v>
      </c>
      <c r="T19" s="43" t="str">
        <f t="array" ref="T19">INDEX(S26_CF!K:K, MATCH("*" &amp; $A19 &amp; "*", S26_CF!A:A, 0))</f>
        <v>Basic One-Day: Thursday, January 29th [$1000.00]</v>
      </c>
      <c r="U19" s="43" t="str">
        <f>IF(COUNTIF(F25_CF!$A:$A,"*" &amp; $A19 &amp; "*") &lt;&gt; 0, "Yes", "No")</f>
        <v>Yes</v>
      </c>
      <c r="V19" s="43" t="str">
        <f t="array" ref="V19">INDEX(F25_CF!I:I, MATCH("*" &amp; $A19 &amp; "*", F25_CF!$A:$A, 0))</f>
        <v>Silver One-Day: Wednesday, September 10th [$1800.00]</v>
      </c>
      <c r="W19" s="43" t="str">
        <f>IF(COUNTIF(S25_CF!$A:$A,"*" &amp; $A19 &amp; "*") &lt;&gt; 0, "Yes", "No")</f>
        <v>No</v>
      </c>
      <c r="X19" s="43" t="str">
        <f t="array" ref="X19">INDEX(S25_CF!J:J, MATCH("*" &amp; $A19 &amp; "*", S25_CF!$A:$A, 0))</f>
        <v>#N/A</v>
      </c>
      <c r="Y19" s="43" t="str">
        <f>IF(COUNTIF(F24_CF!$A:$A,"*" &amp; $A19 &amp; "*") &lt;&gt; 0, "Yes", "No")</f>
        <v>Yes</v>
      </c>
      <c r="Z19" s="43" t="str">
        <f t="array" ref="Z19">INDEX(F24_CF!N:N, MATCH("*" &amp; $A19 &amp; "*", F24_CF!$A:$A, 0))</f>
        <v>Basic One-Day: Wednesday, September 4th [$1000.00]</v>
      </c>
      <c r="AA19" s="43" t="str">
        <f>IF(COUNTIF(S24_CF!$A:$A,"*" &amp; $A19 &amp; "*") &lt;&gt; 0, "Yes", "No")</f>
        <v>Yes</v>
      </c>
      <c r="AB19" s="43" t="str">
        <f t="array" ref="AB19">INDEX(S24_CF!H:H, MATCH("*" &amp; $A19 &amp; "*", S24_CF!$A:$A, 0))</f>
        <v>Basic One-Day [$1000.00]</v>
      </c>
    </row>
    <row r="20" ht="15.0" customHeight="1">
      <c r="A20" s="52" t="s">
        <v>73</v>
      </c>
      <c r="B20" s="43" t="s">
        <v>52</v>
      </c>
      <c r="C20" s="43"/>
      <c r="D20" s="43"/>
      <c r="E20" s="43"/>
      <c r="F20" s="43">
        <f>COUNTIF(S26_Emp!$C:$C,"*" &amp;A20 &amp; "*")</f>
        <v>0</v>
      </c>
      <c r="G20" s="43">
        <f>COUNTIF(F25_Emp!$C:$C,"*" &amp;#REF! &amp; "*")</f>
        <v>0</v>
      </c>
      <c r="H20" s="43">
        <f>COUNTIF(S25_Emp!$C:$C,"*" &amp; A20 &amp; "*")</f>
        <v>0</v>
      </c>
      <c r="I20" s="43">
        <f>COUNTIF(F24_Emp!$C:$C,"*" &amp; B20 &amp; "*")</f>
        <v>0</v>
      </c>
      <c r="J20" s="43">
        <f>COUNTIF(S24_Emp!$C:$C,"*" &amp; $A20 &amp; "*")</f>
        <v>0</v>
      </c>
      <c r="K20" s="43">
        <f>COUNTIF(F23_Emp!$C:$C,"*" &amp; $A20 &amp; "*")</f>
        <v>0</v>
      </c>
      <c r="L20" s="43">
        <f>COUNTIF(S23_Emp!$C:$C,"*" &amp; $A20 &amp; "*")</f>
        <v>1</v>
      </c>
      <c r="M20" s="43">
        <f>COUNTIF(F22_Emp!$C:$C,"*" &amp; $A20 &amp; "*")</f>
        <v>0</v>
      </c>
      <c r="N20" s="43">
        <f>COUNTIF(S22_Emp!$C:$C,"*" &amp; $A20 &amp; "*")</f>
        <v>0</v>
      </c>
      <c r="O20" s="43" t="str">
        <f>COUNTIFS(S22_Emp!$C:$C,"*" &amp; $A20 &amp; "*", S22_S25_Emp!$B:$B, "Bachelor")</f>
        <v>#VALUE!</v>
      </c>
      <c r="P20" s="43" t="str">
        <f>COUNTIFS(S22_Emp!$C:$C,"*" &amp; $A20 &amp; "*", S22_S25_Emp!$B:$B, "Master")</f>
        <v>#VALUE!</v>
      </c>
      <c r="Q20" s="43" t="str">
        <f>COUNTIFS(S22_Emp!$C:$C,"*" &amp; $A20 &amp; "*", S22_S25_Emp!$B:$B, "Doctorate")</f>
        <v>#VALUE!</v>
      </c>
      <c r="R20" s="43" t="str">
        <f t="array" ref="R20">IF(OR(INDEX(S26_CF!X:X, MATCH("*" &amp; $A20 &amp; "*", CompanyList!A:A, 0))=TRUE, INDEX(F25_CF!P:P, MATCH("*" &amp; $A20 &amp; "*", CompanyList!A:A, 0))=TRUE, INDEX(S25_CF!T:T, MATCH("*" &amp; $A20 &amp; "*", CompanyList!A:A, 0))=TRUE, INDEX(S24_CF!W:W, MATCH("*" &amp; $A20 &amp; "*", CompanyList!A:A, 0))=TRUE), "Yes", "No")</f>
        <v>Yes</v>
      </c>
      <c r="S20" s="43" t="str">
        <f>IF(COUNTIF(S26_CF!$A:$A,"*" &amp; $A20 &amp; "*") &lt;&gt; 0, "Yes", "No")</f>
        <v>Yes</v>
      </c>
      <c r="T20" s="43" t="str">
        <f t="array" ref="T20">INDEX(S26_CF!K:K, MATCH("*" &amp; $A20 &amp; "*", S26_CF!A:A, 0))</f>
        <v>Basic One-Day: Wednesday, January 28th [$1000.00]</v>
      </c>
      <c r="U20" s="43" t="str">
        <f>IF(COUNTIF(F25_CF!$A:$A,"*" &amp; $A20 &amp; "*") &lt;&gt; 0, "Yes", "No")</f>
        <v>Yes</v>
      </c>
      <c r="V20" s="43" t="str">
        <f t="array" ref="V20">INDEX(F25_CF!I:I, MATCH("*" &amp; $A20 &amp; "*", F25_CF!$A:$A, 0))</f>
        <v>Basic One-Day: Wednesday, September 10th [$1000.00]</v>
      </c>
      <c r="W20" s="43" t="str">
        <f>IF(COUNTIF(S25_CF!$A:$A,"*" &amp; $A20 &amp; "*") &lt;&gt; 0, "Yes", "No")</f>
        <v>Yes</v>
      </c>
      <c r="X20" s="43" t="str">
        <f t="array" ref="X20">INDEX(S25_CF!J:J, MATCH("*" &amp; $A20 &amp; "*", S25_CF!$A:$A, 0))</f>
        <v>Basic One-Day: Thursday, January 23rd [$1000.00]</v>
      </c>
      <c r="Y20" s="43" t="str">
        <f>IF(COUNTIF(F24_CF!$A:$A,"*" &amp; $A20 &amp; "*") &lt;&gt; 0, "Yes", "No")</f>
        <v>Yes</v>
      </c>
      <c r="Z20" s="43" t="str">
        <f t="array" ref="Z20">INDEX(F24_CF!N:N, MATCH("*" &amp; $A20 &amp; "*", F24_CF!$A:$A, 0))</f>
        <v>Basic One-Day: Wednesday, September 4th [$1000.00]</v>
      </c>
      <c r="AA20" s="43" t="str">
        <f>IF(COUNTIF(S24_CF!$A:$A,"*" &amp; $A20 &amp; "*") &lt;&gt; 0, "Yes", "No")</f>
        <v>Yes</v>
      </c>
      <c r="AB20" s="43" t="str">
        <f t="array" ref="AB20">INDEX(S24_CF!H:H, MATCH("*" &amp; $A20 &amp; "*", S24_CF!$A:$A, 0))</f>
        <v>Basic One-Day [$1000.00]</v>
      </c>
    </row>
    <row r="21" ht="15.0" customHeight="1">
      <c r="A21" s="52" t="s">
        <v>74</v>
      </c>
      <c r="B21" s="43" t="s">
        <v>52</v>
      </c>
      <c r="C21" s="43"/>
      <c r="D21" s="43"/>
      <c r="E21" s="43"/>
      <c r="F21" s="43">
        <f>COUNTIF(S26_Emp!$C:$C,"*" &amp;A21 &amp; "*")</f>
        <v>0</v>
      </c>
      <c r="G21" s="43">
        <f>COUNTIF(F25_Emp!$C:$C,"*" &amp;#REF! &amp; "*")</f>
        <v>0</v>
      </c>
      <c r="H21" s="43">
        <f>COUNTIF(S25_Emp!$C:$C,"*" &amp; A21 &amp; "*")</f>
        <v>0</v>
      </c>
      <c r="I21" s="43">
        <f>COUNTIF(F24_Emp!$C:$C,"*" &amp; B21 &amp; "*")</f>
        <v>0</v>
      </c>
      <c r="J21" s="43">
        <f>COUNTIF(S24_Emp!$C:$C,"*" &amp; $A21 &amp; "*")</f>
        <v>0</v>
      </c>
      <c r="K21" s="43">
        <f>COUNTIF(F23_Emp!$C:$C,"*" &amp; $A21 &amp; "*")</f>
        <v>1</v>
      </c>
      <c r="L21" s="43">
        <f>COUNTIF(S23_Emp!$C:$C,"*" &amp; $A21 &amp; "*")</f>
        <v>0</v>
      </c>
      <c r="M21" s="43">
        <f>COUNTIF(F22_Emp!$C:$C,"*" &amp; $A21 &amp; "*")</f>
        <v>0</v>
      </c>
      <c r="N21" s="43">
        <f>COUNTIF(S22_Emp!$C:$C,"*" &amp; $A21 &amp; "*")</f>
        <v>0</v>
      </c>
      <c r="O21" s="43" t="str">
        <f>COUNTIFS(S22_Emp!$C:$C,"*" &amp; $A21 &amp; "*", S22_S25_Emp!$B:$B, "Bachelor")</f>
        <v>#VALUE!</v>
      </c>
      <c r="P21" s="43" t="str">
        <f>COUNTIFS(S22_Emp!$C:$C,"*" &amp; $A21 &amp; "*", S22_S25_Emp!$B:$B, "Master")</f>
        <v>#VALUE!</v>
      </c>
      <c r="Q21" s="43" t="str">
        <f>COUNTIFS(S22_Emp!$C:$C,"*" &amp; $A21 &amp; "*", S22_S25_Emp!$B:$B, "Doctorate")</f>
        <v>#VALUE!</v>
      </c>
      <c r="R21" s="43" t="str">
        <f t="array" ref="R21">IF(OR(INDEX(S26_CF!X:X, MATCH("*" &amp; $A21 &amp; "*", CompanyList!A:A, 0))=TRUE, INDEX(F25_CF!P:P, MATCH("*" &amp; $A21 &amp; "*", CompanyList!A:A, 0))=TRUE, INDEX(S25_CF!T:T, MATCH("*" &amp; $A21 &amp; "*", CompanyList!A:A, 0))=TRUE, INDEX(S24_CF!W:W, MATCH("*" &amp; $A21 &amp; "*", CompanyList!A:A, 0))=TRUE), "Yes", "No")</f>
        <v>Yes</v>
      </c>
      <c r="S21" s="43" t="str">
        <f>IF(COUNTIF(S26_CF!$A:$A,"*" &amp; $A21 &amp; "*") &lt;&gt; 0, "Yes", "No")</f>
        <v>Yes</v>
      </c>
      <c r="T21" s="43" t="str">
        <f t="array" ref="T21">INDEX(S26_CF!K:K, MATCH("*" &amp; $A21 &amp; "*", S26_CF!A:A, 0))</f>
        <v>Basic One-Day: Wednesday, January 28th [$1000.00]</v>
      </c>
      <c r="U21" s="43" t="str">
        <f>IF(COUNTIF(F25_CF!$A:$A,"*" &amp; $A21 &amp; "*") &lt;&gt; 0, "Yes", "No")</f>
        <v>Yes</v>
      </c>
      <c r="V21" s="43" t="str">
        <f t="array" ref="V21">INDEX(F25_CF!I:I, MATCH("*" &amp; $A21 &amp; "*", F25_CF!$A:$A, 0))</f>
        <v>Basic One-Day: Thursday, September 11th [$1000.00]</v>
      </c>
      <c r="W21" s="43" t="str">
        <f>IF(COUNTIF(S25_CF!$A:$A,"*" &amp; $A21 &amp; "*") &lt;&gt; 0, "Yes", "No")</f>
        <v>Yes</v>
      </c>
      <c r="X21" s="43" t="str">
        <f t="array" ref="X21">INDEX(S25_CF!J:J, MATCH("*" &amp; $A21 &amp; "*", S25_CF!$A:$A, 0))</f>
        <v>Basic One-Day: Wednesday, January 22nd [$1000.00]</v>
      </c>
      <c r="Y21" s="43" t="str">
        <f>IF(COUNTIF(F24_CF!$A:$A,"*" &amp; $A21 &amp; "*") &lt;&gt; 0, "Yes", "No")</f>
        <v>Yes</v>
      </c>
      <c r="Z21" s="43" t="str">
        <f t="array" ref="Z21">INDEX(F24_CF!N:N, MATCH("*" &amp; $A21 &amp; "*", F24_CF!$A:$A, 0))</f>
        <v>Silver One-Day: Thursday, September 5th [$1800.00]</v>
      </c>
      <c r="AA21" s="43" t="str">
        <f>IF(COUNTIF(S24_CF!$A:$A,"*" &amp; $A21 &amp; "*") &lt;&gt; 0, "Yes", "No")</f>
        <v>Yes</v>
      </c>
      <c r="AB21" s="43" t="str">
        <f t="array" ref="AB21">INDEX(S24_CF!H:H, MATCH("*" &amp; $A21 &amp; "*", S24_CF!$A:$A, 0))</f>
        <v>Silver One-Day [$1800.00]</v>
      </c>
    </row>
    <row r="22" ht="15.0" customHeight="1">
      <c r="A22" s="52" t="s">
        <v>75</v>
      </c>
      <c r="B22" s="43" t="s">
        <v>52</v>
      </c>
      <c r="C22" s="43"/>
      <c r="D22" s="43"/>
      <c r="E22" s="43"/>
      <c r="F22" s="43">
        <f>COUNTIF(S26_Emp!$C:$C,"*" &amp;A22 &amp; "*")</f>
        <v>0</v>
      </c>
      <c r="G22" s="43">
        <f>COUNTIF(F25_Emp!$C:$C,"*" &amp;#REF! &amp; "*")</f>
        <v>0</v>
      </c>
      <c r="H22" s="43">
        <f>COUNTIF(S25_Emp!$C:$C,"*" &amp; A22 &amp; "*")</f>
        <v>0</v>
      </c>
      <c r="I22" s="43">
        <f>COUNTIF(F24_Emp!$C:$C,"*" &amp; B22 &amp; "*")</f>
        <v>0</v>
      </c>
      <c r="J22" s="43">
        <f>COUNTIF(S24_Emp!$C:$C,"*" &amp; $A22 &amp; "*")</f>
        <v>3</v>
      </c>
      <c r="K22" s="43">
        <f>COUNTIF(F23_Emp!$C:$C,"*" &amp; $A22 &amp; "*")</f>
        <v>0</v>
      </c>
      <c r="L22" s="43">
        <f>COUNTIF(S23_Emp!$C:$C,"*" &amp; $A22 &amp; "*")</f>
        <v>0</v>
      </c>
      <c r="M22" s="43">
        <f>COUNTIF(F22_Emp!$C:$C,"*" &amp; $A22 &amp; "*")</f>
        <v>1</v>
      </c>
      <c r="N22" s="43">
        <f>COUNTIF(S22_Emp!$C:$C,"*" &amp; $A22 &amp; "*")</f>
        <v>0</v>
      </c>
      <c r="O22" s="43" t="str">
        <f>COUNTIFS(S22_Emp!$C:$C,"*" &amp; $A22 &amp; "*", S22_S25_Emp!$B:$B, "Bachelor")</f>
        <v>#VALUE!</v>
      </c>
      <c r="P22" s="43" t="str">
        <f>COUNTIFS(S22_Emp!$C:$C,"*" &amp; $A22 &amp; "*", S22_S25_Emp!$B:$B, "Master")</f>
        <v>#VALUE!</v>
      </c>
      <c r="Q22" s="43" t="str">
        <f>COUNTIFS(S22_Emp!$C:$C,"*" &amp; $A22 &amp; "*", S22_S25_Emp!$B:$B, "Doctorate")</f>
        <v>#VALUE!</v>
      </c>
      <c r="R22" s="43" t="str">
        <f t="array" ref="R22">IF(OR(INDEX(S26_CF!X:X, MATCH("*" &amp; $A22 &amp; "*", CompanyList!A:A, 0))=TRUE, INDEX(F25_CF!P:P, MATCH("*" &amp; $A22 &amp; "*", CompanyList!A:A, 0))=TRUE, INDEX(S25_CF!T:T, MATCH("*" &amp; $A22 &amp; "*", CompanyList!A:A, 0))=TRUE, INDEX(S24_CF!W:W, MATCH("*" &amp; $A22 &amp; "*", CompanyList!A:A, 0))=TRUE), "Yes", "No")</f>
        <v>Yes</v>
      </c>
      <c r="S22" s="43" t="str">
        <f>IF(COUNTIF(S26_CF!$A:$A,"*" &amp; $A22 &amp; "*") &lt;&gt; 0, "Yes", "No")</f>
        <v>Yes</v>
      </c>
      <c r="T22" s="43" t="str">
        <f t="array" ref="T22">INDEX(S26_CF!K:K, MATCH("*" &amp; $A22 &amp; "*", S26_CF!A:A, 0))</f>
        <v>Basic One-Day: Wednesday, January 28th [$1000.00]</v>
      </c>
      <c r="U22" s="43" t="str">
        <f>IF(COUNTIF(F25_CF!$A:$A,"*" &amp; $A22 &amp; "*") &lt;&gt; 0, "Yes", "No")</f>
        <v>Yes</v>
      </c>
      <c r="V22" s="43" t="str">
        <f t="array" ref="V22">INDEX(F25_CF!I:I, MATCH("*" &amp; $A22 &amp; "*", F25_CF!$A:$A, 0))</f>
        <v>Basic One-Day: Wednesday, September 10th [$1000.00]</v>
      </c>
      <c r="W22" s="43" t="str">
        <f>IF(COUNTIF(S25_CF!$A:$A,"*" &amp; $A22 &amp; "*") &lt;&gt; 0, "Yes", "No")</f>
        <v>Yes</v>
      </c>
      <c r="X22" s="43" t="str">
        <f t="array" ref="X22">INDEX(S25_CF!J:J, MATCH("*" &amp; $A22 &amp; "*", S25_CF!$A:$A, 0))</f>
        <v>Basic One-Day: Thursday, January 23rd [$1000.00]</v>
      </c>
      <c r="Y22" s="43" t="str">
        <f>IF(COUNTIF(F24_CF!$A:$A,"*" &amp; $A22 &amp; "*") &lt;&gt; 0, "Yes", "No")</f>
        <v>Yes</v>
      </c>
      <c r="Z22" s="43" t="str">
        <f t="array" ref="Z22">INDEX(F24_CF!N:N, MATCH("*" &amp; $A22 &amp; "*", F24_CF!$A:$A, 0))</f>
        <v>Basic One-Day: Thursday, September 5th [$1000.00]</v>
      </c>
      <c r="AA22" s="43" t="str">
        <f>IF(COUNTIF(S24_CF!$A:$A,"*" &amp; $A22 &amp; "*") &lt;&gt; 0, "Yes", "No")</f>
        <v>Yes</v>
      </c>
      <c r="AB22" s="43" t="str">
        <f t="array" ref="AB22">INDEX(S24_CF!H:H, MATCH("*" &amp; $A22 &amp; "*", S24_CF!$A:$A, 0))</f>
        <v>Basic One-Day [$1000.00]</v>
      </c>
    </row>
    <row r="23" ht="15.0" customHeight="1">
      <c r="A23" s="52" t="s">
        <v>76</v>
      </c>
      <c r="B23" s="43" t="s">
        <v>52</v>
      </c>
      <c r="C23" s="43"/>
      <c r="D23" s="43"/>
      <c r="E23" s="43"/>
      <c r="F23" s="43">
        <f>COUNTIF(S26_Emp!$C:$C,"*" &amp;A23 &amp; "*")</f>
        <v>0</v>
      </c>
      <c r="G23" s="43">
        <f>COUNTIF(F25_Emp!$C:$C,"*" &amp;#REF! &amp; "*")</f>
        <v>0</v>
      </c>
      <c r="H23" s="43">
        <f>COUNTIF(S25_Emp!$C:$C,"*" &amp; A23 &amp; "*")</f>
        <v>0</v>
      </c>
      <c r="I23" s="43">
        <f>COUNTIF(F24_Emp!$C:$C,"*" &amp; B23 &amp; "*")</f>
        <v>0</v>
      </c>
      <c r="J23" s="43">
        <f>COUNTIF(S24_Emp!$C:$C,"*" &amp; $A23 &amp; "*")</f>
        <v>0</v>
      </c>
      <c r="K23" s="43">
        <f>COUNTIF(F23_Emp!$C:$C,"*" &amp; $A23 &amp; "*")</f>
        <v>0</v>
      </c>
      <c r="L23" s="43">
        <f>COUNTIF(S23_Emp!$C:$C,"*" &amp; $A23 &amp; "*")</f>
        <v>0</v>
      </c>
      <c r="M23" s="43">
        <f>COUNTIF(F22_Emp!$C:$C,"*" &amp; $A23 &amp; "*")</f>
        <v>1</v>
      </c>
      <c r="N23" s="43">
        <f>COUNTIF(S22_Emp!$C:$C,"*" &amp; $A23 &amp; "*")</f>
        <v>0</v>
      </c>
      <c r="O23" s="43" t="str">
        <f>COUNTIFS(S22_Emp!$C:$C,"*" &amp; $A23 &amp; "*", S22_S25_Emp!$B:$B, "Bachelor")</f>
        <v>#VALUE!</v>
      </c>
      <c r="P23" s="43" t="str">
        <f>COUNTIFS(S22_Emp!$C:$C,"*" &amp; $A23 &amp; "*", S22_S25_Emp!$B:$B, "Master")</f>
        <v>#VALUE!</v>
      </c>
      <c r="Q23" s="43" t="str">
        <f>COUNTIFS(S22_Emp!$C:$C,"*" &amp; $A23 &amp; "*", S22_S25_Emp!$B:$B, "Doctorate")</f>
        <v>#VALUE!</v>
      </c>
      <c r="R23" s="43" t="str">
        <f t="array" ref="R23">IF(OR(INDEX(S26_CF!X:X, MATCH("*" &amp; $A23 &amp; "*", CompanyList!A:A, 0))=TRUE, INDEX(F25_CF!P:P, MATCH("*" &amp; $A23 &amp; "*", CompanyList!A:A, 0))=TRUE, INDEX(S25_CF!T:T, MATCH("*" &amp; $A23 &amp; "*", CompanyList!A:A, 0))=TRUE, INDEX(S24_CF!W:W, MATCH("*" &amp; $A23 &amp; "*", CompanyList!A:A, 0))=TRUE), "Yes", "No")</f>
        <v>Yes</v>
      </c>
      <c r="S23" s="43" t="str">
        <f>IF(COUNTIF(S26_CF!$A:$A,"*" &amp; $A23 &amp; "*") &lt;&gt; 0, "Yes", "No")</f>
        <v>Yes</v>
      </c>
      <c r="T23" s="43" t="str">
        <f t="array" ref="T23">INDEX(S26_CF!K:K, MATCH("*" &amp; $A23 &amp; "*", S26_CF!A:A, 0))</f>
        <v>Basic One-Day: Wednesday, January 28th [$1000.00]</v>
      </c>
      <c r="U23" s="43" t="str">
        <f>IF(COUNTIF(F25_CF!$A:$A,"*" &amp; $A23 &amp; "*") &lt;&gt; 0, "Yes", "No")</f>
        <v>No</v>
      </c>
      <c r="V23" s="43" t="str">
        <f t="array" ref="V23">INDEX(F25_CF!I:I, MATCH("*" &amp; $A23 &amp; "*", F25_CF!$A:$A, 0))</f>
        <v>#N/A</v>
      </c>
      <c r="W23" s="43" t="str">
        <f>IF(COUNTIF(S25_CF!$A:$A,"*" &amp; $A23 &amp; "*") &lt;&gt; 0, "Yes", "No")</f>
        <v>No</v>
      </c>
      <c r="X23" s="43" t="str">
        <f t="array" ref="X23">INDEX(S25_CF!J:J, MATCH("*" &amp; $A23 &amp; "*", S25_CF!$A:$A, 0))</f>
        <v>#N/A</v>
      </c>
      <c r="Y23" s="43" t="str">
        <f>IF(COUNTIF(F24_CF!$A:$A,"*" &amp; $A23 &amp; "*") &lt;&gt; 0, "Yes", "No")</f>
        <v>Yes</v>
      </c>
      <c r="Z23" s="43" t="str">
        <f t="array" ref="Z23">INDEX(F24_CF!N:N, MATCH("*" &amp; $A23 &amp; "*", F24_CF!$A:$A, 0))</f>
        <v>Basic Two-Day [$2000.00]</v>
      </c>
      <c r="AA23" s="43" t="str">
        <f>IF(COUNTIF(S24_CF!$A:$A,"*" &amp; $A23 &amp; "*") &lt;&gt; 0, "Yes", "No")</f>
        <v>Yes</v>
      </c>
      <c r="AB23" s="43" t="str">
        <f t="array" ref="AB23">INDEX(S24_CF!H:H, MATCH("*" &amp; $A23 &amp; "*", S24_CF!$A:$A, 0))</f>
        <v>Basic Two-Day [$2000.00]</v>
      </c>
    </row>
    <row r="24" ht="15.0" customHeight="1">
      <c r="A24" s="52" t="s">
        <v>77</v>
      </c>
      <c r="B24" s="43" t="s">
        <v>54</v>
      </c>
      <c r="C24" s="43">
        <v>25500.0</v>
      </c>
      <c r="D24" s="43">
        <v>58000.0</v>
      </c>
      <c r="E24" s="43">
        <v>35.0</v>
      </c>
      <c r="F24" s="43">
        <f>COUNTIF(S26_Emp!$C:$C,"*" &amp;A24 &amp; "*")</f>
        <v>0</v>
      </c>
      <c r="G24" s="43">
        <f>COUNTIF(F25_Emp!$C:$C,"*" &amp;#REF! &amp; "*")</f>
        <v>0</v>
      </c>
      <c r="H24" s="43">
        <f>COUNTIF(S25_Emp!$C:$C,"*" &amp; A24 &amp; "*")</f>
        <v>2</v>
      </c>
      <c r="I24" s="43">
        <f>COUNTIF(F24_Emp!$C:$C,"*" &amp; B24 &amp; "*")</f>
        <v>1</v>
      </c>
      <c r="J24" s="43">
        <f>COUNTIF(S24_Emp!$C:$C,"*" &amp; $A24 &amp; "*")</f>
        <v>2</v>
      </c>
      <c r="K24" s="43">
        <f>COUNTIF(F23_Emp!$C:$C,"*" &amp; $A24 &amp; "*")</f>
        <v>0</v>
      </c>
      <c r="L24" s="43">
        <f>COUNTIF(S23_Emp!$C:$C,"*" &amp; $A24 &amp; "*")</f>
        <v>1</v>
      </c>
      <c r="M24" s="43">
        <f>COUNTIF(F22_Emp!$C:$C,"*" &amp; $A24 &amp; "*")</f>
        <v>0</v>
      </c>
      <c r="N24" s="43">
        <f>COUNTIF(S22_Emp!$C:$C,"*" &amp; $A24 &amp; "*")</f>
        <v>6</v>
      </c>
      <c r="O24" s="43" t="str">
        <f>COUNTIFS(S22_Emp!$C:$C,"*" &amp; $A24 &amp; "*", S22_S25_Emp!$B:$B, "Bachelor")</f>
        <v>#VALUE!</v>
      </c>
      <c r="P24" s="43" t="str">
        <f>COUNTIFS(S22_Emp!$C:$C,"*" &amp; $A24 &amp; "*", S22_S25_Emp!$B:$B, "Master")</f>
        <v>#VALUE!</v>
      </c>
      <c r="Q24" s="43" t="str">
        <f>COUNTIFS(S22_Emp!$C:$C,"*" &amp; $A24 &amp; "*", S22_S25_Emp!$B:$B, "Doctorate")</f>
        <v>#VALUE!</v>
      </c>
      <c r="R24" s="43" t="str">
        <f t="array" ref="R24">IF(OR(INDEX(S26_CF!X:X, MATCH("*" &amp; $A24 &amp; "*", CompanyList!A:A, 0))=TRUE, INDEX(F25_CF!P:P, MATCH("*" &amp; $A24 &amp; "*", CompanyList!A:A, 0))=TRUE, INDEX(S25_CF!T:T, MATCH("*" &amp; $A24 &amp; "*", CompanyList!A:A, 0))=TRUE, INDEX(S24_CF!W:W, MATCH("*" &amp; $A24 &amp; "*", CompanyList!A:A, 0))=TRUE), "Yes", "No")</f>
        <v>Yes</v>
      </c>
      <c r="S24" s="43" t="str">
        <f>IF(COUNTIF(S26_CF!$A:$A,"*" &amp; $A24 &amp; "*") &lt;&gt; 0, "Yes", "No")</f>
        <v>Yes</v>
      </c>
      <c r="T24" s="43" t="str">
        <f t="array" ref="T24">INDEX(S26_CF!K:K, MATCH("*" &amp; $A24 &amp; "*", S26_CF!A:A, 0))</f>
        <v>Gold One-Day: Wednesday, January 28th [$2500.00]</v>
      </c>
      <c r="U24" s="43" t="str">
        <f>IF(COUNTIF(F25_CF!$A:$A,"*" &amp; $A24 &amp; "*") &lt;&gt; 0, "Yes", "No")</f>
        <v>Yes</v>
      </c>
      <c r="V24" s="43" t="str">
        <f t="array" ref="V24">INDEX(F25_CF!I:I, MATCH("*" &amp; $A24 &amp; "*", F25_CF!$A:$A, 0))</f>
        <v>Gold One-Day: Wednesday, September 10th [$2500.00]</v>
      </c>
      <c r="W24" s="43" t="str">
        <f>IF(COUNTIF(S25_CF!$A:$A,"*" &amp; $A24 &amp; "*") &lt;&gt; 0, "Yes", "No")</f>
        <v>Yes</v>
      </c>
      <c r="X24" s="43" t="str">
        <f t="array" ref="X24">INDEX(S25_CF!J:J, MATCH("*" &amp; $A24 &amp; "*", S25_CF!$A:$A, 0))</f>
        <v>Gold Two-Day [$5500.00]</v>
      </c>
      <c r="Y24" s="43" t="str">
        <f>IF(COUNTIF(F24_CF!$A:$A,"*" &amp; $A24 &amp; "*") &lt;&gt; 0, "Yes", "No")</f>
        <v>Yes</v>
      </c>
      <c r="Z24" s="43" t="str">
        <f t="array" ref="Z24">INDEX(F24_CF!N:N, MATCH("*" &amp; $A24 &amp; "*", F24_CF!$A:$A, 0))</f>
        <v>Silver Two-Day [$3000.00]</v>
      </c>
      <c r="AA24" s="43" t="str">
        <f>IF(COUNTIF(S24_CF!$A:$A,"*" &amp; $A24 &amp; "*") &lt;&gt; 0, "Yes", "No")</f>
        <v>Yes</v>
      </c>
      <c r="AB24" s="43" t="str">
        <f t="array" ref="AB24">INDEX(S24_CF!H:H, MATCH("*" &amp; $A24 &amp; "*", S24_CF!$A:$A, 0))</f>
        <v>Basic One-Day [$1000.00]</v>
      </c>
    </row>
    <row r="25" ht="15.0" customHeight="1">
      <c r="A25" s="52" t="s">
        <v>78</v>
      </c>
      <c r="B25" s="43" t="s">
        <v>52</v>
      </c>
      <c r="C25" s="43"/>
      <c r="D25" s="43"/>
      <c r="E25" s="43"/>
      <c r="F25" s="43">
        <f>COUNTIF(S26_Emp!$C:$C,"*" &amp;A25 &amp; "*")</f>
        <v>0</v>
      </c>
      <c r="G25" s="43">
        <f>COUNTIF(F25_Emp!$C:$C,"*" &amp;#REF! &amp; "*")</f>
        <v>0</v>
      </c>
      <c r="H25" s="43">
        <f>COUNTIF(S25_Emp!$C:$C,"*" &amp; A25 &amp; "*")</f>
        <v>0</v>
      </c>
      <c r="I25" s="43">
        <f>COUNTIF(F24_Emp!$C:$C,"*" &amp; B25 &amp; "*")</f>
        <v>0</v>
      </c>
      <c r="J25" s="43">
        <f>COUNTIF(S24_Emp!$C:$C,"*" &amp; $A25 &amp; "*")</f>
        <v>0</v>
      </c>
      <c r="K25" s="43">
        <f>COUNTIF(F23_Emp!$C:$C,"*" &amp; $A25 &amp; "*")</f>
        <v>0</v>
      </c>
      <c r="L25" s="43">
        <f>COUNTIF(S23_Emp!$C:$C,"*" &amp; $A25 &amp; "*")</f>
        <v>2</v>
      </c>
      <c r="M25" s="43">
        <f>COUNTIF(F22_Emp!$C:$C,"*" &amp; $A25 &amp; "*")</f>
        <v>1</v>
      </c>
      <c r="N25" s="43">
        <f>COUNTIF(S22_Emp!$C:$C,"*" &amp; $A25 &amp; "*")</f>
        <v>1</v>
      </c>
      <c r="O25" s="43" t="str">
        <f>COUNTIFS(S22_Emp!$C:$C,"*" &amp; $A25 &amp; "*", S22_S25_Emp!$B:$B, "Bachelor")</f>
        <v>#VALUE!</v>
      </c>
      <c r="P25" s="43" t="str">
        <f>COUNTIFS(S22_Emp!$C:$C,"*" &amp; $A25 &amp; "*", S22_S25_Emp!$B:$B, "Master")</f>
        <v>#VALUE!</v>
      </c>
      <c r="Q25" s="43" t="str">
        <f>COUNTIFS(S22_Emp!$C:$C,"*" &amp; $A25 &amp; "*", S22_S25_Emp!$B:$B, "Doctorate")</f>
        <v>#VALUE!</v>
      </c>
      <c r="R25" s="43" t="str">
        <f t="array" ref="R25">IF(OR(INDEX(S26_CF!X:X, MATCH("*" &amp; $A25 &amp; "*", CompanyList!A:A, 0))=TRUE, INDEX(F25_CF!P:P, MATCH("*" &amp; $A25 &amp; "*", CompanyList!A:A, 0))=TRUE, INDEX(S25_CF!T:T, MATCH("*" &amp; $A25 &amp; "*", CompanyList!A:A, 0))=TRUE, INDEX(S24_CF!W:W, MATCH("*" &amp; $A25 &amp; "*", CompanyList!A:A, 0))=TRUE), "Yes", "No")</f>
        <v>Yes</v>
      </c>
      <c r="S25" s="43" t="str">
        <f>IF(COUNTIF(S26_CF!$A:$A,"*" &amp; $A25 &amp; "*") &lt;&gt; 0, "Yes", "No")</f>
        <v>No</v>
      </c>
      <c r="T25" s="43" t="str">
        <f t="array" ref="T25">INDEX(S26_CF!K:K, MATCH("*" &amp; $A25 &amp; "*", S26_CF!A:A, 0))</f>
        <v>#N/A</v>
      </c>
      <c r="U25" s="43" t="str">
        <f>IF(COUNTIF(F25_CF!$A:$A,"*" &amp; $A25 &amp; "*") &lt;&gt; 0, "Yes", "No")</f>
        <v>Yes</v>
      </c>
      <c r="V25" s="43" t="str">
        <f t="array" ref="V25">INDEX(F25_CF!I:I, MATCH("*" &amp; $A25 &amp; "*", F25_CF!$A:$A, 0))</f>
        <v>Silver Two-Day [$3000.00]</v>
      </c>
      <c r="W25" s="43" t="str">
        <f>IF(COUNTIF(S25_CF!$A:$A,"*" &amp; $A25 &amp; "*") &lt;&gt; 0, "Yes", "No")</f>
        <v>No</v>
      </c>
      <c r="X25" s="43" t="str">
        <f t="array" ref="X25">INDEX(S25_CF!J:J, MATCH("*" &amp; $A25 &amp; "*", S25_CF!$A:$A, 0))</f>
        <v>#N/A</v>
      </c>
      <c r="Y25" s="43" t="str">
        <f>IF(COUNTIF(F24_CF!$A:$A,"*" &amp; $A25 &amp; "*") &lt;&gt; 0, "Yes", "No")</f>
        <v>Yes</v>
      </c>
      <c r="Z25" s="43" t="str">
        <f t="array" ref="Z25">INDEX(F24_CF!N:N, MATCH("*" &amp; $A25 &amp; "*", F24_CF!$A:$A, 0))</f>
        <v>Silver Two-Day [$3000.00]</v>
      </c>
      <c r="AA25" s="43" t="str">
        <f>IF(COUNTIF(S24_CF!$A:$A,"*" &amp; $A25 &amp; "*") &lt;&gt; 0, "Yes", "No")</f>
        <v>Yes</v>
      </c>
      <c r="AB25" s="43" t="str">
        <f t="array" ref="AB25">INDEX(S24_CF!H:H, MATCH("*" &amp; $A25 &amp; "*", S24_CF!$A:$A, 0))</f>
        <v>Silver Two-Day [$3000.00]</v>
      </c>
    </row>
    <row r="26" ht="15.0" customHeight="1">
      <c r="A26" s="52" t="s">
        <v>79</v>
      </c>
      <c r="B26" s="43" t="s">
        <v>52</v>
      </c>
      <c r="C26" s="43"/>
      <c r="D26" s="43"/>
      <c r="E26" s="43"/>
      <c r="F26" s="43">
        <f>COUNTIF(S26_Emp!$C:$C,"*" &amp;A26 &amp; "*")</f>
        <v>0</v>
      </c>
      <c r="G26" s="43">
        <f>COUNTIF(F25_Emp!$C:$C,"*" &amp;#REF! &amp; "*")</f>
        <v>0</v>
      </c>
      <c r="H26" s="43">
        <f>COUNTIF(S25_Emp!$C:$C,"*" &amp; A26 &amp; "*")</f>
        <v>0</v>
      </c>
      <c r="I26" s="43">
        <f>COUNTIF(F24_Emp!$C:$C,"*" &amp; B26 &amp; "*")</f>
        <v>0</v>
      </c>
      <c r="J26" s="43">
        <f>COUNTIF(S24_Emp!$C:$C,"*" &amp; $A26 &amp; "*")</f>
        <v>0</v>
      </c>
      <c r="K26" s="43">
        <f>COUNTIF(F23_Emp!$C:$C,"*" &amp; $A26 &amp; "*")</f>
        <v>0</v>
      </c>
      <c r="L26" s="43">
        <f>COUNTIF(S23_Emp!$C:$C,"*" &amp; $A26 &amp; "*")</f>
        <v>0</v>
      </c>
      <c r="M26" s="43">
        <f>COUNTIF(F22_Emp!$C:$C,"*" &amp; $A26 &amp; "*")</f>
        <v>0</v>
      </c>
      <c r="N26" s="43">
        <f>COUNTIF(S22_Emp!$C:$C,"*" &amp; $A26 &amp; "*")</f>
        <v>0</v>
      </c>
      <c r="O26" s="43" t="str">
        <f>COUNTIFS(S22_Emp!$C:$C,"*" &amp; $A26 &amp; "*", S22_S25_Emp!$B:$B, "Bachelor")</f>
        <v>#VALUE!</v>
      </c>
      <c r="P26" s="43" t="str">
        <f>COUNTIFS(S22_Emp!$C:$C,"*" &amp; $A26 &amp; "*", S22_S25_Emp!$B:$B, "Master")</f>
        <v>#VALUE!</v>
      </c>
      <c r="Q26" s="43" t="str">
        <f>COUNTIFS(S22_Emp!$C:$C,"*" &amp; $A26 &amp; "*", S22_S25_Emp!$B:$B, "Doctorate")</f>
        <v>#VALUE!</v>
      </c>
      <c r="R26" s="43" t="str">
        <f t="array" ref="R26">IF(OR(INDEX(S26_CF!X:X, MATCH("*" &amp; $A26 &amp; "*", CompanyList!A:A, 0))=TRUE, INDEX(F25_CF!P:P, MATCH("*" &amp; $A26 &amp; "*", CompanyList!A:A, 0))=TRUE, INDEX(S25_CF!T:T, MATCH("*" &amp; $A26 &amp; "*", CompanyList!A:A, 0))=TRUE, INDEX(S24_CF!W:W, MATCH("*" &amp; $A26 &amp; "*", CompanyList!A:A, 0))=TRUE), "Yes", "No")</f>
        <v>No</v>
      </c>
      <c r="S26" s="43" t="str">
        <f>IF(COUNTIF(S26_CF!$A:$A,"*" &amp; $A26 &amp; "*") &lt;&gt; 0, "Yes", "No")</f>
        <v>No</v>
      </c>
      <c r="T26" s="43" t="str">
        <f t="array" ref="T26">INDEX(S26_CF!K:K, MATCH("*" &amp; $A26 &amp; "*", S26_CF!A:A, 0))</f>
        <v>#N/A</v>
      </c>
      <c r="U26" s="43" t="str">
        <f>IF(COUNTIF(F25_CF!$A:$A,"*" &amp; $A26 &amp; "*") &lt;&gt; 0, "Yes", "No")</f>
        <v>Yes</v>
      </c>
      <c r="V26" s="43" t="str">
        <f t="array" ref="V26">INDEX(F25_CF!I:I, MATCH("*" &amp; $A26 &amp; "*", F25_CF!$A:$A, 0))</f>
        <v>Basic One-Day: Thursday, September 11th [$1000.00]</v>
      </c>
      <c r="W26" s="43" t="str">
        <f>IF(COUNTIF(S25_CF!$A:$A,"*" &amp; $A26 &amp; "*") &lt;&gt; 0, "Yes", "No")</f>
        <v>No</v>
      </c>
      <c r="X26" s="43" t="str">
        <f t="array" ref="X26">INDEX(S25_CF!J:J, MATCH("*" &amp; $A26 &amp; "*", S25_CF!$A:$A, 0))</f>
        <v>#N/A</v>
      </c>
      <c r="Y26" s="43" t="str">
        <f>IF(COUNTIF(F24_CF!$A:$A,"*" &amp; $A26 &amp; "*") &lt;&gt; 0, "Yes", "No")</f>
        <v>Yes</v>
      </c>
      <c r="Z26" s="43" t="str">
        <f t="array" ref="Z26">INDEX(F24_CF!N:N, MATCH("*" &amp; $A26 &amp; "*", F24_CF!$A:$A, 0))</f>
        <v>Basic One-Day: Wednesday, September 4th [$1000.00]</v>
      </c>
      <c r="AA26" s="43" t="str">
        <f>IF(COUNTIF(S24_CF!$A:$A,"*" &amp; $A26 &amp; "*") &lt;&gt; 0, "Yes", "No")</f>
        <v>Yes</v>
      </c>
      <c r="AB26" s="43" t="str">
        <f t="array" ref="AB26">INDEX(S24_CF!H:H, MATCH("*" &amp; $A26 &amp; "*", S24_CF!$A:$A, 0))</f>
        <v>Basic One-Day [$1000.00]</v>
      </c>
    </row>
    <row r="27" ht="15.0" customHeight="1">
      <c r="A27" s="52" t="s">
        <v>80</v>
      </c>
      <c r="B27" s="43" t="s">
        <v>52</v>
      </c>
      <c r="C27" s="43"/>
      <c r="D27" s="43"/>
      <c r="E27" s="43"/>
      <c r="F27" s="43">
        <f>COUNTIF(S26_Emp!$C:$C,"*" &amp;A27 &amp; "*")</f>
        <v>0</v>
      </c>
      <c r="G27" s="43">
        <f>COUNTIF(F25_Emp!$C:$C,"*" &amp;#REF! &amp; "*")</f>
        <v>0</v>
      </c>
      <c r="H27" s="43">
        <f>COUNTIF(S25_Emp!$C:$C,"*" &amp; A27 &amp; "*")</f>
        <v>0</v>
      </c>
      <c r="I27" s="43">
        <f>COUNTIF(F24_Emp!$C:$C,"*" &amp; B27 &amp; "*")</f>
        <v>0</v>
      </c>
      <c r="J27" s="43">
        <f>COUNTIF(S24_Emp!$C:$C,"*" &amp; $A27 &amp; "*")</f>
        <v>3</v>
      </c>
      <c r="K27" s="43">
        <f>COUNTIF(F23_Emp!$C:$C,"*" &amp; $A27 &amp; "*")</f>
        <v>1</v>
      </c>
      <c r="L27" s="43">
        <f>COUNTIF(S23_Emp!$C:$C,"*" &amp; $A27 &amp; "*")</f>
        <v>1</v>
      </c>
      <c r="M27" s="43">
        <f>COUNTIF(F22_Emp!$C:$C,"*" &amp; $A27 &amp; "*")</f>
        <v>2</v>
      </c>
      <c r="N27" s="43">
        <f>COUNTIF(S22_Emp!$C:$C,"*" &amp; $A27 &amp; "*")</f>
        <v>0</v>
      </c>
      <c r="O27" s="43" t="str">
        <f>COUNTIFS(S22_Emp!$C:$C,"*" &amp; $A27 &amp; "*", S22_S25_Emp!$B:$B, "Bachelor")</f>
        <v>#VALUE!</v>
      </c>
      <c r="P27" s="43" t="str">
        <f>COUNTIFS(S22_Emp!$C:$C,"*" &amp; $A27 &amp; "*", S22_S25_Emp!$B:$B, "Master")</f>
        <v>#VALUE!</v>
      </c>
      <c r="Q27" s="43" t="str">
        <f>COUNTIFS(S22_Emp!$C:$C,"*" &amp; $A27 &amp; "*", S22_S25_Emp!$B:$B, "Doctorate")</f>
        <v>#VALUE!</v>
      </c>
      <c r="R27" s="43" t="str">
        <f t="array" ref="R27">IF(OR(INDEX(S26_CF!X:X, MATCH("*" &amp; $A27 &amp; "*", CompanyList!A:A, 0))=TRUE, INDEX(F25_CF!P:P, MATCH("*" &amp; $A27 &amp; "*", CompanyList!A:A, 0))=TRUE, INDEX(S25_CF!T:T, MATCH("*" &amp; $A27 &amp; "*", CompanyList!A:A, 0))=TRUE, INDEX(S24_CF!W:W, MATCH("*" &amp; $A27 &amp; "*", CompanyList!A:A, 0))=TRUE), "Yes", "No")</f>
        <v>Yes</v>
      </c>
      <c r="S27" s="43" t="str">
        <f>IF(COUNTIF(S26_CF!$A:$A,"*" &amp; $A27 &amp; "*") &lt;&gt; 0, "Yes", "No")</f>
        <v>Yes</v>
      </c>
      <c r="T27" s="43" t="str">
        <f t="array" ref="T27">INDEX(S26_CF!K:K, MATCH("*" &amp; $A27 &amp; "*", S26_CF!A:A, 0))</f>
        <v>Gold Two-Day [$5500.00]</v>
      </c>
      <c r="U27" s="43" t="str">
        <f>IF(COUNTIF(F25_CF!$A:$A,"*" &amp; $A27 &amp; "*") &lt;&gt; 0, "Yes", "No")</f>
        <v>Yes</v>
      </c>
      <c r="V27" s="43" t="str">
        <f t="array" ref="V27">INDEX(F25_CF!I:I, MATCH("*" &amp; $A27 &amp; "*", F25_CF!$A:$A, 0))</f>
        <v>Gold Two-Day [$5500.00]</v>
      </c>
      <c r="W27" s="43" t="str">
        <f>IF(COUNTIF(S25_CF!$A:$A,"*" &amp; $A27 &amp; "*") &lt;&gt; 0, "Yes", "No")</f>
        <v>Yes</v>
      </c>
      <c r="X27" s="43" t="str">
        <f t="array" ref="X27">INDEX(S25_CF!J:J, MATCH("*" &amp; $A27 &amp; "*", S25_CF!$A:$A, 0))</f>
        <v>Gold Two-Day [$5500.00]</v>
      </c>
      <c r="Y27" s="43" t="str">
        <f>IF(COUNTIF(F24_CF!$A:$A,"*" &amp; $A27 &amp; "*") &lt;&gt; 0, "Yes", "No")</f>
        <v>Yes</v>
      </c>
      <c r="Z27" s="43" t="str">
        <f t="array" ref="Z27">INDEX(F24_CF!N:N, MATCH("*" &amp; $A27 &amp; "*", F24_CF!$A:$A, 0))</f>
        <v>Gold Two-Day [$5500.00]</v>
      </c>
      <c r="AA27" s="43" t="str">
        <f>IF(COUNTIF(S24_CF!$A:$A,"*" &amp; $A27 &amp; "*") &lt;&gt; 0, "Yes", "No")</f>
        <v>Yes</v>
      </c>
      <c r="AB27" s="43" t="str">
        <f t="array" ref="AB27">INDEX(S24_CF!H:H, MATCH("*" &amp; $A27 &amp; "*", S24_CF!$A:$A, 0))</f>
        <v>Gold Two-Day [$5000.00]</v>
      </c>
    </row>
    <row r="28" ht="15.0" customHeight="1">
      <c r="A28" s="52" t="s">
        <v>81</v>
      </c>
      <c r="B28" s="43" t="s">
        <v>52</v>
      </c>
      <c r="C28" s="43">
        <v>4200.0</v>
      </c>
      <c r="D28" s="43">
        <v>12000.0</v>
      </c>
      <c r="E28" s="43"/>
      <c r="F28" s="43">
        <f>COUNTIF(S26_Emp!$C:$C,"*" &amp;A28 &amp; "*")</f>
        <v>0</v>
      </c>
      <c r="G28" s="43">
        <f>COUNTIF(F25_Emp!$C:$C,"*" &amp;#REF! &amp; "*")</f>
        <v>0</v>
      </c>
      <c r="H28" s="43">
        <f>COUNTIF(S25_Emp!$C:$C,"*" &amp; A28 &amp; "*")</f>
        <v>3</v>
      </c>
      <c r="I28" s="43">
        <f>COUNTIF(F24_Emp!$C:$C,"*" &amp; B28 &amp; "*")</f>
        <v>0</v>
      </c>
      <c r="J28" s="43">
        <f>COUNTIF(S24_Emp!$C:$C,"*" &amp; $A28 &amp; "*")</f>
        <v>1</v>
      </c>
      <c r="K28" s="43">
        <f>COUNTIF(F23_Emp!$C:$C,"*" &amp; $A28 &amp; "*")</f>
        <v>1</v>
      </c>
      <c r="L28" s="43">
        <f>COUNTIF(S23_Emp!$C:$C,"*" &amp; $A28 &amp; "*")</f>
        <v>0</v>
      </c>
      <c r="M28" s="43">
        <f>COUNTIF(F22_Emp!$C:$C,"*" &amp; $A28 &amp; "*")</f>
        <v>2</v>
      </c>
      <c r="N28" s="43">
        <f>COUNTIF(S22_Emp!$C:$C,"*" &amp; $A28 &amp; "*")</f>
        <v>2</v>
      </c>
      <c r="O28" s="43" t="str">
        <f>COUNTIFS(S22_Emp!$C:$C,"*" &amp; $A28 &amp; "*", S22_S25_Emp!$B:$B, "Bachelor")</f>
        <v>#VALUE!</v>
      </c>
      <c r="P28" s="43" t="str">
        <f>COUNTIFS(S22_Emp!$C:$C,"*" &amp; $A28 &amp; "*", S22_S25_Emp!$B:$B, "Master")</f>
        <v>#VALUE!</v>
      </c>
      <c r="Q28" s="43" t="str">
        <f>COUNTIFS(S22_Emp!$C:$C,"*" &amp; $A28 &amp; "*", S22_S25_Emp!$B:$B, "Doctorate")</f>
        <v>#VALUE!</v>
      </c>
      <c r="R28" s="43" t="str">
        <f t="array" ref="R28">IF(OR(INDEX(S26_CF!X:X, MATCH("*" &amp; $A28 &amp; "*", CompanyList!A:A, 0))=TRUE, INDEX(F25_CF!P:P, MATCH("*" &amp; $A28 &amp; "*", CompanyList!A:A, 0))=TRUE, INDEX(S25_CF!T:T, MATCH("*" &amp; $A28 &amp; "*", CompanyList!A:A, 0))=TRUE, INDEX(S24_CF!W:W, MATCH("*" &amp; $A28 &amp; "*", CompanyList!A:A, 0))=TRUE), "Yes", "No")</f>
        <v>No</v>
      </c>
      <c r="S28" s="43" t="str">
        <f>IF(COUNTIF(S26_CF!$A:$A,"*" &amp; $A28 &amp; "*") &lt;&gt; 0, "Yes", "No")</f>
        <v>Yes</v>
      </c>
      <c r="T28" s="43" t="str">
        <f t="array" ref="T28">INDEX(S26_CF!K:K, MATCH("*" &amp; $A28 &amp; "*", S26_CF!A:A, 0))</f>
        <v>Basic One-Day: Wednesday, January 28th [$1000.00]</v>
      </c>
      <c r="U28" s="43" t="str">
        <f>IF(COUNTIF(F25_CF!$A:$A,"*" &amp; $A28 &amp; "*") &lt;&gt; 0, "Yes", "No")</f>
        <v>Yes</v>
      </c>
      <c r="V28" s="43" t="str">
        <f t="array" ref="V28">INDEX(F25_CF!I:I, MATCH("*" &amp; $A28 &amp; "*", F25_CF!$A:$A, 0))</f>
        <v>Basic One-Day: Wednesday, September 10th [$1000.00]</v>
      </c>
      <c r="W28" s="43" t="str">
        <f>IF(COUNTIF(S25_CF!$A:$A,"*" &amp; $A28 &amp; "*") &lt;&gt; 0, "Yes", "No")</f>
        <v>Yes</v>
      </c>
      <c r="X28" s="43" t="str">
        <f t="array" ref="X28">INDEX(S25_CF!J:J, MATCH("*" &amp; $A28 &amp; "*", S25_CF!$A:$A, 0))</f>
        <v>Basic One-Day: Thursday, January 23rd [$1000.00]</v>
      </c>
      <c r="Y28" s="43" t="str">
        <f>IF(COUNTIF(F24_CF!$A:$A,"*" &amp; $A28 &amp; "*") &lt;&gt; 0, "Yes", "No")</f>
        <v>Yes</v>
      </c>
      <c r="Z28" s="43" t="str">
        <f t="array" ref="Z28">INDEX(F24_CF!N:N, MATCH("*" &amp; $A28 &amp; "*", F24_CF!$A:$A, 0))</f>
        <v>Basic One-Day: Wednesday, September 4th [$1000.00]</v>
      </c>
      <c r="AA28" s="43" t="str">
        <f>IF(COUNTIF(S24_CF!$A:$A,"*" &amp; $A28 &amp; "*") &lt;&gt; 0, "Yes", "No")</f>
        <v>Yes</v>
      </c>
      <c r="AB28" s="43" t="str">
        <f t="array" ref="AB28">INDEX(S24_CF!H:H, MATCH("*" &amp; $A28 &amp; "*", S24_CF!$A:$A, 0))</f>
        <v>Basic One-Day [$1000.00]</v>
      </c>
    </row>
    <row r="29" ht="15.0" customHeight="1">
      <c r="A29" s="52" t="s">
        <v>82</v>
      </c>
      <c r="B29" s="43" t="s">
        <v>83</v>
      </c>
      <c r="C29" s="43">
        <v>23000.0</v>
      </c>
      <c r="D29" s="43">
        <v>36000.0</v>
      </c>
      <c r="E29" s="43"/>
      <c r="F29" s="43">
        <f>COUNTIF(S26_Emp!$C:$C,"*" &amp;A29 &amp; "*")</f>
        <v>0</v>
      </c>
      <c r="G29" s="43">
        <f>COUNTIF(F25_Emp!$C:$C,"*" &amp;#REF! &amp; "*")</f>
        <v>0</v>
      </c>
      <c r="H29" s="43">
        <f>COUNTIF(S25_Emp!$C:$C,"*" &amp; A29 &amp; "*")</f>
        <v>0</v>
      </c>
      <c r="I29" s="43">
        <f>COUNTIF(F24_Emp!$C:$C,"*" &amp; B29 &amp; "*")</f>
        <v>0</v>
      </c>
      <c r="J29" s="43">
        <f>COUNTIF(S24_Emp!$C:$C,"*" &amp; $A29 &amp; "*")</f>
        <v>1</v>
      </c>
      <c r="K29" s="43">
        <f>COUNTIF(F23_Emp!$C:$C,"*" &amp; $A29 &amp; "*")</f>
        <v>0</v>
      </c>
      <c r="L29" s="43">
        <f>COUNTIF(S23_Emp!$C:$C,"*" &amp; $A29 &amp; "*")</f>
        <v>4</v>
      </c>
      <c r="M29" s="43">
        <f>COUNTIF(F22_Emp!$C:$C,"*" &amp; $A29 &amp; "*")</f>
        <v>0</v>
      </c>
      <c r="N29" s="43">
        <f>COUNTIF(S22_Emp!$C:$C,"*" &amp; $A29 &amp; "*")</f>
        <v>2</v>
      </c>
      <c r="O29" s="43" t="str">
        <f>COUNTIFS(S22_Emp!$C:$C,"*" &amp; $A29 &amp; "*", S22_S25_Emp!$B:$B, "Bachelor")</f>
        <v>#VALUE!</v>
      </c>
      <c r="P29" s="43" t="str">
        <f>COUNTIFS(S22_Emp!$C:$C,"*" &amp; $A29 &amp; "*", S22_S25_Emp!$B:$B, "Master")</f>
        <v>#VALUE!</v>
      </c>
      <c r="Q29" s="43" t="str">
        <f>COUNTIFS(S22_Emp!$C:$C,"*" &amp; $A29 &amp; "*", S22_S25_Emp!$B:$B, "Doctorate")</f>
        <v>#VALUE!</v>
      </c>
      <c r="R29" s="43" t="str">
        <f t="array" ref="R29">IF(OR(INDEX(S26_CF!X:X, MATCH("*" &amp; $A29 &amp; "*", CompanyList!A:A, 0))=TRUE, INDEX(F25_CF!P:P, MATCH("*" &amp; $A29 &amp; "*", CompanyList!A:A, 0))=TRUE, INDEX(S25_CF!T:T, MATCH("*" &amp; $A29 &amp; "*", CompanyList!A:A, 0))=TRUE, INDEX(S24_CF!W:W, MATCH("*" &amp; $A29 &amp; "*", CompanyList!A:A, 0))=TRUE), "Yes", "No")</f>
        <v>No</v>
      </c>
      <c r="S29" s="43" t="str">
        <f>IF(COUNTIF(S26_CF!$A:$A,"*" &amp; $A29 &amp; "*") &lt;&gt; 0, "Yes", "No")</f>
        <v>Yes</v>
      </c>
      <c r="T29" s="43" t="str">
        <f t="array" ref="T29">INDEX(S26_CF!K:K, MATCH("*" &amp; $A29 &amp; "*", S26_CF!A:A, 0))</f>
        <v>Basic Two-Day [$2000.00]</v>
      </c>
      <c r="U29" s="43" t="str">
        <f>IF(COUNTIF(F25_CF!$A:$A,"*" &amp; $A29 &amp; "*") &lt;&gt; 0, "Yes", "No")</f>
        <v>Yes</v>
      </c>
      <c r="V29" s="43" t="str">
        <f t="array" ref="V29">INDEX(F25_CF!I:I, MATCH("*" &amp; $A29 &amp; "*", F25_CF!$A:$A, 0))</f>
        <v>Basic Two-Day [$2000.00]</v>
      </c>
      <c r="W29" s="43" t="str">
        <f>IF(COUNTIF(S25_CF!$A:$A,"*" &amp; $A29 &amp; "*") &lt;&gt; 0, "Yes", "No")</f>
        <v>No</v>
      </c>
      <c r="X29" s="43" t="str">
        <f t="array" ref="X29">INDEX(S25_CF!J:J, MATCH("*" &amp; $A29 &amp; "*", S25_CF!$A:$A, 0))</f>
        <v>#N/A</v>
      </c>
      <c r="Y29" s="43" t="str">
        <f>IF(COUNTIF(F24_CF!$A:$A,"*" &amp; $A29 &amp; "*") &lt;&gt; 0, "Yes", "No")</f>
        <v>Yes</v>
      </c>
      <c r="Z29" s="43" t="str">
        <f t="array" ref="Z29">INDEX(F24_CF!N:N, MATCH("*" &amp; $A29 &amp; "*", F24_CF!$A:$A, 0))</f>
        <v>Basic One-Day: Wednesday, September 4th [$1000.00]</v>
      </c>
      <c r="AA29" s="43" t="str">
        <f>IF(COUNTIF(S24_CF!$A:$A,"*" &amp; $A29 &amp; "*") &lt;&gt; 0, "Yes", "No")</f>
        <v>Yes</v>
      </c>
      <c r="AB29" s="43" t="str">
        <f t="array" ref="AB29">INDEX(S24_CF!H:H, MATCH("*" &amp; $A29 &amp; "*", S24_CF!$A:$A, 0))</f>
        <v>Basic Two-Day [$2000.00]</v>
      </c>
    </row>
    <row r="30" ht="15.0" customHeight="1">
      <c r="A30" s="52" t="s">
        <v>84</v>
      </c>
      <c r="B30" s="43" t="s">
        <v>54</v>
      </c>
      <c r="C30" s="43">
        <v>350.0</v>
      </c>
      <c r="D30" s="43">
        <v>1700.0</v>
      </c>
      <c r="E30" s="43">
        <v>0.6</v>
      </c>
      <c r="F30" s="43">
        <f>COUNTIF(S26_Emp!$C:$C,"*" &amp;A30 &amp; "*")</f>
        <v>0</v>
      </c>
      <c r="G30" s="43">
        <f>COUNTIF(F25_Emp!$C:$C,"*" &amp;#REF! &amp; "*")</f>
        <v>0</v>
      </c>
      <c r="H30" s="43">
        <f>COUNTIF(S25_Emp!$C:$C,"*" &amp; A30 &amp; "*")</f>
        <v>0</v>
      </c>
      <c r="I30" s="43">
        <f>COUNTIF(F24_Emp!$C:$C,"*" &amp; B30 &amp; "*")</f>
        <v>1</v>
      </c>
      <c r="J30" s="43">
        <f>COUNTIF(S24_Emp!$C:$C,"*" &amp; $A30 &amp; "*")</f>
        <v>1</v>
      </c>
      <c r="K30" s="43">
        <f>COUNTIF(F23_Emp!$C:$C,"*" &amp; $A30 &amp; "*")</f>
        <v>0</v>
      </c>
      <c r="L30" s="43">
        <f>COUNTIF(S23_Emp!$C:$C,"*" &amp; $A30 &amp; "*")</f>
        <v>0</v>
      </c>
      <c r="M30" s="43">
        <f>COUNTIF(F22_Emp!$C:$C,"*" &amp; $A30 &amp; "*")</f>
        <v>0</v>
      </c>
      <c r="N30" s="43">
        <f>COUNTIF(S22_Emp!$C:$C,"*" &amp; $A30 &amp; "*")</f>
        <v>0</v>
      </c>
      <c r="O30" s="43" t="str">
        <f>COUNTIFS(S22_Emp!$C:$C,"*" &amp; $A30 &amp; "*", S22_S25_Emp!$B:$B, "Bachelor")</f>
        <v>#VALUE!</v>
      </c>
      <c r="P30" s="43" t="str">
        <f>COUNTIFS(S22_Emp!$C:$C,"*" &amp; $A30 &amp; "*", S22_S25_Emp!$B:$B, "Master")</f>
        <v>#VALUE!</v>
      </c>
      <c r="Q30" s="43" t="str">
        <f>COUNTIFS(S22_Emp!$C:$C,"*" &amp; $A30 &amp; "*", S22_S25_Emp!$B:$B, "Doctorate")</f>
        <v>#VALUE!</v>
      </c>
      <c r="R30" s="43" t="str">
        <f t="array" ref="R30">IF(OR(INDEX(S26_CF!X:X, MATCH("*" &amp; $A30 &amp; "*", CompanyList!A:A, 0))=TRUE, INDEX(F25_CF!P:P, MATCH("*" &amp; $A30 &amp; "*", CompanyList!A:A, 0))=TRUE, INDEX(S25_CF!T:T, MATCH("*" &amp; $A30 &amp; "*", CompanyList!A:A, 0))=TRUE, INDEX(S24_CF!W:W, MATCH("*" &amp; $A30 &amp; "*", CompanyList!A:A, 0))=TRUE), "Yes", "No")</f>
        <v>Yes</v>
      </c>
      <c r="S30" s="43" t="str">
        <f>IF(COUNTIF(S26_CF!$A:$A,"*" &amp; $A30 &amp; "*") &lt;&gt; 0, "Yes", "No")</f>
        <v>No</v>
      </c>
      <c r="T30" s="43" t="str">
        <f t="array" ref="T30">INDEX(S26_CF!K:K, MATCH("*" &amp; $A30 &amp; "*", S26_CF!A:A, 0))</f>
        <v>#N/A</v>
      </c>
      <c r="U30" s="43" t="str">
        <f>IF(COUNTIF(F25_CF!$A:$A,"*" &amp; $A30 &amp; "*") &lt;&gt; 0, "Yes", "No")</f>
        <v>Yes</v>
      </c>
      <c r="V30" s="43" t="str">
        <f t="array" ref="V30">INDEX(F25_CF!I:I, MATCH("*" &amp; $A30 &amp; "*", F25_CF!$A:$A, 0))</f>
        <v>Basic One-Day: Thursday, September 11th [$1000.00]</v>
      </c>
      <c r="W30" s="43" t="str">
        <f>IF(COUNTIF(S25_CF!$A:$A,"*" &amp; $A30 &amp; "*") &lt;&gt; 0, "Yes", "No")</f>
        <v>Yes</v>
      </c>
      <c r="X30" s="43" t="str">
        <f t="array" ref="X30">INDEX(S25_CF!J:J, MATCH("*" &amp; $A30 &amp; "*", S25_CF!$A:$A, 0))</f>
        <v>Basic One-Day: Thursday, January 23rd [$1000.00]</v>
      </c>
      <c r="Y30" s="43" t="str">
        <f>IF(COUNTIF(F24_CF!$A:$A,"*" &amp; $A30 &amp; "*") &lt;&gt; 0, "Yes", "No")</f>
        <v>Yes</v>
      </c>
      <c r="Z30" s="43" t="str">
        <f t="array" ref="Z30">INDEX(F24_CF!N:N, MATCH("*" &amp; $A30 &amp; "*", F24_CF!$A:$A, 0))</f>
        <v>Basic Two-Day [$2000.00]</v>
      </c>
      <c r="AA30" s="43" t="str">
        <f>IF(COUNTIF(S24_CF!$A:$A,"*" &amp; $A30 &amp; "*") &lt;&gt; 0, "Yes", "No")</f>
        <v>Yes</v>
      </c>
      <c r="AB30" s="43" t="str">
        <f t="array" ref="AB30">INDEX(S24_CF!H:H, MATCH("*" &amp; $A30 &amp; "*", S24_CF!$A:$A, 0))</f>
        <v>Basic One-Day [$1000.00]</v>
      </c>
    </row>
    <row r="31" ht="15.0" customHeight="1">
      <c r="A31" s="52" t="s">
        <v>85</v>
      </c>
      <c r="B31" s="43" t="s">
        <v>52</v>
      </c>
      <c r="C31" s="43">
        <v>5000.0</v>
      </c>
      <c r="D31" s="43">
        <v>3500.0</v>
      </c>
      <c r="E31" s="43"/>
      <c r="F31" s="43">
        <f>COUNTIF(S26_Emp!$C:$C,"*" &amp;A31 &amp; "*")</f>
        <v>0</v>
      </c>
      <c r="G31" s="43">
        <f>COUNTIF(F25_Emp!$C:$C,"*" &amp;#REF! &amp; "*")</f>
        <v>0</v>
      </c>
      <c r="H31" s="43">
        <f>COUNTIF(S25_Emp!$C:$C,"*" &amp; A31 &amp; "*")</f>
        <v>0</v>
      </c>
      <c r="I31" s="43">
        <f>COUNTIF(F24_Emp!$C:$C,"*" &amp; B31 &amp; "*")</f>
        <v>0</v>
      </c>
      <c r="J31" s="43">
        <f>COUNTIF(S24_Emp!$C:$C,"*" &amp; $A31 &amp; "*")</f>
        <v>1</v>
      </c>
      <c r="K31" s="43">
        <f>COUNTIF(F23_Emp!$C:$C,"*" &amp; $A31 &amp; "*")</f>
        <v>1</v>
      </c>
      <c r="L31" s="43">
        <f>COUNTIF(S23_Emp!$C:$C,"*" &amp; $A31 &amp; "*")</f>
        <v>0</v>
      </c>
      <c r="M31" s="43">
        <f>COUNTIF(F22_Emp!$C:$C,"*" &amp; $A31 &amp; "*")</f>
        <v>0</v>
      </c>
      <c r="N31" s="43">
        <f>COUNTIF(S22_Emp!$C:$C,"*" &amp; $A31 &amp; "*")</f>
        <v>0</v>
      </c>
      <c r="O31" s="43" t="str">
        <f>COUNTIFS(S22_Emp!$C:$C,"*" &amp; $A31 &amp; "*", S22_S25_Emp!$B:$B, "Bachelor")</f>
        <v>#VALUE!</v>
      </c>
      <c r="P31" s="43" t="str">
        <f>COUNTIFS(S22_Emp!$C:$C,"*" &amp; $A31 &amp; "*", S22_S25_Emp!$B:$B, "Master")</f>
        <v>#VALUE!</v>
      </c>
      <c r="Q31" s="43" t="str">
        <f>COUNTIFS(S22_Emp!$C:$C,"*" &amp; $A31 &amp; "*", S22_S25_Emp!$B:$B, "Doctorate")</f>
        <v>#VALUE!</v>
      </c>
      <c r="R31" s="43" t="str">
        <f t="array" ref="R31">IF(OR(INDEX(S26_CF!X:X, MATCH("*" &amp; $A31 &amp; "*", CompanyList!A:A, 0))=TRUE, INDEX(F25_CF!P:P, MATCH("*" &amp; $A31 &amp; "*", CompanyList!A:A, 0))=TRUE, INDEX(S25_CF!T:T, MATCH("*" &amp; $A31 &amp; "*", CompanyList!A:A, 0))=TRUE, INDEX(S24_CF!W:W, MATCH("*" &amp; $A31 &amp; "*", CompanyList!A:A, 0))=TRUE), "Yes", "No")</f>
        <v>No</v>
      </c>
      <c r="S31" s="43" t="str">
        <f>IF(COUNTIF(S26_CF!$A:$A,"*" &amp; $A31 &amp; "*") &lt;&gt; 0, "Yes", "No")</f>
        <v>No</v>
      </c>
      <c r="T31" s="43" t="str">
        <f t="array" ref="T31">INDEX(S26_CF!K:K, MATCH("*" &amp; $A31 &amp; "*", S26_CF!A:A, 0))</f>
        <v>#N/A</v>
      </c>
      <c r="U31" s="43" t="str">
        <f>IF(COUNTIF(F25_CF!$A:$A,"*" &amp; $A31 &amp; "*") &lt;&gt; 0, "Yes", "No")</f>
        <v>No</v>
      </c>
      <c r="V31" s="43" t="str">
        <f t="array" ref="V31">INDEX(F25_CF!I:I, MATCH("*" &amp; $A31 &amp; "*", F25_CF!$A:$A, 0))</f>
        <v>#N/A</v>
      </c>
      <c r="W31" s="43" t="str">
        <f>IF(COUNTIF(S25_CF!$A:$A,"*" &amp; $A31 &amp; "*") &lt;&gt; 0, "Yes", "No")</f>
        <v>Yes</v>
      </c>
      <c r="X31" s="43" t="str">
        <f t="array" ref="X31">INDEX(S25_CF!J:J, MATCH("*" &amp; $A31 &amp; "*", S25_CF!$A:$A, 0))</f>
        <v>Basic One-Day: Wednesday, January 22nd [$1000.00]</v>
      </c>
      <c r="Y31" s="43" t="str">
        <f>IF(COUNTIF(F24_CF!$A:$A,"*" &amp; $A31 &amp; "*") &lt;&gt; 0, "Yes", "No")</f>
        <v>Yes</v>
      </c>
      <c r="Z31" s="43" t="str">
        <f t="array" ref="Z31">INDEX(F24_CF!N:N, MATCH("*" &amp; $A31 &amp; "*", F24_CF!$A:$A, 0))</f>
        <v>Silver One-Day: Wednesday, September 4th [$1800.00]</v>
      </c>
      <c r="AA31" s="43" t="str">
        <f>IF(COUNTIF(S24_CF!$A:$A,"*" &amp; $A31 &amp; "*") &lt;&gt; 0, "Yes", "No")</f>
        <v>Yes</v>
      </c>
      <c r="AB31" s="43" t="str">
        <f t="array" ref="AB31">INDEX(S24_CF!H:H, MATCH("*" &amp; $A31 &amp; "*", S24_CF!$A:$A, 0))</f>
        <v>Basic One-Day [$1000.00]</v>
      </c>
    </row>
    <row r="32" ht="15.0" customHeight="1">
      <c r="A32" s="52" t="s">
        <v>86</v>
      </c>
      <c r="B32" s="43" t="s">
        <v>52</v>
      </c>
      <c r="C32" s="43"/>
      <c r="D32" s="43"/>
      <c r="E32" s="43"/>
      <c r="F32" s="43">
        <f>COUNTIF(S26_Emp!$C:$C,"*" &amp;A32 &amp; "*")</f>
        <v>0</v>
      </c>
      <c r="G32" s="43">
        <f>COUNTIF(F25_Emp!$C:$C,"*" &amp;#REF! &amp; "*")</f>
        <v>0</v>
      </c>
      <c r="H32" s="43">
        <f>COUNTIF(S25_Emp!$C:$C,"*" &amp; A32 &amp; "*")</f>
        <v>0</v>
      </c>
      <c r="I32" s="43">
        <f>COUNTIF(F24_Emp!$C:$C,"*" &amp; B32 &amp; "*")</f>
        <v>0</v>
      </c>
      <c r="J32" s="43">
        <f>COUNTIF(S24_Emp!$C:$C,"*" &amp; $A32 &amp; "*")</f>
        <v>1</v>
      </c>
      <c r="K32" s="43">
        <f>COUNTIF(F23_Emp!$C:$C,"*" &amp; $A32 &amp; "*")</f>
        <v>1</v>
      </c>
      <c r="L32" s="43">
        <f>COUNTIF(S23_Emp!$C:$C,"*" &amp; $A32 &amp; "*")</f>
        <v>1</v>
      </c>
      <c r="M32" s="43">
        <f>COUNTIF(F22_Emp!$C:$C,"*" &amp; $A32 &amp; "*")</f>
        <v>1</v>
      </c>
      <c r="N32" s="43">
        <f>COUNTIF(S22_Emp!$C:$C,"*" &amp; $A32 &amp; "*")</f>
        <v>0</v>
      </c>
      <c r="O32" s="43" t="str">
        <f>COUNTIFS(S22_Emp!$C:$C,"*" &amp; $A32 &amp; "*", S22_S25_Emp!$B:$B, "Bachelor")</f>
        <v>#VALUE!</v>
      </c>
      <c r="P32" s="43" t="str">
        <f>COUNTIFS(S22_Emp!$C:$C,"*" &amp; $A32 &amp; "*", S22_S25_Emp!$B:$B, "Master")</f>
        <v>#VALUE!</v>
      </c>
      <c r="Q32" s="43" t="str">
        <f>COUNTIFS(S22_Emp!$C:$C,"*" &amp; $A32 &amp; "*", S22_S25_Emp!$B:$B, "Doctorate")</f>
        <v>#VALUE!</v>
      </c>
      <c r="R32" s="43" t="str">
        <f t="array" ref="R32">IF(OR(INDEX(S26_CF!X:X, MATCH("*" &amp; $A32 &amp; "*", CompanyList!A:A, 0))=TRUE, INDEX(F25_CF!P:P, MATCH("*" &amp; $A32 &amp; "*", CompanyList!A:A, 0))=TRUE, INDEX(S25_CF!T:T, MATCH("*" &amp; $A32 &amp; "*", CompanyList!A:A, 0))=TRUE, INDEX(S24_CF!W:W, MATCH("*" &amp; $A32 &amp; "*", CompanyList!A:A, 0))=TRUE), "Yes", "No")</f>
        <v>Yes</v>
      </c>
      <c r="S32" s="43" t="str">
        <f>IF(COUNTIF(S26_CF!$A:$A,"*" &amp; $A32 &amp; "*") &lt;&gt; 0, "Yes", "No")</f>
        <v>Yes</v>
      </c>
      <c r="T32" s="43" t="str">
        <f t="array" ref="T32">INDEX(S26_CF!K:K, MATCH("*" &amp; $A32 &amp; "*", S26_CF!A:A, 0))</f>
        <v>Gold Two-Day [$5500.00]</v>
      </c>
      <c r="U32" s="43" t="str">
        <f>IF(COUNTIF(F25_CF!$A:$A,"*" &amp; $A32 &amp; "*") &lt;&gt; 0, "Yes", "No")</f>
        <v>Yes</v>
      </c>
      <c r="V32" s="43" t="str">
        <f t="array" ref="V32">INDEX(F25_CF!I:I, MATCH("*" &amp; $A32 &amp; "*", F25_CF!$A:$A, 0))</f>
        <v>Gold Two-Day [$5500.00]</v>
      </c>
      <c r="W32" s="43" t="str">
        <f>IF(COUNTIF(S25_CF!$A:$A,"*" &amp; $A32 &amp; "*") &lt;&gt; 0, "Yes", "No")</f>
        <v>Yes</v>
      </c>
      <c r="X32" s="43" t="str">
        <f t="array" ref="X32">INDEX(S25_CF!J:J, MATCH("*" &amp; $A32 &amp; "*", S25_CF!$A:$A, 0))</f>
        <v>Silver One-Day: Thursday, January 23rd [$1800.00]</v>
      </c>
      <c r="Y32" s="43" t="str">
        <f>IF(COUNTIF(F24_CF!$A:$A,"*" &amp; $A32 &amp; "*") &lt;&gt; 0, "Yes", "No")</f>
        <v>Yes</v>
      </c>
      <c r="Z32" s="43" t="str">
        <f t="array" ref="Z32">INDEX(F24_CF!N:N, MATCH("*" &amp; $A32 &amp; "*", F24_CF!$A:$A, 0))</f>
        <v>Silver Two-Day [$3000.00]</v>
      </c>
      <c r="AA32" s="43" t="str">
        <f>IF(COUNTIF(S24_CF!$A:$A,"*" &amp; $A32 &amp; "*") &lt;&gt; 0, "Yes", "No")</f>
        <v>Yes</v>
      </c>
      <c r="AB32" s="43" t="str">
        <f t="array" ref="AB32">INDEX(S24_CF!H:H, MATCH("*" &amp; $A32 &amp; "*", S24_CF!$A:$A, 0))</f>
        <v>Silver Two-Day [$3000.00]</v>
      </c>
    </row>
    <row r="33" ht="15.0" customHeight="1">
      <c r="A33" s="52" t="s">
        <v>87</v>
      </c>
      <c r="B33" s="43" t="s">
        <v>52</v>
      </c>
      <c r="C33" s="43"/>
      <c r="D33" s="43"/>
      <c r="E33" s="43"/>
      <c r="F33" s="43">
        <f>COUNTIF(S26_Emp!$C:$C,"*" &amp;A33 &amp; "*")</f>
        <v>0</v>
      </c>
      <c r="G33" s="43">
        <f>COUNTIF(F25_Emp!$C:$C,"*" &amp;#REF! &amp; "*")</f>
        <v>0</v>
      </c>
      <c r="H33" s="43">
        <f>COUNTIF(S25_Emp!$C:$C,"*" &amp; A33 &amp; "*")</f>
        <v>0</v>
      </c>
      <c r="I33" s="43">
        <f>COUNTIF(F24_Emp!$C:$C,"*" &amp; B33 &amp; "*")</f>
        <v>0</v>
      </c>
      <c r="J33" s="43">
        <f>COUNTIF(S24_Emp!$C:$C,"*" &amp; $A33 &amp; "*")</f>
        <v>0</v>
      </c>
      <c r="K33" s="43">
        <f>COUNTIF(F23_Emp!$C:$C,"*" &amp; $A33 &amp; "*")</f>
        <v>0</v>
      </c>
      <c r="L33" s="43">
        <f>COUNTIF(S23_Emp!$C:$C,"*" &amp; $A33 &amp; "*")</f>
        <v>1</v>
      </c>
      <c r="M33" s="43">
        <f>COUNTIF(F22_Emp!$C:$C,"*" &amp; $A33 &amp; "*")</f>
        <v>1</v>
      </c>
      <c r="N33" s="43">
        <f>COUNTIF(S22_Emp!$C:$C,"*" &amp; $A33 &amp; "*")</f>
        <v>0</v>
      </c>
      <c r="O33" s="43" t="str">
        <f>COUNTIFS(S22_Emp!$C:$C,"*" &amp; $A33 &amp; "*", S22_S25_Emp!$B:$B, "Bachelor")</f>
        <v>#VALUE!</v>
      </c>
      <c r="P33" s="43" t="str">
        <f>COUNTIFS(S22_Emp!$C:$C,"*" &amp; $A33 &amp; "*", S22_S25_Emp!$B:$B, "Master")</f>
        <v>#VALUE!</v>
      </c>
      <c r="Q33" s="43" t="str">
        <f>COUNTIFS(S22_Emp!$C:$C,"*" &amp; $A33 &amp; "*", S22_S25_Emp!$B:$B, "Doctorate")</f>
        <v>#VALUE!</v>
      </c>
      <c r="R33" s="43" t="str">
        <f t="array" ref="R33">IF(OR(INDEX(S26_CF!X:X, MATCH("*" &amp; $A33 &amp; "*", CompanyList!A:A, 0))=TRUE, INDEX(F25_CF!P:P, MATCH("*" &amp; $A33 &amp; "*", CompanyList!A:A, 0))=TRUE, INDEX(S25_CF!T:T, MATCH("*" &amp; $A33 &amp; "*", CompanyList!A:A, 0))=TRUE, INDEX(S24_CF!W:W, MATCH("*" &amp; $A33 &amp; "*", CompanyList!A:A, 0))=TRUE), "Yes", "No")</f>
        <v>No</v>
      </c>
      <c r="S33" s="43" t="str">
        <f>IF(COUNTIF(S26_CF!$A:$A,"*" &amp; $A33 &amp; "*") &lt;&gt; 0, "Yes", "No")</f>
        <v>No</v>
      </c>
      <c r="T33" s="43" t="str">
        <f t="array" ref="T33">INDEX(S26_CF!K:K, MATCH("*" &amp; $A33 &amp; "*", S26_CF!A:A, 0))</f>
        <v>#N/A</v>
      </c>
      <c r="U33" s="43" t="str">
        <f>IF(COUNTIF(F25_CF!$A:$A,"*" &amp; $A33 &amp; "*") &lt;&gt; 0, "Yes", "No")</f>
        <v>Yes</v>
      </c>
      <c r="V33" s="43" t="str">
        <f t="array" ref="V33">INDEX(F25_CF!I:I, MATCH("*" &amp; $A33 &amp; "*", F25_CF!$A:$A, 0))</f>
        <v>Basic One-Day: Thursday, September 11th [$1000.00]</v>
      </c>
      <c r="W33" s="43" t="str">
        <f>IF(COUNTIF(S25_CF!$A:$A,"*" &amp; $A33 &amp; "*") &lt;&gt; 0, "Yes", "No")</f>
        <v>Yes</v>
      </c>
      <c r="X33" s="43" t="str">
        <f t="array" ref="X33">INDEX(S25_CF!J:J, MATCH("*" &amp; $A33 &amp; "*", S25_CF!$A:$A, 0))</f>
        <v>Basic One-Day: Wednesday, January 22nd [$1000.00]</v>
      </c>
      <c r="Y33" s="43" t="str">
        <f>IF(COUNTIF(F24_CF!$A:$A,"*" &amp; $A33 &amp; "*") &lt;&gt; 0, "Yes", "No")</f>
        <v>Yes</v>
      </c>
      <c r="Z33" s="43" t="str">
        <f t="array" ref="Z33">INDEX(F24_CF!N:N, MATCH("*" &amp; $A33 &amp; "*", F24_CF!$A:$A, 0))</f>
        <v>Basic One-Day: Thursday, September 5th [$1000.00]</v>
      </c>
      <c r="AA33" s="43" t="str">
        <f>IF(COUNTIF(S24_CF!$A:$A,"*" &amp; $A33 &amp; "*") &lt;&gt; 0, "Yes", "No")</f>
        <v>Yes</v>
      </c>
      <c r="AB33" s="43" t="str">
        <f t="array" ref="AB33">INDEX(S24_CF!H:H, MATCH("*" &amp; $A33 &amp; "*", S24_CF!$A:$A, 0))</f>
        <v>Basic One-Day [$1000.00]</v>
      </c>
    </row>
    <row r="34" ht="15.0" customHeight="1">
      <c r="A34" s="52" t="s">
        <v>88</v>
      </c>
      <c r="B34" s="43" t="s">
        <v>52</v>
      </c>
      <c r="C34" s="43"/>
      <c r="D34" s="43"/>
      <c r="E34" s="43"/>
      <c r="F34" s="43">
        <f>COUNTIF(S26_Emp!$C:$C,"*" &amp;A34 &amp; "*")</f>
        <v>0</v>
      </c>
      <c r="G34" s="43">
        <f>COUNTIF(F25_Emp!$C:$C,"*" &amp;#REF! &amp; "*")</f>
        <v>0</v>
      </c>
      <c r="H34" s="43">
        <f>COUNTIF(S25_Emp!$C:$C,"*" &amp; A34 &amp; "*")</f>
        <v>1</v>
      </c>
      <c r="I34" s="43">
        <f>COUNTIF(F24_Emp!$C:$C,"*" &amp; B34 &amp; "*")</f>
        <v>0</v>
      </c>
      <c r="J34" s="43">
        <f>COUNTIF(S24_Emp!$C:$C,"*" &amp; $A34 &amp; "*")</f>
        <v>1</v>
      </c>
      <c r="K34" s="43">
        <f>COUNTIF(F23_Emp!$C:$C,"*" &amp; $A34 &amp; "*")</f>
        <v>2</v>
      </c>
      <c r="L34" s="43">
        <f>COUNTIF(S23_Emp!$C:$C,"*" &amp; $A34 &amp; "*")</f>
        <v>0</v>
      </c>
      <c r="M34" s="43">
        <f>COUNTIF(F22_Emp!$C:$C,"*" &amp; $A34 &amp; "*")</f>
        <v>1</v>
      </c>
      <c r="N34" s="43">
        <f>COUNTIF(S22_Emp!$C:$C,"*" &amp; $A34 &amp; "*")</f>
        <v>1</v>
      </c>
      <c r="O34" s="43" t="str">
        <f>COUNTIFS(S22_Emp!$C:$C,"*" &amp; $A34 &amp; "*", S22_S25_Emp!$B:$B, "Bachelor")</f>
        <v>#VALUE!</v>
      </c>
      <c r="P34" s="43" t="str">
        <f>COUNTIFS(S22_Emp!$C:$C,"*" &amp; $A34 &amp; "*", S22_S25_Emp!$B:$B, "Master")</f>
        <v>#VALUE!</v>
      </c>
      <c r="Q34" s="43" t="str">
        <f>COUNTIFS(S22_Emp!$C:$C,"*" &amp; $A34 &amp; "*", S22_S25_Emp!$B:$B, "Doctorate")</f>
        <v>#VALUE!</v>
      </c>
      <c r="R34" s="43" t="str">
        <f t="array" ref="R34">IF(OR(INDEX(S26_CF!X:X, MATCH("*" &amp; $A34 &amp; "*", CompanyList!A:A, 0))=TRUE, INDEX(F25_CF!P:P, MATCH("*" &amp; $A34 &amp; "*", CompanyList!A:A, 0))=TRUE, INDEX(S25_CF!T:T, MATCH("*" &amp; $A34 &amp; "*", CompanyList!A:A, 0))=TRUE, INDEX(S24_CF!W:W, MATCH("*" &amp; $A34 &amp; "*", CompanyList!A:A, 0))=TRUE), "Yes", "No")</f>
        <v>Yes</v>
      </c>
      <c r="S34" s="43" t="str">
        <f>IF(COUNTIF(S26_CF!$A:$A,"*" &amp; $A34 &amp; "*") &lt;&gt; 0, "Yes", "No")</f>
        <v>Yes</v>
      </c>
      <c r="T34" s="43" t="str">
        <f t="array" ref="T34">INDEX(S26_CF!K:K, MATCH("*" &amp; $A34 &amp; "*", S26_CF!A:A, 0))</f>
        <v>Basic One-Day: Wednesday, January 28th [$1000.00]</v>
      </c>
      <c r="U34" s="43" t="str">
        <f>IF(COUNTIF(F25_CF!$A:$A,"*" &amp; $A34 &amp; "*") &lt;&gt; 0, "Yes", "No")</f>
        <v>Yes</v>
      </c>
      <c r="V34" s="43" t="str">
        <f t="array" ref="V34">INDEX(F25_CF!I:I, MATCH("*" &amp; $A34 &amp; "*", F25_CF!$A:$A, 0))</f>
        <v>Basic One-Day: Wednesday, September 10th [$1000.00]</v>
      </c>
      <c r="W34" s="43" t="str">
        <f>IF(COUNTIF(S25_CF!$A:$A,"*" &amp; $A34 &amp; "*") &lt;&gt; 0, "Yes", "No")</f>
        <v>Yes</v>
      </c>
      <c r="X34" s="43" t="str">
        <f t="array" ref="X34">INDEX(S25_CF!J:J, MATCH("*" &amp; $A34 &amp; "*", S25_CF!$A:$A, 0))</f>
        <v>Basic One-Day: Thursday, January 23rd [$1000.00]</v>
      </c>
      <c r="Y34" s="43" t="str">
        <f>IF(COUNTIF(F24_CF!$A:$A,"*" &amp; $A34 &amp; "*") &lt;&gt; 0, "Yes", "No")</f>
        <v>Yes</v>
      </c>
      <c r="Z34" s="43" t="str">
        <f t="array" ref="Z34">INDEX(F24_CF!N:N, MATCH("*" &amp; $A34 &amp; "*", F24_CF!$A:$A, 0))</f>
        <v>Gold One-Day: Wednesday, September 4th [$2500.00]</v>
      </c>
      <c r="AA34" s="43" t="str">
        <f>IF(COUNTIF(S24_CF!$A:$A,"*" &amp; $A34 &amp; "*") &lt;&gt; 0, "Yes", "No")</f>
        <v>Yes</v>
      </c>
      <c r="AB34" s="43" t="str">
        <f t="array" ref="AB34">INDEX(S24_CF!H:H, MATCH("*" &amp; $A34 &amp; "*", S24_CF!$A:$A, 0))</f>
        <v>Basic One-Day [$1000.00]</v>
      </c>
    </row>
    <row r="35" ht="15.0" customHeight="1">
      <c r="A35" s="52" t="s">
        <v>89</v>
      </c>
      <c r="B35" s="43" t="s">
        <v>52</v>
      </c>
      <c r="C35" s="43">
        <v>7000.0</v>
      </c>
      <c r="D35" s="43">
        <v>14000.0</v>
      </c>
      <c r="E35" s="43"/>
      <c r="F35" s="43">
        <f>COUNTIF(S26_Emp!$C:$C,"*" &amp;A35 &amp; "*")</f>
        <v>0</v>
      </c>
      <c r="G35" s="43">
        <f>COUNTIF(F25_Emp!$C:$C,"*" &amp;#REF! &amp; "*")</f>
        <v>0</v>
      </c>
      <c r="H35" s="43">
        <f>COUNTIF(S25_Emp!$C:$C,"*" &amp; A35 &amp; "*")</f>
        <v>6</v>
      </c>
      <c r="I35" s="43">
        <f>COUNTIF(F24_Emp!$C:$C,"*" &amp; B35 &amp; "*")</f>
        <v>0</v>
      </c>
      <c r="J35" s="43">
        <f>COUNTIF(S24_Emp!$C:$C,"*" &amp; $A35 &amp; "*")</f>
        <v>3</v>
      </c>
      <c r="K35" s="43">
        <f>COUNTIF(F23_Emp!$C:$C,"*" &amp; $A35 &amp; "*")</f>
        <v>4</v>
      </c>
      <c r="L35" s="43">
        <f>COUNTIF(S23_Emp!$C:$C,"*" &amp; $A35 &amp; "*")</f>
        <v>4</v>
      </c>
      <c r="M35" s="43">
        <f>COUNTIF(F22_Emp!$C:$C,"*" &amp; $A35 &amp; "*")</f>
        <v>4</v>
      </c>
      <c r="N35" s="43">
        <f>COUNTIF(S22_Emp!$C:$C,"*" &amp; $A35 &amp; "*")</f>
        <v>4</v>
      </c>
      <c r="O35" s="43" t="str">
        <f>COUNTIFS(S22_Emp!$C:$C,"*" &amp; $A35 &amp; "*", S22_S25_Emp!$B:$B, "Bachelor")</f>
        <v>#VALUE!</v>
      </c>
      <c r="P35" s="43" t="str">
        <f>COUNTIFS(S22_Emp!$C:$C,"*" &amp; $A35 &amp; "*", S22_S25_Emp!$B:$B, "Master")</f>
        <v>#VALUE!</v>
      </c>
      <c r="Q35" s="43" t="str">
        <f>COUNTIFS(S22_Emp!$C:$C,"*" &amp; $A35 &amp; "*", S22_S25_Emp!$B:$B, "Doctorate")</f>
        <v>#VALUE!</v>
      </c>
      <c r="R35" s="43" t="str">
        <f t="array" ref="R35">IF(OR(INDEX(S26_CF!X:X, MATCH("*" &amp; $A35 &amp; "*", CompanyList!A:A, 0))=TRUE, INDEX(F25_CF!P:P, MATCH("*" &amp; $A35 &amp; "*", CompanyList!A:A, 0))=TRUE, INDEX(S25_CF!T:T, MATCH("*" &amp; $A35 &amp; "*", CompanyList!A:A, 0))=TRUE, INDEX(S24_CF!W:W, MATCH("*" &amp; $A35 &amp; "*", CompanyList!A:A, 0))=TRUE), "Yes", "No")</f>
        <v>No</v>
      </c>
      <c r="S35" s="43" t="str">
        <f>IF(COUNTIF(S26_CF!$A:$A,"*" &amp; $A35 &amp; "*") &lt;&gt; 0, "Yes", "No")</f>
        <v>Yes</v>
      </c>
      <c r="T35" s="43" t="str">
        <f t="array" ref="T35">INDEX(S26_CF!K:K, MATCH("*" &amp; $A35 &amp; "*", S26_CF!A:A, 0))</f>
        <v>Gold One-Day: Wednesday, January 28th [$2500.00]</v>
      </c>
      <c r="U35" s="43" t="str">
        <f>IF(COUNTIF(F25_CF!$A:$A,"*" &amp; $A35 &amp; "*") &lt;&gt; 0, "Yes", "No")</f>
        <v>Yes</v>
      </c>
      <c r="V35" s="43" t="str">
        <f t="array" ref="V35">INDEX(F25_CF!I:I, MATCH("*" &amp; $A35 &amp; "*", F25_CF!$A:$A, 0))</f>
        <v>Gold Two-Day [$5500.00]</v>
      </c>
      <c r="W35" s="43" t="str">
        <f>IF(COUNTIF(S25_CF!$A:$A,"*" &amp; $A35 &amp; "*") &lt;&gt; 0, "Yes", "No")</f>
        <v>Yes</v>
      </c>
      <c r="X35" s="43" t="str">
        <f t="array" ref="X35">INDEX(S25_CF!J:J, MATCH("*" &amp; $A35 &amp; "*", S25_CF!$A:$A, 0))</f>
        <v>Gold One-Day: Thursday, January 23rd [$2500.00]</v>
      </c>
      <c r="Y35" s="43" t="str">
        <f>IF(COUNTIF(F24_CF!$A:$A,"*" &amp; $A35 &amp; "*") &lt;&gt; 0, "Yes", "No")</f>
        <v>Yes</v>
      </c>
      <c r="Z35" s="43" t="str">
        <f t="array" ref="Z35">INDEX(F24_CF!N:N, MATCH("*" &amp; $A35 &amp; "*", F24_CF!$A:$A, 0))</f>
        <v>Gold Two-Day [$5500.00]</v>
      </c>
      <c r="AA35" s="43" t="str">
        <f>IF(COUNTIF(S24_CF!$A:$A,"*" &amp; $A35 &amp; "*") &lt;&gt; 0, "Yes", "No")</f>
        <v>Yes</v>
      </c>
      <c r="AB35" s="43" t="str">
        <f t="array" ref="AB35">INDEX(S24_CF!H:H, MATCH("*" &amp; $A35 &amp; "*", S24_CF!$A:$A, 0))</f>
        <v>Silver One-Day [$1800.00]</v>
      </c>
    </row>
    <row r="36" ht="15.0" customHeight="1">
      <c r="A36" s="52" t="s">
        <v>90</v>
      </c>
      <c r="B36" s="43" t="s">
        <v>54</v>
      </c>
      <c r="C36" s="43">
        <v>4100.0</v>
      </c>
      <c r="D36" s="43">
        <v>11000.0</v>
      </c>
      <c r="E36" s="43">
        <v>85.0</v>
      </c>
      <c r="F36" s="43">
        <f>COUNTIF(S26_Emp!$C:$C,"*" &amp;A36 &amp; "*")</f>
        <v>0</v>
      </c>
      <c r="G36" s="43">
        <f>COUNTIF(F25_Emp!$C:$C,"*" &amp;#REF! &amp; "*")</f>
        <v>0</v>
      </c>
      <c r="H36" s="43">
        <f>COUNTIF(S25_Emp!$C:$C,"*" &amp; A36 &amp; "*")</f>
        <v>1</v>
      </c>
      <c r="I36" s="43">
        <f>COUNTIF(F24_Emp!$C:$C,"*" &amp; B36 &amp; "*")</f>
        <v>1</v>
      </c>
      <c r="J36" s="43">
        <f>COUNTIF(S24_Emp!$C:$C,"*" &amp; $A36 &amp; "*")</f>
        <v>1</v>
      </c>
      <c r="K36" s="43">
        <f>COUNTIF(F23_Emp!$C:$C,"*" &amp; $A36 &amp; "*")</f>
        <v>0</v>
      </c>
      <c r="L36" s="43">
        <f>COUNTIF(S23_Emp!$C:$C,"*" &amp; $A36 &amp; "*")</f>
        <v>0</v>
      </c>
      <c r="M36" s="43">
        <f>COUNTIF(F22_Emp!$C:$C,"*" &amp; $A36 &amp; "*")</f>
        <v>2</v>
      </c>
      <c r="N36" s="43">
        <f>COUNTIF(S22_Emp!$C:$C,"*" &amp; $A36 &amp; "*")</f>
        <v>4</v>
      </c>
      <c r="O36" s="43" t="str">
        <f>COUNTIFS(S22_Emp!$C:$C,"*" &amp; $A36 &amp; "*", S22_S25_Emp!$B:$B, "Bachelor")</f>
        <v>#VALUE!</v>
      </c>
      <c r="P36" s="43" t="str">
        <f>COUNTIFS(S22_Emp!$C:$C,"*" &amp; $A36 &amp; "*", S22_S25_Emp!$B:$B, "Master")</f>
        <v>#VALUE!</v>
      </c>
      <c r="Q36" s="43" t="str">
        <f>COUNTIFS(S22_Emp!$C:$C,"*" &amp; $A36 &amp; "*", S22_S25_Emp!$B:$B, "Doctorate")</f>
        <v>#VALUE!</v>
      </c>
      <c r="R36" s="43" t="str">
        <f t="array" ref="R36">IF(OR(INDEX(S26_CF!X:X, MATCH("*" &amp; $A36 &amp; "*", CompanyList!A:A, 0))=TRUE, INDEX(F25_CF!P:P, MATCH("*" &amp; $A36 &amp; "*", CompanyList!A:A, 0))=TRUE, INDEX(S25_CF!T:T, MATCH("*" &amp; $A36 &amp; "*", CompanyList!A:A, 0))=TRUE, INDEX(S24_CF!W:W, MATCH("*" &amp; $A36 &amp; "*", CompanyList!A:A, 0))=TRUE), "Yes", "No")</f>
        <v>No</v>
      </c>
      <c r="S36" s="43" t="str">
        <f>IF(COUNTIF(S26_CF!$A:$A,"*" &amp; $A36 &amp; "*") &lt;&gt; 0, "Yes", "No")</f>
        <v>Yes</v>
      </c>
      <c r="T36" s="43" t="str">
        <f t="array" ref="T36">INDEX(S26_CF!K:K, MATCH("*" &amp; $A36 &amp; "*", S26_CF!A:A, 0))</f>
        <v>Silver One-Day: Wednesday, January 28th [$1800.00]</v>
      </c>
      <c r="U36" s="43" t="str">
        <f>IF(COUNTIF(F25_CF!$A:$A,"*" &amp; $A36 &amp; "*") &lt;&gt; 0, "Yes", "No")</f>
        <v>No</v>
      </c>
      <c r="V36" s="43" t="str">
        <f t="array" ref="V36">INDEX(F25_CF!I:I, MATCH("*" &amp; $A36 &amp; "*", F25_CF!$A:$A, 0))</f>
        <v>#N/A</v>
      </c>
      <c r="W36" s="43" t="str">
        <f>IF(COUNTIF(S25_CF!$A:$A,"*" &amp; $A36 &amp; "*") &lt;&gt; 0, "Yes", "No")</f>
        <v>Yes</v>
      </c>
      <c r="X36" s="43" t="str">
        <f t="array" ref="X36">INDEX(S25_CF!J:J, MATCH("*" &amp; $A36 &amp; "*", S25_CF!$A:$A, 0))</f>
        <v>Silver One-Day: Thursday, January 23rd [$1800.00]</v>
      </c>
      <c r="Y36" s="43" t="str">
        <f>IF(COUNTIF(F24_CF!$A:$A,"*" &amp; $A36 &amp; "*") &lt;&gt; 0, "Yes", "No")</f>
        <v>No</v>
      </c>
      <c r="Z36" s="43" t="str">
        <f t="array" ref="Z36">INDEX(F24_CF!N:N, MATCH("*" &amp; $A36 &amp; "*", F24_CF!$A:$A, 0))</f>
        <v>#N/A</v>
      </c>
      <c r="AA36" s="43" t="str">
        <f>IF(COUNTIF(S24_CF!$A:$A,"*" &amp; $A36 &amp; "*") &lt;&gt; 0, "Yes", "No")</f>
        <v>Yes</v>
      </c>
      <c r="AB36" s="43" t="str">
        <f t="array" ref="AB36">INDEX(S24_CF!H:H, MATCH("*" &amp; $A36 &amp; "*", S24_CF!$A:$A, 0))</f>
        <v>Silver One-Day [$1800.00]</v>
      </c>
    </row>
    <row r="37" ht="15.0" customHeight="1">
      <c r="A37" s="52" t="s">
        <v>91</v>
      </c>
      <c r="B37" s="43" t="s">
        <v>52</v>
      </c>
      <c r="C37" s="43"/>
      <c r="D37" s="43">
        <v>2200.0</v>
      </c>
      <c r="E37" s="43"/>
      <c r="F37" s="43">
        <f>COUNTIF(S26_Emp!$C:$C,"*" &amp;A37 &amp; "*")</f>
        <v>0</v>
      </c>
      <c r="G37" s="43">
        <f>COUNTIF(F25_Emp!$C:$C,"*" &amp;#REF! &amp; "*")</f>
        <v>0</v>
      </c>
      <c r="H37" s="43">
        <f>COUNTIF(S25_Emp!$C:$C,"*" &amp; A37 &amp; "*")</f>
        <v>0</v>
      </c>
      <c r="I37" s="43">
        <f>COUNTIF(F24_Emp!$C:$C,"*" &amp; B37 &amp; "*")</f>
        <v>0</v>
      </c>
      <c r="J37" s="43">
        <f>COUNTIF(S24_Emp!$C:$C,"*" &amp; $A37 &amp; "*")</f>
        <v>0</v>
      </c>
      <c r="K37" s="43">
        <f>COUNTIF(F23_Emp!$C:$C,"*" &amp; $A37 &amp; "*")</f>
        <v>0</v>
      </c>
      <c r="L37" s="43">
        <f>COUNTIF(S23_Emp!$C:$C,"*" &amp; $A37 &amp; "*")</f>
        <v>1</v>
      </c>
      <c r="M37" s="43">
        <f>COUNTIF(F22_Emp!$C:$C,"*" &amp; $A37 &amp; "*")</f>
        <v>0</v>
      </c>
      <c r="N37" s="43">
        <f>COUNTIF(S22_Emp!$C:$C,"*" &amp; $A37 &amp; "*")</f>
        <v>0</v>
      </c>
      <c r="O37" s="43" t="str">
        <f>COUNTIFS(S22_Emp!$C:$C,"*" &amp; $A37 &amp; "*", S22_S25_Emp!$B:$B, "Bachelor")</f>
        <v>#VALUE!</v>
      </c>
      <c r="P37" s="43" t="str">
        <f>COUNTIFS(S22_Emp!$C:$C,"*" &amp; $A37 &amp; "*", S22_S25_Emp!$B:$B, "Master")</f>
        <v>#VALUE!</v>
      </c>
      <c r="Q37" s="43" t="str">
        <f>COUNTIFS(S22_Emp!$C:$C,"*" &amp; $A37 &amp; "*", S22_S25_Emp!$B:$B, "Doctorate")</f>
        <v>#VALUE!</v>
      </c>
      <c r="R37" s="43" t="str">
        <f t="array" ref="R37">IF(OR(INDEX(S26_CF!X:X, MATCH("*" &amp; $A37 &amp; "*", CompanyList!A:A, 0))=TRUE, INDEX(F25_CF!P:P, MATCH("*" &amp; $A37 &amp; "*", CompanyList!A:A, 0))=TRUE, INDEX(S25_CF!T:T, MATCH("*" &amp; $A37 &amp; "*", CompanyList!A:A, 0))=TRUE, INDEX(S24_CF!W:W, MATCH("*" &amp; $A37 &amp; "*", CompanyList!A:A, 0))=TRUE), "Yes", "No")</f>
        <v>Yes</v>
      </c>
      <c r="S37" s="43" t="str">
        <f>IF(COUNTIF(S26_CF!$A:$A,"*" &amp; $A37 &amp; "*") &lt;&gt; 0, "Yes", "No")</f>
        <v>No</v>
      </c>
      <c r="T37" s="43" t="str">
        <f t="array" ref="T37">INDEX(S26_CF!K:K, MATCH("*" &amp; $A37 &amp; "*", S26_CF!A:A, 0))</f>
        <v>#N/A</v>
      </c>
      <c r="U37" s="43" t="str">
        <f>IF(COUNTIF(F25_CF!$A:$A,"*" &amp; $A37 &amp; "*") &lt;&gt; 0, "Yes", "No")</f>
        <v>Yes</v>
      </c>
      <c r="V37" s="43" t="str">
        <f t="array" ref="V37">INDEX(F25_CF!I:I, MATCH("*" &amp; $A37 &amp; "*", F25_CF!$A:$A, 0))</f>
        <v>Silver One-Day: Thursday, September 11th [$1800.00]</v>
      </c>
      <c r="W37" s="43" t="str">
        <f>IF(COUNTIF(S25_CF!$A:$A,"*" &amp; $A37 &amp; "*") &lt;&gt; 0, "Yes", "No")</f>
        <v>No</v>
      </c>
      <c r="X37" s="43" t="str">
        <f t="array" ref="X37">INDEX(S25_CF!J:J, MATCH("*" &amp; $A37 &amp; "*", S25_CF!$A:$A, 0))</f>
        <v>#N/A</v>
      </c>
      <c r="Y37" s="43" t="str">
        <f>IF(COUNTIF(F24_CF!$A:$A,"*" &amp; $A37 &amp; "*") &lt;&gt; 0, "Yes", "No")</f>
        <v>Yes</v>
      </c>
      <c r="Z37" s="43" t="str">
        <f t="array" ref="Z37">INDEX(F24_CF!N:N, MATCH("*" &amp; $A37 &amp; "*", F24_CF!$A:$A, 0))</f>
        <v>Silver One-Day: Wednesday, September 4th [$1800.00]</v>
      </c>
      <c r="AA37" s="43" t="str">
        <f>IF(COUNTIF(S24_CF!$A:$A,"*" &amp; $A37 &amp; "*") &lt;&gt; 0, "Yes", "No")</f>
        <v>Yes</v>
      </c>
      <c r="AB37" s="43" t="str">
        <f t="array" ref="AB37">INDEX(S24_CF!H:H, MATCH("*" &amp; $A37 &amp; "*", S24_CF!$A:$A, 0))</f>
        <v>Basic One-Day [$1000.00]</v>
      </c>
    </row>
    <row r="38" ht="15.0" customHeight="1">
      <c r="A38" s="52" t="s">
        <v>92</v>
      </c>
      <c r="B38" s="43" t="s">
        <v>52</v>
      </c>
      <c r="C38" s="43"/>
      <c r="D38" s="43"/>
      <c r="E38" s="43"/>
      <c r="F38" s="43">
        <f>COUNTIF(S26_Emp!$C:$C,"*" &amp;A38 &amp; "*")</f>
        <v>0</v>
      </c>
      <c r="G38" s="43">
        <f>COUNTIF(F25_Emp!$C:$C,"*" &amp;#REF! &amp; "*")</f>
        <v>0</v>
      </c>
      <c r="H38" s="43">
        <f>COUNTIF(S25_Emp!$C:$C,"*" &amp; A38 &amp; "*")</f>
        <v>1</v>
      </c>
      <c r="I38" s="43">
        <f>COUNTIF(F24_Emp!$C:$C,"*" &amp; B38 &amp; "*")</f>
        <v>0</v>
      </c>
      <c r="J38" s="43">
        <f>COUNTIF(S24_Emp!$C:$C,"*" &amp; $A38 &amp; "*")</f>
        <v>0</v>
      </c>
      <c r="K38" s="43">
        <f>COUNTIF(F23_Emp!$C:$C,"*" &amp; $A38 &amp; "*")</f>
        <v>0</v>
      </c>
      <c r="L38" s="43">
        <f>COUNTIF(S23_Emp!$C:$C,"*" &amp; $A38 &amp; "*")</f>
        <v>0</v>
      </c>
      <c r="M38" s="43">
        <f>COUNTIF(F22_Emp!$C:$C,"*" &amp; $A38 &amp; "*")</f>
        <v>1</v>
      </c>
      <c r="N38" s="43">
        <f>COUNTIF(S22_Emp!$C:$C,"*" &amp; $A38 &amp; "*")</f>
        <v>1</v>
      </c>
      <c r="O38" s="43" t="str">
        <f>COUNTIFS(S22_Emp!$C:$C,"*" &amp; $A38 &amp; "*", S22_S25_Emp!$B:$B, "Bachelor")</f>
        <v>#VALUE!</v>
      </c>
      <c r="P38" s="43" t="str">
        <f>COUNTIFS(S22_Emp!$C:$C,"*" &amp; $A38 &amp; "*", S22_S25_Emp!$B:$B, "Master")</f>
        <v>#VALUE!</v>
      </c>
      <c r="Q38" s="43" t="str">
        <f>COUNTIFS(S22_Emp!$C:$C,"*" &amp; $A38 &amp; "*", S22_S25_Emp!$B:$B, "Doctorate")</f>
        <v>#VALUE!</v>
      </c>
      <c r="R38" s="43" t="str">
        <f t="array" ref="R38">IF(OR(INDEX(S26_CF!X:X, MATCH("*" &amp; $A38 &amp; "*", CompanyList!A:A, 0))=TRUE, INDEX(F25_CF!P:P, MATCH("*" &amp; $A38 &amp; "*", CompanyList!A:A, 0))=TRUE, INDEX(S25_CF!T:T, MATCH("*" &amp; $A38 &amp; "*", CompanyList!A:A, 0))=TRUE, INDEX(S24_CF!W:W, MATCH("*" &amp; $A38 &amp; "*", CompanyList!A:A, 0))=TRUE), "Yes", "No")</f>
        <v>No</v>
      </c>
      <c r="S38" s="43" t="str">
        <f>IF(COUNTIF(S26_CF!$A:$A,"*" &amp; $A38 &amp; "*") &lt;&gt; 0, "Yes", "No")</f>
        <v>Yes</v>
      </c>
      <c r="T38" s="43" t="str">
        <f t="array" ref="T38">INDEX(S26_CF!K:K, MATCH("*" &amp; $A38 &amp; "*", S26_CF!A:A, 0))</f>
        <v>Silver One-Day: Wednesday, January 28th [$1800.00]</v>
      </c>
      <c r="U38" s="43" t="str">
        <f>IF(COUNTIF(F25_CF!$A:$A,"*" &amp; $A38 &amp; "*") &lt;&gt; 0, "Yes", "No")</f>
        <v>Yes</v>
      </c>
      <c r="V38" s="43" t="str">
        <f t="array" ref="V38">INDEX(F25_CF!I:I, MATCH("*" &amp; $A38 &amp; "*", F25_CF!$A:$A, 0))</f>
        <v>Basic One-Day: Wednesday, September 10th [$1000.00]</v>
      </c>
      <c r="W38" s="43" t="str">
        <f>IF(COUNTIF(S25_CF!$A:$A,"*" &amp; $A38 &amp; "*") &lt;&gt; 0, "Yes", "No")</f>
        <v>Yes</v>
      </c>
      <c r="X38" s="43" t="str">
        <f t="array" ref="X38">INDEX(S25_CF!J:J, MATCH("*" &amp; $A38 &amp; "*", S25_CF!$A:$A, 0))</f>
        <v>Basic One-Day: Thursday, January 23rd [$1000.00]</v>
      </c>
      <c r="Y38" s="43" t="str">
        <f>IF(COUNTIF(F24_CF!$A:$A,"*" &amp; $A38 &amp; "*") &lt;&gt; 0, "Yes", "No")</f>
        <v>Yes</v>
      </c>
      <c r="Z38" s="43" t="str">
        <f t="array" ref="Z38">INDEX(F24_CF!N:N, MATCH("*" &amp; $A38 &amp; "*", F24_CF!$A:$A, 0))</f>
        <v>Basic One-Day: Wednesday, September 4th [$1000.00]</v>
      </c>
      <c r="AA38" s="43" t="str">
        <f>IF(COUNTIF(S24_CF!$A:$A,"*" &amp; $A38 &amp; "*") &lt;&gt; 0, "Yes", "No")</f>
        <v>Yes</v>
      </c>
      <c r="AB38" s="43" t="str">
        <f t="array" ref="AB38">INDEX(S24_CF!H:H, MATCH("*" &amp; $A38 &amp; "*", S24_CF!$A:$A, 0))</f>
        <v>Basic One-Day [$1000.00]</v>
      </c>
    </row>
    <row r="39" ht="15.0" customHeight="1">
      <c r="A39" s="52" t="s">
        <v>93</v>
      </c>
      <c r="B39" s="43" t="s">
        <v>52</v>
      </c>
      <c r="C39" s="43"/>
      <c r="D39" s="43"/>
      <c r="E39" s="43"/>
      <c r="F39" s="43">
        <f>COUNTIF(S26_Emp!$C:$C,"*" &amp;A39 &amp; "*")</f>
        <v>0</v>
      </c>
      <c r="G39" s="43">
        <f>COUNTIF(F25_Emp!$C:$C,"*" &amp;#REF! &amp; "*")</f>
        <v>0</v>
      </c>
      <c r="H39" s="43">
        <f>COUNTIF(S25_Emp!$C:$C,"*" &amp; A39 &amp; "*")</f>
        <v>0</v>
      </c>
      <c r="I39" s="43">
        <f>COUNTIF(F24_Emp!$C:$C,"*" &amp; B39 &amp; "*")</f>
        <v>0</v>
      </c>
      <c r="J39" s="43">
        <f>COUNTIF(S24_Emp!$C:$C,"*" &amp; $A39 &amp; "*")</f>
        <v>2</v>
      </c>
      <c r="K39" s="43">
        <f>COUNTIF(F23_Emp!$C:$C,"*" &amp; $A39 &amp; "*")</f>
        <v>1</v>
      </c>
      <c r="L39" s="43">
        <f>COUNTIF(S23_Emp!$C:$C,"*" &amp; $A39 &amp; "*")</f>
        <v>1</v>
      </c>
      <c r="M39" s="43">
        <f>COUNTIF(F22_Emp!$C:$C,"*" &amp; $A39 &amp; "*")</f>
        <v>0</v>
      </c>
      <c r="N39" s="43">
        <f>COUNTIF(S22_Emp!$C:$C,"*" &amp; $A39 &amp; "*")</f>
        <v>0</v>
      </c>
      <c r="O39" s="43" t="str">
        <f>COUNTIFS(S22_Emp!$C:$C,"*" &amp; $A39 &amp; "*", S22_S25_Emp!$B:$B, "Bachelor")</f>
        <v>#VALUE!</v>
      </c>
      <c r="P39" s="43" t="str">
        <f>COUNTIFS(S22_Emp!$C:$C,"*" &amp; $A39 &amp; "*", S22_S25_Emp!$B:$B, "Master")</f>
        <v>#VALUE!</v>
      </c>
      <c r="Q39" s="43" t="str">
        <f>COUNTIFS(S22_Emp!$C:$C,"*" &amp; $A39 &amp; "*", S22_S25_Emp!$B:$B, "Doctorate")</f>
        <v>#VALUE!</v>
      </c>
      <c r="R39" s="43" t="str">
        <f t="array" ref="R39">IF(OR(INDEX(S26_CF!X:X, MATCH("*" &amp; $A39 &amp; "*", CompanyList!A:A, 0))=TRUE, INDEX(F25_CF!P:P, MATCH("*" &amp; $A39 &amp; "*", CompanyList!A:A, 0))=TRUE, INDEX(S25_CF!T:T, MATCH("*" &amp; $A39 &amp; "*", CompanyList!A:A, 0))=TRUE, INDEX(S24_CF!W:W, MATCH("*" &amp; $A39 &amp; "*", CompanyList!A:A, 0))=TRUE), "Yes", "No")</f>
        <v>No</v>
      </c>
      <c r="S39" s="43" t="str">
        <f>IF(COUNTIF(S26_CF!$A:$A,"*" &amp; $A39 &amp; "*") &lt;&gt; 0, "Yes", "No")</f>
        <v>Yes</v>
      </c>
      <c r="T39" s="43" t="str">
        <f t="array" ref="T39">INDEX(S26_CF!K:K, MATCH("*" &amp; $A39 &amp; "*", S26_CF!A:A, 0))</f>
        <v>Basic Two-Day [$2000.00]</v>
      </c>
      <c r="U39" s="43" t="str">
        <f>IF(COUNTIF(F25_CF!$A:$A,"*" &amp; $A39 &amp; "*") &lt;&gt; 0, "Yes", "No")</f>
        <v>Yes</v>
      </c>
      <c r="V39" s="43" t="str">
        <f t="array" ref="V39">INDEX(F25_CF!I:I, MATCH("*" &amp; $A39 &amp; "*", F25_CF!$A:$A, 0))</f>
        <v>Basic Two-Day [$2000.00]</v>
      </c>
      <c r="W39" s="43" t="str">
        <f>IF(COUNTIF(S25_CF!$A:$A,"*" &amp; $A39 &amp; "*") &lt;&gt; 0, "Yes", "No")</f>
        <v>Yes</v>
      </c>
      <c r="X39" s="43" t="str">
        <f t="array" ref="X39">INDEX(S25_CF!J:J, MATCH("*" &amp; $A39 &amp; "*", S25_CF!$A:$A, 0))</f>
        <v>Basic Two-Day [$2000.00]</v>
      </c>
      <c r="Y39" s="43" t="str">
        <f>IF(COUNTIF(F24_CF!$A:$A,"*" &amp; $A39 &amp; "*") &lt;&gt; 0, "Yes", "No")</f>
        <v>Yes</v>
      </c>
      <c r="Z39" s="43" t="str">
        <f t="array" ref="Z39">INDEX(F24_CF!N:N, MATCH("*" &amp; $A39 &amp; "*", F24_CF!$A:$A, 0))</f>
        <v>Basic Two-Day [$2000.00]</v>
      </c>
      <c r="AA39" s="43" t="str">
        <f>IF(COUNTIF(S24_CF!$A:$A,"*" &amp; $A39 &amp; "*") &lt;&gt; 0, "Yes", "No")</f>
        <v>Yes</v>
      </c>
      <c r="AB39" s="43" t="str">
        <f t="array" ref="AB39">INDEX(S24_CF!H:H, MATCH("*" &amp; $A39 &amp; "*", S24_CF!$A:$A, 0))</f>
        <v>Basic Two-Day [$2000.00]</v>
      </c>
    </row>
    <row r="40" ht="15.0" customHeight="1">
      <c r="A40" s="52" t="s">
        <v>94</v>
      </c>
      <c r="B40" s="43" t="s">
        <v>52</v>
      </c>
      <c r="C40" s="43">
        <v>177000.0</v>
      </c>
      <c r="D40" s="43">
        <v>160000.0</v>
      </c>
      <c r="E40" s="43"/>
      <c r="F40" s="43">
        <f>COUNTIF(S26_Emp!$C:$C,"*" &amp;A40 &amp; "*")</f>
        <v>0</v>
      </c>
      <c r="G40" s="43">
        <f>COUNTIF(F25_Emp!$C:$C,"*" &amp;#REF! &amp; "*")</f>
        <v>0</v>
      </c>
      <c r="H40" s="43">
        <f>COUNTIF(S25_Emp!$C:$C,"*" &amp; A40 &amp; "*")</f>
        <v>0</v>
      </c>
      <c r="I40" s="43">
        <f>COUNTIF(F24_Emp!$C:$C,"*" &amp; B40 &amp; "*")</f>
        <v>0</v>
      </c>
      <c r="J40" s="43">
        <f>COUNTIF(S24_Emp!$C:$C,"*" &amp; $A40 &amp; "*")</f>
        <v>0</v>
      </c>
      <c r="K40" s="43">
        <f>COUNTIF(F23_Emp!$C:$C,"*" &amp; $A40 &amp; "*")</f>
        <v>0</v>
      </c>
      <c r="L40" s="43">
        <f>COUNTIF(S23_Emp!$C:$C,"*" &amp; $A40 &amp; "*")</f>
        <v>0</v>
      </c>
      <c r="M40" s="43">
        <f>COUNTIF(F22_Emp!$C:$C,"*" &amp; $A40 &amp; "*")</f>
        <v>0</v>
      </c>
      <c r="N40" s="43">
        <f>COUNTIF(S22_Emp!$C:$C,"*" &amp; $A40 &amp; "*")</f>
        <v>0</v>
      </c>
      <c r="O40" s="43" t="str">
        <f>COUNTIFS(S22_Emp!$C:$C,"*" &amp; $A40 &amp; "*", S22_S25_Emp!$B:$B, "Bachelor")</f>
        <v>#VALUE!</v>
      </c>
      <c r="P40" s="43" t="str">
        <f>COUNTIFS(S22_Emp!$C:$C,"*" &amp; $A40 &amp; "*", S22_S25_Emp!$B:$B, "Master")</f>
        <v>#VALUE!</v>
      </c>
      <c r="Q40" s="43" t="str">
        <f>COUNTIFS(S22_Emp!$C:$C,"*" &amp; $A40 &amp; "*", S22_S25_Emp!$B:$B, "Doctorate")</f>
        <v>#VALUE!</v>
      </c>
      <c r="R40" s="43" t="str">
        <f t="array" ref="R40">IF(OR(INDEX(S26_CF!X:X, MATCH("*" &amp; $A40 &amp; "*", CompanyList!A:A, 0))=TRUE, INDEX(F25_CF!P:P, MATCH("*" &amp; $A40 &amp; "*", CompanyList!A:A, 0))=TRUE, INDEX(S25_CF!T:T, MATCH("*" &amp; $A40 &amp; "*", CompanyList!A:A, 0))=TRUE, INDEX(S24_CF!W:W, MATCH("*" &amp; $A40 &amp; "*", CompanyList!A:A, 0))=TRUE), "Yes", "No")</f>
        <v>No</v>
      </c>
      <c r="S40" s="43" t="str">
        <f>IF(COUNTIF(S26_CF!$A:$A,"*" &amp; $A40 &amp; "*") &lt;&gt; 0, "Yes", "No")</f>
        <v>No</v>
      </c>
      <c r="T40" s="43" t="str">
        <f t="array" ref="T40">INDEX(S26_CF!K:K, MATCH("*" &amp; $A40 &amp; "*", S26_CF!A:A, 0))</f>
        <v>#N/A</v>
      </c>
      <c r="U40" s="43" t="str">
        <f>IF(COUNTIF(F25_CF!$A:$A,"*" &amp; $A40 &amp; "*") &lt;&gt; 0, "Yes", "No")</f>
        <v>Yes</v>
      </c>
      <c r="V40" s="43" t="str">
        <f t="array" ref="V40">INDEX(F25_CF!I:I, MATCH("*" &amp; $A40 &amp; "*", F25_CF!$A:$A, 0))</f>
        <v>Gold One-Day: Wednesday, September 10th [$2500.00]</v>
      </c>
      <c r="W40" s="43" t="str">
        <f>IF(COUNTIF(S25_CF!$A:$A,"*" &amp; $A40 &amp; "*") &lt;&gt; 0, "Yes", "No")</f>
        <v>Yes</v>
      </c>
      <c r="X40" s="43" t="str">
        <f t="array" ref="X40">INDEX(S25_CF!J:J, MATCH("*" &amp; $A40 &amp; "*", S25_CF!$A:$A, 0))</f>
        <v>Gold One-Day: Thursday, January 23rd [$2500.00]</v>
      </c>
      <c r="Y40" s="43" t="str">
        <f>IF(COUNTIF(F24_CF!$A:$A,"*" &amp; $A40 &amp; "*") &lt;&gt; 0, "Yes", "No")</f>
        <v>Yes</v>
      </c>
      <c r="Z40" s="43" t="str">
        <f t="array" ref="Z40">INDEX(F24_CF!N:N, MATCH("*" &amp; $A40 &amp; "*", F24_CF!$A:$A, 0))</f>
        <v>Gold Two-Day [$5500.00]</v>
      </c>
      <c r="AA40" s="43" t="str">
        <f>IF(COUNTIF(S24_CF!$A:$A,"*" &amp; $A40 &amp; "*") &lt;&gt; 0, "Yes", "No")</f>
        <v>Yes</v>
      </c>
      <c r="AB40" s="43" t="str">
        <f t="array" ref="AB40">INDEX(S24_CF!H:H, MATCH("*" &amp; $A40 &amp; "*", S24_CF!$A:$A, 0))</f>
        <v>Gold Two-Day [$5000.00]</v>
      </c>
    </row>
    <row r="41" ht="15.0" customHeight="1">
      <c r="A41" s="52" t="s">
        <v>95</v>
      </c>
      <c r="B41" s="43" t="s">
        <v>52</v>
      </c>
      <c r="C41" s="43"/>
      <c r="D41" s="43">
        <v>18000.0</v>
      </c>
      <c r="E41" s="43"/>
      <c r="F41" s="43">
        <f>COUNTIF(S26_Emp!$C:$C,"*" &amp;A41 &amp; "*")</f>
        <v>0</v>
      </c>
      <c r="G41" s="43">
        <f>COUNTIF(F25_Emp!$C:$C,"*" &amp;#REF! &amp; "*")</f>
        <v>0</v>
      </c>
      <c r="H41" s="43">
        <f>COUNTIF(S25_Emp!$C:$C,"*" &amp; A41 &amp; "*")</f>
        <v>0</v>
      </c>
      <c r="I41" s="43">
        <f>COUNTIF(F24_Emp!$C:$C,"*" &amp; B41 &amp; "*")</f>
        <v>0</v>
      </c>
      <c r="J41" s="43">
        <f>COUNTIF(S24_Emp!$C:$C,"*" &amp; $A41 &amp; "*")</f>
        <v>0</v>
      </c>
      <c r="K41" s="43">
        <f>COUNTIF(F23_Emp!$C:$C,"*" &amp; $A41 &amp; "*")</f>
        <v>0</v>
      </c>
      <c r="L41" s="43">
        <f>COUNTIF(S23_Emp!$C:$C,"*" &amp; $A41 &amp; "*")</f>
        <v>0</v>
      </c>
      <c r="M41" s="43">
        <f>COUNTIF(F22_Emp!$C:$C,"*" &amp; $A41 &amp; "*")</f>
        <v>0</v>
      </c>
      <c r="N41" s="43">
        <f>COUNTIF(S22_Emp!$C:$C,"*" &amp; $A41 &amp; "*")</f>
        <v>0</v>
      </c>
      <c r="O41" s="43" t="str">
        <f>COUNTIFS(S22_Emp!$C:$C,"*" &amp; $A41 &amp; "*", S22_S25_Emp!$B:$B, "Bachelor")</f>
        <v>#VALUE!</v>
      </c>
      <c r="P41" s="43" t="str">
        <f>COUNTIFS(S22_Emp!$C:$C,"*" &amp; $A41 &amp; "*", S22_S25_Emp!$B:$B, "Master")</f>
        <v>#VALUE!</v>
      </c>
      <c r="Q41" s="43" t="str">
        <f>COUNTIFS(S22_Emp!$C:$C,"*" &amp; $A41 &amp; "*", S22_S25_Emp!$B:$B, "Doctorate")</f>
        <v>#VALUE!</v>
      </c>
      <c r="R41" s="43" t="str">
        <f t="array" ref="R41">IF(OR(INDEX(S26_CF!X:X, MATCH("*" &amp; $A41 &amp; "*", CompanyList!A:A, 0))=TRUE, INDEX(F25_CF!P:P, MATCH("*" &amp; $A41 &amp; "*", CompanyList!A:A, 0))=TRUE, INDEX(S25_CF!T:T, MATCH("*" &amp; $A41 &amp; "*", CompanyList!A:A, 0))=TRUE, INDEX(S24_CF!W:W, MATCH("*" &amp; $A41 &amp; "*", CompanyList!A:A, 0))=TRUE), "Yes", "No")</f>
        <v>Yes</v>
      </c>
      <c r="S41" s="43" t="str">
        <f>IF(COUNTIF(S26_CF!$A:$A,"*" &amp; $A41 &amp; "*") &lt;&gt; 0, "Yes", "No")</f>
        <v>Yes</v>
      </c>
      <c r="T41" s="43" t="str">
        <f t="array" ref="T41">INDEX(S26_CF!K:K, MATCH("*" &amp; $A41 &amp; "*", S26_CF!A:A, 0))</f>
        <v>Basic One-Day: Thursday, January 29th [$1000.00]</v>
      </c>
      <c r="U41" s="43" t="str">
        <f>IF(COUNTIF(F25_CF!$A:$A,"*" &amp; $A41 &amp; "*") &lt;&gt; 0, "Yes", "No")</f>
        <v>Yes</v>
      </c>
      <c r="V41" s="43" t="str">
        <f t="array" ref="V41">INDEX(F25_CF!I:I, MATCH("*" &amp; $A41 &amp; "*", F25_CF!$A:$A, 0))</f>
        <v>Basic One-Day: Wednesday, September 10th [$1000.00]</v>
      </c>
      <c r="W41" s="43" t="str">
        <f>IF(COUNTIF(S25_CF!$A:$A,"*" &amp; $A41 &amp; "*") &lt;&gt; 0, "Yes", "No")</f>
        <v>Yes</v>
      </c>
      <c r="X41" s="43" t="str">
        <f t="array" ref="X41">INDEX(S25_CF!J:J, MATCH("*" &amp; $A41 &amp; "*", S25_CF!$A:$A, 0))</f>
        <v>Basic One-Day: Thursday, January 23rd [$1000.00]</v>
      </c>
      <c r="Y41" s="43" t="str">
        <f>IF(COUNTIF(F24_CF!$A:$A,"*" &amp; $A41 &amp; "*") &lt;&gt; 0, "Yes", "No")</f>
        <v>Yes</v>
      </c>
      <c r="Z41" s="43" t="str">
        <f t="array" ref="Z41">INDEX(F24_CF!N:N, MATCH("*" &amp; $A41 &amp; "*", F24_CF!$A:$A, 0))</f>
        <v>Basic One-Day: Wednesday, September 4th [$1000.00]</v>
      </c>
      <c r="AA41" s="43" t="str">
        <f>IF(COUNTIF(S24_CF!$A:$A,"*" &amp; $A41 &amp; "*") &lt;&gt; 0, "Yes", "No")</f>
        <v>Yes</v>
      </c>
      <c r="AB41" s="43" t="str">
        <f t="array" ref="AB41">INDEX(S24_CF!H:H, MATCH("*" &amp; $A41 &amp; "*", S24_CF!$A:$A, 0))</f>
        <v>Basic One-Day [$1000.00]</v>
      </c>
    </row>
    <row r="42" ht="15.0" customHeight="1">
      <c r="A42" s="52" t="s">
        <v>96</v>
      </c>
      <c r="B42" s="43" t="s">
        <v>54</v>
      </c>
      <c r="C42" s="43">
        <v>8500.0</v>
      </c>
      <c r="D42" s="43">
        <v>8900.0</v>
      </c>
      <c r="E42" s="43">
        <v>18.0</v>
      </c>
      <c r="F42" s="43">
        <f>COUNTIF(S26_Emp!$C:$C,"*" &amp;A42 &amp; "*")</f>
        <v>0</v>
      </c>
      <c r="G42" s="43">
        <f>COUNTIF(F25_Emp!$C:$C,"*" &amp;#REF! &amp; "*")</f>
        <v>0</v>
      </c>
      <c r="H42" s="43">
        <f>COUNTIF(S25_Emp!$C:$C,"*" &amp; A42 &amp; "*")</f>
        <v>0</v>
      </c>
      <c r="I42" s="43">
        <f>COUNTIF(F24_Emp!$C:$C,"*" &amp; B42 &amp; "*")</f>
        <v>1</v>
      </c>
      <c r="J42" s="43">
        <f>COUNTIF(S24_Emp!$C:$C,"*" &amp; $A42 &amp; "*")</f>
        <v>2</v>
      </c>
      <c r="K42" s="43">
        <f>COUNTIF(F23_Emp!$C:$C,"*" &amp; $A42 &amp; "*")</f>
        <v>1</v>
      </c>
      <c r="L42" s="43">
        <f>COUNTIF(S23_Emp!$C:$C,"*" &amp; $A42 &amp; "*")</f>
        <v>1</v>
      </c>
      <c r="M42" s="43">
        <f>COUNTIF(F22_Emp!$C:$C,"*" &amp; $A42 &amp; "*")</f>
        <v>1</v>
      </c>
      <c r="N42" s="43">
        <f>COUNTIF(S22_Emp!$C:$C,"*" &amp; $A42 &amp; "*")</f>
        <v>1</v>
      </c>
      <c r="O42" s="43" t="str">
        <f>COUNTIFS(S22_Emp!$C:$C,"*" &amp; $A42 &amp; "*", S22_S25_Emp!$B:$B, "Bachelor")</f>
        <v>#VALUE!</v>
      </c>
      <c r="P42" s="43" t="str">
        <f>COUNTIFS(S22_Emp!$C:$C,"*" &amp; $A42 &amp; "*", S22_S25_Emp!$B:$B, "Master")</f>
        <v>#VALUE!</v>
      </c>
      <c r="Q42" s="43" t="str">
        <f>COUNTIFS(S22_Emp!$C:$C,"*" &amp; $A42 &amp; "*", S22_S25_Emp!$B:$B, "Doctorate")</f>
        <v>#VALUE!</v>
      </c>
      <c r="R42" s="43" t="str">
        <f t="array" ref="R42">IF(OR(INDEX(S26_CF!X:X, MATCH("*" &amp; $A42 &amp; "*", CompanyList!A:A, 0))=TRUE, INDEX(F25_CF!P:P, MATCH("*" &amp; $A42 &amp; "*", CompanyList!A:A, 0))=TRUE, INDEX(S25_CF!T:T, MATCH("*" &amp; $A42 &amp; "*", CompanyList!A:A, 0))=TRUE, INDEX(S24_CF!W:W, MATCH("*" &amp; $A42 &amp; "*", CompanyList!A:A, 0))=TRUE), "Yes", "No")</f>
        <v>Yes</v>
      </c>
      <c r="S42" s="43" t="str">
        <f>IF(COUNTIF(S26_CF!$A:$A,"*" &amp; $A42 &amp; "*") &lt;&gt; 0, "Yes", "No")</f>
        <v>Yes</v>
      </c>
      <c r="T42" s="43" t="str">
        <f t="array" ref="T42">INDEX(S26_CF!K:K, MATCH("*" &amp; $A42 &amp; "*", S26_CF!A:A, 0))</f>
        <v>Silver One-Day: Thursday, January 29th [$1800.00]</v>
      </c>
      <c r="U42" s="43" t="str">
        <f>IF(COUNTIF(F25_CF!$A:$A,"*" &amp; $A42 &amp; "*") &lt;&gt; 0, "Yes", "No")</f>
        <v>Yes</v>
      </c>
      <c r="V42" s="43" t="str">
        <f t="array" ref="V42">INDEX(F25_CF!I:I, MATCH("*" &amp; $A42 &amp; "*", F25_CF!$A:$A, 0))</f>
        <v>Silver One-Day: Wednesday, September 10th [$1800.00]</v>
      </c>
      <c r="W42" s="43" t="str">
        <f>IF(COUNTIF(S25_CF!$A:$A,"*" &amp; $A42 &amp; "*") &lt;&gt; 0, "Yes", "No")</f>
        <v>Yes</v>
      </c>
      <c r="X42" s="43" t="str">
        <f t="array" ref="X42">INDEX(S25_CF!J:J, MATCH("*" &amp; $A42 &amp; "*", S25_CF!$A:$A, 0))</f>
        <v>Silver One-Day: Wednesday, January 22nd [$1800.00]</v>
      </c>
      <c r="Y42" s="43" t="str">
        <f>IF(COUNTIF(F24_CF!$A:$A,"*" &amp; $A42 &amp; "*") &lt;&gt; 0, "Yes", "No")</f>
        <v>Yes</v>
      </c>
      <c r="Z42" s="43" t="str">
        <f t="array" ref="Z42">INDEX(F24_CF!N:N, MATCH("*" &amp; $A42 &amp; "*", F24_CF!$A:$A, 0))</f>
        <v>Silver One-Day: Wednesday, September 4th [$1800.00]</v>
      </c>
      <c r="AA42" s="43" t="str">
        <f>IF(COUNTIF(S24_CF!$A:$A,"*" &amp; $A42 &amp; "*") &lt;&gt; 0, "Yes", "No")</f>
        <v>Yes</v>
      </c>
      <c r="AB42" s="43" t="str">
        <f t="array" ref="AB42">INDEX(S24_CF!H:H, MATCH("*" &amp; $A42 &amp; "*", S24_CF!$A:$A, 0))</f>
        <v>Basic One-Day [$1000.00]</v>
      </c>
    </row>
    <row r="43" ht="15.0" customHeight="1">
      <c r="A43" s="52" t="s">
        <v>97</v>
      </c>
      <c r="B43" s="43" t="s">
        <v>52</v>
      </c>
      <c r="C43" s="43"/>
      <c r="D43" s="43"/>
      <c r="E43" s="43"/>
      <c r="F43" s="43">
        <f>COUNTIF(S26_Emp!$C:$C,"*" &amp;A43 &amp; "*")</f>
        <v>0</v>
      </c>
      <c r="G43" s="43">
        <f>COUNTIF(F25_Emp!$C:$C,"*" &amp;#REF! &amp; "*")</f>
        <v>0</v>
      </c>
      <c r="H43" s="43">
        <f>COUNTIF(S25_Emp!$C:$C,"*" &amp; A43 &amp; "*")</f>
        <v>0</v>
      </c>
      <c r="I43" s="43">
        <f>COUNTIF(F24_Emp!$C:$C,"*" &amp; B43 &amp; "*")</f>
        <v>0</v>
      </c>
      <c r="J43" s="43">
        <f>COUNTIF(S24_Emp!$C:$C,"*" &amp; $A43 &amp; "*")</f>
        <v>1</v>
      </c>
      <c r="K43" s="43">
        <f>COUNTIF(F23_Emp!$C:$C,"*" &amp; $A43 &amp; "*")</f>
        <v>1</v>
      </c>
      <c r="L43" s="43">
        <f>COUNTIF(S23_Emp!$C:$C,"*" &amp; $A43 &amp; "*")</f>
        <v>0</v>
      </c>
      <c r="M43" s="43">
        <f>COUNTIF(F22_Emp!$C:$C,"*" &amp; $A43 &amp; "*")</f>
        <v>0</v>
      </c>
      <c r="N43" s="43">
        <f>COUNTIF(S22_Emp!$C:$C,"*" &amp; $A43 &amp; "*")</f>
        <v>1</v>
      </c>
      <c r="O43" s="43" t="str">
        <f>COUNTIFS(S22_Emp!$C:$C,"*" &amp; $A43 &amp; "*", S22_S25_Emp!$B:$B, "Bachelor")</f>
        <v>#VALUE!</v>
      </c>
      <c r="P43" s="43" t="str">
        <f>COUNTIFS(S22_Emp!$C:$C,"*" &amp; $A43 &amp; "*", S22_S25_Emp!$B:$B, "Master")</f>
        <v>#VALUE!</v>
      </c>
      <c r="Q43" s="43" t="str">
        <f>COUNTIFS(S22_Emp!$C:$C,"*" &amp; $A43 &amp; "*", S22_S25_Emp!$B:$B, "Doctorate")</f>
        <v>#VALUE!</v>
      </c>
      <c r="R43" s="43" t="str">
        <f t="array" ref="R43">IF(OR(INDEX(S26_CF!X:X, MATCH("*" &amp; $A43 &amp; "*", CompanyList!A:A, 0))=TRUE, INDEX(F25_CF!P:P, MATCH("*" &amp; $A43 &amp; "*", CompanyList!A:A, 0))=TRUE, INDEX(S25_CF!T:T, MATCH("*" &amp; $A43 &amp; "*", CompanyList!A:A, 0))=TRUE, INDEX(S24_CF!W:W, MATCH("*" &amp; $A43 &amp; "*", CompanyList!A:A, 0))=TRUE), "Yes", "No")</f>
        <v>No</v>
      </c>
      <c r="S43" s="43" t="str">
        <f>IF(COUNTIF(S26_CF!$A:$A,"*" &amp; $A43 &amp; "*") &lt;&gt; 0, "Yes", "No")</f>
        <v>Yes</v>
      </c>
      <c r="T43" s="43" t="str">
        <f t="array" ref="T43">INDEX(S26_CF!K:K, MATCH("*" &amp; $A43 &amp; "*", S26_CF!A:A, 0))</f>
        <v>Basic Two-Day [$2000.00]</v>
      </c>
      <c r="U43" s="43" t="str">
        <f>IF(COUNTIF(F25_CF!$A:$A,"*" &amp; $A43 &amp; "*") &lt;&gt; 0, "Yes", "No")</f>
        <v>Yes</v>
      </c>
      <c r="V43" s="43" t="str">
        <f t="array" ref="V43">INDEX(F25_CF!I:I, MATCH("*" &amp; $A43 &amp; "*", F25_CF!$A:$A, 0))</f>
        <v>Basic Two-Day [$2000.00]</v>
      </c>
      <c r="W43" s="43" t="str">
        <f>IF(COUNTIF(S25_CF!$A:$A,"*" &amp; $A43 &amp; "*") &lt;&gt; 0, "Yes", "No")</f>
        <v>Yes</v>
      </c>
      <c r="X43" s="43" t="str">
        <f t="array" ref="X43">INDEX(S25_CF!J:J, MATCH("*" &amp; $A43 &amp; "*", S25_CF!$A:$A, 0))</f>
        <v>Basic Two-Day [$2000.00]</v>
      </c>
      <c r="Y43" s="43" t="str">
        <f>IF(COUNTIF(F24_CF!$A:$A,"*" &amp; $A43 &amp; "*") &lt;&gt; 0, "Yes", "No")</f>
        <v>Yes</v>
      </c>
      <c r="Z43" s="43" t="str">
        <f t="array" ref="Z43">INDEX(F24_CF!N:N, MATCH("*" &amp; $A43 &amp; "*", F24_CF!$A:$A, 0))</f>
        <v>Basic Two-Day [$2000.00]</v>
      </c>
      <c r="AA43" s="43" t="str">
        <f>IF(COUNTIF(S24_CF!$A:$A,"*" &amp; $A43 &amp; "*") &lt;&gt; 0, "Yes", "No")</f>
        <v>Yes</v>
      </c>
      <c r="AB43" s="43" t="str">
        <f t="array" ref="AB43">INDEX(S24_CF!H:H, MATCH("*" &amp; $A43 &amp; "*", S24_CF!$A:$A, 0))</f>
        <v>Basic Two-Day [$2000.00]</v>
      </c>
    </row>
    <row r="44" ht="15.0" customHeight="1">
      <c r="A44" s="52" t="s">
        <v>98</v>
      </c>
      <c r="B44" s="43" t="s">
        <v>54</v>
      </c>
      <c r="C44" s="43">
        <v>4000.0</v>
      </c>
      <c r="D44" s="43">
        <v>11000.0</v>
      </c>
      <c r="E44" s="43">
        <v>6.0</v>
      </c>
      <c r="F44" s="43">
        <f>COUNTIF(S26_Emp!$C:$C,"*" &amp;A44 &amp; "*")</f>
        <v>0</v>
      </c>
      <c r="G44" s="43">
        <f>COUNTIF(F25_Emp!$C:$C,"*" &amp;#REF! &amp; "*")</f>
        <v>0</v>
      </c>
      <c r="H44" s="43">
        <f>COUNTIF(S25_Emp!$C:$C,"*" &amp; A44 &amp; "*")</f>
        <v>1</v>
      </c>
      <c r="I44" s="43">
        <f>COUNTIF(F24_Emp!$C:$C,"*" &amp; B44 &amp; "*")</f>
        <v>1</v>
      </c>
      <c r="J44" s="43">
        <f>COUNTIF(S24_Emp!$C:$C,"*" &amp; $A44 &amp; "*")</f>
        <v>1</v>
      </c>
      <c r="K44" s="43">
        <f>COUNTIF(F23_Emp!$C:$C,"*" &amp; $A44 &amp; "*")</f>
        <v>0</v>
      </c>
      <c r="L44" s="43">
        <f>COUNTIF(S23_Emp!$C:$C,"*" &amp; $A44 &amp; "*")</f>
        <v>1</v>
      </c>
      <c r="M44" s="43">
        <f>COUNTIF(F22_Emp!$C:$C,"*" &amp; $A44 &amp; "*")</f>
        <v>0</v>
      </c>
      <c r="N44" s="43">
        <f>COUNTIF(S22_Emp!$C:$C,"*" &amp; $A44 &amp; "*")</f>
        <v>1</v>
      </c>
      <c r="O44" s="43" t="str">
        <f>COUNTIFS(S22_Emp!$C:$C,"*" &amp; $A44 &amp; "*", S22_S25_Emp!$B:$B, "Bachelor")</f>
        <v>#VALUE!</v>
      </c>
      <c r="P44" s="43" t="str">
        <f>COUNTIFS(S22_Emp!$C:$C,"*" &amp; $A44 &amp; "*", S22_S25_Emp!$B:$B, "Master")</f>
        <v>#VALUE!</v>
      </c>
      <c r="Q44" s="43" t="str">
        <f>COUNTIFS(S22_Emp!$C:$C,"*" &amp; $A44 &amp; "*", S22_S25_Emp!$B:$B, "Doctorate")</f>
        <v>#VALUE!</v>
      </c>
      <c r="R44" s="43" t="str">
        <f t="array" ref="R44">IF(OR(INDEX(S26_CF!X:X, MATCH("*" &amp; $A44 &amp; "*", CompanyList!A:A, 0))=TRUE, INDEX(F25_CF!P:P, MATCH("*" &amp; $A44 &amp; "*", CompanyList!A:A, 0))=TRUE, INDEX(S25_CF!T:T, MATCH("*" &amp; $A44 &amp; "*", CompanyList!A:A, 0))=TRUE, INDEX(S24_CF!W:W, MATCH("*" &amp; $A44 &amp; "*", CompanyList!A:A, 0))=TRUE), "Yes", "No")</f>
        <v>No</v>
      </c>
      <c r="S44" s="43" t="str">
        <f>IF(COUNTIF(S26_CF!$A:$A,"*" &amp; $A44 &amp; "*") &lt;&gt; 0, "Yes", "No")</f>
        <v>Yes</v>
      </c>
      <c r="T44" s="43" t="str">
        <f t="array" ref="T44">INDEX(S26_CF!K:K, MATCH("*" &amp; $A44 &amp; "*", S26_CF!A:A, 0))</f>
        <v>Basic Two-Day [$2000.00]</v>
      </c>
      <c r="U44" s="43" t="str">
        <f>IF(COUNTIF(F25_CF!$A:$A,"*" &amp; $A44 &amp; "*") &lt;&gt; 0, "Yes", "No")</f>
        <v>Yes</v>
      </c>
      <c r="V44" s="43" t="str">
        <f t="array" ref="V44">INDEX(F25_CF!I:I, MATCH("*" &amp; $A44 &amp; "*", F25_CF!$A:$A, 0))</f>
        <v>Basic One-Day: Thursday, September 11th [$1000.00]</v>
      </c>
      <c r="W44" s="43" t="str">
        <f>IF(COUNTIF(S25_CF!$A:$A,"*" &amp; $A44 &amp; "*") &lt;&gt; 0, "Yes", "No")</f>
        <v>Yes</v>
      </c>
      <c r="X44" s="43" t="str">
        <f t="array" ref="X44">INDEX(S25_CF!J:J, MATCH("*" &amp; $A44 &amp; "*", S25_CF!$A:$A, 0))</f>
        <v>Basic Two-Day [$2000.00]</v>
      </c>
      <c r="Y44" s="43" t="str">
        <f>IF(COUNTIF(F24_CF!$A:$A,"*" &amp; $A44 &amp; "*") &lt;&gt; 0, "Yes", "No")</f>
        <v>Yes</v>
      </c>
      <c r="Z44" s="43" t="str">
        <f t="array" ref="Z44">INDEX(F24_CF!N:N, MATCH("*" &amp; $A44 &amp; "*", F24_CF!$A:$A, 0))</f>
        <v>Basic Two-Day [$2000.00]</v>
      </c>
      <c r="AA44" s="43" t="str">
        <f>IF(COUNTIF(S24_CF!$A:$A,"*" &amp; $A44 &amp; "*") &lt;&gt; 0, "Yes", "No")</f>
        <v>Yes</v>
      </c>
      <c r="AB44" s="43" t="str">
        <f t="array" ref="AB44">INDEX(S24_CF!H:H, MATCH("*" &amp; $A44 &amp; "*", S24_CF!$A:$A, 0))</f>
        <v>Basic Two-Day [$2000.00]</v>
      </c>
    </row>
    <row r="45" ht="15.0" customHeight="1">
      <c r="A45" s="52" t="s">
        <v>99</v>
      </c>
      <c r="B45" s="43" t="s">
        <v>52</v>
      </c>
      <c r="C45" s="43"/>
      <c r="D45" s="43"/>
      <c r="E45" s="43"/>
      <c r="F45" s="43">
        <f>COUNTIF(S26_Emp!$C:$C,"*" &amp;A45 &amp; "*")</f>
        <v>0</v>
      </c>
      <c r="G45" s="43">
        <f>COUNTIF(F25_Emp!$C:$C,"*" &amp;#REF! &amp; "*")</f>
        <v>0</v>
      </c>
      <c r="H45" s="43">
        <f>COUNTIF(S25_Emp!$C:$C,"*" &amp; A45 &amp; "*")</f>
        <v>0</v>
      </c>
      <c r="I45" s="43">
        <f>COUNTIF(F24_Emp!$C:$C,"*" &amp; B45 &amp; "*")</f>
        <v>0</v>
      </c>
      <c r="J45" s="43">
        <f>COUNTIF(S24_Emp!$C:$C,"*" &amp; $A45 &amp; "*")</f>
        <v>0</v>
      </c>
      <c r="K45" s="43">
        <f>COUNTIF(F23_Emp!$C:$C,"*" &amp; $A45 &amp; "*")</f>
        <v>0</v>
      </c>
      <c r="L45" s="43">
        <f>COUNTIF(S23_Emp!$C:$C,"*" &amp; $A45 &amp; "*")</f>
        <v>0</v>
      </c>
      <c r="M45" s="43">
        <f>COUNTIF(F22_Emp!$C:$C,"*" &amp; $A45 &amp; "*")</f>
        <v>0</v>
      </c>
      <c r="N45" s="43">
        <f>COUNTIF(S22_Emp!$C:$C,"*" &amp; $A45 &amp; "*")</f>
        <v>0</v>
      </c>
      <c r="O45" s="43" t="str">
        <f>COUNTIFS(S22_Emp!$C:$C,"*" &amp; $A45 &amp; "*", S22_S25_Emp!$B:$B, "Bachelor")</f>
        <v>#VALUE!</v>
      </c>
      <c r="P45" s="43" t="str">
        <f>COUNTIFS(S22_Emp!$C:$C,"*" &amp; $A45 &amp; "*", S22_S25_Emp!$B:$B, "Master")</f>
        <v>#VALUE!</v>
      </c>
      <c r="Q45" s="43" t="str">
        <f>COUNTIFS(S22_Emp!$C:$C,"*" &amp; $A45 &amp; "*", S22_S25_Emp!$B:$B, "Doctorate")</f>
        <v>#VALUE!</v>
      </c>
      <c r="R45" s="43" t="str">
        <f t="array" ref="R45">IF(OR(INDEX(S26_CF!X:X, MATCH("*" &amp; $A45 &amp; "*", CompanyList!A:A, 0))=TRUE, INDEX(F25_CF!P:P, MATCH("*" &amp; $A45 &amp; "*", CompanyList!A:A, 0))=TRUE, INDEX(S25_CF!T:T, MATCH("*" &amp; $A45 &amp; "*", CompanyList!A:A, 0))=TRUE, INDEX(S24_CF!W:W, MATCH("*" &amp; $A45 &amp; "*", CompanyList!A:A, 0))=TRUE), "Yes", "No")</f>
        <v>No</v>
      </c>
      <c r="S45" s="43" t="str">
        <f>IF(COUNTIF(S26_CF!$A:$A,"*" &amp; $A45 &amp; "*") &lt;&gt; 0, "Yes", "No")</f>
        <v>Yes</v>
      </c>
      <c r="T45" s="43" t="str">
        <f t="array" ref="T45">INDEX(S26_CF!K:K, MATCH("*" &amp; $A45 &amp; "*", S26_CF!A:A, 0))</f>
        <v>Basic One-Day: Wednesday, January 28th [$1000.00]</v>
      </c>
      <c r="U45" s="43" t="str">
        <f>IF(COUNTIF(F25_CF!$A:$A,"*" &amp; $A45 &amp; "*") &lt;&gt; 0, "Yes", "No")</f>
        <v>Yes</v>
      </c>
      <c r="V45" s="43" t="str">
        <f t="array" ref="V45">INDEX(F25_CF!I:I, MATCH("*" &amp; $A45 &amp; "*", F25_CF!$A:$A, 0))</f>
        <v>Basic One-Day: Thursday, September 11th [$1000.00]</v>
      </c>
      <c r="W45" s="43" t="str">
        <f>IF(COUNTIF(S25_CF!$A:$A,"*" &amp; $A45 &amp; "*") &lt;&gt; 0, "Yes", "No")</f>
        <v>Yes</v>
      </c>
      <c r="X45" s="43" t="str">
        <f t="array" ref="X45">INDEX(S25_CF!J:J, MATCH("*" &amp; $A45 &amp; "*", S25_CF!$A:$A, 0))</f>
        <v>Basic One-Day: Thursday, January 23rd [$1000.00]</v>
      </c>
      <c r="Y45" s="43" t="str">
        <f>IF(COUNTIF(F24_CF!$A:$A,"*" &amp; $A45 &amp; "*") &lt;&gt; 0, "Yes", "No")</f>
        <v>No</v>
      </c>
      <c r="Z45" s="43" t="str">
        <f t="array" ref="Z45">INDEX(F24_CF!N:N, MATCH("*" &amp; $A45 &amp; "*", F24_CF!$A:$A, 0))</f>
        <v>#N/A</v>
      </c>
      <c r="AA45" s="43" t="str">
        <f>IF(COUNTIF(S24_CF!$A:$A,"*" &amp; $A45 &amp; "*") &lt;&gt; 0, "Yes", "No")</f>
        <v>Yes</v>
      </c>
      <c r="AB45" s="43" t="str">
        <f t="array" ref="AB45">INDEX(S24_CF!H:H, MATCH("*" &amp; $A45 &amp; "*", S24_CF!$A:$A, 0))</f>
        <v>Basic One-Day [$1000.00]</v>
      </c>
    </row>
    <row r="46" ht="15.0" customHeight="1">
      <c r="A46" s="52" t="s">
        <v>100</v>
      </c>
      <c r="B46" s="43" t="s">
        <v>52</v>
      </c>
      <c r="C46" s="43"/>
      <c r="D46" s="43"/>
      <c r="E46" s="43"/>
      <c r="F46" s="43">
        <f>COUNTIF(S26_Emp!$C:$C,"*" &amp;A46 &amp; "*")</f>
        <v>0</v>
      </c>
      <c r="G46" s="43">
        <f>COUNTIF(F25_Emp!$C:$C,"*" &amp;#REF! &amp; "*")</f>
        <v>0</v>
      </c>
      <c r="H46" s="43">
        <f>COUNTIF(S25_Emp!$C:$C,"*" &amp; A46 &amp; "*")</f>
        <v>0</v>
      </c>
      <c r="I46" s="43">
        <f>COUNTIF(F24_Emp!$C:$C,"*" &amp; B46 &amp; "*")</f>
        <v>0</v>
      </c>
      <c r="J46" s="43">
        <f>COUNTIF(S24_Emp!$C:$C,"*" &amp; $A46 &amp; "*")</f>
        <v>0</v>
      </c>
      <c r="K46" s="43">
        <f>COUNTIF(F23_Emp!$C:$C,"*" &amp; $A46 &amp; "*")</f>
        <v>0</v>
      </c>
      <c r="L46" s="43">
        <f>COUNTIF(S23_Emp!$C:$C,"*" &amp; $A46 &amp; "*")</f>
        <v>0</v>
      </c>
      <c r="M46" s="43">
        <f>COUNTIF(F22_Emp!$C:$C,"*" &amp; $A46 &amp; "*")</f>
        <v>0</v>
      </c>
      <c r="N46" s="43">
        <f>COUNTIF(S22_Emp!$C:$C,"*" &amp; $A46 &amp; "*")</f>
        <v>0</v>
      </c>
      <c r="O46" s="43" t="str">
        <f>COUNTIFS(S22_Emp!$C:$C,"*" &amp; $A46 &amp; "*", S22_S25_Emp!$B:$B, "Bachelor")</f>
        <v>#VALUE!</v>
      </c>
      <c r="P46" s="43" t="str">
        <f>COUNTIFS(S22_Emp!$C:$C,"*" &amp; $A46 &amp; "*", S22_S25_Emp!$B:$B, "Master")</f>
        <v>#VALUE!</v>
      </c>
      <c r="Q46" s="43" t="str">
        <f>COUNTIFS(S22_Emp!$C:$C,"*" &amp; $A46 &amp; "*", S22_S25_Emp!$B:$B, "Doctorate")</f>
        <v>#VALUE!</v>
      </c>
      <c r="R46" s="43" t="str">
        <f t="array" ref="R46">IF(OR(INDEX(S26_CF!X:X, MATCH("*" &amp; $A46 &amp; "*", CompanyList!A:A, 0))=TRUE, INDEX(F25_CF!P:P, MATCH("*" &amp; $A46 &amp; "*", CompanyList!A:A, 0))=TRUE, INDEX(S25_CF!T:T, MATCH("*" &amp; $A46 &amp; "*", CompanyList!A:A, 0))=TRUE, INDEX(S24_CF!W:W, MATCH("*" &amp; $A46 &amp; "*", CompanyList!A:A, 0))=TRUE), "Yes", "No")</f>
        <v>Yes</v>
      </c>
      <c r="S46" s="43" t="str">
        <f>IF(COUNTIF(S26_CF!$A:$A,"*" &amp; $A46 &amp; "*") &lt;&gt; 0, "Yes", "No")</f>
        <v>No</v>
      </c>
      <c r="T46" s="43" t="str">
        <f t="array" ref="T46">INDEX(S26_CF!K:K, MATCH("*" &amp; $A46 &amp; "*", S26_CF!A:A, 0))</f>
        <v>#N/A</v>
      </c>
      <c r="U46" s="43" t="str">
        <f>IF(COUNTIF(F25_CF!$A:$A,"*" &amp; $A46 &amp; "*") &lt;&gt; 0, "Yes", "No")</f>
        <v>No</v>
      </c>
      <c r="V46" s="43" t="str">
        <f t="array" ref="V46">INDEX(F25_CF!I:I, MATCH("*" &amp; $A46 &amp; "*", F25_CF!$A:$A, 0))</f>
        <v>#N/A</v>
      </c>
      <c r="W46" s="43" t="str">
        <f>IF(COUNTIF(S25_CF!$A:$A,"*" &amp; $A46 &amp; "*") &lt;&gt; 0, "Yes", "No")</f>
        <v>Yes</v>
      </c>
      <c r="X46" s="43" t="str">
        <f t="array" ref="X46">INDEX(S25_CF!J:J, MATCH("*" &amp; $A46 &amp; "*", S25_CF!$A:$A, 0))</f>
        <v>Basic One-Day: Wednesday, January 22nd [$1000.00]</v>
      </c>
      <c r="Y46" s="43" t="str">
        <f>IF(COUNTIF(F24_CF!$A:$A,"*" &amp; $A46 &amp; "*") &lt;&gt; 0, "Yes", "No")</f>
        <v>Yes</v>
      </c>
      <c r="Z46" s="43" t="str">
        <f t="array" ref="Z46">INDEX(F24_CF!N:N, MATCH("*" &amp; $A46 &amp; "*", F24_CF!$A:$A, 0))</f>
        <v>Basic One-Day: Wednesday, September 4th [$1000.00]</v>
      </c>
      <c r="AA46" s="43" t="str">
        <f>IF(COUNTIF(S24_CF!$A:$A,"*" &amp; $A46 &amp; "*") &lt;&gt; 0, "Yes", "No")</f>
        <v>Yes</v>
      </c>
      <c r="AB46" s="43" t="str">
        <f t="array" ref="AB46">INDEX(S24_CF!H:H, MATCH("*" &amp; $A46 &amp; "*", S24_CF!$A:$A, 0))</f>
        <v>Basic One-Day [$1000.00]</v>
      </c>
    </row>
    <row r="47" ht="15.0" customHeight="1">
      <c r="A47" s="52" t="s">
        <v>101</v>
      </c>
      <c r="B47" s="43" t="s">
        <v>52</v>
      </c>
      <c r="C47" s="43"/>
      <c r="D47" s="43"/>
      <c r="E47" s="43"/>
      <c r="F47" s="43">
        <f>COUNTIF(S26_Emp!$C:$C,"*" &amp;A47 &amp; "*")</f>
        <v>0</v>
      </c>
      <c r="G47" s="43">
        <f>COUNTIF(F25_Emp!$C:$C,"*" &amp;#REF! &amp; "*")</f>
        <v>0</v>
      </c>
      <c r="H47" s="43">
        <f>COUNTIF(S25_Emp!$C:$C,"*" &amp; A47 &amp; "*")</f>
        <v>0</v>
      </c>
      <c r="I47" s="43">
        <f>COUNTIF(F24_Emp!$C:$C,"*" &amp; B47 &amp; "*")</f>
        <v>0</v>
      </c>
      <c r="J47" s="43">
        <f>COUNTIF(S24_Emp!$C:$C,"*" &amp; $A47 &amp; "*")</f>
        <v>0</v>
      </c>
      <c r="K47" s="43">
        <f>COUNTIF(F23_Emp!$C:$C,"*" &amp; $A47 &amp; "*")</f>
        <v>0</v>
      </c>
      <c r="L47" s="43">
        <f>COUNTIF(S23_Emp!$C:$C,"*" &amp; $A47 &amp; "*")</f>
        <v>1</v>
      </c>
      <c r="M47" s="43">
        <f>COUNTIF(F22_Emp!$C:$C,"*" &amp; $A47 &amp; "*")</f>
        <v>1</v>
      </c>
      <c r="N47" s="43">
        <f>COUNTIF(S22_Emp!$C:$C,"*" &amp; $A47 &amp; "*")</f>
        <v>0</v>
      </c>
      <c r="O47" s="43" t="str">
        <f>COUNTIFS(S22_Emp!$C:$C,"*" &amp; $A47 &amp; "*", S22_S25_Emp!$B:$B, "Bachelor")</f>
        <v>#VALUE!</v>
      </c>
      <c r="P47" s="43" t="str">
        <f>COUNTIFS(S22_Emp!$C:$C,"*" &amp; $A47 &amp; "*", S22_S25_Emp!$B:$B, "Master")</f>
        <v>#VALUE!</v>
      </c>
      <c r="Q47" s="43" t="str">
        <f>COUNTIFS(S22_Emp!$C:$C,"*" &amp; $A47 &amp; "*", S22_S25_Emp!$B:$B, "Doctorate")</f>
        <v>#VALUE!</v>
      </c>
      <c r="R47" s="43" t="str">
        <f t="array" ref="R47">IF(OR(INDEX(S26_CF!X:X, MATCH("*" &amp; $A47 &amp; "*", CompanyList!A:A, 0))=TRUE, INDEX(F25_CF!P:P, MATCH("*" &amp; $A47 &amp; "*", CompanyList!A:A, 0))=TRUE, INDEX(S25_CF!T:T, MATCH("*" &amp; $A47 &amp; "*", CompanyList!A:A, 0))=TRUE, INDEX(S24_CF!W:W, MATCH("*" &amp; $A47 &amp; "*", CompanyList!A:A, 0))=TRUE), "Yes", "No")</f>
        <v>No</v>
      </c>
      <c r="S47" s="43" t="str">
        <f>IF(COUNTIF(S26_CF!$A:$A,"*" &amp; $A47 &amp; "*") &lt;&gt; 0, "Yes", "No")</f>
        <v>Yes</v>
      </c>
      <c r="T47" s="43" t="str">
        <f t="array" ref="T47">INDEX(S26_CF!K:K, MATCH("*" &amp; $A47 &amp; "*", S26_CF!A:A, 0))</f>
        <v>Basic One-Day: Thursday, January 29th [$1000.00]</v>
      </c>
      <c r="U47" s="43" t="str">
        <f>IF(COUNTIF(F25_CF!$A:$A,"*" &amp; $A47 &amp; "*") &lt;&gt; 0, "Yes", "No")</f>
        <v>Yes</v>
      </c>
      <c r="V47" s="43" t="str">
        <f t="array" ref="V47">INDEX(F25_CF!I:I, MATCH("*" &amp; $A47 &amp; "*", F25_CF!$A:$A, 0))</f>
        <v>Basic Two-Day [$2000.00]</v>
      </c>
      <c r="W47" s="43" t="str">
        <f>IF(COUNTIF(S25_CF!$A:$A,"*" &amp; $A47 &amp; "*") &lt;&gt; 0, "Yes", "No")</f>
        <v>Yes</v>
      </c>
      <c r="X47" s="43" t="str">
        <f t="array" ref="X47">INDEX(S25_CF!J:J, MATCH("*" &amp; $A47 &amp; "*", S25_CF!$A:$A, 0))</f>
        <v>Basic One-Day: Thursday, January 23rd [$1000.00]</v>
      </c>
      <c r="Y47" s="43" t="str">
        <f>IF(COUNTIF(F24_CF!$A:$A,"*" &amp; $A47 &amp; "*") &lt;&gt; 0, "Yes", "No")</f>
        <v>No</v>
      </c>
      <c r="Z47" s="43" t="str">
        <f t="array" ref="Z47">INDEX(F24_CF!N:N, MATCH("*" &amp; $A47 &amp; "*", F24_CF!$A:$A, 0))</f>
        <v>#N/A</v>
      </c>
      <c r="AA47" s="43" t="str">
        <f>IF(COUNTIF(S24_CF!$A:$A,"*" &amp; $A47 &amp; "*") &lt;&gt; 0, "Yes", "No")</f>
        <v>Yes</v>
      </c>
      <c r="AB47" s="43" t="str">
        <f t="array" ref="AB47">INDEX(S24_CF!H:H, MATCH("*" &amp; $A47 &amp; "*", S24_CF!$A:$A, 0))</f>
        <v>Basic One-Day [$1000.00]</v>
      </c>
    </row>
    <row r="48" ht="15.0" customHeight="1">
      <c r="A48" s="52" t="s">
        <v>102</v>
      </c>
      <c r="B48" s="43" t="s">
        <v>52</v>
      </c>
      <c r="C48" s="43"/>
      <c r="D48" s="43"/>
      <c r="E48" s="43"/>
      <c r="F48" s="43">
        <f>COUNTIF(S26_Emp!$C:$C,"*" &amp;A48 &amp; "*")</f>
        <v>0</v>
      </c>
      <c r="G48" s="43">
        <f>COUNTIF(F25_Emp!$C:$C,"*" &amp;#REF! &amp; "*")</f>
        <v>0</v>
      </c>
      <c r="H48" s="43">
        <f>COUNTIF(S25_Emp!$C:$C,"*" &amp; A48 &amp; "*")</f>
        <v>1</v>
      </c>
      <c r="I48" s="43">
        <f>COUNTIF(F24_Emp!$C:$C,"*" &amp; B48 &amp; "*")</f>
        <v>0</v>
      </c>
      <c r="J48" s="43">
        <f>COUNTIF(S24_Emp!$C:$C,"*" &amp; $A48 &amp; "*")</f>
        <v>1</v>
      </c>
      <c r="K48" s="43">
        <f>COUNTIF(F23_Emp!$C:$C,"*" &amp; $A48 &amp; "*")</f>
        <v>0</v>
      </c>
      <c r="L48" s="43">
        <f>COUNTIF(S23_Emp!$C:$C,"*" &amp; $A48 &amp; "*")</f>
        <v>0</v>
      </c>
      <c r="M48" s="43">
        <f>COUNTIF(F22_Emp!$C:$C,"*" &amp; $A48 &amp; "*")</f>
        <v>0</v>
      </c>
      <c r="N48" s="43">
        <f>COUNTIF(S22_Emp!$C:$C,"*" &amp; $A48 &amp; "*")</f>
        <v>0</v>
      </c>
      <c r="O48" s="43" t="str">
        <f>COUNTIFS(S22_Emp!$C:$C,"*" &amp; $A48 &amp; "*", S22_S25_Emp!$B:$B, "Bachelor")</f>
        <v>#VALUE!</v>
      </c>
      <c r="P48" s="43" t="str">
        <f>COUNTIFS(S22_Emp!$C:$C,"*" &amp; $A48 &amp; "*", S22_S25_Emp!$B:$B, "Master")</f>
        <v>#VALUE!</v>
      </c>
      <c r="Q48" s="43" t="str">
        <f>COUNTIFS(S22_Emp!$C:$C,"*" &amp; $A48 &amp; "*", S22_S25_Emp!$B:$B, "Doctorate")</f>
        <v>#VALUE!</v>
      </c>
      <c r="R48" s="43" t="str">
        <f t="array" ref="R48">IF(OR(INDEX(S26_CF!X:X, MATCH("*" &amp; $A48 &amp; "*", CompanyList!A:A, 0))=TRUE, INDEX(F25_CF!P:P, MATCH("*" &amp; $A48 &amp; "*", CompanyList!A:A, 0))=TRUE, INDEX(S25_CF!T:T, MATCH("*" &amp; $A48 &amp; "*", CompanyList!A:A, 0))=TRUE, INDEX(S24_CF!W:W, MATCH("*" &amp; $A48 &amp; "*", CompanyList!A:A, 0))=TRUE), "Yes", "No")</f>
        <v>No</v>
      </c>
      <c r="S48" s="43" t="str">
        <f>IF(COUNTIF(S26_CF!$A:$A,"*" &amp; $A48 &amp; "*") &lt;&gt; 0, "Yes", "No")</f>
        <v>Yes</v>
      </c>
      <c r="T48" s="43" t="str">
        <f t="array" ref="T48">INDEX(S26_CF!K:K, MATCH("*" &amp; $A48 &amp; "*", S26_CF!A:A, 0))</f>
        <v>Basic One-Day: Thursday, January 29th [$1000.00]</v>
      </c>
      <c r="U48" s="43" t="str">
        <f>IF(COUNTIF(F25_CF!$A:$A,"*" &amp; $A48 &amp; "*") &lt;&gt; 0, "Yes", "No")</f>
        <v>Yes</v>
      </c>
      <c r="V48" s="43" t="str">
        <f t="array" ref="V48">INDEX(F25_CF!I:I, MATCH("*" &amp; $A48 &amp; "*", F25_CF!$A:$A, 0))</f>
        <v>Basic One-Day: Wednesday, September 10th [$1000.00]</v>
      </c>
      <c r="W48" s="43" t="str">
        <f>IF(COUNTIF(S25_CF!$A:$A,"*" &amp; $A48 &amp; "*") &lt;&gt; 0, "Yes", "No")</f>
        <v>Yes</v>
      </c>
      <c r="X48" s="43" t="str">
        <f t="array" ref="X48">INDEX(S25_CF!J:J, MATCH("*" &amp; $A48 &amp; "*", S25_CF!$A:$A, 0))</f>
        <v>Basic One-Day: Thursday, January 23rd [$1000.00]</v>
      </c>
      <c r="Y48" s="43" t="str">
        <f>IF(COUNTIF(F24_CF!$A:$A,"*" &amp; $A48 &amp; "*") &lt;&gt; 0, "Yes", "No")</f>
        <v>Yes</v>
      </c>
      <c r="Z48" s="43" t="str">
        <f t="array" ref="Z48">INDEX(F24_CF!N:N, MATCH("*" &amp; $A48 &amp; "*", F24_CF!$A:$A, 0))</f>
        <v>Basic One-Day: Wednesday, September 4th [$1000.00]</v>
      </c>
      <c r="AA48" s="43" t="str">
        <f>IF(COUNTIF(S24_CF!$A:$A,"*" &amp; $A48 &amp; "*") &lt;&gt; 0, "Yes", "No")</f>
        <v>Yes</v>
      </c>
      <c r="AB48" s="43" t="str">
        <f t="array" ref="AB48">INDEX(S24_CF!H:H, MATCH("*" &amp; $A48 &amp; "*", S24_CF!$A:$A, 0))</f>
        <v>Basic One-Day [$1000.00]</v>
      </c>
    </row>
    <row r="49" ht="15.0" customHeight="1">
      <c r="A49" s="52" t="s">
        <v>103</v>
      </c>
      <c r="B49" s="43" t="s">
        <v>52</v>
      </c>
      <c r="C49" s="43"/>
      <c r="D49" s="43"/>
      <c r="E49" s="43"/>
      <c r="F49" s="43">
        <f>COUNTIF(S26_Emp!$C:$C,"*" &amp;A49 &amp; "*")</f>
        <v>0</v>
      </c>
      <c r="G49" s="43">
        <f>COUNTIF(F25_Emp!$C:$C,"*" &amp;#REF! &amp; "*")</f>
        <v>0</v>
      </c>
      <c r="H49" s="43">
        <f>COUNTIF(S25_Emp!$C:$C,"*" &amp; A49 &amp; "*")</f>
        <v>1</v>
      </c>
      <c r="I49" s="43">
        <f>COUNTIF(F24_Emp!$C:$C,"*" &amp; B49 &amp; "*")</f>
        <v>0</v>
      </c>
      <c r="J49" s="43">
        <f>COUNTIF(S24_Emp!$C:$C,"*" &amp; $A49 &amp; "*")</f>
        <v>2</v>
      </c>
      <c r="K49" s="43">
        <f>COUNTIF(F23_Emp!$C:$C,"*" &amp; $A49 &amp; "*")</f>
        <v>1</v>
      </c>
      <c r="L49" s="43">
        <f>COUNTIF(S23_Emp!$C:$C,"*" &amp; $A49 &amp; "*")</f>
        <v>0</v>
      </c>
      <c r="M49" s="43">
        <f>COUNTIF(F22_Emp!$C:$C,"*" &amp; $A49 &amp; "*")</f>
        <v>1</v>
      </c>
      <c r="N49" s="43">
        <f>COUNTIF(S22_Emp!$C:$C,"*" &amp; $A49 &amp; "*")</f>
        <v>2</v>
      </c>
      <c r="O49" s="43" t="str">
        <f>COUNTIFS(S22_Emp!$C:$C,"*" &amp; $A49 &amp; "*", S22_S25_Emp!$B:$B, "Bachelor")</f>
        <v>#VALUE!</v>
      </c>
      <c r="P49" s="43" t="str">
        <f>COUNTIFS(S22_Emp!$C:$C,"*" &amp; $A49 &amp; "*", S22_S25_Emp!$B:$B, "Master")</f>
        <v>#VALUE!</v>
      </c>
      <c r="Q49" s="43" t="str">
        <f>COUNTIFS(S22_Emp!$C:$C,"*" &amp; $A49 &amp; "*", S22_S25_Emp!$B:$B, "Doctorate")</f>
        <v>#VALUE!</v>
      </c>
      <c r="R49" s="43" t="str">
        <f t="array" ref="R49">IF(OR(INDEX(S26_CF!X:X, MATCH("*" &amp; $A49 &amp; "*", CompanyList!A:A, 0))=TRUE, INDEX(F25_CF!P:P, MATCH("*" &amp; $A49 &amp; "*", CompanyList!A:A, 0))=TRUE, INDEX(S25_CF!T:T, MATCH("*" &amp; $A49 &amp; "*", CompanyList!A:A, 0))=TRUE, INDEX(S24_CF!W:W, MATCH("*" &amp; $A49 &amp; "*", CompanyList!A:A, 0))=TRUE), "Yes", "No")</f>
        <v>No</v>
      </c>
      <c r="S49" s="43" t="str">
        <f>IF(COUNTIF(S26_CF!$A:$A,"*" &amp; $A49 &amp; "*") &lt;&gt; 0, "Yes", "No")</f>
        <v>Yes</v>
      </c>
      <c r="T49" s="43" t="str">
        <f t="array" ref="T49">INDEX(S26_CF!K:K, MATCH("*" &amp; $A49 &amp; "*", S26_CF!A:A, 0))</f>
        <v>Basic One-Day: Thursday, January 29th [$1000.00]</v>
      </c>
      <c r="U49" s="43" t="str">
        <f>IF(COUNTIF(F25_CF!$A:$A,"*" &amp; $A49 &amp; "*") &lt;&gt; 0, "Yes", "No")</f>
        <v>Yes</v>
      </c>
      <c r="V49" s="43" t="str">
        <f t="array" ref="V49">INDEX(F25_CF!I:I, MATCH("*" &amp; $A49 &amp; "*", F25_CF!$A:$A, 0))</f>
        <v>Basic One-Day: Thursday, September 11th [$1000.00]</v>
      </c>
      <c r="W49" s="43" t="str">
        <f>IF(COUNTIF(S25_CF!$A:$A,"*" &amp; $A49 &amp; "*") &lt;&gt; 0, "Yes", "No")</f>
        <v>Yes</v>
      </c>
      <c r="X49" s="43" t="str">
        <f t="array" ref="X49">INDEX(S25_CF!J:J, MATCH("*" &amp; $A49 &amp; "*", S25_CF!$A:$A, 0))</f>
        <v>Basic One-Day: Thursday, January 23rd [$1000.00]</v>
      </c>
      <c r="Y49" s="43" t="str">
        <f>IF(COUNTIF(F24_CF!$A:$A,"*" &amp; $A49 &amp; "*") &lt;&gt; 0, "Yes", "No")</f>
        <v>Yes</v>
      </c>
      <c r="Z49" s="43" t="str">
        <f t="array" ref="Z49">INDEX(F24_CF!N:N, MATCH("*" &amp; $A49 &amp; "*", F24_CF!$A:$A, 0))</f>
        <v>Basic One-Day: Thursday, September 5th [$1000.00]</v>
      </c>
      <c r="AA49" s="43" t="str">
        <f>IF(COUNTIF(S24_CF!$A:$A,"*" &amp; $A49 &amp; "*") &lt;&gt; 0, "Yes", "No")</f>
        <v>Yes</v>
      </c>
      <c r="AB49" s="43" t="str">
        <f t="array" ref="AB49">INDEX(S24_CF!H:H, MATCH("*" &amp; $A49 &amp; "*", S24_CF!$A:$A, 0))</f>
        <v>Basic One-Day [$1000.00]</v>
      </c>
    </row>
    <row r="50" ht="15.0" customHeight="1">
      <c r="A50" s="52" t="s">
        <v>104</v>
      </c>
      <c r="B50" s="43" t="s">
        <v>52</v>
      </c>
      <c r="C50" s="43"/>
      <c r="D50" s="43"/>
      <c r="E50" s="43"/>
      <c r="F50" s="43">
        <f>COUNTIF(S26_Emp!$C:$C,"*" &amp;A50 &amp; "*")</f>
        <v>0</v>
      </c>
      <c r="G50" s="43">
        <f>COUNTIF(F25_Emp!$C:$C,"*" &amp;#REF! &amp; "*")</f>
        <v>0</v>
      </c>
      <c r="H50" s="43">
        <f>COUNTIF(S25_Emp!$C:$C,"*" &amp; A50 &amp; "*")</f>
        <v>0</v>
      </c>
      <c r="I50" s="43">
        <f>COUNTIF(F24_Emp!$C:$C,"*" &amp; B50 &amp; "*")</f>
        <v>0</v>
      </c>
      <c r="J50" s="43">
        <f>COUNTIF(S24_Emp!$C:$C,"*" &amp; $A50 &amp; "*")</f>
        <v>0</v>
      </c>
      <c r="K50" s="43">
        <f>COUNTIF(F23_Emp!$C:$C,"*" &amp; $A50 &amp; "*")</f>
        <v>0</v>
      </c>
      <c r="L50" s="43">
        <f>COUNTIF(S23_Emp!$C:$C,"*" &amp; $A50 &amp; "*")</f>
        <v>0</v>
      </c>
      <c r="M50" s="43">
        <f>COUNTIF(F22_Emp!$C:$C,"*" &amp; $A50 &amp; "*")</f>
        <v>0</v>
      </c>
      <c r="N50" s="43">
        <f>COUNTIF(S22_Emp!$C:$C,"*" &amp; $A50 &amp; "*")</f>
        <v>0</v>
      </c>
      <c r="O50" s="43" t="str">
        <f>COUNTIFS(S22_Emp!$C:$C,"*" &amp; $A50 &amp; "*", S22_S25_Emp!$B:$B, "Bachelor")</f>
        <v>#VALUE!</v>
      </c>
      <c r="P50" s="43" t="str">
        <f>COUNTIFS(S22_Emp!$C:$C,"*" &amp; $A50 &amp; "*", S22_S25_Emp!$B:$B, "Master")</f>
        <v>#VALUE!</v>
      </c>
      <c r="Q50" s="43" t="str">
        <f>COUNTIFS(S22_Emp!$C:$C,"*" &amp; $A50 &amp; "*", S22_S25_Emp!$B:$B, "Doctorate")</f>
        <v>#VALUE!</v>
      </c>
      <c r="R50" s="43" t="str">
        <f t="array" ref="R50">IF(OR(INDEX(S26_CF!X:X, MATCH("*" &amp; $A50 &amp; "*", CompanyList!A:A, 0))=TRUE, INDEX(F25_CF!P:P, MATCH("*" &amp; $A50 &amp; "*", CompanyList!A:A, 0))=TRUE, INDEX(S25_CF!T:T, MATCH("*" &amp; $A50 &amp; "*", CompanyList!A:A, 0))=TRUE, INDEX(S24_CF!W:W, MATCH("*" &amp; $A50 &amp; "*", CompanyList!A:A, 0))=TRUE), "Yes", "No")</f>
        <v>No</v>
      </c>
      <c r="S50" s="43" t="str">
        <f>IF(COUNTIF(S26_CF!$A:$A,"*" &amp; $A50 &amp; "*") &lt;&gt; 0, "Yes", "No")</f>
        <v>Yes</v>
      </c>
      <c r="T50" s="43" t="str">
        <f t="array" ref="T50">INDEX(S26_CF!K:K, MATCH("*" &amp; $A50 &amp; "*", S26_CF!A:A, 0))</f>
        <v>Basic One-Day: Thursday, January 29th [$1000.00]</v>
      </c>
      <c r="U50" s="43" t="str">
        <f>IF(COUNTIF(F25_CF!$A:$A,"*" &amp; $A50 &amp; "*") &lt;&gt; 0, "Yes", "No")</f>
        <v>Yes</v>
      </c>
      <c r="V50" s="43" t="str">
        <f t="array" ref="V50">INDEX(F25_CF!I:I, MATCH("*" &amp; $A50 &amp; "*", F25_CF!$A:$A, 0))</f>
        <v>Basic One-Day: Thursday, September 11th [$1000.00]</v>
      </c>
      <c r="W50" s="43" t="str">
        <f>IF(COUNTIF(S25_CF!$A:$A,"*" &amp; $A50 &amp; "*") &lt;&gt; 0, "Yes", "No")</f>
        <v>Yes</v>
      </c>
      <c r="X50" s="43" t="str">
        <f t="array" ref="X50">INDEX(S25_CF!J:J, MATCH("*" &amp; $A50 &amp; "*", S25_CF!$A:$A, 0))</f>
        <v>Basic One-Day: Wednesday, January 22nd [$1000.00]</v>
      </c>
      <c r="Y50" s="43" t="str">
        <f>IF(COUNTIF(F24_CF!$A:$A,"*" &amp; $A50 &amp; "*") &lt;&gt; 0, "Yes", "No")</f>
        <v>No</v>
      </c>
      <c r="Z50" s="43" t="str">
        <f t="array" ref="Z50">INDEX(F24_CF!N:N, MATCH("*" &amp; $A50 &amp; "*", F24_CF!$A:$A, 0))</f>
        <v>#N/A</v>
      </c>
      <c r="AA50" s="43" t="str">
        <f>IF(COUNTIF(S24_CF!$A:$A,"*" &amp; $A50 &amp; "*") &lt;&gt; 0, "Yes", "No")</f>
        <v>Yes</v>
      </c>
      <c r="AB50" s="43" t="str">
        <f t="array" ref="AB50">INDEX(S24_CF!H:H, MATCH("*" &amp; $A50 &amp; "*", S24_CF!$A:$A, 0))</f>
        <v>Basic Two-Day [$2000.00]</v>
      </c>
    </row>
    <row r="51" ht="15.0" customHeight="1">
      <c r="A51" s="52" t="s">
        <v>105</v>
      </c>
      <c r="B51" s="43" t="s">
        <v>52</v>
      </c>
      <c r="C51" s="43"/>
      <c r="D51" s="43"/>
      <c r="E51" s="43"/>
      <c r="F51" s="43">
        <f>COUNTIF(S26_Emp!$C:$C,"*" &amp;A51 &amp; "*")</f>
        <v>0</v>
      </c>
      <c r="G51" s="43">
        <f>COUNTIF(F25_Emp!$C:$C,"*" &amp;#REF! &amp; "*")</f>
        <v>0</v>
      </c>
      <c r="H51" s="43">
        <f>COUNTIF(S25_Emp!$C:$C,"*" &amp; A51 &amp; "*")</f>
        <v>0</v>
      </c>
      <c r="I51" s="43">
        <f>COUNTIF(F24_Emp!$C:$C,"*" &amp; B51 &amp; "*")</f>
        <v>0</v>
      </c>
      <c r="J51" s="43">
        <f>COUNTIF(S24_Emp!$C:$C,"*" &amp; $A51 &amp; "*")</f>
        <v>0</v>
      </c>
      <c r="K51" s="43">
        <f>COUNTIF(F23_Emp!$C:$C,"*" &amp; $A51 &amp; "*")</f>
        <v>0</v>
      </c>
      <c r="L51" s="43">
        <f>COUNTIF(S23_Emp!$C:$C,"*" &amp; $A51 &amp; "*")</f>
        <v>0</v>
      </c>
      <c r="M51" s="43">
        <f>COUNTIF(F22_Emp!$C:$C,"*" &amp; $A51 &amp; "*")</f>
        <v>0</v>
      </c>
      <c r="N51" s="43">
        <f>COUNTIF(S22_Emp!$C:$C,"*" &amp; $A51 &amp; "*")</f>
        <v>0</v>
      </c>
      <c r="O51" s="43" t="str">
        <f>COUNTIFS(S22_Emp!$C:$C,"*" &amp; $A51 &amp; "*", S22_S25_Emp!$B:$B, "Bachelor")</f>
        <v>#VALUE!</v>
      </c>
      <c r="P51" s="43" t="str">
        <f>COUNTIFS(S22_Emp!$C:$C,"*" &amp; $A51 &amp; "*", S22_S25_Emp!$B:$B, "Master")</f>
        <v>#VALUE!</v>
      </c>
      <c r="Q51" s="43" t="str">
        <f>COUNTIFS(S22_Emp!$C:$C,"*" &amp; $A51 &amp; "*", S22_S25_Emp!$B:$B, "Doctorate")</f>
        <v>#VALUE!</v>
      </c>
      <c r="R51" s="43" t="str">
        <f t="array" ref="R51">IF(OR(INDEX(S26_CF!X:X, MATCH("*" &amp; $A51 &amp; "*", CompanyList!A:A, 0))=TRUE, INDEX(F25_CF!P:P, MATCH("*" &amp; $A51 &amp; "*", CompanyList!A:A, 0))=TRUE, INDEX(S25_CF!T:T, MATCH("*" &amp; $A51 &amp; "*", CompanyList!A:A, 0))=TRUE, INDEX(S24_CF!W:W, MATCH("*" &amp; $A51 &amp; "*", CompanyList!A:A, 0))=TRUE), "Yes", "No")</f>
        <v>No</v>
      </c>
      <c r="S51" s="43" t="str">
        <f>IF(COUNTIF(S26_CF!$A:$A,"*" &amp; $A51 &amp; "*") &lt;&gt; 0, "Yes", "No")</f>
        <v>No</v>
      </c>
      <c r="T51" s="43" t="str">
        <f t="array" ref="T51">INDEX(S26_CF!K:K, MATCH("*" &amp; $A51 &amp; "*", S26_CF!A:A, 0))</f>
        <v>#N/A</v>
      </c>
      <c r="U51" s="43" t="str">
        <f>IF(COUNTIF(F25_CF!$A:$A,"*" &amp; $A51 &amp; "*") &lt;&gt; 0, "Yes", "No")</f>
        <v>Yes</v>
      </c>
      <c r="V51" s="43" t="str">
        <f t="array" ref="V51">INDEX(F25_CF!I:I, MATCH("*" &amp; $A51 &amp; "*", F25_CF!$A:$A, 0))</f>
        <v>Silver One-Day: Wednesday, September 10th [$1800.00]</v>
      </c>
      <c r="W51" s="43" t="str">
        <f>IF(COUNTIF(S25_CF!$A:$A,"*" &amp; $A51 &amp; "*") &lt;&gt; 0, "Yes", "No")</f>
        <v>Yes</v>
      </c>
      <c r="X51" s="43" t="str">
        <f t="array" ref="X51">INDEX(S25_CF!J:J, MATCH("*" &amp; $A51 &amp; "*", S25_CF!$A:$A, 0))</f>
        <v>Silver One-Day: Wednesday, January 22nd [$1800.00]</v>
      </c>
      <c r="Y51" s="43" t="str">
        <f>IF(COUNTIF(F24_CF!$A:$A,"*" &amp; $A51 &amp; "*") &lt;&gt; 0, "Yes", "No")</f>
        <v>No</v>
      </c>
      <c r="Z51" s="43" t="str">
        <f t="array" ref="Z51">INDEX(F24_CF!N:N, MATCH("*" &amp; $A51 &amp; "*", F24_CF!$A:$A, 0))</f>
        <v>#N/A</v>
      </c>
      <c r="AA51" s="43" t="str">
        <f>IF(COUNTIF(S24_CF!$A:$A,"*" &amp; $A51 &amp; "*") &lt;&gt; 0, "Yes", "No")</f>
        <v>Yes</v>
      </c>
      <c r="AB51" s="43" t="str">
        <f t="array" ref="AB51">INDEX(S24_CF!H:H, MATCH("*" &amp; $A51 &amp; "*", S24_CF!$A:$A, 0))</f>
        <v>Basic One-Day [$1000.00]</v>
      </c>
    </row>
    <row r="52" ht="15.0" customHeight="1">
      <c r="A52" s="52" t="s">
        <v>106</v>
      </c>
      <c r="B52" s="43" t="s">
        <v>52</v>
      </c>
      <c r="C52" s="43"/>
      <c r="D52" s="43"/>
      <c r="E52" s="43"/>
      <c r="F52" s="43">
        <f>COUNTIF(S26_Emp!$C:$C,"*" &amp;A52 &amp; "*")</f>
        <v>0</v>
      </c>
      <c r="G52" s="43">
        <f>COUNTIF(F25_Emp!$C:$C,"*" &amp;#REF! &amp; "*")</f>
        <v>0</v>
      </c>
      <c r="H52" s="43">
        <f>COUNTIF(S25_Emp!$C:$C,"*" &amp; A52 &amp; "*")</f>
        <v>0</v>
      </c>
      <c r="I52" s="43">
        <f>COUNTIF(F24_Emp!$C:$C,"*" &amp; B52 &amp; "*")</f>
        <v>0</v>
      </c>
      <c r="J52" s="43">
        <f>COUNTIF(S24_Emp!$C:$C,"*" &amp; $A52 &amp; "*")</f>
        <v>0</v>
      </c>
      <c r="K52" s="43">
        <f>COUNTIF(F23_Emp!$C:$C,"*" &amp; $A52 &amp; "*")</f>
        <v>1</v>
      </c>
      <c r="L52" s="43">
        <f>COUNTIF(S23_Emp!$C:$C,"*" &amp; $A52 &amp; "*")</f>
        <v>1</v>
      </c>
      <c r="M52" s="43">
        <f>COUNTIF(F22_Emp!$C:$C,"*" &amp; $A52 &amp; "*")</f>
        <v>0</v>
      </c>
      <c r="N52" s="43">
        <f>COUNTIF(S22_Emp!$C:$C,"*" &amp; $A52 &amp; "*")</f>
        <v>0</v>
      </c>
      <c r="O52" s="43" t="str">
        <f>COUNTIFS(S22_Emp!$C:$C,"*" &amp; $A52 &amp; "*", S22_S25_Emp!$B:$B, "Bachelor")</f>
        <v>#VALUE!</v>
      </c>
      <c r="P52" s="43" t="str">
        <f>COUNTIFS(S22_Emp!$C:$C,"*" &amp; $A52 &amp; "*", S22_S25_Emp!$B:$B, "Master")</f>
        <v>#VALUE!</v>
      </c>
      <c r="Q52" s="43" t="str">
        <f>COUNTIFS(S22_Emp!$C:$C,"*" &amp; $A52 &amp; "*", S22_S25_Emp!$B:$B, "Doctorate")</f>
        <v>#VALUE!</v>
      </c>
      <c r="R52" s="43" t="str">
        <f t="array" ref="R52">IF(OR(INDEX(S26_CF!X:X, MATCH("*" &amp; $A52 &amp; "*", CompanyList!A:A, 0))=TRUE, INDEX(F25_CF!P:P, MATCH("*" &amp; $A52 &amp; "*", CompanyList!A:A, 0))=TRUE, INDEX(S25_CF!T:T, MATCH("*" &amp; $A52 &amp; "*", CompanyList!A:A, 0))=TRUE, INDEX(S24_CF!W:W, MATCH("*" &amp; $A52 &amp; "*", CompanyList!A:A, 0))=TRUE), "Yes", "No")</f>
        <v>Yes</v>
      </c>
      <c r="S52" s="43" t="str">
        <f>IF(COUNTIF(S26_CF!$A:$A,"*" &amp; $A52 &amp; "*") &lt;&gt; 0, "Yes", "No")</f>
        <v>Yes</v>
      </c>
      <c r="T52" s="43" t="str">
        <f t="array" ref="T52">INDEX(S26_CF!K:K, MATCH("*" &amp; $A52 &amp; "*", S26_CF!A:A, 0))</f>
        <v>Gold Two-Day [$5500.00]</v>
      </c>
      <c r="U52" s="43" t="str">
        <f>IF(COUNTIF(F25_CF!$A:$A,"*" &amp; $A52 &amp; "*") &lt;&gt; 0, "Yes", "No")</f>
        <v>Yes</v>
      </c>
      <c r="V52" s="43" t="str">
        <f t="array" ref="V52">INDEX(F25_CF!I:I, MATCH("*" &amp; $A52 &amp; "*", F25_CF!$A:$A, 0))</f>
        <v>Gold Two-Day [$5500.00]</v>
      </c>
      <c r="W52" s="43" t="str">
        <f>IF(COUNTIF(S25_CF!$A:$A,"*" &amp; $A52 &amp; "*") &lt;&gt; 0, "Yes", "No")</f>
        <v>Yes</v>
      </c>
      <c r="X52" s="43" t="str">
        <f t="array" ref="X52">INDEX(S25_CF!J:J, MATCH("*" &amp; $A52 &amp; "*", S25_CF!$A:$A, 0))</f>
        <v>Gold Two-Day [$5500.00]</v>
      </c>
      <c r="Y52" s="43" t="str">
        <f>IF(COUNTIF(F24_CF!$A:$A,"*" &amp; $A52 &amp; "*") &lt;&gt; 0, "Yes", "No")</f>
        <v>Yes</v>
      </c>
      <c r="Z52" s="43" t="str">
        <f t="array" ref="Z52">INDEX(F24_CF!N:N, MATCH("*" &amp; $A52 &amp; "*", F24_CF!$A:$A, 0))</f>
        <v>Gold Two-Day [$5500.00]</v>
      </c>
      <c r="AA52" s="43" t="str">
        <f>IF(COUNTIF(S24_CF!$A:$A,"*" &amp; $A52 &amp; "*") &lt;&gt; 0, "Yes", "No")</f>
        <v>Yes</v>
      </c>
      <c r="AB52" s="43" t="str">
        <f t="array" ref="AB52">INDEX(S24_CF!H:H, MATCH("*" &amp; $A52 &amp; "*", S24_CF!$A:$A, 0))</f>
        <v>Gold Two-Day [$5000.00]</v>
      </c>
    </row>
    <row r="53" ht="15.0" customHeight="1">
      <c r="A53" s="52" t="s">
        <v>107</v>
      </c>
      <c r="B53" s="43" t="s">
        <v>52</v>
      </c>
      <c r="C53" s="43"/>
      <c r="D53" s="43"/>
      <c r="E53" s="43"/>
      <c r="F53" s="43">
        <f>COUNTIF(S26_Emp!$C:$C,"*" &amp;A53 &amp; "*")</f>
        <v>0</v>
      </c>
      <c r="G53" s="43">
        <f>COUNTIF(F25_Emp!$C:$C,"*" &amp;#REF! &amp; "*")</f>
        <v>0</v>
      </c>
      <c r="H53" s="43">
        <f>COUNTIF(S25_Emp!$C:$C,"*" &amp; A53 &amp; "*")</f>
        <v>0</v>
      </c>
      <c r="I53" s="43">
        <f>COUNTIF(F24_Emp!$C:$C,"*" &amp; B53 &amp; "*")</f>
        <v>0</v>
      </c>
      <c r="J53" s="43">
        <f>COUNTIF(S24_Emp!$C:$C,"*" &amp; $A53 &amp; "*")</f>
        <v>0</v>
      </c>
      <c r="K53" s="43">
        <f>COUNTIF(F23_Emp!$C:$C,"*" &amp; $A53 &amp; "*")</f>
        <v>0</v>
      </c>
      <c r="L53" s="43">
        <f>COUNTIF(S23_Emp!$C:$C,"*" &amp; $A53 &amp; "*")</f>
        <v>0</v>
      </c>
      <c r="M53" s="43">
        <f>COUNTIF(F22_Emp!$C:$C,"*" &amp; $A53 &amp; "*")</f>
        <v>0</v>
      </c>
      <c r="N53" s="43">
        <f>COUNTIF(S22_Emp!$C:$C,"*" &amp; $A53 &amp; "*")</f>
        <v>0</v>
      </c>
      <c r="O53" s="43" t="str">
        <f>COUNTIFS(S22_Emp!$C:$C,"*" &amp; $A53 &amp; "*", S22_S25_Emp!$B:$B, "Bachelor")</f>
        <v>#VALUE!</v>
      </c>
      <c r="P53" s="43" t="str">
        <f>COUNTIFS(S22_Emp!$C:$C,"*" &amp; $A53 &amp; "*", S22_S25_Emp!$B:$B, "Master")</f>
        <v>#VALUE!</v>
      </c>
      <c r="Q53" s="43" t="str">
        <f>COUNTIFS(S22_Emp!$C:$C,"*" &amp; $A53 &amp; "*", S22_S25_Emp!$B:$B, "Doctorate")</f>
        <v>#VALUE!</v>
      </c>
      <c r="R53" s="43" t="str">
        <f t="array" ref="R53">IF(OR(INDEX(S26_CF!X:X, MATCH("*" &amp; $A53 &amp; "*", CompanyList!A:A, 0))=TRUE, INDEX(F25_CF!P:P, MATCH("*" &amp; $A53 &amp; "*", CompanyList!A:A, 0))=TRUE, INDEX(S25_CF!T:T, MATCH("*" &amp; $A53 &amp; "*", CompanyList!A:A, 0))=TRUE, INDEX(S24_CF!W:W, MATCH("*" &amp; $A53 &amp; "*", CompanyList!A:A, 0))=TRUE), "Yes", "No")</f>
        <v>No</v>
      </c>
      <c r="S53" s="43" t="str">
        <f>IF(COUNTIF(S26_CF!$A:$A,"*" &amp; $A53 &amp; "*") &lt;&gt; 0, "Yes", "No")</f>
        <v>No</v>
      </c>
      <c r="T53" s="43" t="str">
        <f t="array" ref="T53">INDEX(S26_CF!K:K, MATCH("*" &amp; $A53 &amp; "*", S26_CF!A:A, 0))</f>
        <v>#N/A</v>
      </c>
      <c r="U53" s="43" t="str">
        <f>IF(COUNTIF(F25_CF!$A:$A,"*" &amp; $A53 &amp; "*") &lt;&gt; 0, "Yes", "No")</f>
        <v>No</v>
      </c>
      <c r="V53" s="43" t="str">
        <f t="array" ref="V53">INDEX(F25_CF!I:I, MATCH("*" &amp; $A53 &amp; "*", F25_CF!$A:$A, 0))</f>
        <v>#N/A</v>
      </c>
      <c r="W53" s="43" t="str">
        <f>IF(COUNTIF(S25_CF!$A:$A,"*" &amp; $A53 &amp; "*") &lt;&gt; 0, "Yes", "No")</f>
        <v>Yes</v>
      </c>
      <c r="X53" s="43" t="str">
        <f t="array" ref="X53">INDEX(S25_CF!J:J, MATCH("*" &amp; $A53 &amp; "*", S25_CF!$A:$A, 0))</f>
        <v>Basic One-Day: Wednesday, January 22nd [$1000.00]</v>
      </c>
      <c r="Y53" s="43" t="str">
        <f>IF(COUNTIF(F24_CF!$A:$A,"*" &amp; $A53 &amp; "*") &lt;&gt; 0, "Yes", "No")</f>
        <v>Yes</v>
      </c>
      <c r="Z53" s="43" t="str">
        <f t="array" ref="Z53">INDEX(F24_CF!N:N, MATCH("*" &amp; $A53 &amp; "*", F24_CF!$A:$A, 0))</f>
        <v>Basic One-Day: Thursday, September 5th [$1000.00]</v>
      </c>
      <c r="AA53" s="43" t="str">
        <f>IF(COUNTIF(S24_CF!$A:$A,"*" &amp; $A53 &amp; "*") &lt;&gt; 0, "Yes", "No")</f>
        <v>Yes</v>
      </c>
      <c r="AB53" s="43" t="str">
        <f t="array" ref="AB53">INDEX(S24_CF!H:H, MATCH("*" &amp; $A53 &amp; "*", S24_CF!$A:$A, 0))</f>
        <v>Basic One-Day [$1000.00]</v>
      </c>
    </row>
    <row r="54" ht="15.0" customHeight="1">
      <c r="A54" s="52" t="s">
        <v>108</v>
      </c>
      <c r="B54" s="43" t="s">
        <v>61</v>
      </c>
      <c r="C54" s="43"/>
      <c r="D54" s="43">
        <v>16500.0</v>
      </c>
      <c r="E54" s="43"/>
      <c r="F54" s="43">
        <f>COUNTIF(S26_Emp!$C:$C,"*" &amp;A54 &amp; "*")</f>
        <v>0</v>
      </c>
      <c r="G54" s="43">
        <f>COUNTIF(F25_Emp!$C:$C,"*" &amp;#REF! &amp; "*")</f>
        <v>0</v>
      </c>
      <c r="H54" s="43">
        <f>COUNTIF(S25_Emp!$C:$C,"*" &amp; A54 &amp; "*")</f>
        <v>0</v>
      </c>
      <c r="I54" s="43">
        <f>COUNTIF(F24_Emp!$C:$C,"*" &amp; B54 &amp; "*")</f>
        <v>0</v>
      </c>
      <c r="J54" s="43">
        <f>COUNTIF(S24_Emp!$C:$C,"*" &amp; $A54 &amp; "*")</f>
        <v>1</v>
      </c>
      <c r="K54" s="43">
        <f>COUNTIF(F23_Emp!$C:$C,"*" &amp; $A54 &amp; "*")</f>
        <v>0</v>
      </c>
      <c r="L54" s="43">
        <f>COUNTIF(S23_Emp!$C:$C,"*" &amp; $A54 &amp; "*")</f>
        <v>0</v>
      </c>
      <c r="M54" s="43">
        <f>COUNTIF(F22_Emp!$C:$C,"*" &amp; $A54 &amp; "*")</f>
        <v>0</v>
      </c>
      <c r="N54" s="43">
        <f>COUNTIF(S22_Emp!$C:$C,"*" &amp; $A54 &amp; "*")</f>
        <v>0</v>
      </c>
      <c r="O54" s="43" t="str">
        <f>COUNTIFS(S22_Emp!$C:$C,"*" &amp; $A54 &amp; "*", S22_S25_Emp!$B:$B, "Bachelor")</f>
        <v>#VALUE!</v>
      </c>
      <c r="P54" s="43" t="str">
        <f>COUNTIFS(S22_Emp!$C:$C,"*" &amp; $A54 &amp; "*", S22_S25_Emp!$B:$B, "Master")</f>
        <v>#VALUE!</v>
      </c>
      <c r="Q54" s="43" t="str">
        <f>COUNTIFS(S22_Emp!$C:$C,"*" &amp; $A54 &amp; "*", S22_S25_Emp!$B:$B, "Doctorate")</f>
        <v>#VALUE!</v>
      </c>
      <c r="R54" s="43" t="str">
        <f t="array" ref="R54">IF(OR(INDEX(S26_CF!X:X, MATCH("*" &amp; $A54 &amp; "*", CompanyList!A:A, 0))=TRUE, INDEX(F25_CF!P:P, MATCH("*" &amp; $A54 &amp; "*", CompanyList!A:A, 0))=TRUE, INDEX(S25_CF!T:T, MATCH("*" &amp; $A54 &amp; "*", CompanyList!A:A, 0))=TRUE, INDEX(S24_CF!W:W, MATCH("*" &amp; $A54 &amp; "*", CompanyList!A:A, 0))=TRUE), "Yes", "No")</f>
        <v>No</v>
      </c>
      <c r="S54" s="43" t="str">
        <f>IF(COUNTIF(S26_CF!$A:$A,"*" &amp; $A54 &amp; "*") &lt;&gt; 0, "Yes", "No")</f>
        <v>No</v>
      </c>
      <c r="T54" s="43" t="str">
        <f t="array" ref="T54">INDEX(S26_CF!K:K, MATCH("*" &amp; $A54 &amp; "*", S26_CF!A:A, 0))</f>
        <v>#N/A</v>
      </c>
      <c r="U54" s="43" t="str">
        <f>IF(COUNTIF(F25_CF!$A:$A,"*" &amp; $A54 &amp; "*") &lt;&gt; 0, "Yes", "No")</f>
        <v>No</v>
      </c>
      <c r="V54" s="43" t="str">
        <f t="array" ref="V54">INDEX(F25_CF!I:I, MATCH("*" &amp; $A54 &amp; "*", F25_CF!$A:$A, 0))</f>
        <v>#N/A</v>
      </c>
      <c r="W54" s="43" t="str">
        <f>IF(COUNTIF(S25_CF!$A:$A,"*" &amp; $A54 &amp; "*") &lt;&gt; 0, "Yes", "No")</f>
        <v>Yes</v>
      </c>
      <c r="X54" s="43" t="str">
        <f t="array" ref="X54">INDEX(S25_CF!J:J, MATCH("*" &amp; $A54 &amp; "*", S25_CF!$A:$A, 0))</f>
        <v>Basic One-Day: Thursday, January 23rd [$1000.00]</v>
      </c>
      <c r="Y54" s="43" t="str">
        <f>IF(COUNTIF(F24_CF!$A:$A,"*" &amp; $A54 &amp; "*") &lt;&gt; 0, "Yes", "No")</f>
        <v>Yes</v>
      </c>
      <c r="Z54" s="43" t="str">
        <f t="array" ref="Z54">INDEX(F24_CF!N:N, MATCH("*" &amp; $A54 &amp; "*", F24_CF!$A:$A, 0))</f>
        <v>Basic One-Day: Wednesday, September 4th [$1000.00]</v>
      </c>
      <c r="AA54" s="43" t="str">
        <f>IF(COUNTIF(S24_CF!$A:$A,"*" &amp; $A54 &amp; "*") &lt;&gt; 0, "Yes", "No")</f>
        <v>Yes</v>
      </c>
      <c r="AB54" s="43" t="str">
        <f t="array" ref="AB54">INDEX(S24_CF!H:H, MATCH("*" &amp; $A54 &amp; "*", S24_CF!$A:$A, 0))</f>
        <v>Basic One-Day [$1000.00]</v>
      </c>
    </row>
    <row r="55" ht="15.0" customHeight="1">
      <c r="A55" s="52" t="s">
        <v>109</v>
      </c>
      <c r="B55" s="43" t="s">
        <v>52</v>
      </c>
      <c r="C55" s="43"/>
      <c r="D55" s="43"/>
      <c r="E55" s="43"/>
      <c r="F55" s="43">
        <f>COUNTIF(S26_Emp!$C:$C,"*" &amp;A55 &amp; "*")</f>
        <v>0</v>
      </c>
      <c r="G55" s="43">
        <f>COUNTIF(F25_Emp!$C:$C,"*" &amp;#REF! &amp; "*")</f>
        <v>0</v>
      </c>
      <c r="H55" s="43">
        <f>COUNTIF(S25_Emp!$C:$C,"*" &amp; A55 &amp; "*")</f>
        <v>0</v>
      </c>
      <c r="I55" s="43">
        <f>COUNTIF(F24_Emp!$C:$C,"*" &amp; B55 &amp; "*")</f>
        <v>0</v>
      </c>
      <c r="J55" s="43">
        <f>COUNTIF(S24_Emp!$C:$C,"*" &amp; $A55 &amp; "*")</f>
        <v>0</v>
      </c>
      <c r="K55" s="43">
        <f>COUNTIF(F23_Emp!$C:$C,"*" &amp; $A55 &amp; "*")</f>
        <v>0</v>
      </c>
      <c r="L55" s="43">
        <f>COUNTIF(S23_Emp!$C:$C,"*" &amp; $A55 &amp; "*")</f>
        <v>0</v>
      </c>
      <c r="M55" s="43">
        <f>COUNTIF(F22_Emp!$C:$C,"*" &amp; $A55 &amp; "*")</f>
        <v>0</v>
      </c>
      <c r="N55" s="43">
        <f>COUNTIF(S22_Emp!$C:$C,"*" &amp; $A55 &amp; "*")</f>
        <v>0</v>
      </c>
      <c r="O55" s="43" t="str">
        <f>COUNTIFS(S22_Emp!$C:$C,"*" &amp; $A55 &amp; "*", S22_S25_Emp!$B:$B, "Bachelor")</f>
        <v>#VALUE!</v>
      </c>
      <c r="P55" s="43" t="str">
        <f>COUNTIFS(S22_Emp!$C:$C,"*" &amp; $A55 &amp; "*", S22_S25_Emp!$B:$B, "Master")</f>
        <v>#VALUE!</v>
      </c>
      <c r="Q55" s="43" t="str">
        <f>COUNTIFS(S22_Emp!$C:$C,"*" &amp; $A55 &amp; "*", S22_S25_Emp!$B:$B, "Doctorate")</f>
        <v>#VALUE!</v>
      </c>
      <c r="R55" s="43" t="str">
        <f t="array" ref="R55">IF(OR(INDEX(S26_CF!X:X, MATCH("*" &amp; $A55 &amp; "*", CompanyList!A:A, 0))=TRUE, INDEX(F25_CF!P:P, MATCH("*" &amp; $A55 &amp; "*", CompanyList!A:A, 0))=TRUE, INDEX(S25_CF!T:T, MATCH("*" &amp; $A55 &amp; "*", CompanyList!A:A, 0))=TRUE, INDEX(S24_CF!W:W, MATCH("*" &amp; $A55 &amp; "*", CompanyList!A:A, 0))=TRUE), "Yes", "No")</f>
        <v>Yes</v>
      </c>
      <c r="S55" s="43" t="str">
        <f>IF(COUNTIF(S26_CF!$A:$A,"*" &amp; $A55 &amp; "*") &lt;&gt; 0, "Yes", "No")</f>
        <v>No</v>
      </c>
      <c r="T55" s="43" t="str">
        <f t="array" ref="T55">INDEX(S26_CF!K:K, MATCH("*" &amp; $A55 &amp; "*", S26_CF!A:A, 0))</f>
        <v>#N/A</v>
      </c>
      <c r="U55" s="43" t="str">
        <f>IF(COUNTIF(F25_CF!$A:$A,"*" &amp; $A55 &amp; "*") &lt;&gt; 0, "Yes", "No")</f>
        <v>Yes</v>
      </c>
      <c r="V55" s="43" t="str">
        <f t="array" ref="V55">INDEX(F25_CF!I:I, MATCH("*" &amp; $A55 &amp; "*", F25_CF!$A:$A, 0))</f>
        <v>Basic One-Day: Thursday, September 11th [$1000.00]</v>
      </c>
      <c r="W55" s="43" t="str">
        <f>IF(COUNTIF(S25_CF!$A:$A,"*" &amp; $A55 &amp; "*") &lt;&gt; 0, "Yes", "No")</f>
        <v>Yes</v>
      </c>
      <c r="X55" s="43" t="str">
        <f t="array" ref="X55">INDEX(S25_CF!J:J, MATCH("*" &amp; $A55 &amp; "*", S25_CF!$A:$A, 0))</f>
        <v>Basic One-Day: Wednesday, January 22nd [$1000.00]</v>
      </c>
      <c r="Y55" s="43" t="str">
        <f>IF(COUNTIF(F24_CF!$A:$A,"*" &amp; $A55 &amp; "*") &lt;&gt; 0, "Yes", "No")</f>
        <v>No</v>
      </c>
      <c r="Z55" s="43" t="str">
        <f t="array" ref="Z55">INDEX(F24_CF!N:N, MATCH("*" &amp; $A55 &amp; "*", F24_CF!$A:$A, 0))</f>
        <v>#N/A</v>
      </c>
      <c r="AA55" s="43" t="str">
        <f>IF(COUNTIF(S24_CF!$A:$A,"*" &amp; $A55 &amp; "*") &lt;&gt; 0, "Yes", "No")</f>
        <v>Yes</v>
      </c>
      <c r="AB55" s="43" t="str">
        <f t="array" ref="AB55">INDEX(S24_CF!H:H, MATCH("*" &amp; $A55 &amp; "*", S24_CF!$A:$A, 0))</f>
        <v>Basic One-Day [$1000.00]</v>
      </c>
    </row>
    <row r="56" ht="15.0" customHeight="1">
      <c r="A56" s="52" t="s">
        <v>110</v>
      </c>
      <c r="B56" s="43" t="s">
        <v>52</v>
      </c>
      <c r="C56" s="43"/>
      <c r="D56" s="43"/>
      <c r="E56" s="43"/>
      <c r="F56" s="43">
        <f>COUNTIF(S26_Emp!$C:$C,"*" &amp;A56 &amp; "*")</f>
        <v>0</v>
      </c>
      <c r="G56" s="43">
        <f>COUNTIF(F25_Emp!$C:$C,"*" &amp;#REF! &amp; "*")</f>
        <v>0</v>
      </c>
      <c r="H56" s="43">
        <f>COUNTIF(S25_Emp!$C:$C,"*" &amp; A56 &amp; "*")</f>
        <v>0</v>
      </c>
      <c r="I56" s="43">
        <f>COUNTIF(F24_Emp!$C:$C,"*" &amp; B56 &amp; "*")</f>
        <v>0</v>
      </c>
      <c r="J56" s="43">
        <f>COUNTIF(S24_Emp!$C:$C,"*" &amp; $A56 &amp; "*")</f>
        <v>1</v>
      </c>
      <c r="K56" s="43">
        <f>COUNTIF(F23_Emp!$C:$C,"*" &amp; $A56 &amp; "*")</f>
        <v>0</v>
      </c>
      <c r="L56" s="43">
        <f>COUNTIF(S23_Emp!$C:$C,"*" &amp; $A56 &amp; "*")</f>
        <v>0</v>
      </c>
      <c r="M56" s="43">
        <f>COUNTIF(F22_Emp!$C:$C,"*" &amp; $A56 &amp; "*")</f>
        <v>1</v>
      </c>
      <c r="N56" s="43">
        <f>COUNTIF(S22_Emp!$C:$C,"*" &amp; $A56 &amp; "*")</f>
        <v>0</v>
      </c>
      <c r="O56" s="43" t="str">
        <f>COUNTIFS(S22_Emp!$C:$C,"*" &amp; $A56 &amp; "*", S22_S25_Emp!$B:$B, "Bachelor")</f>
        <v>#VALUE!</v>
      </c>
      <c r="P56" s="43" t="str">
        <f>COUNTIFS(S22_Emp!$C:$C,"*" &amp; $A56 &amp; "*", S22_S25_Emp!$B:$B, "Master")</f>
        <v>#VALUE!</v>
      </c>
      <c r="Q56" s="43" t="str">
        <f>COUNTIFS(S22_Emp!$C:$C,"*" &amp; $A56 &amp; "*", S22_S25_Emp!$B:$B, "Doctorate")</f>
        <v>#VALUE!</v>
      </c>
      <c r="R56" s="43" t="str">
        <f t="array" ref="R56">IF(OR(INDEX(S26_CF!X:X, MATCH("*" &amp; $A56 &amp; "*", CompanyList!A:A, 0))=TRUE, INDEX(F25_CF!P:P, MATCH("*" &amp; $A56 &amp; "*", CompanyList!A:A, 0))=TRUE, INDEX(S25_CF!T:T, MATCH("*" &amp; $A56 &amp; "*", CompanyList!A:A, 0))=TRUE, INDEX(S24_CF!W:W, MATCH("*" &amp; $A56 &amp; "*", CompanyList!A:A, 0))=TRUE), "Yes", "No")</f>
        <v>No</v>
      </c>
      <c r="S56" s="43" t="str">
        <f>IF(COUNTIF(S26_CF!$A:$A,"*" &amp; $A56 &amp; "*") &lt;&gt; 0, "Yes", "No")</f>
        <v>Yes</v>
      </c>
      <c r="T56" s="43" t="str">
        <f t="array" ref="T56">INDEX(S26_CF!K:K, MATCH("*" &amp; $A56 &amp; "*", S26_CF!A:A, 0))</f>
        <v>Basic One-Day: Thursday, January 29th [$1000.00]</v>
      </c>
      <c r="U56" s="43" t="str">
        <f>IF(COUNTIF(F25_CF!$A:$A,"*" &amp; $A56 &amp; "*") &lt;&gt; 0, "Yes", "No")</f>
        <v>Yes</v>
      </c>
      <c r="V56" s="43" t="str">
        <f t="array" ref="V56">INDEX(F25_CF!I:I, MATCH("*" &amp; $A56 &amp; "*", F25_CF!$A:$A, 0))</f>
        <v>Basic One-Day: Wednesday, September 10th [$1000.00]</v>
      </c>
      <c r="W56" s="43" t="str">
        <f>IF(COUNTIF(S25_CF!$A:$A,"*" &amp; $A56 &amp; "*") &lt;&gt; 0, "Yes", "No")</f>
        <v>Yes</v>
      </c>
      <c r="X56" s="43" t="str">
        <f t="array" ref="X56">INDEX(S25_CF!J:J, MATCH("*" &amp; $A56 &amp; "*", S25_CF!$A:$A, 0))</f>
        <v>Basic One-Day: Thursday, January 23rd [$1000.00]</v>
      </c>
      <c r="Y56" s="43" t="str">
        <f>IF(COUNTIF(F24_CF!$A:$A,"*" &amp; $A56 &amp; "*") &lt;&gt; 0, "Yes", "No")</f>
        <v>No</v>
      </c>
      <c r="Z56" s="43" t="str">
        <f t="array" ref="Z56">INDEX(F24_CF!N:N, MATCH("*" &amp; $A56 &amp; "*", F24_CF!$A:$A, 0))</f>
        <v>#N/A</v>
      </c>
      <c r="AA56" s="43" t="str">
        <f>IF(COUNTIF(S24_CF!$A:$A,"*" &amp; $A56 &amp; "*") &lt;&gt; 0, "Yes", "No")</f>
        <v>Yes</v>
      </c>
      <c r="AB56" s="43" t="str">
        <f t="array" ref="AB56">INDEX(S24_CF!H:H, MATCH("*" &amp; $A56 &amp; "*", S24_CF!$A:$A, 0))</f>
        <v>Basic One-Day [$1000.00]</v>
      </c>
    </row>
    <row r="57" ht="15.0" customHeight="1">
      <c r="A57" s="52" t="s">
        <v>111</v>
      </c>
      <c r="B57" s="43" t="s">
        <v>52</v>
      </c>
      <c r="C57" s="43"/>
      <c r="D57" s="43"/>
      <c r="E57" s="43"/>
      <c r="F57" s="43">
        <f>COUNTIF(S26_Emp!$C:$C,"*" &amp;A57 &amp; "*")</f>
        <v>0</v>
      </c>
      <c r="G57" s="43">
        <f>COUNTIF(F25_Emp!$C:$C,"*" &amp;#REF! &amp; "*")</f>
        <v>0</v>
      </c>
      <c r="H57" s="43">
        <f>COUNTIF(S25_Emp!$C:$C,"*" &amp; A57 &amp; "*")</f>
        <v>0</v>
      </c>
      <c r="I57" s="43">
        <f>COUNTIF(F24_Emp!$C:$C,"*" &amp; B57 &amp; "*")</f>
        <v>0</v>
      </c>
      <c r="J57" s="43">
        <f>COUNTIF(S24_Emp!$C:$C,"*" &amp; $A57 &amp; "*")</f>
        <v>1</v>
      </c>
      <c r="K57" s="43">
        <f>COUNTIF(F23_Emp!$C:$C,"*" &amp; $A57 &amp; "*")</f>
        <v>0</v>
      </c>
      <c r="L57" s="43">
        <f>COUNTIF(S23_Emp!$C:$C,"*" &amp; $A57 &amp; "*")</f>
        <v>0</v>
      </c>
      <c r="M57" s="43">
        <f>COUNTIF(F22_Emp!$C:$C,"*" &amp; $A57 &amp; "*")</f>
        <v>0</v>
      </c>
      <c r="N57" s="43">
        <f>COUNTIF(S22_Emp!$C:$C,"*" &amp; $A57 &amp; "*")</f>
        <v>0</v>
      </c>
      <c r="O57" s="43" t="str">
        <f>COUNTIFS(S22_Emp!$C:$C,"*" &amp; $A57 &amp; "*", S22_S25_Emp!$B:$B, "Bachelor")</f>
        <v>#VALUE!</v>
      </c>
      <c r="P57" s="43" t="str">
        <f>COUNTIFS(S22_Emp!$C:$C,"*" &amp; $A57 &amp; "*", S22_S25_Emp!$B:$B, "Master")</f>
        <v>#VALUE!</v>
      </c>
      <c r="Q57" s="43" t="str">
        <f>COUNTIFS(S22_Emp!$C:$C,"*" &amp; $A57 &amp; "*", S22_S25_Emp!$B:$B, "Doctorate")</f>
        <v>#VALUE!</v>
      </c>
      <c r="R57" s="43" t="str">
        <f t="array" ref="R57">IF(OR(INDEX(S26_CF!X:X, MATCH("*" &amp; $A57 &amp; "*", CompanyList!A:A, 0))=TRUE, INDEX(F25_CF!P:P, MATCH("*" &amp; $A57 &amp; "*", CompanyList!A:A, 0))=TRUE, INDEX(S25_CF!T:T, MATCH("*" &amp; $A57 &amp; "*", CompanyList!A:A, 0))=TRUE, INDEX(S24_CF!W:W, MATCH("*" &amp; $A57 &amp; "*", CompanyList!A:A, 0))=TRUE), "Yes", "No")</f>
        <v>No</v>
      </c>
      <c r="S57" s="43" t="str">
        <f>IF(COUNTIF(S26_CF!$A:$A,"*" &amp; $A57 &amp; "*") &lt;&gt; 0, "Yes", "No")</f>
        <v>No</v>
      </c>
      <c r="T57" s="43" t="str">
        <f t="array" ref="T57">INDEX(S26_CF!K:K, MATCH("*" &amp; $A57 &amp; "*", S26_CF!A:A, 0))</f>
        <v>#N/A</v>
      </c>
      <c r="U57" s="43" t="str">
        <f>IF(COUNTIF(F25_CF!$A:$A,"*" &amp; $A57 &amp; "*") &lt;&gt; 0, "Yes", "No")</f>
        <v>Yes</v>
      </c>
      <c r="V57" s="43" t="str">
        <f t="array" ref="V57">INDEX(F25_CF!I:I, MATCH("*" &amp; $A57 &amp; "*", F25_CF!$A:$A, 0))</f>
        <v>Silver One-Day: Thursday, September 11th [$1800.00]</v>
      </c>
      <c r="W57" s="43" t="str">
        <f>IF(COUNTIF(S25_CF!$A:$A,"*" &amp; $A57 &amp; "*") &lt;&gt; 0, "Yes", "No")</f>
        <v>Yes</v>
      </c>
      <c r="X57" s="43" t="str">
        <f t="array" ref="X57">INDEX(S25_CF!J:J, MATCH("*" &amp; $A57 &amp; "*", S25_CF!$A:$A, 0))</f>
        <v>Basic One-Day: Thursday, January 23rd [$1000.00]</v>
      </c>
      <c r="Y57" s="43" t="str">
        <f>IF(COUNTIF(F24_CF!$A:$A,"*" &amp; $A57 &amp; "*") &lt;&gt; 0, "Yes", "No")</f>
        <v>Yes</v>
      </c>
      <c r="Z57" s="43" t="str">
        <f t="array" ref="Z57">INDEX(F24_CF!N:N, MATCH("*" &amp; $A57 &amp; "*", F24_CF!$A:$A, 0))</f>
        <v>Basic One-Day: Wednesday, September 4th [$1000.00]</v>
      </c>
      <c r="AA57" s="43" t="str">
        <f>IF(COUNTIF(S24_CF!$A:$A,"*" &amp; $A57 &amp; "*") &lt;&gt; 0, "Yes", "No")</f>
        <v>Yes</v>
      </c>
      <c r="AB57" s="43" t="str">
        <f t="array" ref="AB57">INDEX(S24_CF!H:H, MATCH("*" &amp; $A57 &amp; "*", S24_CF!$A:$A, 0))</f>
        <v>Basic One-Day [$1000.00]</v>
      </c>
    </row>
    <row r="58" ht="15.0" customHeight="1">
      <c r="A58" s="52" t="s">
        <v>112</v>
      </c>
      <c r="B58" s="43" t="s">
        <v>52</v>
      </c>
      <c r="C58" s="43"/>
      <c r="D58" s="43"/>
      <c r="E58" s="43"/>
      <c r="F58" s="43">
        <f>COUNTIF(S26_Emp!$C:$C,"*" &amp;A58 &amp; "*")</f>
        <v>0</v>
      </c>
      <c r="G58" s="43">
        <f>COUNTIF(F25_Emp!$C:$C,"*" &amp;#REF! &amp; "*")</f>
        <v>0</v>
      </c>
      <c r="H58" s="43">
        <f>COUNTIF(S25_Emp!$C:$C,"*" &amp; A58 &amp; "*")</f>
        <v>0</v>
      </c>
      <c r="I58" s="43">
        <f>COUNTIF(F24_Emp!$C:$C,"*" &amp; B58 &amp; "*")</f>
        <v>0</v>
      </c>
      <c r="J58" s="43">
        <f>COUNTIF(S24_Emp!$C:$C,"*" &amp; $A58 &amp; "*")</f>
        <v>1</v>
      </c>
      <c r="K58" s="43">
        <f>COUNTIF(F23_Emp!$C:$C,"*" &amp; $A58 &amp; "*")</f>
        <v>0</v>
      </c>
      <c r="L58" s="43">
        <f>COUNTIF(S23_Emp!$C:$C,"*" &amp; $A58 &amp; "*")</f>
        <v>1</v>
      </c>
      <c r="M58" s="43">
        <f>COUNTIF(F22_Emp!$C:$C,"*" &amp; $A58 &amp; "*")</f>
        <v>1</v>
      </c>
      <c r="N58" s="43">
        <f>COUNTIF(S22_Emp!$C:$C,"*" &amp; $A58 &amp; "*")</f>
        <v>0</v>
      </c>
      <c r="O58" s="43" t="str">
        <f>COUNTIFS(S22_Emp!$C:$C,"*" &amp; $A58 &amp; "*", S22_S25_Emp!$B:$B, "Bachelor")</f>
        <v>#VALUE!</v>
      </c>
      <c r="P58" s="43" t="str">
        <f>COUNTIFS(S22_Emp!$C:$C,"*" &amp; $A58 &amp; "*", S22_S25_Emp!$B:$B, "Master")</f>
        <v>#VALUE!</v>
      </c>
      <c r="Q58" s="43" t="str">
        <f>COUNTIFS(S22_Emp!$C:$C,"*" &amp; $A58 &amp; "*", S22_S25_Emp!$B:$B, "Doctorate")</f>
        <v>#VALUE!</v>
      </c>
      <c r="R58" s="43" t="str">
        <f t="array" ref="R58">IF(OR(INDEX(S26_CF!X:X, MATCH("*" &amp; $A58 &amp; "*", CompanyList!A:A, 0))=TRUE, INDEX(F25_CF!P:P, MATCH("*" &amp; $A58 &amp; "*", CompanyList!A:A, 0))=TRUE, INDEX(S25_CF!T:T, MATCH("*" &amp; $A58 &amp; "*", CompanyList!A:A, 0))=TRUE, INDEX(S24_CF!W:W, MATCH("*" &amp; $A58 &amp; "*", CompanyList!A:A, 0))=TRUE), "Yes", "No")</f>
        <v>Yes</v>
      </c>
      <c r="S58" s="43" t="str">
        <f>IF(COUNTIF(S26_CF!$A:$A,"*" &amp; $A58 &amp; "*") &lt;&gt; 0, "Yes", "No")</f>
        <v>No</v>
      </c>
      <c r="T58" s="43" t="str">
        <f t="array" ref="T58">INDEX(S26_CF!K:K, MATCH("*" &amp; $A58 &amp; "*", S26_CF!A:A, 0))</f>
        <v>#N/A</v>
      </c>
      <c r="U58" s="43" t="str">
        <f>IF(COUNTIF(F25_CF!$A:$A,"*" &amp; $A58 &amp; "*") &lt;&gt; 0, "Yes", "No")</f>
        <v>Yes</v>
      </c>
      <c r="V58" s="43" t="str">
        <f t="array" ref="V58">INDEX(F25_CF!I:I, MATCH("*" &amp; $A58 &amp; "*", F25_CF!$A:$A, 0))</f>
        <v>Silver Two-Day [$3000.00]</v>
      </c>
      <c r="W58" s="43" t="str">
        <f>IF(COUNTIF(S25_CF!$A:$A,"*" &amp; $A58 &amp; "*") &lt;&gt; 0, "Yes", "No")</f>
        <v>Yes</v>
      </c>
      <c r="X58" s="43" t="str">
        <f t="array" ref="X58">INDEX(S25_CF!J:J, MATCH("*" &amp; $A58 &amp; "*", S25_CF!$A:$A, 0))</f>
        <v>Silver Two-Day [$3000.00]</v>
      </c>
      <c r="Y58" s="43" t="str">
        <f>IF(COUNTIF(F24_CF!$A:$A,"*" &amp; $A58 &amp; "*") &lt;&gt; 0, "Yes", "No")</f>
        <v>Yes</v>
      </c>
      <c r="Z58" s="43" t="str">
        <f t="array" ref="Z58">INDEX(F24_CF!N:N, MATCH("*" &amp; $A58 &amp; "*", F24_CF!$A:$A, 0))</f>
        <v>Silver Two-Day [$3000.00]</v>
      </c>
      <c r="AA58" s="43" t="str">
        <f>IF(COUNTIF(S24_CF!$A:$A,"*" &amp; $A58 &amp; "*") &lt;&gt; 0, "Yes", "No")</f>
        <v>Yes</v>
      </c>
      <c r="AB58" s="43" t="str">
        <f t="array" ref="AB58">INDEX(S24_CF!H:H, MATCH("*" &amp; $A58 &amp; "*", S24_CF!$A:$A, 0))</f>
        <v>Silver Two-Day [$3000.00]</v>
      </c>
    </row>
    <row r="59" ht="15.0" customHeight="1">
      <c r="A59" s="52" t="s">
        <v>113</v>
      </c>
      <c r="B59" s="43" t="s">
        <v>52</v>
      </c>
      <c r="C59" s="43"/>
      <c r="D59" s="43"/>
      <c r="E59" s="43"/>
      <c r="F59" s="43">
        <f>COUNTIF(S26_Emp!$C:$C,"*" &amp;A59 &amp; "*")</f>
        <v>0</v>
      </c>
      <c r="G59" s="43">
        <f>COUNTIF(F25_Emp!$C:$C,"*" &amp;#REF! &amp; "*")</f>
        <v>0</v>
      </c>
      <c r="H59" s="43">
        <f>COUNTIF(S25_Emp!$C:$C,"*" &amp; A59 &amp; "*")</f>
        <v>3</v>
      </c>
      <c r="I59" s="43">
        <f>COUNTIF(F24_Emp!$C:$C,"*" &amp; B59 &amp; "*")</f>
        <v>0</v>
      </c>
      <c r="J59" s="43">
        <f>COUNTIF(S24_Emp!$C:$C,"*" &amp; $A59 &amp; "*")</f>
        <v>6</v>
      </c>
      <c r="K59" s="43">
        <f>COUNTIF(F23_Emp!$C:$C,"*" &amp; $A59 &amp; "*")</f>
        <v>2</v>
      </c>
      <c r="L59" s="43">
        <f>COUNTIF(S23_Emp!$C:$C,"*" &amp; $A59 &amp; "*")</f>
        <v>2</v>
      </c>
      <c r="M59" s="43">
        <f>COUNTIF(F22_Emp!$C:$C,"*" &amp; $A59 &amp; "*")</f>
        <v>3</v>
      </c>
      <c r="N59" s="43">
        <f>COUNTIF(S22_Emp!$C:$C,"*" &amp; $A59 &amp; "*")</f>
        <v>7</v>
      </c>
      <c r="O59" s="43" t="str">
        <f>COUNTIFS(S22_Emp!$C:$C,"*" &amp; $A59 &amp; "*", S22_S25_Emp!$B:$B, "Bachelor")</f>
        <v>#VALUE!</v>
      </c>
      <c r="P59" s="43" t="str">
        <f>COUNTIFS(S22_Emp!$C:$C,"*" &amp; $A59 &amp; "*", S22_S25_Emp!$B:$B, "Master")</f>
        <v>#VALUE!</v>
      </c>
      <c r="Q59" s="43" t="str">
        <f>COUNTIFS(S22_Emp!$C:$C,"*" &amp; $A59 &amp; "*", S22_S25_Emp!$B:$B, "Doctorate")</f>
        <v>#VALUE!</v>
      </c>
      <c r="R59" s="43" t="str">
        <f t="array" ref="R59">IF(OR(INDEX(S26_CF!X:X, MATCH("*" &amp; $A59 &amp; "*", CompanyList!A:A, 0))=TRUE, INDEX(F25_CF!P:P, MATCH("*" &amp; $A59 &amp; "*", CompanyList!A:A, 0))=TRUE, INDEX(S25_CF!T:T, MATCH("*" &amp; $A59 &amp; "*", CompanyList!A:A, 0))=TRUE, INDEX(S24_CF!W:W, MATCH("*" &amp; $A59 &amp; "*", CompanyList!A:A, 0))=TRUE), "Yes", "No")</f>
        <v>No</v>
      </c>
      <c r="S59" s="43" t="str">
        <f>IF(COUNTIF(S26_CF!$A:$A,"*" &amp; $A59 &amp; "*") &lt;&gt; 0, "Yes", "No")</f>
        <v>Yes</v>
      </c>
      <c r="T59" s="43" t="str">
        <f t="array" ref="T59">INDEX(S26_CF!K:K, MATCH("*" &amp; $A59 &amp; "*", S26_CF!A:A, 0))</f>
        <v>Basic Two-Day [$2000.00]</v>
      </c>
      <c r="U59" s="43" t="str">
        <f>IF(COUNTIF(F25_CF!$A:$A,"*" &amp; $A59 &amp; "*") &lt;&gt; 0, "Yes", "No")</f>
        <v>Yes</v>
      </c>
      <c r="V59" s="43" t="str">
        <f t="array" ref="V59">INDEX(F25_CF!I:I, MATCH("*" &amp; $A59 &amp; "*", F25_CF!$A:$A, 0))</f>
        <v>Basic Two-Day [$2000.00]</v>
      </c>
      <c r="W59" s="43" t="str">
        <f>IF(COUNTIF(S25_CF!$A:$A,"*" &amp; $A59 &amp; "*") &lt;&gt; 0, "Yes", "No")</f>
        <v>Yes</v>
      </c>
      <c r="X59" s="43" t="str">
        <f t="array" ref="X59">INDEX(S25_CF!J:J, MATCH("*" &amp; $A59 &amp; "*", S25_CF!$A:$A, 0))</f>
        <v>Basic One-Day: Wednesday, January 22nd [$1000.00]</v>
      </c>
      <c r="Y59" s="43" t="str">
        <f>IF(COUNTIF(F24_CF!$A:$A,"*" &amp; $A59 &amp; "*") &lt;&gt; 0, "Yes", "No")</f>
        <v>Yes</v>
      </c>
      <c r="Z59" s="43" t="str">
        <f t="array" ref="Z59">INDEX(F24_CF!N:N, MATCH("*" &amp; $A59 &amp; "*", F24_CF!$A:$A, 0))</f>
        <v>Basic One-Day: Thursday, September 5th [$1000.00]</v>
      </c>
      <c r="AA59" s="43" t="str">
        <f>IF(COUNTIF(S24_CF!$A:$A,"*" &amp; $A59 &amp; "*") &lt;&gt; 0, "Yes", "No")</f>
        <v>Yes</v>
      </c>
      <c r="AB59" s="43" t="str">
        <f t="array" ref="AB59">INDEX(S24_CF!H:H, MATCH("*" &amp; $A59 &amp; "*", S24_CF!$A:$A, 0))</f>
        <v>Basic One-Day [$1000.00]</v>
      </c>
    </row>
    <row r="60" ht="15.0" customHeight="1">
      <c r="A60" s="52" t="s">
        <v>114</v>
      </c>
      <c r="B60" s="43" t="s">
        <v>115</v>
      </c>
      <c r="C60" s="43"/>
      <c r="D60" s="43">
        <v>800.0</v>
      </c>
      <c r="E60" s="43"/>
      <c r="F60" s="43">
        <f>COUNTIF(S26_Emp!$C:$C,"*" &amp;A60 &amp; "*")</f>
        <v>0</v>
      </c>
      <c r="G60" s="43">
        <f>COUNTIF(F25_Emp!$C:$C,"*" &amp;#REF! &amp; "*")</f>
        <v>0</v>
      </c>
      <c r="H60" s="43">
        <f>COUNTIF(S25_Emp!$C:$C,"*" &amp; A60 &amp; "*")</f>
        <v>0</v>
      </c>
      <c r="I60" s="43">
        <f>COUNTIF(F24_Emp!$C:$C,"*" &amp; B60 &amp; "*")</f>
        <v>0</v>
      </c>
      <c r="J60" s="43">
        <f>COUNTIF(S24_Emp!$C:$C,"*" &amp; $A60 &amp; "*")</f>
        <v>1</v>
      </c>
      <c r="K60" s="43">
        <f>COUNTIF(F23_Emp!$C:$C,"*" &amp; $A60 &amp; "*")</f>
        <v>2</v>
      </c>
      <c r="L60" s="43">
        <f>COUNTIF(S23_Emp!$C:$C,"*" &amp; $A60 &amp; "*")</f>
        <v>1</v>
      </c>
      <c r="M60" s="43">
        <f>COUNTIF(F22_Emp!$C:$C,"*" &amp; $A60 &amp; "*")</f>
        <v>0</v>
      </c>
      <c r="N60" s="43">
        <f>COUNTIF(S22_Emp!$C:$C,"*" &amp; $A60 &amp; "*")</f>
        <v>0</v>
      </c>
      <c r="O60" s="43" t="str">
        <f>COUNTIFS(S22_Emp!$C:$C,"*" &amp; $A60 &amp; "*", S22_S25_Emp!$B:$B, "Bachelor")</f>
        <v>#VALUE!</v>
      </c>
      <c r="P60" s="43" t="str">
        <f>COUNTIFS(S22_Emp!$C:$C,"*" &amp; $A60 &amp; "*", S22_S25_Emp!$B:$B, "Master")</f>
        <v>#VALUE!</v>
      </c>
      <c r="Q60" s="43" t="str">
        <f>COUNTIFS(S22_Emp!$C:$C,"*" &amp; $A60 &amp; "*", S22_S25_Emp!$B:$B, "Doctorate")</f>
        <v>#VALUE!</v>
      </c>
      <c r="R60" s="43" t="str">
        <f t="array" ref="R60">IF(OR(INDEX(S26_CF!X:X, MATCH("*" &amp; $A60 &amp; "*", CompanyList!A:A, 0))=TRUE, INDEX(F25_CF!P:P, MATCH("*" &amp; $A60 &amp; "*", CompanyList!A:A, 0))=TRUE, INDEX(S25_CF!T:T, MATCH("*" &amp; $A60 &amp; "*", CompanyList!A:A, 0))=TRUE, INDEX(S24_CF!W:W, MATCH("*" &amp; $A60 &amp; "*", CompanyList!A:A, 0))=TRUE), "Yes", "No")</f>
        <v>Yes</v>
      </c>
      <c r="S60" s="43" t="str">
        <f>IF(COUNTIF(S26_CF!$A:$A,"*" &amp; $A60 &amp; "*") &lt;&gt; 0, "Yes", "No")</f>
        <v>Yes</v>
      </c>
      <c r="T60" s="43" t="str">
        <f t="array" ref="T60">INDEX(S26_CF!K:K, MATCH("*" &amp; $A60 &amp; "*", S26_CF!A:A, 0))</f>
        <v>Basic One-Day: Thursday, January 29th [$1000.00]</v>
      </c>
      <c r="U60" s="43" t="str">
        <f>IF(COUNTIF(F25_CF!$A:$A,"*" &amp; $A60 &amp; "*") &lt;&gt; 0, "Yes", "No")</f>
        <v>Yes</v>
      </c>
      <c r="V60" s="43" t="str">
        <f t="array" ref="V60">INDEX(F25_CF!I:I, MATCH("*" &amp; $A60 &amp; "*", F25_CF!$A:$A, 0))</f>
        <v>Basic One-Day: Wednesday, September 10th [$1000.00]</v>
      </c>
      <c r="W60" s="43" t="str">
        <f>IF(COUNTIF(S25_CF!$A:$A,"*" &amp; $A60 &amp; "*") &lt;&gt; 0, "Yes", "No")</f>
        <v>Yes</v>
      </c>
      <c r="X60" s="43" t="str">
        <f t="array" ref="X60">INDEX(S25_CF!J:J, MATCH("*" &amp; $A60 &amp; "*", S25_CF!$A:$A, 0))</f>
        <v>Basic One-Day: Thursday, January 23rd [$1000.00]</v>
      </c>
      <c r="Y60" s="43" t="str">
        <f>IF(COUNTIF(F24_CF!$A:$A,"*" &amp; $A60 &amp; "*") &lt;&gt; 0, "Yes", "No")</f>
        <v>Yes</v>
      </c>
      <c r="Z60" s="43" t="str">
        <f t="array" ref="Z60">INDEX(F24_CF!N:N, MATCH("*" &amp; $A60 &amp; "*", F24_CF!$A:$A, 0))</f>
        <v>Basic One-Day: Wednesday, September 4th [$1000.00]</v>
      </c>
      <c r="AA60" s="43" t="str">
        <f>IF(COUNTIF(S24_CF!$A:$A,"*" &amp; $A60 &amp; "*") &lt;&gt; 0, "Yes", "No")</f>
        <v>Yes</v>
      </c>
      <c r="AB60" s="43" t="str">
        <f t="array" ref="AB60">INDEX(S24_CF!H:H, MATCH("*" &amp; $A60 &amp; "*", S24_CF!$A:$A, 0))</f>
        <v>Basic One-Day [$1000.00]</v>
      </c>
    </row>
    <row r="61" ht="15.0" customHeight="1">
      <c r="A61" s="52" t="s">
        <v>116</v>
      </c>
      <c r="B61" s="43" t="s">
        <v>52</v>
      </c>
      <c r="C61" s="43"/>
      <c r="D61" s="43"/>
      <c r="E61" s="43"/>
      <c r="F61" s="43">
        <f>COUNTIF(S26_Emp!$C:$C,"*" &amp;A61 &amp; "*")</f>
        <v>0</v>
      </c>
      <c r="G61" s="43">
        <f>COUNTIF(F25_Emp!$C:$C,"*" &amp;#REF! &amp; "*")</f>
        <v>0</v>
      </c>
      <c r="H61" s="43">
        <f>COUNTIF(S25_Emp!$C:$C,"*" &amp; A61 &amp; "*")</f>
        <v>0</v>
      </c>
      <c r="I61" s="43">
        <f>COUNTIF(F24_Emp!$C:$C,"*" &amp; B61 &amp; "*")</f>
        <v>0</v>
      </c>
      <c r="J61" s="43">
        <f>COUNTIF(S24_Emp!$C:$C,"*" &amp; $A61 &amp; "*")</f>
        <v>0</v>
      </c>
      <c r="K61" s="43">
        <f>COUNTIF(F23_Emp!$C:$C,"*" &amp; $A61 &amp; "*")</f>
        <v>0</v>
      </c>
      <c r="L61" s="43">
        <f>COUNTIF(S23_Emp!$C:$C,"*" &amp; $A61 &amp; "*")</f>
        <v>0</v>
      </c>
      <c r="M61" s="43">
        <f>COUNTIF(F22_Emp!$C:$C,"*" &amp; $A61 &amp; "*")</f>
        <v>0</v>
      </c>
      <c r="N61" s="43">
        <f>COUNTIF(S22_Emp!$C:$C,"*" &amp; $A61 &amp; "*")</f>
        <v>0</v>
      </c>
      <c r="O61" s="43" t="str">
        <f>COUNTIFS(S22_Emp!$C:$C,"*" &amp; $A61 &amp; "*", S22_S25_Emp!$B:$B, "Bachelor")</f>
        <v>#VALUE!</v>
      </c>
      <c r="P61" s="43" t="str">
        <f>COUNTIFS(S22_Emp!$C:$C,"*" &amp; $A61 &amp; "*", S22_S25_Emp!$B:$B, "Master")</f>
        <v>#VALUE!</v>
      </c>
      <c r="Q61" s="43" t="str">
        <f>COUNTIFS(S22_Emp!$C:$C,"*" &amp; $A61 &amp; "*", S22_S25_Emp!$B:$B, "Doctorate")</f>
        <v>#VALUE!</v>
      </c>
      <c r="R61" s="43" t="str">
        <f t="array" ref="R61">IF(OR(INDEX(S26_CF!X:X, MATCH("*" &amp; $A61 &amp; "*", CompanyList!A:A, 0))=TRUE, INDEX(F25_CF!P:P, MATCH("*" &amp; $A61 &amp; "*", CompanyList!A:A, 0))=TRUE, INDEX(S25_CF!T:T, MATCH("*" &amp; $A61 &amp; "*", CompanyList!A:A, 0))=TRUE, INDEX(S24_CF!W:W, MATCH("*" &amp; $A61 &amp; "*", CompanyList!A:A, 0))=TRUE), "Yes", "No")</f>
        <v>No</v>
      </c>
      <c r="S61" s="43" t="str">
        <f>IF(COUNTIF(S26_CF!$A:$A,"*" &amp; $A61 &amp; "*") &lt;&gt; 0, "Yes", "No")</f>
        <v>Yes</v>
      </c>
      <c r="T61" s="43" t="str">
        <f t="array" ref="T61">INDEX(S26_CF!K:K, MATCH("*" &amp; $A61 &amp; "*", S26_CF!A:A, 0))</f>
        <v>Silver Two-Day [$3000.00]</v>
      </c>
      <c r="U61" s="43" t="str">
        <f>IF(COUNTIF(F25_CF!$A:$A,"*" &amp; $A61 &amp; "*") &lt;&gt; 0, "Yes", "No")</f>
        <v>No</v>
      </c>
      <c r="V61" s="43" t="str">
        <f t="array" ref="V61">INDEX(F25_CF!I:I, MATCH("*" &amp; $A61 &amp; "*", F25_CF!$A:$A, 0))</f>
        <v>#N/A</v>
      </c>
      <c r="W61" s="43" t="str">
        <f>IF(COUNTIF(S25_CF!$A:$A,"*" &amp; $A61 &amp; "*") &lt;&gt; 0, "Yes", "No")</f>
        <v>Yes</v>
      </c>
      <c r="X61" s="43" t="str">
        <f t="array" ref="X61">INDEX(S25_CF!J:J, MATCH("*" &amp; $A61 &amp; "*", S25_CF!$A:$A, 0))</f>
        <v>Gold Two-Day [$5500.00]</v>
      </c>
      <c r="Y61" s="43" t="str">
        <f>IF(COUNTIF(F24_CF!$A:$A,"*" &amp; $A61 &amp; "*") &lt;&gt; 0, "Yes", "No")</f>
        <v>No</v>
      </c>
      <c r="Z61" s="43" t="str">
        <f t="array" ref="Z61">INDEX(F24_CF!N:N, MATCH("*" &amp; $A61 &amp; "*", F24_CF!$A:$A, 0))</f>
        <v>#N/A</v>
      </c>
      <c r="AA61" s="43" t="str">
        <f>IF(COUNTIF(S24_CF!$A:$A,"*" &amp; $A61 &amp; "*") &lt;&gt; 0, "Yes", "No")</f>
        <v>Yes</v>
      </c>
      <c r="AB61" s="43" t="str">
        <f t="array" ref="AB61">INDEX(S24_CF!H:H, MATCH("*" &amp; $A61 &amp; "*", S24_CF!$A:$A, 0))</f>
        <v>Silver Two-Day [$3000.00]</v>
      </c>
    </row>
    <row r="62" ht="15.0" customHeight="1">
      <c r="A62" s="52" t="s">
        <v>117</v>
      </c>
      <c r="B62" s="43" t="s">
        <v>52</v>
      </c>
      <c r="C62" s="43"/>
      <c r="D62" s="43"/>
      <c r="E62" s="43"/>
      <c r="F62" s="43">
        <f>COUNTIF(S26_Emp!$C:$C,"*" &amp;A62 &amp; "*")</f>
        <v>0</v>
      </c>
      <c r="G62" s="43">
        <f>COUNTIF(F25_Emp!$C:$C,"*" &amp;#REF! &amp; "*")</f>
        <v>0</v>
      </c>
      <c r="H62" s="43">
        <f>COUNTIF(S25_Emp!$C:$C,"*" &amp; A62 &amp; "*")</f>
        <v>1</v>
      </c>
      <c r="I62" s="43">
        <f>COUNTIF(F24_Emp!$C:$C,"*" &amp; B62 &amp; "*")</f>
        <v>0</v>
      </c>
      <c r="J62" s="43">
        <f>COUNTIF(S24_Emp!$C:$C,"*" &amp; $A62 &amp; "*")</f>
        <v>1</v>
      </c>
      <c r="K62" s="43">
        <f>COUNTIF(F23_Emp!$C:$C,"*" &amp; $A62 &amp; "*")</f>
        <v>0</v>
      </c>
      <c r="L62" s="43">
        <f>COUNTIF(S23_Emp!$C:$C,"*" &amp; $A62 &amp; "*")</f>
        <v>0</v>
      </c>
      <c r="M62" s="43">
        <f>COUNTIF(F22_Emp!$C:$C,"*" &amp; $A62 &amp; "*")</f>
        <v>0</v>
      </c>
      <c r="N62" s="43">
        <f>COUNTIF(S22_Emp!$C:$C,"*" &amp; $A62 &amp; "*")</f>
        <v>1</v>
      </c>
      <c r="O62" s="43" t="str">
        <f>COUNTIFS(S22_Emp!$C:$C,"*" &amp; $A62 &amp; "*", S22_S25_Emp!$B:$B, "Bachelor")</f>
        <v>#VALUE!</v>
      </c>
      <c r="P62" s="43" t="str">
        <f>COUNTIFS(S22_Emp!$C:$C,"*" &amp; $A62 &amp; "*", S22_S25_Emp!$B:$B, "Master")</f>
        <v>#VALUE!</v>
      </c>
      <c r="Q62" s="43" t="str">
        <f>COUNTIFS(S22_Emp!$C:$C,"*" &amp; $A62 &amp; "*", S22_S25_Emp!$B:$B, "Doctorate")</f>
        <v>#VALUE!</v>
      </c>
      <c r="R62" s="43" t="str">
        <f t="array" ref="R62">IF(OR(INDEX(S26_CF!X:X, MATCH("*" &amp; $A62 &amp; "*", CompanyList!A:A, 0))=TRUE, INDEX(F25_CF!P:P, MATCH("*" &amp; $A62 &amp; "*", CompanyList!A:A, 0))=TRUE, INDEX(S25_CF!T:T, MATCH("*" &amp; $A62 &amp; "*", CompanyList!A:A, 0))=TRUE, INDEX(S24_CF!W:W, MATCH("*" &amp; $A62 &amp; "*", CompanyList!A:A, 0))=TRUE), "Yes", "No")</f>
        <v>No</v>
      </c>
      <c r="S62" s="43" t="str">
        <f>IF(COUNTIF(S26_CF!$A:$A,"*" &amp; $A62 &amp; "*") &lt;&gt; 0, "Yes", "No")</f>
        <v>Yes</v>
      </c>
      <c r="T62" s="43" t="str">
        <f t="array" ref="T62">INDEX(S26_CF!K:K, MATCH("*" &amp; $A62 &amp; "*", S26_CF!A:A, 0))</f>
        <v>Basic Two-Day [$2000.00]</v>
      </c>
      <c r="U62" s="43" t="str">
        <f>IF(COUNTIF(F25_CF!$A:$A,"*" &amp; $A62 &amp; "*") &lt;&gt; 0, "Yes", "No")</f>
        <v>No</v>
      </c>
      <c r="V62" s="43" t="str">
        <f t="array" ref="V62">INDEX(F25_CF!I:I, MATCH("*" &amp; $A62 &amp; "*", F25_CF!$A:$A, 0))</f>
        <v>#N/A</v>
      </c>
      <c r="W62" s="43" t="str">
        <f>IF(COUNTIF(S25_CF!$A:$A,"*" &amp; $A62 &amp; "*") &lt;&gt; 0, "Yes", "No")</f>
        <v>Yes</v>
      </c>
      <c r="X62" s="43" t="str">
        <f t="array" ref="X62">INDEX(S25_CF!J:J, MATCH("*" &amp; $A62 &amp; "*", S25_CF!$A:$A, 0))</f>
        <v>Basic One-Day: Thursday, January 23rd [$1000.00]</v>
      </c>
      <c r="Y62" s="43" t="str">
        <f>IF(COUNTIF(F24_CF!$A:$A,"*" &amp; $A62 &amp; "*") &lt;&gt; 0, "Yes", "No")</f>
        <v>Yes</v>
      </c>
      <c r="Z62" s="43" t="str">
        <f t="array" ref="Z62">INDEX(F24_CF!N:N, MATCH("*" &amp; $A62 &amp; "*", F24_CF!$A:$A, 0))</f>
        <v>Basic One-Day: Wednesday, September 4th [$1000.00]</v>
      </c>
      <c r="AA62" s="43" t="str">
        <f>IF(COUNTIF(S24_CF!$A:$A,"*" &amp; $A62 &amp; "*") &lt;&gt; 0, "Yes", "No")</f>
        <v>Yes</v>
      </c>
      <c r="AB62" s="43" t="str">
        <f t="array" ref="AB62">INDEX(S24_CF!H:H, MATCH("*" &amp; $A62 &amp; "*", S24_CF!$A:$A, 0))</f>
        <v>Basic One-Day [$1000.00]</v>
      </c>
    </row>
    <row r="63" ht="15.0" customHeight="1">
      <c r="A63" s="52" t="s">
        <v>118</v>
      </c>
      <c r="B63" s="43" t="s">
        <v>52</v>
      </c>
      <c r="C63" s="43"/>
      <c r="D63" s="43"/>
      <c r="E63" s="43"/>
      <c r="F63" s="43">
        <f>COUNTIF(S26_Emp!$C:$C,"*" &amp;A63 &amp; "*")</f>
        <v>0</v>
      </c>
      <c r="G63" s="43">
        <f>COUNTIF(F25_Emp!$C:$C,"*" &amp;#REF! &amp; "*")</f>
        <v>0</v>
      </c>
      <c r="H63" s="43">
        <f>COUNTIF(S25_Emp!$C:$C,"*" &amp; A63 &amp; "*")</f>
        <v>0</v>
      </c>
      <c r="I63" s="43">
        <f>COUNTIF(F24_Emp!$C:$C,"*" &amp; B63 &amp; "*")</f>
        <v>0</v>
      </c>
      <c r="J63" s="43">
        <f>COUNTIF(S24_Emp!$C:$C,"*" &amp; $A63 &amp; "*")</f>
        <v>1</v>
      </c>
      <c r="K63" s="43">
        <f>COUNTIF(F23_Emp!$C:$C,"*" &amp; $A63 &amp; "*")</f>
        <v>0</v>
      </c>
      <c r="L63" s="43">
        <f>COUNTIF(S23_Emp!$C:$C,"*" &amp; $A63 &amp; "*")</f>
        <v>0</v>
      </c>
      <c r="M63" s="43">
        <f>COUNTIF(F22_Emp!$C:$C,"*" &amp; $A63 &amp; "*")</f>
        <v>0</v>
      </c>
      <c r="N63" s="43">
        <f>COUNTIF(S22_Emp!$C:$C,"*" &amp; $A63 &amp; "*")</f>
        <v>0</v>
      </c>
      <c r="O63" s="43" t="str">
        <f>COUNTIFS(S22_Emp!$C:$C,"*" &amp; $A63 &amp; "*", S22_S25_Emp!$B:$B, "Bachelor")</f>
        <v>#VALUE!</v>
      </c>
      <c r="P63" s="43" t="str">
        <f>COUNTIFS(S22_Emp!$C:$C,"*" &amp; $A63 &amp; "*", S22_S25_Emp!$B:$B, "Master")</f>
        <v>#VALUE!</v>
      </c>
      <c r="Q63" s="43" t="str">
        <f>COUNTIFS(S22_Emp!$C:$C,"*" &amp; $A63 &amp; "*", S22_S25_Emp!$B:$B, "Doctorate")</f>
        <v>#VALUE!</v>
      </c>
      <c r="R63" s="43" t="str">
        <f t="array" ref="R63">IF(OR(INDEX(S26_CF!X:X, MATCH("*" &amp; $A63 &amp; "*", CompanyList!A:A, 0))=TRUE, INDEX(F25_CF!P:P, MATCH("*" &amp; $A63 &amp; "*", CompanyList!A:A, 0))=TRUE, INDEX(S25_CF!T:T, MATCH("*" &amp; $A63 &amp; "*", CompanyList!A:A, 0))=TRUE, INDEX(S24_CF!W:W, MATCH("*" &amp; $A63 &amp; "*", CompanyList!A:A, 0))=TRUE), "Yes", "No")</f>
        <v>Yes</v>
      </c>
      <c r="S63" s="43" t="str">
        <f>IF(COUNTIF(S26_CF!$A:$A,"*" &amp; $A63 &amp; "*") &lt;&gt; 0, "Yes", "No")</f>
        <v>Yes</v>
      </c>
      <c r="T63" s="43" t="str">
        <f t="array" ref="T63">INDEX(S26_CF!K:K, MATCH("*" &amp; $A63 &amp; "*", S26_CF!A:A, 0))</f>
        <v>Basic One-Day: Wednesday, January 28th [$1000.00]</v>
      </c>
      <c r="U63" s="43" t="str">
        <f>IF(COUNTIF(F25_CF!$A:$A,"*" &amp; $A63 &amp; "*") &lt;&gt; 0, "Yes", "No")</f>
        <v>Yes</v>
      </c>
      <c r="V63" s="43" t="str">
        <f t="array" ref="V63">INDEX(F25_CF!I:I, MATCH("*" &amp; $A63 &amp; "*", F25_CF!$A:$A, 0))</f>
        <v>Basic One-Day: Wednesday, September 10th [$1000.00]</v>
      </c>
      <c r="W63" s="43" t="str">
        <f>IF(COUNTIF(S25_CF!$A:$A,"*" &amp; $A63 &amp; "*") &lt;&gt; 0, "Yes", "No")</f>
        <v>Yes</v>
      </c>
      <c r="X63" s="43" t="str">
        <f t="array" ref="X63">INDEX(S25_CF!J:J, MATCH("*" &amp; $A63 &amp; "*", S25_CF!$A:$A, 0))</f>
        <v>Basic One-Day: Thursday, January 23rd [$1000.00]</v>
      </c>
      <c r="Y63" s="43" t="str">
        <f>IF(COUNTIF(F24_CF!$A:$A,"*" &amp; $A63 &amp; "*") &lt;&gt; 0, "Yes", "No")</f>
        <v>Yes</v>
      </c>
      <c r="Z63" s="43" t="str">
        <f t="array" ref="Z63">INDEX(F24_CF!N:N, MATCH("*" &amp; $A63 &amp; "*", F24_CF!$A:$A, 0))</f>
        <v>Basic One-Day: Thursday, September 5th [$1000.00]</v>
      </c>
      <c r="AA63" s="43" t="str">
        <f>IF(COUNTIF(S24_CF!$A:$A,"*" &amp; $A63 &amp; "*") &lt;&gt; 0, "Yes", "No")</f>
        <v>Yes</v>
      </c>
      <c r="AB63" s="43" t="str">
        <f t="array" ref="AB63">INDEX(S24_CF!H:H, MATCH("*" &amp; $A63 &amp; "*", S24_CF!$A:$A, 0))</f>
        <v>Basic One-Day [$1000.00]</v>
      </c>
    </row>
    <row r="64" ht="15.0" customHeight="1">
      <c r="A64" s="52" t="s">
        <v>119</v>
      </c>
      <c r="B64" s="43" t="s">
        <v>52</v>
      </c>
      <c r="C64" s="43"/>
      <c r="D64" s="43"/>
      <c r="E64" s="43"/>
      <c r="F64" s="43">
        <f>COUNTIF(S26_Emp!$C:$C,"*" &amp;A64 &amp; "*")</f>
        <v>0</v>
      </c>
      <c r="G64" s="43">
        <f>COUNTIF(F25_Emp!$C:$C,"*" &amp;#REF! &amp; "*")</f>
        <v>0</v>
      </c>
      <c r="H64" s="43">
        <f>COUNTIF(S25_Emp!$C:$C,"*" &amp; A64 &amp; "*")</f>
        <v>0</v>
      </c>
      <c r="I64" s="43">
        <f>COUNTIF(F24_Emp!$C:$C,"*" &amp; B64 &amp; "*")</f>
        <v>0</v>
      </c>
      <c r="J64" s="43">
        <f>COUNTIF(S24_Emp!$C:$C,"*" &amp; $A64 &amp; "*")</f>
        <v>0</v>
      </c>
      <c r="K64" s="43">
        <f>COUNTIF(F23_Emp!$C:$C,"*" &amp; $A64 &amp; "*")</f>
        <v>0</v>
      </c>
      <c r="L64" s="43">
        <f>COUNTIF(S23_Emp!$C:$C,"*" &amp; $A64 &amp; "*")</f>
        <v>0</v>
      </c>
      <c r="M64" s="43">
        <f>COUNTIF(F22_Emp!$C:$C,"*" &amp; $A64 &amp; "*")</f>
        <v>0</v>
      </c>
      <c r="N64" s="43">
        <f>COUNTIF(S22_Emp!$C:$C,"*" &amp; $A64 &amp; "*")</f>
        <v>0</v>
      </c>
      <c r="O64" s="43" t="str">
        <f>COUNTIFS(S22_Emp!$C:$C,"*" &amp; $A64 &amp; "*", S22_S25_Emp!$B:$B, "Bachelor")</f>
        <v>#VALUE!</v>
      </c>
      <c r="P64" s="43" t="str">
        <f>COUNTIFS(S22_Emp!$C:$C,"*" &amp; $A64 &amp; "*", S22_S25_Emp!$B:$B, "Master")</f>
        <v>#VALUE!</v>
      </c>
      <c r="Q64" s="43" t="str">
        <f>COUNTIFS(S22_Emp!$C:$C,"*" &amp; $A64 &amp; "*", S22_S25_Emp!$B:$B, "Doctorate")</f>
        <v>#VALUE!</v>
      </c>
      <c r="R64" s="43" t="str">
        <f t="array" ref="R64">IF(OR(INDEX(S26_CF!X:X, MATCH("*" &amp; $A64 &amp; "*", CompanyList!A:A, 0))=TRUE, INDEX(F25_CF!P:P, MATCH("*" &amp; $A64 &amp; "*", CompanyList!A:A, 0))=TRUE, INDEX(S25_CF!T:T, MATCH("*" &amp; $A64 &amp; "*", CompanyList!A:A, 0))=TRUE, INDEX(S24_CF!W:W, MATCH("*" &amp; $A64 &amp; "*", CompanyList!A:A, 0))=TRUE), "Yes", "No")</f>
        <v>No</v>
      </c>
      <c r="S64" s="43" t="str">
        <f>IF(COUNTIF(S26_CF!$A:$A,"*" &amp; $A64 &amp; "*") &lt;&gt; 0, "Yes", "No")</f>
        <v>Yes</v>
      </c>
      <c r="T64" s="43" t="str">
        <f t="array" ref="T64">INDEX(S26_CF!K:K, MATCH("*" &amp; $A64 &amp; "*", S26_CF!A:A, 0))</f>
        <v>Basic One-Day: Wednesday, January 28th [$1000.00]</v>
      </c>
      <c r="U64" s="43" t="str">
        <f>IF(COUNTIF(F25_CF!$A:$A,"*" &amp; $A64 &amp; "*") &lt;&gt; 0, "Yes", "No")</f>
        <v>Yes</v>
      </c>
      <c r="V64" s="43" t="str">
        <f t="array" ref="V64">INDEX(F25_CF!I:I, MATCH("*" &amp; $A64 &amp; "*", F25_CF!$A:$A, 0))</f>
        <v>Basic One-Day: Wednesday, September 10th [$1000.00]</v>
      </c>
      <c r="W64" s="43" t="str">
        <f>IF(COUNTIF(S25_CF!$A:$A,"*" &amp; $A64 &amp; "*") &lt;&gt; 0, "Yes", "No")</f>
        <v>Yes</v>
      </c>
      <c r="X64" s="43" t="str">
        <f t="array" ref="X64">INDEX(S25_CF!J:J, MATCH("*" &amp; $A64 &amp; "*", S25_CF!$A:$A, 0))</f>
        <v>Basic One-Day: Wednesday, January 22nd [$1000.00]</v>
      </c>
      <c r="Y64" s="43" t="str">
        <f>IF(COUNTIF(F24_CF!$A:$A,"*" &amp; $A64 &amp; "*") &lt;&gt; 0, "Yes", "No")</f>
        <v>Yes</v>
      </c>
      <c r="Z64" s="43" t="str">
        <f t="array" ref="Z64">INDEX(F24_CF!N:N, MATCH("*" &amp; $A64 &amp; "*", F24_CF!$A:$A, 0))</f>
        <v>Basic One-Day: Thursday, September 5th [$1000.00]</v>
      </c>
      <c r="AA64" s="43" t="str">
        <f>IF(COUNTIF(S24_CF!$A:$A,"*" &amp; $A64 &amp; "*") &lt;&gt; 0, "Yes", "No")</f>
        <v>Yes</v>
      </c>
      <c r="AB64" s="43" t="str">
        <f t="array" ref="AB64">INDEX(S24_CF!H:H, MATCH("*" &amp; $A64 &amp; "*", S24_CF!$A:$A, 0))</f>
        <v>Basic One-Day [$1000.00]</v>
      </c>
    </row>
    <row r="65" ht="15.0" customHeight="1">
      <c r="A65" s="52" t="s">
        <v>120</v>
      </c>
      <c r="B65" s="43" t="s">
        <v>52</v>
      </c>
      <c r="C65" s="43"/>
      <c r="D65" s="43"/>
      <c r="E65" s="43"/>
      <c r="F65" s="43">
        <f>COUNTIF(S26_Emp!$C:$C,"*" &amp;A65 &amp; "*")</f>
        <v>0</v>
      </c>
      <c r="G65" s="43">
        <f>COUNTIF(F25_Emp!$C:$C,"*" &amp;#REF! &amp; "*")</f>
        <v>0</v>
      </c>
      <c r="H65" s="43">
        <f>COUNTIF(S25_Emp!$C:$C,"*" &amp; A65 &amp; "*")</f>
        <v>0</v>
      </c>
      <c r="I65" s="43">
        <f>COUNTIF(F24_Emp!$C:$C,"*" &amp; B65 &amp; "*")</f>
        <v>0</v>
      </c>
      <c r="J65" s="43">
        <f>COUNTIF(S24_Emp!$C:$C,"*" &amp; $A65 &amp; "*")</f>
        <v>0</v>
      </c>
      <c r="K65" s="43">
        <f>COUNTIF(F23_Emp!$C:$C,"*" &amp; $A65 &amp; "*")</f>
        <v>0</v>
      </c>
      <c r="L65" s="43">
        <f>COUNTIF(S23_Emp!$C:$C,"*" &amp; $A65 &amp; "*")</f>
        <v>0</v>
      </c>
      <c r="M65" s="43">
        <f>COUNTIF(F22_Emp!$C:$C,"*" &amp; $A65 &amp; "*")</f>
        <v>0</v>
      </c>
      <c r="N65" s="43">
        <f>COUNTIF(S22_Emp!$C:$C,"*" &amp; $A65 &amp; "*")</f>
        <v>0</v>
      </c>
      <c r="O65" s="43" t="str">
        <f>COUNTIFS(S22_Emp!$C:$C,"*" &amp; $A65 &amp; "*", S22_S25_Emp!$B:$B, "Bachelor")</f>
        <v>#VALUE!</v>
      </c>
      <c r="P65" s="43" t="str">
        <f>COUNTIFS(S22_Emp!$C:$C,"*" &amp; $A65 &amp; "*", S22_S25_Emp!$B:$B, "Master")</f>
        <v>#VALUE!</v>
      </c>
      <c r="Q65" s="43" t="str">
        <f>COUNTIFS(S22_Emp!$C:$C,"*" &amp; $A65 &amp; "*", S22_S25_Emp!$B:$B, "Doctorate")</f>
        <v>#VALUE!</v>
      </c>
      <c r="R65" s="43" t="str">
        <f t="array" ref="R65">IF(OR(INDEX(S26_CF!X:X, MATCH("*" &amp; $A65 &amp; "*", CompanyList!A:A, 0))=TRUE, INDEX(F25_CF!P:P, MATCH("*" &amp; $A65 &amp; "*", CompanyList!A:A, 0))=TRUE, INDEX(S25_CF!T:T, MATCH("*" &amp; $A65 &amp; "*", CompanyList!A:A, 0))=TRUE, INDEX(S24_CF!W:W, MATCH("*" &amp; $A65 &amp; "*", CompanyList!A:A, 0))=TRUE), "Yes", "No")</f>
        <v>Yes</v>
      </c>
      <c r="S65" s="43" t="str">
        <f>IF(COUNTIF(S26_CF!$A:$A,"*" &amp; $A65 &amp; "*") &lt;&gt; 0, "Yes", "No")</f>
        <v>No</v>
      </c>
      <c r="T65" s="43" t="str">
        <f t="array" ref="T65">INDEX(S26_CF!K:K, MATCH("*" &amp; $A65 &amp; "*", S26_CF!A:A, 0))</f>
        <v>#N/A</v>
      </c>
      <c r="U65" s="43" t="str">
        <f>IF(COUNTIF(F25_CF!$A:$A,"*" &amp; $A65 &amp; "*") &lt;&gt; 0, "Yes", "No")</f>
        <v>No</v>
      </c>
      <c r="V65" s="43" t="str">
        <f t="array" ref="V65">INDEX(F25_CF!I:I, MATCH("*" &amp; $A65 &amp; "*", F25_CF!$A:$A, 0))</f>
        <v>#N/A</v>
      </c>
      <c r="W65" s="43" t="str">
        <f>IF(COUNTIF(S25_CF!$A:$A,"*" &amp; $A65 &amp; "*") &lt;&gt; 0, "Yes", "No")</f>
        <v>Yes</v>
      </c>
      <c r="X65" s="43" t="str">
        <f t="array" ref="X65">INDEX(S25_CF!J:J, MATCH("*" &amp; $A65 &amp; "*", S25_CF!$A:$A, 0))</f>
        <v>Basic One-Day: Thursday, January 23rd [$1000.00]</v>
      </c>
      <c r="Y65" s="43" t="str">
        <f>IF(COUNTIF(F24_CF!$A:$A,"*" &amp; $A65 &amp; "*") &lt;&gt; 0, "Yes", "No")</f>
        <v>Yes</v>
      </c>
      <c r="Z65" s="43" t="str">
        <f t="array" ref="Z65">INDEX(F24_CF!N:N, MATCH("*" &amp; $A65 &amp; "*", F24_CF!$A:$A, 0))</f>
        <v>Basic One-Day: Thursday, September 5th [$1000.00]</v>
      </c>
      <c r="AA65" s="43" t="str">
        <f>IF(COUNTIF(S24_CF!$A:$A,"*" &amp; $A65 &amp; "*") &lt;&gt; 0, "Yes", "No")</f>
        <v>Yes</v>
      </c>
      <c r="AB65" s="43" t="str">
        <f t="array" ref="AB65">INDEX(S24_CF!H:H, MATCH("*" &amp; $A65 &amp; "*", S24_CF!$A:$A, 0))</f>
        <v>Basic One-Day [$1000.00]</v>
      </c>
    </row>
    <row r="66" ht="15.0" customHeight="1">
      <c r="A66" s="52" t="s">
        <v>121</v>
      </c>
      <c r="B66" s="43" t="s">
        <v>52</v>
      </c>
      <c r="C66" s="43"/>
      <c r="D66" s="43"/>
      <c r="E66" s="43"/>
      <c r="F66" s="43">
        <f>COUNTIF(S26_Emp!$C:$C,"*" &amp;A66 &amp; "*")</f>
        <v>0</v>
      </c>
      <c r="G66" s="43">
        <f>COUNTIF(F25_Emp!$C:$C,"*" &amp;#REF! &amp; "*")</f>
        <v>0</v>
      </c>
      <c r="H66" s="43">
        <f>COUNTIF(S25_Emp!$C:$C,"*" &amp; A66 &amp; "*")</f>
        <v>0</v>
      </c>
      <c r="I66" s="43">
        <f>COUNTIF(F24_Emp!$C:$C,"*" &amp; B66 &amp; "*")</f>
        <v>0</v>
      </c>
      <c r="J66" s="43">
        <f>COUNTIF(S24_Emp!$C:$C,"*" &amp; $A66 &amp; "*")</f>
        <v>0</v>
      </c>
      <c r="K66" s="43">
        <f>COUNTIF(F23_Emp!$C:$C,"*" &amp; $A66 &amp; "*")</f>
        <v>0</v>
      </c>
      <c r="L66" s="43">
        <f>COUNTIF(S23_Emp!$C:$C,"*" &amp; $A66 &amp; "*")</f>
        <v>0</v>
      </c>
      <c r="M66" s="43">
        <f>COUNTIF(F22_Emp!$C:$C,"*" &amp; $A66 &amp; "*")</f>
        <v>0</v>
      </c>
      <c r="N66" s="43">
        <f>COUNTIF(S22_Emp!$C:$C,"*" &amp; $A66 &amp; "*")</f>
        <v>0</v>
      </c>
      <c r="O66" s="43" t="str">
        <f>COUNTIFS(S22_Emp!$C:$C,"*" &amp; $A66 &amp; "*", S22_S25_Emp!$B:$B, "Bachelor")</f>
        <v>#VALUE!</v>
      </c>
      <c r="P66" s="43" t="str">
        <f>COUNTIFS(S22_Emp!$C:$C,"*" &amp; $A66 &amp; "*", S22_S25_Emp!$B:$B, "Master")</f>
        <v>#VALUE!</v>
      </c>
      <c r="Q66" s="43" t="str">
        <f>COUNTIFS(S22_Emp!$C:$C,"*" &amp; $A66 &amp; "*", S22_S25_Emp!$B:$B, "Doctorate")</f>
        <v>#VALUE!</v>
      </c>
      <c r="R66" s="43" t="str">
        <f t="array" ref="R66">IF(OR(INDEX(S26_CF!X:X, MATCH("*" &amp; $A66 &amp; "*", CompanyList!A:A, 0))=TRUE, INDEX(F25_CF!P:P, MATCH("*" &amp; $A66 &amp; "*", CompanyList!A:A, 0))=TRUE, INDEX(S25_CF!T:T, MATCH("*" &amp; $A66 &amp; "*", CompanyList!A:A, 0))=TRUE, INDEX(S24_CF!W:W, MATCH("*" &amp; $A66 &amp; "*", CompanyList!A:A, 0))=TRUE), "Yes", "No")</f>
        <v>No</v>
      </c>
      <c r="S66" s="43" t="str">
        <f>IF(COUNTIF(S26_CF!$A:$A,"*" &amp; $A66 &amp; "*") &lt;&gt; 0, "Yes", "No")</f>
        <v>Yes</v>
      </c>
      <c r="T66" s="43" t="str">
        <f t="array" ref="T66">INDEX(S26_CF!K:K, MATCH("*" &amp; $A66 &amp; "*", S26_CF!A:A, 0))</f>
        <v>Basic Two-Day [$2000.00]</v>
      </c>
      <c r="U66" s="43" t="str">
        <f>IF(COUNTIF(F25_CF!$A:$A,"*" &amp; $A66 &amp; "*") &lt;&gt; 0, "Yes", "No")</f>
        <v>Yes</v>
      </c>
      <c r="V66" s="43" t="str">
        <f t="array" ref="V66">INDEX(F25_CF!I:I, MATCH("*" &amp; $A66 &amp; "*", F25_CF!$A:$A, 0))</f>
        <v>Silver Two-Day [$3000.00]</v>
      </c>
      <c r="W66" s="43" t="str">
        <f>IF(COUNTIF(S25_CF!$A:$A,"*" &amp; $A66 &amp; "*") &lt;&gt; 0, "Yes", "No")</f>
        <v>No</v>
      </c>
      <c r="X66" s="43" t="str">
        <f t="array" ref="X66">INDEX(S25_CF!J:J, MATCH("*" &amp; $A66 &amp; "*", S25_CF!$A:$A, 0))</f>
        <v>#N/A</v>
      </c>
      <c r="Y66" s="43" t="str">
        <f>IF(COUNTIF(F24_CF!$A:$A,"*" &amp; $A66 &amp; "*") &lt;&gt; 0, "Yes", "No")</f>
        <v>Yes</v>
      </c>
      <c r="Z66" s="43" t="str">
        <f t="array" ref="Z66">INDEX(F24_CF!N:N, MATCH("*" &amp; $A66 &amp; "*", F24_CF!$A:$A, 0))</f>
        <v>Gold One-Day: Thursday, September 5th [$2500.00]</v>
      </c>
      <c r="AA66" s="43" t="str">
        <f>IF(COUNTIF(S24_CF!$A:$A,"*" &amp; $A66 &amp; "*") &lt;&gt; 0, "Yes", "No")</f>
        <v>Yes</v>
      </c>
      <c r="AB66" s="43" t="str">
        <f t="array" ref="AB66">INDEX(S24_CF!H:H, MATCH("*" &amp; $A66 &amp; "*", S24_CF!$A:$A, 0))</f>
        <v>Gold Two-Day [$5000.00]</v>
      </c>
    </row>
    <row r="67" ht="15.0" customHeight="1">
      <c r="A67" s="52" t="s">
        <v>122</v>
      </c>
      <c r="B67" s="43" t="s">
        <v>54</v>
      </c>
      <c r="C67" s="43">
        <v>12000.0</v>
      </c>
      <c r="D67" s="43">
        <v>12000.0</v>
      </c>
      <c r="E67" s="43">
        <v>23.0</v>
      </c>
      <c r="F67" s="43">
        <f>COUNTIF(S26_Emp!$C:$C,"*" &amp;A67 &amp; "*")</f>
        <v>0</v>
      </c>
      <c r="G67" s="43">
        <f>COUNTIF(F25_Emp!$C:$C,"*" &amp;#REF! &amp; "*")</f>
        <v>0</v>
      </c>
      <c r="H67" s="43">
        <f>COUNTIF(S25_Emp!$C:$C,"*" &amp; A67 &amp; "*")</f>
        <v>0</v>
      </c>
      <c r="I67" s="43">
        <f>COUNTIF(F24_Emp!$C:$C,"*" &amp; B67 &amp; "*")</f>
        <v>1</v>
      </c>
      <c r="J67" s="43">
        <f>COUNTIF(S24_Emp!$C:$C,"*" &amp; $A67 &amp; "*")</f>
        <v>0</v>
      </c>
      <c r="K67" s="43">
        <f>COUNTIF(F23_Emp!$C:$C,"*" &amp; $A67 &amp; "*")</f>
        <v>0</v>
      </c>
      <c r="L67" s="43">
        <f>COUNTIF(S23_Emp!$C:$C,"*" &amp; $A67 &amp; "*")</f>
        <v>0</v>
      </c>
      <c r="M67" s="43">
        <f>COUNTIF(F22_Emp!$C:$C,"*" &amp; $A67 &amp; "*")</f>
        <v>0</v>
      </c>
      <c r="N67" s="43">
        <f>COUNTIF(S22_Emp!$C:$C,"*" &amp; $A67 &amp; "*")</f>
        <v>0</v>
      </c>
      <c r="O67" s="43" t="str">
        <f>COUNTIFS(S22_Emp!$C:$C,"*" &amp; $A67 &amp; "*", S22_S25_Emp!$B:$B, "Bachelor")</f>
        <v>#VALUE!</v>
      </c>
      <c r="P67" s="43" t="str">
        <f>COUNTIFS(S22_Emp!$C:$C,"*" &amp; $A67 &amp; "*", S22_S25_Emp!$B:$B, "Master")</f>
        <v>#VALUE!</v>
      </c>
      <c r="Q67" s="43" t="str">
        <f>COUNTIFS(S22_Emp!$C:$C,"*" &amp; $A67 &amp; "*", S22_S25_Emp!$B:$B, "Doctorate")</f>
        <v>#VALUE!</v>
      </c>
      <c r="R67" s="43" t="str">
        <f t="array" ref="R67">IF(OR(INDEX(S26_CF!X:X, MATCH("*" &amp; $A67 &amp; "*", CompanyList!A:A, 0))=TRUE, INDEX(F25_CF!P:P, MATCH("*" &amp; $A67 &amp; "*", CompanyList!A:A, 0))=TRUE, INDEX(S25_CF!T:T, MATCH("*" &amp; $A67 &amp; "*", CompanyList!A:A, 0))=TRUE, INDEX(S24_CF!W:W, MATCH("*" &amp; $A67 &amp; "*", CompanyList!A:A, 0))=TRUE), "Yes", "No")</f>
        <v>Yes</v>
      </c>
      <c r="S67" s="43" t="str">
        <f>IF(COUNTIF(S26_CF!$A:$A,"*" &amp; $A67 &amp; "*") &lt;&gt; 0, "Yes", "No")</f>
        <v>No</v>
      </c>
      <c r="T67" s="43" t="str">
        <f t="array" ref="T67">INDEX(S26_CF!K:K, MATCH("*" &amp; $A67 &amp; "*", S26_CF!A:A, 0))</f>
        <v>#N/A</v>
      </c>
      <c r="U67" s="43" t="str">
        <f>IF(COUNTIF(F25_CF!$A:$A,"*" &amp; $A67 &amp; "*") &lt;&gt; 0, "Yes", "No")</f>
        <v>No</v>
      </c>
      <c r="V67" s="43" t="str">
        <f t="array" ref="V67">INDEX(F25_CF!I:I, MATCH("*" &amp; $A67 &amp; "*", F25_CF!$A:$A, 0))</f>
        <v>#N/A</v>
      </c>
      <c r="W67" s="43" t="str">
        <f>IF(COUNTIF(S25_CF!$A:$A,"*" &amp; $A67 &amp; "*") &lt;&gt; 0, "Yes", "No")</f>
        <v>No</v>
      </c>
      <c r="X67" s="43" t="str">
        <f t="array" ref="X67">INDEX(S25_CF!J:J, MATCH("*" &amp; $A67 &amp; "*", S25_CF!$A:$A, 0))</f>
        <v>#N/A</v>
      </c>
      <c r="Y67" s="43" t="str">
        <f>IF(COUNTIF(F24_CF!$A:$A,"*" &amp; $A67 &amp; "*") &lt;&gt; 0, "Yes", "No")</f>
        <v>No</v>
      </c>
      <c r="Z67" s="43" t="str">
        <f t="array" ref="Z67">INDEX(F24_CF!N:N, MATCH("*" &amp; $A67 &amp; "*", F24_CF!$A:$A, 0))</f>
        <v>#N/A</v>
      </c>
      <c r="AA67" s="43" t="str">
        <f>IF(COUNTIF(S24_CF!$A:$A,"*" &amp; $A67 &amp; "*") &lt;&gt; 0, "Yes", "No")</f>
        <v>Yes</v>
      </c>
      <c r="AB67" s="43" t="str">
        <f t="array" ref="AB67">INDEX(S24_CF!H:H, MATCH("*" &amp; $A67 &amp; "*", S24_CF!$A:$A, 0))</f>
        <v>Gold One-Day [$2500.00]</v>
      </c>
    </row>
    <row r="68" ht="15.0" customHeight="1">
      <c r="A68" s="52" t="s">
        <v>123</v>
      </c>
      <c r="B68" s="43" t="s">
        <v>54</v>
      </c>
      <c r="C68" s="43">
        <v>49000.0</v>
      </c>
      <c r="D68" s="43">
        <v>7300.0</v>
      </c>
      <c r="E68" s="43">
        <v>63.0</v>
      </c>
      <c r="F68" s="43">
        <f>COUNTIF(S26_Emp!$C:$C,"*" &amp;A68 &amp; "*")</f>
        <v>0</v>
      </c>
      <c r="G68" s="43">
        <f>COUNTIF(F25_Emp!$C:$C,"*" &amp;#REF! &amp; "*")</f>
        <v>0</v>
      </c>
      <c r="H68" s="43">
        <f>COUNTIF(S25_Emp!$C:$C,"*" &amp; A68 &amp; "*")</f>
        <v>0</v>
      </c>
      <c r="I68" s="43">
        <f>COUNTIF(F24_Emp!$C:$C,"*" &amp; B68 &amp; "*")</f>
        <v>1</v>
      </c>
      <c r="J68" s="43">
        <f>COUNTIF(S24_Emp!$C:$C,"*" &amp; $A68 &amp; "*")</f>
        <v>0</v>
      </c>
      <c r="K68" s="43">
        <f>COUNTIF(F23_Emp!$C:$C,"*" &amp; $A68 &amp; "*")</f>
        <v>2</v>
      </c>
      <c r="L68" s="43">
        <f>COUNTIF(S23_Emp!$C:$C,"*" &amp; $A68 &amp; "*")</f>
        <v>1</v>
      </c>
      <c r="M68" s="43">
        <f>COUNTIF(F22_Emp!$C:$C,"*" &amp; $A68 &amp; "*")</f>
        <v>0</v>
      </c>
      <c r="N68" s="43">
        <f>COUNTIF(S22_Emp!$C:$C,"*" &amp; $A68 &amp; "*")</f>
        <v>0</v>
      </c>
      <c r="O68" s="43" t="str">
        <f>COUNTIFS(S22_Emp!$C:$C,"*" &amp; $A68 &amp; "*", S22_S25_Emp!$B:$B, "Bachelor")</f>
        <v>#VALUE!</v>
      </c>
      <c r="P68" s="43" t="str">
        <f>COUNTIFS(S22_Emp!$C:$C,"*" &amp; $A68 &amp; "*", S22_S25_Emp!$B:$B, "Master")</f>
        <v>#VALUE!</v>
      </c>
      <c r="Q68" s="43" t="str">
        <f>COUNTIFS(S22_Emp!$C:$C,"*" &amp; $A68 &amp; "*", S22_S25_Emp!$B:$B, "Doctorate")</f>
        <v>#VALUE!</v>
      </c>
      <c r="R68" s="43" t="str">
        <f t="array" ref="R68">IF(OR(INDEX(S26_CF!X:X, MATCH("*" &amp; $A68 &amp; "*", CompanyList!A:A, 0))=TRUE, INDEX(F25_CF!P:P, MATCH("*" &amp; $A68 &amp; "*", CompanyList!A:A, 0))=TRUE, INDEX(S25_CF!T:T, MATCH("*" &amp; $A68 &amp; "*", CompanyList!A:A, 0))=TRUE, INDEX(S24_CF!W:W, MATCH("*" &amp; $A68 &amp; "*", CompanyList!A:A, 0))=TRUE), "Yes", "No")</f>
        <v>No</v>
      </c>
      <c r="S68" s="43" t="str">
        <f>IF(COUNTIF(S26_CF!$A:$A,"*" &amp; $A68 &amp; "*") &lt;&gt; 0, "Yes", "No")</f>
        <v>Yes</v>
      </c>
      <c r="T68" s="43" t="str">
        <f t="array" ref="T68">INDEX(S26_CF!K:K, MATCH("*" &amp; $A68 &amp; "*", S26_CF!A:A, 0))</f>
        <v>Basic One-Day: Wednesday, January 28th [$1000.00]</v>
      </c>
      <c r="U68" s="43" t="str">
        <f>IF(COUNTIF(F25_CF!$A:$A,"*" &amp; $A68 &amp; "*") &lt;&gt; 0, "Yes", "No")</f>
        <v>Yes</v>
      </c>
      <c r="V68" s="43" t="str">
        <f t="array" ref="V68">INDEX(F25_CF!I:I, MATCH("*" &amp; $A68 &amp; "*", F25_CF!$A:$A, 0))</f>
        <v>Gold One-Day: Wednesday, September 10th [$2500.00]</v>
      </c>
      <c r="W68" s="43" t="str">
        <f>IF(COUNTIF(S25_CF!$A:$A,"*" &amp; $A68 &amp; "*") &lt;&gt; 0, "Yes", "No")</f>
        <v>Yes</v>
      </c>
      <c r="X68" s="43" t="str">
        <f t="array" ref="X68">INDEX(S25_CF!J:J, MATCH("*" &amp; $A68 &amp; "*", S25_CF!$A:$A, 0))</f>
        <v>Basic Two-Day [$2000.00]</v>
      </c>
      <c r="Y68" s="43" t="str">
        <f>IF(COUNTIF(F24_CF!$A:$A,"*" &amp; $A68 &amp; "*") &lt;&gt; 0, "Yes", "No")</f>
        <v>Yes</v>
      </c>
      <c r="Z68" s="43" t="str">
        <f t="array" ref="Z68">INDEX(F24_CF!N:N, MATCH("*" &amp; $A68 &amp; "*", F24_CF!$A:$A, 0))</f>
        <v>Gold One-Day: Wednesday, September 4th [$2500.00]</v>
      </c>
      <c r="AA68" s="43" t="str">
        <f>IF(COUNTIF(S24_CF!$A:$A,"*" &amp; $A68 &amp; "*") &lt;&gt; 0, "Yes", "No")</f>
        <v>Yes</v>
      </c>
      <c r="AB68" s="43" t="str">
        <f t="array" ref="AB68">INDEX(S24_CF!H:H, MATCH("*" &amp; $A68 &amp; "*", S24_CF!$A:$A, 0))</f>
        <v>Basic Two-Day [$2000.00]</v>
      </c>
    </row>
    <row r="69" ht="15.0" customHeight="1">
      <c r="A69" s="52" t="s">
        <v>124</v>
      </c>
      <c r="B69" s="43" t="s">
        <v>52</v>
      </c>
      <c r="C69" s="43"/>
      <c r="D69" s="43"/>
      <c r="E69" s="43"/>
      <c r="F69" s="43">
        <f>COUNTIF(S26_Emp!$C:$C,"*" &amp;A69 &amp; "*")</f>
        <v>0</v>
      </c>
      <c r="G69" s="43">
        <f>COUNTIF(F25_Emp!$C:$C,"*" &amp;#REF! &amp; "*")</f>
        <v>0</v>
      </c>
      <c r="H69" s="43">
        <f>COUNTIF(S25_Emp!$C:$C,"*" &amp; A69 &amp; "*")</f>
        <v>8</v>
      </c>
      <c r="I69" s="43">
        <f>COUNTIF(F24_Emp!$C:$C,"*" &amp; B69 &amp; "*")</f>
        <v>0</v>
      </c>
      <c r="J69" s="43">
        <f>COUNTIF(S24_Emp!$C:$C,"*" &amp; $A69 &amp; "*")</f>
        <v>3</v>
      </c>
      <c r="K69" s="43">
        <f>COUNTIF(F23_Emp!$C:$C,"*" &amp; $A69 &amp; "*")</f>
        <v>1</v>
      </c>
      <c r="L69" s="43">
        <f>COUNTIF(S23_Emp!$C:$C,"*" &amp; $A69 &amp; "*")</f>
        <v>10</v>
      </c>
      <c r="M69" s="43">
        <f>COUNTIF(F22_Emp!$C:$C,"*" &amp; $A69 &amp; "*")</f>
        <v>4</v>
      </c>
      <c r="N69" s="43">
        <f>COUNTIF(S22_Emp!$C:$C,"*" &amp; $A69 &amp; "*")</f>
        <v>8</v>
      </c>
      <c r="O69" s="43" t="str">
        <f>COUNTIFS(S22_Emp!$C:$C,"*" &amp; $A69 &amp; "*", S22_S25_Emp!$B:$B, "Bachelor")</f>
        <v>#VALUE!</v>
      </c>
      <c r="P69" s="43" t="str">
        <f>COUNTIFS(S22_Emp!$C:$C,"*" &amp; $A69 &amp; "*", S22_S25_Emp!$B:$B, "Master")</f>
        <v>#VALUE!</v>
      </c>
      <c r="Q69" s="43" t="str">
        <f>COUNTIFS(S22_Emp!$C:$C,"*" &amp; $A69 &amp; "*", S22_S25_Emp!$B:$B, "Doctorate")</f>
        <v>#VALUE!</v>
      </c>
      <c r="R69" s="43" t="str">
        <f t="array" ref="R69">IF(OR(INDEX(S26_CF!X:X, MATCH("*" &amp; $A69 &amp; "*", CompanyList!A:A, 0))=TRUE, INDEX(F25_CF!P:P, MATCH("*" &amp; $A69 &amp; "*", CompanyList!A:A, 0))=TRUE, INDEX(S25_CF!T:T, MATCH("*" &amp; $A69 &amp; "*", CompanyList!A:A, 0))=TRUE, INDEX(S24_CF!W:W, MATCH("*" &amp; $A69 &amp; "*", CompanyList!A:A, 0))=TRUE), "Yes", "No")</f>
        <v>Yes</v>
      </c>
      <c r="S69" s="43" t="str">
        <f>IF(COUNTIF(S26_CF!$A:$A,"*" &amp; $A69 &amp; "*") &lt;&gt; 0, "Yes", "No")</f>
        <v>Yes</v>
      </c>
      <c r="T69" s="43" t="str">
        <f t="array" ref="T69">INDEX(S26_CF!K:K, MATCH("*" &amp; $A69 &amp; "*", S26_CF!A:A, 0))</f>
        <v>Basic Two-Day [$2000.00]</v>
      </c>
      <c r="U69" s="43" t="str">
        <f>IF(COUNTIF(F25_CF!$A:$A,"*" &amp; $A69 &amp; "*") &lt;&gt; 0, "Yes", "No")</f>
        <v>Yes</v>
      </c>
      <c r="V69" s="43" t="str">
        <f t="array" ref="V69">INDEX(F25_CF!I:I, MATCH("*" &amp; $A69 &amp; "*", F25_CF!$A:$A, 0))</f>
        <v>Basic Two-Day [$2000.00]</v>
      </c>
      <c r="W69" s="43" t="str">
        <f>IF(COUNTIF(S25_CF!$A:$A,"*" &amp; $A69 &amp; "*") &lt;&gt; 0, "Yes", "No")</f>
        <v>Yes</v>
      </c>
      <c r="X69" s="43" t="str">
        <f t="array" ref="X69">INDEX(S25_CF!J:J, MATCH("*" &amp; $A69 &amp; "*", S25_CF!$A:$A, 0))</f>
        <v>Basic Two-Day [$2000.00]</v>
      </c>
      <c r="Y69" s="43" t="str">
        <f>IF(COUNTIF(F24_CF!$A:$A,"*" &amp; $A69 &amp; "*") &lt;&gt; 0, "Yes", "No")</f>
        <v>Yes</v>
      </c>
      <c r="Z69" s="43" t="str">
        <f t="array" ref="Z69">INDEX(F24_CF!N:N, MATCH("*" &amp; $A69 &amp; "*", F24_CF!$A:$A, 0))</f>
        <v>Basic Two-Day [$2000.00]</v>
      </c>
      <c r="AA69" s="43" t="str">
        <f>IF(COUNTIF(S24_CF!$A:$A,"*" &amp; $A69 &amp; "*") &lt;&gt; 0, "Yes", "No")</f>
        <v>Yes</v>
      </c>
      <c r="AB69" s="43" t="str">
        <f t="array" ref="AB69">INDEX(S24_CF!H:H, MATCH("*" &amp; $A69 &amp; "*", S24_CF!$A:$A, 0))</f>
        <v>Basic One-Day [$1000.00]</v>
      </c>
    </row>
    <row r="70" ht="15.0" customHeight="1">
      <c r="A70" s="52" t="s">
        <v>125</v>
      </c>
      <c r="B70" s="43" t="s">
        <v>52</v>
      </c>
      <c r="C70" s="43"/>
      <c r="D70" s="43"/>
      <c r="E70" s="43"/>
      <c r="F70" s="43">
        <f>COUNTIF(S26_Emp!$C:$C,"*" &amp;A70 &amp; "*")</f>
        <v>0</v>
      </c>
      <c r="G70" s="43">
        <f>COUNTIF(F25_Emp!$C:$C,"*" &amp;#REF! &amp; "*")</f>
        <v>0</v>
      </c>
      <c r="H70" s="43">
        <f>COUNTIF(S25_Emp!$C:$C,"*" &amp; A70 &amp; "*")</f>
        <v>0</v>
      </c>
      <c r="I70" s="43">
        <f>COUNTIF(F24_Emp!$C:$C,"*" &amp; B70 &amp; "*")</f>
        <v>0</v>
      </c>
      <c r="J70" s="43">
        <f>COUNTIF(S24_Emp!$C:$C,"*" &amp; $A70 &amp; "*")</f>
        <v>0</v>
      </c>
      <c r="K70" s="43">
        <f>COUNTIF(F23_Emp!$C:$C,"*" &amp; $A70 &amp; "*")</f>
        <v>0</v>
      </c>
      <c r="L70" s="43">
        <f>COUNTIF(S23_Emp!$C:$C,"*" &amp; $A70 &amp; "*")</f>
        <v>0</v>
      </c>
      <c r="M70" s="43">
        <f>COUNTIF(F22_Emp!$C:$C,"*" &amp; $A70 &amp; "*")</f>
        <v>0</v>
      </c>
      <c r="N70" s="43">
        <f>COUNTIF(S22_Emp!$C:$C,"*" &amp; $A70 &amp; "*")</f>
        <v>0</v>
      </c>
      <c r="O70" s="43" t="str">
        <f>COUNTIFS(S22_Emp!$C:$C,"*" &amp; $A70 &amp; "*", S22_S25_Emp!$B:$B, "Bachelor")</f>
        <v>#VALUE!</v>
      </c>
      <c r="P70" s="43" t="str">
        <f>COUNTIFS(S22_Emp!$C:$C,"*" &amp; $A70 &amp; "*", S22_S25_Emp!$B:$B, "Master")</f>
        <v>#VALUE!</v>
      </c>
      <c r="Q70" s="43" t="str">
        <f>COUNTIFS(S22_Emp!$C:$C,"*" &amp; $A70 &amp; "*", S22_S25_Emp!$B:$B, "Doctorate")</f>
        <v>#VALUE!</v>
      </c>
      <c r="R70" s="43" t="str">
        <f t="array" ref="R70">IF(OR(INDEX(S26_CF!X:X, MATCH("*" &amp; $A70 &amp; "*", CompanyList!A:A, 0))=TRUE, INDEX(F25_CF!P:P, MATCH("*" &amp; $A70 &amp; "*", CompanyList!A:A, 0))=TRUE, INDEX(S25_CF!T:T, MATCH("*" &amp; $A70 &amp; "*", CompanyList!A:A, 0))=TRUE, INDEX(S24_CF!W:W, MATCH("*" &amp; $A70 &amp; "*", CompanyList!A:A, 0))=TRUE), "Yes", "No")</f>
        <v>No</v>
      </c>
      <c r="S70" s="43" t="str">
        <f>IF(COUNTIF(S26_CF!$A:$A,"*" &amp; $A70 &amp; "*") &lt;&gt; 0, "Yes", "No")</f>
        <v>Yes</v>
      </c>
      <c r="T70" s="43" t="str">
        <f t="array" ref="T70">INDEX(S26_CF!K:K, MATCH("*" &amp; $A70 &amp; "*", S26_CF!A:A, 0))</f>
        <v>Basic One-Day: Thursday, January 29th [$1000.00]</v>
      </c>
      <c r="U70" s="43" t="str">
        <f>IF(COUNTIF(F25_CF!$A:$A,"*" &amp; $A70 &amp; "*") &lt;&gt; 0, "Yes", "No")</f>
        <v>Yes</v>
      </c>
      <c r="V70" s="43" t="str">
        <f t="array" ref="V70">INDEX(F25_CF!I:I, MATCH("*" &amp; $A70 &amp; "*", F25_CF!$A:$A, 0))</f>
        <v>Basic One-Day: Thursday, September 11th [$1000.00]</v>
      </c>
      <c r="W70" s="43" t="str">
        <f>IF(COUNTIF(S25_CF!$A:$A,"*" &amp; $A70 &amp; "*") &lt;&gt; 0, "Yes", "No")</f>
        <v>Yes</v>
      </c>
      <c r="X70" s="43" t="str">
        <f t="array" ref="X70">INDEX(S25_CF!J:J, MATCH("*" &amp; $A70 &amp; "*", S25_CF!$A:$A, 0))</f>
        <v>Basic One-Day: Wednesday, January 22nd [$1000.00]</v>
      </c>
      <c r="Y70" s="43" t="str">
        <f>IF(COUNTIF(F24_CF!$A:$A,"*" &amp; $A70 &amp; "*") &lt;&gt; 0, "Yes", "No")</f>
        <v>Yes</v>
      </c>
      <c r="Z70" s="43" t="str">
        <f t="array" ref="Z70">INDEX(F24_CF!N:N, MATCH("*" &amp; $A70 &amp; "*", F24_CF!$A:$A, 0))</f>
        <v>Basic One-Day: Thursday, September 5th [$1000.00]</v>
      </c>
      <c r="AA70" s="43" t="str">
        <f>IF(COUNTIF(S24_CF!$A:$A,"*" &amp; $A70 &amp; "*") &lt;&gt; 0, "Yes", "No")</f>
        <v>Yes</v>
      </c>
      <c r="AB70" s="43" t="str">
        <f t="array" ref="AB70">INDEX(S24_CF!H:H, MATCH("*" &amp; $A70 &amp; "*", S24_CF!$A:$A, 0))</f>
        <v>Basic One-Day [$1000.00]</v>
      </c>
    </row>
    <row r="71" ht="15.0" customHeight="1">
      <c r="A71" s="52" t="s">
        <v>126</v>
      </c>
      <c r="B71" s="43" t="s">
        <v>61</v>
      </c>
      <c r="C71" s="43"/>
      <c r="D71" s="43">
        <v>45000.0</v>
      </c>
      <c r="E71" s="43"/>
      <c r="F71" s="43">
        <f>COUNTIF(S26_Emp!$C:$C,"*" &amp;A71 &amp; "*")</f>
        <v>0</v>
      </c>
      <c r="G71" s="43">
        <f>COUNTIF(F25_Emp!$C:$C,"*" &amp;#REF! &amp; "*")</f>
        <v>0</v>
      </c>
      <c r="H71" s="43">
        <f>COUNTIF(S25_Emp!$C:$C,"*" &amp; A71 &amp; "*")</f>
        <v>0</v>
      </c>
      <c r="I71" s="43">
        <f>COUNTIF(F24_Emp!$C:$C,"*" &amp; B71 &amp; "*")</f>
        <v>0</v>
      </c>
      <c r="J71" s="43">
        <f>COUNTIF(S24_Emp!$C:$C,"*" &amp; $A71 &amp; "*")</f>
        <v>1</v>
      </c>
      <c r="K71" s="43">
        <f>COUNTIF(F23_Emp!$C:$C,"*" &amp; $A71 &amp; "*")</f>
        <v>1</v>
      </c>
      <c r="L71" s="43">
        <f>COUNTIF(S23_Emp!$C:$C,"*" &amp; $A71 &amp; "*")</f>
        <v>2</v>
      </c>
      <c r="M71" s="43">
        <f>COUNTIF(F22_Emp!$C:$C,"*" &amp; $A71 &amp; "*")</f>
        <v>0</v>
      </c>
      <c r="N71" s="43">
        <f>COUNTIF(S22_Emp!$C:$C,"*" &amp; $A71 &amp; "*")</f>
        <v>0</v>
      </c>
      <c r="O71" s="43" t="str">
        <f>COUNTIFS(S22_Emp!$C:$C,"*" &amp; $A71 &amp; "*", S22_S25_Emp!$B:$B, "Bachelor")</f>
        <v>#VALUE!</v>
      </c>
      <c r="P71" s="43" t="str">
        <f>COUNTIFS(S22_Emp!$C:$C,"*" &amp; $A71 &amp; "*", S22_S25_Emp!$B:$B, "Master")</f>
        <v>#VALUE!</v>
      </c>
      <c r="Q71" s="43" t="str">
        <f>COUNTIFS(S22_Emp!$C:$C,"*" &amp; $A71 &amp; "*", S22_S25_Emp!$B:$B, "Doctorate")</f>
        <v>#VALUE!</v>
      </c>
      <c r="R71" s="43" t="str">
        <f t="array" ref="R71">IF(OR(INDEX(S26_CF!X:X, MATCH("*" &amp; $A71 &amp; "*", CompanyList!A:A, 0))=TRUE, INDEX(F25_CF!P:P, MATCH("*" &amp; $A71 &amp; "*", CompanyList!A:A, 0))=TRUE, INDEX(S25_CF!T:T, MATCH("*" &amp; $A71 &amp; "*", CompanyList!A:A, 0))=TRUE, INDEX(S24_CF!W:W, MATCH("*" &amp; $A71 &amp; "*", CompanyList!A:A, 0))=TRUE), "Yes", "No")</f>
        <v>No</v>
      </c>
      <c r="S71" s="43" t="str">
        <f>IF(COUNTIF(S26_CF!$A:$A,"*" &amp; $A71 &amp; "*") &lt;&gt; 0, "Yes", "No")</f>
        <v>No</v>
      </c>
      <c r="T71" s="43" t="str">
        <f t="array" ref="T71">INDEX(S26_CF!K:K, MATCH("*" &amp; $A71 &amp; "*", S26_CF!A:A, 0))</f>
        <v>#N/A</v>
      </c>
      <c r="U71" s="43" t="str">
        <f>IF(COUNTIF(F25_CF!$A:$A,"*" &amp; $A71 &amp; "*") &lt;&gt; 0, "Yes", "No")</f>
        <v>Yes</v>
      </c>
      <c r="V71" s="43" t="str">
        <f t="array" ref="V71">INDEX(F25_CF!I:I, MATCH("*" &amp; $A71 &amp; "*", F25_CF!$A:$A, 0))</f>
        <v>Gold Two-Day [$5500.00]</v>
      </c>
      <c r="W71" s="43" t="str">
        <f>IF(COUNTIF(S25_CF!$A:$A,"*" &amp; $A71 &amp; "*") &lt;&gt; 0, "Yes", "No")</f>
        <v>Yes</v>
      </c>
      <c r="X71" s="43" t="str">
        <f t="array" ref="X71">INDEX(S25_CF!J:J, MATCH("*" &amp; $A71 &amp; "*", S25_CF!$A:$A, 0))</f>
        <v>Gold Two-Day [$5500.00]</v>
      </c>
      <c r="Y71" s="43" t="str">
        <f>IF(COUNTIF(F24_CF!$A:$A,"*" &amp; $A71 &amp; "*") &lt;&gt; 0, "Yes", "No")</f>
        <v>Yes</v>
      </c>
      <c r="Z71" s="43" t="str">
        <f t="array" ref="Z71">INDEX(F24_CF!N:N, MATCH("*" &amp; $A71 &amp; "*", F24_CF!$A:$A, 0))</f>
        <v>Gold Two-Day [$5500.00]</v>
      </c>
      <c r="AA71" s="43" t="str">
        <f>IF(COUNTIF(S24_CF!$A:$A,"*" &amp; $A71 &amp; "*") &lt;&gt; 0, "Yes", "No")</f>
        <v>Yes</v>
      </c>
      <c r="AB71" s="43" t="str">
        <f t="array" ref="AB71">INDEX(S24_CF!H:H, MATCH("*" &amp; $A71 &amp; "*", S24_CF!$A:$A, 0))</f>
        <v>Gold Two-Day [$5000.00]</v>
      </c>
    </row>
    <row r="72" ht="15.0" customHeight="1">
      <c r="A72" s="52" t="s">
        <v>127</v>
      </c>
      <c r="B72" s="43" t="s">
        <v>52</v>
      </c>
      <c r="C72" s="43"/>
      <c r="D72" s="43"/>
      <c r="E72" s="43"/>
      <c r="F72" s="43">
        <f>COUNTIF(S26_Emp!$C:$C,"*" &amp;A72 &amp; "*")</f>
        <v>0</v>
      </c>
      <c r="G72" s="43">
        <f>COUNTIF(F25_Emp!$C:$C,"*" &amp;#REF! &amp; "*")</f>
        <v>0</v>
      </c>
      <c r="H72" s="43">
        <f>COUNTIF(S25_Emp!$C:$C,"*" &amp; A72 &amp; "*")</f>
        <v>0</v>
      </c>
      <c r="I72" s="43">
        <f>COUNTIF(F24_Emp!$C:$C,"*" &amp; B72 &amp; "*")</f>
        <v>0</v>
      </c>
      <c r="J72" s="43">
        <f>COUNTIF(S24_Emp!$C:$C,"*" &amp; $A72 &amp; "*")</f>
        <v>0</v>
      </c>
      <c r="K72" s="43">
        <f>COUNTIF(F23_Emp!$C:$C,"*" &amp; $A72 &amp; "*")</f>
        <v>0</v>
      </c>
      <c r="L72" s="43">
        <f>COUNTIF(S23_Emp!$C:$C,"*" &amp; $A72 &amp; "*")</f>
        <v>0</v>
      </c>
      <c r="M72" s="43">
        <f>COUNTIF(F22_Emp!$C:$C,"*" &amp; $A72 &amp; "*")</f>
        <v>0</v>
      </c>
      <c r="N72" s="43">
        <f>COUNTIF(S22_Emp!$C:$C,"*" &amp; $A72 &amp; "*")</f>
        <v>0</v>
      </c>
      <c r="O72" s="43" t="str">
        <f>COUNTIFS(S22_Emp!$C:$C,"*" &amp; $A72 &amp; "*", S22_S25_Emp!$B:$B, "Bachelor")</f>
        <v>#VALUE!</v>
      </c>
      <c r="P72" s="43" t="str">
        <f>COUNTIFS(S22_Emp!$C:$C,"*" &amp; $A72 &amp; "*", S22_S25_Emp!$B:$B, "Master")</f>
        <v>#VALUE!</v>
      </c>
      <c r="Q72" s="43" t="str">
        <f>COUNTIFS(S22_Emp!$C:$C,"*" &amp; $A72 &amp; "*", S22_S25_Emp!$B:$B, "Doctorate")</f>
        <v>#VALUE!</v>
      </c>
      <c r="R72" s="43" t="str">
        <f t="array" ref="R72">IF(OR(INDEX(S26_CF!X:X, MATCH("*" &amp; $A72 &amp; "*", CompanyList!A:A, 0))=TRUE, INDEX(F25_CF!P:P, MATCH("*" &amp; $A72 &amp; "*", CompanyList!A:A, 0))=TRUE, INDEX(S25_CF!T:T, MATCH("*" &amp; $A72 &amp; "*", CompanyList!A:A, 0))=TRUE, INDEX(S24_CF!W:W, MATCH("*" &amp; $A72 &amp; "*", CompanyList!A:A, 0))=TRUE), "Yes", "No")</f>
        <v>No</v>
      </c>
      <c r="S72" s="43" t="str">
        <f>IF(COUNTIF(S26_CF!$A:$A,"*" &amp; $A72 &amp; "*") &lt;&gt; 0, "Yes", "No")</f>
        <v>No</v>
      </c>
      <c r="T72" s="43" t="str">
        <f t="array" ref="T72">INDEX(S26_CF!K:K, MATCH("*" &amp; $A72 &amp; "*", S26_CF!A:A, 0))</f>
        <v>#N/A</v>
      </c>
      <c r="U72" s="43" t="str">
        <f>IF(COUNTIF(F25_CF!$A:$A,"*" &amp; $A72 &amp; "*") &lt;&gt; 0, "Yes", "No")</f>
        <v>No</v>
      </c>
      <c r="V72" s="43" t="str">
        <f t="array" ref="V72">INDEX(F25_CF!I:I, MATCH("*" &amp; $A72 &amp; "*", F25_CF!$A:$A, 0))</f>
        <v>#N/A</v>
      </c>
      <c r="W72" s="43" t="str">
        <f>IF(COUNTIF(S25_CF!$A:$A,"*" &amp; $A72 &amp; "*") &lt;&gt; 0, "Yes", "No")</f>
        <v>No</v>
      </c>
      <c r="X72" s="43" t="str">
        <f t="array" ref="X72">INDEX(S25_CF!J:J, MATCH("*" &amp; $A72 &amp; "*", S25_CF!$A:$A, 0))</f>
        <v>#N/A</v>
      </c>
      <c r="Y72" s="43" t="str">
        <f>IF(COUNTIF(F24_CF!$A:$A,"*" &amp; $A72 &amp; "*") &lt;&gt; 0, "Yes", "No")</f>
        <v>Yes</v>
      </c>
      <c r="Z72" s="43" t="str">
        <f t="array" ref="Z72">INDEX(F24_CF!N:N, MATCH("*" &amp; $A72 &amp; "*", F24_CF!$A:$A, 0))</f>
        <v>Basic Two-Day [$2000.00]</v>
      </c>
      <c r="AA72" s="43" t="str">
        <f>IF(COUNTIF(S24_CF!$A:$A,"*" &amp; $A72 &amp; "*") &lt;&gt; 0, "Yes", "No")</f>
        <v>Yes</v>
      </c>
      <c r="AB72" s="43" t="str">
        <f t="array" ref="AB72">INDEX(S24_CF!H:H, MATCH("*" &amp; $A72 &amp; "*", S24_CF!$A:$A, 0))</f>
        <v>Basic Two-Day [$2000.00]</v>
      </c>
    </row>
    <row r="73" ht="15.0" customHeight="1">
      <c r="A73" s="52" t="s">
        <v>128</v>
      </c>
      <c r="B73" s="43" t="s">
        <v>54</v>
      </c>
      <c r="C73" s="43">
        <v>4300.0</v>
      </c>
      <c r="D73" s="43">
        <v>16000.0</v>
      </c>
      <c r="E73" s="43">
        <v>6.0</v>
      </c>
      <c r="F73" s="43">
        <f>COUNTIF(S26_Emp!$C:$C,"*" &amp;A73 &amp; "*")</f>
        <v>0</v>
      </c>
      <c r="G73" s="43">
        <f>COUNTIF(F25_Emp!$C:$C,"*" &amp;#REF! &amp; "*")</f>
        <v>0</v>
      </c>
      <c r="H73" s="43">
        <f>COUNTIF(S25_Emp!$C:$C,"*" &amp; A73 &amp; "*")</f>
        <v>0</v>
      </c>
      <c r="I73" s="43">
        <f>COUNTIF(F24_Emp!$C:$C,"*" &amp; B73 &amp; "*")</f>
        <v>1</v>
      </c>
      <c r="J73" s="43">
        <f>COUNTIF(S24_Emp!$C:$C,"*" &amp; $A73 &amp; "*")</f>
        <v>3</v>
      </c>
      <c r="K73" s="43">
        <f>COUNTIF(F23_Emp!$C:$C,"*" &amp; $A73 &amp; "*")</f>
        <v>0</v>
      </c>
      <c r="L73" s="43">
        <f>COUNTIF(S23_Emp!$C:$C,"*" &amp; $A73 &amp; "*")</f>
        <v>2</v>
      </c>
      <c r="M73" s="43">
        <f>COUNTIF(F22_Emp!$C:$C,"*" &amp; $A73 &amp; "*")</f>
        <v>1</v>
      </c>
      <c r="N73" s="43">
        <f>COUNTIF(S22_Emp!$C:$C,"*" &amp; $A73 &amp; "*")</f>
        <v>0</v>
      </c>
      <c r="O73" s="43" t="str">
        <f>COUNTIFS(S22_Emp!$C:$C,"*" &amp; $A73 &amp; "*", S22_S25_Emp!$B:$B, "Bachelor")</f>
        <v>#VALUE!</v>
      </c>
      <c r="P73" s="43" t="str">
        <f>COUNTIFS(S22_Emp!$C:$C,"*" &amp; $A73 &amp; "*", S22_S25_Emp!$B:$B, "Master")</f>
        <v>#VALUE!</v>
      </c>
      <c r="Q73" s="43" t="str">
        <f>COUNTIFS(S22_Emp!$C:$C,"*" &amp; $A73 &amp; "*", S22_S25_Emp!$B:$B, "Doctorate")</f>
        <v>#VALUE!</v>
      </c>
      <c r="R73" s="43" t="str">
        <f t="array" ref="R73">IF(OR(INDEX(S26_CF!X:X, MATCH("*" &amp; $A73 &amp; "*", CompanyList!A:A, 0))=TRUE, INDEX(F25_CF!P:P, MATCH("*" &amp; $A73 &amp; "*", CompanyList!A:A, 0))=TRUE, INDEX(S25_CF!T:T, MATCH("*" &amp; $A73 &amp; "*", CompanyList!A:A, 0))=TRUE, INDEX(S24_CF!W:W, MATCH("*" &amp; $A73 &amp; "*", CompanyList!A:A, 0))=TRUE), "Yes", "No")</f>
        <v>Yes</v>
      </c>
      <c r="S73" s="43" t="str">
        <f>IF(COUNTIF(S26_CF!$A:$A,"*" &amp; $A73 &amp; "*") &lt;&gt; 0, "Yes", "No")</f>
        <v>No</v>
      </c>
      <c r="T73" s="43" t="str">
        <f t="array" ref="T73">INDEX(S26_CF!K:K, MATCH("*" &amp; $A73 &amp; "*", S26_CF!A:A, 0))</f>
        <v>#N/A</v>
      </c>
      <c r="U73" s="43" t="str">
        <f>IF(COUNTIF(F25_CF!$A:$A,"*" &amp; $A73 &amp; "*") &lt;&gt; 0, "Yes", "No")</f>
        <v>Yes</v>
      </c>
      <c r="V73" s="43" t="str">
        <f t="array" ref="V73">INDEX(F25_CF!I:I, MATCH("*" &amp; $A73 &amp; "*", F25_CF!$A:$A, 0))</f>
        <v>Gold One-Day: Thursday, September 11th [$2500.00]</v>
      </c>
      <c r="W73" s="43" t="str">
        <f>IF(COUNTIF(S25_CF!$A:$A,"*" &amp; $A73 &amp; "*") &lt;&gt; 0, "Yes", "No")</f>
        <v>No</v>
      </c>
      <c r="X73" s="43" t="str">
        <f t="array" ref="X73">INDEX(S25_CF!J:J, MATCH("*" &amp; $A73 &amp; "*", S25_CF!$A:$A, 0))</f>
        <v>#N/A</v>
      </c>
      <c r="Y73" s="43" t="str">
        <f>IF(COUNTIF(F24_CF!$A:$A,"*" &amp; $A73 &amp; "*") &lt;&gt; 0, "Yes", "No")</f>
        <v>Yes</v>
      </c>
      <c r="Z73" s="43" t="str">
        <f t="array" ref="Z73">INDEX(F24_CF!N:N, MATCH("*" &amp; $A73 &amp; "*", F24_CF!$A:$A, 0))</f>
        <v>Gold Two-Day [$5500.00]</v>
      </c>
      <c r="AA73" s="43" t="str">
        <f>IF(COUNTIF(S24_CF!$A:$A,"*" &amp; $A73 &amp; "*") &lt;&gt; 0, "Yes", "No")</f>
        <v>Yes</v>
      </c>
      <c r="AB73" s="43" t="str">
        <f t="array" ref="AB73">INDEX(S24_CF!H:H, MATCH("*" &amp; $A73 &amp; "*", S24_CF!$A:$A, 0))</f>
        <v>Gold Two-Day [$5000.00]</v>
      </c>
    </row>
    <row r="74" ht="15.0" customHeight="1">
      <c r="A74" s="52" t="s">
        <v>129</v>
      </c>
      <c r="B74" s="43" t="s">
        <v>54</v>
      </c>
      <c r="C74" s="43">
        <v>15500.0</v>
      </c>
      <c r="D74" s="43">
        <v>30000.0</v>
      </c>
      <c r="E74" s="43">
        <v>6.5</v>
      </c>
      <c r="F74" s="43">
        <f>COUNTIF(S26_Emp!$C:$C,"*" &amp;A74 &amp; "*")</f>
        <v>0</v>
      </c>
      <c r="G74" s="43">
        <f>COUNTIF(F25_Emp!$C:$C,"*" &amp;#REF! &amp; "*")</f>
        <v>0</v>
      </c>
      <c r="H74" s="43">
        <f>COUNTIF(S25_Emp!$C:$C,"*" &amp; A74 &amp; "*")</f>
        <v>0</v>
      </c>
      <c r="I74" s="43">
        <f>COUNTIF(F24_Emp!$C:$C,"*" &amp; B74 &amp; "*")</f>
        <v>1</v>
      </c>
      <c r="J74" s="43">
        <f>COUNTIF(S24_Emp!$C:$C,"*" &amp; $A74 &amp; "*")</f>
        <v>5</v>
      </c>
      <c r="K74" s="43">
        <f>COUNTIF(F23_Emp!$C:$C,"*" &amp; $A74 &amp; "*")</f>
        <v>2</v>
      </c>
      <c r="L74" s="43">
        <f>COUNTIF(S23_Emp!$C:$C,"*" &amp; $A74 &amp; "*")</f>
        <v>2</v>
      </c>
      <c r="M74" s="43">
        <f>COUNTIF(F22_Emp!$C:$C,"*" &amp; $A74 &amp; "*")</f>
        <v>2</v>
      </c>
      <c r="N74" s="43">
        <f>COUNTIF(S22_Emp!$C:$C,"*" &amp; $A74 &amp; "*")</f>
        <v>0</v>
      </c>
      <c r="O74" s="43" t="str">
        <f>COUNTIFS(S22_Emp!$C:$C,"*" &amp; $A74 &amp; "*", S22_S25_Emp!$B:$B, "Bachelor")</f>
        <v>#VALUE!</v>
      </c>
      <c r="P74" s="43" t="str">
        <f>COUNTIFS(S22_Emp!$C:$C,"*" &amp; $A74 &amp; "*", S22_S25_Emp!$B:$B, "Master")</f>
        <v>#VALUE!</v>
      </c>
      <c r="Q74" s="43" t="str">
        <f>COUNTIFS(S22_Emp!$C:$C,"*" &amp; $A74 &amp; "*", S22_S25_Emp!$B:$B, "Doctorate")</f>
        <v>#VALUE!</v>
      </c>
      <c r="R74" s="43" t="str">
        <f t="array" ref="R74">IF(OR(INDEX(S26_CF!X:X, MATCH("*" &amp; $A74 &amp; "*", CompanyList!A:A, 0))=TRUE, INDEX(F25_CF!P:P, MATCH("*" &amp; $A74 &amp; "*", CompanyList!A:A, 0))=TRUE, INDEX(S25_CF!T:T, MATCH("*" &amp; $A74 &amp; "*", CompanyList!A:A, 0))=TRUE, INDEX(S24_CF!W:W, MATCH("*" &amp; $A74 &amp; "*", CompanyList!A:A, 0))=TRUE), "Yes", "No")</f>
        <v>Yes</v>
      </c>
      <c r="S74" s="43" t="str">
        <f>IF(COUNTIF(S26_CF!$A:$A,"*" &amp; $A74 &amp; "*") &lt;&gt; 0, "Yes", "No")</f>
        <v>Yes</v>
      </c>
      <c r="T74" s="43" t="str">
        <f t="array" ref="T74">INDEX(S26_CF!K:K, MATCH("*" &amp; $A74 &amp; "*", S26_CF!A:A, 0))</f>
        <v>Silver Two-Day [$3000.00]</v>
      </c>
      <c r="U74" s="43" t="str">
        <f>IF(COUNTIF(F25_CF!$A:$A,"*" &amp; $A74 &amp; "*") &lt;&gt; 0, "Yes", "No")</f>
        <v>Yes</v>
      </c>
      <c r="V74" s="43" t="str">
        <f t="array" ref="V74">INDEX(F25_CF!I:I, MATCH("*" &amp; $A74 &amp; "*", F25_CF!$A:$A, 0))</f>
        <v>Silver Two-Day [$3000.00]</v>
      </c>
      <c r="W74" s="43" t="str">
        <f>IF(COUNTIF(S25_CF!$A:$A,"*" &amp; $A74 &amp; "*") &lt;&gt; 0, "Yes", "No")</f>
        <v>Yes</v>
      </c>
      <c r="X74" s="43" t="str">
        <f t="array" ref="X74">INDEX(S25_CF!J:J, MATCH("*" &amp; $A74 &amp; "*", S25_CF!$A:$A, 0))</f>
        <v>Silver One-Day: Thursday, January 23rd [$1800.00]</v>
      </c>
      <c r="Y74" s="43" t="str">
        <f>IF(COUNTIF(F24_CF!$A:$A,"*" &amp; $A74 &amp; "*") &lt;&gt; 0, "Yes", "No")</f>
        <v>Yes</v>
      </c>
      <c r="Z74" s="43" t="str">
        <f t="array" ref="Z74">INDEX(F24_CF!N:N, MATCH("*" &amp; $A74 &amp; "*", F24_CF!$A:$A, 0))</f>
        <v>Silver Two-Day [$3000.00]</v>
      </c>
      <c r="AA74" s="43" t="str">
        <f>IF(COUNTIF(S24_CF!$A:$A,"*" &amp; $A74 &amp; "*") &lt;&gt; 0, "Yes", "No")</f>
        <v>Yes</v>
      </c>
      <c r="AB74" s="43" t="str">
        <f t="array" ref="AB74">INDEX(S24_CF!H:H, MATCH("*" &amp; $A74 &amp; "*", S24_CF!$A:$A, 0))</f>
        <v>Silver Two-Day [$3000.00]</v>
      </c>
    </row>
    <row r="75" ht="15.0" customHeight="1">
      <c r="A75" s="52" t="s">
        <v>130</v>
      </c>
      <c r="B75" s="43" t="s">
        <v>54</v>
      </c>
      <c r="C75" s="43">
        <v>6000.0</v>
      </c>
      <c r="D75" s="43">
        <v>11000.0</v>
      </c>
      <c r="E75" s="43">
        <v>14.0</v>
      </c>
      <c r="F75" s="43">
        <f>COUNTIF(S26_Emp!$C:$C,"*" &amp;A75 &amp; "*")</f>
        <v>0</v>
      </c>
      <c r="G75" s="43">
        <f>COUNTIF(F25_Emp!$C:$C,"*" &amp;#REF! &amp; "*")</f>
        <v>0</v>
      </c>
      <c r="H75" s="43">
        <f>COUNTIF(S25_Emp!$C:$C,"*" &amp; A75 &amp; "*")</f>
        <v>0</v>
      </c>
      <c r="I75" s="43">
        <f>COUNTIF(F24_Emp!$C:$C,"*" &amp; B75 &amp; "*")</f>
        <v>1</v>
      </c>
      <c r="J75" s="43">
        <f>COUNTIF(S24_Emp!$C:$C,"*" &amp; $A75 &amp; "*")</f>
        <v>1</v>
      </c>
      <c r="K75" s="43">
        <f>COUNTIF(F23_Emp!$C:$C,"*" &amp; $A75 &amp; "*")</f>
        <v>1</v>
      </c>
      <c r="L75" s="43">
        <f>COUNTIF(S23_Emp!$C:$C,"*" &amp; $A75 &amp; "*")</f>
        <v>0</v>
      </c>
      <c r="M75" s="43">
        <f>COUNTIF(F22_Emp!$C:$C,"*" &amp; $A75 &amp; "*")</f>
        <v>0</v>
      </c>
      <c r="N75" s="43">
        <f>COUNTIF(S22_Emp!$C:$C,"*" &amp; $A75 &amp; "*")</f>
        <v>0</v>
      </c>
      <c r="O75" s="43" t="str">
        <f>COUNTIFS(S22_Emp!$C:$C,"*" &amp; $A75 &amp; "*", S22_S25_Emp!$B:$B, "Bachelor")</f>
        <v>#VALUE!</v>
      </c>
      <c r="P75" s="43" t="str">
        <f>COUNTIFS(S22_Emp!$C:$C,"*" &amp; $A75 &amp; "*", S22_S25_Emp!$B:$B, "Master")</f>
        <v>#VALUE!</v>
      </c>
      <c r="Q75" s="43" t="str">
        <f>COUNTIFS(S22_Emp!$C:$C,"*" &amp; $A75 &amp; "*", S22_S25_Emp!$B:$B, "Doctorate")</f>
        <v>#VALUE!</v>
      </c>
      <c r="R75" s="43" t="str">
        <f t="array" ref="R75">IF(OR(INDEX(S26_CF!X:X, MATCH("*" &amp; $A75 &amp; "*", CompanyList!A:A, 0))=TRUE, INDEX(F25_CF!P:P, MATCH("*" &amp; $A75 &amp; "*", CompanyList!A:A, 0))=TRUE, INDEX(S25_CF!T:T, MATCH("*" &amp; $A75 &amp; "*", CompanyList!A:A, 0))=TRUE, INDEX(S24_CF!W:W, MATCH("*" &amp; $A75 &amp; "*", CompanyList!A:A, 0))=TRUE), "Yes", "No")</f>
        <v>No</v>
      </c>
      <c r="S75" s="43" t="str">
        <f>IF(COUNTIF(S26_CF!$A:$A,"*" &amp; $A75 &amp; "*") &lt;&gt; 0, "Yes", "No")</f>
        <v>Yes</v>
      </c>
      <c r="T75" s="43" t="str">
        <f t="array" ref="T75">INDEX(S26_CF!K:K, MATCH("*" &amp; $A75 &amp; "*", S26_CF!A:A, 0))</f>
        <v>Basic One-Day: Thursday, January 29th [$1000.00]</v>
      </c>
      <c r="U75" s="43" t="str">
        <f>IF(COUNTIF(F25_CF!$A:$A,"*" &amp; $A75 &amp; "*") &lt;&gt; 0, "Yes", "No")</f>
        <v>Yes</v>
      </c>
      <c r="V75" s="43" t="str">
        <f t="array" ref="V75">INDEX(F25_CF!I:I, MATCH("*" &amp; $A75 &amp; "*", F25_CF!$A:$A, 0))</f>
        <v>Basic One-Day: Thursday, September 11th [$1000.00]</v>
      </c>
      <c r="W75" s="43" t="str">
        <f>IF(COUNTIF(S25_CF!$A:$A,"*" &amp; $A75 &amp; "*") &lt;&gt; 0, "Yes", "No")</f>
        <v>No</v>
      </c>
      <c r="X75" s="43" t="str">
        <f t="array" ref="X75">INDEX(S25_CF!J:J, MATCH("*" &amp; $A75 &amp; "*", S25_CF!$A:$A, 0))</f>
        <v>#N/A</v>
      </c>
      <c r="Y75" s="43" t="str">
        <f>IF(COUNTIF(F24_CF!$A:$A,"*" &amp; $A75 &amp; "*") &lt;&gt; 0, "Yes", "No")</f>
        <v>No</v>
      </c>
      <c r="Z75" s="43" t="str">
        <f t="array" ref="Z75">INDEX(F24_CF!N:N, MATCH("*" &amp; $A75 &amp; "*", F24_CF!$A:$A, 0))</f>
        <v>#N/A</v>
      </c>
      <c r="AA75" s="43" t="str">
        <f>IF(COUNTIF(S24_CF!$A:$A,"*" &amp; $A75 &amp; "*") &lt;&gt; 0, "Yes", "No")</f>
        <v>Yes</v>
      </c>
      <c r="AB75" s="43" t="str">
        <f t="array" ref="AB75">INDEX(S24_CF!H:H, MATCH("*" &amp; $A75 &amp; "*", S24_CF!$A:$A, 0))</f>
        <v>Basic Two-Day [$2000.00]</v>
      </c>
    </row>
    <row r="76" ht="15.0" customHeight="1">
      <c r="A76" s="52" t="s">
        <v>131</v>
      </c>
      <c r="B76" s="43" t="s">
        <v>52</v>
      </c>
      <c r="C76" s="43"/>
      <c r="D76" s="43"/>
      <c r="E76" s="43"/>
      <c r="F76" s="43">
        <f>COUNTIF(S26_Emp!$C:$C,"*" &amp;A76 &amp; "*")</f>
        <v>0</v>
      </c>
      <c r="G76" s="43">
        <f>COUNTIF(F25_Emp!$C:$C,"*" &amp;#REF! &amp; "*")</f>
        <v>0</v>
      </c>
      <c r="H76" s="43">
        <f>COUNTIF(S25_Emp!$C:$C,"*" &amp; A76 &amp; "*")</f>
        <v>1</v>
      </c>
      <c r="I76" s="43">
        <f>COUNTIF(F24_Emp!$C:$C,"*" &amp; B76 &amp; "*")</f>
        <v>0</v>
      </c>
      <c r="J76" s="43">
        <f>COUNTIF(S24_Emp!$C:$C,"*" &amp; $A76 &amp; "*")</f>
        <v>3</v>
      </c>
      <c r="K76" s="43">
        <f>COUNTIF(F23_Emp!$C:$C,"*" &amp; $A76 &amp; "*")</f>
        <v>2</v>
      </c>
      <c r="L76" s="43">
        <f>COUNTIF(S23_Emp!$C:$C,"*" &amp; $A76 &amp; "*")</f>
        <v>2</v>
      </c>
      <c r="M76" s="43">
        <f>COUNTIF(F22_Emp!$C:$C,"*" &amp; $A76 &amp; "*")</f>
        <v>1</v>
      </c>
      <c r="N76" s="43">
        <f>COUNTIF(S22_Emp!$C:$C,"*" &amp; $A76 &amp; "*")</f>
        <v>3</v>
      </c>
      <c r="O76" s="43" t="str">
        <f>COUNTIFS(S22_Emp!$C:$C,"*" &amp; $A76 &amp; "*", S22_S25_Emp!$B:$B, "Bachelor")</f>
        <v>#VALUE!</v>
      </c>
      <c r="P76" s="43" t="str">
        <f>COUNTIFS(S22_Emp!$C:$C,"*" &amp; $A76 &amp; "*", S22_S25_Emp!$B:$B, "Master")</f>
        <v>#VALUE!</v>
      </c>
      <c r="Q76" s="43" t="str">
        <f>COUNTIFS(S22_Emp!$C:$C,"*" &amp; $A76 &amp; "*", S22_S25_Emp!$B:$B, "Doctorate")</f>
        <v>#VALUE!</v>
      </c>
      <c r="R76" s="43" t="str">
        <f t="array" ref="R76">IF(OR(INDEX(S26_CF!X:X, MATCH("*" &amp; $A76 &amp; "*", CompanyList!A:A, 0))=TRUE, INDEX(F25_CF!P:P, MATCH("*" &amp; $A76 &amp; "*", CompanyList!A:A, 0))=TRUE, INDEX(S25_CF!T:T, MATCH("*" &amp; $A76 &amp; "*", CompanyList!A:A, 0))=TRUE, INDEX(S24_CF!W:W, MATCH("*" &amp; $A76 &amp; "*", CompanyList!A:A, 0))=TRUE), "Yes", "No")</f>
        <v>Yes</v>
      </c>
      <c r="S76" s="43" t="str">
        <f>IF(COUNTIF(S26_CF!$A:$A,"*" &amp; $A76 &amp; "*") &lt;&gt; 0, "Yes", "No")</f>
        <v>Yes</v>
      </c>
      <c r="T76" s="43" t="str">
        <f t="array" ref="T76">INDEX(S26_CF!K:K, MATCH("*" &amp; $A76 &amp; "*", S26_CF!A:A, 0))</f>
        <v>Gold Two-Day [$5500.00]</v>
      </c>
      <c r="U76" s="43" t="str">
        <f>IF(COUNTIF(F25_CF!$A:$A,"*" &amp; $A76 &amp; "*") &lt;&gt; 0, "Yes", "No")</f>
        <v>Yes</v>
      </c>
      <c r="V76" s="43" t="str">
        <f t="array" ref="V76">INDEX(F25_CF!I:I, MATCH("*" &amp; $A76 &amp; "*", F25_CF!$A:$A, 0))</f>
        <v>Gold Two-Day [$5500.00]</v>
      </c>
      <c r="W76" s="43" t="str">
        <f>IF(COUNTIF(S25_CF!$A:$A,"*" &amp; $A76 &amp; "*") &lt;&gt; 0, "Yes", "No")</f>
        <v>Yes</v>
      </c>
      <c r="X76" s="43" t="str">
        <f t="array" ref="X76">INDEX(S25_CF!J:J, MATCH("*" &amp; $A76 &amp; "*", S25_CF!$A:$A, 0))</f>
        <v>Gold Two-Day [$5500.00]</v>
      </c>
      <c r="Y76" s="43" t="str">
        <f>IF(COUNTIF(F24_CF!$A:$A,"*" &amp; $A76 &amp; "*") &lt;&gt; 0, "Yes", "No")</f>
        <v>Yes</v>
      </c>
      <c r="Z76" s="43" t="str">
        <f t="array" ref="Z76">INDEX(F24_CF!N:N, MATCH("*" &amp; $A76 &amp; "*", F24_CF!$A:$A, 0))</f>
        <v>Gold Two-Day [$5500.00]</v>
      </c>
      <c r="AA76" s="43" t="str">
        <f>IF(COUNTIF(S24_CF!$A:$A,"*" &amp; $A76 &amp; "*") &lt;&gt; 0, "Yes", "No")</f>
        <v>Yes</v>
      </c>
      <c r="AB76" s="43" t="str">
        <f t="array" ref="AB76">INDEX(S24_CF!H:H, MATCH("*" &amp; $A76 &amp; "*", S24_CF!$A:$A, 0))</f>
        <v>Gold Two-Day [$5000.00]</v>
      </c>
    </row>
    <row r="77" ht="15.0" customHeight="1">
      <c r="A77" s="52" t="s">
        <v>132</v>
      </c>
      <c r="B77" s="43" t="s">
        <v>54</v>
      </c>
      <c r="C77" s="43">
        <v>3500.0</v>
      </c>
      <c r="D77" s="43">
        <v>7800.0</v>
      </c>
      <c r="E77" s="43">
        <v>8.0</v>
      </c>
      <c r="F77" s="43">
        <f>COUNTIF(S26_Emp!$C:$C,"*" &amp;A77 &amp; "*")</f>
        <v>0</v>
      </c>
      <c r="G77" s="43">
        <f>COUNTIF(F25_Emp!$C:$C,"*" &amp;#REF! &amp; "*")</f>
        <v>0</v>
      </c>
      <c r="H77" s="43">
        <f>COUNTIF(S25_Emp!$C:$C,"*" &amp; A77 &amp; "*")</f>
        <v>1</v>
      </c>
      <c r="I77" s="43">
        <f>COUNTIF(F24_Emp!$C:$C,"*" &amp; B77 &amp; "*")</f>
        <v>1</v>
      </c>
      <c r="J77" s="43">
        <f>COUNTIF(S24_Emp!$C:$C,"*" &amp; $A77 &amp; "*")</f>
        <v>0</v>
      </c>
      <c r="K77" s="43">
        <f>COUNTIF(F23_Emp!$C:$C,"*" &amp; $A77 &amp; "*")</f>
        <v>0</v>
      </c>
      <c r="L77" s="43">
        <f>COUNTIF(S23_Emp!$C:$C,"*" &amp; $A77 &amp; "*")</f>
        <v>0</v>
      </c>
      <c r="M77" s="43">
        <f>COUNTIF(F22_Emp!$C:$C,"*" &amp; $A77 &amp; "*")</f>
        <v>0</v>
      </c>
      <c r="N77" s="43">
        <f>COUNTIF(S22_Emp!$C:$C,"*" &amp; $A77 &amp; "*")</f>
        <v>0</v>
      </c>
      <c r="O77" s="43" t="str">
        <f>COUNTIFS(S22_Emp!$C:$C,"*" &amp; $A77 &amp; "*", S22_S25_Emp!$B:$B, "Bachelor")</f>
        <v>#VALUE!</v>
      </c>
      <c r="P77" s="43" t="str">
        <f>COUNTIFS(S22_Emp!$C:$C,"*" &amp; $A77 &amp; "*", S22_S25_Emp!$B:$B, "Master")</f>
        <v>#VALUE!</v>
      </c>
      <c r="Q77" s="43" t="str">
        <f>COUNTIFS(S22_Emp!$C:$C,"*" &amp; $A77 &amp; "*", S22_S25_Emp!$B:$B, "Doctorate")</f>
        <v>#VALUE!</v>
      </c>
      <c r="R77" s="43" t="str">
        <f t="array" ref="R77">IF(OR(INDEX(S26_CF!X:X, MATCH("*" &amp; $A77 &amp; "*", CompanyList!A:A, 0))=TRUE, INDEX(F25_CF!P:P, MATCH("*" &amp; $A77 &amp; "*", CompanyList!A:A, 0))=TRUE, INDEX(S25_CF!T:T, MATCH("*" &amp; $A77 &amp; "*", CompanyList!A:A, 0))=TRUE, INDEX(S24_CF!W:W, MATCH("*" &amp; $A77 &amp; "*", CompanyList!A:A, 0))=TRUE), "Yes", "No")</f>
        <v>Yes</v>
      </c>
      <c r="S77" s="43" t="str">
        <f>IF(COUNTIF(S26_CF!$A:$A,"*" &amp; $A77 &amp; "*") &lt;&gt; 0, "Yes", "No")</f>
        <v>No</v>
      </c>
      <c r="T77" s="43" t="str">
        <f t="array" ref="T77">INDEX(S26_CF!K:K, MATCH("*" &amp; $A77 &amp; "*", S26_CF!A:A, 0))</f>
        <v>#N/A</v>
      </c>
      <c r="U77" s="43" t="str">
        <f>IF(COUNTIF(F25_CF!$A:$A,"*" &amp; $A77 &amp; "*") &lt;&gt; 0, "Yes", "No")</f>
        <v>Yes</v>
      </c>
      <c r="V77" s="43" t="str">
        <f t="array" ref="V77">INDEX(F25_CF!I:I, MATCH("*" &amp; $A77 &amp; "*", F25_CF!$A:$A, 0))</f>
        <v>Basic One-Day: Thursday, September 11th [$1000.00]</v>
      </c>
      <c r="W77" s="43" t="str">
        <f>IF(COUNTIF(S25_CF!$A:$A,"*" &amp; $A77 &amp; "*") &lt;&gt; 0, "Yes", "No")</f>
        <v>Yes</v>
      </c>
      <c r="X77" s="43" t="str">
        <f t="array" ref="X77">INDEX(S25_CF!J:J, MATCH("*" &amp; $A77 &amp; "*", S25_CF!$A:$A, 0))</f>
        <v>Basic One-Day: Thursday, January 23rd [$1000.00]</v>
      </c>
      <c r="Y77" s="43" t="str">
        <f>IF(COUNTIF(F24_CF!$A:$A,"*" &amp; $A77 &amp; "*") &lt;&gt; 0, "Yes", "No")</f>
        <v>Yes</v>
      </c>
      <c r="Z77" s="43" t="str">
        <f t="array" ref="Z77">INDEX(F24_CF!N:N, MATCH("*" &amp; $A77 &amp; "*", F24_CF!$A:$A, 0))</f>
        <v>Basic One-Day: Thursday, September 5th [$1000.00]</v>
      </c>
      <c r="AA77" s="43" t="str">
        <f>IF(COUNTIF(S24_CF!$A:$A,"*" &amp; $A77 &amp; "*") &lt;&gt; 0, "Yes", "No")</f>
        <v>Yes</v>
      </c>
      <c r="AB77" s="43" t="str">
        <f t="array" ref="AB77">INDEX(S24_CF!H:H, MATCH("*" &amp; $A77 &amp; "*", S24_CF!$A:$A, 0))</f>
        <v>Silver One-Day [$1800.00]</v>
      </c>
    </row>
    <row r="78" ht="15.0" customHeight="1">
      <c r="A78" s="52" t="s">
        <v>133</v>
      </c>
      <c r="B78" s="43" t="s">
        <v>52</v>
      </c>
      <c r="C78" s="43"/>
      <c r="D78" s="43"/>
      <c r="E78" s="43"/>
      <c r="F78" s="43">
        <f>COUNTIF(S26_Emp!$C:$C,"*" &amp;A78 &amp; "*")</f>
        <v>0</v>
      </c>
      <c r="G78" s="43">
        <f>COUNTIF(F25_Emp!$C:$C,"*" &amp;#REF! &amp; "*")</f>
        <v>0</v>
      </c>
      <c r="H78" s="43">
        <f>COUNTIF(S25_Emp!$C:$C,"*" &amp; A78 &amp; "*")</f>
        <v>1</v>
      </c>
      <c r="I78" s="43">
        <f>COUNTIF(F24_Emp!$C:$C,"*" &amp; B78 &amp; "*")</f>
        <v>0</v>
      </c>
      <c r="J78" s="43">
        <f>COUNTIF(S24_Emp!$C:$C,"*" &amp; $A78 &amp; "*")</f>
        <v>2</v>
      </c>
      <c r="K78" s="43">
        <f>COUNTIF(F23_Emp!$C:$C,"*" &amp; $A78 &amp; "*")</f>
        <v>1</v>
      </c>
      <c r="L78" s="43">
        <f>COUNTIF(S23_Emp!$C:$C,"*" &amp; $A78 &amp; "*")</f>
        <v>0</v>
      </c>
      <c r="M78" s="43">
        <f>COUNTIF(F22_Emp!$C:$C,"*" &amp; $A78 &amp; "*")</f>
        <v>0</v>
      </c>
      <c r="N78" s="43">
        <f>COUNTIF(S22_Emp!$C:$C,"*" &amp; $A78 &amp; "*")</f>
        <v>1</v>
      </c>
      <c r="O78" s="43" t="str">
        <f>COUNTIFS(S22_Emp!$C:$C,"*" &amp; $A78 &amp; "*", S22_S25_Emp!$B:$B, "Bachelor")</f>
        <v>#VALUE!</v>
      </c>
      <c r="P78" s="43" t="str">
        <f>COUNTIFS(S22_Emp!$C:$C,"*" &amp; $A78 &amp; "*", S22_S25_Emp!$B:$B, "Master")</f>
        <v>#VALUE!</v>
      </c>
      <c r="Q78" s="43" t="str">
        <f>COUNTIFS(S22_Emp!$C:$C,"*" &amp; $A78 &amp; "*", S22_S25_Emp!$B:$B, "Doctorate")</f>
        <v>#VALUE!</v>
      </c>
      <c r="R78" s="43" t="str">
        <f t="array" ref="R78">IF(OR(INDEX(S26_CF!X:X, MATCH("*" &amp; $A78 &amp; "*", CompanyList!A:A, 0))=TRUE, INDEX(F25_CF!P:P, MATCH("*" &amp; $A78 &amp; "*", CompanyList!A:A, 0))=TRUE, INDEX(S25_CF!T:T, MATCH("*" &amp; $A78 &amp; "*", CompanyList!A:A, 0))=TRUE, INDEX(S24_CF!W:W, MATCH("*" &amp; $A78 &amp; "*", CompanyList!A:A, 0))=TRUE), "Yes", "No")</f>
        <v>No</v>
      </c>
      <c r="S78" s="43" t="str">
        <f>IF(COUNTIF(S26_CF!$A:$A,"*" &amp; $A78 &amp; "*") &lt;&gt; 0, "Yes", "No")</f>
        <v>Yes</v>
      </c>
      <c r="T78" s="43" t="str">
        <f t="array" ref="T78">INDEX(S26_CF!K:K, MATCH("*" &amp; $A78 &amp; "*", S26_CF!A:A, 0))</f>
        <v>Basic One-Day: Wednesday, January 28th [$1000.00]</v>
      </c>
      <c r="U78" s="43" t="str">
        <f>IF(COUNTIF(F25_CF!$A:$A,"*" &amp; $A78 &amp; "*") &lt;&gt; 0, "Yes", "No")</f>
        <v>Yes</v>
      </c>
      <c r="V78" s="43" t="str">
        <f t="array" ref="V78">INDEX(F25_CF!I:I, MATCH("*" &amp; $A78 &amp; "*", F25_CF!$A:$A, 0))</f>
        <v>Basic Two-Day [$2000.00]</v>
      </c>
      <c r="W78" s="43" t="str">
        <f>IF(COUNTIF(S25_CF!$A:$A,"*" &amp; $A78 &amp; "*") &lt;&gt; 0, "Yes", "No")</f>
        <v>Yes</v>
      </c>
      <c r="X78" s="43" t="str">
        <f t="array" ref="X78">INDEX(S25_CF!J:J, MATCH("*" &amp; $A78 &amp; "*", S25_CF!$A:$A, 0))</f>
        <v>Basic Two-Day [$2000.00]</v>
      </c>
      <c r="Y78" s="43" t="str">
        <f>IF(COUNTIF(F24_CF!$A:$A,"*" &amp; $A78 &amp; "*") &lt;&gt; 0, "Yes", "No")</f>
        <v>Yes</v>
      </c>
      <c r="Z78" s="43" t="str">
        <f t="array" ref="Z78">INDEX(F24_CF!N:N, MATCH("*" &amp; $A78 &amp; "*", F24_CF!$A:$A, 0))</f>
        <v>Basic Two-Day [$2000.00]</v>
      </c>
      <c r="AA78" s="43" t="str">
        <f>IF(COUNTIF(S24_CF!$A:$A,"*" &amp; $A78 &amp; "*") &lt;&gt; 0, "Yes", "No")</f>
        <v>Yes</v>
      </c>
      <c r="AB78" s="43" t="str">
        <f t="array" ref="AB78">INDEX(S24_CF!H:H, MATCH("*" &amp; $A78 &amp; "*", S24_CF!$A:$A, 0))</f>
        <v>Basic Two-Day [$2000.00]</v>
      </c>
    </row>
    <row r="79" ht="15.0" customHeight="1">
      <c r="A79" s="52" t="s">
        <v>134</v>
      </c>
      <c r="B79" s="43" t="s">
        <v>52</v>
      </c>
      <c r="C79" s="43"/>
      <c r="D79" s="43"/>
      <c r="E79" s="43"/>
      <c r="F79" s="43">
        <f>COUNTIF(S26_Emp!$C:$C,"*" &amp;A79 &amp; "*")</f>
        <v>0</v>
      </c>
      <c r="G79" s="43">
        <f>COUNTIF(F25_Emp!$C:$C,"*" &amp;#REF! &amp; "*")</f>
        <v>0</v>
      </c>
      <c r="H79" s="43">
        <f>COUNTIF(S25_Emp!$C:$C,"*" &amp; A79 &amp; "*")</f>
        <v>0</v>
      </c>
      <c r="I79" s="43">
        <f>COUNTIF(F24_Emp!$C:$C,"*" &amp; B79 &amp; "*")</f>
        <v>0</v>
      </c>
      <c r="J79" s="43">
        <f>COUNTIF(S24_Emp!$C:$C,"*" &amp; $A79 &amp; "*")</f>
        <v>0</v>
      </c>
      <c r="K79" s="43">
        <f>COUNTIF(F23_Emp!$C:$C,"*" &amp; $A79 &amp; "*")</f>
        <v>1</v>
      </c>
      <c r="L79" s="43">
        <f>COUNTIF(S23_Emp!$C:$C,"*" &amp; $A79 &amp; "*")</f>
        <v>1</v>
      </c>
      <c r="M79" s="43">
        <f>COUNTIF(F22_Emp!$C:$C,"*" &amp; $A79 &amp; "*")</f>
        <v>0</v>
      </c>
      <c r="N79" s="43">
        <f>COUNTIF(S22_Emp!$C:$C,"*" &amp; $A79 &amp; "*")</f>
        <v>0</v>
      </c>
      <c r="O79" s="43" t="str">
        <f>COUNTIFS(S22_Emp!$C:$C,"*" &amp; $A79 &amp; "*", S22_S25_Emp!$B:$B, "Bachelor")</f>
        <v>#VALUE!</v>
      </c>
      <c r="P79" s="43" t="str">
        <f>COUNTIFS(S22_Emp!$C:$C,"*" &amp; $A79 &amp; "*", S22_S25_Emp!$B:$B, "Master")</f>
        <v>#VALUE!</v>
      </c>
      <c r="Q79" s="43" t="str">
        <f>COUNTIFS(S22_Emp!$C:$C,"*" &amp; $A79 &amp; "*", S22_S25_Emp!$B:$B, "Doctorate")</f>
        <v>#VALUE!</v>
      </c>
      <c r="R79" s="43" t="str">
        <f t="array" ref="R79">IF(OR(INDEX(S26_CF!X:X, MATCH("*" &amp; $A79 &amp; "*", CompanyList!A:A, 0))=TRUE, INDEX(F25_CF!P:P, MATCH("*" &amp; $A79 &amp; "*", CompanyList!A:A, 0))=TRUE, INDEX(S25_CF!T:T, MATCH("*" &amp; $A79 &amp; "*", CompanyList!A:A, 0))=TRUE, INDEX(S24_CF!W:W, MATCH("*" &amp; $A79 &amp; "*", CompanyList!A:A, 0))=TRUE), "Yes", "No")</f>
        <v>Yes</v>
      </c>
      <c r="S79" s="43" t="str">
        <f>IF(COUNTIF(S26_CF!$A:$A,"*" &amp; $A79 &amp; "*") &lt;&gt; 0, "Yes", "No")</f>
        <v>No</v>
      </c>
      <c r="T79" s="43" t="str">
        <f t="array" ref="T79">INDEX(S26_CF!K:K, MATCH("*" &amp; $A79 &amp; "*", S26_CF!A:A, 0))</f>
        <v>#N/A</v>
      </c>
      <c r="U79" s="43" t="str">
        <f>IF(COUNTIF(F25_CF!$A:$A,"*" &amp; $A79 &amp; "*") &lt;&gt; 0, "Yes", "No")</f>
        <v>Yes</v>
      </c>
      <c r="V79" s="43" t="str">
        <f t="array" ref="V79">INDEX(F25_CF!I:I, MATCH("*" &amp; $A79 &amp; "*", F25_CF!$A:$A, 0))</f>
        <v>Basic One-Day: Thursday, September 11th [$1000.00]</v>
      </c>
      <c r="W79" s="43" t="str">
        <f>IF(COUNTIF(S25_CF!$A:$A,"*" &amp; $A79 &amp; "*") &lt;&gt; 0, "Yes", "No")</f>
        <v>No</v>
      </c>
      <c r="X79" s="43" t="str">
        <f t="array" ref="X79">INDEX(S25_CF!J:J, MATCH("*" &amp; $A79 &amp; "*", S25_CF!$A:$A, 0))</f>
        <v>#N/A</v>
      </c>
      <c r="Y79" s="43" t="str">
        <f>IF(COUNTIF(F24_CF!$A:$A,"*" &amp; $A79 &amp; "*") &lt;&gt; 0, "Yes", "No")</f>
        <v>Yes</v>
      </c>
      <c r="Z79" s="43" t="str">
        <f t="array" ref="Z79">INDEX(F24_CF!N:N, MATCH("*" &amp; $A79 &amp; "*", F24_CF!$A:$A, 0))</f>
        <v>Basic One-Day: Wednesday, September 4th [$1000.00]</v>
      </c>
      <c r="AA79" s="43" t="str">
        <f>IF(COUNTIF(S24_CF!$A:$A,"*" &amp; $A79 &amp; "*") &lt;&gt; 0, "Yes", "No")</f>
        <v>Yes</v>
      </c>
      <c r="AB79" s="43" t="str">
        <f t="array" ref="AB79">INDEX(S24_CF!H:H, MATCH("*" &amp; $A79 &amp; "*", S24_CF!$A:$A, 0))</f>
        <v>Basic One-Day [$1000.00]</v>
      </c>
    </row>
    <row r="80" ht="15.0" customHeight="1">
      <c r="A80" s="52" t="s">
        <v>135</v>
      </c>
      <c r="B80" s="43" t="s">
        <v>54</v>
      </c>
      <c r="C80" s="43">
        <v>42000.0</v>
      </c>
      <c r="D80" s="43">
        <v>130000.0</v>
      </c>
      <c r="E80" s="43">
        <v>80.0</v>
      </c>
      <c r="F80" s="43">
        <f>COUNTIF(S26_Emp!$C:$C,"*" &amp;A80 &amp; "*")</f>
        <v>0</v>
      </c>
      <c r="G80" s="43">
        <f>COUNTIF(F25_Emp!$C:$C,"*" &amp;#REF! &amp; "*")</f>
        <v>0</v>
      </c>
      <c r="H80" s="43">
        <f>COUNTIF(S25_Emp!$C:$C,"*" &amp; A80 &amp; "*")</f>
        <v>1</v>
      </c>
      <c r="I80" s="43">
        <f>COUNTIF(F24_Emp!$C:$C,"*" &amp; B80 &amp; "*")</f>
        <v>1</v>
      </c>
      <c r="J80" s="43">
        <f>COUNTIF(S24_Emp!$C:$C,"*" &amp; $A80 &amp; "*")</f>
        <v>1</v>
      </c>
      <c r="K80" s="43">
        <f>COUNTIF(F23_Emp!$C:$C,"*" &amp; $A80 &amp; "*")</f>
        <v>2</v>
      </c>
      <c r="L80" s="43">
        <f>COUNTIF(S23_Emp!$C:$C,"*" &amp; $A80 &amp; "*")</f>
        <v>0</v>
      </c>
      <c r="M80" s="43">
        <f>COUNTIF(F22_Emp!$C:$C,"*" &amp; $A80 &amp; "*")</f>
        <v>0</v>
      </c>
      <c r="N80" s="43">
        <f>COUNTIF(S22_Emp!$C:$C,"*" &amp; $A80 &amp; "*")</f>
        <v>0</v>
      </c>
      <c r="O80" s="43" t="str">
        <f>COUNTIFS(S22_Emp!$C:$C,"*" &amp; $A80 &amp; "*", S22_S25_Emp!$B:$B, "Bachelor")</f>
        <v>#VALUE!</v>
      </c>
      <c r="P80" s="43" t="str">
        <f>COUNTIFS(S22_Emp!$C:$C,"*" &amp; $A80 &amp; "*", S22_S25_Emp!$B:$B, "Master")</f>
        <v>#VALUE!</v>
      </c>
      <c r="Q80" s="43" t="str">
        <f>COUNTIFS(S22_Emp!$C:$C,"*" &amp; $A80 &amp; "*", S22_S25_Emp!$B:$B, "Doctorate")</f>
        <v>#VALUE!</v>
      </c>
      <c r="R80" s="43" t="str">
        <f t="array" ref="R80">IF(OR(INDEX(S26_CF!X:X, MATCH("*" &amp; $A80 &amp; "*", CompanyList!A:A, 0))=TRUE, INDEX(F25_CF!P:P, MATCH("*" &amp; $A80 &amp; "*", CompanyList!A:A, 0))=TRUE, INDEX(S25_CF!T:T, MATCH("*" &amp; $A80 &amp; "*", CompanyList!A:A, 0))=TRUE, INDEX(S24_CF!W:W, MATCH("*" &amp; $A80 &amp; "*", CompanyList!A:A, 0))=TRUE), "Yes", "No")</f>
        <v>No</v>
      </c>
      <c r="S80" s="43" t="str">
        <f>IF(COUNTIF(S26_CF!$A:$A,"*" &amp; $A80 &amp; "*") &lt;&gt; 0, "Yes", "No")</f>
        <v>Yes</v>
      </c>
      <c r="T80" s="43" t="str">
        <f t="array" ref="T80">INDEX(S26_CF!K:K, MATCH("*" &amp; $A80 &amp; "*", S26_CF!A:A, 0))</f>
        <v>Basic One-Day: Wednesday, January 28th [$1000.00]</v>
      </c>
      <c r="U80" s="43" t="str">
        <f>IF(COUNTIF(F25_CF!$A:$A,"*" &amp; $A80 &amp; "*") &lt;&gt; 0, "Yes", "No")</f>
        <v>Yes</v>
      </c>
      <c r="V80" s="43" t="str">
        <f t="array" ref="V80">INDEX(F25_CF!I:I, MATCH("*" &amp; $A80 &amp; "*", F25_CF!$A:$A, 0))</f>
        <v>Basic One-Day: Wednesday, September 10th [$1000.00]</v>
      </c>
      <c r="W80" s="43" t="str">
        <f>IF(COUNTIF(S25_CF!$A:$A,"*" &amp; $A80 &amp; "*") &lt;&gt; 0, "Yes", "No")</f>
        <v>Yes</v>
      </c>
      <c r="X80" s="43" t="str">
        <f t="array" ref="X80">INDEX(S25_CF!J:J, MATCH("*" &amp; $A80 &amp; "*", S25_CF!$A:$A, 0))</f>
        <v>Basic One-Day: Thursday, January 23rd [$1000.00]</v>
      </c>
      <c r="Y80" s="43" t="str">
        <f>IF(COUNTIF(F24_CF!$A:$A,"*" &amp; $A80 &amp; "*") &lt;&gt; 0, "Yes", "No")</f>
        <v>Yes</v>
      </c>
      <c r="Z80" s="43" t="str">
        <f t="array" ref="Z80">INDEX(F24_CF!N:N, MATCH("*" &amp; $A80 &amp; "*", F24_CF!$A:$A, 0))</f>
        <v>Basic One-Day: Wednesday, September 4th [$1000.00]</v>
      </c>
      <c r="AA80" s="43" t="str">
        <f>IF(COUNTIF(S24_CF!$A:$A,"*" &amp; $A80 &amp; "*") &lt;&gt; 0, "Yes", "No")</f>
        <v>Yes</v>
      </c>
      <c r="AB80" s="43" t="str">
        <f t="array" ref="AB80">INDEX(S24_CF!H:H, MATCH("*" &amp; $A80 &amp; "*", S24_CF!$A:$A, 0))</f>
        <v>Basic One-Day [$1000.00]</v>
      </c>
    </row>
    <row r="81" ht="15.0" customHeight="1">
      <c r="A81" s="52" t="s">
        <v>136</v>
      </c>
      <c r="B81" s="43" t="s">
        <v>52</v>
      </c>
      <c r="C81" s="43"/>
      <c r="D81" s="43"/>
      <c r="E81" s="43"/>
      <c r="F81" s="43">
        <f>COUNTIF(S26_Emp!$C:$C,"*" &amp;A81 &amp; "*")</f>
        <v>0</v>
      </c>
      <c r="G81" s="43">
        <f>COUNTIF(F25_Emp!$C:$C,"*" &amp;#REF! &amp; "*")</f>
        <v>0</v>
      </c>
      <c r="H81" s="43">
        <f>COUNTIF(S25_Emp!$C:$C,"*" &amp; A81 &amp; "*")</f>
        <v>0</v>
      </c>
      <c r="I81" s="43">
        <f>COUNTIF(F24_Emp!$C:$C,"*" &amp; B81 &amp; "*")</f>
        <v>0</v>
      </c>
      <c r="J81" s="43">
        <f>COUNTIF(S24_Emp!$C:$C,"*" &amp; $A81 &amp; "*")</f>
        <v>0</v>
      </c>
      <c r="K81" s="43">
        <f>COUNTIF(F23_Emp!$C:$C,"*" &amp; $A81 &amp; "*")</f>
        <v>0</v>
      </c>
      <c r="L81" s="43">
        <f>COUNTIF(S23_Emp!$C:$C,"*" &amp; $A81 &amp; "*")</f>
        <v>0</v>
      </c>
      <c r="M81" s="43">
        <f>COUNTIF(F22_Emp!$C:$C,"*" &amp; $A81 &amp; "*")</f>
        <v>0</v>
      </c>
      <c r="N81" s="43">
        <f>COUNTIF(S22_Emp!$C:$C,"*" &amp; $A81 &amp; "*")</f>
        <v>0</v>
      </c>
      <c r="O81" s="43" t="str">
        <f>COUNTIFS(S22_Emp!$C:$C,"*" &amp; $A81 &amp; "*", S22_S25_Emp!$B:$B, "Bachelor")</f>
        <v>#VALUE!</v>
      </c>
      <c r="P81" s="43" t="str">
        <f>COUNTIFS(S22_Emp!$C:$C,"*" &amp; $A81 &amp; "*", S22_S25_Emp!$B:$B, "Master")</f>
        <v>#VALUE!</v>
      </c>
      <c r="Q81" s="43" t="str">
        <f>COUNTIFS(S22_Emp!$C:$C,"*" &amp; $A81 &amp; "*", S22_S25_Emp!$B:$B, "Doctorate")</f>
        <v>#VALUE!</v>
      </c>
      <c r="R81" s="43" t="str">
        <f t="array" ref="R81">IF(OR(INDEX(S26_CF!X:X, MATCH("*" &amp; $A81 &amp; "*", CompanyList!A:A, 0))=TRUE, INDEX(F25_CF!P:P, MATCH("*" &amp; $A81 &amp; "*", CompanyList!A:A, 0))=TRUE, INDEX(S25_CF!T:T, MATCH("*" &amp; $A81 &amp; "*", CompanyList!A:A, 0))=TRUE, INDEX(S24_CF!W:W, MATCH("*" &amp; $A81 &amp; "*", CompanyList!A:A, 0))=TRUE), "Yes", "No")</f>
        <v>No</v>
      </c>
      <c r="S81" s="43" t="str">
        <f>IF(COUNTIF(S26_CF!$A:$A,"*" &amp; $A81 &amp; "*") &lt;&gt; 0, "Yes", "No")</f>
        <v>Yes</v>
      </c>
      <c r="T81" s="43" t="str">
        <f t="array" ref="T81">INDEX(S26_CF!K:K, MATCH("*" &amp; $A81 &amp; "*", S26_CF!A:A, 0))</f>
        <v>Silver Two-Day [$3000.00]</v>
      </c>
      <c r="U81" s="43" t="str">
        <f>IF(COUNTIF(F25_CF!$A:$A,"*" &amp; $A81 &amp; "*") &lt;&gt; 0, "Yes", "No")</f>
        <v>Yes</v>
      </c>
      <c r="V81" s="43" t="str">
        <f t="array" ref="V81">INDEX(F25_CF!I:I, MATCH("*" &amp; $A81 &amp; "*", F25_CF!$A:$A, 0))</f>
        <v>Silver One-Day: Thursday, September 11th [$1800.00]</v>
      </c>
      <c r="W81" s="43" t="str">
        <f>IF(COUNTIF(S25_CF!$A:$A,"*" &amp; $A81 &amp; "*") &lt;&gt; 0, "Yes", "No")</f>
        <v>Yes</v>
      </c>
      <c r="X81" s="43" t="str">
        <f t="array" ref="X81">INDEX(S25_CF!J:J, MATCH("*" &amp; $A81 &amp; "*", S25_CF!$A:$A, 0))</f>
        <v>Silver One-Day: Thursday, January 23rd [$1800.00]</v>
      </c>
      <c r="Y81" s="43" t="str">
        <f>IF(COUNTIF(F24_CF!$A:$A,"*" &amp; $A81 &amp; "*") &lt;&gt; 0, "Yes", "No")</f>
        <v>Yes</v>
      </c>
      <c r="Z81" s="43" t="str">
        <f t="array" ref="Z81">INDEX(F24_CF!N:N, MATCH("*" &amp; $A81 &amp; "*", F24_CF!$A:$A, 0))</f>
        <v>Silver Two-Day [$3000.00]</v>
      </c>
      <c r="AA81" s="43" t="str">
        <f>IF(COUNTIF(S24_CF!$A:$A,"*" &amp; $A81 &amp; "*") &lt;&gt; 0, "Yes", "No")</f>
        <v>Yes</v>
      </c>
      <c r="AB81" s="43" t="str">
        <f t="array" ref="AB81">INDEX(S24_CF!H:H, MATCH("*" &amp; $A81 &amp; "*", S24_CF!$A:$A, 0))</f>
        <v>Silver One-Day [$1800.00]</v>
      </c>
    </row>
    <row r="82" ht="15.0" customHeight="1">
      <c r="A82" s="52" t="s">
        <v>137</v>
      </c>
      <c r="B82" s="43" t="s">
        <v>52</v>
      </c>
      <c r="C82" s="43"/>
      <c r="D82" s="43"/>
      <c r="E82" s="43"/>
      <c r="F82" s="43">
        <f>COUNTIF(S26_Emp!$C:$C,"*" &amp;A82 &amp; "*")</f>
        <v>0</v>
      </c>
      <c r="G82" s="43">
        <f>COUNTIF(F25_Emp!$C:$C,"*" &amp;#REF! &amp; "*")</f>
        <v>0</v>
      </c>
      <c r="H82" s="43">
        <f>COUNTIF(S25_Emp!$C:$C,"*" &amp; A82 &amp; "*")</f>
        <v>0</v>
      </c>
      <c r="I82" s="43">
        <f>COUNTIF(F24_Emp!$C:$C,"*" &amp; B82 &amp; "*")</f>
        <v>0</v>
      </c>
      <c r="J82" s="43">
        <f>COUNTIF(S24_Emp!$C:$C,"*" &amp; $A82 &amp; "*")</f>
        <v>1</v>
      </c>
      <c r="K82" s="43">
        <f>COUNTIF(F23_Emp!$C:$C,"*" &amp; $A82 &amp; "*")</f>
        <v>0</v>
      </c>
      <c r="L82" s="43">
        <f>COUNTIF(S23_Emp!$C:$C,"*" &amp; $A82 &amp; "*")</f>
        <v>0</v>
      </c>
      <c r="M82" s="43">
        <f>COUNTIF(F22_Emp!$C:$C,"*" &amp; $A82 &amp; "*")</f>
        <v>0</v>
      </c>
      <c r="N82" s="43">
        <f>COUNTIF(S22_Emp!$C:$C,"*" &amp; $A82 &amp; "*")</f>
        <v>0</v>
      </c>
      <c r="O82" s="43" t="str">
        <f>COUNTIFS(S22_Emp!$C:$C,"*" &amp; $A82 &amp; "*", S22_S25_Emp!$B:$B, "Bachelor")</f>
        <v>#VALUE!</v>
      </c>
      <c r="P82" s="43" t="str">
        <f>COUNTIFS(S22_Emp!$C:$C,"*" &amp; $A82 &amp; "*", S22_S25_Emp!$B:$B, "Master")</f>
        <v>#VALUE!</v>
      </c>
      <c r="Q82" s="43" t="str">
        <f>COUNTIFS(S22_Emp!$C:$C,"*" &amp; $A82 &amp; "*", S22_S25_Emp!$B:$B, "Doctorate")</f>
        <v>#VALUE!</v>
      </c>
      <c r="R82" s="43" t="str">
        <f t="array" ref="R82">IF(OR(INDEX(S26_CF!X:X, MATCH("*" &amp; $A82 &amp; "*", CompanyList!A:A, 0))=TRUE, INDEX(F25_CF!P:P, MATCH("*" &amp; $A82 &amp; "*", CompanyList!A:A, 0))=TRUE, INDEX(S25_CF!T:T, MATCH("*" &amp; $A82 &amp; "*", CompanyList!A:A, 0))=TRUE, INDEX(S24_CF!W:W, MATCH("*" &amp; $A82 &amp; "*", CompanyList!A:A, 0))=TRUE), "Yes", "No")</f>
        <v>No</v>
      </c>
      <c r="S82" s="43" t="str">
        <f>IF(COUNTIF(S26_CF!$A:$A,"*" &amp; $A82 &amp; "*") &lt;&gt; 0, "Yes", "No")</f>
        <v>Yes</v>
      </c>
      <c r="T82" s="43" t="str">
        <f t="array" ref="T82">INDEX(S26_CF!K:K, MATCH("*" &amp; $A82 &amp; "*", S26_CF!A:A, 0))</f>
        <v>Basic Two-Day [$2000.00]</v>
      </c>
      <c r="U82" s="43" t="str">
        <f>IF(COUNTIF(F25_CF!$A:$A,"*" &amp; $A82 &amp; "*") &lt;&gt; 0, "Yes", "No")</f>
        <v>Yes</v>
      </c>
      <c r="V82" s="43" t="str">
        <f t="array" ref="V82">INDEX(F25_CF!I:I, MATCH("*" &amp; $A82 &amp; "*", F25_CF!$A:$A, 0))</f>
        <v>Basic Two-Day [$2000.00]</v>
      </c>
      <c r="W82" s="43" t="str">
        <f>IF(COUNTIF(S25_CF!$A:$A,"*" &amp; $A82 &amp; "*") &lt;&gt; 0, "Yes", "No")</f>
        <v>Yes</v>
      </c>
      <c r="X82" s="43" t="str">
        <f t="array" ref="X82">INDEX(S25_CF!J:J, MATCH("*" &amp; $A82 &amp; "*", S25_CF!$A:$A, 0))</f>
        <v>Basic Two-Day [$2000.00]</v>
      </c>
      <c r="Y82" s="43" t="str">
        <f>IF(COUNTIF(F24_CF!$A:$A,"*" &amp; $A82 &amp; "*") &lt;&gt; 0, "Yes", "No")</f>
        <v>Yes</v>
      </c>
      <c r="Z82" s="43" t="str">
        <f t="array" ref="Z82">INDEX(F24_CF!N:N, MATCH("*" &amp; $A82 &amp; "*", F24_CF!$A:$A, 0))</f>
        <v>Basic One-Day: Thursday, September 5th [$1000.00]</v>
      </c>
      <c r="AA82" s="43" t="str">
        <f>IF(COUNTIF(S24_CF!$A:$A,"*" &amp; $A82 &amp; "*") &lt;&gt; 0, "Yes", "No")</f>
        <v>Yes</v>
      </c>
      <c r="AB82" s="43" t="str">
        <f t="array" ref="AB82">INDEX(S24_CF!H:H, MATCH("*" &amp; $A82 &amp; "*", S24_CF!$A:$A, 0))</f>
        <v>Silver One-Day [$1800.00]</v>
      </c>
    </row>
    <row r="83" ht="15.0" customHeight="1">
      <c r="A83" s="52" t="s">
        <v>138</v>
      </c>
      <c r="B83" s="43" t="s">
        <v>52</v>
      </c>
      <c r="C83" s="43"/>
      <c r="D83" s="43"/>
      <c r="E83" s="43"/>
      <c r="F83" s="43">
        <f>COUNTIF(S26_Emp!$C:$C,"*" &amp;A83 &amp; "*")</f>
        <v>0</v>
      </c>
      <c r="G83" s="43">
        <f>COUNTIF(F25_Emp!$C:$C,"*" &amp;#REF! &amp; "*")</f>
        <v>0</v>
      </c>
      <c r="H83" s="43">
        <f>COUNTIF(S25_Emp!$C:$C,"*" &amp; A83 &amp; "*")</f>
        <v>0</v>
      </c>
      <c r="I83" s="43">
        <f>COUNTIF(F24_Emp!$C:$C,"*" &amp; B83 &amp; "*")</f>
        <v>0</v>
      </c>
      <c r="J83" s="43">
        <f>COUNTIF(S24_Emp!$C:$C,"*" &amp; $A83 &amp; "*")</f>
        <v>0</v>
      </c>
      <c r="K83" s="43">
        <f>COUNTIF(F23_Emp!$C:$C,"*" &amp; $A83 &amp; "*")</f>
        <v>0</v>
      </c>
      <c r="L83" s="43">
        <f>COUNTIF(S23_Emp!$C:$C,"*" &amp; $A83 &amp; "*")</f>
        <v>0</v>
      </c>
      <c r="M83" s="43">
        <f>COUNTIF(F22_Emp!$C:$C,"*" &amp; $A83 &amp; "*")</f>
        <v>0</v>
      </c>
      <c r="N83" s="43">
        <f>COUNTIF(S22_Emp!$C:$C,"*" &amp; $A83 &amp; "*")</f>
        <v>0</v>
      </c>
      <c r="O83" s="43" t="str">
        <f>COUNTIFS(S22_Emp!$C:$C,"*" &amp; $A83 &amp; "*", S22_S25_Emp!$B:$B, "Bachelor")</f>
        <v>#VALUE!</v>
      </c>
      <c r="P83" s="43" t="str">
        <f>COUNTIFS(S22_Emp!$C:$C,"*" &amp; $A83 &amp; "*", S22_S25_Emp!$B:$B, "Master")</f>
        <v>#VALUE!</v>
      </c>
      <c r="Q83" s="43" t="str">
        <f>COUNTIFS(S22_Emp!$C:$C,"*" &amp; $A83 &amp; "*", S22_S25_Emp!$B:$B, "Doctorate")</f>
        <v>#VALUE!</v>
      </c>
      <c r="R83" s="43" t="str">
        <f t="array" ref="R83">IF(OR(INDEX(S26_CF!X:X, MATCH("*" &amp; $A83 &amp; "*", CompanyList!A:A, 0))=TRUE, INDEX(F25_CF!P:P, MATCH("*" &amp; $A83 &amp; "*", CompanyList!A:A, 0))=TRUE, INDEX(S25_CF!T:T, MATCH("*" &amp; $A83 &amp; "*", CompanyList!A:A, 0))=TRUE, INDEX(S24_CF!W:W, MATCH("*" &amp; $A83 &amp; "*", CompanyList!A:A, 0))=TRUE), "Yes", "No")</f>
        <v>No</v>
      </c>
      <c r="S83" s="43" t="str">
        <f>IF(COUNTIF(S26_CF!$A:$A,"*" &amp; $A83 &amp; "*") &lt;&gt; 0, "Yes", "No")</f>
        <v>Yes</v>
      </c>
      <c r="T83" s="43" t="str">
        <f t="array" ref="T83">INDEX(S26_CF!K:K, MATCH("*" &amp; $A83 &amp; "*", S26_CF!A:A, 0))</f>
        <v>Basic One-Day: Wednesday, January 28th [$1000.00]</v>
      </c>
      <c r="U83" s="43" t="str">
        <f>IF(COUNTIF(F25_CF!$A:$A,"*" &amp; $A83 &amp; "*") &lt;&gt; 0, "Yes", "No")</f>
        <v>Yes</v>
      </c>
      <c r="V83" s="43" t="str">
        <f t="array" ref="V83">INDEX(F25_CF!I:I, MATCH("*" &amp; $A83 &amp; "*", F25_CF!$A:$A, 0))</f>
        <v>Basic One-Day: Wednesday, September 10th [$1000.00]</v>
      </c>
      <c r="W83" s="43" t="str">
        <f>IF(COUNTIF(S25_CF!$A:$A,"*" &amp; $A83 &amp; "*") &lt;&gt; 0, "Yes", "No")</f>
        <v>Yes</v>
      </c>
      <c r="X83" s="43" t="str">
        <f t="array" ref="X83">INDEX(S25_CF!J:J, MATCH("*" &amp; $A83 &amp; "*", S25_CF!$A:$A, 0))</f>
        <v>Basic One-Day: Wednesday, January 22nd [$1000.00]</v>
      </c>
      <c r="Y83" s="43" t="str">
        <f>IF(COUNTIF(F24_CF!$A:$A,"*" &amp; $A83 &amp; "*") &lt;&gt; 0, "Yes", "No")</f>
        <v>Yes</v>
      </c>
      <c r="Z83" s="43" t="str">
        <f t="array" ref="Z83">INDEX(F24_CF!N:N, MATCH("*" &amp; $A83 &amp; "*", F24_CF!$A:$A, 0))</f>
        <v>Basic One-Day: Thursday, September 5th [$1000.00]</v>
      </c>
      <c r="AA83" s="43" t="str">
        <f>IF(COUNTIF(S24_CF!$A:$A,"*" &amp; $A83 &amp; "*") &lt;&gt; 0, "Yes", "No")</f>
        <v>Yes</v>
      </c>
      <c r="AB83" s="43" t="str">
        <f t="array" ref="AB83">INDEX(S24_CF!H:H, MATCH("*" &amp; $A83 &amp; "*", S24_CF!$A:$A, 0))</f>
        <v>Basic One-Day [$1000.00]</v>
      </c>
    </row>
    <row r="84" ht="15.0" customHeight="1">
      <c r="A84" s="52" t="s">
        <v>139</v>
      </c>
      <c r="B84" s="43" t="s">
        <v>52</v>
      </c>
      <c r="C84" s="43"/>
      <c r="D84" s="43"/>
      <c r="E84" s="43"/>
      <c r="F84" s="43">
        <f>COUNTIF(S26_Emp!$C:$C,"*" &amp;A84 &amp; "*")</f>
        <v>0</v>
      </c>
      <c r="G84" s="43">
        <f>COUNTIF(F25_Emp!$C:$C,"*" &amp;#REF! &amp; "*")</f>
        <v>0</v>
      </c>
      <c r="H84" s="43">
        <f>COUNTIF(S25_Emp!$C:$C,"*" &amp; A84 &amp; "*")</f>
        <v>0</v>
      </c>
      <c r="I84" s="43">
        <f>COUNTIF(F24_Emp!$C:$C,"*" &amp; B84 &amp; "*")</f>
        <v>0</v>
      </c>
      <c r="J84" s="43">
        <f>COUNTIF(S24_Emp!$C:$C,"*" &amp; $A84 &amp; "*")</f>
        <v>2</v>
      </c>
      <c r="K84" s="43">
        <f>COUNTIF(F23_Emp!$C:$C,"*" &amp; $A84 &amp; "*")</f>
        <v>1</v>
      </c>
      <c r="L84" s="43">
        <f>COUNTIF(S23_Emp!$C:$C,"*" &amp; $A84 &amp; "*")</f>
        <v>0</v>
      </c>
      <c r="M84" s="43">
        <f>COUNTIF(F22_Emp!$C:$C,"*" &amp; $A84 &amp; "*")</f>
        <v>0</v>
      </c>
      <c r="N84" s="43">
        <f>COUNTIF(S22_Emp!$C:$C,"*" &amp; $A84 &amp; "*")</f>
        <v>0</v>
      </c>
      <c r="O84" s="43" t="str">
        <f>COUNTIFS(S22_Emp!$C:$C,"*" &amp; $A84 &amp; "*", S22_S25_Emp!$B:$B, "Bachelor")</f>
        <v>#VALUE!</v>
      </c>
      <c r="P84" s="43" t="str">
        <f>COUNTIFS(S22_Emp!$C:$C,"*" &amp; $A84 &amp; "*", S22_S25_Emp!$B:$B, "Master")</f>
        <v>#VALUE!</v>
      </c>
      <c r="Q84" s="43" t="str">
        <f>COUNTIFS(S22_Emp!$C:$C,"*" &amp; $A84 &amp; "*", S22_S25_Emp!$B:$B, "Doctorate")</f>
        <v>#VALUE!</v>
      </c>
      <c r="R84" s="43" t="str">
        <f t="array" ref="R84">IF(OR(INDEX(S26_CF!X:X, MATCH("*" &amp; $A84 &amp; "*", CompanyList!A:A, 0))=TRUE, INDEX(F25_CF!P:P, MATCH("*" &amp; $A84 &amp; "*", CompanyList!A:A, 0))=TRUE, INDEX(S25_CF!T:T, MATCH("*" &amp; $A84 &amp; "*", CompanyList!A:A, 0))=TRUE, INDEX(S24_CF!W:W, MATCH("*" &amp; $A84 &amp; "*", CompanyList!A:A, 0))=TRUE), "Yes", "No")</f>
        <v>Yes</v>
      </c>
      <c r="S84" s="43" t="str">
        <f>IF(COUNTIF(S26_CF!$A:$A,"*" &amp; $A84 &amp; "*") &lt;&gt; 0, "Yes", "No")</f>
        <v>Yes</v>
      </c>
      <c r="T84" s="43" t="str">
        <f t="array" ref="T84">INDEX(S26_CF!K:K, MATCH("*" &amp; $A84 &amp; "*", S26_CF!A:A, 0))</f>
        <v>Basic One-Day: Thursday, January 29th [$1000.00]</v>
      </c>
      <c r="U84" s="43" t="str">
        <f>IF(COUNTIF(F25_CF!$A:$A,"*" &amp; $A84 &amp; "*") &lt;&gt; 0, "Yes", "No")</f>
        <v>No</v>
      </c>
      <c r="V84" s="43" t="str">
        <f t="array" ref="V84">INDEX(F25_CF!I:I, MATCH("*" &amp; $A84 &amp; "*", F25_CF!$A:$A, 0))</f>
        <v>#N/A</v>
      </c>
      <c r="W84" s="43" t="str">
        <f>IF(COUNTIF(S25_CF!$A:$A,"*" &amp; $A84 &amp; "*") &lt;&gt; 0, "Yes", "No")</f>
        <v>Yes</v>
      </c>
      <c r="X84" s="43" t="str">
        <f t="array" ref="X84">INDEX(S25_CF!J:J, MATCH("*" &amp; $A84 &amp; "*", S25_CF!$A:$A, 0))</f>
        <v>Basic One-Day: Thursday, January 23rd [$1000.00]</v>
      </c>
      <c r="Y84" s="43" t="str">
        <f>IF(COUNTIF(F24_CF!$A:$A,"*" &amp; $A84 &amp; "*") &lt;&gt; 0, "Yes", "No")</f>
        <v>No</v>
      </c>
      <c r="Z84" s="43" t="str">
        <f t="array" ref="Z84">INDEX(F24_CF!N:N, MATCH("*" &amp; $A84 &amp; "*", F24_CF!$A:$A, 0))</f>
        <v>#N/A</v>
      </c>
      <c r="AA84" s="43" t="str">
        <f>IF(COUNTIF(S24_CF!$A:$A,"*" &amp; $A84 &amp; "*") &lt;&gt; 0, "Yes", "No")</f>
        <v>Yes</v>
      </c>
      <c r="AB84" s="43" t="str">
        <f t="array" ref="AB84">INDEX(S24_CF!H:H, MATCH("*" &amp; $A84 &amp; "*", S24_CF!$A:$A, 0))</f>
        <v>Basic One-Day [$1000.00]</v>
      </c>
    </row>
    <row r="85" ht="15.0" customHeight="1">
      <c r="A85" s="52" t="s">
        <v>140</v>
      </c>
      <c r="B85" s="43" t="s">
        <v>52</v>
      </c>
      <c r="C85" s="43"/>
      <c r="D85" s="43"/>
      <c r="E85" s="43"/>
      <c r="F85" s="43">
        <f>COUNTIF(S26_Emp!$C:$C,"*" &amp;A85 &amp; "*")</f>
        <v>0</v>
      </c>
      <c r="G85" s="43">
        <f>COUNTIF(F25_Emp!$C:$C,"*" &amp;#REF! &amp; "*")</f>
        <v>0</v>
      </c>
      <c r="H85" s="43">
        <f>COUNTIF(S25_Emp!$C:$C,"*" &amp; A85 &amp; "*")</f>
        <v>1</v>
      </c>
      <c r="I85" s="43">
        <f>COUNTIF(F24_Emp!$C:$C,"*" &amp; B85 &amp; "*")</f>
        <v>0</v>
      </c>
      <c r="J85" s="43">
        <f>COUNTIF(S24_Emp!$C:$C,"*" &amp; $A85 &amp; "*")</f>
        <v>3</v>
      </c>
      <c r="K85" s="43">
        <f>COUNTIF(F23_Emp!$C:$C,"*" &amp; $A85 &amp; "*")</f>
        <v>2</v>
      </c>
      <c r="L85" s="43">
        <f>COUNTIF(S23_Emp!$C:$C,"*" &amp; $A85 &amp; "*")</f>
        <v>2</v>
      </c>
      <c r="M85" s="43">
        <f>COUNTIF(F22_Emp!$C:$C,"*" &amp; $A85 &amp; "*")</f>
        <v>2</v>
      </c>
      <c r="N85" s="43">
        <f>COUNTIF(S22_Emp!$C:$C,"*" &amp; $A85 &amp; "*")</f>
        <v>1</v>
      </c>
      <c r="O85" s="43" t="str">
        <f>COUNTIFS(S22_Emp!$C:$C,"*" &amp; $A85 &amp; "*", S22_S25_Emp!$B:$B, "Bachelor")</f>
        <v>#VALUE!</v>
      </c>
      <c r="P85" s="43" t="str">
        <f>COUNTIFS(S22_Emp!$C:$C,"*" &amp; $A85 &amp; "*", S22_S25_Emp!$B:$B, "Master")</f>
        <v>#VALUE!</v>
      </c>
      <c r="Q85" s="43" t="str">
        <f>COUNTIFS(S22_Emp!$C:$C,"*" &amp; $A85 &amp; "*", S22_S25_Emp!$B:$B, "Doctorate")</f>
        <v>#VALUE!</v>
      </c>
      <c r="R85" s="43" t="str">
        <f t="array" ref="R85">IF(OR(INDEX(S26_CF!X:X, MATCH("*" &amp; $A85 &amp; "*", CompanyList!A:A, 0))=TRUE, INDEX(F25_CF!P:P, MATCH("*" &amp; $A85 &amp; "*", CompanyList!A:A, 0))=TRUE, INDEX(S25_CF!T:T, MATCH("*" &amp; $A85 &amp; "*", CompanyList!A:A, 0))=TRUE, INDEX(S24_CF!W:W, MATCH("*" &amp; $A85 &amp; "*", CompanyList!A:A, 0))=TRUE), "Yes", "No")</f>
        <v>No</v>
      </c>
      <c r="S85" s="43" t="str">
        <f>IF(COUNTIF(S26_CF!$A:$A,"*" &amp; $A85 &amp; "*") &lt;&gt; 0, "Yes", "No")</f>
        <v>Yes</v>
      </c>
      <c r="T85" s="43" t="str">
        <f t="array" ref="T85">INDEX(S26_CF!K:K, MATCH("*" &amp; $A85 &amp; "*", S26_CF!A:A, 0))</f>
        <v>Silver Two-Day [$3000.00]</v>
      </c>
      <c r="U85" s="43" t="str">
        <f>IF(COUNTIF(F25_CF!$A:$A,"*" &amp; $A85 &amp; "*") &lt;&gt; 0, "Yes", "No")</f>
        <v>Yes</v>
      </c>
      <c r="V85" s="43" t="str">
        <f t="array" ref="V85">INDEX(F25_CF!I:I, MATCH("*" &amp; $A85 &amp; "*", F25_CF!$A:$A, 0))</f>
        <v>Silver Two-Day [$3000.00]</v>
      </c>
      <c r="W85" s="43" t="str">
        <f>IF(COUNTIF(S25_CF!$A:$A,"*" &amp; $A85 &amp; "*") &lt;&gt; 0, "Yes", "No")</f>
        <v>Yes</v>
      </c>
      <c r="X85" s="43" t="str">
        <f t="array" ref="X85">INDEX(S25_CF!J:J, MATCH("*" &amp; $A85 &amp; "*", S25_CF!$A:$A, 0))</f>
        <v>Silver Two-Day [$3000.00]</v>
      </c>
      <c r="Y85" s="43" t="str">
        <f>IF(COUNTIF(F24_CF!$A:$A,"*" &amp; $A85 &amp; "*") &lt;&gt; 0, "Yes", "No")</f>
        <v>Yes</v>
      </c>
      <c r="Z85" s="43" t="str">
        <f t="array" ref="Z85">INDEX(F24_CF!N:N, MATCH("*" &amp; $A85 &amp; "*", F24_CF!$A:$A, 0))</f>
        <v>Silver One-Day: Thursday, September 5th [$1800.00]</v>
      </c>
      <c r="AA85" s="43" t="str">
        <f>IF(COUNTIF(S24_CF!$A:$A,"*" &amp; $A85 &amp; "*") &lt;&gt; 0, "Yes", "No")</f>
        <v>Yes</v>
      </c>
      <c r="AB85" s="43" t="str">
        <f t="array" ref="AB85">INDEX(S24_CF!H:H, MATCH("*" &amp; $A85 &amp; "*", S24_CF!$A:$A, 0))</f>
        <v>Gold Two-Day [$5000.00]</v>
      </c>
    </row>
    <row r="86" ht="15.0" customHeight="1">
      <c r="A86" s="52" t="s">
        <v>141</v>
      </c>
      <c r="B86" s="43" t="s">
        <v>54</v>
      </c>
      <c r="C86" s="43">
        <v>23000.0</v>
      </c>
      <c r="D86" s="43">
        <v>48000.0</v>
      </c>
      <c r="E86" s="43">
        <v>35.0</v>
      </c>
      <c r="F86" s="43">
        <f>COUNTIF(S26_Emp!$C:$C,"*" &amp;A86 &amp; "*")</f>
        <v>0</v>
      </c>
      <c r="G86" s="43">
        <f>COUNTIF(F25_Emp!$C:$C,"*" &amp;#REF! &amp; "*")</f>
        <v>0</v>
      </c>
      <c r="H86" s="43">
        <f>COUNTIF(S25_Emp!$C:$C,"*" &amp; A86 &amp; "*")</f>
        <v>4</v>
      </c>
      <c r="I86" s="43">
        <f>COUNTIF(F24_Emp!$C:$C,"*" &amp; B86 &amp; "*")</f>
        <v>1</v>
      </c>
      <c r="J86" s="43">
        <f>COUNTIF(S24_Emp!$C:$C,"*" &amp; $A86 &amp; "*")</f>
        <v>7</v>
      </c>
      <c r="K86" s="43">
        <f>COUNTIF(F23_Emp!$C:$C,"*" &amp; $A86 &amp; "*")</f>
        <v>4</v>
      </c>
      <c r="L86" s="43">
        <f>COUNTIF(S23_Emp!$C:$C,"*" &amp; $A86 &amp; "*")</f>
        <v>5</v>
      </c>
      <c r="M86" s="43">
        <f>COUNTIF(F22_Emp!$C:$C,"*" &amp; $A86 &amp; "*")</f>
        <v>5</v>
      </c>
      <c r="N86" s="43">
        <f>COUNTIF(S22_Emp!$C:$C,"*" &amp; $A86 &amp; "*")</f>
        <v>6</v>
      </c>
      <c r="O86" s="43" t="str">
        <f>COUNTIFS(S22_Emp!$C:$C,"*" &amp; $A86 &amp; "*", S22_S25_Emp!$B:$B, "Bachelor")</f>
        <v>#VALUE!</v>
      </c>
      <c r="P86" s="43" t="str">
        <f>COUNTIFS(S22_Emp!$C:$C,"*" &amp; $A86 &amp; "*", S22_S25_Emp!$B:$B, "Master")</f>
        <v>#VALUE!</v>
      </c>
      <c r="Q86" s="43" t="str">
        <f>COUNTIFS(S22_Emp!$C:$C,"*" &amp; $A86 &amp; "*", S22_S25_Emp!$B:$B, "Doctorate")</f>
        <v>#VALUE!</v>
      </c>
      <c r="R86" s="43" t="str">
        <f t="array" ref="R86">IF(OR(INDEX(S26_CF!X:X, MATCH("*" &amp; $A86 &amp; "*", CompanyList!A:A, 0))=TRUE, INDEX(F25_CF!P:P, MATCH("*" &amp; $A86 &amp; "*", CompanyList!A:A, 0))=TRUE, INDEX(S25_CF!T:T, MATCH("*" &amp; $A86 &amp; "*", CompanyList!A:A, 0))=TRUE, INDEX(S24_CF!W:W, MATCH("*" &amp; $A86 &amp; "*", CompanyList!A:A, 0))=TRUE), "Yes", "No")</f>
        <v>No</v>
      </c>
      <c r="S86" s="43" t="str">
        <f>IF(COUNTIF(S26_CF!$A:$A,"*" &amp; $A86 &amp; "*") &lt;&gt; 0, "Yes", "No")</f>
        <v>Yes</v>
      </c>
      <c r="T86" s="43" t="str">
        <f t="array" ref="T86">INDEX(S26_CF!K:K, MATCH("*" &amp; $A86 &amp; "*", S26_CF!A:A, 0))</f>
        <v>Gold Two-Day [$5500.00]</v>
      </c>
      <c r="U86" s="43" t="str">
        <f>IF(COUNTIF(F25_CF!$A:$A,"*" &amp; $A86 &amp; "*") &lt;&gt; 0, "Yes", "No")</f>
        <v>Yes</v>
      </c>
      <c r="V86" s="43" t="str">
        <f t="array" ref="V86">INDEX(F25_CF!I:I, MATCH("*" &amp; $A86 &amp; "*", F25_CF!$A:$A, 0))</f>
        <v>Gold Two-Day [$5500.00]</v>
      </c>
      <c r="W86" s="43" t="str">
        <f>IF(COUNTIF(S25_CF!$A:$A,"*" &amp; $A86 &amp; "*") &lt;&gt; 0, "Yes", "No")</f>
        <v>Yes</v>
      </c>
      <c r="X86" s="43" t="str">
        <f t="array" ref="X86">INDEX(S25_CF!J:J, MATCH("*" &amp; $A86 &amp; "*", S25_CF!$A:$A, 0))</f>
        <v>Gold Two-Day [$5500.00]</v>
      </c>
      <c r="Y86" s="43" t="str">
        <f>IF(COUNTIF(F24_CF!$A:$A,"*" &amp; $A86 &amp; "*") &lt;&gt; 0, "Yes", "No")</f>
        <v>Yes</v>
      </c>
      <c r="Z86" s="43" t="str">
        <f t="array" ref="Z86">INDEX(F24_CF!N:N, MATCH("*" &amp; $A86 &amp; "*", F24_CF!$A:$A, 0))</f>
        <v>Gold Two-Day [$5500.00]</v>
      </c>
      <c r="AA86" s="43" t="str">
        <f>IF(COUNTIF(S24_CF!$A:$A,"*" &amp; $A86 &amp; "*") &lt;&gt; 0, "Yes", "No")</f>
        <v>Yes</v>
      </c>
      <c r="AB86" s="43" t="str">
        <f t="array" ref="AB86">INDEX(S24_CF!H:H, MATCH("*" &amp; $A86 &amp; "*", S24_CF!$A:$A, 0))</f>
        <v>Gold Two-Day [$5000.00]</v>
      </c>
    </row>
    <row r="87" ht="15.0" customHeight="1">
      <c r="A87" s="52" t="s">
        <v>142</v>
      </c>
      <c r="B87" s="43" t="s">
        <v>52</v>
      </c>
      <c r="C87" s="43"/>
      <c r="D87" s="43"/>
      <c r="E87" s="43"/>
      <c r="F87" s="43">
        <f>COUNTIF(S26_Emp!$C:$C,"*" &amp;A87 &amp; "*")</f>
        <v>0</v>
      </c>
      <c r="G87" s="43">
        <f>COUNTIF(F25_Emp!$C:$C,"*" &amp;#REF! &amp; "*")</f>
        <v>0</v>
      </c>
      <c r="H87" s="43">
        <f>COUNTIF(S25_Emp!$C:$C,"*" &amp; A87 &amp; "*")</f>
        <v>0</v>
      </c>
      <c r="I87" s="43">
        <f>COUNTIF(F24_Emp!$C:$C,"*" &amp; B87 &amp; "*")</f>
        <v>0</v>
      </c>
      <c r="J87" s="43">
        <f>COUNTIF(S24_Emp!$C:$C,"*" &amp; $A87 &amp; "*")</f>
        <v>0</v>
      </c>
      <c r="K87" s="43">
        <f>COUNTIF(F23_Emp!$C:$C,"*" &amp; $A87 &amp; "*")</f>
        <v>0</v>
      </c>
      <c r="L87" s="43">
        <f>COUNTIF(S23_Emp!$C:$C,"*" &amp; $A87 &amp; "*")</f>
        <v>0</v>
      </c>
      <c r="M87" s="43">
        <f>COUNTIF(F22_Emp!$C:$C,"*" &amp; $A87 &amp; "*")</f>
        <v>0</v>
      </c>
      <c r="N87" s="43">
        <f>COUNTIF(S22_Emp!$C:$C,"*" &amp; $A87 &amp; "*")</f>
        <v>0</v>
      </c>
      <c r="O87" s="43" t="str">
        <f>COUNTIFS(S22_Emp!$C:$C,"*" &amp; $A87 &amp; "*", S22_S25_Emp!$B:$B, "Bachelor")</f>
        <v>#VALUE!</v>
      </c>
      <c r="P87" s="43" t="str">
        <f>COUNTIFS(S22_Emp!$C:$C,"*" &amp; $A87 &amp; "*", S22_S25_Emp!$B:$B, "Master")</f>
        <v>#VALUE!</v>
      </c>
      <c r="Q87" s="43" t="str">
        <f>COUNTIFS(S22_Emp!$C:$C,"*" &amp; $A87 &amp; "*", S22_S25_Emp!$B:$B, "Doctorate")</f>
        <v>#VALUE!</v>
      </c>
      <c r="R87" s="43" t="str">
        <f t="array" ref="R87">IF(OR(INDEX(S26_CF!X:X, MATCH("*" &amp; $A87 &amp; "*", CompanyList!A:A, 0))=TRUE, INDEX(F25_CF!P:P, MATCH("*" &amp; $A87 &amp; "*", CompanyList!A:A, 0))=TRUE, INDEX(S25_CF!T:T, MATCH("*" &amp; $A87 &amp; "*", CompanyList!A:A, 0))=TRUE, INDEX(S24_CF!W:W, MATCH("*" &amp; $A87 &amp; "*", CompanyList!A:A, 0))=TRUE), "Yes", "No")</f>
        <v>Yes</v>
      </c>
      <c r="S87" s="43" t="str">
        <f>IF(COUNTIF(S26_CF!$A:$A,"*" &amp; $A87 &amp; "*") &lt;&gt; 0, "Yes", "No")</f>
        <v>No</v>
      </c>
      <c r="T87" s="43" t="str">
        <f t="array" ref="T87">INDEX(S26_CF!K:K, MATCH("*" &amp; $A87 &amp; "*", S26_CF!A:A, 0))</f>
        <v>#N/A</v>
      </c>
      <c r="U87" s="43" t="str">
        <f>IF(COUNTIF(F25_CF!$A:$A,"*" &amp; $A87 &amp; "*") &lt;&gt; 0, "Yes", "No")</f>
        <v>No</v>
      </c>
      <c r="V87" s="43" t="str">
        <f t="array" ref="V87">INDEX(F25_CF!I:I, MATCH("*" &amp; $A87 &amp; "*", F25_CF!$A:$A, 0))</f>
        <v>#N/A</v>
      </c>
      <c r="W87" s="43" t="str">
        <f>IF(COUNTIF(S25_CF!$A:$A,"*" &amp; $A87 &amp; "*") &lt;&gt; 0, "Yes", "No")</f>
        <v>Yes</v>
      </c>
      <c r="X87" s="43" t="str">
        <f t="array" ref="X87">INDEX(S25_CF!J:J, MATCH("*" &amp; $A87 &amp; "*", S25_CF!$A:$A, 0))</f>
        <v>Basic One-Day: Wednesday, January 22nd [$1000.00]</v>
      </c>
      <c r="Y87" s="43" t="str">
        <f>IF(COUNTIF(F24_CF!$A:$A,"*" &amp; $A87 &amp; "*") &lt;&gt; 0, "Yes", "No")</f>
        <v>No</v>
      </c>
      <c r="Z87" s="43" t="str">
        <f t="array" ref="Z87">INDEX(F24_CF!N:N, MATCH("*" &amp; $A87 &amp; "*", F24_CF!$A:$A, 0))</f>
        <v>#N/A</v>
      </c>
      <c r="AA87" s="43" t="str">
        <f>IF(COUNTIF(S24_CF!$A:$A,"*" &amp; $A87 &amp; "*") &lt;&gt; 0, "Yes", "No")</f>
        <v>Yes</v>
      </c>
      <c r="AB87" s="43" t="str">
        <f t="array" ref="AB87">INDEX(S24_CF!H:H, MATCH("*" &amp; $A87 &amp; "*", S24_CF!$A:$A, 0))</f>
        <v>Basic One-Day [$1000.00]</v>
      </c>
    </row>
    <row r="88" ht="15.0" customHeight="1">
      <c r="A88" s="52" t="s">
        <v>143</v>
      </c>
      <c r="B88" s="43" t="s">
        <v>52</v>
      </c>
      <c r="C88" s="43"/>
      <c r="D88" s="43"/>
      <c r="E88" s="43"/>
      <c r="F88" s="43">
        <f>COUNTIF(S26_Emp!$C:$C,"*" &amp;A88 &amp; "*")</f>
        <v>0</v>
      </c>
      <c r="G88" s="43">
        <f>COUNTIF(F25_Emp!$C:$C,"*" &amp;#REF! &amp; "*")</f>
        <v>0</v>
      </c>
      <c r="H88" s="43">
        <f>COUNTIF(S25_Emp!$C:$C,"*" &amp; A88 &amp; "*")</f>
        <v>0</v>
      </c>
      <c r="I88" s="43">
        <f>COUNTIF(F24_Emp!$C:$C,"*" &amp; B88 &amp; "*")</f>
        <v>0</v>
      </c>
      <c r="J88" s="43">
        <f>COUNTIF(S24_Emp!$C:$C,"*" &amp; $A88 &amp; "*")</f>
        <v>0</v>
      </c>
      <c r="K88" s="43">
        <f>COUNTIF(F23_Emp!$C:$C,"*" &amp; $A88 &amp; "*")</f>
        <v>0</v>
      </c>
      <c r="L88" s="43">
        <f>COUNTIF(S23_Emp!$C:$C,"*" &amp; $A88 &amp; "*")</f>
        <v>1</v>
      </c>
      <c r="M88" s="43">
        <f>COUNTIF(F22_Emp!$C:$C,"*" &amp; $A88 &amp; "*")</f>
        <v>0</v>
      </c>
      <c r="N88" s="43">
        <f>COUNTIF(S22_Emp!$C:$C,"*" &amp; $A88 &amp; "*")</f>
        <v>0</v>
      </c>
      <c r="O88" s="43" t="str">
        <f>COUNTIFS(S22_Emp!$C:$C,"*" &amp; $A88 &amp; "*", S22_S25_Emp!$B:$B, "Bachelor")</f>
        <v>#VALUE!</v>
      </c>
      <c r="P88" s="43" t="str">
        <f>COUNTIFS(S22_Emp!$C:$C,"*" &amp; $A88 &amp; "*", S22_S25_Emp!$B:$B, "Master")</f>
        <v>#VALUE!</v>
      </c>
      <c r="Q88" s="43" t="str">
        <f>COUNTIFS(S22_Emp!$C:$C,"*" &amp; $A88 &amp; "*", S22_S25_Emp!$B:$B, "Doctorate")</f>
        <v>#VALUE!</v>
      </c>
      <c r="R88" s="43" t="str">
        <f t="array" ref="R88">IF(OR(INDEX(S26_CF!X:X, MATCH("*" &amp; $A88 &amp; "*", CompanyList!A:A, 0))=TRUE, INDEX(F25_CF!P:P, MATCH("*" &amp; $A88 &amp; "*", CompanyList!A:A, 0))=TRUE, INDEX(S25_CF!T:T, MATCH("*" &amp; $A88 &amp; "*", CompanyList!A:A, 0))=TRUE, INDEX(S24_CF!W:W, MATCH("*" &amp; $A88 &amp; "*", CompanyList!A:A, 0))=TRUE), "Yes", "No")</f>
        <v>No</v>
      </c>
      <c r="S88" s="43" t="str">
        <f>IF(COUNTIF(S26_CF!$A:$A,"*" &amp; $A88 &amp; "*") &lt;&gt; 0, "Yes", "No")</f>
        <v>Yes</v>
      </c>
      <c r="T88" s="43" t="str">
        <f t="array" ref="T88">INDEX(S26_CF!K:K, MATCH("*" &amp; $A88 &amp; "*", S26_CF!A:A, 0))</f>
        <v>Basic One-Day: Wednesday, January 28th [$1000.00]</v>
      </c>
      <c r="U88" s="43" t="str">
        <f>IF(COUNTIF(F25_CF!$A:$A,"*" &amp; $A88 &amp; "*") &lt;&gt; 0, "Yes", "No")</f>
        <v>No</v>
      </c>
      <c r="V88" s="43" t="str">
        <f t="array" ref="V88">INDEX(F25_CF!I:I, MATCH("*" &amp; $A88 &amp; "*", F25_CF!$A:$A, 0))</f>
        <v>#N/A</v>
      </c>
      <c r="W88" s="43" t="str">
        <f>IF(COUNTIF(S25_CF!$A:$A,"*" &amp; $A88 &amp; "*") &lt;&gt; 0, "Yes", "No")</f>
        <v>Yes</v>
      </c>
      <c r="X88" s="43" t="str">
        <f t="array" ref="X88">INDEX(S25_CF!J:J, MATCH("*" &amp; $A88 &amp; "*", S25_CF!$A:$A, 0))</f>
        <v>Silver One-Day: Thursday, January 23rd [$1800.00]</v>
      </c>
      <c r="Y88" s="43" t="str">
        <f>IF(COUNTIF(F24_CF!$A:$A,"*" &amp; $A88 &amp; "*") &lt;&gt; 0, "Yes", "No")</f>
        <v>No</v>
      </c>
      <c r="Z88" s="43" t="str">
        <f t="array" ref="Z88">INDEX(F24_CF!N:N, MATCH("*" &amp; $A88 &amp; "*", F24_CF!$A:$A, 0))</f>
        <v>#N/A</v>
      </c>
      <c r="AA88" s="43" t="str">
        <f>IF(COUNTIF(S24_CF!$A:$A,"*" &amp; $A88 &amp; "*") &lt;&gt; 0, "Yes", "No")</f>
        <v>Yes</v>
      </c>
      <c r="AB88" s="43" t="str">
        <f t="array" ref="AB88">INDEX(S24_CF!H:H, MATCH("*" &amp; $A88 &amp; "*", S24_CF!$A:$A, 0))</f>
        <v>Silver One-Day [$1800.00]</v>
      </c>
    </row>
    <row r="89" ht="15.0" customHeight="1">
      <c r="A89" s="52" t="s">
        <v>144</v>
      </c>
      <c r="B89" s="43" t="s">
        <v>52</v>
      </c>
      <c r="C89" s="43"/>
      <c r="D89" s="43"/>
      <c r="E89" s="43"/>
      <c r="F89" s="43">
        <f>COUNTIF(S26_Emp!$C:$C,"*" &amp;A89 &amp; "*")</f>
        <v>0</v>
      </c>
      <c r="G89" s="43">
        <f>COUNTIF(F25_Emp!$C:$C,"*" &amp;#REF! &amp; "*")</f>
        <v>0</v>
      </c>
      <c r="H89" s="43">
        <f>COUNTIF(S25_Emp!$C:$C,"*" &amp; A89 &amp; "*")</f>
        <v>0</v>
      </c>
      <c r="I89" s="43">
        <f>COUNTIF(F24_Emp!$C:$C,"*" &amp; B89 &amp; "*")</f>
        <v>0</v>
      </c>
      <c r="J89" s="43">
        <f>COUNTIF(S24_Emp!$C:$C,"*" &amp; $A89 &amp; "*")</f>
        <v>1</v>
      </c>
      <c r="K89" s="43">
        <f>COUNTIF(F23_Emp!$C:$C,"*" &amp; $A89 &amp; "*")</f>
        <v>0</v>
      </c>
      <c r="L89" s="43">
        <f>COUNTIF(S23_Emp!$C:$C,"*" &amp; $A89 &amp; "*")</f>
        <v>0</v>
      </c>
      <c r="M89" s="43">
        <f>COUNTIF(F22_Emp!$C:$C,"*" &amp; $A89 &amp; "*")</f>
        <v>0</v>
      </c>
      <c r="N89" s="43">
        <f>COUNTIF(S22_Emp!$C:$C,"*" &amp; $A89 &amp; "*")</f>
        <v>0</v>
      </c>
      <c r="O89" s="43" t="str">
        <f>COUNTIFS(S22_Emp!$C:$C,"*" &amp; $A89 &amp; "*", S22_S25_Emp!$B:$B, "Bachelor")</f>
        <v>#VALUE!</v>
      </c>
      <c r="P89" s="43" t="str">
        <f>COUNTIFS(S22_Emp!$C:$C,"*" &amp; $A89 &amp; "*", S22_S25_Emp!$B:$B, "Master")</f>
        <v>#VALUE!</v>
      </c>
      <c r="Q89" s="43" t="str">
        <f>COUNTIFS(S22_Emp!$C:$C,"*" &amp; $A89 &amp; "*", S22_S25_Emp!$B:$B, "Doctorate")</f>
        <v>#VALUE!</v>
      </c>
      <c r="R89" s="43" t="str">
        <f t="array" ref="R89">IF(OR(INDEX(S26_CF!X:X, MATCH("*" &amp; $A89 &amp; "*", CompanyList!A:A, 0))=TRUE, INDEX(F25_CF!P:P, MATCH("*" &amp; $A89 &amp; "*", CompanyList!A:A, 0))=TRUE, INDEX(S25_CF!T:T, MATCH("*" &amp; $A89 &amp; "*", CompanyList!A:A, 0))=TRUE, INDEX(S24_CF!W:W, MATCH("*" &amp; $A89 &amp; "*", CompanyList!A:A, 0))=TRUE), "Yes", "No")</f>
        <v>Yes</v>
      </c>
      <c r="S89" s="43" t="str">
        <f>IF(COUNTIF(S26_CF!$A:$A,"*" &amp; $A89 &amp; "*") &lt;&gt; 0, "Yes", "No")</f>
        <v>Yes</v>
      </c>
      <c r="T89" s="43" t="str">
        <f t="array" ref="T89">INDEX(S26_CF!K:K, MATCH("*" &amp; $A89 &amp; "*", S26_CF!A:A, 0))</f>
        <v>Basic One-Day: Wednesday, January 28th [$1000.00]</v>
      </c>
      <c r="U89" s="43" t="str">
        <f>IF(COUNTIF(F25_CF!$A:$A,"*" &amp; $A89 &amp; "*") &lt;&gt; 0, "Yes", "No")</f>
        <v>Yes</v>
      </c>
      <c r="V89" s="43" t="str">
        <f t="array" ref="V89">INDEX(F25_CF!I:I, MATCH("*" &amp; $A89 &amp; "*", F25_CF!$A:$A, 0))</f>
        <v>Basic One-Day: Thursday, September 11th [$1000.00]</v>
      </c>
      <c r="W89" s="43" t="str">
        <f>IF(COUNTIF(S25_CF!$A:$A,"*" &amp; $A89 &amp; "*") &lt;&gt; 0, "Yes", "No")</f>
        <v>Yes</v>
      </c>
      <c r="X89" s="43" t="str">
        <f t="array" ref="X89">INDEX(S25_CF!J:J, MATCH("*" &amp; $A89 &amp; "*", S25_CF!$A:$A, 0))</f>
        <v>Basic Two-Day [$2000.00]</v>
      </c>
      <c r="Y89" s="43" t="str">
        <f>IF(COUNTIF(F24_CF!$A:$A,"*" &amp; $A89 &amp; "*") &lt;&gt; 0, "Yes", "No")</f>
        <v>Yes</v>
      </c>
      <c r="Z89" s="43" t="str">
        <f t="array" ref="Z89">INDEX(F24_CF!N:N, MATCH("*" &amp; $A89 &amp; "*", F24_CF!$A:$A, 0))</f>
        <v>Basic Two-Day [$2000.00]</v>
      </c>
      <c r="AA89" s="43" t="str">
        <f>IF(COUNTIF(S24_CF!$A:$A,"*" &amp; $A89 &amp; "*") &lt;&gt; 0, "Yes", "No")</f>
        <v>Yes</v>
      </c>
      <c r="AB89" s="43" t="str">
        <f t="array" ref="AB89">INDEX(S24_CF!H:H, MATCH("*" &amp; $A89 &amp; "*", S24_CF!$A:$A, 0))</f>
        <v>Basic Two-Day [$2000.00]</v>
      </c>
    </row>
    <row r="90" ht="15.0" customHeight="1">
      <c r="A90" s="52" t="s">
        <v>145</v>
      </c>
      <c r="B90" s="43" t="s">
        <v>52</v>
      </c>
      <c r="C90" s="43"/>
      <c r="D90" s="43"/>
      <c r="E90" s="43"/>
      <c r="F90" s="43">
        <f>COUNTIF(S26_Emp!$C:$C,"*" &amp;A90 &amp; "*")</f>
        <v>0</v>
      </c>
      <c r="G90" s="43">
        <f>COUNTIF(F25_Emp!$C:$C,"*" &amp;#REF! &amp; "*")</f>
        <v>0</v>
      </c>
      <c r="H90" s="43">
        <f>COUNTIF(S25_Emp!$C:$C,"*" &amp; A90 &amp; "*")</f>
        <v>2</v>
      </c>
      <c r="I90" s="43">
        <f>COUNTIF(F24_Emp!$C:$C,"*" &amp; B90 &amp; "*")</f>
        <v>0</v>
      </c>
      <c r="J90" s="43">
        <f>COUNTIF(S24_Emp!$C:$C,"*" &amp; $A90 &amp; "*")</f>
        <v>0</v>
      </c>
      <c r="K90" s="43">
        <f>COUNTIF(F23_Emp!$C:$C,"*" &amp; $A90 &amp; "*")</f>
        <v>1</v>
      </c>
      <c r="L90" s="43">
        <f>COUNTIF(S23_Emp!$C:$C,"*" &amp; $A90 &amp; "*")</f>
        <v>0</v>
      </c>
      <c r="M90" s="43">
        <f>COUNTIF(F22_Emp!$C:$C,"*" &amp; $A90 &amp; "*")</f>
        <v>0</v>
      </c>
      <c r="N90" s="43">
        <f>COUNTIF(S22_Emp!$C:$C,"*" &amp; $A90 &amp; "*")</f>
        <v>3</v>
      </c>
      <c r="O90" s="43" t="str">
        <f>COUNTIFS(S22_Emp!$C:$C,"*" &amp; $A90 &amp; "*", S22_S25_Emp!$B:$B, "Bachelor")</f>
        <v>#VALUE!</v>
      </c>
      <c r="P90" s="43" t="str">
        <f>COUNTIFS(S22_Emp!$C:$C,"*" &amp; $A90 &amp; "*", S22_S25_Emp!$B:$B, "Master")</f>
        <v>#VALUE!</v>
      </c>
      <c r="Q90" s="43" t="str">
        <f>COUNTIFS(S22_Emp!$C:$C,"*" &amp; $A90 &amp; "*", S22_S25_Emp!$B:$B, "Doctorate")</f>
        <v>#VALUE!</v>
      </c>
      <c r="R90" s="43" t="str">
        <f t="array" ref="R90">IF(OR(INDEX(S26_CF!X:X, MATCH("*" &amp; $A90 &amp; "*", CompanyList!A:A, 0))=TRUE, INDEX(F25_CF!P:P, MATCH("*" &amp; $A90 &amp; "*", CompanyList!A:A, 0))=TRUE, INDEX(S25_CF!T:T, MATCH("*" &amp; $A90 &amp; "*", CompanyList!A:A, 0))=TRUE, INDEX(S24_CF!W:W, MATCH("*" &amp; $A90 &amp; "*", CompanyList!A:A, 0))=TRUE), "Yes", "No")</f>
        <v>No</v>
      </c>
      <c r="S90" s="43" t="str">
        <f>IF(COUNTIF(S26_CF!$A:$A,"*" &amp; $A90 &amp; "*") &lt;&gt; 0, "Yes", "No")</f>
        <v>Yes</v>
      </c>
      <c r="T90" s="43" t="str">
        <f t="array" ref="T90">INDEX(S26_CF!K:K, MATCH("*" &amp; $A90 &amp; "*", S26_CF!A:A, 0))</f>
        <v>Gold Two-Day [$5500.00]</v>
      </c>
      <c r="U90" s="43" t="str">
        <f>IF(COUNTIF(F25_CF!$A:$A,"*" &amp; $A90 &amp; "*") &lt;&gt; 0, "Yes", "No")</f>
        <v>Yes</v>
      </c>
      <c r="V90" s="43" t="str">
        <f t="array" ref="V90">INDEX(F25_CF!I:I, MATCH("*" &amp; $A90 &amp; "*", F25_CF!$A:$A, 0))</f>
        <v>Gold Two-Day [$5500.00]</v>
      </c>
      <c r="W90" s="43" t="str">
        <f>IF(COUNTIF(S25_CF!$A:$A,"*" &amp; $A90 &amp; "*") &lt;&gt; 0, "Yes", "No")</f>
        <v>Yes</v>
      </c>
      <c r="X90" s="43" t="str">
        <f t="array" ref="X90">INDEX(S25_CF!J:J, MATCH("*" &amp; $A90 &amp; "*", S25_CF!$A:$A, 0))</f>
        <v>Gold Two-Day [$5500.00]</v>
      </c>
      <c r="Y90" s="43" t="str">
        <f>IF(COUNTIF(F24_CF!$A:$A,"*" &amp; $A90 &amp; "*") &lt;&gt; 0, "Yes", "No")</f>
        <v>Yes</v>
      </c>
      <c r="Z90" s="43" t="str">
        <f t="array" ref="Z90">INDEX(F24_CF!N:N, MATCH("*" &amp; $A90 &amp; "*", F24_CF!$A:$A, 0))</f>
        <v>Gold Two-Day [$5500.00]</v>
      </c>
      <c r="AA90" s="43" t="str">
        <f>IF(COUNTIF(S24_CF!$A:$A,"*" &amp; $A90 &amp; "*") &lt;&gt; 0, "Yes", "No")</f>
        <v>Yes</v>
      </c>
      <c r="AB90" s="43" t="str">
        <f t="array" ref="AB90">INDEX(S24_CF!H:H, MATCH("*" &amp; $A90 &amp; "*", S24_CF!$A:$A, 0))</f>
        <v>Gold Two-Day [$5000.00]</v>
      </c>
    </row>
    <row r="91" ht="15.0" customHeight="1">
      <c r="A91" s="52" t="s">
        <v>146</v>
      </c>
      <c r="B91" s="43" t="s">
        <v>52</v>
      </c>
      <c r="C91" s="43"/>
      <c r="D91" s="43"/>
      <c r="E91" s="43"/>
      <c r="F91" s="43">
        <f>COUNTIF(S26_Emp!$C:$C,"*" &amp;A91 &amp; "*")</f>
        <v>0</v>
      </c>
      <c r="G91" s="43">
        <f>COUNTIF(F25_Emp!$C:$C,"*" &amp;#REF! &amp; "*")</f>
        <v>0</v>
      </c>
      <c r="H91" s="43">
        <f>COUNTIF(S25_Emp!$C:$C,"*" &amp; A91 &amp; "*")</f>
        <v>0</v>
      </c>
      <c r="I91" s="43">
        <f>COUNTIF(F24_Emp!$C:$C,"*" &amp; B91 &amp; "*")</f>
        <v>0</v>
      </c>
      <c r="J91" s="43">
        <f>COUNTIF(S24_Emp!$C:$C,"*" &amp; $A91 &amp; "*")</f>
        <v>0</v>
      </c>
      <c r="K91" s="43">
        <f>COUNTIF(F23_Emp!$C:$C,"*" &amp; $A91 &amp; "*")</f>
        <v>0</v>
      </c>
      <c r="L91" s="43">
        <f>COUNTIF(S23_Emp!$C:$C,"*" &amp; $A91 &amp; "*")</f>
        <v>1</v>
      </c>
      <c r="M91" s="43">
        <f>COUNTIF(F22_Emp!$C:$C,"*" &amp; $A91 &amp; "*")</f>
        <v>0</v>
      </c>
      <c r="N91" s="43">
        <f>COUNTIF(S22_Emp!$C:$C,"*" &amp; $A91 &amp; "*")</f>
        <v>0</v>
      </c>
      <c r="O91" s="43" t="str">
        <f>COUNTIFS(S22_Emp!$C:$C,"*" &amp; $A91 &amp; "*", S22_S25_Emp!$B:$B, "Bachelor")</f>
        <v>#VALUE!</v>
      </c>
      <c r="P91" s="43" t="str">
        <f>COUNTIFS(S22_Emp!$C:$C,"*" &amp; $A91 &amp; "*", S22_S25_Emp!$B:$B, "Master")</f>
        <v>#VALUE!</v>
      </c>
      <c r="Q91" s="43" t="str">
        <f>COUNTIFS(S22_Emp!$C:$C,"*" &amp; $A91 &amp; "*", S22_S25_Emp!$B:$B, "Doctorate")</f>
        <v>#VALUE!</v>
      </c>
      <c r="R91" s="43" t="str">
        <f t="array" ref="R91">IF(OR(INDEX(S26_CF!X:X, MATCH("*" &amp; $A91 &amp; "*", CompanyList!A:A, 0))=TRUE, INDEX(F25_CF!P:P, MATCH("*" &amp; $A91 &amp; "*", CompanyList!A:A, 0))=TRUE, INDEX(S25_CF!T:T, MATCH("*" &amp; $A91 &amp; "*", CompanyList!A:A, 0))=TRUE, INDEX(S24_CF!W:W, MATCH("*" &amp; $A91 &amp; "*", CompanyList!A:A, 0))=TRUE), "Yes", "No")</f>
        <v>No</v>
      </c>
      <c r="S91" s="43" t="str">
        <f>IF(COUNTIF(S26_CF!$A:$A,"*" &amp; $A91 &amp; "*") &lt;&gt; 0, "Yes", "No")</f>
        <v>No</v>
      </c>
      <c r="T91" s="43" t="str">
        <f t="array" ref="T91">INDEX(S26_CF!K:K, MATCH("*" &amp; $A91 &amp; "*", S26_CF!A:A, 0))</f>
        <v>#N/A</v>
      </c>
      <c r="U91" s="43" t="str">
        <f>IF(COUNTIF(F25_CF!$A:$A,"*" &amp; $A91 &amp; "*") &lt;&gt; 0, "Yes", "No")</f>
        <v>No</v>
      </c>
      <c r="V91" s="43" t="str">
        <f t="array" ref="V91">INDEX(F25_CF!I:I, MATCH("*" &amp; $A91 &amp; "*", F25_CF!$A:$A, 0))</f>
        <v>#N/A</v>
      </c>
      <c r="W91" s="43" t="str">
        <f>IF(COUNTIF(S25_CF!$A:$A,"*" &amp; $A91 &amp; "*") &lt;&gt; 0, "Yes", "No")</f>
        <v>Yes</v>
      </c>
      <c r="X91" s="43" t="str">
        <f t="array" ref="X91">INDEX(S25_CF!J:J, MATCH("*" &amp; $A91 &amp; "*", S25_CF!$A:$A, 0))</f>
        <v>Silver One-Day: Thursday, January 23rd [$1800.00]</v>
      </c>
      <c r="Y91" s="43" t="str">
        <f>IF(COUNTIF(F24_CF!$A:$A,"*" &amp; $A91 &amp; "*") &lt;&gt; 0, "Yes", "No")</f>
        <v>Yes</v>
      </c>
      <c r="Z91" s="43" t="str">
        <f t="array" ref="Z91">INDEX(F24_CF!N:N, MATCH("*" &amp; $A91 &amp; "*", F24_CF!$A:$A, 0))</f>
        <v>Silver One-Day: Thursday, September 5th [$1800.00]</v>
      </c>
      <c r="AA91" s="43" t="str">
        <f>IF(COUNTIF(S24_CF!$A:$A,"*" &amp; $A91 &amp; "*") &lt;&gt; 0, "Yes", "No")</f>
        <v>Yes</v>
      </c>
      <c r="AB91" s="43" t="str">
        <f t="array" ref="AB91">INDEX(S24_CF!H:H, MATCH("*" &amp; $A91 &amp; "*", S24_CF!$A:$A, 0))</f>
        <v>Basic Two-Day [$2000.00]</v>
      </c>
    </row>
    <row r="92" ht="15.0" customHeight="1">
      <c r="A92" s="52" t="s">
        <v>147</v>
      </c>
      <c r="B92" s="43" t="s">
        <v>52</v>
      </c>
      <c r="C92" s="43"/>
      <c r="D92" s="43"/>
      <c r="E92" s="43"/>
      <c r="F92" s="43">
        <f>COUNTIF(S26_Emp!$C:$C,"*" &amp;A92 &amp; "*")</f>
        <v>0</v>
      </c>
      <c r="G92" s="43">
        <f>COUNTIF(F25_Emp!$C:$C,"*" &amp;#REF! &amp; "*")</f>
        <v>0</v>
      </c>
      <c r="H92" s="43">
        <f>COUNTIF(S25_Emp!$C:$C,"*" &amp; A92 &amp; "*")</f>
        <v>0</v>
      </c>
      <c r="I92" s="43">
        <f>COUNTIF(F24_Emp!$C:$C,"*" &amp; B92 &amp; "*")</f>
        <v>0</v>
      </c>
      <c r="J92" s="43">
        <f>COUNTIF(S24_Emp!$C:$C,"*" &amp; $A92 &amp; "*")</f>
        <v>2</v>
      </c>
      <c r="K92" s="43">
        <f>COUNTIF(F23_Emp!$C:$C,"*" &amp; $A92 &amp; "*")</f>
        <v>0</v>
      </c>
      <c r="L92" s="43">
        <f>COUNTIF(S23_Emp!$C:$C,"*" &amp; $A92 &amp; "*")</f>
        <v>0</v>
      </c>
      <c r="M92" s="43">
        <f>COUNTIF(F22_Emp!$C:$C,"*" &amp; $A92 &amp; "*")</f>
        <v>0</v>
      </c>
      <c r="N92" s="43">
        <f>COUNTIF(S22_Emp!$C:$C,"*" &amp; $A92 &amp; "*")</f>
        <v>0</v>
      </c>
      <c r="O92" s="43" t="str">
        <f>COUNTIFS(S22_Emp!$C:$C,"*" &amp; $A92 &amp; "*", S22_S25_Emp!$B:$B, "Bachelor")</f>
        <v>#VALUE!</v>
      </c>
      <c r="P92" s="43" t="str">
        <f>COUNTIFS(S22_Emp!$C:$C,"*" &amp; $A92 &amp; "*", S22_S25_Emp!$B:$B, "Master")</f>
        <v>#VALUE!</v>
      </c>
      <c r="Q92" s="43" t="str">
        <f>COUNTIFS(S22_Emp!$C:$C,"*" &amp; $A92 &amp; "*", S22_S25_Emp!$B:$B, "Doctorate")</f>
        <v>#VALUE!</v>
      </c>
      <c r="R92" s="43" t="str">
        <f t="array" ref="R92">IF(OR(INDEX(S26_CF!X:X, MATCH("*" &amp; $A92 &amp; "*", CompanyList!A:A, 0))=TRUE, INDEX(F25_CF!P:P, MATCH("*" &amp; $A92 &amp; "*", CompanyList!A:A, 0))=TRUE, INDEX(S25_CF!T:T, MATCH("*" &amp; $A92 &amp; "*", CompanyList!A:A, 0))=TRUE, INDEX(S24_CF!W:W, MATCH("*" &amp; $A92 &amp; "*", CompanyList!A:A, 0))=TRUE), "Yes", "No")</f>
        <v>No</v>
      </c>
      <c r="S92" s="43" t="str">
        <f>IF(COUNTIF(S26_CF!$A:$A,"*" &amp; $A92 &amp; "*") &lt;&gt; 0, "Yes", "No")</f>
        <v>Yes</v>
      </c>
      <c r="T92" s="43" t="str">
        <f t="array" ref="T92">INDEX(S26_CF!K:K, MATCH("*" &amp; $A92 &amp; "*", S26_CF!A:A, 0))</f>
        <v>Silver One-Day: Thursday, January 29th [$1800.00]</v>
      </c>
      <c r="U92" s="43" t="str">
        <f>IF(COUNTIF(F25_CF!$A:$A,"*" &amp; $A92 &amp; "*") &lt;&gt; 0, "Yes", "No")</f>
        <v>Yes</v>
      </c>
      <c r="V92" s="43" t="str">
        <f t="array" ref="V92">INDEX(F25_CF!I:I, MATCH("*" &amp; $A92 &amp; "*", F25_CF!$A:$A, 0))</f>
        <v>Basic One-Day: Thursday, September 11th [$1000.00]</v>
      </c>
      <c r="W92" s="43" t="str">
        <f>IF(COUNTIF(S25_CF!$A:$A,"*" &amp; $A92 &amp; "*") &lt;&gt; 0, "Yes", "No")</f>
        <v>Yes</v>
      </c>
      <c r="X92" s="43" t="str">
        <f t="array" ref="X92">INDEX(S25_CF!J:J, MATCH("*" &amp; $A92 &amp; "*", S25_CF!$A:$A, 0))</f>
        <v>Basic One-Day: Thursday, January 23rd [$1000.00]</v>
      </c>
      <c r="Y92" s="43" t="str">
        <f>IF(COUNTIF(F24_CF!$A:$A,"*" &amp; $A92 &amp; "*") &lt;&gt; 0, "Yes", "No")</f>
        <v>No</v>
      </c>
      <c r="Z92" s="43" t="str">
        <f t="array" ref="Z92">INDEX(F24_CF!N:N, MATCH("*" &amp; $A92 &amp; "*", F24_CF!$A:$A, 0))</f>
        <v>#N/A</v>
      </c>
      <c r="AA92" s="43" t="str">
        <f>IF(COUNTIF(S24_CF!$A:$A,"*" &amp; $A92 &amp; "*") &lt;&gt; 0, "Yes", "No")</f>
        <v>Yes</v>
      </c>
      <c r="AB92" s="43" t="str">
        <f t="array" ref="AB92">INDEX(S24_CF!H:H, MATCH("*" &amp; $A92 &amp; "*", S24_CF!$A:$A, 0))</f>
        <v>Silver Two-Day [$3000.00]</v>
      </c>
    </row>
    <row r="93" ht="15.0" customHeight="1">
      <c r="A93" s="52" t="s">
        <v>148</v>
      </c>
      <c r="B93" s="43" t="s">
        <v>52</v>
      </c>
      <c r="C93" s="43"/>
      <c r="D93" s="43"/>
      <c r="E93" s="43"/>
      <c r="F93" s="43">
        <f>COUNTIF(S26_Emp!$C:$C,"*" &amp;A93 &amp; "*")</f>
        <v>0</v>
      </c>
      <c r="G93" s="43">
        <f>COUNTIF(F25_Emp!$C:$C,"*" &amp;#REF! &amp; "*")</f>
        <v>0</v>
      </c>
      <c r="H93" s="43">
        <f>COUNTIF(S25_Emp!$C:$C,"*" &amp; A93 &amp; "*")</f>
        <v>1</v>
      </c>
      <c r="I93" s="43">
        <f>COUNTIF(F24_Emp!$C:$C,"*" &amp; B93 &amp; "*")</f>
        <v>0</v>
      </c>
      <c r="J93" s="43">
        <f>COUNTIF(S24_Emp!$C:$C,"*" &amp; $A93 &amp; "*")</f>
        <v>1</v>
      </c>
      <c r="K93" s="43">
        <f>COUNTIF(F23_Emp!$C:$C,"*" &amp; $A93 &amp; "*")</f>
        <v>1</v>
      </c>
      <c r="L93" s="43">
        <f>COUNTIF(S23_Emp!$C:$C,"*" &amp; $A93 &amp; "*")</f>
        <v>0</v>
      </c>
      <c r="M93" s="43">
        <f>COUNTIF(F22_Emp!$C:$C,"*" &amp; $A93 &amp; "*")</f>
        <v>1</v>
      </c>
      <c r="N93" s="43">
        <f>COUNTIF(S22_Emp!$C:$C,"*" &amp; $A93 &amp; "*")</f>
        <v>0</v>
      </c>
      <c r="O93" s="43" t="str">
        <f>COUNTIFS(S22_Emp!$C:$C,"*" &amp; $A93 &amp; "*", S22_S25_Emp!$B:$B, "Bachelor")</f>
        <v>#VALUE!</v>
      </c>
      <c r="P93" s="43" t="str">
        <f>COUNTIFS(S22_Emp!$C:$C,"*" &amp; $A93 &amp; "*", S22_S25_Emp!$B:$B, "Master")</f>
        <v>#VALUE!</v>
      </c>
      <c r="Q93" s="43" t="str">
        <f>COUNTIFS(S22_Emp!$C:$C,"*" &amp; $A93 &amp; "*", S22_S25_Emp!$B:$B, "Doctorate")</f>
        <v>#VALUE!</v>
      </c>
      <c r="R93" s="43" t="str">
        <f t="array" ref="R93">IF(OR(INDEX(S26_CF!X:X, MATCH("*" &amp; $A93 &amp; "*", CompanyList!A:A, 0))=TRUE, INDEX(F25_CF!P:P, MATCH("*" &amp; $A93 &amp; "*", CompanyList!A:A, 0))=TRUE, INDEX(S25_CF!T:T, MATCH("*" &amp; $A93 &amp; "*", CompanyList!A:A, 0))=TRUE, INDEX(S24_CF!W:W, MATCH("*" &amp; $A93 &amp; "*", CompanyList!A:A, 0))=TRUE), "Yes", "No")</f>
        <v>No</v>
      </c>
      <c r="S93" s="43" t="str">
        <f>IF(COUNTIF(S26_CF!$A:$A,"*" &amp; $A93 &amp; "*") &lt;&gt; 0, "Yes", "No")</f>
        <v>No</v>
      </c>
      <c r="T93" s="43" t="str">
        <f t="array" ref="T93">INDEX(S26_CF!K:K, MATCH("*" &amp; $A93 &amp; "*", S26_CF!A:A, 0))</f>
        <v>#N/A</v>
      </c>
      <c r="U93" s="43" t="str">
        <f>IF(COUNTIF(F25_CF!$A:$A,"*" &amp; $A93 &amp; "*") &lt;&gt; 0, "Yes", "No")</f>
        <v>No</v>
      </c>
      <c r="V93" s="43" t="str">
        <f t="array" ref="V93">INDEX(F25_CF!I:I, MATCH("*" &amp; $A93 &amp; "*", F25_CF!$A:$A, 0))</f>
        <v>#N/A</v>
      </c>
      <c r="W93" s="43" t="str">
        <f>IF(COUNTIF(S25_CF!$A:$A,"*" &amp; $A93 &amp; "*") &lt;&gt; 0, "Yes", "No")</f>
        <v>Yes</v>
      </c>
      <c r="X93" s="43" t="str">
        <f t="array" ref="X93">INDEX(S25_CF!J:J, MATCH("*" &amp; $A93 &amp; "*", S25_CF!$A:$A, 0))</f>
        <v>Basic One-Day: Thursday, January 23rd [$1000.00]</v>
      </c>
      <c r="Y93" s="43" t="str">
        <f>IF(COUNTIF(F24_CF!$A:$A,"*" &amp; $A93 &amp; "*") &lt;&gt; 0, "Yes", "No")</f>
        <v>No</v>
      </c>
      <c r="Z93" s="43" t="str">
        <f t="array" ref="Z93">INDEX(F24_CF!N:N, MATCH("*" &amp; $A93 &amp; "*", F24_CF!$A:$A, 0))</f>
        <v>#N/A</v>
      </c>
      <c r="AA93" s="43" t="str">
        <f>IF(COUNTIF(S24_CF!$A:$A,"*" &amp; $A93 &amp; "*") &lt;&gt; 0, "Yes", "No")</f>
        <v>Yes</v>
      </c>
      <c r="AB93" s="43" t="str">
        <f t="array" ref="AB93">INDEX(S24_CF!H:H, MATCH("*" &amp; $A93 &amp; "*", S24_CF!$A:$A, 0))</f>
        <v>Basic One-Day [$1000.00]</v>
      </c>
    </row>
    <row r="94" ht="15.0" customHeight="1">
      <c r="A94" s="52" t="s">
        <v>149</v>
      </c>
      <c r="B94" s="43" t="s">
        <v>54</v>
      </c>
      <c r="C94" s="43">
        <v>3000.0</v>
      </c>
      <c r="D94" s="43">
        <v>8000.0</v>
      </c>
      <c r="E94" s="43">
        <v>5.0</v>
      </c>
      <c r="F94" s="43">
        <f>COUNTIF(S26_Emp!$C:$C,"*" &amp;A94 &amp; "*")</f>
        <v>0</v>
      </c>
      <c r="G94" s="43">
        <f>COUNTIF(F25_Emp!$C:$C,"*" &amp;#REF! &amp; "*")</f>
        <v>0</v>
      </c>
      <c r="H94" s="43">
        <f>COUNTIF(S25_Emp!$C:$C,"*" &amp; A94 &amp; "*")</f>
        <v>0</v>
      </c>
      <c r="I94" s="43">
        <f>COUNTIF(F24_Emp!$C:$C,"*" &amp; B94 &amp; "*")</f>
        <v>1</v>
      </c>
      <c r="J94" s="43">
        <f>COUNTIF(S24_Emp!$C:$C,"*" &amp; $A94 &amp; "*")</f>
        <v>0</v>
      </c>
      <c r="K94" s="43">
        <f>COUNTIF(F23_Emp!$C:$C,"*" &amp; $A94 &amp; "*")</f>
        <v>0</v>
      </c>
      <c r="L94" s="43">
        <f>COUNTIF(S23_Emp!$C:$C,"*" &amp; $A94 &amp; "*")</f>
        <v>0</v>
      </c>
      <c r="M94" s="43">
        <f>COUNTIF(F22_Emp!$C:$C,"*" &amp; $A94 &amp; "*")</f>
        <v>0</v>
      </c>
      <c r="N94" s="43">
        <f>COUNTIF(S22_Emp!$C:$C,"*" &amp; $A94 &amp; "*")</f>
        <v>2</v>
      </c>
      <c r="O94" s="43" t="str">
        <f>COUNTIFS(S22_Emp!$C:$C,"*" &amp; $A94 &amp; "*", S22_S25_Emp!$B:$B, "Bachelor")</f>
        <v>#VALUE!</v>
      </c>
      <c r="P94" s="43" t="str">
        <f>COUNTIFS(S22_Emp!$C:$C,"*" &amp; $A94 &amp; "*", S22_S25_Emp!$B:$B, "Master")</f>
        <v>#VALUE!</v>
      </c>
      <c r="Q94" s="43" t="str">
        <f>COUNTIFS(S22_Emp!$C:$C,"*" &amp; $A94 &amp; "*", S22_S25_Emp!$B:$B, "Doctorate")</f>
        <v>#VALUE!</v>
      </c>
      <c r="R94" s="43" t="str">
        <f t="array" ref="R94">IF(OR(INDEX(S26_CF!X:X, MATCH("*" &amp; $A94 &amp; "*", CompanyList!A:A, 0))=TRUE, INDEX(F25_CF!P:P, MATCH("*" &amp; $A94 &amp; "*", CompanyList!A:A, 0))=TRUE, INDEX(S25_CF!T:T, MATCH("*" &amp; $A94 &amp; "*", CompanyList!A:A, 0))=TRUE, INDEX(S24_CF!W:W, MATCH("*" &amp; $A94 &amp; "*", CompanyList!A:A, 0))=TRUE), "Yes", "No")</f>
        <v>No</v>
      </c>
      <c r="S94" s="43" t="str">
        <f>IF(COUNTIF(S26_CF!$A:$A,"*" &amp; $A94 &amp; "*") &lt;&gt; 0, "Yes", "No")</f>
        <v>No</v>
      </c>
      <c r="T94" s="43" t="str">
        <f t="array" ref="T94">INDEX(S26_CF!K:K, MATCH("*" &amp; $A94 &amp; "*", S26_CF!A:A, 0))</f>
        <v>#N/A</v>
      </c>
      <c r="U94" s="43" t="str">
        <f>IF(COUNTIF(F25_CF!$A:$A,"*" &amp; $A94 &amp; "*") &lt;&gt; 0, "Yes", "No")</f>
        <v>No</v>
      </c>
      <c r="V94" s="43" t="str">
        <f t="array" ref="V94">INDEX(F25_CF!I:I, MATCH("*" &amp; $A94 &amp; "*", F25_CF!$A:$A, 0))</f>
        <v>#N/A</v>
      </c>
      <c r="W94" s="43" t="str">
        <f>IF(COUNTIF(S25_CF!$A:$A,"*" &amp; $A94 &amp; "*") &lt;&gt; 0, "Yes", "No")</f>
        <v>No</v>
      </c>
      <c r="X94" s="43" t="str">
        <f t="array" ref="X94">INDEX(S25_CF!J:J, MATCH("*" &amp; $A94 &amp; "*", S25_CF!$A:$A, 0))</f>
        <v>#N/A</v>
      </c>
      <c r="Y94" s="43" t="str">
        <f>IF(COUNTIF(F24_CF!$A:$A,"*" &amp; $A94 &amp; "*") &lt;&gt; 0, "Yes", "No")</f>
        <v>No</v>
      </c>
      <c r="Z94" s="43" t="str">
        <f t="array" ref="Z94">INDEX(F24_CF!N:N, MATCH("*" &amp; $A94 &amp; "*", F24_CF!$A:$A, 0))</f>
        <v>#N/A</v>
      </c>
      <c r="AA94" s="43" t="str">
        <f>IF(COUNTIF(S24_CF!$A:$A,"*" &amp; $A94 &amp; "*") &lt;&gt; 0, "Yes", "No")</f>
        <v>No</v>
      </c>
      <c r="AB94" s="43" t="str">
        <f t="array" ref="AB94">INDEX(S24_CF!H:H, MATCH("*" &amp; $A94 &amp; "*", S24_CF!$A:$A, 0))</f>
        <v>#N/A</v>
      </c>
    </row>
    <row r="95" ht="15.0" customHeight="1">
      <c r="A95" s="52" t="s">
        <v>150</v>
      </c>
      <c r="B95" s="43" t="s">
        <v>52</v>
      </c>
      <c r="C95" s="43"/>
      <c r="D95" s="43"/>
      <c r="E95" s="43"/>
      <c r="F95" s="43">
        <f>COUNTIF(S26_Emp!$C:$C,"*" &amp;A95 &amp; "*")</f>
        <v>0</v>
      </c>
      <c r="G95" s="43">
        <f>COUNTIF(F25_Emp!$C:$C,"*" &amp;#REF! &amp; "*")</f>
        <v>0</v>
      </c>
      <c r="H95" s="43">
        <f>COUNTIF(S25_Emp!$C:$C,"*" &amp; A95 &amp; "*")</f>
        <v>0</v>
      </c>
      <c r="I95" s="43">
        <f>COUNTIF(F24_Emp!$C:$C,"*" &amp; B95 &amp; "*")</f>
        <v>0</v>
      </c>
      <c r="J95" s="43">
        <f>COUNTIF(S24_Emp!$C:$C,"*" &amp; $A95 &amp; "*")</f>
        <v>0</v>
      </c>
      <c r="K95" s="43">
        <f>COUNTIF(F23_Emp!$C:$C,"*" &amp; $A95 &amp; "*")</f>
        <v>1</v>
      </c>
      <c r="L95" s="43">
        <f>COUNTIF(S23_Emp!$C:$C,"*" &amp; $A95 &amp; "*")</f>
        <v>0</v>
      </c>
      <c r="M95" s="43">
        <f>COUNTIF(F22_Emp!$C:$C,"*" &amp; $A95 &amp; "*")</f>
        <v>0</v>
      </c>
      <c r="N95" s="43">
        <f>COUNTIF(S22_Emp!$C:$C,"*" &amp; $A95 &amp; "*")</f>
        <v>0</v>
      </c>
      <c r="O95" s="43" t="str">
        <f>COUNTIFS(S22_Emp!$C:$C,"*" &amp; $A95 &amp; "*", S22_S25_Emp!$B:$B, "Bachelor")</f>
        <v>#VALUE!</v>
      </c>
      <c r="P95" s="43" t="str">
        <f>COUNTIFS(S22_Emp!$C:$C,"*" &amp; $A95 &amp; "*", S22_S25_Emp!$B:$B, "Master")</f>
        <v>#VALUE!</v>
      </c>
      <c r="Q95" s="43" t="str">
        <f>COUNTIFS(S22_Emp!$C:$C,"*" &amp; $A95 &amp; "*", S22_S25_Emp!$B:$B, "Doctorate")</f>
        <v>#VALUE!</v>
      </c>
      <c r="R95" s="43" t="str">
        <f t="array" ref="R95">IF(OR(INDEX(S26_CF!X:X, MATCH("*" &amp; $A95 &amp; "*", CompanyList!A:A, 0))=TRUE, INDEX(F25_CF!P:P, MATCH("*" &amp; $A95 &amp; "*", CompanyList!A:A, 0))=TRUE, INDEX(S25_CF!T:T, MATCH("*" &amp; $A95 &amp; "*", CompanyList!A:A, 0))=TRUE, INDEX(S24_CF!W:W, MATCH("*" &amp; $A95 &amp; "*", CompanyList!A:A, 0))=TRUE), "Yes", "No")</f>
        <v>No</v>
      </c>
      <c r="S95" s="43" t="str">
        <f>IF(COUNTIF(S26_CF!$A:$A,"*" &amp; $A95 &amp; "*") &lt;&gt; 0, "Yes", "No")</f>
        <v>Yes</v>
      </c>
      <c r="T95" s="43" t="str">
        <f t="array" ref="T95">INDEX(S26_CF!K:K, MATCH("*" &amp; $A95 &amp; "*", S26_CF!A:A, 0))</f>
        <v>Basic One-Day: Wednesday, January 28th [$1000.00]</v>
      </c>
      <c r="U95" s="43" t="str">
        <f>IF(COUNTIF(F25_CF!$A:$A,"*" &amp; $A95 &amp; "*") &lt;&gt; 0, "Yes", "No")</f>
        <v>Yes</v>
      </c>
      <c r="V95" s="43" t="str">
        <f t="array" ref="V95">INDEX(F25_CF!I:I, MATCH("*" &amp; $A95 &amp; "*", F25_CF!$A:$A, 0))</f>
        <v>Basic One-Day: Wednesday, September 10th [$1000.00]</v>
      </c>
      <c r="W95" s="43" t="str">
        <f>IF(COUNTIF(S25_CF!$A:$A,"*" &amp; $A95 &amp; "*") &lt;&gt; 0, "Yes", "No")</f>
        <v>Yes</v>
      </c>
      <c r="X95" s="43" t="str">
        <f t="array" ref="X95">INDEX(S25_CF!J:J, MATCH("*" &amp; $A95 &amp; "*", S25_CF!$A:$A, 0))</f>
        <v>Basic One-Day: Wednesday, January 22nd [$1000.00]</v>
      </c>
      <c r="Y95" s="43" t="str">
        <f>IF(COUNTIF(F24_CF!$A:$A,"*" &amp; $A95 &amp; "*") &lt;&gt; 0, "Yes", "No")</f>
        <v>No</v>
      </c>
      <c r="Z95" s="43" t="str">
        <f t="array" ref="Z95">INDEX(F24_CF!N:N, MATCH("*" &amp; $A95 &amp; "*", F24_CF!$A:$A, 0))</f>
        <v>#N/A</v>
      </c>
      <c r="AA95" s="43" t="str">
        <f>IF(COUNTIF(S24_CF!$A:$A,"*" &amp; $A95 &amp; "*") &lt;&gt; 0, "Yes", "No")</f>
        <v>Yes</v>
      </c>
      <c r="AB95" s="43" t="str">
        <f t="array" ref="AB95">INDEX(S24_CF!H:H, MATCH("*" &amp; $A95 &amp; "*", S24_CF!$A:$A, 0))</f>
        <v>Basic One-Day [$1000.00]</v>
      </c>
    </row>
    <row r="96" ht="15.0" customHeight="1">
      <c r="A96" s="52" t="s">
        <v>151</v>
      </c>
      <c r="B96" s="43" t="s">
        <v>52</v>
      </c>
      <c r="C96" s="43"/>
      <c r="D96" s="43"/>
      <c r="E96" s="43"/>
      <c r="F96" s="43">
        <f>COUNTIF(S26_Emp!$C:$C,"*" &amp;A96 &amp; "*")</f>
        <v>0</v>
      </c>
      <c r="G96" s="43">
        <f>COUNTIF(F25_Emp!$C:$C,"*" &amp;#REF! &amp; "*")</f>
        <v>0</v>
      </c>
      <c r="H96" s="43">
        <f>COUNTIF(S25_Emp!$C:$C,"*" &amp; A96 &amp; "*")</f>
        <v>0</v>
      </c>
      <c r="I96" s="43">
        <f>COUNTIF(F24_Emp!$C:$C,"*" &amp; B96 &amp; "*")</f>
        <v>0</v>
      </c>
      <c r="J96" s="43">
        <f>COUNTIF(S24_Emp!$C:$C,"*" &amp; $A96 &amp; "*")</f>
        <v>0</v>
      </c>
      <c r="K96" s="43">
        <f>COUNTIF(F23_Emp!$C:$C,"*" &amp; $A96 &amp; "*")</f>
        <v>0</v>
      </c>
      <c r="L96" s="43">
        <f>COUNTIF(S23_Emp!$C:$C,"*" &amp; $A96 &amp; "*")</f>
        <v>0</v>
      </c>
      <c r="M96" s="43">
        <f>COUNTIF(F22_Emp!$C:$C,"*" &amp; $A96 &amp; "*")</f>
        <v>0</v>
      </c>
      <c r="N96" s="43">
        <f>COUNTIF(S22_Emp!$C:$C,"*" &amp; $A96 &amp; "*")</f>
        <v>0</v>
      </c>
      <c r="O96" s="43" t="str">
        <f>COUNTIFS(S22_Emp!$C:$C,"*" &amp; $A96 &amp; "*", S22_S25_Emp!$B:$B, "Bachelor")</f>
        <v>#VALUE!</v>
      </c>
      <c r="P96" s="43" t="str">
        <f>COUNTIFS(S22_Emp!$C:$C,"*" &amp; $A96 &amp; "*", S22_S25_Emp!$B:$B, "Master")</f>
        <v>#VALUE!</v>
      </c>
      <c r="Q96" s="43" t="str">
        <f>COUNTIFS(S22_Emp!$C:$C,"*" &amp; $A96 &amp; "*", S22_S25_Emp!$B:$B, "Doctorate")</f>
        <v>#VALUE!</v>
      </c>
      <c r="R96" s="43" t="str">
        <f t="array" ref="R96">IF(OR(INDEX(S26_CF!X:X, MATCH("*" &amp; $A96 &amp; "*", CompanyList!A:A, 0))=TRUE, INDEX(F25_CF!P:P, MATCH("*" &amp; $A96 &amp; "*", CompanyList!A:A, 0))=TRUE, INDEX(S25_CF!T:T, MATCH("*" &amp; $A96 &amp; "*", CompanyList!A:A, 0))=TRUE, INDEX(S24_CF!W:W, MATCH("*" &amp; $A96 &amp; "*", CompanyList!A:A, 0))=TRUE), "Yes", "No")</f>
        <v>No</v>
      </c>
      <c r="S96" s="43" t="str">
        <f>IF(COUNTIF(S26_CF!$A:$A,"*" &amp; $A96 &amp; "*") &lt;&gt; 0, "Yes", "No")</f>
        <v>Yes</v>
      </c>
      <c r="T96" s="43" t="str">
        <f t="array" ref="T96">INDEX(S26_CF!K:K, MATCH("*" &amp; $A96 &amp; "*", S26_CF!A:A, 0))</f>
        <v>Gold Two-Day [$5500.00]</v>
      </c>
      <c r="U96" s="43" t="str">
        <f>IF(COUNTIF(F25_CF!$A:$A,"*" &amp; $A96 &amp; "*") &lt;&gt; 0, "Yes", "No")</f>
        <v>Yes</v>
      </c>
      <c r="V96" s="43" t="str">
        <f t="array" ref="V96">INDEX(F25_CF!I:I, MATCH("*" &amp; $A96 &amp; "*", F25_CF!$A:$A, 0))</f>
        <v>Gold Two-Day [$5500.00]</v>
      </c>
      <c r="W96" s="43" t="str">
        <f>IF(COUNTIF(S25_CF!$A:$A,"*" &amp; $A96 &amp; "*") &lt;&gt; 0, "Yes", "No")</f>
        <v>Yes</v>
      </c>
      <c r="X96" s="43" t="str">
        <f t="array" ref="X96">INDEX(S25_CF!J:J, MATCH("*" &amp; $A96 &amp; "*", S25_CF!$A:$A, 0))</f>
        <v>Gold Two-Day [$5500.00]</v>
      </c>
      <c r="Y96" s="43" t="str">
        <f>IF(COUNTIF(F24_CF!$A:$A,"*" &amp; $A96 &amp; "*") &lt;&gt; 0, "Yes", "No")</f>
        <v>Yes</v>
      </c>
      <c r="Z96" s="43" t="str">
        <f t="array" ref="Z96">INDEX(F24_CF!N:N, MATCH("*" &amp; $A96 &amp; "*", F24_CF!$A:$A, 0))</f>
        <v>Gold Two-Day [$5500.00]</v>
      </c>
      <c r="AA96" s="43" t="str">
        <f>IF(COUNTIF(S24_CF!$A:$A,"*" &amp; $A96 &amp; "*") &lt;&gt; 0, "Yes", "No")</f>
        <v>Yes</v>
      </c>
      <c r="AB96" s="43" t="str">
        <f t="array" ref="AB96">INDEX(S24_CF!H:H, MATCH("*" &amp; $A96 &amp; "*", S24_CF!$A:$A, 0))</f>
        <v>Gold Two-Day [$5000.00]</v>
      </c>
    </row>
    <row r="97" ht="15.0" customHeight="1">
      <c r="A97" s="52" t="s">
        <v>152</v>
      </c>
      <c r="B97" s="43" t="s">
        <v>52</v>
      </c>
      <c r="C97" s="43"/>
      <c r="D97" s="43"/>
      <c r="E97" s="43"/>
      <c r="F97" s="43">
        <f>COUNTIF(S26_Emp!$C:$C,"*" &amp;A97 &amp; "*")</f>
        <v>0</v>
      </c>
      <c r="G97" s="43">
        <f>COUNTIF(F25_Emp!$C:$C,"*" &amp;#REF! &amp; "*")</f>
        <v>0</v>
      </c>
      <c r="H97" s="43">
        <f>COUNTIF(S25_Emp!$C:$C,"*" &amp; A97 &amp; "*")</f>
        <v>0</v>
      </c>
      <c r="I97" s="43">
        <f>COUNTIF(F24_Emp!$C:$C,"*" &amp; B97 &amp; "*")</f>
        <v>0</v>
      </c>
      <c r="J97" s="43">
        <f>COUNTIF(S24_Emp!$C:$C,"*" &amp; $A97 &amp; "*")</f>
        <v>1</v>
      </c>
      <c r="K97" s="43">
        <f>COUNTIF(F23_Emp!$C:$C,"*" &amp; $A97 &amp; "*")</f>
        <v>0</v>
      </c>
      <c r="L97" s="43">
        <f>COUNTIF(S23_Emp!$C:$C,"*" &amp; $A97 &amp; "*")</f>
        <v>0</v>
      </c>
      <c r="M97" s="43">
        <f>COUNTIF(F22_Emp!$C:$C,"*" &amp; $A97 &amp; "*")</f>
        <v>1</v>
      </c>
      <c r="N97" s="43">
        <f>COUNTIF(S22_Emp!$C:$C,"*" &amp; $A97 &amp; "*")</f>
        <v>0</v>
      </c>
      <c r="O97" s="43" t="str">
        <f>COUNTIFS(S22_Emp!$C:$C,"*" &amp; $A97 &amp; "*", S22_S25_Emp!$B:$B, "Bachelor")</f>
        <v>#VALUE!</v>
      </c>
      <c r="P97" s="43" t="str">
        <f>COUNTIFS(S22_Emp!$C:$C,"*" &amp; $A97 &amp; "*", S22_S25_Emp!$B:$B, "Master")</f>
        <v>#VALUE!</v>
      </c>
      <c r="Q97" s="43" t="str">
        <f>COUNTIFS(S22_Emp!$C:$C,"*" &amp; $A97 &amp; "*", S22_S25_Emp!$B:$B, "Doctorate")</f>
        <v>#VALUE!</v>
      </c>
      <c r="R97" s="43" t="str">
        <f t="array" ref="R97">IF(OR(INDEX(S26_CF!X:X, MATCH("*" &amp; $A97 &amp; "*", CompanyList!A:A, 0))=TRUE, INDEX(F25_CF!P:P, MATCH("*" &amp; $A97 &amp; "*", CompanyList!A:A, 0))=TRUE, INDEX(S25_CF!T:T, MATCH("*" &amp; $A97 &amp; "*", CompanyList!A:A, 0))=TRUE, INDEX(S24_CF!W:W, MATCH("*" &amp; $A97 &amp; "*", CompanyList!A:A, 0))=TRUE), "Yes", "No")</f>
        <v>No</v>
      </c>
      <c r="S97" s="43" t="str">
        <f>IF(COUNTIF(S26_CF!$A:$A,"*" &amp; $A97 &amp; "*") &lt;&gt; 0, "Yes", "No")</f>
        <v>Yes</v>
      </c>
      <c r="T97" s="43" t="str">
        <f t="array" ref="T97">INDEX(S26_CF!K:K, MATCH("*" &amp; $A97 &amp; "*", S26_CF!A:A, 0))</f>
        <v>Basic One-Day: Wednesday, January 28th [$1000.00]</v>
      </c>
      <c r="U97" s="43" t="str">
        <f>IF(COUNTIF(F25_CF!$A:$A,"*" &amp; $A97 &amp; "*") &lt;&gt; 0, "Yes", "No")</f>
        <v>Yes</v>
      </c>
      <c r="V97" s="43" t="str">
        <f t="array" ref="V97">INDEX(F25_CF!I:I, MATCH("*" &amp; $A97 &amp; "*", F25_CF!$A:$A, 0))</f>
        <v>Basic One-Day: Thursday, September 11th [$1000.00]</v>
      </c>
      <c r="W97" s="43" t="str">
        <f>IF(COUNTIF(S25_CF!$A:$A,"*" &amp; $A97 &amp; "*") &lt;&gt; 0, "Yes", "No")</f>
        <v>Yes</v>
      </c>
      <c r="X97" s="43" t="str">
        <f t="array" ref="X97">INDEX(S25_CF!J:J, MATCH("*" &amp; $A97 &amp; "*", S25_CF!$A:$A, 0))</f>
        <v>Basic One-Day: Thursday, January 23rd [$1000.00]</v>
      </c>
      <c r="Y97" s="43" t="str">
        <f>IF(COUNTIF(F24_CF!$A:$A,"*" &amp; $A97 &amp; "*") &lt;&gt; 0, "Yes", "No")</f>
        <v>Yes</v>
      </c>
      <c r="Z97" s="43" t="str">
        <f t="array" ref="Z97">INDEX(F24_CF!N:N, MATCH("*" &amp; $A97 &amp; "*", F24_CF!$A:$A, 0))</f>
        <v>Basic One-Day: Thursday, September 5th [$1000.00]</v>
      </c>
      <c r="AA97" s="43" t="str">
        <f>IF(COUNTIF(S24_CF!$A:$A,"*" &amp; $A97 &amp; "*") &lt;&gt; 0, "Yes", "No")</f>
        <v>Yes</v>
      </c>
      <c r="AB97" s="43" t="str">
        <f t="array" ref="AB97">INDEX(S24_CF!H:H, MATCH("*" &amp; $A97 &amp; "*", S24_CF!$A:$A, 0))</f>
        <v>Basic One-Day [$1000.00]</v>
      </c>
    </row>
    <row r="98" ht="15.0" customHeight="1">
      <c r="A98" s="52" t="s">
        <v>153</v>
      </c>
      <c r="B98" s="43" t="s">
        <v>54</v>
      </c>
      <c r="C98" s="43">
        <v>62000.0</v>
      </c>
      <c r="D98" s="43">
        <v>282000.0</v>
      </c>
      <c r="E98" s="43">
        <v>170.0</v>
      </c>
      <c r="F98" s="43">
        <f>COUNTIF(S26_Emp!$C:$C,"*" &amp;A98 &amp; "*")</f>
        <v>0</v>
      </c>
      <c r="G98" s="43">
        <f>COUNTIF(F25_Emp!$C:$C,"*" &amp;#REF! &amp; "*")</f>
        <v>0</v>
      </c>
      <c r="H98" s="43">
        <f>COUNTIF(S25_Emp!$C:$C,"*" &amp; A98 &amp; "*")</f>
        <v>6</v>
      </c>
      <c r="I98" s="43">
        <f>COUNTIF(F24_Emp!$C:$C,"*" &amp; B98 &amp; "*")</f>
        <v>1</v>
      </c>
      <c r="J98" s="43">
        <f>COUNTIF(S24_Emp!$C:$C,"*" &amp; $A98 &amp; "*")</f>
        <v>1</v>
      </c>
      <c r="K98" s="43">
        <f>COUNTIF(F23_Emp!$C:$C,"*" &amp; $A98 &amp; "*")</f>
        <v>1</v>
      </c>
      <c r="L98" s="43">
        <f>COUNTIF(S23_Emp!$C:$C,"*" &amp; $A98 &amp; "*")</f>
        <v>6</v>
      </c>
      <c r="M98" s="43">
        <f>COUNTIF(F22_Emp!$C:$C,"*" &amp; $A98 &amp; "*")</f>
        <v>3</v>
      </c>
      <c r="N98" s="43">
        <f>COUNTIF(S22_Emp!$C:$C,"*" &amp; $A98 &amp; "*")</f>
        <v>6</v>
      </c>
      <c r="O98" s="43" t="str">
        <f>COUNTIFS(S22_Emp!$C:$C,"*" &amp; $A98 &amp; "*", S22_S25_Emp!$B:$B, "Bachelor")</f>
        <v>#VALUE!</v>
      </c>
      <c r="P98" s="43" t="str">
        <f>COUNTIFS(S22_Emp!$C:$C,"*" &amp; $A98 &amp; "*", S22_S25_Emp!$B:$B, "Master")</f>
        <v>#VALUE!</v>
      </c>
      <c r="Q98" s="43" t="str">
        <f>COUNTIFS(S22_Emp!$C:$C,"*" &amp; $A98 &amp; "*", S22_S25_Emp!$B:$B, "Doctorate")</f>
        <v>#VALUE!</v>
      </c>
      <c r="R98" s="43" t="str">
        <f t="array" ref="R98">IF(OR(INDEX(S26_CF!X:X, MATCH("*" &amp; $A98 &amp; "*", CompanyList!A:A, 0))=TRUE, INDEX(F25_CF!P:P, MATCH("*" &amp; $A98 &amp; "*", CompanyList!A:A, 0))=TRUE, INDEX(S25_CF!T:T, MATCH("*" &amp; $A98 &amp; "*", CompanyList!A:A, 0))=TRUE, INDEX(S24_CF!W:W, MATCH("*" &amp; $A98 &amp; "*", CompanyList!A:A, 0))=TRUE), "Yes", "No")</f>
        <v>No</v>
      </c>
      <c r="S98" s="43" t="str">
        <f>IF(COUNTIF(S26_CF!$A:$A,"*" &amp; $A98 &amp; "*") &lt;&gt; 0, "Yes", "No")</f>
        <v>No</v>
      </c>
      <c r="T98" s="43" t="str">
        <f t="array" ref="T98">INDEX(S26_CF!K:K, MATCH("*" &amp; $A98 &amp; "*", S26_CF!A:A, 0))</f>
        <v>#N/A</v>
      </c>
      <c r="U98" s="43" t="str">
        <f>IF(COUNTIF(F25_CF!$A:$A,"*" &amp; $A98 &amp; "*") &lt;&gt; 0, "Yes", "No")</f>
        <v>Yes</v>
      </c>
      <c r="V98" s="43" t="str">
        <f t="array" ref="V98">INDEX(F25_CF!I:I, MATCH("*" &amp; $A98 &amp; "*", F25_CF!$A:$A, 0))</f>
        <v>Silver Two-Day [$3000.00]</v>
      </c>
      <c r="W98" s="43" t="str">
        <f>IF(COUNTIF(S25_CF!$A:$A,"*" &amp; $A98 &amp; "*") &lt;&gt; 0, "Yes", "No")</f>
        <v>No</v>
      </c>
      <c r="X98" s="43" t="str">
        <f t="array" ref="X98">INDEX(S25_CF!J:J, MATCH("*" &amp; $A98 &amp; "*", S25_CF!$A:$A, 0))</f>
        <v>#N/A</v>
      </c>
      <c r="Y98" s="43" t="str">
        <f>IF(COUNTIF(F24_CF!$A:$A,"*" &amp; $A98 &amp; "*") &lt;&gt; 0, "Yes", "No")</f>
        <v>Yes</v>
      </c>
      <c r="Z98" s="43" t="str">
        <f t="array" ref="Z98">INDEX(F24_CF!N:N, MATCH("*" &amp; $A98 &amp; "*", F24_CF!$A:$A, 0))</f>
        <v>Basic Two-Day [$2000.00]</v>
      </c>
      <c r="AA98" s="43" t="str">
        <f>IF(COUNTIF(S24_CF!$A:$A,"*" &amp; $A98 &amp; "*") &lt;&gt; 0, "Yes", "No")</f>
        <v>Yes</v>
      </c>
      <c r="AB98" s="43" t="str">
        <f t="array" ref="AB98">INDEX(S24_CF!H:H, MATCH("*" &amp; $A98 &amp; "*", S24_CF!$A:$A, 0))</f>
        <v>Gold Two-Day [$5000.00]</v>
      </c>
    </row>
    <row r="99" ht="15.0" customHeight="1">
      <c r="A99" s="52" t="s">
        <v>154</v>
      </c>
      <c r="B99" s="43" t="s">
        <v>52</v>
      </c>
      <c r="C99" s="43"/>
      <c r="D99" s="43"/>
      <c r="E99" s="43"/>
      <c r="F99" s="43">
        <f>COUNTIF(S26_Emp!$C:$C,"*" &amp;A99 &amp; "*")</f>
        <v>0</v>
      </c>
      <c r="G99" s="43">
        <f>COUNTIF(F25_Emp!$C:$C,"*" &amp;#REF! &amp; "*")</f>
        <v>0</v>
      </c>
      <c r="H99" s="43">
        <f>COUNTIF(S25_Emp!$C:$C,"*" &amp; A99 &amp; "*")</f>
        <v>0</v>
      </c>
      <c r="I99" s="43">
        <f>COUNTIF(F24_Emp!$C:$C,"*" &amp; B99 &amp; "*")</f>
        <v>0</v>
      </c>
      <c r="J99" s="43">
        <f>COUNTIF(S24_Emp!$C:$C,"*" &amp; $A99 &amp; "*")</f>
        <v>0</v>
      </c>
      <c r="K99" s="43">
        <f>COUNTIF(F23_Emp!$C:$C,"*" &amp; $A99 &amp; "*")</f>
        <v>0</v>
      </c>
      <c r="L99" s="43">
        <f>COUNTIF(S23_Emp!$C:$C,"*" &amp; $A99 &amp; "*")</f>
        <v>0</v>
      </c>
      <c r="M99" s="43">
        <f>COUNTIF(F22_Emp!$C:$C,"*" &amp; $A99 &amp; "*")</f>
        <v>0</v>
      </c>
      <c r="N99" s="43">
        <f>COUNTIF(S22_Emp!$C:$C,"*" &amp; $A99 &amp; "*")</f>
        <v>0</v>
      </c>
      <c r="O99" s="43" t="str">
        <f>COUNTIFS(S22_Emp!$C:$C,"*" &amp; $A99 &amp; "*", S22_S25_Emp!$B:$B, "Bachelor")</f>
        <v>#VALUE!</v>
      </c>
      <c r="P99" s="43" t="str">
        <f>COUNTIFS(S22_Emp!$C:$C,"*" &amp; $A99 &amp; "*", S22_S25_Emp!$B:$B, "Master")</f>
        <v>#VALUE!</v>
      </c>
      <c r="Q99" s="43" t="str">
        <f>COUNTIFS(S22_Emp!$C:$C,"*" &amp; $A99 &amp; "*", S22_S25_Emp!$B:$B, "Doctorate")</f>
        <v>#VALUE!</v>
      </c>
      <c r="R99" s="43" t="str">
        <f t="array" ref="R99">IF(OR(INDEX(S26_CF!X:X, MATCH("*" &amp; $A99 &amp; "*", CompanyList!A:A, 0))=TRUE, INDEX(F25_CF!P:P, MATCH("*" &amp; $A99 &amp; "*", CompanyList!A:A, 0))=TRUE, INDEX(S25_CF!T:T, MATCH("*" &amp; $A99 &amp; "*", CompanyList!A:A, 0))=TRUE, INDEX(S24_CF!W:W, MATCH("*" &amp; $A99 &amp; "*", CompanyList!A:A, 0))=TRUE), "Yes", "No")</f>
        <v>No</v>
      </c>
      <c r="S99" s="43" t="str">
        <f>IF(COUNTIF(S26_CF!$A:$A,"*" &amp; $A99 &amp; "*") &lt;&gt; 0, "Yes", "No")</f>
        <v>Yes</v>
      </c>
      <c r="T99" s="43" t="str">
        <f t="array" ref="T99">INDEX(S26_CF!K:K, MATCH("*" &amp; $A99 &amp; "*", S26_CF!A:A, 0))</f>
        <v>Basic One-Day: Thursday, January 29th [$1000.00]</v>
      </c>
      <c r="U99" s="43" t="str">
        <f>IF(COUNTIF(F25_CF!$A:$A,"*" &amp; $A99 &amp; "*") &lt;&gt; 0, "Yes", "No")</f>
        <v>No</v>
      </c>
      <c r="V99" s="43" t="str">
        <f t="array" ref="V99">INDEX(F25_CF!I:I, MATCH("*" &amp; $A99 &amp; "*", F25_CF!$A:$A, 0))</f>
        <v>#N/A</v>
      </c>
      <c r="W99" s="43" t="str">
        <f>IF(COUNTIF(S25_CF!$A:$A,"*" &amp; $A99 &amp; "*") &lt;&gt; 0, "Yes", "No")</f>
        <v>Yes</v>
      </c>
      <c r="X99" s="43" t="str">
        <f t="array" ref="X99">INDEX(S25_CF!J:J, MATCH("*" &amp; $A99 &amp; "*", S25_CF!$A:$A, 0))</f>
        <v>Basic One-Day: Wednesday, January 22nd [$1000.00]</v>
      </c>
      <c r="Y99" s="43" t="str">
        <f>IF(COUNTIF(F24_CF!$A:$A,"*" &amp; $A99 &amp; "*") &lt;&gt; 0, "Yes", "No")</f>
        <v>No</v>
      </c>
      <c r="Z99" s="43" t="str">
        <f t="array" ref="Z99">INDEX(F24_CF!N:N, MATCH("*" &amp; $A99 &amp; "*", F24_CF!$A:$A, 0))</f>
        <v>#N/A</v>
      </c>
      <c r="AA99" s="43" t="str">
        <f>IF(COUNTIF(S24_CF!$A:$A,"*" &amp; $A99 &amp; "*") &lt;&gt; 0, "Yes", "No")</f>
        <v>Yes</v>
      </c>
      <c r="AB99" s="43" t="str">
        <f t="array" ref="AB99">INDEX(S24_CF!H:H, MATCH("*" &amp; $A99 &amp; "*", S24_CF!$A:$A, 0))</f>
        <v>Basic One-Day [$1000.00]</v>
      </c>
    </row>
    <row r="100" ht="15.0" customHeight="1">
      <c r="A100" s="52" t="s">
        <v>155</v>
      </c>
      <c r="B100" s="43" t="s">
        <v>52</v>
      </c>
      <c r="C100" s="43"/>
      <c r="D100" s="43"/>
      <c r="E100" s="43"/>
      <c r="F100" s="43">
        <f>COUNTIF(S26_Emp!$C:$C,"*" &amp;A100 &amp; "*")</f>
        <v>0</v>
      </c>
      <c r="G100" s="43">
        <f>COUNTIF(F25_Emp!$C:$C,"*" &amp;#REF! &amp; "*")</f>
        <v>0</v>
      </c>
      <c r="H100" s="43">
        <f>COUNTIF(S25_Emp!$C:$C,"*" &amp; A100 &amp; "*")</f>
        <v>2</v>
      </c>
      <c r="I100" s="43">
        <f>COUNTIF(F24_Emp!$C:$C,"*" &amp; B100 &amp; "*")</f>
        <v>0</v>
      </c>
      <c r="J100" s="43">
        <f>COUNTIF(S24_Emp!$C:$C,"*" &amp; $A100 &amp; "*")</f>
        <v>1</v>
      </c>
      <c r="K100" s="43">
        <f>COUNTIF(F23_Emp!$C:$C,"*" &amp; $A100 &amp; "*")</f>
        <v>0</v>
      </c>
      <c r="L100" s="43">
        <f>COUNTIF(S23_Emp!$C:$C,"*" &amp; $A100 &amp; "*")</f>
        <v>0</v>
      </c>
      <c r="M100" s="43">
        <f>COUNTIF(F22_Emp!$C:$C,"*" &amp; $A100 &amp; "*")</f>
        <v>0</v>
      </c>
      <c r="N100" s="43">
        <f>COUNTIF(S22_Emp!$C:$C,"*" &amp; $A100 &amp; "*")</f>
        <v>1</v>
      </c>
      <c r="O100" s="43" t="str">
        <f>COUNTIFS(S22_Emp!$C:$C,"*" &amp; $A100 &amp; "*", S22_S25_Emp!$B:$B, "Bachelor")</f>
        <v>#VALUE!</v>
      </c>
      <c r="P100" s="43" t="str">
        <f>COUNTIFS(S22_Emp!$C:$C,"*" &amp; $A100 &amp; "*", S22_S25_Emp!$B:$B, "Master")</f>
        <v>#VALUE!</v>
      </c>
      <c r="Q100" s="43" t="str">
        <f>COUNTIFS(S22_Emp!$C:$C,"*" &amp; $A100 &amp; "*", S22_S25_Emp!$B:$B, "Doctorate")</f>
        <v>#VALUE!</v>
      </c>
      <c r="R100" s="43" t="str">
        <f t="array" ref="R100">IF(OR(INDEX(S26_CF!X:X, MATCH("*" &amp; $A100 &amp; "*", CompanyList!A:A, 0))=TRUE, INDEX(F25_CF!P:P, MATCH("*" &amp; $A100 &amp; "*", CompanyList!A:A, 0))=TRUE, INDEX(S25_CF!T:T, MATCH("*" &amp; $A100 &amp; "*", CompanyList!A:A, 0))=TRUE, INDEX(S24_CF!W:W, MATCH("*" &amp; $A100 &amp; "*", CompanyList!A:A, 0))=TRUE), "Yes", "No")</f>
        <v>No</v>
      </c>
      <c r="S100" s="43" t="str">
        <f>IF(COUNTIF(S26_CF!$A:$A,"*" &amp; $A100 &amp; "*") &lt;&gt; 0, "Yes", "No")</f>
        <v>Yes</v>
      </c>
      <c r="T100" s="43" t="str">
        <f t="array" ref="T100">INDEX(S26_CF!K:K, MATCH("*" &amp; $A100 &amp; "*", S26_CF!A:A, 0))</f>
        <v>Maroon Two-Day [$12500.00]</v>
      </c>
      <c r="U100" s="43" t="str">
        <f>IF(COUNTIF(F25_CF!$A:$A,"*" &amp; $A100 &amp; "*") &lt;&gt; 0, "Yes", "No")</f>
        <v>Yes</v>
      </c>
      <c r="V100" s="43" t="str">
        <f t="array" ref="V100">INDEX(F25_CF!I:I, MATCH("*" &amp; $A100 &amp; "*", F25_CF!$A:$A, 0))</f>
        <v>Maroon Two-Day [$12500.00]</v>
      </c>
      <c r="W100" s="43" t="str">
        <f>IF(COUNTIF(S25_CF!$A:$A,"*" &amp; $A100 &amp; "*") &lt;&gt; 0, "Yes", "No")</f>
        <v>Yes</v>
      </c>
      <c r="X100" s="43" t="str">
        <f t="array" ref="X100">INDEX(S25_CF!J:J, MATCH("*" &amp; $A100 &amp; "*", S25_CF!$A:$A, 0))</f>
        <v>Maroon Two-Day [$12500.00]</v>
      </c>
      <c r="Y100" s="43" t="str">
        <f>IF(COUNTIF(F24_CF!$A:$A,"*" &amp; $A100 &amp; "*") &lt;&gt; 0, "Yes", "No")</f>
        <v>Yes</v>
      </c>
      <c r="Z100" s="43" t="str">
        <f t="array" ref="Z100">INDEX(F24_CF!N:N, MATCH("*" &amp; $A100 &amp; "*", F24_CF!$A:$A, 0))</f>
        <v>Maroon Two-Day [$12500.00]</v>
      </c>
      <c r="AA100" s="43" t="str">
        <f>IF(COUNTIF(S24_CF!$A:$A,"*" &amp; $A100 &amp; "*") &lt;&gt; 0, "Yes", "No")</f>
        <v>Yes</v>
      </c>
      <c r="AB100" s="43" t="str">
        <f t="array" ref="AB100">INDEX(S24_CF!H:H, MATCH("*" &amp; $A100 &amp; "*", S24_CF!$A:$A, 0))</f>
        <v>Maroon Two-Day [$12500.00]</v>
      </c>
    </row>
    <row r="101" ht="15.0" customHeight="1">
      <c r="A101" s="52" t="s">
        <v>156</v>
      </c>
      <c r="B101" s="43" t="s">
        <v>52</v>
      </c>
      <c r="C101" s="43"/>
      <c r="D101" s="43"/>
      <c r="E101" s="43"/>
      <c r="F101" s="43">
        <f>COUNTIF(S26_Emp!$C:$C,"*" &amp;A101 &amp; "*")</f>
        <v>0</v>
      </c>
      <c r="G101" s="43">
        <f>COUNTIF(F25_Emp!$C:$C,"*" &amp;#REF! &amp; "*")</f>
        <v>0</v>
      </c>
      <c r="H101" s="43">
        <f>COUNTIF(S25_Emp!$C:$C,"*" &amp; A101 &amp; "*")</f>
        <v>0</v>
      </c>
      <c r="I101" s="43">
        <f>COUNTIF(F24_Emp!$C:$C,"*" &amp; B101 &amp; "*")</f>
        <v>0</v>
      </c>
      <c r="J101" s="43">
        <f>COUNTIF(S24_Emp!$C:$C,"*" &amp; $A101 &amp; "*")</f>
        <v>1</v>
      </c>
      <c r="K101" s="43">
        <f>COUNTIF(F23_Emp!$C:$C,"*" &amp; $A101 &amp; "*")</f>
        <v>0</v>
      </c>
      <c r="L101" s="43">
        <f>COUNTIF(S23_Emp!$C:$C,"*" &amp; $A101 &amp; "*")</f>
        <v>0</v>
      </c>
      <c r="M101" s="43">
        <f>COUNTIF(F22_Emp!$C:$C,"*" &amp; $A101 &amp; "*")</f>
        <v>0</v>
      </c>
      <c r="N101" s="43">
        <f>COUNTIF(S22_Emp!$C:$C,"*" &amp; $A101 &amp; "*")</f>
        <v>0</v>
      </c>
      <c r="O101" s="43" t="str">
        <f>COUNTIFS(S22_Emp!$C:$C,"*" &amp; $A101 &amp; "*", S22_S25_Emp!$B:$B, "Bachelor")</f>
        <v>#VALUE!</v>
      </c>
      <c r="P101" s="43" t="str">
        <f>COUNTIFS(S22_Emp!$C:$C,"*" &amp; $A101 &amp; "*", S22_S25_Emp!$B:$B, "Master")</f>
        <v>#VALUE!</v>
      </c>
      <c r="Q101" s="43" t="str">
        <f>COUNTIFS(S22_Emp!$C:$C,"*" &amp; $A101 &amp; "*", S22_S25_Emp!$B:$B, "Doctorate")</f>
        <v>#VALUE!</v>
      </c>
      <c r="R101" s="43" t="str">
        <f t="array" ref="R101">IF(OR(INDEX(S26_CF!X:X, MATCH("*" &amp; $A101 &amp; "*", CompanyList!A:A, 0))=TRUE, INDEX(F25_CF!P:P, MATCH("*" &amp; $A101 &amp; "*", CompanyList!A:A, 0))=TRUE, INDEX(S25_CF!T:T, MATCH("*" &amp; $A101 &amp; "*", CompanyList!A:A, 0))=TRUE, INDEX(S24_CF!W:W, MATCH("*" &amp; $A101 &amp; "*", CompanyList!A:A, 0))=TRUE), "Yes", "No")</f>
        <v>No</v>
      </c>
      <c r="S101" s="43" t="str">
        <f>IF(COUNTIF(S26_CF!$A:$A,"*" &amp; $A101 &amp; "*") &lt;&gt; 0, "Yes", "No")</f>
        <v>Yes</v>
      </c>
      <c r="T101" s="43" t="str">
        <f t="array" ref="T101">INDEX(S26_CF!K:K, MATCH("*" &amp; $A101 &amp; "*", S26_CF!A:A, 0))</f>
        <v>Basic One-Day: Wednesday, January 28th [$1000.00]</v>
      </c>
      <c r="U101" s="43" t="str">
        <f>IF(COUNTIF(F25_CF!$A:$A,"*" &amp; $A101 &amp; "*") &lt;&gt; 0, "Yes", "No")</f>
        <v>Yes</v>
      </c>
      <c r="V101" s="43" t="str">
        <f t="array" ref="V101">INDEX(F25_CF!I:I, MATCH("*" &amp; $A101 &amp; "*", F25_CF!$A:$A, 0))</f>
        <v>Basic One-Day: Wednesday, September 10th [$1000.00]</v>
      </c>
      <c r="W101" s="43" t="str">
        <f>IF(COUNTIF(S25_CF!$A:$A,"*" &amp; $A101 &amp; "*") &lt;&gt; 0, "Yes", "No")</f>
        <v>Yes</v>
      </c>
      <c r="X101" s="43" t="str">
        <f t="array" ref="X101">INDEX(S25_CF!J:J, MATCH("*" &amp; $A101 &amp; "*", S25_CF!$A:$A, 0))</f>
        <v>Basic One-Day: Wednesday, January 22nd [$1000.00]</v>
      </c>
      <c r="Y101" s="43" t="str">
        <f>IF(COUNTIF(F24_CF!$A:$A,"*" &amp; $A101 &amp; "*") &lt;&gt; 0, "Yes", "No")</f>
        <v>Yes</v>
      </c>
      <c r="Z101" s="43" t="str">
        <f t="array" ref="Z101">INDEX(F24_CF!N:N, MATCH("*" &amp; $A101 &amp; "*", F24_CF!$A:$A, 0))</f>
        <v>Basic One-Day: Thursday, September 5th [$1000.00]</v>
      </c>
      <c r="AA101" s="43" t="str">
        <f>IF(COUNTIF(S24_CF!$A:$A,"*" &amp; $A101 &amp; "*") &lt;&gt; 0, "Yes", "No")</f>
        <v>Yes</v>
      </c>
      <c r="AB101" s="43" t="str">
        <f t="array" ref="AB101">INDEX(S24_CF!H:H, MATCH("*" &amp; $A101 &amp; "*", S24_CF!$A:$A, 0))</f>
        <v>Basic One-Day [$1000.00]</v>
      </c>
    </row>
    <row r="102" ht="15.0" customHeight="1">
      <c r="A102" s="52" t="s">
        <v>157</v>
      </c>
      <c r="B102" s="43" t="s">
        <v>52</v>
      </c>
      <c r="C102" s="43">
        <v>65000.0</v>
      </c>
      <c r="D102" s="43">
        <v>26000.0</v>
      </c>
      <c r="E102" s="43"/>
      <c r="F102" s="43">
        <f>COUNTIF(S26_Emp!$C:$C,"*" &amp;A102 &amp; "*")</f>
        <v>0</v>
      </c>
      <c r="G102" s="43">
        <f>COUNTIF(F25_Emp!$C:$C,"*" &amp;#REF! &amp; "*")</f>
        <v>0</v>
      </c>
      <c r="H102" s="43">
        <f>COUNTIF(S25_Emp!$C:$C,"*" &amp; A102 &amp; "*")</f>
        <v>0</v>
      </c>
      <c r="I102" s="43">
        <f>COUNTIF(F24_Emp!$C:$C,"*" &amp; B102 &amp; "*")</f>
        <v>0</v>
      </c>
      <c r="J102" s="43">
        <f>COUNTIF(S24_Emp!$C:$C,"*" &amp; $A102 &amp; "*")</f>
        <v>1</v>
      </c>
      <c r="K102" s="43">
        <f>COUNTIF(F23_Emp!$C:$C,"*" &amp; $A102 &amp; "*")</f>
        <v>1</v>
      </c>
      <c r="L102" s="43">
        <f>COUNTIF(S23_Emp!$C:$C,"*" &amp; $A102 &amp; "*")</f>
        <v>0</v>
      </c>
      <c r="M102" s="43">
        <f>COUNTIF(F22_Emp!$C:$C,"*" &amp; $A102 &amp; "*")</f>
        <v>1</v>
      </c>
      <c r="N102" s="43">
        <f>COUNTIF(S22_Emp!$C:$C,"*" &amp; $A102 &amp; "*")</f>
        <v>0</v>
      </c>
      <c r="O102" s="43" t="str">
        <f>COUNTIFS(S22_Emp!$C:$C,"*" &amp; $A102 &amp; "*", S22_S25_Emp!$B:$B, "Bachelor")</f>
        <v>#VALUE!</v>
      </c>
      <c r="P102" s="43" t="str">
        <f>COUNTIFS(S22_Emp!$C:$C,"*" &amp; $A102 &amp; "*", S22_S25_Emp!$B:$B, "Master")</f>
        <v>#VALUE!</v>
      </c>
      <c r="Q102" s="43" t="str">
        <f>COUNTIFS(S22_Emp!$C:$C,"*" &amp; $A102 &amp; "*", S22_S25_Emp!$B:$B, "Doctorate")</f>
        <v>#VALUE!</v>
      </c>
      <c r="R102" s="43" t="str">
        <f t="array" ref="R102">IF(OR(INDEX(S26_CF!X:X, MATCH("*" &amp; $A102 &amp; "*", CompanyList!A:A, 0))=TRUE, INDEX(F25_CF!P:P, MATCH("*" &amp; $A102 &amp; "*", CompanyList!A:A, 0))=TRUE, INDEX(S25_CF!T:T, MATCH("*" &amp; $A102 &amp; "*", CompanyList!A:A, 0))=TRUE, INDEX(S24_CF!W:W, MATCH("*" &amp; $A102 &amp; "*", CompanyList!A:A, 0))=TRUE), "Yes", "No")</f>
        <v>Yes</v>
      </c>
      <c r="S102" s="43" t="str">
        <f>IF(COUNTIF(S26_CF!$A:$A,"*" &amp; $A102 &amp; "*") &lt;&gt; 0, "Yes", "No")</f>
        <v>No</v>
      </c>
      <c r="T102" s="43" t="str">
        <f t="array" ref="T102">INDEX(S26_CF!K:K, MATCH("*" &amp; $A102 &amp; "*", S26_CF!A:A, 0))</f>
        <v>#N/A</v>
      </c>
      <c r="U102" s="43" t="str">
        <f>IF(COUNTIF(F25_CF!$A:$A,"*" &amp; $A102 &amp; "*") &lt;&gt; 0, "Yes", "No")</f>
        <v>Yes</v>
      </c>
      <c r="V102" s="43" t="str">
        <f t="array" ref="V102">INDEX(F25_CF!I:I, MATCH("*" &amp; $A102 &amp; "*", F25_CF!$A:$A, 0))</f>
        <v>Basic One-Day: Thursday, September 11th [$1000.00]</v>
      </c>
      <c r="W102" s="43" t="str">
        <f>IF(COUNTIF(S25_CF!$A:$A,"*" &amp; $A102 &amp; "*") &lt;&gt; 0, "Yes", "No")</f>
        <v>No</v>
      </c>
      <c r="X102" s="43" t="str">
        <f t="array" ref="X102">INDEX(S25_CF!J:J, MATCH("*" &amp; $A102 &amp; "*", S25_CF!$A:$A, 0))</f>
        <v>#N/A</v>
      </c>
      <c r="Y102" s="43" t="str">
        <f>IF(COUNTIF(F24_CF!$A:$A,"*" &amp; $A102 &amp; "*") &lt;&gt; 0, "Yes", "No")</f>
        <v>Yes</v>
      </c>
      <c r="Z102" s="43" t="str">
        <f t="array" ref="Z102">INDEX(F24_CF!N:N, MATCH("*" &amp; $A102 &amp; "*", F24_CF!$A:$A, 0))</f>
        <v>Gold Two-Day [$5500.00]</v>
      </c>
      <c r="AA102" s="43" t="str">
        <f>IF(COUNTIF(S24_CF!$A:$A,"*" &amp; $A102 &amp; "*") &lt;&gt; 0, "Yes", "No")</f>
        <v>Yes</v>
      </c>
      <c r="AB102" s="43" t="str">
        <f t="array" ref="AB102">INDEX(S24_CF!H:H, MATCH("*" &amp; $A102 &amp; "*", S24_CF!$A:$A, 0))</f>
        <v>Basic One-Day [$1000.00]</v>
      </c>
    </row>
    <row r="103" ht="15.0" customHeight="1">
      <c r="A103" s="52" t="s">
        <v>158</v>
      </c>
      <c r="B103" s="43" t="s">
        <v>52</v>
      </c>
      <c r="C103" s="43"/>
      <c r="D103" s="43"/>
      <c r="E103" s="43"/>
      <c r="F103" s="43">
        <f>COUNTIF(S26_Emp!$C:$C,"*" &amp;A103 &amp; "*")</f>
        <v>0</v>
      </c>
      <c r="G103" s="43">
        <f>COUNTIF(F25_Emp!$C:$C,"*" &amp;#REF! &amp; "*")</f>
        <v>0</v>
      </c>
      <c r="H103" s="43">
        <f>COUNTIF(S25_Emp!$C:$C,"*" &amp; A103 &amp; "*")</f>
        <v>0</v>
      </c>
      <c r="I103" s="43">
        <f>COUNTIF(F24_Emp!$C:$C,"*" &amp; B103 &amp; "*")</f>
        <v>0</v>
      </c>
      <c r="J103" s="43">
        <f>COUNTIF(S24_Emp!$C:$C,"*" &amp; $A103 &amp; "*")</f>
        <v>0</v>
      </c>
      <c r="K103" s="43">
        <f>COUNTIF(F23_Emp!$C:$C,"*" &amp; $A103 &amp; "*")</f>
        <v>0</v>
      </c>
      <c r="L103" s="43">
        <f>COUNTIF(S23_Emp!$C:$C,"*" &amp; $A103 &amp; "*")</f>
        <v>0</v>
      </c>
      <c r="M103" s="43">
        <f>COUNTIF(F22_Emp!$C:$C,"*" &amp; $A103 &amp; "*")</f>
        <v>0</v>
      </c>
      <c r="N103" s="43">
        <f>COUNTIF(S22_Emp!$C:$C,"*" &amp; $A103 &amp; "*")</f>
        <v>0</v>
      </c>
      <c r="O103" s="43" t="str">
        <f>COUNTIFS(S22_Emp!$C:$C,"*" &amp; $A103 &amp; "*", S22_S25_Emp!$B:$B, "Bachelor")</f>
        <v>#VALUE!</v>
      </c>
      <c r="P103" s="43" t="str">
        <f>COUNTIFS(S22_Emp!$C:$C,"*" &amp; $A103 &amp; "*", S22_S25_Emp!$B:$B, "Master")</f>
        <v>#VALUE!</v>
      </c>
      <c r="Q103" s="43" t="str">
        <f>COUNTIFS(S22_Emp!$C:$C,"*" &amp; $A103 &amp; "*", S22_S25_Emp!$B:$B, "Doctorate")</f>
        <v>#VALUE!</v>
      </c>
      <c r="R103" s="43" t="str">
        <f t="array" ref="R103">IF(OR(INDEX(S26_CF!X:X, MATCH("*" &amp; $A103 &amp; "*", CompanyList!A:A, 0))=TRUE, INDEX(F25_CF!P:P, MATCH("*" &amp; $A103 &amp; "*", CompanyList!A:A, 0))=TRUE, INDEX(S25_CF!T:T, MATCH("*" &amp; $A103 &amp; "*", CompanyList!A:A, 0))=TRUE, INDEX(S24_CF!W:W, MATCH("*" &amp; $A103 &amp; "*", CompanyList!A:A, 0))=TRUE), "Yes", "No")</f>
        <v>Yes</v>
      </c>
      <c r="S103" s="43" t="str">
        <f>IF(COUNTIF(S26_CF!$A:$A,"*" &amp; $A103 &amp; "*") &lt;&gt; 0, "Yes", "No")</f>
        <v>Yes</v>
      </c>
      <c r="T103" s="43" t="str">
        <f t="array" ref="T103">INDEX(S26_CF!K:K, MATCH("*" &amp; $A103 &amp; "*", S26_CF!A:A, 0))</f>
        <v>Basic Two-Day [$2000.00]</v>
      </c>
      <c r="U103" s="43" t="str">
        <f>IF(COUNTIF(F25_CF!$A:$A,"*" &amp; $A103 &amp; "*") &lt;&gt; 0, "Yes", "No")</f>
        <v>Yes</v>
      </c>
      <c r="V103" s="43" t="str">
        <f t="array" ref="V103">INDEX(F25_CF!I:I, MATCH("*" &amp; $A103 &amp; "*", F25_CF!$A:$A, 0))</f>
        <v>Basic Two-Day [$2000.00]</v>
      </c>
      <c r="W103" s="43" t="str">
        <f>IF(COUNTIF(S25_CF!$A:$A,"*" &amp; $A103 &amp; "*") &lt;&gt; 0, "Yes", "No")</f>
        <v>Yes</v>
      </c>
      <c r="X103" s="43" t="str">
        <f t="array" ref="X103">INDEX(S25_CF!J:J, MATCH("*" &amp; $A103 &amp; "*", S25_CF!$A:$A, 0))</f>
        <v>Basic Two-Day [$2000.00]</v>
      </c>
      <c r="Y103" s="43" t="str">
        <f>IF(COUNTIF(F24_CF!$A:$A,"*" &amp; $A103 &amp; "*") &lt;&gt; 0, "Yes", "No")</f>
        <v>Yes</v>
      </c>
      <c r="Z103" s="43" t="str">
        <f t="array" ref="Z103">INDEX(F24_CF!N:N, MATCH("*" &amp; $A103 &amp; "*", F24_CF!$A:$A, 0))</f>
        <v>Basic One-Day: Thursday, September 5th [$1000.00]</v>
      </c>
      <c r="AA103" s="43" t="str">
        <f>IF(COUNTIF(S24_CF!$A:$A,"*" &amp; $A103 &amp; "*") &lt;&gt; 0, "Yes", "No")</f>
        <v>Yes</v>
      </c>
      <c r="AB103" s="43" t="str">
        <f t="array" ref="AB103">INDEX(S24_CF!H:H, MATCH("*" &amp; $A103 &amp; "*", S24_CF!$A:$A, 0))</f>
        <v>Basic Two-Day [$2000.00]</v>
      </c>
    </row>
    <row r="104" ht="15.0" customHeight="1">
      <c r="A104" s="52" t="s">
        <v>159</v>
      </c>
      <c r="B104" s="43" t="s">
        <v>54</v>
      </c>
      <c r="C104" s="43">
        <v>16000.0</v>
      </c>
      <c r="D104" s="43">
        <v>60000.0</v>
      </c>
      <c r="E104" s="43">
        <v>18.0</v>
      </c>
      <c r="F104" s="43">
        <f>COUNTIF(S26_Emp!$C:$C,"*" &amp;A104 &amp; "*")</f>
        <v>0</v>
      </c>
      <c r="G104" s="43">
        <f>COUNTIF(F25_Emp!$C:$C,"*" &amp;#REF! &amp; "*")</f>
        <v>0</v>
      </c>
      <c r="H104" s="43">
        <f>COUNTIF(S25_Emp!$C:$C,"*" &amp; A104 &amp; "*")</f>
        <v>2</v>
      </c>
      <c r="I104" s="43">
        <f>COUNTIF(F24_Emp!$C:$C,"*" &amp; B104 &amp; "*")</f>
        <v>1</v>
      </c>
      <c r="J104" s="43">
        <f>COUNTIF(S24_Emp!$C:$C,"*" &amp; $A104 &amp; "*")</f>
        <v>2</v>
      </c>
      <c r="K104" s="43">
        <f>COUNTIF(F23_Emp!$C:$C,"*" &amp; $A104 &amp; "*")</f>
        <v>1</v>
      </c>
      <c r="L104" s="43">
        <f>COUNTIF(S23_Emp!$C:$C,"*" &amp; $A104 &amp; "*")</f>
        <v>3</v>
      </c>
      <c r="M104" s="43">
        <f>COUNTIF(F22_Emp!$C:$C,"*" &amp; $A104 &amp; "*")</f>
        <v>1</v>
      </c>
      <c r="N104" s="43">
        <f>COUNTIF(S22_Emp!$C:$C,"*" &amp; $A104 &amp; "*")</f>
        <v>1</v>
      </c>
      <c r="O104" s="43" t="str">
        <f>COUNTIFS(S22_Emp!$C:$C,"*" &amp; $A104 &amp; "*", S22_S25_Emp!$B:$B, "Bachelor")</f>
        <v>#VALUE!</v>
      </c>
      <c r="P104" s="43" t="str">
        <f>COUNTIFS(S22_Emp!$C:$C,"*" &amp; $A104 &amp; "*", S22_S25_Emp!$B:$B, "Master")</f>
        <v>#VALUE!</v>
      </c>
      <c r="Q104" s="43" t="str">
        <f>COUNTIFS(S22_Emp!$C:$C,"*" &amp; $A104 &amp; "*", S22_S25_Emp!$B:$B, "Doctorate")</f>
        <v>#VALUE!</v>
      </c>
      <c r="R104" s="43" t="str">
        <f t="array" ref="R104">IF(OR(INDEX(S26_CF!X:X, MATCH("*" &amp; $A104 &amp; "*", CompanyList!A:A, 0))=TRUE, INDEX(F25_CF!P:P, MATCH("*" &amp; $A104 &amp; "*", CompanyList!A:A, 0))=TRUE, INDEX(S25_CF!T:T, MATCH("*" &amp; $A104 &amp; "*", CompanyList!A:A, 0))=TRUE, INDEX(S24_CF!W:W, MATCH("*" &amp; $A104 &amp; "*", CompanyList!A:A, 0))=TRUE), "Yes", "No")</f>
        <v>No</v>
      </c>
      <c r="S104" s="43" t="str">
        <f>IF(COUNTIF(S26_CF!$A:$A,"*" &amp; $A104 &amp; "*") &lt;&gt; 0, "Yes", "No")</f>
        <v>Yes</v>
      </c>
      <c r="T104" s="43" t="str">
        <f t="array" ref="T104">INDEX(S26_CF!K:K, MATCH("*" &amp; $A104 &amp; "*", S26_CF!A:A, 0))</f>
        <v>Basic One-Day: Wednesday, January 28th [$1000.00]</v>
      </c>
      <c r="U104" s="43" t="str">
        <f>IF(COUNTIF(F25_CF!$A:$A,"*" &amp; $A104 &amp; "*") &lt;&gt; 0, "Yes", "No")</f>
        <v>Yes</v>
      </c>
      <c r="V104" s="43" t="str">
        <f t="array" ref="V104">INDEX(F25_CF!I:I, MATCH("*" &amp; $A104 &amp; "*", F25_CF!$A:$A, 0))</f>
        <v>Basic One-Day: Wednesday, September 10th [$1000.00]</v>
      </c>
      <c r="W104" s="43" t="str">
        <f>IF(COUNTIF(S25_CF!$A:$A,"*" &amp; $A104 &amp; "*") &lt;&gt; 0, "Yes", "No")</f>
        <v>Yes</v>
      </c>
      <c r="X104" s="43" t="str">
        <f t="array" ref="X104">INDEX(S25_CF!J:J, MATCH("*" &amp; $A104 &amp; "*", S25_CF!$A:$A, 0))</f>
        <v>Basic One-Day: Thursday, January 23rd [$1000.00]</v>
      </c>
      <c r="Y104" s="43" t="str">
        <f>IF(COUNTIF(F24_CF!$A:$A,"*" &amp; $A104 &amp; "*") &lt;&gt; 0, "Yes", "No")</f>
        <v>Yes</v>
      </c>
      <c r="Z104" s="43" t="str">
        <f t="array" ref="Z104">INDEX(F24_CF!N:N, MATCH("*" &amp; $A104 &amp; "*", F24_CF!$A:$A, 0))</f>
        <v>Gold One-Day: Wednesday, September 4th [$2500.00]</v>
      </c>
      <c r="AA104" s="43" t="str">
        <f>IF(COUNTIF(S24_CF!$A:$A,"*" &amp; $A104 &amp; "*") &lt;&gt; 0, "Yes", "No")</f>
        <v>Yes</v>
      </c>
      <c r="AB104" s="43" t="str">
        <f t="array" ref="AB104">INDEX(S24_CF!H:H, MATCH("*" &amp; $A104 &amp; "*", S24_CF!$A:$A, 0))</f>
        <v>Silver One-Day [$1800.00]</v>
      </c>
    </row>
    <row r="105" ht="15.0" customHeight="1">
      <c r="A105" s="52" t="s">
        <v>160</v>
      </c>
      <c r="B105" s="43" t="s">
        <v>52</v>
      </c>
      <c r="C105" s="43"/>
      <c r="D105" s="43"/>
      <c r="E105" s="43"/>
      <c r="F105" s="43">
        <f>COUNTIF(S26_Emp!$C:$C,"*" &amp;A105 &amp; "*")</f>
        <v>0</v>
      </c>
      <c r="G105" s="43">
        <f>COUNTIF(F25_Emp!$C:$C,"*" &amp;#REF! &amp; "*")</f>
        <v>0</v>
      </c>
      <c r="H105" s="43">
        <f>COUNTIF(S25_Emp!$C:$C,"*" &amp; A105 &amp; "*")</f>
        <v>0</v>
      </c>
      <c r="I105" s="43">
        <f>COUNTIF(F24_Emp!$C:$C,"*" &amp; B105 &amp; "*")</f>
        <v>0</v>
      </c>
      <c r="J105" s="43">
        <f>COUNTIF(S24_Emp!$C:$C,"*" &amp; $A105 &amp; "*")</f>
        <v>0</v>
      </c>
      <c r="K105" s="43">
        <f>COUNTIF(F23_Emp!$C:$C,"*" &amp; $A105 &amp; "*")</f>
        <v>1</v>
      </c>
      <c r="L105" s="43">
        <f>COUNTIF(S23_Emp!$C:$C,"*" &amp; $A105 &amp; "*")</f>
        <v>0</v>
      </c>
      <c r="M105" s="43">
        <f>COUNTIF(F22_Emp!$C:$C,"*" &amp; $A105 &amp; "*")</f>
        <v>0</v>
      </c>
      <c r="N105" s="43">
        <f>COUNTIF(S22_Emp!$C:$C,"*" &amp; $A105 &amp; "*")</f>
        <v>0</v>
      </c>
      <c r="O105" s="43" t="str">
        <f>COUNTIFS(S22_Emp!$C:$C,"*" &amp; $A105 &amp; "*", S22_S25_Emp!$B:$B, "Bachelor")</f>
        <v>#VALUE!</v>
      </c>
      <c r="P105" s="43" t="str">
        <f>COUNTIFS(S22_Emp!$C:$C,"*" &amp; $A105 &amp; "*", S22_S25_Emp!$B:$B, "Master")</f>
        <v>#VALUE!</v>
      </c>
      <c r="Q105" s="43" t="str">
        <f>COUNTIFS(S22_Emp!$C:$C,"*" &amp; $A105 &amp; "*", S22_S25_Emp!$B:$B, "Doctorate")</f>
        <v>#VALUE!</v>
      </c>
      <c r="R105" s="43" t="str">
        <f t="array" ref="R105">IF(OR(INDEX(S26_CF!X:X, MATCH("*" &amp; $A105 &amp; "*", CompanyList!A:A, 0))=TRUE, INDEX(F25_CF!P:P, MATCH("*" &amp; $A105 &amp; "*", CompanyList!A:A, 0))=TRUE, INDEX(S25_CF!T:T, MATCH("*" &amp; $A105 &amp; "*", CompanyList!A:A, 0))=TRUE, INDEX(S24_CF!W:W, MATCH("*" &amp; $A105 &amp; "*", CompanyList!A:A, 0))=TRUE), "Yes", "No")</f>
        <v>No</v>
      </c>
      <c r="S105" s="43" t="str">
        <f>IF(COUNTIF(S26_CF!$A:$A,"*" &amp; $A105 &amp; "*") &lt;&gt; 0, "Yes", "No")</f>
        <v>Yes</v>
      </c>
      <c r="T105" s="43" t="str">
        <f t="array" ref="T105">INDEX(S26_CF!K:K, MATCH("*" &amp; $A105 &amp; "*", S26_CF!A:A, 0))</f>
        <v>Basic Two-Day [$2000.00]</v>
      </c>
      <c r="U105" s="43" t="str">
        <f>IF(COUNTIF(F25_CF!$A:$A,"*" &amp; $A105 &amp; "*") &lt;&gt; 0, "Yes", "No")</f>
        <v>Yes</v>
      </c>
      <c r="V105" s="43" t="str">
        <f t="array" ref="V105">INDEX(F25_CF!I:I, MATCH("*" &amp; $A105 &amp; "*", F25_CF!$A:$A, 0))</f>
        <v>Basic Two-Day [$2000.00]</v>
      </c>
      <c r="W105" s="43" t="str">
        <f>IF(COUNTIF(S25_CF!$A:$A,"*" &amp; $A105 &amp; "*") &lt;&gt; 0, "Yes", "No")</f>
        <v>Yes</v>
      </c>
      <c r="X105" s="43" t="str">
        <f t="array" ref="X105">INDEX(S25_CF!J:J, MATCH("*" &amp; $A105 &amp; "*", S25_CF!$A:$A, 0))</f>
        <v>Basic Two-Day [$2000.00]</v>
      </c>
      <c r="Y105" s="43" t="str">
        <f>IF(COUNTIF(F24_CF!$A:$A,"*" &amp; $A105 &amp; "*") &lt;&gt; 0, "Yes", "No")</f>
        <v>Yes</v>
      </c>
      <c r="Z105" s="43" t="str">
        <f t="array" ref="Z105">INDEX(F24_CF!N:N, MATCH("*" &amp; $A105 &amp; "*", F24_CF!$A:$A, 0))</f>
        <v>Basic One-Day: Thursday, September 5th [$1000.00]</v>
      </c>
      <c r="AA105" s="43" t="str">
        <f>IF(COUNTIF(S24_CF!$A:$A,"*" &amp; $A105 &amp; "*") &lt;&gt; 0, "Yes", "No")</f>
        <v>Yes</v>
      </c>
      <c r="AB105" s="43" t="str">
        <f t="array" ref="AB105">INDEX(S24_CF!H:H, MATCH("*" &amp; $A105 &amp; "*", S24_CF!$A:$A, 0))</f>
        <v>Basic Two-Day [$2000.00]</v>
      </c>
    </row>
    <row r="106" ht="15.0" customHeight="1">
      <c r="A106" s="52" t="s">
        <v>161</v>
      </c>
      <c r="B106" s="43" t="s">
        <v>52</v>
      </c>
      <c r="C106" s="43">
        <v>5800.0</v>
      </c>
      <c r="D106" s="43">
        <v>4500.0</v>
      </c>
      <c r="E106" s="43"/>
      <c r="F106" s="43">
        <f>COUNTIF(S26_Emp!$C:$C,"*" &amp;A106 &amp; "*")</f>
        <v>0</v>
      </c>
      <c r="G106" s="43">
        <f>COUNTIF(F25_Emp!$C:$C,"*" &amp;#REF! &amp; "*")</f>
        <v>0</v>
      </c>
      <c r="H106" s="43">
        <f>COUNTIF(S25_Emp!$C:$C,"*" &amp; A106 &amp; "*")</f>
        <v>0</v>
      </c>
      <c r="I106" s="43">
        <f>COUNTIF(F24_Emp!$C:$C,"*" &amp; B106 &amp; "*")</f>
        <v>0</v>
      </c>
      <c r="J106" s="43">
        <f>COUNTIF(S24_Emp!$C:$C,"*" &amp; $A106 &amp; "*")</f>
        <v>0</v>
      </c>
      <c r="K106" s="43">
        <f>COUNTIF(F23_Emp!$C:$C,"*" &amp; $A106 &amp; "*")</f>
        <v>0</v>
      </c>
      <c r="L106" s="43">
        <f>COUNTIF(S23_Emp!$C:$C,"*" &amp; $A106 &amp; "*")</f>
        <v>0</v>
      </c>
      <c r="M106" s="43">
        <f>COUNTIF(F22_Emp!$C:$C,"*" &amp; $A106 &amp; "*")</f>
        <v>0</v>
      </c>
      <c r="N106" s="43">
        <f>COUNTIF(S22_Emp!$C:$C,"*" &amp; $A106 &amp; "*")</f>
        <v>0</v>
      </c>
      <c r="O106" s="43" t="str">
        <f>COUNTIFS(S22_Emp!$C:$C,"*" &amp; $A106 &amp; "*", S22_S25_Emp!$B:$B, "Bachelor")</f>
        <v>#VALUE!</v>
      </c>
      <c r="P106" s="43" t="str">
        <f>COUNTIFS(S22_Emp!$C:$C,"*" &amp; $A106 &amp; "*", S22_S25_Emp!$B:$B, "Master")</f>
        <v>#VALUE!</v>
      </c>
      <c r="Q106" s="43" t="str">
        <f>COUNTIFS(S22_Emp!$C:$C,"*" &amp; $A106 &amp; "*", S22_S25_Emp!$B:$B, "Doctorate")</f>
        <v>#VALUE!</v>
      </c>
      <c r="R106" s="43" t="str">
        <f t="array" ref="R106">IF(OR(INDEX(S26_CF!X:X, MATCH("*" &amp; $A106 &amp; "*", CompanyList!A:A, 0))=TRUE, INDEX(F25_CF!P:P, MATCH("*" &amp; $A106 &amp; "*", CompanyList!A:A, 0))=TRUE, INDEX(S25_CF!T:T, MATCH("*" &amp; $A106 &amp; "*", CompanyList!A:A, 0))=TRUE, INDEX(S24_CF!W:W, MATCH("*" &amp; $A106 &amp; "*", CompanyList!A:A, 0))=TRUE), "Yes", "No")</f>
        <v>Yes</v>
      </c>
      <c r="S106" s="43" t="str">
        <f>IF(COUNTIF(S26_CF!$A:$A,"*" &amp; $A106 &amp; "*") &lt;&gt; 0, "Yes", "No")</f>
        <v>No</v>
      </c>
      <c r="T106" s="43" t="str">
        <f t="array" ref="T106">INDEX(S26_CF!K:K, MATCH("*" &amp; $A106 &amp; "*", S26_CF!A:A, 0))</f>
        <v>#N/A</v>
      </c>
      <c r="U106" s="43" t="str">
        <f>IF(COUNTIF(F25_CF!$A:$A,"*" &amp; $A106 &amp; "*") &lt;&gt; 0, "Yes", "No")</f>
        <v>Yes</v>
      </c>
      <c r="V106" s="43" t="str">
        <f t="array" ref="V106">INDEX(F25_CF!I:I, MATCH("*" &amp; $A106 &amp; "*", F25_CF!$A:$A, 0))</f>
        <v>Basic One-Day: Wednesday, September 10th [$1000.00]</v>
      </c>
      <c r="W106" s="43" t="str">
        <f>IF(COUNTIF(S25_CF!$A:$A,"*" &amp; $A106 &amp; "*") &lt;&gt; 0, "Yes", "No")</f>
        <v>Yes</v>
      </c>
      <c r="X106" s="43" t="str">
        <f t="array" ref="X106">INDEX(S25_CF!J:J, MATCH("*" &amp; $A106 &amp; "*", S25_CF!$A:$A, 0))</f>
        <v>Basic One-Day: Wednesday, January 22nd [$1000.00]</v>
      </c>
      <c r="Y106" s="43" t="str">
        <f>IF(COUNTIF(F24_CF!$A:$A,"*" &amp; $A106 &amp; "*") &lt;&gt; 0, "Yes", "No")</f>
        <v>Yes</v>
      </c>
      <c r="Z106" s="43" t="str">
        <f t="array" ref="Z106">INDEX(F24_CF!N:N, MATCH("*" &amp; $A106 &amp; "*", F24_CF!$A:$A, 0))</f>
        <v>Basic One-Day: Wednesday, September 4th [$1000.00]</v>
      </c>
      <c r="AA106" s="43" t="str">
        <f>IF(COUNTIF(S24_CF!$A:$A,"*" &amp; $A106 &amp; "*") &lt;&gt; 0, "Yes", "No")</f>
        <v>Yes</v>
      </c>
      <c r="AB106" s="43" t="str">
        <f t="array" ref="AB106">INDEX(S24_CF!H:H, MATCH("*" &amp; $A106 &amp; "*", S24_CF!$A:$A, 0))</f>
        <v>Basic One-Day [$1000.00]</v>
      </c>
    </row>
    <row r="107" ht="15.0" customHeight="1">
      <c r="A107" s="52" t="s">
        <v>162</v>
      </c>
      <c r="B107" s="43" t="s">
        <v>54</v>
      </c>
      <c r="C107" s="43">
        <v>85000.0</v>
      </c>
      <c r="D107" s="43">
        <v>130000.0</v>
      </c>
      <c r="E107" s="43">
        <v>380.0</v>
      </c>
      <c r="F107" s="43">
        <f>COUNTIF(S26_Emp!$C:$C,"*" &amp;A107 &amp; "*")</f>
        <v>0</v>
      </c>
      <c r="G107" s="43">
        <f>COUNTIF(F25_Emp!$C:$C,"*" &amp;#REF! &amp; "*")</f>
        <v>0</v>
      </c>
      <c r="H107" s="43">
        <f>COUNTIF(S25_Emp!$C:$C,"*" &amp; A107 &amp; "*")</f>
        <v>2</v>
      </c>
      <c r="I107" s="43">
        <f>COUNTIF(F24_Emp!$C:$C,"*" &amp; B107 &amp; "*")</f>
        <v>1</v>
      </c>
      <c r="J107" s="43">
        <f>COUNTIF(S24_Emp!$C:$C,"*" &amp; $A107 &amp; "*")</f>
        <v>1</v>
      </c>
      <c r="K107" s="43">
        <f>COUNTIF(F23_Emp!$C:$C,"*" &amp; $A107 &amp; "*")</f>
        <v>0</v>
      </c>
      <c r="L107" s="43">
        <f>COUNTIF(S23_Emp!$C:$C,"*" &amp; $A107 &amp; "*")</f>
        <v>2</v>
      </c>
      <c r="M107" s="43">
        <f>COUNTIF(F22_Emp!$C:$C,"*" &amp; $A107 &amp; "*")</f>
        <v>0</v>
      </c>
      <c r="N107" s="43">
        <f>COUNTIF(S22_Emp!$C:$C,"*" &amp; $A107 &amp; "*")</f>
        <v>2</v>
      </c>
      <c r="O107" s="43" t="str">
        <f>COUNTIFS(S22_Emp!$C:$C,"*" &amp; $A107 &amp; "*", S22_S25_Emp!$B:$B, "Bachelor")</f>
        <v>#VALUE!</v>
      </c>
      <c r="P107" s="43" t="str">
        <f>COUNTIFS(S22_Emp!$C:$C,"*" &amp; $A107 &amp; "*", S22_S25_Emp!$B:$B, "Master")</f>
        <v>#VALUE!</v>
      </c>
      <c r="Q107" s="43" t="str">
        <f>COUNTIFS(S22_Emp!$C:$C,"*" &amp; $A107 &amp; "*", S22_S25_Emp!$B:$B, "Doctorate")</f>
        <v>#VALUE!</v>
      </c>
      <c r="R107" s="43" t="str">
        <f t="array" ref="R107">IF(OR(INDEX(S26_CF!X:X, MATCH("*" &amp; $A107 &amp; "*", CompanyList!A:A, 0))=TRUE, INDEX(F25_CF!P:P, MATCH("*" &amp; $A107 &amp; "*", CompanyList!A:A, 0))=TRUE, INDEX(S25_CF!T:T, MATCH("*" &amp; $A107 &amp; "*", CompanyList!A:A, 0))=TRUE, INDEX(S24_CF!W:W, MATCH("*" &amp; $A107 &amp; "*", CompanyList!A:A, 0))=TRUE), "Yes", "No")</f>
        <v>No</v>
      </c>
      <c r="S107" s="43" t="str">
        <f>IF(COUNTIF(S26_CF!$A:$A,"*" &amp; $A107 &amp; "*") &lt;&gt; 0, "Yes", "No")</f>
        <v>Yes</v>
      </c>
      <c r="T107" s="43" t="str">
        <f t="array" ref="T107">INDEX(S26_CF!K:K, MATCH("*" &amp; $A107 &amp; "*", S26_CF!A:A, 0))</f>
        <v>Basic Two-Day [$2000.00]</v>
      </c>
      <c r="U107" s="43" t="str">
        <f>IF(COUNTIF(F25_CF!$A:$A,"*" &amp; $A107 &amp; "*") &lt;&gt; 0, "Yes", "No")</f>
        <v>Yes</v>
      </c>
      <c r="V107" s="43" t="str">
        <f t="array" ref="V107">INDEX(F25_CF!I:I, MATCH("*" &amp; $A107 &amp; "*", F25_CF!$A:$A, 0))</f>
        <v>Basic Two-Day [$2000.00]</v>
      </c>
      <c r="W107" s="43" t="str">
        <f>IF(COUNTIF(S25_CF!$A:$A,"*" &amp; $A107 &amp; "*") &lt;&gt; 0, "Yes", "No")</f>
        <v>Yes</v>
      </c>
      <c r="X107" s="43" t="str">
        <f t="array" ref="X107">INDEX(S25_CF!J:J, MATCH("*" &amp; $A107 &amp; "*", S25_CF!$A:$A, 0))</f>
        <v>Basic Two-Day [$2000.00]</v>
      </c>
      <c r="Y107" s="43" t="str">
        <f>IF(COUNTIF(F24_CF!$A:$A,"*" &amp; $A107 &amp; "*") &lt;&gt; 0, "Yes", "No")</f>
        <v>Yes</v>
      </c>
      <c r="Z107" s="43" t="str">
        <f t="array" ref="Z107">INDEX(F24_CF!N:N, MATCH("*" &amp; $A107 &amp; "*", F24_CF!$A:$A, 0))</f>
        <v>Silver Two-Day [$3000.00]</v>
      </c>
      <c r="AA107" s="43" t="str">
        <f>IF(COUNTIF(S24_CF!$A:$A,"*" &amp; $A107 &amp; "*") &lt;&gt; 0, "Yes", "No")</f>
        <v>Yes</v>
      </c>
      <c r="AB107" s="43" t="str">
        <f t="array" ref="AB107">INDEX(S24_CF!H:H, MATCH("*" &amp; $A107 &amp; "*", S24_CF!$A:$A, 0))</f>
        <v>Gold One-Day [$2500.00]</v>
      </c>
    </row>
    <row r="108" ht="15.0" customHeight="1">
      <c r="A108" s="52" t="s">
        <v>163</v>
      </c>
      <c r="B108" s="43" t="s">
        <v>52</v>
      </c>
      <c r="C108" s="43"/>
      <c r="D108" s="43"/>
      <c r="E108" s="43"/>
      <c r="F108" s="43">
        <f>COUNTIF(S26_Emp!$C:$C,"*" &amp;A108 &amp; "*")</f>
        <v>0</v>
      </c>
      <c r="G108" s="43">
        <f>COUNTIF(F25_Emp!$C:$C,"*" &amp;#REF! &amp; "*")</f>
        <v>0</v>
      </c>
      <c r="H108" s="43">
        <f>COUNTIF(S25_Emp!$C:$C,"*" &amp; A108 &amp; "*")</f>
        <v>0</v>
      </c>
      <c r="I108" s="43">
        <f>COUNTIF(F24_Emp!$C:$C,"*" &amp; B108 &amp; "*")</f>
        <v>0</v>
      </c>
      <c r="J108" s="43">
        <f>COUNTIF(S24_Emp!$C:$C,"*" &amp; $A108 &amp; "*")</f>
        <v>0</v>
      </c>
      <c r="K108" s="43">
        <f>COUNTIF(F23_Emp!$C:$C,"*" &amp; $A108 &amp; "*")</f>
        <v>2</v>
      </c>
      <c r="L108" s="43">
        <f>COUNTIF(S23_Emp!$C:$C,"*" &amp; $A108 &amp; "*")</f>
        <v>0</v>
      </c>
      <c r="M108" s="43">
        <f>COUNTIF(F22_Emp!$C:$C,"*" &amp; $A108 &amp; "*")</f>
        <v>0</v>
      </c>
      <c r="N108" s="43">
        <f>COUNTIF(S22_Emp!$C:$C,"*" &amp; $A108 &amp; "*")</f>
        <v>0</v>
      </c>
      <c r="O108" s="43" t="str">
        <f>COUNTIFS(S22_Emp!$C:$C,"*" &amp; $A108 &amp; "*", S22_S25_Emp!$B:$B, "Bachelor")</f>
        <v>#VALUE!</v>
      </c>
      <c r="P108" s="43" t="str">
        <f>COUNTIFS(S22_Emp!$C:$C,"*" &amp; $A108 &amp; "*", S22_S25_Emp!$B:$B, "Master")</f>
        <v>#VALUE!</v>
      </c>
      <c r="Q108" s="43" t="str">
        <f>COUNTIFS(S22_Emp!$C:$C,"*" &amp; $A108 &amp; "*", S22_S25_Emp!$B:$B, "Doctorate")</f>
        <v>#VALUE!</v>
      </c>
      <c r="R108" s="43" t="str">
        <f t="array" ref="R108">IF(OR(INDEX(S26_CF!X:X, MATCH("*" &amp; $A108 &amp; "*", CompanyList!A:A, 0))=TRUE, INDEX(F25_CF!P:P, MATCH("*" &amp; $A108 &amp; "*", CompanyList!A:A, 0))=TRUE, INDEX(S25_CF!T:T, MATCH("*" &amp; $A108 &amp; "*", CompanyList!A:A, 0))=TRUE, INDEX(S24_CF!W:W, MATCH("*" &amp; $A108 &amp; "*", CompanyList!A:A, 0))=TRUE), "Yes", "No")</f>
        <v>Yes</v>
      </c>
      <c r="S108" s="43" t="str">
        <f>IF(COUNTIF(S26_CF!$A:$A,"*" &amp; $A108 &amp; "*") &lt;&gt; 0, "Yes", "No")</f>
        <v>No</v>
      </c>
      <c r="T108" s="43" t="str">
        <f t="array" ref="T108">INDEX(S26_CF!K:K, MATCH("*" &amp; $A108 &amp; "*", S26_CF!A:A, 0))</f>
        <v>#N/A</v>
      </c>
      <c r="U108" s="43" t="str">
        <f>IF(COUNTIF(F25_CF!$A:$A,"*" &amp; $A108 &amp; "*") &lt;&gt; 0, "Yes", "No")</f>
        <v>No</v>
      </c>
      <c r="V108" s="43" t="str">
        <f t="array" ref="V108">INDEX(F25_CF!I:I, MATCH("*" &amp; $A108 &amp; "*", F25_CF!$A:$A, 0))</f>
        <v>#N/A</v>
      </c>
      <c r="W108" s="43" t="str">
        <f>IF(COUNTIF(S25_CF!$A:$A,"*" &amp; $A108 &amp; "*") &lt;&gt; 0, "Yes", "No")</f>
        <v>Yes</v>
      </c>
      <c r="X108" s="43" t="str">
        <f t="array" ref="X108">INDEX(S25_CF!J:J, MATCH("*" &amp; $A108 &amp; "*", S25_CF!$A:$A, 0))</f>
        <v>Basic One-Day: Thursday, January 23rd [$1000.00]</v>
      </c>
      <c r="Y108" s="43" t="str">
        <f>IF(COUNTIF(F24_CF!$A:$A,"*" &amp; $A108 &amp; "*") &lt;&gt; 0, "Yes", "No")</f>
        <v>Yes</v>
      </c>
      <c r="Z108" s="43" t="str">
        <f t="array" ref="Z108">INDEX(F24_CF!N:N, MATCH("*" &amp; $A108 &amp; "*", F24_CF!$A:$A, 0))</f>
        <v>Gold One-Day: Thursday, September 5th [$2500.00]</v>
      </c>
      <c r="AA108" s="43" t="str">
        <f>IF(COUNTIF(S24_CF!$A:$A,"*" &amp; $A108 &amp; "*") &lt;&gt; 0, "Yes", "No")</f>
        <v>Yes</v>
      </c>
      <c r="AB108" s="43" t="str">
        <f t="array" ref="AB108">INDEX(S24_CF!H:H, MATCH("*" &amp; $A108 &amp; "*", S24_CF!$A:$A, 0))</f>
        <v>Basic Two-Day [$2000.00]</v>
      </c>
    </row>
    <row r="109" ht="15.0" customHeight="1">
      <c r="A109" s="52" t="s">
        <v>164</v>
      </c>
      <c r="B109" s="43" t="s">
        <v>52</v>
      </c>
      <c r="C109" s="43"/>
      <c r="D109" s="43"/>
      <c r="E109" s="43"/>
      <c r="F109" s="43">
        <f>COUNTIF(S26_Emp!$C:$C,"*" &amp;A109 &amp; "*")</f>
        <v>0</v>
      </c>
      <c r="G109" s="43">
        <f>COUNTIF(F25_Emp!$C:$C,"*" &amp;#REF! &amp; "*")</f>
        <v>0</v>
      </c>
      <c r="H109" s="43">
        <f>COUNTIF(S25_Emp!$C:$C,"*" &amp; A109 &amp; "*")</f>
        <v>0</v>
      </c>
      <c r="I109" s="43">
        <f>COUNTIF(F24_Emp!$C:$C,"*" &amp; B109 &amp; "*")</f>
        <v>0</v>
      </c>
      <c r="J109" s="43">
        <f>COUNTIF(S24_Emp!$C:$C,"*" &amp; $A109 &amp; "*")</f>
        <v>0</v>
      </c>
      <c r="K109" s="43">
        <f>COUNTIF(F23_Emp!$C:$C,"*" &amp; $A109 &amp; "*")</f>
        <v>0</v>
      </c>
      <c r="L109" s="43">
        <f>COUNTIF(S23_Emp!$C:$C,"*" &amp; $A109 &amp; "*")</f>
        <v>0</v>
      </c>
      <c r="M109" s="43">
        <f>COUNTIF(F22_Emp!$C:$C,"*" &amp; $A109 &amp; "*")</f>
        <v>0</v>
      </c>
      <c r="N109" s="43">
        <f>COUNTIF(S22_Emp!$C:$C,"*" &amp; $A109 &amp; "*")</f>
        <v>0</v>
      </c>
      <c r="O109" s="43" t="str">
        <f>COUNTIFS(S22_Emp!$C:$C,"*" &amp; $A109 &amp; "*", S22_S25_Emp!$B:$B, "Bachelor")</f>
        <v>#VALUE!</v>
      </c>
      <c r="P109" s="43" t="str">
        <f>COUNTIFS(S22_Emp!$C:$C,"*" &amp; $A109 &amp; "*", S22_S25_Emp!$B:$B, "Master")</f>
        <v>#VALUE!</v>
      </c>
      <c r="Q109" s="43" t="str">
        <f>COUNTIFS(S22_Emp!$C:$C,"*" &amp; $A109 &amp; "*", S22_S25_Emp!$B:$B, "Doctorate")</f>
        <v>#VALUE!</v>
      </c>
      <c r="R109" s="43" t="str">
        <f t="array" ref="R109">IF(OR(INDEX(S26_CF!X:X, MATCH("*" &amp; $A109 &amp; "*", CompanyList!A:A, 0))=TRUE, INDEX(F25_CF!P:P, MATCH("*" &amp; $A109 &amp; "*", CompanyList!A:A, 0))=TRUE, INDEX(S25_CF!T:T, MATCH("*" &amp; $A109 &amp; "*", CompanyList!A:A, 0))=TRUE, INDEX(S24_CF!W:W, MATCH("*" &amp; $A109 &amp; "*", CompanyList!A:A, 0))=TRUE), "Yes", "No")</f>
        <v>No</v>
      </c>
      <c r="S109" s="43" t="str">
        <f>IF(COUNTIF(S26_CF!$A:$A,"*" &amp; $A109 &amp; "*") &lt;&gt; 0, "Yes", "No")</f>
        <v>Yes</v>
      </c>
      <c r="T109" s="43" t="str">
        <f t="array" ref="T109">INDEX(S26_CF!K:K, MATCH("*" &amp; $A109 &amp; "*", S26_CF!A:A, 0))</f>
        <v>Basic One-Day: Wednesday, January 28th [$1000.00]</v>
      </c>
      <c r="U109" s="43" t="str">
        <f>IF(COUNTIF(F25_CF!$A:$A,"*" &amp; $A109 &amp; "*") &lt;&gt; 0, "Yes", "No")</f>
        <v>Yes</v>
      </c>
      <c r="V109" s="43" t="str">
        <f t="array" ref="V109">INDEX(F25_CF!I:I, MATCH("*" &amp; $A109 &amp; "*", F25_CF!$A:$A, 0))</f>
        <v>Basic One-Day: Wednesday, September 10th [$1000.00]</v>
      </c>
      <c r="W109" s="43" t="str">
        <f>IF(COUNTIF(S25_CF!$A:$A,"*" &amp; $A109 &amp; "*") &lt;&gt; 0, "Yes", "No")</f>
        <v>Yes</v>
      </c>
      <c r="X109" s="43" t="str">
        <f t="array" ref="X109">INDEX(S25_CF!J:J, MATCH("*" &amp; $A109 &amp; "*", S25_CF!$A:$A, 0))</f>
        <v>Basic One-Day: Thursday, January 23rd [$1000.00]</v>
      </c>
      <c r="Y109" s="43" t="str">
        <f>IF(COUNTIF(F24_CF!$A:$A,"*" &amp; $A109 &amp; "*") &lt;&gt; 0, "Yes", "No")</f>
        <v>Yes</v>
      </c>
      <c r="Z109" s="43" t="str">
        <f t="array" ref="Z109">INDEX(F24_CF!N:N, MATCH("*" &amp; $A109 &amp; "*", F24_CF!$A:$A, 0))</f>
        <v>Basic One-Day: Thursday, September 5th [$1000.00]</v>
      </c>
      <c r="AA109" s="43" t="str">
        <f>IF(COUNTIF(S24_CF!$A:$A,"*" &amp; $A109 &amp; "*") &lt;&gt; 0, "Yes", "No")</f>
        <v>Yes</v>
      </c>
      <c r="AB109" s="43" t="str">
        <f t="array" ref="AB109">INDEX(S24_CF!H:H, MATCH("*" &amp; $A109 &amp; "*", S24_CF!$A:$A, 0))</f>
        <v>Basic One-Day [$1000.00]</v>
      </c>
    </row>
    <row r="110" ht="15.0" customHeight="1">
      <c r="A110" s="52" t="s">
        <v>165</v>
      </c>
      <c r="B110" s="43" t="s">
        <v>52</v>
      </c>
      <c r="C110" s="43"/>
      <c r="D110" s="43"/>
      <c r="E110" s="43"/>
      <c r="F110" s="43">
        <f>COUNTIF(S26_Emp!$C:$C,"*" &amp;A110 &amp; "*")</f>
        <v>0</v>
      </c>
      <c r="G110" s="43">
        <f>COUNTIF(F25_Emp!$C:$C,"*" &amp;#REF! &amp; "*")</f>
        <v>0</v>
      </c>
      <c r="H110" s="43">
        <f>COUNTIF(S25_Emp!$C:$C,"*" &amp; A110 &amp; "*")</f>
        <v>0</v>
      </c>
      <c r="I110" s="43">
        <f>COUNTIF(F24_Emp!$C:$C,"*" &amp; B110 &amp; "*")</f>
        <v>0</v>
      </c>
      <c r="J110" s="43">
        <f>COUNTIF(S24_Emp!$C:$C,"*" &amp; $A110 &amp; "*")</f>
        <v>1</v>
      </c>
      <c r="K110" s="43">
        <f>COUNTIF(F23_Emp!$C:$C,"*" &amp; $A110 &amp; "*")</f>
        <v>0</v>
      </c>
      <c r="L110" s="43">
        <f>COUNTIF(S23_Emp!$C:$C,"*" &amp; $A110 &amp; "*")</f>
        <v>0</v>
      </c>
      <c r="M110" s="43">
        <f>COUNTIF(F22_Emp!$C:$C,"*" &amp; $A110 &amp; "*")</f>
        <v>0</v>
      </c>
      <c r="N110" s="43">
        <f>COUNTIF(S22_Emp!$C:$C,"*" &amp; $A110 &amp; "*")</f>
        <v>0</v>
      </c>
      <c r="O110" s="43" t="str">
        <f>COUNTIFS(S22_Emp!$C:$C,"*" &amp; $A110 &amp; "*", S22_S25_Emp!$B:$B, "Bachelor")</f>
        <v>#VALUE!</v>
      </c>
      <c r="P110" s="43" t="str">
        <f>COUNTIFS(S22_Emp!$C:$C,"*" &amp; $A110 &amp; "*", S22_S25_Emp!$B:$B, "Master")</f>
        <v>#VALUE!</v>
      </c>
      <c r="Q110" s="43" t="str">
        <f>COUNTIFS(S22_Emp!$C:$C,"*" &amp; $A110 &amp; "*", S22_S25_Emp!$B:$B, "Doctorate")</f>
        <v>#VALUE!</v>
      </c>
      <c r="R110" s="43" t="str">
        <f t="array" ref="R110">IF(OR(INDEX(S26_CF!X:X, MATCH("*" &amp; $A110 &amp; "*", CompanyList!A:A, 0))=TRUE, INDEX(F25_CF!P:P, MATCH("*" &amp; $A110 &amp; "*", CompanyList!A:A, 0))=TRUE, INDEX(S25_CF!T:T, MATCH("*" &amp; $A110 &amp; "*", CompanyList!A:A, 0))=TRUE, INDEX(S24_CF!W:W, MATCH("*" &amp; $A110 &amp; "*", CompanyList!A:A, 0))=TRUE), "Yes", "No")</f>
        <v>Yes</v>
      </c>
      <c r="S110" s="43" t="str">
        <f>IF(COUNTIF(S26_CF!$A:$A,"*" &amp; $A110 &amp; "*") &lt;&gt; 0, "Yes", "No")</f>
        <v>Yes</v>
      </c>
      <c r="T110" s="43" t="str">
        <f t="array" ref="T110">INDEX(S26_CF!K:K, MATCH("*" &amp; $A110 &amp; "*", S26_CF!A:A, 0))</f>
        <v>Basic One-Day: Wednesday, January 28th [$1000.00]</v>
      </c>
      <c r="U110" s="43" t="str">
        <f>IF(COUNTIF(F25_CF!$A:$A,"*" &amp; $A110 &amp; "*") &lt;&gt; 0, "Yes", "No")</f>
        <v>Yes</v>
      </c>
      <c r="V110" s="43" t="str">
        <f t="array" ref="V110">INDEX(F25_CF!I:I, MATCH("*" &amp; $A110 &amp; "*", F25_CF!$A:$A, 0))</f>
        <v>Basic One-Day: Wednesday, September 10th [$1000.00]</v>
      </c>
      <c r="W110" s="43" t="str">
        <f>IF(COUNTIF(S25_CF!$A:$A,"*" &amp; $A110 &amp; "*") &lt;&gt; 0, "Yes", "No")</f>
        <v>No</v>
      </c>
      <c r="X110" s="43" t="str">
        <f t="array" ref="X110">INDEX(S25_CF!J:J, MATCH("*" &amp; $A110 &amp; "*", S25_CF!$A:$A, 0))</f>
        <v>#N/A</v>
      </c>
      <c r="Y110" s="43" t="str">
        <f>IF(COUNTIF(F24_CF!$A:$A,"*" &amp; $A110 &amp; "*") &lt;&gt; 0, "Yes", "No")</f>
        <v>Yes</v>
      </c>
      <c r="Z110" s="43" t="str">
        <f t="array" ref="Z110">INDEX(F24_CF!N:N, MATCH("*" &amp; $A110 &amp; "*", F24_CF!$A:$A, 0))</f>
        <v>Basic One-Day: Thursday, September 5th [$1000.00]</v>
      </c>
      <c r="AA110" s="43" t="str">
        <f>IF(COUNTIF(S24_CF!$A:$A,"*" &amp; $A110 &amp; "*") &lt;&gt; 0, "Yes", "No")</f>
        <v>Yes</v>
      </c>
      <c r="AB110" s="43" t="str">
        <f t="array" ref="AB110">INDEX(S24_CF!H:H, MATCH("*" &amp; $A110 &amp; "*", S24_CF!$A:$A, 0))</f>
        <v>Basic One-Day [$1000.00]</v>
      </c>
    </row>
    <row r="111" ht="15.0" customHeight="1">
      <c r="A111" s="52" t="s">
        <v>166</v>
      </c>
      <c r="B111" s="43" t="s">
        <v>52</v>
      </c>
      <c r="C111" s="43">
        <v>17000.0</v>
      </c>
      <c r="D111" s="43">
        <v>31000.0</v>
      </c>
      <c r="E111" s="43"/>
      <c r="F111" s="43">
        <f>COUNTIF(S26_Emp!$C:$C,"*" &amp;A111 &amp; "*")</f>
        <v>0</v>
      </c>
      <c r="G111" s="43">
        <f>COUNTIF(F25_Emp!$C:$C,"*" &amp;#REF! &amp; "*")</f>
        <v>0</v>
      </c>
      <c r="H111" s="43">
        <f>COUNTIF(S25_Emp!$C:$C,"*" &amp; A111 &amp; "*")</f>
        <v>7</v>
      </c>
      <c r="I111" s="43">
        <f>COUNTIF(F24_Emp!$C:$C,"*" &amp; B111 &amp; "*")</f>
        <v>0</v>
      </c>
      <c r="J111" s="43">
        <f>COUNTIF(S24_Emp!$C:$C,"*" &amp; $A111 &amp; "*")</f>
        <v>4</v>
      </c>
      <c r="K111" s="43">
        <f>COUNTIF(F23_Emp!$C:$C,"*" &amp; $A111 &amp; "*")</f>
        <v>4</v>
      </c>
      <c r="L111" s="43">
        <f>COUNTIF(S23_Emp!$C:$C,"*" &amp; $A111 &amp; "*")</f>
        <v>4</v>
      </c>
      <c r="M111" s="43">
        <f>COUNTIF(F22_Emp!$C:$C,"*" &amp; $A111 &amp; "*")</f>
        <v>1</v>
      </c>
      <c r="N111" s="43">
        <f>COUNTIF(S22_Emp!$C:$C,"*" &amp; $A111 &amp; "*")</f>
        <v>2</v>
      </c>
      <c r="O111" s="43" t="str">
        <f>COUNTIFS(S22_Emp!$C:$C,"*" &amp; $A111 &amp; "*", S22_S25_Emp!$B:$B, "Bachelor")</f>
        <v>#VALUE!</v>
      </c>
      <c r="P111" s="43" t="str">
        <f>COUNTIFS(S22_Emp!$C:$C,"*" &amp; $A111 &amp; "*", S22_S25_Emp!$B:$B, "Master")</f>
        <v>#VALUE!</v>
      </c>
      <c r="Q111" s="43" t="str">
        <f>COUNTIFS(S22_Emp!$C:$C,"*" &amp; $A111 &amp; "*", S22_S25_Emp!$B:$B, "Doctorate")</f>
        <v>#VALUE!</v>
      </c>
      <c r="R111" s="43" t="str">
        <f t="array" ref="R111">IF(OR(INDEX(S26_CF!X:X, MATCH("*" &amp; $A111 &amp; "*", CompanyList!A:A, 0))=TRUE, INDEX(F25_CF!P:P, MATCH("*" &amp; $A111 &amp; "*", CompanyList!A:A, 0))=TRUE, INDEX(S25_CF!T:T, MATCH("*" &amp; $A111 &amp; "*", CompanyList!A:A, 0))=TRUE, INDEX(S24_CF!W:W, MATCH("*" &amp; $A111 &amp; "*", CompanyList!A:A, 0))=TRUE), "Yes", "No")</f>
        <v>Yes</v>
      </c>
      <c r="S111" s="43" t="str">
        <f>IF(COUNTIF(S26_CF!$A:$A,"*" &amp; $A111 &amp; "*") &lt;&gt; 0, "Yes", "No")</f>
        <v>Yes</v>
      </c>
      <c r="T111" s="43" t="str">
        <f t="array" ref="T111">INDEX(S26_CF!K:K, MATCH("*" &amp; $A111 &amp; "*", S26_CF!A:A, 0))</f>
        <v>Gold Two-Day [$5500.00]</v>
      </c>
      <c r="U111" s="43" t="str">
        <f>IF(COUNTIF(F25_CF!$A:$A,"*" &amp; $A111 &amp; "*") &lt;&gt; 0, "Yes", "No")</f>
        <v>Yes</v>
      </c>
      <c r="V111" s="43" t="str">
        <f t="array" ref="V111">INDEX(F25_CF!I:I, MATCH("*" &amp; $A111 &amp; "*", F25_CF!$A:$A, 0))</f>
        <v>Gold Two-Day [$5500.00]</v>
      </c>
      <c r="W111" s="43" t="str">
        <f>IF(COUNTIF(S25_CF!$A:$A,"*" &amp; $A111 &amp; "*") &lt;&gt; 0, "Yes", "No")</f>
        <v>Yes</v>
      </c>
      <c r="X111" s="43" t="str">
        <f t="array" ref="X111">INDEX(S25_CF!J:J, MATCH("*" &amp; $A111 &amp; "*", S25_CF!$A:$A, 0))</f>
        <v>Gold Two-Day [$5500.00]</v>
      </c>
      <c r="Y111" s="43" t="str">
        <f>IF(COUNTIF(F24_CF!$A:$A,"*" &amp; $A111 &amp; "*") &lt;&gt; 0, "Yes", "No")</f>
        <v>Yes</v>
      </c>
      <c r="Z111" s="43" t="str">
        <f t="array" ref="Z111">INDEX(F24_CF!N:N, MATCH("*" &amp; $A111 &amp; "*", F24_CF!$A:$A, 0))</f>
        <v>Gold Two-Day [$5500.00]</v>
      </c>
      <c r="AA111" s="43" t="str">
        <f>IF(COUNTIF(S24_CF!$A:$A,"*" &amp; $A111 &amp; "*") &lt;&gt; 0, "Yes", "No")</f>
        <v>Yes</v>
      </c>
      <c r="AB111" s="43" t="str">
        <f t="array" ref="AB111">INDEX(S24_CF!H:H, MATCH("*" &amp; $A111 &amp; "*", S24_CF!$A:$A, 0))</f>
        <v>Gold Two-Day [$5000.00]</v>
      </c>
    </row>
    <row r="112" ht="15.0" customHeight="1">
      <c r="A112" s="52" t="s">
        <v>167</v>
      </c>
      <c r="B112" s="43" t="s">
        <v>54</v>
      </c>
      <c r="C112" s="43">
        <v>20000.0</v>
      </c>
      <c r="D112" s="43">
        <v>41000.0</v>
      </c>
      <c r="E112" s="43">
        <v>45.0</v>
      </c>
      <c r="F112" s="43">
        <f>COUNTIF(S26_Emp!$C:$C,"*" &amp;A112 &amp; "*")</f>
        <v>0</v>
      </c>
      <c r="G112" s="43">
        <f>COUNTIF(F25_Emp!$C:$C,"*" &amp;#REF! &amp; "*")</f>
        <v>0</v>
      </c>
      <c r="H112" s="43">
        <f>COUNTIF(S25_Emp!$C:$C,"*" &amp; A112 &amp; "*")</f>
        <v>0</v>
      </c>
      <c r="I112" s="43">
        <f>COUNTIF(F24_Emp!$C:$C,"*" &amp; B112 &amp; "*")</f>
        <v>1</v>
      </c>
      <c r="J112" s="43">
        <f>COUNTIF(S24_Emp!$C:$C,"*" &amp; $A112 &amp; "*")</f>
        <v>0</v>
      </c>
      <c r="K112" s="43">
        <f>COUNTIF(F23_Emp!$C:$C,"*" &amp; $A112 &amp; "*")</f>
        <v>0</v>
      </c>
      <c r="L112" s="43">
        <f>COUNTIF(S23_Emp!$C:$C,"*" &amp; $A112 &amp; "*")</f>
        <v>1</v>
      </c>
      <c r="M112" s="43">
        <f>COUNTIF(F22_Emp!$C:$C,"*" &amp; $A112 &amp; "*")</f>
        <v>0</v>
      </c>
      <c r="N112" s="43">
        <f>COUNTIF(S22_Emp!$C:$C,"*" &amp; $A112 &amp; "*")</f>
        <v>0</v>
      </c>
      <c r="O112" s="43" t="str">
        <f>COUNTIFS(S22_Emp!$C:$C,"*" &amp; $A112 &amp; "*", S22_S25_Emp!$B:$B, "Bachelor")</f>
        <v>#VALUE!</v>
      </c>
      <c r="P112" s="43" t="str">
        <f>COUNTIFS(S22_Emp!$C:$C,"*" &amp; $A112 &amp; "*", S22_S25_Emp!$B:$B, "Master")</f>
        <v>#VALUE!</v>
      </c>
      <c r="Q112" s="43" t="str">
        <f>COUNTIFS(S22_Emp!$C:$C,"*" &amp; $A112 &amp; "*", S22_S25_Emp!$B:$B, "Doctorate")</f>
        <v>#VALUE!</v>
      </c>
      <c r="R112" s="43" t="str">
        <f t="array" ref="R112">IF(OR(INDEX(S26_CF!X:X, MATCH("*" &amp; $A112 &amp; "*", CompanyList!A:A, 0))=TRUE, INDEX(F25_CF!P:P, MATCH("*" &amp; $A112 &amp; "*", CompanyList!A:A, 0))=TRUE, INDEX(S25_CF!T:T, MATCH("*" &amp; $A112 &amp; "*", CompanyList!A:A, 0))=TRUE, INDEX(S24_CF!W:W, MATCH("*" &amp; $A112 &amp; "*", CompanyList!A:A, 0))=TRUE), "Yes", "No")</f>
        <v>Yes</v>
      </c>
      <c r="S112" s="43" t="str">
        <f>IF(COUNTIF(S26_CF!$A:$A,"*" &amp; $A112 &amp; "*") &lt;&gt; 0, "Yes", "No")</f>
        <v>No</v>
      </c>
      <c r="T112" s="43" t="str">
        <f t="array" ref="T112">INDEX(S26_CF!K:K, MATCH("*" &amp; $A112 &amp; "*", S26_CF!A:A, 0))</f>
        <v>#N/A</v>
      </c>
      <c r="U112" s="43" t="str">
        <f>IF(COUNTIF(F25_CF!$A:$A,"*" &amp; $A112 &amp; "*") &lt;&gt; 0, "Yes", "No")</f>
        <v>Yes</v>
      </c>
      <c r="V112" s="43" t="str">
        <f t="array" ref="V112">INDEX(F25_CF!I:I, MATCH("*" &amp; $A112 &amp; "*", F25_CF!$A:$A, 0))</f>
        <v>Gold Two-Day [$5500.00]</v>
      </c>
      <c r="W112" s="43" t="str">
        <f>IF(COUNTIF(S25_CF!$A:$A,"*" &amp; $A112 &amp; "*") &lt;&gt; 0, "Yes", "No")</f>
        <v>No</v>
      </c>
      <c r="X112" s="43" t="str">
        <f t="array" ref="X112">INDEX(S25_CF!J:J, MATCH("*" &amp; $A112 &amp; "*", S25_CF!$A:$A, 0))</f>
        <v>#N/A</v>
      </c>
      <c r="Y112" s="43" t="str">
        <f>IF(COUNTIF(F24_CF!$A:$A,"*" &amp; $A112 &amp; "*") &lt;&gt; 0, "Yes", "No")</f>
        <v>Yes</v>
      </c>
      <c r="Z112" s="43" t="str">
        <f t="array" ref="Z112">INDEX(F24_CF!N:N, MATCH("*" &amp; $A112 &amp; "*", F24_CF!$A:$A, 0))</f>
        <v>Gold Two-Day [$5500.00]</v>
      </c>
      <c r="AA112" s="43" t="str">
        <f>IF(COUNTIF(S24_CF!$A:$A,"*" &amp; $A112 &amp; "*") &lt;&gt; 0, "Yes", "No")</f>
        <v>Yes</v>
      </c>
      <c r="AB112" s="43" t="str">
        <f t="array" ref="AB112">INDEX(S24_CF!H:H, MATCH("*" &amp; $A112 &amp; "*", S24_CF!$A:$A, 0))</f>
        <v>Gold Two-Day [$5000.00]</v>
      </c>
    </row>
    <row r="113" ht="15.0" customHeight="1">
      <c r="A113" s="52" t="s">
        <v>168</v>
      </c>
      <c r="B113" s="43" t="s">
        <v>52</v>
      </c>
      <c r="C113" s="43"/>
      <c r="D113" s="43"/>
      <c r="E113" s="43"/>
      <c r="F113" s="43">
        <f>COUNTIF(S26_Emp!$C:$C,"*" &amp;A113 &amp; "*")</f>
        <v>0</v>
      </c>
      <c r="G113" s="43">
        <f>COUNTIF(F25_Emp!$C:$C,"*" &amp;#REF! &amp; "*")</f>
        <v>0</v>
      </c>
      <c r="H113" s="43">
        <f>COUNTIF(S25_Emp!$C:$C,"*" &amp; A113 &amp; "*")</f>
        <v>5</v>
      </c>
      <c r="I113" s="43">
        <f>COUNTIF(F24_Emp!$C:$C,"*" &amp; B113 &amp; "*")</f>
        <v>0</v>
      </c>
      <c r="J113" s="43">
        <f>COUNTIF(S24_Emp!$C:$C,"*" &amp; $A113 &amp; "*")</f>
        <v>5</v>
      </c>
      <c r="K113" s="43">
        <f>COUNTIF(F23_Emp!$C:$C,"*" &amp; $A113 &amp; "*")</f>
        <v>2</v>
      </c>
      <c r="L113" s="43">
        <f>COUNTIF(S23_Emp!$C:$C,"*" &amp; $A113 &amp; "*")</f>
        <v>4</v>
      </c>
      <c r="M113" s="43">
        <f>COUNTIF(F22_Emp!$C:$C,"*" &amp; $A113 &amp; "*")</f>
        <v>3</v>
      </c>
      <c r="N113" s="43">
        <f>COUNTIF(S22_Emp!$C:$C,"*" &amp; $A113 &amp; "*")</f>
        <v>6</v>
      </c>
      <c r="O113" s="43" t="str">
        <f>COUNTIFS(S22_Emp!$C:$C,"*" &amp; $A113 &amp; "*", S22_S25_Emp!$B:$B, "Bachelor")</f>
        <v>#VALUE!</v>
      </c>
      <c r="P113" s="43" t="str">
        <f>COUNTIFS(S22_Emp!$C:$C,"*" &amp; $A113 &amp; "*", S22_S25_Emp!$B:$B, "Master")</f>
        <v>#VALUE!</v>
      </c>
      <c r="Q113" s="43" t="str">
        <f>COUNTIFS(S22_Emp!$C:$C,"*" &amp; $A113 &amp; "*", S22_S25_Emp!$B:$B, "Doctorate")</f>
        <v>#VALUE!</v>
      </c>
      <c r="R113" s="43" t="str">
        <f t="array" ref="R113">IF(OR(INDEX(S26_CF!X:X, MATCH("*" &amp; $A113 &amp; "*", CompanyList!A:A, 0))=TRUE, INDEX(F25_CF!P:P, MATCH("*" &amp; $A113 &amp; "*", CompanyList!A:A, 0))=TRUE, INDEX(S25_CF!T:T, MATCH("*" &amp; $A113 &amp; "*", CompanyList!A:A, 0))=TRUE, INDEX(S24_CF!W:W, MATCH("*" &amp; $A113 &amp; "*", CompanyList!A:A, 0))=TRUE), "Yes", "No")</f>
        <v>No</v>
      </c>
      <c r="S113" s="43" t="str">
        <f>IF(COUNTIF(S26_CF!$A:$A,"*" &amp; $A113 &amp; "*") &lt;&gt; 0, "Yes", "No")</f>
        <v>Yes</v>
      </c>
      <c r="T113" s="43" t="str">
        <f t="array" ref="T113">INDEX(S26_CF!K:K, MATCH("*" &amp; $A113 &amp; "*", S26_CF!A:A, 0))</f>
        <v>Gold Two-Day [$5500.00]</v>
      </c>
      <c r="U113" s="43" t="str">
        <f>IF(COUNTIF(F25_CF!$A:$A,"*" &amp; $A113 &amp; "*") &lt;&gt; 0, "Yes", "No")</f>
        <v>Yes</v>
      </c>
      <c r="V113" s="43" t="str">
        <f t="array" ref="V113">INDEX(F25_CF!I:I, MATCH("*" &amp; $A113 &amp; "*", F25_CF!$A:$A, 0))</f>
        <v>Gold Two-Day [$5500.00]</v>
      </c>
      <c r="W113" s="43" t="str">
        <f>IF(COUNTIF(S25_CF!$A:$A,"*" &amp; $A113 &amp; "*") &lt;&gt; 0, "Yes", "No")</f>
        <v>Yes</v>
      </c>
      <c r="X113" s="43" t="str">
        <f t="array" ref="X113">INDEX(S25_CF!J:J, MATCH("*" &amp; $A113 &amp; "*", S25_CF!$A:$A, 0))</f>
        <v>Diamond Two-Day [$8000.00]</v>
      </c>
      <c r="Y113" s="43" t="str">
        <f>IF(COUNTIF(F24_CF!$A:$A,"*" &amp; $A113 &amp; "*") &lt;&gt; 0, "Yes", "No")</f>
        <v>Yes</v>
      </c>
      <c r="Z113" s="43" t="str">
        <f t="array" ref="Z113">INDEX(F24_CF!N:N, MATCH("*" &amp; $A113 &amp; "*", F24_CF!$A:$A, 0))</f>
        <v>Diamond Two-Day [$8000.00]</v>
      </c>
      <c r="AA113" s="43" t="str">
        <f>IF(COUNTIF(S24_CF!$A:$A,"*" &amp; $A113 &amp; "*") &lt;&gt; 0, "Yes", "No")</f>
        <v>Yes</v>
      </c>
      <c r="AB113" s="43" t="str">
        <f t="array" ref="AB113">INDEX(S24_CF!H:H, MATCH("*" &amp; $A113 &amp; "*", S24_CF!$A:$A, 0))</f>
        <v>Gold Two-Day [$5000.00]</v>
      </c>
    </row>
    <row r="114" ht="15.0" customHeight="1">
      <c r="A114" s="52" t="s">
        <v>169</v>
      </c>
      <c r="B114" s="43" t="s">
        <v>52</v>
      </c>
      <c r="C114" s="43"/>
      <c r="D114" s="43"/>
      <c r="E114" s="43"/>
      <c r="F114" s="43">
        <f>COUNTIF(S26_Emp!$C:$C,"*" &amp;A114 &amp; "*")</f>
        <v>0</v>
      </c>
      <c r="G114" s="43">
        <f>COUNTIF(F25_Emp!$C:$C,"*" &amp;#REF! &amp; "*")</f>
        <v>0</v>
      </c>
      <c r="H114" s="43">
        <f>COUNTIF(S25_Emp!$C:$C,"*" &amp; A114 &amp; "*")</f>
        <v>0</v>
      </c>
      <c r="I114" s="43">
        <f>COUNTIF(F24_Emp!$C:$C,"*" &amp; B114 &amp; "*")</f>
        <v>0</v>
      </c>
      <c r="J114" s="43">
        <f>COUNTIF(S24_Emp!$C:$C,"*" &amp; $A114 &amp; "*")</f>
        <v>0</v>
      </c>
      <c r="K114" s="43">
        <f>COUNTIF(F23_Emp!$C:$C,"*" &amp; $A114 &amp; "*")</f>
        <v>0</v>
      </c>
      <c r="L114" s="43">
        <f>COUNTIF(S23_Emp!$C:$C,"*" &amp; $A114 &amp; "*")</f>
        <v>0</v>
      </c>
      <c r="M114" s="43">
        <f>COUNTIF(F22_Emp!$C:$C,"*" &amp; $A114 &amp; "*")</f>
        <v>0</v>
      </c>
      <c r="N114" s="43">
        <f>COUNTIF(S22_Emp!$C:$C,"*" &amp; $A114 &amp; "*")</f>
        <v>0</v>
      </c>
      <c r="O114" s="43" t="str">
        <f>COUNTIFS(S22_Emp!$C:$C,"*" &amp; $A114 &amp; "*", S22_S25_Emp!$B:$B, "Bachelor")</f>
        <v>#VALUE!</v>
      </c>
      <c r="P114" s="43" t="str">
        <f>COUNTIFS(S22_Emp!$C:$C,"*" &amp; $A114 &amp; "*", S22_S25_Emp!$B:$B, "Master")</f>
        <v>#VALUE!</v>
      </c>
      <c r="Q114" s="43" t="str">
        <f>COUNTIFS(S22_Emp!$C:$C,"*" &amp; $A114 &amp; "*", S22_S25_Emp!$B:$B, "Doctorate")</f>
        <v>#VALUE!</v>
      </c>
      <c r="R114" s="43" t="str">
        <f t="array" ref="R114">IF(OR(INDEX(S26_CF!X:X, MATCH("*" &amp; $A114 &amp; "*", CompanyList!A:A, 0))=TRUE, INDEX(F25_CF!P:P, MATCH("*" &amp; $A114 &amp; "*", CompanyList!A:A, 0))=TRUE, INDEX(S25_CF!T:T, MATCH("*" &amp; $A114 &amp; "*", CompanyList!A:A, 0))=TRUE, INDEX(S24_CF!W:W, MATCH("*" &amp; $A114 &amp; "*", CompanyList!A:A, 0))=TRUE), "Yes", "No")</f>
        <v>Yes</v>
      </c>
      <c r="S114" s="43" t="str">
        <f>IF(COUNTIF(S26_CF!$A:$A,"*" &amp; $A114 &amp; "*") &lt;&gt; 0, "Yes", "No")</f>
        <v>Yes</v>
      </c>
      <c r="T114" s="43" t="str">
        <f t="array" ref="T114">INDEX(S26_CF!K:K, MATCH("*" &amp; $A114 &amp; "*", S26_CF!A:A, 0))</f>
        <v>Basic One-Day: Thursday, January 29th [$1000.00]</v>
      </c>
      <c r="U114" s="43" t="str">
        <f>IF(COUNTIF(F25_CF!$A:$A,"*" &amp; $A114 &amp; "*") &lt;&gt; 0, "Yes", "No")</f>
        <v>Yes</v>
      </c>
      <c r="V114" s="43" t="str">
        <f t="array" ref="V114">INDEX(F25_CF!I:I, MATCH("*" &amp; $A114 &amp; "*", F25_CF!$A:$A, 0))</f>
        <v>Basic One-Day: Thursday, September 11th [$1000.00]</v>
      </c>
      <c r="W114" s="43" t="str">
        <f>IF(COUNTIF(S25_CF!$A:$A,"*" &amp; $A114 &amp; "*") &lt;&gt; 0, "Yes", "No")</f>
        <v>Yes</v>
      </c>
      <c r="X114" s="43" t="str">
        <f t="array" ref="X114">INDEX(S25_CF!J:J, MATCH("*" &amp; $A114 &amp; "*", S25_CF!$A:$A, 0))</f>
        <v>Basic One-Day: Thursday, January 23rd [$1000.00]</v>
      </c>
      <c r="Y114" s="43" t="str">
        <f>IF(COUNTIF(F24_CF!$A:$A,"*" &amp; $A114 &amp; "*") &lt;&gt; 0, "Yes", "No")</f>
        <v>Yes</v>
      </c>
      <c r="Z114" s="43" t="str">
        <f t="array" ref="Z114">INDEX(F24_CF!N:N, MATCH("*" &amp; $A114 &amp; "*", F24_CF!$A:$A, 0))</f>
        <v>Basic One-Day: Thursday, September 5th [$1000.00]</v>
      </c>
      <c r="AA114" s="43" t="str">
        <f>IF(COUNTIF(S24_CF!$A:$A,"*" &amp; $A114 &amp; "*") &lt;&gt; 0, "Yes", "No")</f>
        <v>Yes</v>
      </c>
      <c r="AB114" s="43" t="str">
        <f t="array" ref="AB114">INDEX(S24_CF!H:H, MATCH("*" &amp; $A114 &amp; "*", S24_CF!$A:$A, 0))</f>
        <v>Basic One-Day [$1000.00]</v>
      </c>
    </row>
    <row r="115" ht="15.0" customHeight="1">
      <c r="A115" s="52" t="s">
        <v>170</v>
      </c>
      <c r="B115" s="43" t="s">
        <v>52</v>
      </c>
      <c r="C115" s="43"/>
      <c r="D115" s="43"/>
      <c r="E115" s="43"/>
      <c r="F115" s="43">
        <f>COUNTIF(S26_Emp!$C:$C,"*" &amp;A115 &amp; "*")</f>
        <v>0</v>
      </c>
      <c r="G115" s="43">
        <f>COUNTIF(F25_Emp!$C:$C,"*" &amp;#REF! &amp; "*")</f>
        <v>0</v>
      </c>
      <c r="H115" s="43">
        <f>COUNTIF(S25_Emp!$C:$C,"*" &amp; A115 &amp; "*")</f>
        <v>2</v>
      </c>
      <c r="I115" s="43">
        <f>COUNTIF(F24_Emp!$C:$C,"*" &amp; B115 &amp; "*")</f>
        <v>0</v>
      </c>
      <c r="J115" s="43">
        <f>COUNTIF(S24_Emp!$C:$C,"*" &amp; $A115 &amp; "*")</f>
        <v>1</v>
      </c>
      <c r="K115" s="43">
        <f>COUNTIF(F23_Emp!$C:$C,"*" &amp; $A115 &amp; "*")</f>
        <v>0</v>
      </c>
      <c r="L115" s="43">
        <f>COUNTIF(S23_Emp!$C:$C,"*" &amp; $A115 &amp; "*")</f>
        <v>3</v>
      </c>
      <c r="M115" s="43">
        <f>COUNTIF(F22_Emp!$C:$C,"*" &amp; $A115 &amp; "*")</f>
        <v>0</v>
      </c>
      <c r="N115" s="43">
        <f>COUNTIF(S22_Emp!$C:$C,"*" &amp; $A115 &amp; "*")</f>
        <v>0</v>
      </c>
      <c r="O115" s="43" t="str">
        <f>COUNTIFS(S22_Emp!$C:$C,"*" &amp; $A115 &amp; "*", S22_S25_Emp!$B:$B, "Bachelor")</f>
        <v>#VALUE!</v>
      </c>
      <c r="P115" s="43" t="str">
        <f>COUNTIFS(S22_Emp!$C:$C,"*" &amp; $A115 &amp; "*", S22_S25_Emp!$B:$B, "Master")</f>
        <v>#VALUE!</v>
      </c>
      <c r="Q115" s="43" t="str">
        <f>COUNTIFS(S22_Emp!$C:$C,"*" &amp; $A115 &amp; "*", S22_S25_Emp!$B:$B, "Doctorate")</f>
        <v>#VALUE!</v>
      </c>
      <c r="R115" s="43" t="str">
        <f t="array" ref="R115">IF(OR(INDEX(S26_CF!X:X, MATCH("*" &amp; $A115 &amp; "*", CompanyList!A:A, 0))=TRUE, INDEX(F25_CF!P:P, MATCH("*" &amp; $A115 &amp; "*", CompanyList!A:A, 0))=TRUE, INDEX(S25_CF!T:T, MATCH("*" &amp; $A115 &amp; "*", CompanyList!A:A, 0))=TRUE, INDEX(S24_CF!W:W, MATCH("*" &amp; $A115 &amp; "*", CompanyList!A:A, 0))=TRUE), "Yes", "No")</f>
        <v>No</v>
      </c>
      <c r="S115" s="43" t="str">
        <f>IF(COUNTIF(S26_CF!$A:$A,"*" &amp; $A115 &amp; "*") &lt;&gt; 0, "Yes", "No")</f>
        <v>Yes</v>
      </c>
      <c r="T115" s="43" t="str">
        <f t="array" ref="T115">INDEX(S26_CF!K:K, MATCH("*" &amp; $A115 &amp; "*", S26_CF!A:A, 0))</f>
        <v>Basic One-Day: Thursday, January 29th [$1000.00]</v>
      </c>
      <c r="U115" s="43" t="str">
        <f>IF(COUNTIF(F25_CF!$A:$A,"*" &amp; $A115 &amp; "*") &lt;&gt; 0, "Yes", "No")</f>
        <v>Yes</v>
      </c>
      <c r="V115" s="43" t="str">
        <f t="array" ref="V115">INDEX(F25_CF!I:I, MATCH("*" &amp; $A115 &amp; "*", F25_CF!$A:$A, 0))</f>
        <v>Basic Two-Day [$2000.00]</v>
      </c>
      <c r="W115" s="43" t="str">
        <f>IF(COUNTIF(S25_CF!$A:$A,"*" &amp; $A115 &amp; "*") &lt;&gt; 0, "Yes", "No")</f>
        <v>Yes</v>
      </c>
      <c r="X115" s="43" t="str">
        <f t="array" ref="X115">INDEX(S25_CF!J:J, MATCH("*" &amp; $A115 &amp; "*", S25_CF!$A:$A, 0))</f>
        <v>Basic Two-Day [$2000.00]</v>
      </c>
      <c r="Y115" s="43" t="str">
        <f>IF(COUNTIF(F24_CF!$A:$A,"*" &amp; $A115 &amp; "*") &lt;&gt; 0, "Yes", "No")</f>
        <v>Yes</v>
      </c>
      <c r="Z115" s="43" t="str">
        <f t="array" ref="Z115">INDEX(F24_CF!N:N, MATCH("*" &amp; $A115 &amp; "*", F24_CF!$A:$A, 0))</f>
        <v>Basic Two-Day [$2000.00]</v>
      </c>
      <c r="AA115" s="43" t="str">
        <f>IF(COUNTIF(S24_CF!$A:$A,"*" &amp; $A115 &amp; "*") &lt;&gt; 0, "Yes", "No")</f>
        <v>Yes</v>
      </c>
      <c r="AB115" s="43" t="str">
        <f t="array" ref="AB115">INDEX(S24_CF!H:H, MATCH("*" &amp; $A115 &amp; "*", S24_CF!$A:$A, 0))</f>
        <v>Basic One-Day [$1000.00]</v>
      </c>
    </row>
    <row r="116" ht="15.0" customHeight="1">
      <c r="A116" s="52" t="s">
        <v>171</v>
      </c>
      <c r="B116" s="43" t="s">
        <v>54</v>
      </c>
      <c r="C116" s="43">
        <v>25000.0</v>
      </c>
      <c r="D116" s="43">
        <v>64000.0</v>
      </c>
      <c r="E116" s="43">
        <v>28.0</v>
      </c>
      <c r="F116" s="43">
        <f>COUNTIF(S26_Emp!$C:$C,"*" &amp;A116 &amp; "*")</f>
        <v>0</v>
      </c>
      <c r="G116" s="43">
        <f>COUNTIF(F25_Emp!$C:$C,"*" &amp;#REF! &amp; "*")</f>
        <v>0</v>
      </c>
      <c r="H116" s="43">
        <f>COUNTIF(S25_Emp!$C:$C,"*" &amp; A116 &amp; "*")</f>
        <v>0</v>
      </c>
      <c r="I116" s="43">
        <f>COUNTIF(F24_Emp!$C:$C,"*" &amp; B116 &amp; "*")</f>
        <v>1</v>
      </c>
      <c r="J116" s="43">
        <f>COUNTIF(S24_Emp!$C:$C,"*" &amp; $A116 &amp; "*")</f>
        <v>0</v>
      </c>
      <c r="K116" s="43">
        <f>COUNTIF(F23_Emp!$C:$C,"*" &amp; $A116 &amp; "*")</f>
        <v>1</v>
      </c>
      <c r="L116" s="43">
        <f>COUNTIF(S23_Emp!$C:$C,"*" &amp; $A116 &amp; "*")</f>
        <v>0</v>
      </c>
      <c r="M116" s="43">
        <f>COUNTIF(F22_Emp!$C:$C,"*" &amp; $A116 &amp; "*")</f>
        <v>0</v>
      </c>
      <c r="N116" s="43">
        <f>COUNTIF(S22_Emp!$C:$C,"*" &amp; $A116 &amp; "*")</f>
        <v>0</v>
      </c>
      <c r="O116" s="43" t="str">
        <f>COUNTIFS(S22_Emp!$C:$C,"*" &amp; $A116 &amp; "*", S22_S25_Emp!$B:$B, "Bachelor")</f>
        <v>#VALUE!</v>
      </c>
      <c r="P116" s="43" t="str">
        <f>COUNTIFS(S22_Emp!$C:$C,"*" &amp; $A116 &amp; "*", S22_S25_Emp!$B:$B, "Master")</f>
        <v>#VALUE!</v>
      </c>
      <c r="Q116" s="43" t="str">
        <f>COUNTIFS(S22_Emp!$C:$C,"*" &amp; $A116 &amp; "*", S22_S25_Emp!$B:$B, "Doctorate")</f>
        <v>#VALUE!</v>
      </c>
      <c r="R116" s="43" t="str">
        <f t="array" ref="R116">IF(OR(INDEX(S26_CF!X:X, MATCH("*" &amp; $A116 &amp; "*", CompanyList!A:A, 0))=TRUE, INDEX(F25_CF!P:P, MATCH("*" &amp; $A116 &amp; "*", CompanyList!A:A, 0))=TRUE, INDEX(S25_CF!T:T, MATCH("*" &amp; $A116 &amp; "*", CompanyList!A:A, 0))=TRUE, INDEX(S24_CF!W:W, MATCH("*" &amp; $A116 &amp; "*", CompanyList!A:A, 0))=TRUE), "Yes", "No")</f>
        <v>No</v>
      </c>
      <c r="S116" s="43" t="str">
        <f>IF(COUNTIF(S26_CF!$A:$A,"*" &amp; $A116 &amp; "*") &lt;&gt; 0, "Yes", "No")</f>
        <v>Yes</v>
      </c>
      <c r="T116" s="43" t="str">
        <f t="array" ref="T116">INDEX(S26_CF!K:K, MATCH("*" &amp; $A116 &amp; "*", S26_CF!A:A, 0))</f>
        <v>Basic One-Day: Wednesday, January 28th [$1000.00]</v>
      </c>
      <c r="U116" s="43" t="str">
        <f>IF(COUNTIF(F25_CF!$A:$A,"*" &amp; $A116 &amp; "*") &lt;&gt; 0, "Yes", "No")</f>
        <v>Yes</v>
      </c>
      <c r="V116" s="43" t="str">
        <f t="array" ref="V116">INDEX(F25_CF!I:I, MATCH("*" &amp; $A116 &amp; "*", F25_CF!$A:$A, 0))</f>
        <v>Basic One-Day: Thursday, September 11th [$1000.00]</v>
      </c>
      <c r="W116" s="43" t="str">
        <f>IF(COUNTIF(S25_CF!$A:$A,"*" &amp; $A116 &amp; "*") &lt;&gt; 0, "Yes", "No")</f>
        <v>Yes</v>
      </c>
      <c r="X116" s="43" t="str">
        <f t="array" ref="X116">INDEX(S25_CF!J:J, MATCH("*" &amp; $A116 &amp; "*", S25_CF!$A:$A, 0))</f>
        <v>Basic One-Day: Wednesday, January 22nd [$1000.00]</v>
      </c>
      <c r="Y116" s="43" t="str">
        <f>IF(COUNTIF(F24_CF!$A:$A,"*" &amp; $A116 &amp; "*") &lt;&gt; 0, "Yes", "No")</f>
        <v>Yes</v>
      </c>
      <c r="Z116" s="43" t="str">
        <f t="array" ref="Z116">INDEX(F24_CF!N:N, MATCH("*" &amp; $A116 &amp; "*", F24_CF!$A:$A, 0))</f>
        <v>Basic One-Day: Wednesday, September 4th [$1000.00]</v>
      </c>
      <c r="AA116" s="43" t="str">
        <f>IF(COUNTIF(S24_CF!$A:$A,"*" &amp; $A116 &amp; "*") &lt;&gt; 0, "Yes", "No")</f>
        <v>Yes</v>
      </c>
      <c r="AB116" s="43" t="str">
        <f t="array" ref="AB116">INDEX(S24_CF!H:H, MATCH("*" &amp; $A116 &amp; "*", S24_CF!$A:$A, 0))</f>
        <v>Basic One-Day [$1000.00]</v>
      </c>
    </row>
    <row r="117" ht="15.0" customHeight="1">
      <c r="A117" s="52" t="s">
        <v>172</v>
      </c>
      <c r="B117" s="43" t="s">
        <v>52</v>
      </c>
      <c r="C117" s="43"/>
      <c r="D117" s="43"/>
      <c r="E117" s="43"/>
      <c r="F117" s="43">
        <f>COUNTIF(S26_Emp!$C:$C,"*" &amp;A117 &amp; "*")</f>
        <v>0</v>
      </c>
      <c r="G117" s="43">
        <f>COUNTIF(F25_Emp!$C:$C,"*" &amp;#REF! &amp; "*")</f>
        <v>0</v>
      </c>
      <c r="H117" s="43">
        <f>COUNTIF(S25_Emp!$C:$C,"*" &amp; A117 &amp; "*")</f>
        <v>0</v>
      </c>
      <c r="I117" s="43">
        <f>COUNTIF(F24_Emp!$C:$C,"*" &amp; B117 &amp; "*")</f>
        <v>0</v>
      </c>
      <c r="J117" s="43">
        <f>COUNTIF(S24_Emp!$C:$C,"*" &amp; $A117 &amp; "*")</f>
        <v>0</v>
      </c>
      <c r="K117" s="43">
        <f>COUNTIF(F23_Emp!$C:$C,"*" &amp; $A117 &amp; "*")</f>
        <v>0</v>
      </c>
      <c r="L117" s="43">
        <f>COUNTIF(S23_Emp!$C:$C,"*" &amp; $A117 &amp; "*")</f>
        <v>0</v>
      </c>
      <c r="M117" s="43">
        <f>COUNTIF(F22_Emp!$C:$C,"*" &amp; $A117 &amp; "*")</f>
        <v>0</v>
      </c>
      <c r="N117" s="43">
        <f>COUNTIF(S22_Emp!$C:$C,"*" &amp; $A117 &amp; "*")</f>
        <v>0</v>
      </c>
      <c r="O117" s="43" t="str">
        <f>COUNTIFS(S22_Emp!$C:$C,"*" &amp; $A117 &amp; "*", S22_S25_Emp!$B:$B, "Bachelor")</f>
        <v>#VALUE!</v>
      </c>
      <c r="P117" s="43" t="str">
        <f>COUNTIFS(S22_Emp!$C:$C,"*" &amp; $A117 &amp; "*", S22_S25_Emp!$B:$B, "Master")</f>
        <v>#VALUE!</v>
      </c>
      <c r="Q117" s="43" t="str">
        <f>COUNTIFS(S22_Emp!$C:$C,"*" &amp; $A117 &amp; "*", S22_S25_Emp!$B:$B, "Doctorate")</f>
        <v>#VALUE!</v>
      </c>
      <c r="R117" s="43" t="str">
        <f t="array" ref="R117">IF(OR(INDEX(S26_CF!X:X, MATCH("*" &amp; $A117 &amp; "*", CompanyList!A:A, 0))=TRUE, INDEX(F25_CF!P:P, MATCH("*" &amp; $A117 &amp; "*", CompanyList!A:A, 0))=TRUE, INDEX(S25_CF!T:T, MATCH("*" &amp; $A117 &amp; "*", CompanyList!A:A, 0))=TRUE, INDEX(S24_CF!W:W, MATCH("*" &amp; $A117 &amp; "*", CompanyList!A:A, 0))=TRUE), "Yes", "No")</f>
        <v>Yes</v>
      </c>
      <c r="S117" s="43" t="str">
        <f>IF(COUNTIF(S26_CF!$A:$A,"*" &amp; $A117 &amp; "*") &lt;&gt; 0, "Yes", "No")</f>
        <v>Yes</v>
      </c>
      <c r="T117" s="43" t="str">
        <f t="array" ref="T117">INDEX(S26_CF!K:K, MATCH("*" &amp; $A117 &amp; "*", S26_CF!A:A, 0))</f>
        <v>Gold Two-Day [$5500.00]</v>
      </c>
      <c r="U117" s="43" t="str">
        <f>IF(COUNTIF(F25_CF!$A:$A,"*" &amp; $A117 &amp; "*") &lt;&gt; 0, "Yes", "No")</f>
        <v>Yes</v>
      </c>
      <c r="V117" s="43" t="str">
        <f t="array" ref="V117">INDEX(F25_CF!I:I, MATCH("*" &amp; $A117 &amp; "*", F25_CF!$A:$A, 0))</f>
        <v>Gold Two-Day [$5500.00]</v>
      </c>
      <c r="W117" s="43" t="str">
        <f>IF(COUNTIF(S25_CF!$A:$A,"*" &amp; $A117 &amp; "*") &lt;&gt; 0, "Yes", "No")</f>
        <v>Yes</v>
      </c>
      <c r="X117" s="43" t="str">
        <f t="array" ref="X117">INDEX(S25_CF!J:J, MATCH("*" &amp; $A117 &amp; "*", S25_CF!$A:$A, 0))</f>
        <v>Gold One-Day: Thursday, January 23rd [$2500.00]</v>
      </c>
      <c r="Y117" s="43" t="str">
        <f>IF(COUNTIF(F24_CF!$A:$A,"*" &amp; $A117 &amp; "*") &lt;&gt; 0, "Yes", "No")</f>
        <v>Yes</v>
      </c>
      <c r="Z117" s="43" t="str">
        <f t="array" ref="Z117">INDEX(F24_CF!N:N, MATCH("*" &amp; $A117 &amp; "*", F24_CF!$A:$A, 0))</f>
        <v>Gold One-Day: Thursday, September 5th [$2500.00]</v>
      </c>
      <c r="AA117" s="43" t="str">
        <f>IF(COUNTIF(S24_CF!$A:$A,"*" &amp; $A117 &amp; "*") &lt;&gt; 0, "Yes", "No")</f>
        <v>Yes</v>
      </c>
      <c r="AB117" s="43" t="str">
        <f t="array" ref="AB117">INDEX(S24_CF!H:H, MATCH("*" &amp; $A117 &amp; "*", S24_CF!$A:$A, 0))</f>
        <v>Gold One-Day [$2500.00]</v>
      </c>
    </row>
    <row r="118" ht="15.0" customHeight="1">
      <c r="A118" s="52" t="s">
        <v>173</v>
      </c>
      <c r="B118" s="43" t="s">
        <v>52</v>
      </c>
      <c r="C118" s="43"/>
      <c r="D118" s="43"/>
      <c r="E118" s="43"/>
      <c r="F118" s="43">
        <f>COUNTIF(S26_Emp!$C:$C,"*" &amp;A118 &amp; "*")</f>
        <v>0</v>
      </c>
      <c r="G118" s="43">
        <f>COUNTIF(F25_Emp!$C:$C,"*" &amp;#REF! &amp; "*")</f>
        <v>0</v>
      </c>
      <c r="H118" s="43">
        <f>COUNTIF(S25_Emp!$C:$C,"*" &amp; A118 &amp; "*")</f>
        <v>1</v>
      </c>
      <c r="I118" s="43">
        <f>COUNTIF(F24_Emp!$C:$C,"*" &amp; B118 &amp; "*")</f>
        <v>0</v>
      </c>
      <c r="J118" s="43">
        <f>COUNTIF(S24_Emp!$C:$C,"*" &amp; $A118 &amp; "*")</f>
        <v>2</v>
      </c>
      <c r="K118" s="43">
        <f>COUNTIF(F23_Emp!$C:$C,"*" &amp; $A118 &amp; "*")</f>
        <v>1</v>
      </c>
      <c r="L118" s="43">
        <f>COUNTIF(S23_Emp!$C:$C,"*" &amp; $A118 &amp; "*")</f>
        <v>1</v>
      </c>
      <c r="M118" s="43">
        <f>COUNTIF(F22_Emp!$C:$C,"*" &amp; $A118 &amp; "*")</f>
        <v>0</v>
      </c>
      <c r="N118" s="43">
        <f>COUNTIF(S22_Emp!$C:$C,"*" &amp; $A118 &amp; "*")</f>
        <v>0</v>
      </c>
      <c r="O118" s="43" t="str">
        <f>COUNTIFS(S22_Emp!$C:$C,"*" &amp; $A118 &amp; "*", S22_S25_Emp!$B:$B, "Bachelor")</f>
        <v>#VALUE!</v>
      </c>
      <c r="P118" s="43" t="str">
        <f>COUNTIFS(S22_Emp!$C:$C,"*" &amp; $A118 &amp; "*", S22_S25_Emp!$B:$B, "Master")</f>
        <v>#VALUE!</v>
      </c>
      <c r="Q118" s="43" t="str">
        <f>COUNTIFS(S22_Emp!$C:$C,"*" &amp; $A118 &amp; "*", S22_S25_Emp!$B:$B, "Doctorate")</f>
        <v>#VALUE!</v>
      </c>
      <c r="R118" s="43" t="str">
        <f t="array" ref="R118">IF(OR(INDEX(S26_CF!X:X, MATCH("*" &amp; $A118 &amp; "*", CompanyList!A:A, 0))=TRUE, INDEX(F25_CF!P:P, MATCH("*" &amp; $A118 &amp; "*", CompanyList!A:A, 0))=TRUE, INDEX(S25_CF!T:T, MATCH("*" &amp; $A118 &amp; "*", CompanyList!A:A, 0))=TRUE, INDEX(S24_CF!W:W, MATCH("*" &amp; $A118 &amp; "*", CompanyList!A:A, 0))=TRUE), "Yes", "No")</f>
        <v>No</v>
      </c>
      <c r="S118" s="43" t="str">
        <f>IF(COUNTIF(S26_CF!$A:$A,"*" &amp; $A118 &amp; "*") &lt;&gt; 0, "Yes", "No")</f>
        <v>Yes</v>
      </c>
      <c r="T118" s="43" t="str">
        <f t="array" ref="T118">INDEX(S26_CF!K:K, MATCH("*" &amp; $A118 &amp; "*", S26_CF!A:A, 0))</f>
        <v>Basic One-Day: Wednesday, January 28th [$1000.00]</v>
      </c>
      <c r="U118" s="43" t="str">
        <f>IF(COUNTIF(F25_CF!$A:$A,"*" &amp; $A118 &amp; "*") &lt;&gt; 0, "Yes", "No")</f>
        <v>Yes</v>
      </c>
      <c r="V118" s="43" t="str">
        <f t="array" ref="V118">INDEX(F25_CF!I:I, MATCH("*" &amp; $A118 &amp; "*", F25_CF!$A:$A, 0))</f>
        <v>Basic One-Day: Wednesday, September 10th [$1000.00]</v>
      </c>
      <c r="W118" s="43" t="str">
        <f>IF(COUNTIF(S25_CF!$A:$A,"*" &amp; $A118 &amp; "*") &lt;&gt; 0, "Yes", "No")</f>
        <v>Yes</v>
      </c>
      <c r="X118" s="43" t="str">
        <f t="array" ref="X118">INDEX(S25_CF!J:J, MATCH("*" &amp; $A118 &amp; "*", S25_CF!$A:$A, 0))</f>
        <v>Basic One-Day: Thursday, January 23rd [$1000.00]</v>
      </c>
      <c r="Y118" s="43" t="str">
        <f>IF(COUNTIF(F24_CF!$A:$A,"*" &amp; $A118 &amp; "*") &lt;&gt; 0, "Yes", "No")</f>
        <v>Yes</v>
      </c>
      <c r="Z118" s="43" t="str">
        <f t="array" ref="Z118">INDEX(F24_CF!N:N, MATCH("*" &amp; $A118 &amp; "*", F24_CF!$A:$A, 0))</f>
        <v>Basic One-Day: Wednesday, September 4th [$1000.00]</v>
      </c>
      <c r="AA118" s="43" t="str">
        <f>IF(COUNTIF(S24_CF!$A:$A,"*" &amp; $A118 &amp; "*") &lt;&gt; 0, "Yes", "No")</f>
        <v>Yes</v>
      </c>
      <c r="AB118" s="43" t="str">
        <f t="array" ref="AB118">INDEX(S24_CF!H:H, MATCH("*" &amp; $A118 &amp; "*", S24_CF!$A:$A, 0))</f>
        <v>Basic One-Day [$1000.00]</v>
      </c>
    </row>
    <row r="119" ht="15.0" customHeight="1">
      <c r="A119" s="52" t="s">
        <v>174</v>
      </c>
      <c r="B119" s="43" t="s">
        <v>61</v>
      </c>
      <c r="C119" s="43"/>
      <c r="D119" s="43">
        <v>1900.0</v>
      </c>
      <c r="E119" s="43"/>
      <c r="F119" s="43">
        <f>COUNTIF(S26_Emp!$C:$C,"*" &amp;A119 &amp; "*")</f>
        <v>0</v>
      </c>
      <c r="G119" s="43">
        <f>COUNTIF(F25_Emp!$C:$C,"*" &amp;#REF! &amp; "*")</f>
        <v>0</v>
      </c>
      <c r="H119" s="43">
        <f>COUNTIF(S25_Emp!$C:$C,"*" &amp; A119 &amp; "*")</f>
        <v>0</v>
      </c>
      <c r="I119" s="43">
        <f>COUNTIF(F24_Emp!$C:$C,"*" &amp; B119 &amp; "*")</f>
        <v>0</v>
      </c>
      <c r="J119" s="43">
        <f>COUNTIF(S24_Emp!$C:$C,"*" &amp; $A119 &amp; "*")</f>
        <v>0</v>
      </c>
      <c r="K119" s="43">
        <f>COUNTIF(F23_Emp!$C:$C,"*" &amp; $A119 &amp; "*")</f>
        <v>0</v>
      </c>
      <c r="L119" s="43">
        <f>COUNTIF(S23_Emp!$C:$C,"*" &amp; $A119 &amp; "*")</f>
        <v>0</v>
      </c>
      <c r="M119" s="43">
        <f>COUNTIF(F22_Emp!$C:$C,"*" &amp; $A119 &amp; "*")</f>
        <v>0</v>
      </c>
      <c r="N119" s="43">
        <f>COUNTIF(S22_Emp!$C:$C,"*" &amp; $A119 &amp; "*")</f>
        <v>0</v>
      </c>
      <c r="O119" s="43" t="str">
        <f>COUNTIFS(S22_Emp!$C:$C,"*" &amp; $A119 &amp; "*", S22_S25_Emp!$B:$B, "Bachelor")</f>
        <v>#VALUE!</v>
      </c>
      <c r="P119" s="43" t="str">
        <f>COUNTIFS(S22_Emp!$C:$C,"*" &amp; $A119 &amp; "*", S22_S25_Emp!$B:$B, "Master")</f>
        <v>#VALUE!</v>
      </c>
      <c r="Q119" s="43" t="str">
        <f>COUNTIFS(S22_Emp!$C:$C,"*" &amp; $A119 &amp; "*", S22_S25_Emp!$B:$B, "Doctorate")</f>
        <v>#VALUE!</v>
      </c>
      <c r="R119" s="43" t="str">
        <f t="array" ref="R119">IF(OR(INDEX(S26_CF!X:X, MATCH("*" &amp; $A119 &amp; "*", CompanyList!A:A, 0))=TRUE, INDEX(F25_CF!P:P, MATCH("*" &amp; $A119 &amp; "*", CompanyList!A:A, 0))=TRUE, INDEX(S25_CF!T:T, MATCH("*" &amp; $A119 &amp; "*", CompanyList!A:A, 0))=TRUE, INDEX(S24_CF!W:W, MATCH("*" &amp; $A119 &amp; "*", CompanyList!A:A, 0))=TRUE), "Yes", "No")</f>
        <v>Yes</v>
      </c>
      <c r="S119" s="43" t="str">
        <f>IF(COUNTIF(S26_CF!$A:$A,"*" &amp; $A119 &amp; "*") &lt;&gt; 0, "Yes", "No")</f>
        <v>No</v>
      </c>
      <c r="T119" s="43" t="str">
        <f t="array" ref="T119">INDEX(S26_CF!K:K, MATCH("*" &amp; $A119 &amp; "*", S26_CF!A:A, 0))</f>
        <v>#N/A</v>
      </c>
      <c r="U119" s="43" t="str">
        <f>IF(COUNTIF(F25_CF!$A:$A,"*" &amp; $A119 &amp; "*") &lt;&gt; 0, "Yes", "No")</f>
        <v>Yes</v>
      </c>
      <c r="V119" s="43" t="str">
        <f t="array" ref="V119">INDEX(F25_CF!I:I, MATCH("*" &amp; $A119 &amp; "*", F25_CF!$A:$A, 0))</f>
        <v>Basic One-Day: Wednesday, September 10th [$1000.00]</v>
      </c>
      <c r="W119" s="43" t="str">
        <f>IF(COUNTIF(S25_CF!$A:$A,"*" &amp; $A119 &amp; "*") &lt;&gt; 0, "Yes", "No")</f>
        <v>No</v>
      </c>
      <c r="X119" s="43" t="str">
        <f t="array" ref="X119">INDEX(S25_CF!J:J, MATCH("*" &amp; $A119 &amp; "*", S25_CF!$A:$A, 0))</f>
        <v>#N/A</v>
      </c>
      <c r="Y119" s="43" t="str">
        <f>IF(COUNTIF(F24_CF!$A:$A,"*" &amp; $A119 &amp; "*") &lt;&gt; 0, "Yes", "No")</f>
        <v>Yes</v>
      </c>
      <c r="Z119" s="43" t="str">
        <f t="array" ref="Z119">INDEX(F24_CF!N:N, MATCH("*" &amp; $A119 &amp; "*", F24_CF!$A:$A, 0))</f>
        <v>Basic One-Day: Wednesday, September 4th [$1000.00]</v>
      </c>
      <c r="AA119" s="43" t="str">
        <f>IF(COUNTIF(S24_CF!$A:$A,"*" &amp; $A119 &amp; "*") &lt;&gt; 0, "Yes", "No")</f>
        <v>Yes</v>
      </c>
      <c r="AB119" s="43" t="str">
        <f t="array" ref="AB119">INDEX(S24_CF!H:H, MATCH("*" &amp; $A119 &amp; "*", S24_CF!$A:$A, 0))</f>
        <v>Basic One-Day [$1000.00]</v>
      </c>
    </row>
    <row r="120" ht="15.0" customHeight="1">
      <c r="A120" s="52" t="s">
        <v>175</v>
      </c>
      <c r="B120" s="43" t="s">
        <v>54</v>
      </c>
      <c r="C120" s="43">
        <v>2800.0</v>
      </c>
      <c r="D120" s="43">
        <v>6500.0</v>
      </c>
      <c r="E120" s="43">
        <v>5.0</v>
      </c>
      <c r="F120" s="43">
        <f>COUNTIF(S26_Emp!$C:$C,"*" &amp;A120 &amp; "*")</f>
        <v>0</v>
      </c>
      <c r="G120" s="43">
        <f>COUNTIF(F25_Emp!$C:$C,"*" &amp;#REF! &amp; "*")</f>
        <v>0</v>
      </c>
      <c r="H120" s="43">
        <f>COUNTIF(S25_Emp!$C:$C,"*" &amp; A120 &amp; "*")</f>
        <v>1</v>
      </c>
      <c r="I120" s="43">
        <f>COUNTIF(F24_Emp!$C:$C,"*" &amp; B120 &amp; "*")</f>
        <v>1</v>
      </c>
      <c r="J120" s="43">
        <f>COUNTIF(S24_Emp!$C:$C,"*" &amp; $A120 &amp; "*")</f>
        <v>0</v>
      </c>
      <c r="K120" s="43">
        <f>COUNTIF(F23_Emp!$C:$C,"*" &amp; $A120 &amp; "*")</f>
        <v>0</v>
      </c>
      <c r="L120" s="43">
        <f>COUNTIF(S23_Emp!$C:$C,"*" &amp; $A120 &amp; "*")</f>
        <v>1</v>
      </c>
      <c r="M120" s="43">
        <f>COUNTIF(F22_Emp!$C:$C,"*" &amp; $A120 &amp; "*")</f>
        <v>0</v>
      </c>
      <c r="N120" s="43">
        <f>COUNTIF(S22_Emp!$C:$C,"*" &amp; $A120 &amp; "*")</f>
        <v>0</v>
      </c>
      <c r="O120" s="43" t="str">
        <f>COUNTIFS(S22_Emp!$C:$C,"*" &amp; $A120 &amp; "*", S22_S25_Emp!$B:$B, "Bachelor")</f>
        <v>#VALUE!</v>
      </c>
      <c r="P120" s="43" t="str">
        <f>COUNTIFS(S22_Emp!$C:$C,"*" &amp; $A120 &amp; "*", S22_S25_Emp!$B:$B, "Master")</f>
        <v>#VALUE!</v>
      </c>
      <c r="Q120" s="43" t="str">
        <f>COUNTIFS(S22_Emp!$C:$C,"*" &amp; $A120 &amp; "*", S22_S25_Emp!$B:$B, "Doctorate")</f>
        <v>#VALUE!</v>
      </c>
      <c r="R120" s="43" t="str">
        <f t="array" ref="R120">IF(OR(INDEX(S26_CF!X:X, MATCH("*" &amp; $A120 &amp; "*", CompanyList!A:A, 0))=TRUE, INDEX(F25_CF!P:P, MATCH("*" &amp; $A120 &amp; "*", CompanyList!A:A, 0))=TRUE, INDEX(S25_CF!T:T, MATCH("*" &amp; $A120 &amp; "*", CompanyList!A:A, 0))=TRUE, INDEX(S24_CF!W:W, MATCH("*" &amp; $A120 &amp; "*", CompanyList!A:A, 0))=TRUE), "Yes", "No")</f>
        <v>No</v>
      </c>
      <c r="S120" s="43" t="str">
        <f>IF(COUNTIF(S26_CF!$A:$A,"*" &amp; $A120 &amp; "*") &lt;&gt; 0, "Yes", "No")</f>
        <v>Yes</v>
      </c>
      <c r="T120" s="43" t="str">
        <f t="array" ref="T120">INDEX(S26_CF!K:K, MATCH("*" &amp; $A120 &amp; "*", S26_CF!A:A, 0))</f>
        <v>Basic One-Day: Wednesday, January 28th [$1000.00]</v>
      </c>
      <c r="U120" s="43" t="str">
        <f>IF(COUNTIF(F25_CF!$A:$A,"*" &amp; $A120 &amp; "*") &lt;&gt; 0, "Yes", "No")</f>
        <v>No</v>
      </c>
      <c r="V120" s="43" t="str">
        <f t="array" ref="V120">INDEX(F25_CF!I:I, MATCH("*" &amp; $A120 &amp; "*", F25_CF!$A:$A, 0))</f>
        <v>#N/A</v>
      </c>
      <c r="W120" s="43" t="str">
        <f>IF(COUNTIF(S25_CF!$A:$A,"*" &amp; $A120 &amp; "*") &lt;&gt; 0, "Yes", "No")</f>
        <v>No</v>
      </c>
      <c r="X120" s="43" t="str">
        <f t="array" ref="X120">INDEX(S25_CF!J:J, MATCH("*" &amp; $A120 &amp; "*", S25_CF!$A:$A, 0))</f>
        <v>#N/A</v>
      </c>
      <c r="Y120" s="43" t="str">
        <f>IF(COUNTIF(F24_CF!$A:$A,"*" &amp; $A120 &amp; "*") &lt;&gt; 0, "Yes", "No")</f>
        <v>Yes</v>
      </c>
      <c r="Z120" s="43" t="str">
        <f t="array" ref="Z120">INDEX(F24_CF!N:N, MATCH("*" &amp; $A120 &amp; "*", F24_CF!$A:$A, 0))</f>
        <v>Silver One-Day: Wednesday, September 4th [$1800.00]</v>
      </c>
      <c r="AA120" s="43" t="str">
        <f>IF(COUNTIF(S24_CF!$A:$A,"*" &amp; $A120 &amp; "*") &lt;&gt; 0, "Yes", "No")</f>
        <v>Yes</v>
      </c>
      <c r="AB120" s="43" t="str">
        <f t="array" ref="AB120">INDEX(S24_CF!H:H, MATCH("*" &amp; $A120 &amp; "*", S24_CF!$A:$A, 0))</f>
        <v>Basic Two-Day [$2000.00]</v>
      </c>
    </row>
    <row r="121" ht="15.0" customHeight="1">
      <c r="A121" s="52" t="s">
        <v>176</v>
      </c>
      <c r="B121" s="43" t="s">
        <v>52</v>
      </c>
      <c r="C121" s="43"/>
      <c r="D121" s="43"/>
      <c r="E121" s="43"/>
      <c r="F121" s="43">
        <f>COUNTIF(S26_Emp!$C:$C,"*" &amp;A121 &amp; "*")</f>
        <v>0</v>
      </c>
      <c r="G121" s="43">
        <f>COUNTIF(F25_Emp!$C:$C,"*" &amp;#REF! &amp; "*")</f>
        <v>0</v>
      </c>
      <c r="H121" s="43">
        <f>COUNTIF(S25_Emp!$C:$C,"*" &amp; A121 &amp; "*")</f>
        <v>0</v>
      </c>
      <c r="I121" s="43">
        <f>COUNTIF(F24_Emp!$C:$C,"*" &amp; B121 &amp; "*")</f>
        <v>0</v>
      </c>
      <c r="J121" s="43">
        <f>COUNTIF(S24_Emp!$C:$C,"*" &amp; $A121 &amp; "*")</f>
        <v>0</v>
      </c>
      <c r="K121" s="43">
        <f>COUNTIF(F23_Emp!$C:$C,"*" &amp; $A121 &amp; "*")</f>
        <v>0</v>
      </c>
      <c r="L121" s="43">
        <f>COUNTIF(S23_Emp!$C:$C,"*" &amp; $A121 &amp; "*")</f>
        <v>0</v>
      </c>
      <c r="M121" s="43">
        <f>COUNTIF(F22_Emp!$C:$C,"*" &amp; $A121 &amp; "*")</f>
        <v>0</v>
      </c>
      <c r="N121" s="43">
        <f>COUNTIF(S22_Emp!$C:$C,"*" &amp; $A121 &amp; "*")</f>
        <v>0</v>
      </c>
      <c r="O121" s="43" t="str">
        <f>COUNTIFS(S22_Emp!$C:$C,"*" &amp; $A121 &amp; "*", S22_S25_Emp!$B:$B, "Bachelor")</f>
        <v>#VALUE!</v>
      </c>
      <c r="P121" s="43" t="str">
        <f>COUNTIFS(S22_Emp!$C:$C,"*" &amp; $A121 &amp; "*", S22_S25_Emp!$B:$B, "Master")</f>
        <v>#VALUE!</v>
      </c>
      <c r="Q121" s="43" t="str">
        <f>COUNTIFS(S22_Emp!$C:$C,"*" &amp; $A121 &amp; "*", S22_S25_Emp!$B:$B, "Doctorate")</f>
        <v>#VALUE!</v>
      </c>
      <c r="R121" s="43" t="str">
        <f t="array" ref="R121">IF(OR(INDEX(S26_CF!X:X, MATCH("*" &amp; $A121 &amp; "*", CompanyList!A:A, 0))=TRUE, INDEX(F25_CF!P:P, MATCH("*" &amp; $A121 &amp; "*", CompanyList!A:A, 0))=TRUE, INDEX(S25_CF!T:T, MATCH("*" &amp; $A121 &amp; "*", CompanyList!A:A, 0))=TRUE, INDEX(S24_CF!W:W, MATCH("*" &amp; $A121 &amp; "*", CompanyList!A:A, 0))=TRUE), "Yes", "No")</f>
        <v>Yes</v>
      </c>
      <c r="S121" s="43" t="str">
        <f>IF(COUNTIF(S26_CF!$A:$A,"*" &amp; $A121 &amp; "*") &lt;&gt; 0, "Yes", "No")</f>
        <v>Yes</v>
      </c>
      <c r="T121" s="43" t="str">
        <f t="array" ref="T121">INDEX(S26_CF!K:K, MATCH("*" &amp; $A121 &amp; "*", S26_CF!A:A, 0))</f>
        <v>Basic One-Day: Wednesday, January 28th [$1000.00]</v>
      </c>
      <c r="U121" s="43" t="str">
        <f>IF(COUNTIF(F25_CF!$A:$A,"*" &amp; $A121 &amp; "*") &lt;&gt; 0, "Yes", "No")</f>
        <v>Yes</v>
      </c>
      <c r="V121" s="43" t="str">
        <f t="array" ref="V121">INDEX(F25_CF!I:I, MATCH("*" &amp; $A121 &amp; "*", F25_CF!$A:$A, 0))</f>
        <v>Silver One-Day: Wednesday, September 10th [$1800.00]</v>
      </c>
      <c r="W121" s="43" t="str">
        <f>IF(COUNTIF(S25_CF!$A:$A,"*" &amp; $A121 &amp; "*") &lt;&gt; 0, "Yes", "No")</f>
        <v>Yes</v>
      </c>
      <c r="X121" s="43" t="str">
        <f t="array" ref="X121">INDEX(S25_CF!J:J, MATCH("*" &amp; $A121 &amp; "*", S25_CF!$A:$A, 0))</f>
        <v>Silver One-Day: Wednesday, January 22nd [$1800.00]</v>
      </c>
      <c r="Y121" s="43" t="str">
        <f>IF(COUNTIF(F24_CF!$A:$A,"*" &amp; $A121 &amp; "*") &lt;&gt; 0, "Yes", "No")</f>
        <v>Yes</v>
      </c>
      <c r="Z121" s="43" t="str">
        <f t="array" ref="Z121">INDEX(F24_CF!N:N, MATCH("*" &amp; $A121 &amp; "*", F24_CF!$A:$A, 0))</f>
        <v>Basic One-Day: Wednesday, September 4th [$1000.00]</v>
      </c>
      <c r="AA121" s="43" t="str">
        <f>IF(COUNTIF(S24_CF!$A:$A,"*" &amp; $A121 &amp; "*") &lt;&gt; 0, "Yes", "No")</f>
        <v>Yes</v>
      </c>
      <c r="AB121" s="43" t="str">
        <f t="array" ref="AB121">INDEX(S24_CF!H:H, MATCH("*" &amp; $A121 &amp; "*", S24_CF!$A:$A, 0))</f>
        <v>Silver One-Day [$1800.00]</v>
      </c>
    </row>
    <row r="122" ht="15.0" customHeight="1">
      <c r="A122" s="52" t="s">
        <v>177</v>
      </c>
      <c r="B122" s="43" t="s">
        <v>52</v>
      </c>
      <c r="C122" s="43"/>
      <c r="D122" s="43"/>
      <c r="E122" s="43"/>
      <c r="F122" s="43">
        <f>COUNTIF(S26_Emp!$C:$C,"*" &amp;A122 &amp; "*")</f>
        <v>0</v>
      </c>
      <c r="G122" s="43">
        <f>COUNTIF(F25_Emp!$C:$C,"*" &amp;#REF! &amp; "*")</f>
        <v>0</v>
      </c>
      <c r="H122" s="43">
        <f>COUNTIF(S25_Emp!$C:$C,"*" &amp; A122 &amp; "*")</f>
        <v>0</v>
      </c>
      <c r="I122" s="43">
        <f>COUNTIF(F24_Emp!$C:$C,"*" &amp; B122 &amp; "*")</f>
        <v>0</v>
      </c>
      <c r="J122" s="43">
        <f>COUNTIF(S24_Emp!$C:$C,"*" &amp; $A122 &amp; "*")</f>
        <v>0</v>
      </c>
      <c r="K122" s="43">
        <f>COUNTIF(F23_Emp!$C:$C,"*" &amp; $A122 &amp; "*")</f>
        <v>0</v>
      </c>
      <c r="L122" s="43">
        <f>COUNTIF(S23_Emp!$C:$C,"*" &amp; $A122 &amp; "*")</f>
        <v>0</v>
      </c>
      <c r="M122" s="43">
        <f>COUNTIF(F22_Emp!$C:$C,"*" &amp; $A122 &amp; "*")</f>
        <v>0</v>
      </c>
      <c r="N122" s="43">
        <f>COUNTIF(S22_Emp!$C:$C,"*" &amp; $A122 &amp; "*")</f>
        <v>0</v>
      </c>
      <c r="O122" s="43" t="str">
        <f>COUNTIFS(S22_Emp!$C:$C,"*" &amp; $A122 &amp; "*", S22_S25_Emp!$B:$B, "Bachelor")</f>
        <v>#VALUE!</v>
      </c>
      <c r="P122" s="43" t="str">
        <f>COUNTIFS(S22_Emp!$C:$C,"*" &amp; $A122 &amp; "*", S22_S25_Emp!$B:$B, "Master")</f>
        <v>#VALUE!</v>
      </c>
      <c r="Q122" s="43" t="str">
        <f>COUNTIFS(S22_Emp!$C:$C,"*" &amp; $A122 &amp; "*", S22_S25_Emp!$B:$B, "Doctorate")</f>
        <v>#VALUE!</v>
      </c>
      <c r="R122" s="43" t="str">
        <f t="array" ref="R122">IF(OR(INDEX(S26_CF!X:X, MATCH("*" &amp; $A122 &amp; "*", CompanyList!A:A, 0))=TRUE, INDEX(F25_CF!P:P, MATCH("*" &amp; $A122 &amp; "*", CompanyList!A:A, 0))=TRUE, INDEX(S25_CF!T:T, MATCH("*" &amp; $A122 &amp; "*", CompanyList!A:A, 0))=TRUE, INDEX(S24_CF!W:W, MATCH("*" &amp; $A122 &amp; "*", CompanyList!A:A, 0))=TRUE), "Yes", "No")</f>
        <v>No</v>
      </c>
      <c r="S122" s="43" t="str">
        <f>IF(COUNTIF(S26_CF!$A:$A,"*" &amp; $A122 &amp; "*") &lt;&gt; 0, "Yes", "No")</f>
        <v>No</v>
      </c>
      <c r="T122" s="43" t="str">
        <f t="array" ref="T122">INDEX(S26_CF!K:K, MATCH("*" &amp; $A122 &amp; "*", S26_CF!A:A, 0))</f>
        <v>#N/A</v>
      </c>
      <c r="U122" s="43" t="str">
        <f>IF(COUNTIF(F25_CF!$A:$A,"*" &amp; $A122 &amp; "*") &lt;&gt; 0, "Yes", "No")</f>
        <v>Yes</v>
      </c>
      <c r="V122" s="43" t="str">
        <f t="array" ref="V122">INDEX(F25_CF!I:I, MATCH("*" &amp; $A122 &amp; "*", F25_CF!$A:$A, 0))</f>
        <v>Basic One-Day: Thursday, September 11th [$1000.00]</v>
      </c>
      <c r="W122" s="43" t="str">
        <f>IF(COUNTIF(S25_CF!$A:$A,"*" &amp; $A122 &amp; "*") &lt;&gt; 0, "Yes", "No")</f>
        <v>Yes</v>
      </c>
      <c r="X122" s="43" t="str">
        <f t="array" ref="X122">INDEX(S25_CF!J:J, MATCH("*" &amp; $A122 &amp; "*", S25_CF!$A:$A, 0))</f>
        <v>Silver One-Day: Thursday, January 23rd [$1800.00]</v>
      </c>
      <c r="Y122" s="43" t="str">
        <f>IF(COUNTIF(F24_CF!$A:$A,"*" &amp; $A122 &amp; "*") &lt;&gt; 0, "Yes", "No")</f>
        <v>Yes</v>
      </c>
      <c r="Z122" s="43" t="str">
        <f t="array" ref="Z122">INDEX(F24_CF!N:N, MATCH("*" &amp; $A122 &amp; "*", F24_CF!$A:$A, 0))</f>
        <v>Silver Two-Day [$3000.00]</v>
      </c>
      <c r="AA122" s="43" t="str">
        <f>IF(COUNTIF(S24_CF!$A:$A,"*" &amp; $A122 &amp; "*") &lt;&gt; 0, "Yes", "No")</f>
        <v>Yes</v>
      </c>
      <c r="AB122" s="43" t="str">
        <f t="array" ref="AB122">INDEX(S24_CF!H:H, MATCH("*" &amp; $A122 &amp; "*", S24_CF!$A:$A, 0))</f>
        <v>Basic Two-Day [$2000.00]</v>
      </c>
    </row>
    <row r="123" ht="15.0" customHeight="1">
      <c r="A123" s="52" t="s">
        <v>178</v>
      </c>
      <c r="B123" s="43" t="s">
        <v>54</v>
      </c>
      <c r="C123" s="43">
        <v>32000.0</v>
      </c>
      <c r="D123" s="43">
        <v>65000.0</v>
      </c>
      <c r="E123" s="43">
        <v>220.0</v>
      </c>
      <c r="F123" s="43">
        <f>COUNTIF(S26_Emp!$C:$C,"*" &amp;A123 &amp; "*")</f>
        <v>0</v>
      </c>
      <c r="G123" s="43">
        <f>COUNTIF(F25_Emp!$C:$C,"*" &amp;#REF! &amp; "*")</f>
        <v>0</v>
      </c>
      <c r="H123" s="43">
        <f>COUNTIF(S25_Emp!$C:$C,"*" &amp; A123 &amp; "*")</f>
        <v>0</v>
      </c>
      <c r="I123" s="43">
        <f>COUNTIF(F24_Emp!$C:$C,"*" &amp; B123 &amp; "*")</f>
        <v>1</v>
      </c>
      <c r="J123" s="43">
        <f>COUNTIF(S24_Emp!$C:$C,"*" &amp; $A123 &amp; "*")</f>
        <v>2</v>
      </c>
      <c r="K123" s="43">
        <f>COUNTIF(F23_Emp!$C:$C,"*" &amp; $A123 &amp; "*")</f>
        <v>1</v>
      </c>
      <c r="L123" s="43">
        <f>COUNTIF(S23_Emp!$C:$C,"*" &amp; $A123 &amp; "*")</f>
        <v>0</v>
      </c>
      <c r="M123" s="43">
        <f>COUNTIF(F22_Emp!$C:$C,"*" &amp; $A123 &amp; "*")</f>
        <v>0</v>
      </c>
      <c r="N123" s="43">
        <f>COUNTIF(S22_Emp!$C:$C,"*" &amp; $A123 &amp; "*")</f>
        <v>0</v>
      </c>
      <c r="O123" s="43" t="str">
        <f>COUNTIFS(S22_Emp!$C:$C,"*" &amp; $A123 &amp; "*", S22_S25_Emp!$B:$B, "Bachelor")</f>
        <v>#VALUE!</v>
      </c>
      <c r="P123" s="43" t="str">
        <f>COUNTIFS(S22_Emp!$C:$C,"*" &amp; $A123 &amp; "*", S22_S25_Emp!$B:$B, "Master")</f>
        <v>#VALUE!</v>
      </c>
      <c r="Q123" s="43" t="str">
        <f>COUNTIFS(S22_Emp!$C:$C,"*" &amp; $A123 &amp; "*", S22_S25_Emp!$B:$B, "Doctorate")</f>
        <v>#VALUE!</v>
      </c>
      <c r="R123" s="43" t="str">
        <f t="array" ref="R123">IF(OR(INDEX(S26_CF!X:X, MATCH("*" &amp; $A123 &amp; "*", CompanyList!A:A, 0))=TRUE, INDEX(F25_CF!P:P, MATCH("*" &amp; $A123 &amp; "*", CompanyList!A:A, 0))=TRUE, INDEX(S25_CF!T:T, MATCH("*" &amp; $A123 &amp; "*", CompanyList!A:A, 0))=TRUE, INDEX(S24_CF!W:W, MATCH("*" &amp; $A123 &amp; "*", CompanyList!A:A, 0))=TRUE), "Yes", "No")</f>
        <v>No</v>
      </c>
      <c r="S123" s="43" t="str">
        <f>IF(COUNTIF(S26_CF!$A:$A,"*" &amp; $A123 &amp; "*") &lt;&gt; 0, "Yes", "No")</f>
        <v>No</v>
      </c>
      <c r="T123" s="43" t="str">
        <f t="array" ref="T123">INDEX(S26_CF!K:K, MATCH("*" &amp; $A123 &amp; "*", S26_CF!A:A, 0))</f>
        <v>#N/A</v>
      </c>
      <c r="U123" s="43" t="str">
        <f>IF(COUNTIF(F25_CF!$A:$A,"*" &amp; $A123 &amp; "*") &lt;&gt; 0, "Yes", "No")</f>
        <v>Yes</v>
      </c>
      <c r="V123" s="43" t="str">
        <f t="array" ref="V123">INDEX(F25_CF!I:I, MATCH("*" &amp; $A123 &amp; "*", F25_CF!$A:$A, 0))</f>
        <v>Silver One-Day: Thursday, September 11th [$1800.00]</v>
      </c>
      <c r="W123" s="43" t="str">
        <f>IF(COUNTIF(S25_CF!$A:$A,"*" &amp; $A123 &amp; "*") &lt;&gt; 0, "Yes", "No")</f>
        <v>Yes</v>
      </c>
      <c r="X123" s="43" t="str">
        <f t="array" ref="X123">INDEX(S25_CF!J:J, MATCH("*" &amp; $A123 &amp; "*", S25_CF!$A:$A, 0))</f>
        <v>Gold One-Day: Wednesday, January 22nd [$2500.00]</v>
      </c>
      <c r="Y123" s="43" t="str">
        <f>IF(COUNTIF(F24_CF!$A:$A,"*" &amp; $A123 &amp; "*") &lt;&gt; 0, "Yes", "No")</f>
        <v>No</v>
      </c>
      <c r="Z123" s="43" t="str">
        <f t="array" ref="Z123">INDEX(F24_CF!N:N, MATCH("*" &amp; $A123 &amp; "*", F24_CF!$A:$A, 0))</f>
        <v>#N/A</v>
      </c>
      <c r="AA123" s="43" t="str">
        <f>IF(COUNTIF(S24_CF!$A:$A,"*" &amp; $A123 &amp; "*") &lt;&gt; 0, "Yes", "No")</f>
        <v>Yes</v>
      </c>
      <c r="AB123" s="43" t="str">
        <f t="array" ref="AB123">INDEX(S24_CF!H:H, MATCH("*" &amp; $A123 &amp; "*", S24_CF!$A:$A, 0))</f>
        <v>Basic One-Day [$1000.00]</v>
      </c>
    </row>
    <row r="124" ht="15.0" customHeight="1">
      <c r="A124" s="52" t="s">
        <v>179</v>
      </c>
      <c r="B124" s="43" t="s">
        <v>52</v>
      </c>
      <c r="C124" s="43"/>
      <c r="D124" s="43"/>
      <c r="E124" s="43"/>
      <c r="F124" s="43">
        <f>COUNTIF(S26_Emp!$C:$C,"*" &amp;A124 &amp; "*")</f>
        <v>0</v>
      </c>
      <c r="G124" s="43">
        <f>COUNTIF(F25_Emp!$C:$C,"*" &amp;#REF! &amp; "*")</f>
        <v>0</v>
      </c>
      <c r="H124" s="43">
        <f>COUNTIF(S25_Emp!$C:$C,"*" &amp; A124 &amp; "*")</f>
        <v>3</v>
      </c>
      <c r="I124" s="43">
        <f>COUNTIF(F24_Emp!$C:$C,"*" &amp; B124 &amp; "*")</f>
        <v>0</v>
      </c>
      <c r="J124" s="43">
        <f>COUNTIF(S24_Emp!$C:$C,"*" &amp; $A124 &amp; "*")</f>
        <v>4</v>
      </c>
      <c r="K124" s="43">
        <f>COUNTIF(F23_Emp!$C:$C,"*" &amp; $A124 &amp; "*")</f>
        <v>1</v>
      </c>
      <c r="L124" s="43">
        <f>COUNTIF(S23_Emp!$C:$C,"*" &amp; $A124 &amp; "*")</f>
        <v>2</v>
      </c>
      <c r="M124" s="43">
        <f>COUNTIF(F22_Emp!$C:$C,"*" &amp; $A124 &amp; "*")</f>
        <v>0</v>
      </c>
      <c r="N124" s="43">
        <f>COUNTIF(S22_Emp!$C:$C,"*" &amp; $A124 &amp; "*")</f>
        <v>1</v>
      </c>
      <c r="O124" s="43" t="str">
        <f>COUNTIFS(S22_Emp!$C:$C,"*" &amp; $A124 &amp; "*", S22_S25_Emp!$B:$B, "Bachelor")</f>
        <v>#VALUE!</v>
      </c>
      <c r="P124" s="43" t="str">
        <f>COUNTIFS(S22_Emp!$C:$C,"*" &amp; $A124 &amp; "*", S22_S25_Emp!$B:$B, "Master")</f>
        <v>#VALUE!</v>
      </c>
      <c r="Q124" s="43" t="str">
        <f>COUNTIFS(S22_Emp!$C:$C,"*" &amp; $A124 &amp; "*", S22_S25_Emp!$B:$B, "Doctorate")</f>
        <v>#VALUE!</v>
      </c>
      <c r="R124" s="43" t="str">
        <f t="array" ref="R124">IF(OR(INDEX(S26_CF!X:X, MATCH("*" &amp; $A124 &amp; "*", CompanyList!A:A, 0))=TRUE, INDEX(F25_CF!P:P, MATCH("*" &amp; $A124 &amp; "*", CompanyList!A:A, 0))=TRUE, INDEX(S25_CF!T:T, MATCH("*" &amp; $A124 &amp; "*", CompanyList!A:A, 0))=TRUE, INDEX(S24_CF!W:W, MATCH("*" &amp; $A124 &amp; "*", CompanyList!A:A, 0))=TRUE), "Yes", "No")</f>
        <v>No</v>
      </c>
      <c r="S124" s="43" t="str">
        <f>IF(COUNTIF(S26_CF!$A:$A,"*" &amp; $A124 &amp; "*") &lt;&gt; 0, "Yes", "No")</f>
        <v>Yes</v>
      </c>
      <c r="T124" s="43" t="str">
        <f t="array" ref="T124">INDEX(S26_CF!K:K, MATCH("*" &amp; $A124 &amp; "*", S26_CF!A:A, 0))</f>
        <v>Gold One-Day: Thursday, January 29th [$2500.00]</v>
      </c>
      <c r="U124" s="43" t="str">
        <f>IF(COUNTIF(F25_CF!$A:$A,"*" &amp; $A124 &amp; "*") &lt;&gt; 0, "Yes", "No")</f>
        <v>Yes</v>
      </c>
      <c r="V124" s="43" t="str">
        <f t="array" ref="V124">INDEX(F25_CF!I:I, MATCH("*" &amp; $A124 &amp; "*", F25_CF!$A:$A, 0))</f>
        <v>Gold One-Day: Thursday, September 11th [$2500.00]</v>
      </c>
      <c r="W124" s="43" t="str">
        <f>IF(COUNTIF(S25_CF!$A:$A,"*" &amp; $A124 &amp; "*") &lt;&gt; 0, "Yes", "No")</f>
        <v>Yes</v>
      </c>
      <c r="X124" s="43" t="str">
        <f t="array" ref="X124">INDEX(S25_CF!J:J, MATCH("*" &amp; $A124 &amp; "*", S25_CF!$A:$A, 0))</f>
        <v>Silver One-Day: Thursday, January 23rd [$1800.00]</v>
      </c>
      <c r="Y124" s="43" t="str">
        <f>IF(COUNTIF(F24_CF!$A:$A,"*" &amp; $A124 &amp; "*") &lt;&gt; 0, "Yes", "No")</f>
        <v>Yes</v>
      </c>
      <c r="Z124" s="43" t="str">
        <f t="array" ref="Z124">INDEX(F24_CF!N:N, MATCH("*" &amp; $A124 &amp; "*", F24_CF!$A:$A, 0))</f>
        <v>Gold One-Day: Thursday, September 5th [$2500.00]</v>
      </c>
      <c r="AA124" s="43" t="str">
        <f>IF(COUNTIF(S24_CF!$A:$A,"*" &amp; $A124 &amp; "*") &lt;&gt; 0, "Yes", "No")</f>
        <v>Yes</v>
      </c>
      <c r="AB124" s="43" t="str">
        <f t="array" ref="AB124">INDEX(S24_CF!H:H, MATCH("*" &amp; $A124 &amp; "*", S24_CF!$A:$A, 0))</f>
        <v>Silver One-Day [$1800.00]</v>
      </c>
    </row>
    <row r="125" ht="15.0" customHeight="1">
      <c r="A125" s="52" t="s">
        <v>180</v>
      </c>
      <c r="B125" s="43" t="s">
        <v>52</v>
      </c>
      <c r="C125" s="43"/>
      <c r="D125" s="43"/>
      <c r="E125" s="43"/>
      <c r="F125" s="43">
        <f>COUNTIF(S26_Emp!$C:$C,"*" &amp;A125 &amp; "*")</f>
        <v>0</v>
      </c>
      <c r="G125" s="43">
        <f>COUNTIF(F25_Emp!$C:$C,"*" &amp;#REF! &amp; "*")</f>
        <v>0</v>
      </c>
      <c r="H125" s="43">
        <f>COUNTIF(S25_Emp!$C:$C,"*" &amp; A125 &amp; "*")</f>
        <v>0</v>
      </c>
      <c r="I125" s="43">
        <f>COUNTIF(F24_Emp!$C:$C,"*" &amp; B125 &amp; "*")</f>
        <v>0</v>
      </c>
      <c r="J125" s="43">
        <f>COUNTIF(S24_Emp!$C:$C,"*" &amp; $A125 &amp; "*")</f>
        <v>3</v>
      </c>
      <c r="K125" s="43">
        <f>COUNTIF(F23_Emp!$C:$C,"*" &amp; $A125 &amp; "*")</f>
        <v>0</v>
      </c>
      <c r="L125" s="43">
        <f>COUNTIF(S23_Emp!$C:$C,"*" &amp; $A125 &amp; "*")</f>
        <v>0</v>
      </c>
      <c r="M125" s="43">
        <f>COUNTIF(F22_Emp!$C:$C,"*" &amp; $A125 &amp; "*")</f>
        <v>0</v>
      </c>
      <c r="N125" s="43">
        <f>COUNTIF(S22_Emp!$C:$C,"*" &amp; $A125 &amp; "*")</f>
        <v>0</v>
      </c>
      <c r="O125" s="43" t="str">
        <f>COUNTIFS(S22_Emp!$C:$C,"*" &amp; $A125 &amp; "*", S22_S25_Emp!$B:$B, "Bachelor")</f>
        <v>#VALUE!</v>
      </c>
      <c r="P125" s="43" t="str">
        <f>COUNTIFS(S22_Emp!$C:$C,"*" &amp; $A125 &amp; "*", S22_S25_Emp!$B:$B, "Master")</f>
        <v>#VALUE!</v>
      </c>
      <c r="Q125" s="43" t="str">
        <f>COUNTIFS(S22_Emp!$C:$C,"*" &amp; $A125 &amp; "*", S22_S25_Emp!$B:$B, "Doctorate")</f>
        <v>#VALUE!</v>
      </c>
      <c r="R125" s="43" t="str">
        <f t="array" ref="R125">IF(OR(INDEX(S26_CF!X:X, MATCH("*" &amp; $A125 &amp; "*", CompanyList!A:A, 0))=TRUE, INDEX(F25_CF!P:P, MATCH("*" &amp; $A125 &amp; "*", CompanyList!A:A, 0))=TRUE, INDEX(S25_CF!T:T, MATCH("*" &amp; $A125 &amp; "*", CompanyList!A:A, 0))=TRUE, INDEX(S24_CF!W:W, MATCH("*" &amp; $A125 &amp; "*", CompanyList!A:A, 0))=TRUE), "Yes", "No")</f>
        <v>Yes</v>
      </c>
      <c r="S125" s="43" t="str">
        <f>IF(COUNTIF(S26_CF!$A:$A,"*" &amp; $A125 &amp; "*") &lt;&gt; 0, "Yes", "No")</f>
        <v>Yes</v>
      </c>
      <c r="T125" s="43" t="str">
        <f t="array" ref="T125">INDEX(S26_CF!K:K, MATCH("*" &amp; $A125 &amp; "*", S26_CF!A:A, 0))</f>
        <v>Basic One-Day: Wednesday, January 28th [$1000.00]</v>
      </c>
      <c r="U125" s="43" t="str">
        <f>IF(COUNTIF(F25_CF!$A:$A,"*" &amp; $A125 &amp; "*") &lt;&gt; 0, "Yes", "No")</f>
        <v>Yes</v>
      </c>
      <c r="V125" s="43" t="str">
        <f t="array" ref="V125">INDEX(F25_CF!I:I, MATCH("*" &amp; $A125 &amp; "*", F25_CF!$A:$A, 0))</f>
        <v>Basic Two-Day [$2000.00]</v>
      </c>
      <c r="W125" s="43" t="str">
        <f>IF(COUNTIF(S25_CF!$A:$A,"*" &amp; $A125 &amp; "*") &lt;&gt; 0, "Yes", "No")</f>
        <v>No</v>
      </c>
      <c r="X125" s="43" t="str">
        <f t="array" ref="X125">INDEX(S25_CF!J:J, MATCH("*" &amp; $A125 &amp; "*", S25_CF!$A:$A, 0))</f>
        <v>#N/A</v>
      </c>
      <c r="Y125" s="43" t="str">
        <f>IF(COUNTIF(F24_CF!$A:$A,"*" &amp; $A125 &amp; "*") &lt;&gt; 0, "Yes", "No")</f>
        <v>Yes</v>
      </c>
      <c r="Z125" s="43" t="str">
        <f t="array" ref="Z125">INDEX(F24_CF!N:N, MATCH("*" &amp; $A125 &amp; "*", F24_CF!$A:$A, 0))</f>
        <v>Basic Two-Day [$2000.00]</v>
      </c>
      <c r="AA125" s="43" t="str">
        <f>IF(COUNTIF(S24_CF!$A:$A,"*" &amp; $A125 &amp; "*") &lt;&gt; 0, "Yes", "No")</f>
        <v>Yes</v>
      </c>
      <c r="AB125" s="43" t="str">
        <f t="array" ref="AB125">INDEX(S24_CF!H:H, MATCH("*" &amp; $A125 &amp; "*", S24_CF!$A:$A, 0))</f>
        <v>Basic Two-Day [$2000.00]</v>
      </c>
    </row>
    <row r="126" ht="15.0" customHeight="1">
      <c r="A126" s="52" t="s">
        <v>181</v>
      </c>
      <c r="B126" s="43" t="s">
        <v>52</v>
      </c>
      <c r="C126" s="43"/>
      <c r="D126" s="43"/>
      <c r="E126" s="43"/>
      <c r="F126" s="43">
        <f>COUNTIF(S26_Emp!$C:$C,"*" &amp;A126 &amp; "*")</f>
        <v>0</v>
      </c>
      <c r="G126" s="43">
        <f>COUNTIF(F25_Emp!$C:$C,"*" &amp;#REF! &amp; "*")</f>
        <v>0</v>
      </c>
      <c r="H126" s="43">
        <f>COUNTIF(S25_Emp!$C:$C,"*" &amp; A126 &amp; "*")</f>
        <v>0</v>
      </c>
      <c r="I126" s="43">
        <f>COUNTIF(F24_Emp!$C:$C,"*" &amp; B126 &amp; "*")</f>
        <v>0</v>
      </c>
      <c r="J126" s="43">
        <f>COUNTIF(S24_Emp!$C:$C,"*" &amp; $A126 &amp; "*")</f>
        <v>0</v>
      </c>
      <c r="K126" s="43">
        <f>COUNTIF(F23_Emp!$C:$C,"*" &amp; $A126 &amp; "*")</f>
        <v>0</v>
      </c>
      <c r="L126" s="43">
        <f>COUNTIF(S23_Emp!$C:$C,"*" &amp; $A126 &amp; "*")</f>
        <v>0</v>
      </c>
      <c r="M126" s="43">
        <f>COUNTIF(F22_Emp!$C:$C,"*" &amp; $A126 &amp; "*")</f>
        <v>0</v>
      </c>
      <c r="N126" s="43">
        <f>COUNTIF(S22_Emp!$C:$C,"*" &amp; $A126 &amp; "*")</f>
        <v>0</v>
      </c>
      <c r="O126" s="43" t="str">
        <f>COUNTIFS(S22_Emp!$C:$C,"*" &amp; $A126 &amp; "*", S22_S25_Emp!$B:$B, "Bachelor")</f>
        <v>#VALUE!</v>
      </c>
      <c r="P126" s="43" t="str">
        <f>COUNTIFS(S22_Emp!$C:$C,"*" &amp; $A126 &amp; "*", S22_S25_Emp!$B:$B, "Master")</f>
        <v>#VALUE!</v>
      </c>
      <c r="Q126" s="43" t="str">
        <f>COUNTIFS(S22_Emp!$C:$C,"*" &amp; $A126 &amp; "*", S22_S25_Emp!$B:$B, "Doctorate")</f>
        <v>#VALUE!</v>
      </c>
      <c r="R126" s="43" t="str">
        <f t="array" ref="R126">IF(OR(INDEX(S26_CF!X:X, MATCH("*" &amp; $A126 &amp; "*", CompanyList!A:A, 0))=TRUE, INDEX(F25_CF!P:P, MATCH("*" &amp; $A126 &amp; "*", CompanyList!A:A, 0))=TRUE, INDEX(S25_CF!T:T, MATCH("*" &amp; $A126 &amp; "*", CompanyList!A:A, 0))=TRUE, INDEX(S24_CF!W:W, MATCH("*" &amp; $A126 &amp; "*", CompanyList!A:A, 0))=TRUE), "Yes", "No")</f>
        <v>No</v>
      </c>
      <c r="S126" s="43" t="str">
        <f>IF(COUNTIF(S26_CF!$A:$A,"*" &amp; $A126 &amp; "*") &lt;&gt; 0, "Yes", "No")</f>
        <v>No</v>
      </c>
      <c r="T126" s="43" t="str">
        <f t="array" ref="T126">INDEX(S26_CF!K:K, MATCH("*" &amp; $A126 &amp; "*", S26_CF!A:A, 0))</f>
        <v>#N/A</v>
      </c>
      <c r="U126" s="43" t="str">
        <f>IF(COUNTIF(F25_CF!$A:$A,"*" &amp; $A126 &amp; "*") &lt;&gt; 0, "Yes", "No")</f>
        <v>No</v>
      </c>
      <c r="V126" s="43" t="str">
        <f t="array" ref="V126">INDEX(F25_CF!I:I, MATCH("*" &amp; $A126 &amp; "*", F25_CF!$A:$A, 0))</f>
        <v>#N/A</v>
      </c>
      <c r="W126" s="43" t="str">
        <f>IF(COUNTIF(S25_CF!$A:$A,"*" &amp; $A126 &amp; "*") &lt;&gt; 0, "Yes", "No")</f>
        <v>Yes</v>
      </c>
      <c r="X126" s="43" t="str">
        <f t="array" ref="X126">INDEX(S25_CF!J:J, MATCH("*" &amp; $A126 &amp; "*", S25_CF!$A:$A, 0))</f>
        <v>Basic One-Day: Thursday, January 23rd [$1000.00]</v>
      </c>
      <c r="Y126" s="43" t="str">
        <f>IF(COUNTIF(F24_CF!$A:$A,"*" &amp; $A126 &amp; "*") &lt;&gt; 0, "Yes", "No")</f>
        <v>Yes</v>
      </c>
      <c r="Z126" s="43" t="str">
        <f t="array" ref="Z126">INDEX(F24_CF!N:N, MATCH("*" &amp; $A126 &amp; "*", F24_CF!$A:$A, 0))</f>
        <v>Basic One-Day: Thursday, September 5th [$1000.00]</v>
      </c>
      <c r="AA126" s="43" t="str">
        <f>IF(COUNTIF(S24_CF!$A:$A,"*" &amp; $A126 &amp; "*") &lt;&gt; 0, "Yes", "No")</f>
        <v>Yes</v>
      </c>
      <c r="AB126" s="43" t="str">
        <f t="array" ref="AB126">INDEX(S24_CF!H:H, MATCH("*" &amp; $A126 &amp; "*", S24_CF!$A:$A, 0))</f>
        <v>Basic One-Day [$1000.00]</v>
      </c>
    </row>
    <row r="127" ht="15.0" customHeight="1">
      <c r="A127" s="52" t="s">
        <v>182</v>
      </c>
      <c r="B127" s="43" t="s">
        <v>52</v>
      </c>
      <c r="C127" s="43"/>
      <c r="D127" s="43"/>
      <c r="E127" s="43"/>
      <c r="F127" s="43">
        <f>COUNTIF(S26_Emp!$C:$C,"*" &amp;A127 &amp; "*")</f>
        <v>0</v>
      </c>
      <c r="G127" s="43">
        <f>COUNTIF(F25_Emp!$C:$C,"*" &amp;#REF! &amp; "*")</f>
        <v>0</v>
      </c>
      <c r="H127" s="43">
        <f>COUNTIF(S25_Emp!$C:$C,"*" &amp; A127 &amp; "*")</f>
        <v>0</v>
      </c>
      <c r="I127" s="43">
        <f>COUNTIF(F24_Emp!$C:$C,"*" &amp; B127 &amp; "*")</f>
        <v>0</v>
      </c>
      <c r="J127" s="43">
        <f>COUNTIF(S24_Emp!$C:$C,"*" &amp; $A127 &amp; "*")</f>
        <v>0</v>
      </c>
      <c r="K127" s="43">
        <f>COUNTIF(F23_Emp!$C:$C,"*" &amp; $A127 &amp; "*")</f>
        <v>0</v>
      </c>
      <c r="L127" s="43">
        <f>COUNTIF(S23_Emp!$C:$C,"*" &amp; $A127 &amp; "*")</f>
        <v>1</v>
      </c>
      <c r="M127" s="43">
        <f>COUNTIF(F22_Emp!$C:$C,"*" &amp; $A127 &amp; "*")</f>
        <v>0</v>
      </c>
      <c r="N127" s="43">
        <f>COUNTIF(S22_Emp!$C:$C,"*" &amp; $A127 &amp; "*")</f>
        <v>0</v>
      </c>
      <c r="O127" s="43" t="str">
        <f>COUNTIFS(S22_Emp!$C:$C,"*" &amp; $A127 &amp; "*", S22_S25_Emp!$B:$B, "Bachelor")</f>
        <v>#VALUE!</v>
      </c>
      <c r="P127" s="43" t="str">
        <f>COUNTIFS(S22_Emp!$C:$C,"*" &amp; $A127 &amp; "*", S22_S25_Emp!$B:$B, "Master")</f>
        <v>#VALUE!</v>
      </c>
      <c r="Q127" s="43" t="str">
        <f>COUNTIFS(S22_Emp!$C:$C,"*" &amp; $A127 &amp; "*", S22_S25_Emp!$B:$B, "Doctorate")</f>
        <v>#VALUE!</v>
      </c>
      <c r="R127" s="43" t="str">
        <f t="array" ref="R127">IF(OR(INDEX(S26_CF!X:X, MATCH("*" &amp; $A127 &amp; "*", CompanyList!A:A, 0))=TRUE, INDEX(F25_CF!P:P, MATCH("*" &amp; $A127 &amp; "*", CompanyList!A:A, 0))=TRUE, INDEX(S25_CF!T:T, MATCH("*" &amp; $A127 &amp; "*", CompanyList!A:A, 0))=TRUE, INDEX(S24_CF!W:W, MATCH("*" &amp; $A127 &amp; "*", CompanyList!A:A, 0))=TRUE), "Yes", "No")</f>
        <v>No</v>
      </c>
      <c r="S127" s="43" t="str">
        <f>IF(COUNTIF(S26_CF!$A:$A,"*" &amp; $A127 &amp; "*") &lt;&gt; 0, "Yes", "No")</f>
        <v>Yes</v>
      </c>
      <c r="T127" s="43" t="str">
        <f t="array" ref="T127">INDEX(S26_CF!K:K, MATCH("*" &amp; $A127 &amp; "*", S26_CF!A:A, 0))</f>
        <v>Basic One-Day: Wednesday, January 28th [$1000.00]</v>
      </c>
      <c r="U127" s="43" t="str">
        <f>IF(COUNTIF(F25_CF!$A:$A,"*" &amp; $A127 &amp; "*") &lt;&gt; 0, "Yes", "No")</f>
        <v>Yes</v>
      </c>
      <c r="V127" s="43" t="str">
        <f t="array" ref="V127">INDEX(F25_CF!I:I, MATCH("*" &amp; $A127 &amp; "*", F25_CF!$A:$A, 0))</f>
        <v>Basic Two-Day [$2000.00]</v>
      </c>
      <c r="W127" s="43" t="str">
        <f>IF(COUNTIF(S25_CF!$A:$A,"*" &amp; $A127 &amp; "*") &lt;&gt; 0, "Yes", "No")</f>
        <v>Yes</v>
      </c>
      <c r="X127" s="43" t="str">
        <f t="array" ref="X127">INDEX(S25_CF!J:J, MATCH("*" &amp; $A127 &amp; "*", S25_CF!$A:$A, 0))</f>
        <v>Silver One-Day: Thursday, January 23rd [$1800.00]</v>
      </c>
      <c r="Y127" s="43" t="str">
        <f>IF(COUNTIF(F24_CF!$A:$A,"*" &amp; $A127 &amp; "*") &lt;&gt; 0, "Yes", "No")</f>
        <v>Yes</v>
      </c>
      <c r="Z127" s="43" t="str">
        <f t="array" ref="Z127">INDEX(F24_CF!N:N, MATCH("*" &amp; $A127 &amp; "*", F24_CF!$A:$A, 0))</f>
        <v>Silver Two-Day [$3000.00]</v>
      </c>
      <c r="AA127" s="43" t="str">
        <f>IF(COUNTIF(S24_CF!$A:$A,"*" &amp; $A127 &amp; "*") &lt;&gt; 0, "Yes", "No")</f>
        <v>Yes</v>
      </c>
      <c r="AB127" s="43" t="str">
        <f t="array" ref="AB127">INDEX(S24_CF!H:H, MATCH("*" &amp; $A127 &amp; "*", S24_CF!$A:$A, 0))</f>
        <v>Silver Two-Day [$3000.00]</v>
      </c>
    </row>
    <row r="128" ht="15.0" customHeight="1">
      <c r="A128" s="52" t="s">
        <v>183</v>
      </c>
      <c r="B128" s="43" t="s">
        <v>83</v>
      </c>
      <c r="C128" s="43">
        <v>6500.0</v>
      </c>
      <c r="D128" s="43">
        <v>8800.0</v>
      </c>
      <c r="E128" s="43"/>
      <c r="F128" s="43">
        <f>COUNTIF(S26_Emp!$C:$C,"*" &amp;A128 &amp; "*")</f>
        <v>0</v>
      </c>
      <c r="G128" s="43">
        <f>COUNTIF(F25_Emp!$C:$C,"*" &amp;#REF! &amp; "*")</f>
        <v>0</v>
      </c>
      <c r="H128" s="43">
        <f>COUNTIF(S25_Emp!$C:$C,"*" &amp; A128 &amp; "*")</f>
        <v>0</v>
      </c>
      <c r="I128" s="43">
        <f>COUNTIF(F24_Emp!$C:$C,"*" &amp; B128 &amp; "*")</f>
        <v>0</v>
      </c>
      <c r="J128" s="43">
        <f>COUNTIF(S24_Emp!$C:$C,"*" &amp; $A128 &amp; "*")</f>
        <v>0</v>
      </c>
      <c r="K128" s="43">
        <f>COUNTIF(F23_Emp!$C:$C,"*" &amp; $A128 &amp; "*")</f>
        <v>1</v>
      </c>
      <c r="L128" s="43">
        <f>COUNTIF(S23_Emp!$C:$C,"*" &amp; $A128 &amp; "*")</f>
        <v>0</v>
      </c>
      <c r="M128" s="43">
        <f>COUNTIF(F22_Emp!$C:$C,"*" &amp; $A128 &amp; "*")</f>
        <v>1</v>
      </c>
      <c r="N128" s="43">
        <f>COUNTIF(S22_Emp!$C:$C,"*" &amp; $A128 &amp; "*")</f>
        <v>0</v>
      </c>
      <c r="O128" s="43" t="str">
        <f>COUNTIFS(S22_Emp!$C:$C,"*" &amp; $A128 &amp; "*", S22_S25_Emp!$B:$B, "Bachelor")</f>
        <v>#VALUE!</v>
      </c>
      <c r="P128" s="43" t="str">
        <f>COUNTIFS(S22_Emp!$C:$C,"*" &amp; $A128 &amp; "*", S22_S25_Emp!$B:$B, "Master")</f>
        <v>#VALUE!</v>
      </c>
      <c r="Q128" s="43" t="str">
        <f>COUNTIFS(S22_Emp!$C:$C,"*" &amp; $A128 &amp; "*", S22_S25_Emp!$B:$B, "Doctorate")</f>
        <v>#VALUE!</v>
      </c>
      <c r="R128" s="43" t="str">
        <f t="array" ref="R128">IF(OR(INDEX(S26_CF!X:X, MATCH("*" &amp; $A128 &amp; "*", CompanyList!A:A, 0))=TRUE, INDEX(F25_CF!P:P, MATCH("*" &amp; $A128 &amp; "*", CompanyList!A:A, 0))=TRUE, INDEX(S25_CF!T:T, MATCH("*" &amp; $A128 &amp; "*", CompanyList!A:A, 0))=TRUE, INDEX(S24_CF!W:W, MATCH("*" &amp; $A128 &amp; "*", CompanyList!A:A, 0))=TRUE), "Yes", "No")</f>
        <v>No</v>
      </c>
      <c r="S128" s="43" t="str">
        <f>IF(COUNTIF(S26_CF!$A:$A,"*" &amp; $A128 &amp; "*") &lt;&gt; 0, "Yes", "No")</f>
        <v>No</v>
      </c>
      <c r="T128" s="43" t="str">
        <f t="array" ref="T128">INDEX(S26_CF!K:K, MATCH("*" &amp; $A128 &amp; "*", S26_CF!A:A, 0))</f>
        <v>#N/A</v>
      </c>
      <c r="U128" s="43" t="str">
        <f>IF(COUNTIF(F25_CF!$A:$A,"*" &amp; $A128 &amp; "*") &lt;&gt; 0, "Yes", "No")</f>
        <v>Yes</v>
      </c>
      <c r="V128" s="43" t="str">
        <f t="array" ref="V128">INDEX(F25_CF!I:I, MATCH("*" &amp; $A128 &amp; "*", F25_CF!$A:$A, 0))</f>
        <v>Basic One-Day: Wednesday, September 10th [$1000.00]</v>
      </c>
      <c r="W128" s="43" t="str">
        <f>IF(COUNTIF(S25_CF!$A:$A,"*" &amp; $A128 &amp; "*") &lt;&gt; 0, "Yes", "No")</f>
        <v>No</v>
      </c>
      <c r="X128" s="43" t="str">
        <f t="array" ref="X128">INDEX(S25_CF!J:J, MATCH("*" &amp; $A128 &amp; "*", S25_CF!$A:$A, 0))</f>
        <v>#N/A</v>
      </c>
      <c r="Y128" s="43" t="str">
        <f>IF(COUNTIF(F24_CF!$A:$A,"*" &amp; $A128 &amp; "*") &lt;&gt; 0, "Yes", "No")</f>
        <v>Yes</v>
      </c>
      <c r="Z128" s="43" t="str">
        <f t="array" ref="Z128">INDEX(F24_CF!N:N, MATCH("*" &amp; $A128 &amp; "*", F24_CF!$A:$A, 0))</f>
        <v>Basic One-Day: Thursday, September 5th [$1000.00]</v>
      </c>
      <c r="AA128" s="43" t="str">
        <f>IF(COUNTIF(S24_CF!$A:$A,"*" &amp; $A128 &amp; "*") &lt;&gt; 0, "Yes", "No")</f>
        <v>Yes</v>
      </c>
      <c r="AB128" s="43" t="str">
        <f t="array" ref="AB128">INDEX(S24_CF!H:H, MATCH("*" &amp; $A128 &amp; "*", S24_CF!$A:$A, 0))</f>
        <v>Basic One-Day [$1000.00]</v>
      </c>
    </row>
    <row r="129" ht="15.0" customHeight="1">
      <c r="A129" s="52" t="s">
        <v>184</v>
      </c>
      <c r="B129" s="43" t="s">
        <v>54</v>
      </c>
      <c r="C129" s="43">
        <v>41000.0</v>
      </c>
      <c r="D129" s="43">
        <v>19000.0</v>
      </c>
      <c r="E129" s="43">
        <v>33.0</v>
      </c>
      <c r="F129" s="43">
        <f>COUNTIF(S26_Emp!$C:$C,"*" &amp;A129 &amp; "*")</f>
        <v>0</v>
      </c>
      <c r="G129" s="43">
        <f>COUNTIF(F25_Emp!$C:$C,"*" &amp;#REF! &amp; "*")</f>
        <v>0</v>
      </c>
      <c r="H129" s="43">
        <f>COUNTIF(S25_Emp!$C:$C,"*" &amp; A129 &amp; "*")</f>
        <v>0</v>
      </c>
      <c r="I129" s="43">
        <f>COUNTIF(F24_Emp!$C:$C,"*" &amp; B129 &amp; "*")</f>
        <v>1</v>
      </c>
      <c r="J129" s="43">
        <f>COUNTIF(S24_Emp!$C:$C,"*" &amp; $A129 &amp; "*")</f>
        <v>0</v>
      </c>
      <c r="K129" s="43">
        <f>COUNTIF(F23_Emp!$C:$C,"*" &amp; $A129 &amp; "*")</f>
        <v>2</v>
      </c>
      <c r="L129" s="43">
        <f>COUNTIF(S23_Emp!$C:$C,"*" &amp; $A129 &amp; "*")</f>
        <v>3</v>
      </c>
      <c r="M129" s="43">
        <f>COUNTIF(F22_Emp!$C:$C,"*" &amp; $A129 &amp; "*")</f>
        <v>2</v>
      </c>
      <c r="N129" s="43">
        <f>COUNTIF(S22_Emp!$C:$C,"*" &amp; $A129 &amp; "*")</f>
        <v>0</v>
      </c>
      <c r="O129" s="43" t="str">
        <f>COUNTIFS(S22_Emp!$C:$C,"*" &amp; $A129 &amp; "*", S22_S25_Emp!$B:$B, "Bachelor")</f>
        <v>#VALUE!</v>
      </c>
      <c r="P129" s="43" t="str">
        <f>COUNTIFS(S22_Emp!$C:$C,"*" &amp; $A129 &amp; "*", S22_S25_Emp!$B:$B, "Master")</f>
        <v>#VALUE!</v>
      </c>
      <c r="Q129" s="43" t="str">
        <f>COUNTIFS(S22_Emp!$C:$C,"*" &amp; $A129 &amp; "*", S22_S25_Emp!$B:$B, "Doctorate")</f>
        <v>#VALUE!</v>
      </c>
      <c r="R129" s="43" t="str">
        <f t="array" ref="R129">IF(OR(INDEX(S26_CF!X:X, MATCH("*" &amp; $A129 &amp; "*", CompanyList!A:A, 0))=TRUE, INDEX(F25_CF!P:P, MATCH("*" &amp; $A129 &amp; "*", CompanyList!A:A, 0))=TRUE, INDEX(S25_CF!T:T, MATCH("*" &amp; $A129 &amp; "*", CompanyList!A:A, 0))=TRUE, INDEX(S24_CF!W:W, MATCH("*" &amp; $A129 &amp; "*", CompanyList!A:A, 0))=TRUE), "Yes", "No")</f>
        <v>No</v>
      </c>
      <c r="S129" s="43" t="str">
        <f>IF(COUNTIF(S26_CF!$A:$A,"*" &amp; $A129 &amp; "*") &lt;&gt; 0, "Yes", "No")</f>
        <v>No</v>
      </c>
      <c r="T129" s="43" t="str">
        <f t="array" ref="T129">INDEX(S26_CF!K:K, MATCH("*" &amp; $A129 &amp; "*", S26_CF!A:A, 0))</f>
        <v>#N/A</v>
      </c>
      <c r="U129" s="43" t="str">
        <f>IF(COUNTIF(F25_CF!$A:$A,"*" &amp; $A129 &amp; "*") &lt;&gt; 0, "Yes", "No")</f>
        <v>Yes</v>
      </c>
      <c r="V129" s="43" t="str">
        <f t="array" ref="V129">INDEX(F25_CF!I:I, MATCH("*" &amp; $A129 &amp; "*", F25_CF!$A:$A, 0))</f>
        <v>Gold Two-Day [$5500.00]</v>
      </c>
      <c r="W129" s="43" t="str">
        <f>IF(COUNTIF(S25_CF!$A:$A,"*" &amp; $A129 &amp; "*") &lt;&gt; 0, "Yes", "No")</f>
        <v>No</v>
      </c>
      <c r="X129" s="43" t="str">
        <f t="array" ref="X129">INDEX(S25_CF!J:J, MATCH("*" &amp; $A129 &amp; "*", S25_CF!$A:$A, 0))</f>
        <v>#N/A</v>
      </c>
      <c r="Y129" s="43" t="str">
        <f>IF(COUNTIF(F24_CF!$A:$A,"*" &amp; $A129 &amp; "*") &lt;&gt; 0, "Yes", "No")</f>
        <v>Yes</v>
      </c>
      <c r="Z129" s="43" t="str">
        <f t="array" ref="Z129">INDEX(F24_CF!N:N, MATCH("*" &amp; $A129 &amp; "*", F24_CF!$A:$A, 0))</f>
        <v>Gold Two-Day [$5500.00]</v>
      </c>
      <c r="AA129" s="43" t="str">
        <f>IF(COUNTIF(S24_CF!$A:$A,"*" &amp; $A129 &amp; "*") &lt;&gt; 0, "Yes", "No")</f>
        <v>Yes</v>
      </c>
      <c r="AB129" s="43" t="str">
        <f t="array" ref="AB129">INDEX(S24_CF!H:H, MATCH("*" &amp; $A129 &amp; "*", S24_CF!$A:$A, 0))</f>
        <v>Gold One-Day [$2500.00]</v>
      </c>
    </row>
    <row r="130" ht="15.0" customHeight="1">
      <c r="A130" s="52" t="s">
        <v>185</v>
      </c>
      <c r="B130" s="43" t="s">
        <v>52</v>
      </c>
      <c r="C130" s="43"/>
      <c r="D130" s="43"/>
      <c r="E130" s="43"/>
      <c r="F130" s="43">
        <f>COUNTIF(S26_Emp!$C:$C,"*" &amp;A130 &amp; "*")</f>
        <v>0</v>
      </c>
      <c r="G130" s="43">
        <f>COUNTIF(F25_Emp!$C:$C,"*" &amp;#REF! &amp; "*")</f>
        <v>0</v>
      </c>
      <c r="H130" s="43">
        <f>COUNTIF(S25_Emp!$C:$C,"*" &amp; A130 &amp; "*")</f>
        <v>0</v>
      </c>
      <c r="I130" s="43">
        <f>COUNTIF(F24_Emp!$C:$C,"*" &amp; B130 &amp; "*")</f>
        <v>0</v>
      </c>
      <c r="J130" s="43">
        <f>COUNTIF(S24_Emp!$C:$C,"*" &amp; $A130 &amp; "*")</f>
        <v>1</v>
      </c>
      <c r="K130" s="43">
        <f>COUNTIF(F23_Emp!$C:$C,"*" &amp; $A130 &amp; "*")</f>
        <v>0</v>
      </c>
      <c r="L130" s="43">
        <f>COUNTIF(S23_Emp!$C:$C,"*" &amp; $A130 &amp; "*")</f>
        <v>0</v>
      </c>
      <c r="M130" s="43">
        <f>COUNTIF(F22_Emp!$C:$C,"*" &amp; $A130 &amp; "*")</f>
        <v>0</v>
      </c>
      <c r="N130" s="43">
        <f>COUNTIF(S22_Emp!$C:$C,"*" &amp; $A130 &amp; "*")</f>
        <v>0</v>
      </c>
      <c r="O130" s="43" t="str">
        <f>COUNTIFS(S22_Emp!$C:$C,"*" &amp; $A130 &amp; "*", S22_S25_Emp!$B:$B, "Bachelor")</f>
        <v>#VALUE!</v>
      </c>
      <c r="P130" s="43" t="str">
        <f>COUNTIFS(S22_Emp!$C:$C,"*" &amp; $A130 &amp; "*", S22_S25_Emp!$B:$B, "Master")</f>
        <v>#VALUE!</v>
      </c>
      <c r="Q130" s="43" t="str">
        <f>COUNTIFS(S22_Emp!$C:$C,"*" &amp; $A130 &amp; "*", S22_S25_Emp!$B:$B, "Doctorate")</f>
        <v>#VALUE!</v>
      </c>
      <c r="R130" s="43" t="str">
        <f t="array" ref="R130">IF(OR(INDEX(S26_CF!X:X, MATCH("*" &amp; $A130 &amp; "*", CompanyList!A:A, 0))=TRUE, INDEX(F25_CF!P:P, MATCH("*" &amp; $A130 &amp; "*", CompanyList!A:A, 0))=TRUE, INDEX(S25_CF!T:T, MATCH("*" &amp; $A130 &amp; "*", CompanyList!A:A, 0))=TRUE, INDEX(S24_CF!W:W, MATCH("*" &amp; $A130 &amp; "*", CompanyList!A:A, 0))=TRUE), "Yes", "No")</f>
        <v>No</v>
      </c>
      <c r="S130" s="43" t="str">
        <f>IF(COUNTIF(S26_CF!$A:$A,"*" &amp; $A130 &amp; "*") &lt;&gt; 0, "Yes", "No")</f>
        <v>Yes</v>
      </c>
      <c r="T130" s="43" t="str">
        <f t="array" ref="T130">INDEX(S26_CF!K:K, MATCH("*" &amp; $A130 &amp; "*", S26_CF!A:A, 0))</f>
        <v>Silver Two-Day [$3000.00]</v>
      </c>
      <c r="U130" s="43" t="str">
        <f>IF(COUNTIF(F25_CF!$A:$A,"*" &amp; $A130 &amp; "*") &lt;&gt; 0, "Yes", "No")</f>
        <v>Yes</v>
      </c>
      <c r="V130" s="43" t="str">
        <f t="array" ref="V130">INDEX(F25_CF!I:I, MATCH("*" &amp; $A130 &amp; "*", F25_CF!$A:$A, 0))</f>
        <v>Silver Two-Day [$3000.00]</v>
      </c>
      <c r="W130" s="43" t="str">
        <f>IF(COUNTIF(S25_CF!$A:$A,"*" &amp; $A130 &amp; "*") &lt;&gt; 0, "Yes", "No")</f>
        <v>Yes</v>
      </c>
      <c r="X130" s="43" t="str">
        <f t="array" ref="X130">INDEX(S25_CF!J:J, MATCH("*" &amp; $A130 &amp; "*", S25_CF!$A:$A, 0))</f>
        <v>Silver Two-Day [$3000.00]</v>
      </c>
      <c r="Y130" s="43" t="str">
        <f>IF(COUNTIF(F24_CF!$A:$A,"*" &amp; $A130 &amp; "*") &lt;&gt; 0, "Yes", "No")</f>
        <v>Yes</v>
      </c>
      <c r="Z130" s="43" t="str">
        <f t="array" ref="Z130">INDEX(F24_CF!N:N, MATCH("*" &amp; $A130 &amp; "*", F24_CF!$A:$A, 0))</f>
        <v>Silver Two-Day [$3000.00]</v>
      </c>
      <c r="AA130" s="43" t="str">
        <f>IF(COUNTIF(S24_CF!$A:$A,"*" &amp; $A130 &amp; "*") &lt;&gt; 0, "Yes", "No")</f>
        <v>Yes</v>
      </c>
      <c r="AB130" s="43" t="str">
        <f t="array" ref="AB130">INDEX(S24_CF!H:H, MATCH("*" &amp; $A130 &amp; "*", S24_CF!$A:$A, 0))</f>
        <v>Silver Two-Day [$3000.00]</v>
      </c>
    </row>
    <row r="131" ht="15.0" customHeight="1">
      <c r="A131" s="52" t="s">
        <v>186</v>
      </c>
      <c r="B131" s="43" t="s">
        <v>52</v>
      </c>
      <c r="C131" s="43"/>
      <c r="D131" s="43"/>
      <c r="E131" s="43"/>
      <c r="F131" s="43">
        <f>COUNTIF(S26_Emp!$C:$C,"*" &amp;A131 &amp; "*")</f>
        <v>0</v>
      </c>
      <c r="G131" s="43">
        <f>COUNTIF(F25_Emp!$C:$C,"*" &amp;#REF! &amp; "*")</f>
        <v>0</v>
      </c>
      <c r="H131" s="43">
        <f>COUNTIF(S25_Emp!$C:$C,"*" &amp; A131 &amp; "*")</f>
        <v>0</v>
      </c>
      <c r="I131" s="43">
        <f>COUNTIF(F24_Emp!$C:$C,"*" &amp; B131 &amp; "*")</f>
        <v>0</v>
      </c>
      <c r="J131" s="43">
        <f>COUNTIF(S24_Emp!$C:$C,"*" &amp; $A131 &amp; "*")</f>
        <v>0</v>
      </c>
      <c r="K131" s="43">
        <f>COUNTIF(F23_Emp!$C:$C,"*" &amp; $A131 &amp; "*")</f>
        <v>0</v>
      </c>
      <c r="L131" s="43">
        <f>COUNTIF(S23_Emp!$C:$C,"*" &amp; $A131 &amp; "*")</f>
        <v>1</v>
      </c>
      <c r="M131" s="43">
        <f>COUNTIF(F22_Emp!$C:$C,"*" &amp; $A131 &amp; "*")</f>
        <v>0</v>
      </c>
      <c r="N131" s="43">
        <f>COUNTIF(S22_Emp!$C:$C,"*" &amp; $A131 &amp; "*")</f>
        <v>0</v>
      </c>
      <c r="O131" s="43" t="str">
        <f>COUNTIFS(S22_Emp!$C:$C,"*" &amp; $A131 &amp; "*", S22_S25_Emp!$B:$B, "Bachelor")</f>
        <v>#VALUE!</v>
      </c>
      <c r="P131" s="43" t="str">
        <f>COUNTIFS(S22_Emp!$C:$C,"*" &amp; $A131 &amp; "*", S22_S25_Emp!$B:$B, "Master")</f>
        <v>#VALUE!</v>
      </c>
      <c r="Q131" s="43" t="str">
        <f>COUNTIFS(S22_Emp!$C:$C,"*" &amp; $A131 &amp; "*", S22_S25_Emp!$B:$B, "Doctorate")</f>
        <v>#VALUE!</v>
      </c>
      <c r="R131" s="43" t="str">
        <f t="array" ref="R131">IF(OR(INDEX(S26_CF!X:X, MATCH("*" &amp; $A131 &amp; "*", CompanyList!A:A, 0))=TRUE, INDEX(F25_CF!P:P, MATCH("*" &amp; $A131 &amp; "*", CompanyList!A:A, 0))=TRUE, INDEX(S25_CF!T:T, MATCH("*" &amp; $A131 &amp; "*", CompanyList!A:A, 0))=TRUE, INDEX(S24_CF!W:W, MATCH("*" &amp; $A131 &amp; "*", CompanyList!A:A, 0))=TRUE), "Yes", "No")</f>
        <v>No</v>
      </c>
      <c r="S131" s="43" t="str">
        <f>IF(COUNTIF(S26_CF!$A:$A,"*" &amp; $A131 &amp; "*") &lt;&gt; 0, "Yes", "No")</f>
        <v>No</v>
      </c>
      <c r="T131" s="43" t="str">
        <f t="array" ref="T131">INDEX(S26_CF!K:K, MATCH("*" &amp; $A131 &amp; "*", S26_CF!A:A, 0))</f>
        <v>#N/A</v>
      </c>
      <c r="U131" s="43" t="str">
        <f>IF(COUNTIF(F25_CF!$A:$A,"*" &amp; $A131 &amp; "*") &lt;&gt; 0, "Yes", "No")</f>
        <v>Yes</v>
      </c>
      <c r="V131" s="43" t="str">
        <f t="array" ref="V131">INDEX(F25_CF!I:I, MATCH("*" &amp; $A131 &amp; "*", F25_CF!$A:$A, 0))</f>
        <v>Basic One-Day: Wednesday, September 10th [$1000.00]</v>
      </c>
      <c r="W131" s="43" t="str">
        <f>IF(COUNTIF(S25_CF!$A:$A,"*" &amp; $A131 &amp; "*") &lt;&gt; 0, "Yes", "No")</f>
        <v>Yes</v>
      </c>
      <c r="X131" s="43" t="str">
        <f t="array" ref="X131">INDEX(S25_CF!J:J, MATCH("*" &amp; $A131 &amp; "*", S25_CF!$A:$A, 0))</f>
        <v>Basic One-Day: Wednesday, January 22nd [$1000.00]</v>
      </c>
      <c r="Y131" s="43" t="str">
        <f>IF(COUNTIF(F24_CF!$A:$A,"*" &amp; $A131 &amp; "*") &lt;&gt; 0, "Yes", "No")</f>
        <v>Yes</v>
      </c>
      <c r="Z131" s="43" t="str">
        <f t="array" ref="Z131">INDEX(F24_CF!N:N, MATCH("*" &amp; $A131 &amp; "*", F24_CF!$A:$A, 0))</f>
        <v>Basic One-Day: Wednesday, September 4th [$1000.00]</v>
      </c>
      <c r="AA131" s="43" t="str">
        <f>IF(COUNTIF(S24_CF!$A:$A,"*" &amp; $A131 &amp; "*") &lt;&gt; 0, "Yes", "No")</f>
        <v>Yes</v>
      </c>
      <c r="AB131" s="43" t="str">
        <f t="array" ref="AB131">INDEX(S24_CF!H:H, MATCH("*" &amp; $A131 &amp; "*", S24_CF!$A:$A, 0))</f>
        <v>Basic One-Day [$1000.00]</v>
      </c>
    </row>
    <row r="132" ht="15.0" customHeight="1">
      <c r="A132" s="52" t="s">
        <v>187</v>
      </c>
      <c r="B132" s="43" t="s">
        <v>52</v>
      </c>
      <c r="C132" s="43"/>
      <c r="D132" s="43"/>
      <c r="E132" s="43"/>
      <c r="F132" s="43">
        <f>COUNTIF(S26_Emp!$C:$C,"*" &amp;A132 &amp; "*")</f>
        <v>0</v>
      </c>
      <c r="G132" s="43">
        <f>COUNTIF(F25_Emp!$C:$C,"*" &amp;#REF! &amp; "*")</f>
        <v>0</v>
      </c>
      <c r="H132" s="43">
        <f>COUNTIF(S25_Emp!$C:$C,"*" &amp; A132 &amp; "*")</f>
        <v>0</v>
      </c>
      <c r="I132" s="43">
        <f>COUNTIF(F24_Emp!$C:$C,"*" &amp; B132 &amp; "*")</f>
        <v>0</v>
      </c>
      <c r="J132" s="43">
        <f>COUNTIF(S24_Emp!$C:$C,"*" &amp; $A132 &amp; "*")</f>
        <v>0</v>
      </c>
      <c r="K132" s="43">
        <f>COUNTIF(F23_Emp!$C:$C,"*" &amp; $A132 &amp; "*")</f>
        <v>0</v>
      </c>
      <c r="L132" s="43">
        <f>COUNTIF(S23_Emp!$C:$C,"*" &amp; $A132 &amp; "*")</f>
        <v>0</v>
      </c>
      <c r="M132" s="43">
        <f>COUNTIF(F22_Emp!$C:$C,"*" &amp; $A132 &amp; "*")</f>
        <v>0</v>
      </c>
      <c r="N132" s="43">
        <f>COUNTIF(S22_Emp!$C:$C,"*" &amp; $A132 &amp; "*")</f>
        <v>0</v>
      </c>
      <c r="O132" s="43" t="str">
        <f>COUNTIFS(S22_Emp!$C:$C,"*" &amp; $A132 &amp; "*", S22_S25_Emp!$B:$B, "Bachelor")</f>
        <v>#VALUE!</v>
      </c>
      <c r="P132" s="43" t="str">
        <f>COUNTIFS(S22_Emp!$C:$C,"*" &amp; $A132 &amp; "*", S22_S25_Emp!$B:$B, "Master")</f>
        <v>#VALUE!</v>
      </c>
      <c r="Q132" s="43" t="str">
        <f>COUNTIFS(S22_Emp!$C:$C,"*" &amp; $A132 &amp; "*", S22_S25_Emp!$B:$B, "Doctorate")</f>
        <v>#VALUE!</v>
      </c>
      <c r="R132" s="43" t="str">
        <f t="array" ref="R132">IF(OR(INDEX(S26_CF!X:X, MATCH("*" &amp; $A132 &amp; "*", CompanyList!A:A, 0))=TRUE, INDEX(F25_CF!P:P, MATCH("*" &amp; $A132 &amp; "*", CompanyList!A:A, 0))=TRUE, INDEX(S25_CF!T:T, MATCH("*" &amp; $A132 &amp; "*", CompanyList!A:A, 0))=TRUE, INDEX(S24_CF!W:W, MATCH("*" &amp; $A132 &amp; "*", CompanyList!A:A, 0))=TRUE), "Yes", "No")</f>
        <v>Yes</v>
      </c>
      <c r="S132" s="43" t="str">
        <f>IF(COUNTIF(S26_CF!$A:$A,"*" &amp; $A132 &amp; "*") &lt;&gt; 0, "Yes", "No")</f>
        <v>Yes</v>
      </c>
      <c r="T132" s="43" t="str">
        <f t="array" ref="T132">INDEX(S26_CF!K:K, MATCH("*" &amp; $A132 &amp; "*", S26_CF!A:A, 0))</f>
        <v>Basic One-Day: Wednesday, January 28th [$1000.00]</v>
      </c>
      <c r="U132" s="43" t="str">
        <f>IF(COUNTIF(F25_CF!$A:$A,"*" &amp; $A132 &amp; "*") &lt;&gt; 0, "Yes", "No")</f>
        <v>Yes</v>
      </c>
      <c r="V132" s="43" t="str">
        <f t="array" ref="V132">INDEX(F25_CF!I:I, MATCH("*" &amp; $A132 &amp; "*", F25_CF!$A:$A, 0))</f>
        <v>Basic One-Day: Thursday, September 11th [$1000.00]</v>
      </c>
      <c r="W132" s="43" t="str">
        <f>IF(COUNTIF(S25_CF!$A:$A,"*" &amp; $A132 &amp; "*") &lt;&gt; 0, "Yes", "No")</f>
        <v>Yes</v>
      </c>
      <c r="X132" s="43" t="str">
        <f t="array" ref="X132">INDEX(S25_CF!J:J, MATCH("*" &amp; $A132 &amp; "*", S25_CF!$A:$A, 0))</f>
        <v>Basic One-Day: Thursday, January 23rd [$1000.00]</v>
      </c>
      <c r="Y132" s="43" t="str">
        <f>IF(COUNTIF(F24_CF!$A:$A,"*" &amp; $A132 &amp; "*") &lt;&gt; 0, "Yes", "No")</f>
        <v>Yes</v>
      </c>
      <c r="Z132" s="43" t="str">
        <f t="array" ref="Z132">INDEX(F24_CF!N:N, MATCH("*" &amp; $A132 &amp; "*", F24_CF!$A:$A, 0))</f>
        <v>Basic One-Day: Thursday, September 5th [$1000.00]</v>
      </c>
      <c r="AA132" s="43" t="str">
        <f>IF(COUNTIF(S24_CF!$A:$A,"*" &amp; $A132 &amp; "*") &lt;&gt; 0, "Yes", "No")</f>
        <v>Yes</v>
      </c>
      <c r="AB132" s="43" t="str">
        <f t="array" ref="AB132">INDEX(S24_CF!H:H, MATCH("*" &amp; $A132 &amp; "*", S24_CF!$A:$A, 0))</f>
        <v>Basic One-Day [$1000.00]</v>
      </c>
    </row>
    <row r="133" ht="15.0" customHeight="1">
      <c r="A133" s="52" t="s">
        <v>188</v>
      </c>
      <c r="B133" s="43" t="s">
        <v>52</v>
      </c>
      <c r="C133" s="43"/>
      <c r="D133" s="43"/>
      <c r="E133" s="43"/>
      <c r="F133" s="43">
        <f>COUNTIF(S26_Emp!$C:$C,"*" &amp;A133 &amp; "*")</f>
        <v>0</v>
      </c>
      <c r="G133" s="43">
        <f>COUNTIF(F25_Emp!$C:$C,"*" &amp;#REF! &amp; "*")</f>
        <v>0</v>
      </c>
      <c r="H133" s="43">
        <f>COUNTIF(S25_Emp!$C:$C,"*" &amp; A133 &amp; "*")</f>
        <v>0</v>
      </c>
      <c r="I133" s="43">
        <f>COUNTIF(F24_Emp!$C:$C,"*" &amp; B133 &amp; "*")</f>
        <v>0</v>
      </c>
      <c r="J133" s="43">
        <f>COUNTIF(S24_Emp!$C:$C,"*" &amp; $A133 &amp; "*")</f>
        <v>0</v>
      </c>
      <c r="K133" s="43">
        <f>COUNTIF(F23_Emp!$C:$C,"*" &amp; $A133 &amp; "*")</f>
        <v>0</v>
      </c>
      <c r="L133" s="43">
        <f>COUNTIF(S23_Emp!$C:$C,"*" &amp; $A133 &amp; "*")</f>
        <v>1</v>
      </c>
      <c r="M133" s="43">
        <f>COUNTIF(F22_Emp!$C:$C,"*" &amp; $A133 &amp; "*")</f>
        <v>1</v>
      </c>
      <c r="N133" s="43">
        <f>COUNTIF(S22_Emp!$C:$C,"*" &amp; $A133 &amp; "*")</f>
        <v>1</v>
      </c>
      <c r="O133" s="43" t="str">
        <f>COUNTIFS(S22_Emp!$C:$C,"*" &amp; $A133 &amp; "*", S22_S25_Emp!$B:$B, "Bachelor")</f>
        <v>#VALUE!</v>
      </c>
      <c r="P133" s="43" t="str">
        <f>COUNTIFS(S22_Emp!$C:$C,"*" &amp; $A133 &amp; "*", S22_S25_Emp!$B:$B, "Master")</f>
        <v>#VALUE!</v>
      </c>
      <c r="Q133" s="43" t="str">
        <f>COUNTIFS(S22_Emp!$C:$C,"*" &amp; $A133 &amp; "*", S22_S25_Emp!$B:$B, "Doctorate")</f>
        <v>#VALUE!</v>
      </c>
      <c r="R133" s="43" t="str">
        <f t="array" ref="R133">IF(OR(INDEX(S26_CF!X:X, MATCH("*" &amp; $A133 &amp; "*", CompanyList!A:A, 0))=TRUE, INDEX(F25_CF!P:P, MATCH("*" &amp; $A133 &amp; "*", CompanyList!A:A, 0))=TRUE, INDEX(S25_CF!T:T, MATCH("*" &amp; $A133 &amp; "*", CompanyList!A:A, 0))=TRUE, INDEX(S24_CF!W:W, MATCH("*" &amp; $A133 &amp; "*", CompanyList!A:A, 0))=TRUE), "Yes", "No")</f>
        <v>No</v>
      </c>
      <c r="S133" s="43" t="str">
        <f>IF(COUNTIF(S26_CF!$A:$A,"*" &amp; $A133 &amp; "*") &lt;&gt; 0, "Yes", "No")</f>
        <v>No</v>
      </c>
      <c r="T133" s="43" t="str">
        <f t="array" ref="T133">INDEX(S26_CF!K:K, MATCH("*" &amp; $A133 &amp; "*", S26_CF!A:A, 0))</f>
        <v>#N/A</v>
      </c>
      <c r="U133" s="43" t="str">
        <f>IF(COUNTIF(F25_CF!$A:$A,"*" &amp; $A133 &amp; "*") &lt;&gt; 0, "Yes", "No")</f>
        <v>Yes</v>
      </c>
      <c r="V133" s="43" t="str">
        <f t="array" ref="V133">INDEX(F25_CF!I:I, MATCH("*" &amp; $A133 &amp; "*", F25_CF!$A:$A, 0))</f>
        <v>Basic Two-Day [$2000.00]</v>
      </c>
      <c r="W133" s="43" t="str">
        <f>IF(COUNTIF(S25_CF!$A:$A,"*" &amp; $A133 &amp; "*") &lt;&gt; 0, "Yes", "No")</f>
        <v>Yes</v>
      </c>
      <c r="X133" s="43" t="str">
        <f t="array" ref="X133">INDEX(S25_CF!J:J, MATCH("*" &amp; $A133 &amp; "*", S25_CF!$A:$A, 0))</f>
        <v>Basic One-Day: Wednesday, January 22nd [$1000.00]</v>
      </c>
      <c r="Y133" s="43" t="str">
        <f>IF(COUNTIF(F24_CF!$A:$A,"*" &amp; $A133 &amp; "*") &lt;&gt; 0, "Yes", "No")</f>
        <v>Yes</v>
      </c>
      <c r="Z133" s="43" t="str">
        <f t="array" ref="Z133">INDEX(F24_CF!N:N, MATCH("*" &amp; $A133 &amp; "*", F24_CF!$A:$A, 0))</f>
        <v>Basic One-Day: Thursday, September 5th [$1000.00]</v>
      </c>
      <c r="AA133" s="43" t="str">
        <f>IF(COUNTIF(S24_CF!$A:$A,"*" &amp; $A133 &amp; "*") &lt;&gt; 0, "Yes", "No")</f>
        <v>Yes</v>
      </c>
      <c r="AB133" s="43" t="str">
        <f t="array" ref="AB133">INDEX(S24_CF!H:H, MATCH("*" &amp; $A133 &amp; "*", S24_CF!$A:$A, 0))</f>
        <v>Basic One-Day [$1000.00]</v>
      </c>
    </row>
    <row r="134" ht="15.0" customHeight="1">
      <c r="A134" s="52" t="s">
        <v>189</v>
      </c>
      <c r="B134" s="43" t="s">
        <v>54</v>
      </c>
      <c r="C134" s="43">
        <v>900.0</v>
      </c>
      <c r="D134" s="43">
        <v>4000.0</v>
      </c>
      <c r="E134" s="43">
        <v>15.0</v>
      </c>
      <c r="F134" s="43">
        <f>COUNTIF(S26_Emp!$C:$C,"*" &amp;A134 &amp; "*")</f>
        <v>0</v>
      </c>
      <c r="G134" s="43">
        <f>COUNTIF(F25_Emp!$C:$C,"*" &amp;#REF! &amp; "*")</f>
        <v>0</v>
      </c>
      <c r="H134" s="43">
        <f>COUNTIF(S25_Emp!$C:$C,"*" &amp; A134 &amp; "*")</f>
        <v>0</v>
      </c>
      <c r="I134" s="43">
        <f>COUNTIF(F24_Emp!$C:$C,"*" &amp; B134 &amp; "*")</f>
        <v>1</v>
      </c>
      <c r="J134" s="43">
        <f>COUNTIF(S24_Emp!$C:$C,"*" &amp; $A134 &amp; "*")</f>
        <v>1</v>
      </c>
      <c r="K134" s="43">
        <f>COUNTIF(F23_Emp!$C:$C,"*" &amp; $A134 &amp; "*")</f>
        <v>1</v>
      </c>
      <c r="L134" s="43">
        <f>COUNTIF(S23_Emp!$C:$C,"*" &amp; $A134 &amp; "*")</f>
        <v>2</v>
      </c>
      <c r="M134" s="43">
        <f>COUNTIF(F22_Emp!$C:$C,"*" &amp; $A134 &amp; "*")</f>
        <v>1</v>
      </c>
      <c r="N134" s="43">
        <f>COUNTIF(S22_Emp!$C:$C,"*" &amp; $A134 &amp; "*")</f>
        <v>3</v>
      </c>
      <c r="O134" s="43" t="str">
        <f>COUNTIFS(S22_Emp!$C:$C,"*" &amp; $A134 &amp; "*", S22_S25_Emp!$B:$B, "Bachelor")</f>
        <v>#VALUE!</v>
      </c>
      <c r="P134" s="43" t="str">
        <f>COUNTIFS(S22_Emp!$C:$C,"*" &amp; $A134 &amp; "*", S22_S25_Emp!$B:$B, "Master")</f>
        <v>#VALUE!</v>
      </c>
      <c r="Q134" s="43" t="str">
        <f>COUNTIFS(S22_Emp!$C:$C,"*" &amp; $A134 &amp; "*", S22_S25_Emp!$B:$B, "Doctorate")</f>
        <v>#VALUE!</v>
      </c>
      <c r="R134" s="43" t="str">
        <f t="array" ref="R134">IF(OR(INDEX(S26_CF!X:X, MATCH("*" &amp; $A134 &amp; "*", CompanyList!A:A, 0))=TRUE, INDEX(F25_CF!P:P, MATCH("*" &amp; $A134 &amp; "*", CompanyList!A:A, 0))=TRUE, INDEX(S25_CF!T:T, MATCH("*" &amp; $A134 &amp; "*", CompanyList!A:A, 0))=TRUE, INDEX(S24_CF!W:W, MATCH("*" &amp; $A134 &amp; "*", CompanyList!A:A, 0))=TRUE), "Yes", "No")</f>
        <v>No</v>
      </c>
      <c r="S134" s="43" t="str">
        <f>IF(COUNTIF(S26_CF!$A:$A,"*" &amp; $A134 &amp; "*") &lt;&gt; 0, "Yes", "No")</f>
        <v>Yes</v>
      </c>
      <c r="T134" s="43" t="str">
        <f t="array" ref="T134">INDEX(S26_CF!K:K, MATCH("*" &amp; $A134 &amp; "*", S26_CF!A:A, 0))</f>
        <v>Silver One-Day: Wednesday, January 28th [$1800.00]</v>
      </c>
      <c r="U134" s="43" t="str">
        <f>IF(COUNTIF(F25_CF!$A:$A,"*" &amp; $A134 &amp; "*") &lt;&gt; 0, "Yes", "No")</f>
        <v>Yes</v>
      </c>
      <c r="V134" s="43" t="str">
        <f t="array" ref="V134">INDEX(F25_CF!I:I, MATCH("*" &amp; $A134 &amp; "*", F25_CF!$A:$A, 0))</f>
        <v>Silver One-Day: Wednesday, September 10th [$1800.00]</v>
      </c>
      <c r="W134" s="43" t="str">
        <f>IF(COUNTIF(S25_CF!$A:$A,"*" &amp; $A134 &amp; "*") &lt;&gt; 0, "Yes", "No")</f>
        <v>No</v>
      </c>
      <c r="X134" s="43" t="str">
        <f t="array" ref="X134">INDEX(S25_CF!J:J, MATCH("*" &amp; $A134 &amp; "*", S25_CF!$A:$A, 0))</f>
        <v>#N/A</v>
      </c>
      <c r="Y134" s="43" t="str">
        <f>IF(COUNTIF(F24_CF!$A:$A,"*" &amp; $A134 &amp; "*") &lt;&gt; 0, "Yes", "No")</f>
        <v>Yes</v>
      </c>
      <c r="Z134" s="43" t="str">
        <f t="array" ref="Z134">INDEX(F24_CF!N:N, MATCH("*" &amp; $A134 &amp; "*", F24_CF!$A:$A, 0))</f>
        <v>Silver One-Day: Wednesday, September 4th [$1800.00]</v>
      </c>
      <c r="AA134" s="43" t="str">
        <f>IF(COUNTIF(S24_CF!$A:$A,"*" &amp; $A134 &amp; "*") &lt;&gt; 0, "Yes", "No")</f>
        <v>Yes</v>
      </c>
      <c r="AB134" s="43" t="str">
        <f t="array" ref="AB134">INDEX(S24_CF!H:H, MATCH("*" &amp; $A134 &amp; "*", S24_CF!$A:$A, 0))</f>
        <v>Basic One-Day [$1000.00]</v>
      </c>
    </row>
    <row r="135" ht="15.0" customHeight="1">
      <c r="A135" s="52" t="s">
        <v>190</v>
      </c>
      <c r="B135" s="43" t="s">
        <v>52</v>
      </c>
      <c r="C135" s="43"/>
      <c r="D135" s="43"/>
      <c r="E135" s="43"/>
      <c r="F135" s="43">
        <f>COUNTIF(S26_Emp!$C:$C,"*" &amp;A135 &amp; "*")</f>
        <v>0</v>
      </c>
      <c r="G135" s="43">
        <f>COUNTIF(F25_Emp!$C:$C,"*" &amp;#REF! &amp; "*")</f>
        <v>0</v>
      </c>
      <c r="H135" s="43">
        <f>COUNTIF(S25_Emp!$C:$C,"*" &amp; A135 &amp; "*")</f>
        <v>0</v>
      </c>
      <c r="I135" s="43">
        <f>COUNTIF(F24_Emp!$C:$C,"*" &amp; B135 &amp; "*")</f>
        <v>0</v>
      </c>
      <c r="J135" s="43">
        <f>COUNTIF(S24_Emp!$C:$C,"*" &amp; $A135 &amp; "*")</f>
        <v>0</v>
      </c>
      <c r="K135" s="43">
        <f>COUNTIF(F23_Emp!$C:$C,"*" &amp; $A135 &amp; "*")</f>
        <v>0</v>
      </c>
      <c r="L135" s="43">
        <f>COUNTIF(S23_Emp!$C:$C,"*" &amp; $A135 &amp; "*")</f>
        <v>0</v>
      </c>
      <c r="M135" s="43">
        <f>COUNTIF(F22_Emp!$C:$C,"*" &amp; $A135 &amp; "*")</f>
        <v>0</v>
      </c>
      <c r="N135" s="43">
        <f>COUNTIF(S22_Emp!$C:$C,"*" &amp; $A135 &amp; "*")</f>
        <v>0</v>
      </c>
      <c r="O135" s="43" t="str">
        <f>COUNTIFS(S22_Emp!$C:$C,"*" &amp; $A135 &amp; "*", S22_S25_Emp!$B:$B, "Bachelor")</f>
        <v>#VALUE!</v>
      </c>
      <c r="P135" s="43" t="str">
        <f>COUNTIFS(S22_Emp!$C:$C,"*" &amp; $A135 &amp; "*", S22_S25_Emp!$B:$B, "Master")</f>
        <v>#VALUE!</v>
      </c>
      <c r="Q135" s="43" t="str">
        <f>COUNTIFS(S22_Emp!$C:$C,"*" &amp; $A135 &amp; "*", S22_S25_Emp!$B:$B, "Doctorate")</f>
        <v>#VALUE!</v>
      </c>
      <c r="R135" s="43" t="str">
        <f t="array" ref="R135">IF(OR(INDEX(S26_CF!X:X, MATCH("*" &amp; $A135 &amp; "*", CompanyList!A:A, 0))=TRUE, INDEX(F25_CF!P:P, MATCH("*" &amp; $A135 &amp; "*", CompanyList!A:A, 0))=TRUE, INDEX(S25_CF!T:T, MATCH("*" &amp; $A135 &amp; "*", CompanyList!A:A, 0))=TRUE, INDEX(S24_CF!W:W, MATCH("*" &amp; $A135 &amp; "*", CompanyList!A:A, 0))=TRUE), "Yes", "No")</f>
        <v>No</v>
      </c>
      <c r="S135" s="43" t="str">
        <f>IF(COUNTIF(S26_CF!$A:$A,"*" &amp; $A135 &amp; "*") &lt;&gt; 0, "Yes", "No")</f>
        <v>Yes</v>
      </c>
      <c r="T135" s="43" t="str">
        <f t="array" ref="T135">INDEX(S26_CF!K:K, MATCH("*" &amp; $A135 &amp; "*", S26_CF!A:A, 0))</f>
        <v>Basic One-Day: Wednesday, January 28th [$1000.00]</v>
      </c>
      <c r="U135" s="43" t="str">
        <f>IF(COUNTIF(F25_CF!$A:$A,"*" &amp; $A135 &amp; "*") &lt;&gt; 0, "Yes", "No")</f>
        <v>Yes</v>
      </c>
      <c r="V135" s="43" t="str">
        <f t="array" ref="V135">INDEX(F25_CF!I:I, MATCH("*" &amp; $A135 &amp; "*", F25_CF!$A:$A, 0))</f>
        <v>Basic Two-Day [$2000.00]</v>
      </c>
      <c r="W135" s="43" t="str">
        <f>IF(COUNTIF(S25_CF!$A:$A,"*" &amp; $A135 &amp; "*") &lt;&gt; 0, "Yes", "No")</f>
        <v>Yes</v>
      </c>
      <c r="X135" s="43" t="str">
        <f t="array" ref="X135">INDEX(S25_CF!J:J, MATCH("*" &amp; $A135 &amp; "*", S25_CF!$A:$A, 0))</f>
        <v>Basic Two-Day [$2000.00]</v>
      </c>
      <c r="Y135" s="43" t="str">
        <f>IF(COUNTIF(F24_CF!$A:$A,"*" &amp; $A135 &amp; "*") &lt;&gt; 0, "Yes", "No")</f>
        <v>Yes</v>
      </c>
      <c r="Z135" s="43" t="str">
        <f t="array" ref="Z135">INDEX(F24_CF!N:N, MATCH("*" &amp; $A135 &amp; "*", F24_CF!$A:$A, 0))</f>
        <v>Basic Two-Day [$2000.00]</v>
      </c>
      <c r="AA135" s="43" t="str">
        <f>IF(COUNTIF(S24_CF!$A:$A,"*" &amp; $A135 &amp; "*") &lt;&gt; 0, "Yes", "No")</f>
        <v>Yes</v>
      </c>
      <c r="AB135" s="43" t="str">
        <f t="array" ref="AB135">INDEX(S24_CF!H:H, MATCH("*" &amp; $A135 &amp; "*", S24_CF!$A:$A, 0))</f>
        <v>Basic Two-Day [$2000.00]</v>
      </c>
    </row>
    <row r="136" ht="15.0" customHeight="1">
      <c r="A136" s="52" t="s">
        <v>191</v>
      </c>
      <c r="B136" s="43" t="s">
        <v>54</v>
      </c>
      <c r="C136" s="43">
        <v>150000.0</v>
      </c>
      <c r="D136" s="43">
        <v>18000.0</v>
      </c>
      <c r="E136" s="43">
        <v>80.0</v>
      </c>
      <c r="F136" s="43">
        <f>COUNTIF(S26_Emp!$C:$C,"*" &amp;A136 &amp; "*")</f>
        <v>0</v>
      </c>
      <c r="G136" s="43">
        <f>COUNTIF(F25_Emp!$C:$C,"*" &amp;#REF! &amp; "*")</f>
        <v>0</v>
      </c>
      <c r="H136" s="43">
        <f>COUNTIF(S25_Emp!$C:$C,"*" &amp; A136 &amp; "*")</f>
        <v>0</v>
      </c>
      <c r="I136" s="43">
        <f>COUNTIF(F24_Emp!$C:$C,"*" &amp; B136 &amp; "*")</f>
        <v>1</v>
      </c>
      <c r="J136" s="43">
        <f>COUNTIF(S24_Emp!$C:$C,"*" &amp; $A136 &amp; "*")</f>
        <v>1</v>
      </c>
      <c r="K136" s="43">
        <f>COUNTIF(F23_Emp!$C:$C,"*" &amp; $A136 &amp; "*")</f>
        <v>0</v>
      </c>
      <c r="L136" s="43">
        <f>COUNTIF(S23_Emp!$C:$C,"*" &amp; $A136 &amp; "*")</f>
        <v>1</v>
      </c>
      <c r="M136" s="43">
        <f>COUNTIF(F22_Emp!$C:$C,"*" &amp; $A136 &amp; "*")</f>
        <v>2</v>
      </c>
      <c r="N136" s="43">
        <f>COUNTIF(S22_Emp!$C:$C,"*" &amp; $A136 &amp; "*")</f>
        <v>0</v>
      </c>
      <c r="O136" s="43" t="str">
        <f>COUNTIFS(S22_Emp!$C:$C,"*" &amp; $A136 &amp; "*", S22_S25_Emp!$B:$B, "Bachelor")</f>
        <v>#VALUE!</v>
      </c>
      <c r="P136" s="43" t="str">
        <f>COUNTIFS(S22_Emp!$C:$C,"*" &amp; $A136 &amp; "*", S22_S25_Emp!$B:$B, "Master")</f>
        <v>#VALUE!</v>
      </c>
      <c r="Q136" s="43" t="str">
        <f>COUNTIFS(S22_Emp!$C:$C,"*" &amp; $A136 &amp; "*", S22_S25_Emp!$B:$B, "Doctorate")</f>
        <v>#VALUE!</v>
      </c>
      <c r="R136" s="43" t="str">
        <f t="array" ref="R136">IF(OR(INDEX(S26_CF!X:X, MATCH("*" &amp; $A136 &amp; "*", CompanyList!A:A, 0))=TRUE, INDEX(F25_CF!P:P, MATCH("*" &amp; $A136 &amp; "*", CompanyList!A:A, 0))=TRUE, INDEX(S25_CF!T:T, MATCH("*" &amp; $A136 &amp; "*", CompanyList!A:A, 0))=TRUE, INDEX(S24_CF!W:W, MATCH("*" &amp; $A136 &amp; "*", CompanyList!A:A, 0))=TRUE), "Yes", "No")</f>
        <v>No</v>
      </c>
      <c r="S136" s="43" t="str">
        <f>IF(COUNTIF(S26_CF!$A:$A,"*" &amp; $A136 &amp; "*") &lt;&gt; 0, "Yes", "No")</f>
        <v>No</v>
      </c>
      <c r="T136" s="43" t="str">
        <f t="array" ref="T136">INDEX(S26_CF!K:K, MATCH("*" &amp; $A136 &amp; "*", S26_CF!A:A, 0))</f>
        <v>#N/A</v>
      </c>
      <c r="U136" s="43" t="str">
        <f>IF(COUNTIF(F25_CF!$A:$A,"*" &amp; $A136 &amp; "*") &lt;&gt; 0, "Yes", "No")</f>
        <v>No</v>
      </c>
      <c r="V136" s="43" t="str">
        <f t="array" ref="V136">INDEX(F25_CF!I:I, MATCH("*" &amp; $A136 &amp; "*", F25_CF!$A:$A, 0))</f>
        <v>#N/A</v>
      </c>
      <c r="W136" s="43" t="str">
        <f>IF(COUNTIF(S25_CF!$A:$A,"*" &amp; $A136 &amp; "*") &lt;&gt; 0, "Yes", "No")</f>
        <v>No</v>
      </c>
      <c r="X136" s="43" t="str">
        <f t="array" ref="X136">INDEX(S25_CF!J:J, MATCH("*" &amp; $A136 &amp; "*", S25_CF!$A:$A, 0))</f>
        <v>#N/A</v>
      </c>
      <c r="Y136" s="43" t="str">
        <f>IF(COUNTIF(F24_CF!$A:$A,"*" &amp; $A136 &amp; "*") &lt;&gt; 0, "Yes", "No")</f>
        <v>Yes</v>
      </c>
      <c r="Z136" s="43" t="str">
        <f t="array" ref="Z136">INDEX(F24_CF!N:N, MATCH("*" &amp; $A136 &amp; "*", F24_CF!$A:$A, 0))</f>
        <v>Gold Two-Day [$5500.00]</v>
      </c>
      <c r="AA136" s="43" t="str">
        <f>IF(COUNTIF(S24_CF!$A:$A,"*" &amp; $A136 &amp; "*") &lt;&gt; 0, "Yes", "No")</f>
        <v>Yes</v>
      </c>
      <c r="AB136" s="43" t="str">
        <f t="array" ref="AB136">INDEX(S24_CF!H:H, MATCH("*" &amp; $A136 &amp; "*", S24_CF!$A:$A, 0))</f>
        <v>Basic Two-Day [$2000.00]</v>
      </c>
    </row>
    <row r="137" ht="15.0" customHeight="1">
      <c r="A137" s="52" t="s">
        <v>192</v>
      </c>
      <c r="B137" s="43" t="s">
        <v>52</v>
      </c>
      <c r="C137" s="43"/>
      <c r="D137" s="43"/>
      <c r="E137" s="43"/>
      <c r="F137" s="43">
        <f>COUNTIF(S26_Emp!$C:$C,"*" &amp;A137 &amp; "*")</f>
        <v>0</v>
      </c>
      <c r="G137" s="43">
        <f>COUNTIF(F25_Emp!$C:$C,"*" &amp;#REF! &amp; "*")</f>
        <v>0</v>
      </c>
      <c r="H137" s="43">
        <f>COUNTIF(S25_Emp!$C:$C,"*" &amp; A137 &amp; "*")</f>
        <v>0</v>
      </c>
      <c r="I137" s="43">
        <f>COUNTIF(F24_Emp!$C:$C,"*" &amp; B137 &amp; "*")</f>
        <v>0</v>
      </c>
      <c r="J137" s="43">
        <f>COUNTIF(S24_Emp!$C:$C,"*" &amp; $A137 &amp; "*")</f>
        <v>0</v>
      </c>
      <c r="K137" s="43">
        <f>COUNTIF(F23_Emp!$C:$C,"*" &amp; $A137 &amp; "*")</f>
        <v>0</v>
      </c>
      <c r="L137" s="43">
        <f>COUNTIF(S23_Emp!$C:$C,"*" &amp; $A137 &amp; "*")</f>
        <v>0</v>
      </c>
      <c r="M137" s="43">
        <f>COUNTIF(F22_Emp!$C:$C,"*" &amp; $A137 &amp; "*")</f>
        <v>0</v>
      </c>
      <c r="N137" s="43">
        <f>COUNTIF(S22_Emp!$C:$C,"*" &amp; $A137 &amp; "*")</f>
        <v>0</v>
      </c>
      <c r="O137" s="43" t="str">
        <f>COUNTIFS(S22_Emp!$C:$C,"*" &amp; $A137 &amp; "*", S22_S25_Emp!$B:$B, "Bachelor")</f>
        <v>#VALUE!</v>
      </c>
      <c r="P137" s="43" t="str">
        <f>COUNTIFS(S22_Emp!$C:$C,"*" &amp; $A137 &amp; "*", S22_S25_Emp!$B:$B, "Master")</f>
        <v>#VALUE!</v>
      </c>
      <c r="Q137" s="43" t="str">
        <f>COUNTIFS(S22_Emp!$C:$C,"*" &amp; $A137 &amp; "*", S22_S25_Emp!$B:$B, "Doctorate")</f>
        <v>#VALUE!</v>
      </c>
      <c r="R137" s="43" t="str">
        <f t="array" ref="R137">IF(OR(INDEX(S26_CF!X:X, MATCH("*" &amp; $A137 &amp; "*", CompanyList!A:A, 0))=TRUE, INDEX(F25_CF!P:P, MATCH("*" &amp; $A137 &amp; "*", CompanyList!A:A, 0))=TRUE, INDEX(S25_CF!T:T, MATCH("*" &amp; $A137 &amp; "*", CompanyList!A:A, 0))=TRUE, INDEX(S24_CF!W:W, MATCH("*" &amp; $A137 &amp; "*", CompanyList!A:A, 0))=TRUE), "Yes", "No")</f>
        <v>No</v>
      </c>
      <c r="S137" s="43" t="str">
        <f>IF(COUNTIF(S26_CF!$A:$A,"*" &amp; $A137 &amp; "*") &lt;&gt; 0, "Yes", "No")</f>
        <v>Yes</v>
      </c>
      <c r="T137" s="43" t="str">
        <f t="array" ref="T137">INDEX(S26_CF!K:K, MATCH("*" &amp; $A137 &amp; "*", S26_CF!A:A, 0))</f>
        <v>Basic One-Day: Wednesday, January 28th [$1000.00]</v>
      </c>
      <c r="U137" s="43" t="str">
        <f>IF(COUNTIF(F25_CF!$A:$A,"*" &amp; $A137 &amp; "*") &lt;&gt; 0, "Yes", "No")</f>
        <v>Yes</v>
      </c>
      <c r="V137" s="43" t="str">
        <f t="array" ref="V137">INDEX(F25_CF!I:I, MATCH("*" &amp; $A137 &amp; "*", F25_CF!$A:$A, 0))</f>
        <v>Basic One-Day: Wednesday, September 10th [$1000.00]</v>
      </c>
      <c r="W137" s="43" t="str">
        <f>IF(COUNTIF(S25_CF!$A:$A,"*" &amp; $A137 &amp; "*") &lt;&gt; 0, "Yes", "No")</f>
        <v>No</v>
      </c>
      <c r="X137" s="43" t="str">
        <f t="array" ref="X137">INDEX(S25_CF!J:J, MATCH("*" &amp; $A137 &amp; "*", S25_CF!$A:$A, 0))</f>
        <v>#N/A</v>
      </c>
      <c r="Y137" s="43" t="str">
        <f>IF(COUNTIF(F24_CF!$A:$A,"*" &amp; $A137 &amp; "*") &lt;&gt; 0, "Yes", "No")</f>
        <v>Yes</v>
      </c>
      <c r="Z137" s="43" t="str">
        <f t="array" ref="Z137">INDEX(F24_CF!N:N, MATCH("*" &amp; $A137 &amp; "*", F24_CF!$A:$A, 0))</f>
        <v>Basic One-Day: Wednesday, September 4th [$1000.00]</v>
      </c>
      <c r="AA137" s="43" t="str">
        <f>IF(COUNTIF(S24_CF!$A:$A,"*" &amp; $A137 &amp; "*") &lt;&gt; 0, "Yes", "No")</f>
        <v>Yes</v>
      </c>
      <c r="AB137" s="43" t="str">
        <f t="array" ref="AB137">INDEX(S24_CF!H:H, MATCH("*" &amp; $A137 &amp; "*", S24_CF!$A:$A, 0))</f>
        <v>Basic One-Day [$1000.00]</v>
      </c>
    </row>
    <row r="138" ht="15.0" customHeight="1">
      <c r="A138" s="52" t="s">
        <v>193</v>
      </c>
      <c r="B138" s="43" t="s">
        <v>54</v>
      </c>
      <c r="C138" s="43">
        <v>2800.0</v>
      </c>
      <c r="D138" s="43">
        <v>350.0</v>
      </c>
      <c r="E138" s="43">
        <v>8.0</v>
      </c>
      <c r="F138" s="43">
        <f>COUNTIF(S26_Emp!$C:$C,"*" &amp;A138 &amp; "*")</f>
        <v>0</v>
      </c>
      <c r="G138" s="43">
        <f>COUNTIF(F25_Emp!$C:$C,"*" &amp;#REF! &amp; "*")</f>
        <v>0</v>
      </c>
      <c r="H138" s="43">
        <f>COUNTIF(S25_Emp!$C:$C,"*" &amp; A138 &amp; "*")</f>
        <v>2</v>
      </c>
      <c r="I138" s="43">
        <f>COUNTIF(F24_Emp!$C:$C,"*" &amp; B138 &amp; "*")</f>
        <v>1</v>
      </c>
      <c r="J138" s="43">
        <f>COUNTIF(S24_Emp!$C:$C,"*" &amp; $A138 &amp; "*")</f>
        <v>0</v>
      </c>
      <c r="K138" s="43">
        <f>COUNTIF(F23_Emp!$C:$C,"*" &amp; $A138 &amp; "*")</f>
        <v>1</v>
      </c>
      <c r="L138" s="43">
        <f>COUNTIF(S23_Emp!$C:$C,"*" &amp; $A138 &amp; "*")</f>
        <v>1</v>
      </c>
      <c r="M138" s="43">
        <f>COUNTIF(F22_Emp!$C:$C,"*" &amp; $A138 &amp; "*")</f>
        <v>0</v>
      </c>
      <c r="N138" s="43">
        <f>COUNTIF(S22_Emp!$C:$C,"*" &amp; $A138 &amp; "*")</f>
        <v>2</v>
      </c>
      <c r="O138" s="43" t="str">
        <f>COUNTIFS(S22_Emp!$C:$C,"*" &amp; $A138 &amp; "*", S22_S25_Emp!$B:$B, "Bachelor")</f>
        <v>#VALUE!</v>
      </c>
      <c r="P138" s="43" t="str">
        <f>COUNTIFS(S22_Emp!$C:$C,"*" &amp; $A138 &amp; "*", S22_S25_Emp!$B:$B, "Master")</f>
        <v>#VALUE!</v>
      </c>
      <c r="Q138" s="43" t="str">
        <f>COUNTIFS(S22_Emp!$C:$C,"*" &amp; $A138 &amp; "*", S22_S25_Emp!$B:$B, "Doctorate")</f>
        <v>#VALUE!</v>
      </c>
      <c r="R138" s="43" t="str">
        <f t="array" ref="R138">IF(OR(INDEX(S26_CF!X:X, MATCH("*" &amp; $A138 &amp; "*", CompanyList!A:A, 0))=TRUE, INDEX(F25_CF!P:P, MATCH("*" &amp; $A138 &amp; "*", CompanyList!A:A, 0))=TRUE, INDEX(S25_CF!T:T, MATCH("*" &amp; $A138 &amp; "*", CompanyList!A:A, 0))=TRUE, INDEX(S24_CF!W:W, MATCH("*" &amp; $A138 &amp; "*", CompanyList!A:A, 0))=TRUE), "Yes", "No")</f>
        <v>No</v>
      </c>
      <c r="S138" s="43" t="str">
        <f>IF(COUNTIF(S26_CF!$A:$A,"*" &amp; $A138 &amp; "*") &lt;&gt; 0, "Yes", "No")</f>
        <v>Yes</v>
      </c>
      <c r="T138" s="43" t="str">
        <f t="array" ref="T138">INDEX(S26_CF!K:K, MATCH("*" &amp; $A138 &amp; "*", S26_CF!A:A, 0))</f>
        <v>Gold One-Day: Wednesday, January 28th [$2500.00]</v>
      </c>
      <c r="U138" s="43" t="str">
        <f>IF(COUNTIF(F25_CF!$A:$A,"*" &amp; $A138 &amp; "*") &lt;&gt; 0, "Yes", "No")</f>
        <v>Yes</v>
      </c>
      <c r="V138" s="43" t="str">
        <f t="array" ref="V138">INDEX(F25_CF!I:I, MATCH("*" &amp; $A138 &amp; "*", F25_CF!$A:$A, 0))</f>
        <v>Gold Two-Day [$5500.00]</v>
      </c>
      <c r="W138" s="43" t="str">
        <f>IF(COUNTIF(S25_CF!$A:$A,"*" &amp; $A138 &amp; "*") &lt;&gt; 0, "Yes", "No")</f>
        <v>Yes</v>
      </c>
      <c r="X138" s="43" t="str">
        <f t="array" ref="X138">INDEX(S25_CF!J:J, MATCH("*" &amp; $A138 &amp; "*", S25_CF!$A:$A, 0))</f>
        <v>Gold Two-Day [$5500.00]</v>
      </c>
      <c r="Y138" s="43" t="str">
        <f>IF(COUNTIF(F24_CF!$A:$A,"*" &amp; $A138 &amp; "*") &lt;&gt; 0, "Yes", "No")</f>
        <v>Yes</v>
      </c>
      <c r="Z138" s="43" t="str">
        <f t="array" ref="Z138">INDEX(F24_CF!N:N, MATCH("*" &amp; $A138 &amp; "*", F24_CF!$A:$A, 0))</f>
        <v>Gold Two-Day [$5500.00]</v>
      </c>
      <c r="AA138" s="43" t="str">
        <f>IF(COUNTIF(S24_CF!$A:$A,"*" &amp; $A138 &amp; "*") &lt;&gt; 0, "Yes", "No")</f>
        <v>Yes</v>
      </c>
      <c r="AB138" s="43" t="str">
        <f t="array" ref="AB138">INDEX(S24_CF!H:H, MATCH("*" &amp; $A138 &amp; "*", S24_CF!$A:$A, 0))</f>
        <v>Gold One-Day [$2500.00]</v>
      </c>
    </row>
    <row r="139" ht="15.0" customHeight="1">
      <c r="A139" s="52" t="s">
        <v>194</v>
      </c>
      <c r="B139" s="43" t="s">
        <v>52</v>
      </c>
      <c r="C139" s="43"/>
      <c r="D139" s="43"/>
      <c r="E139" s="43"/>
      <c r="F139" s="43">
        <f>COUNTIF(S26_Emp!$C:$C,"*" &amp;A139 &amp; "*")</f>
        <v>0</v>
      </c>
      <c r="G139" s="43">
        <f>COUNTIF(F25_Emp!$C:$C,"*" &amp;#REF! &amp; "*")</f>
        <v>0</v>
      </c>
      <c r="H139" s="43">
        <f>COUNTIF(S25_Emp!$C:$C,"*" &amp; A139 &amp; "*")</f>
        <v>0</v>
      </c>
      <c r="I139" s="43">
        <f>COUNTIF(F24_Emp!$C:$C,"*" &amp; B139 &amp; "*")</f>
        <v>0</v>
      </c>
      <c r="J139" s="43">
        <f>COUNTIF(S24_Emp!$C:$C,"*" &amp; $A139 &amp; "*")</f>
        <v>0</v>
      </c>
      <c r="K139" s="43">
        <f>COUNTIF(F23_Emp!$C:$C,"*" &amp; $A139 &amp; "*")</f>
        <v>0</v>
      </c>
      <c r="L139" s="43">
        <f>COUNTIF(S23_Emp!$C:$C,"*" &amp; $A139 &amp; "*")</f>
        <v>0</v>
      </c>
      <c r="M139" s="43">
        <f>COUNTIF(F22_Emp!$C:$C,"*" &amp; $A139 &amp; "*")</f>
        <v>0</v>
      </c>
      <c r="N139" s="43">
        <f>COUNTIF(S22_Emp!$C:$C,"*" &amp; $A139 &amp; "*")</f>
        <v>0</v>
      </c>
      <c r="O139" s="43" t="str">
        <f>COUNTIFS(S22_Emp!$C:$C,"*" &amp; $A139 &amp; "*", S22_S25_Emp!$B:$B, "Bachelor")</f>
        <v>#VALUE!</v>
      </c>
      <c r="P139" s="43" t="str">
        <f>COUNTIFS(S22_Emp!$C:$C,"*" &amp; $A139 &amp; "*", S22_S25_Emp!$B:$B, "Master")</f>
        <v>#VALUE!</v>
      </c>
      <c r="Q139" s="43" t="str">
        <f>COUNTIFS(S22_Emp!$C:$C,"*" &amp; $A139 &amp; "*", S22_S25_Emp!$B:$B, "Doctorate")</f>
        <v>#VALUE!</v>
      </c>
      <c r="R139" s="43" t="str">
        <f t="array" ref="R139">IF(OR(INDEX(S26_CF!X:X, MATCH("*" &amp; $A139 &amp; "*", CompanyList!A:A, 0))=TRUE, INDEX(F25_CF!P:P, MATCH("*" &amp; $A139 &amp; "*", CompanyList!A:A, 0))=TRUE, INDEX(S25_CF!T:T, MATCH("*" &amp; $A139 &amp; "*", CompanyList!A:A, 0))=TRUE, INDEX(S24_CF!W:W, MATCH("*" &amp; $A139 &amp; "*", CompanyList!A:A, 0))=TRUE), "Yes", "No")</f>
        <v>No</v>
      </c>
      <c r="S139" s="43" t="str">
        <f>IF(COUNTIF(S26_CF!$A:$A,"*" &amp; $A139 &amp; "*") &lt;&gt; 0, "Yes", "No")</f>
        <v>Yes</v>
      </c>
      <c r="T139" s="43" t="str">
        <f t="array" ref="T139">INDEX(S26_CF!K:K, MATCH("*" &amp; $A139 &amp; "*", S26_CF!A:A, 0))</f>
        <v>Basic One-Day: Wednesday, January 28th [$1000.00]</v>
      </c>
      <c r="U139" s="43" t="str">
        <f>IF(COUNTIF(F25_CF!$A:$A,"*" &amp; $A139 &amp; "*") &lt;&gt; 0, "Yes", "No")</f>
        <v>Yes</v>
      </c>
      <c r="V139" s="43" t="str">
        <f t="array" ref="V139">INDEX(F25_CF!I:I, MATCH("*" &amp; $A139 &amp; "*", F25_CF!$A:$A, 0))</f>
        <v>Basic One-Day: Thursday, September 11th [$1000.00]</v>
      </c>
      <c r="W139" s="43" t="str">
        <f>IF(COUNTIF(S25_CF!$A:$A,"*" &amp; $A139 &amp; "*") &lt;&gt; 0, "Yes", "No")</f>
        <v>No</v>
      </c>
      <c r="X139" s="43" t="str">
        <f t="array" ref="X139">INDEX(S25_CF!J:J, MATCH("*" &amp; $A139 &amp; "*", S25_CF!$A:$A, 0))</f>
        <v>#N/A</v>
      </c>
      <c r="Y139" s="43" t="str">
        <f>IF(COUNTIF(F24_CF!$A:$A,"*" &amp; $A139 &amp; "*") &lt;&gt; 0, "Yes", "No")</f>
        <v>No</v>
      </c>
      <c r="Z139" s="43" t="str">
        <f t="array" ref="Z139">INDEX(F24_CF!N:N, MATCH("*" &amp; $A139 &amp; "*", F24_CF!$A:$A, 0))</f>
        <v>#N/A</v>
      </c>
      <c r="AA139" s="43" t="str">
        <f>IF(COUNTIF(S24_CF!$A:$A,"*" &amp; $A139 &amp; "*") &lt;&gt; 0, "Yes", "No")</f>
        <v>Yes</v>
      </c>
      <c r="AB139" s="43" t="str">
        <f t="array" ref="AB139">INDEX(S24_CF!H:H, MATCH("*" &amp; $A139 &amp; "*", S24_CF!$A:$A, 0))</f>
        <v>Basic One-Day [$1000.00]</v>
      </c>
    </row>
    <row r="140" ht="15.0" customHeight="1">
      <c r="A140" s="52" t="s">
        <v>195</v>
      </c>
      <c r="B140" s="43" t="s">
        <v>52</v>
      </c>
      <c r="C140" s="43"/>
      <c r="D140" s="43"/>
      <c r="E140" s="43"/>
      <c r="F140" s="43">
        <f>COUNTIF(S26_Emp!$C:$C,"*" &amp;A140 &amp; "*")</f>
        <v>0</v>
      </c>
      <c r="G140" s="43">
        <f>COUNTIF(F25_Emp!$C:$C,"*" &amp;#REF! &amp; "*")</f>
        <v>0</v>
      </c>
      <c r="H140" s="43">
        <f>COUNTIF(S25_Emp!$C:$C,"*" &amp; A140 &amp; "*")</f>
        <v>0</v>
      </c>
      <c r="I140" s="43">
        <f>COUNTIF(F24_Emp!$C:$C,"*" &amp; B140 &amp; "*")</f>
        <v>0</v>
      </c>
      <c r="J140" s="43">
        <f>COUNTIF(S24_Emp!$C:$C,"*" &amp; $A140 &amp; "*")</f>
        <v>0</v>
      </c>
      <c r="K140" s="43">
        <f>COUNTIF(F23_Emp!$C:$C,"*" &amp; $A140 &amp; "*")</f>
        <v>0</v>
      </c>
      <c r="L140" s="43">
        <f>COUNTIF(S23_Emp!$C:$C,"*" &amp; $A140 &amp; "*")</f>
        <v>0</v>
      </c>
      <c r="M140" s="43">
        <f>COUNTIF(F22_Emp!$C:$C,"*" &amp; $A140 &amp; "*")</f>
        <v>0</v>
      </c>
      <c r="N140" s="43">
        <f>COUNTIF(S22_Emp!$C:$C,"*" &amp; $A140 &amp; "*")</f>
        <v>0</v>
      </c>
      <c r="O140" s="43" t="str">
        <f>COUNTIFS(S22_Emp!$C:$C,"*" &amp; $A140 &amp; "*", S22_S25_Emp!$B:$B, "Bachelor")</f>
        <v>#VALUE!</v>
      </c>
      <c r="P140" s="43" t="str">
        <f>COUNTIFS(S22_Emp!$C:$C,"*" &amp; $A140 &amp; "*", S22_S25_Emp!$B:$B, "Master")</f>
        <v>#VALUE!</v>
      </c>
      <c r="Q140" s="43" t="str">
        <f>COUNTIFS(S22_Emp!$C:$C,"*" &amp; $A140 &amp; "*", S22_S25_Emp!$B:$B, "Doctorate")</f>
        <v>#VALUE!</v>
      </c>
      <c r="R140" s="43" t="str">
        <f t="array" ref="R140">IF(OR(INDEX(S26_CF!X:X, MATCH("*" &amp; $A140 &amp; "*", CompanyList!A:A, 0))=TRUE, INDEX(F25_CF!P:P, MATCH("*" &amp; $A140 &amp; "*", CompanyList!A:A, 0))=TRUE, INDEX(S25_CF!T:T, MATCH("*" &amp; $A140 &amp; "*", CompanyList!A:A, 0))=TRUE, INDEX(S24_CF!W:W, MATCH("*" &amp; $A140 &amp; "*", CompanyList!A:A, 0))=TRUE), "Yes", "No")</f>
        <v>No</v>
      </c>
      <c r="S140" s="43" t="str">
        <f>IF(COUNTIF(S26_CF!$A:$A,"*" &amp; $A140 &amp; "*") &lt;&gt; 0, "Yes", "No")</f>
        <v>Yes</v>
      </c>
      <c r="T140" s="43" t="str">
        <f t="array" ref="T140">INDEX(S26_CF!K:K, MATCH("*" &amp; $A140 &amp; "*", S26_CF!A:A, 0))</f>
        <v>Basic One-Day: Wednesday, January 28th [$1000.00]</v>
      </c>
      <c r="U140" s="43" t="str">
        <f>IF(COUNTIF(F25_CF!$A:$A,"*" &amp; $A140 &amp; "*") &lt;&gt; 0, "Yes", "No")</f>
        <v>No</v>
      </c>
      <c r="V140" s="43" t="str">
        <f t="array" ref="V140">INDEX(F25_CF!I:I, MATCH("*" &amp; $A140 &amp; "*", F25_CF!$A:$A, 0))</f>
        <v>#N/A</v>
      </c>
      <c r="W140" s="43" t="str">
        <f>IF(COUNTIF(S25_CF!$A:$A,"*" &amp; $A140 &amp; "*") &lt;&gt; 0, "Yes", "No")</f>
        <v>No</v>
      </c>
      <c r="X140" s="43" t="str">
        <f t="array" ref="X140">INDEX(S25_CF!J:J, MATCH("*" &amp; $A140 &amp; "*", S25_CF!$A:$A, 0))</f>
        <v>#N/A</v>
      </c>
      <c r="Y140" s="43" t="str">
        <f>IF(COUNTIF(F24_CF!$A:$A,"*" &amp; $A140 &amp; "*") &lt;&gt; 0, "Yes", "No")</f>
        <v>Yes</v>
      </c>
      <c r="Z140" s="43" t="str">
        <f t="array" ref="Z140">INDEX(F24_CF!N:N, MATCH("*" &amp; $A140 &amp; "*", F24_CF!$A:$A, 0))</f>
        <v>Basic One-Day: Wednesday, September 4th [$1000.00]</v>
      </c>
      <c r="AA140" s="43" t="str">
        <f>IF(COUNTIF(S24_CF!$A:$A,"*" &amp; $A140 &amp; "*") &lt;&gt; 0, "Yes", "No")</f>
        <v>Yes</v>
      </c>
      <c r="AB140" s="43" t="str">
        <f t="array" ref="AB140">INDEX(S24_CF!H:H, MATCH("*" &amp; $A140 &amp; "*", S24_CF!$A:$A, 0))</f>
        <v>Basic One-Day [$1000.00]</v>
      </c>
    </row>
    <row r="141" ht="15.0" customHeight="1">
      <c r="A141" s="52" t="s">
        <v>196</v>
      </c>
      <c r="B141" s="43" t="s">
        <v>52</v>
      </c>
      <c r="C141" s="43">
        <v>3000.0</v>
      </c>
      <c r="D141" s="43">
        <v>7000.0</v>
      </c>
      <c r="E141" s="43"/>
      <c r="F141" s="43">
        <f>COUNTIF(S26_Emp!$C:$C,"*" &amp;A141 &amp; "*")</f>
        <v>0</v>
      </c>
      <c r="G141" s="43">
        <f>COUNTIF(F25_Emp!$C:$C,"*" &amp;#REF! &amp; "*")</f>
        <v>0</v>
      </c>
      <c r="H141" s="43">
        <f>COUNTIF(S25_Emp!$C:$C,"*" &amp; A141 &amp; "*")</f>
        <v>0</v>
      </c>
      <c r="I141" s="43">
        <f>COUNTIF(F24_Emp!$C:$C,"*" &amp; B141 &amp; "*")</f>
        <v>0</v>
      </c>
      <c r="J141" s="43">
        <f>COUNTIF(S24_Emp!$C:$C,"*" &amp; $A141 &amp; "*")</f>
        <v>1</v>
      </c>
      <c r="K141" s="43">
        <f>COUNTIF(F23_Emp!$C:$C,"*" &amp; $A141 &amp; "*")</f>
        <v>0</v>
      </c>
      <c r="L141" s="43">
        <f>COUNTIF(S23_Emp!$C:$C,"*" &amp; $A141 &amp; "*")</f>
        <v>2</v>
      </c>
      <c r="M141" s="43">
        <f>COUNTIF(F22_Emp!$C:$C,"*" &amp; $A141 &amp; "*")</f>
        <v>1</v>
      </c>
      <c r="N141" s="43">
        <f>COUNTIF(S22_Emp!$C:$C,"*" &amp; $A141 &amp; "*")</f>
        <v>0</v>
      </c>
      <c r="O141" s="43" t="str">
        <f>COUNTIFS(S22_Emp!$C:$C,"*" &amp; $A141 &amp; "*", S22_S25_Emp!$B:$B, "Bachelor")</f>
        <v>#VALUE!</v>
      </c>
      <c r="P141" s="43" t="str">
        <f>COUNTIFS(S22_Emp!$C:$C,"*" &amp; $A141 &amp; "*", S22_S25_Emp!$B:$B, "Master")</f>
        <v>#VALUE!</v>
      </c>
      <c r="Q141" s="43" t="str">
        <f>COUNTIFS(S22_Emp!$C:$C,"*" &amp; $A141 &amp; "*", S22_S25_Emp!$B:$B, "Doctorate")</f>
        <v>#VALUE!</v>
      </c>
      <c r="R141" s="43" t="str">
        <f t="array" ref="R141">IF(OR(INDEX(S26_CF!X:X, MATCH("*" &amp; $A141 &amp; "*", CompanyList!A:A, 0))=TRUE, INDEX(F25_CF!P:P, MATCH("*" &amp; $A141 &amp; "*", CompanyList!A:A, 0))=TRUE, INDEX(S25_CF!T:T, MATCH("*" &amp; $A141 &amp; "*", CompanyList!A:A, 0))=TRUE, INDEX(S24_CF!W:W, MATCH("*" &amp; $A141 &amp; "*", CompanyList!A:A, 0))=TRUE), "Yes", "No")</f>
        <v>Yes</v>
      </c>
      <c r="S141" s="43" t="str">
        <f>IF(COUNTIF(S26_CF!$A:$A,"*" &amp; $A141 &amp; "*") &lt;&gt; 0, "Yes", "No")</f>
        <v>Yes</v>
      </c>
      <c r="T141" s="43" t="str">
        <f t="array" ref="T141">INDEX(S26_CF!K:K, MATCH("*" &amp; $A141 &amp; "*", S26_CF!A:A, 0))</f>
        <v>Silver Two-Day [$3000.00]</v>
      </c>
      <c r="U141" s="43" t="str">
        <f>IF(COUNTIF(F25_CF!$A:$A,"*" &amp; $A141 &amp; "*") &lt;&gt; 0, "Yes", "No")</f>
        <v>Yes</v>
      </c>
      <c r="V141" s="43" t="str">
        <f t="array" ref="V141">INDEX(F25_CF!I:I, MATCH("*" &amp; $A141 &amp; "*", F25_CF!$A:$A, 0))</f>
        <v>Silver Two-Day [$3000.00]</v>
      </c>
      <c r="W141" s="43" t="str">
        <f>IF(COUNTIF(S25_CF!$A:$A,"*" &amp; $A141 &amp; "*") &lt;&gt; 0, "Yes", "No")</f>
        <v>Yes</v>
      </c>
      <c r="X141" s="43" t="str">
        <f t="array" ref="X141">INDEX(S25_CF!J:J, MATCH("*" &amp; $A141 &amp; "*", S25_CF!$A:$A, 0))</f>
        <v>Silver One-Day: Thursday, January 23rd [$1800.00]</v>
      </c>
      <c r="Y141" s="43" t="str">
        <f>IF(COUNTIF(F24_CF!$A:$A,"*" &amp; $A141 &amp; "*") &lt;&gt; 0, "Yes", "No")</f>
        <v>Yes</v>
      </c>
      <c r="Z141" s="43" t="str">
        <f t="array" ref="Z141">INDEX(F24_CF!N:N, MATCH("*" &amp; $A141 &amp; "*", F24_CF!$A:$A, 0))</f>
        <v>Silver One-Day: Thursday, September 5th [$1800.00]</v>
      </c>
      <c r="AA141" s="43" t="str">
        <f>IF(COUNTIF(S24_CF!$A:$A,"*" &amp; $A141 &amp; "*") &lt;&gt; 0, "Yes", "No")</f>
        <v>Yes</v>
      </c>
      <c r="AB141" s="43" t="str">
        <f t="array" ref="AB141">INDEX(S24_CF!H:H, MATCH("*" &amp; $A141 &amp; "*", S24_CF!$A:$A, 0))</f>
        <v>Silver Two-Day [$3000.00]</v>
      </c>
    </row>
    <row r="142" ht="15.0" customHeight="1">
      <c r="A142" s="52" t="s">
        <v>197</v>
      </c>
      <c r="B142" s="43" t="s">
        <v>52</v>
      </c>
      <c r="C142" s="43"/>
      <c r="D142" s="43"/>
      <c r="E142" s="43"/>
      <c r="F142" s="43">
        <f>COUNTIF(S26_Emp!$C:$C,"*" &amp;A142 &amp; "*")</f>
        <v>0</v>
      </c>
      <c r="G142" s="43">
        <f>COUNTIF(F25_Emp!$C:$C,"*" &amp;#REF! &amp; "*")</f>
        <v>0</v>
      </c>
      <c r="H142" s="43">
        <f>COUNTIF(S25_Emp!$C:$C,"*" &amp; A142 &amp; "*")</f>
        <v>0</v>
      </c>
      <c r="I142" s="43">
        <f>COUNTIF(F24_Emp!$C:$C,"*" &amp; B142 &amp; "*")</f>
        <v>0</v>
      </c>
      <c r="J142" s="43">
        <f>COUNTIF(S24_Emp!$C:$C,"*" &amp; $A142 &amp; "*")</f>
        <v>0</v>
      </c>
      <c r="K142" s="43">
        <f>COUNTIF(F23_Emp!$C:$C,"*" &amp; $A142 &amp; "*")</f>
        <v>0</v>
      </c>
      <c r="L142" s="43">
        <f>COUNTIF(S23_Emp!$C:$C,"*" &amp; $A142 &amp; "*")</f>
        <v>0</v>
      </c>
      <c r="M142" s="43">
        <f>COUNTIF(F22_Emp!$C:$C,"*" &amp; $A142 &amp; "*")</f>
        <v>0</v>
      </c>
      <c r="N142" s="43">
        <f>COUNTIF(S22_Emp!$C:$C,"*" &amp; $A142 &amp; "*")</f>
        <v>0</v>
      </c>
      <c r="O142" s="43" t="str">
        <f>COUNTIFS(S22_Emp!$C:$C,"*" &amp; $A142 &amp; "*", S22_S25_Emp!$B:$B, "Bachelor")</f>
        <v>#VALUE!</v>
      </c>
      <c r="P142" s="43" t="str">
        <f>COUNTIFS(S22_Emp!$C:$C,"*" &amp; $A142 &amp; "*", S22_S25_Emp!$B:$B, "Master")</f>
        <v>#VALUE!</v>
      </c>
      <c r="Q142" s="43" t="str">
        <f>COUNTIFS(S22_Emp!$C:$C,"*" &amp; $A142 &amp; "*", S22_S25_Emp!$B:$B, "Doctorate")</f>
        <v>#VALUE!</v>
      </c>
      <c r="R142" s="43" t="str">
        <f t="array" ref="R142">IF(OR(INDEX(S26_CF!X:X, MATCH("*" &amp; $A142 &amp; "*", CompanyList!A:A, 0))=TRUE, INDEX(F25_CF!P:P, MATCH("*" &amp; $A142 &amp; "*", CompanyList!A:A, 0))=TRUE, INDEX(S25_CF!T:T, MATCH("*" &amp; $A142 &amp; "*", CompanyList!A:A, 0))=TRUE, INDEX(S24_CF!W:W, MATCH("*" &amp; $A142 &amp; "*", CompanyList!A:A, 0))=TRUE), "Yes", "No")</f>
        <v>Yes</v>
      </c>
      <c r="S142" s="43" t="str">
        <f>IF(COUNTIF(S26_CF!$A:$A,"*" &amp; $A142 &amp; "*") &lt;&gt; 0, "Yes", "No")</f>
        <v>Yes</v>
      </c>
      <c r="T142" s="43" t="str">
        <f t="array" ref="T142">INDEX(S26_CF!K:K, MATCH("*" &amp; $A142 &amp; "*", S26_CF!A:A, 0))</f>
        <v>Silver One-Day: Wednesday, January 28th [$1800.00]</v>
      </c>
      <c r="U142" s="43" t="str">
        <f>IF(COUNTIF(F25_CF!$A:$A,"*" &amp; $A142 &amp; "*") &lt;&gt; 0, "Yes", "No")</f>
        <v>Yes</v>
      </c>
      <c r="V142" s="43" t="str">
        <f t="array" ref="V142">INDEX(F25_CF!I:I, MATCH("*" &amp; $A142 &amp; "*", F25_CF!$A:$A, 0))</f>
        <v>Silver One-Day: Thursday, September 11th [$1800.00]</v>
      </c>
      <c r="W142" s="43" t="str">
        <f>IF(COUNTIF(S25_CF!$A:$A,"*" &amp; $A142 &amp; "*") &lt;&gt; 0, "Yes", "No")</f>
        <v>Yes</v>
      </c>
      <c r="X142" s="43" t="str">
        <f t="array" ref="X142">INDEX(S25_CF!J:J, MATCH("*" &amp; $A142 &amp; "*", S25_CF!$A:$A, 0))</f>
        <v>Silver One-Day: Thursday, January 23rd [$1800.00]</v>
      </c>
      <c r="Y142" s="43" t="str">
        <f>IF(COUNTIF(F24_CF!$A:$A,"*" &amp; $A142 &amp; "*") &lt;&gt; 0, "Yes", "No")</f>
        <v>No</v>
      </c>
      <c r="Z142" s="43" t="str">
        <f t="array" ref="Z142">INDEX(F24_CF!N:N, MATCH("*" &amp; $A142 &amp; "*", F24_CF!$A:$A, 0))</f>
        <v>#N/A</v>
      </c>
      <c r="AA142" s="43" t="str">
        <f>IF(COUNTIF(S24_CF!$A:$A,"*" &amp; $A142 &amp; "*") &lt;&gt; 0, "Yes", "No")</f>
        <v>Yes</v>
      </c>
      <c r="AB142" s="43" t="str">
        <f t="array" ref="AB142">INDEX(S24_CF!H:H, MATCH("*" &amp; $A142 &amp; "*", S24_CF!$A:$A, 0))</f>
        <v>Silver Two-Day [$3000.00]</v>
      </c>
    </row>
    <row r="143" ht="15.0" customHeight="1">
      <c r="A143" s="52" t="s">
        <v>198</v>
      </c>
      <c r="B143" s="43" t="s">
        <v>52</v>
      </c>
      <c r="C143" s="43"/>
      <c r="D143" s="43"/>
      <c r="E143" s="43"/>
      <c r="F143" s="43">
        <f>COUNTIF(S26_Emp!$C:$C,"*" &amp;A143 &amp; "*")</f>
        <v>0</v>
      </c>
      <c r="G143" s="43">
        <f>COUNTIF(F25_Emp!$C:$C,"*" &amp;#REF! &amp; "*")</f>
        <v>0</v>
      </c>
      <c r="H143" s="43">
        <f>COUNTIF(S25_Emp!$C:$C,"*" &amp; A143 &amp; "*")</f>
        <v>0</v>
      </c>
      <c r="I143" s="43">
        <f>COUNTIF(F24_Emp!$C:$C,"*" &amp; B143 &amp; "*")</f>
        <v>0</v>
      </c>
      <c r="J143" s="43">
        <f>COUNTIF(S24_Emp!$C:$C,"*" &amp; $A143 &amp; "*")</f>
        <v>0</v>
      </c>
      <c r="K143" s="43">
        <f>COUNTIF(F23_Emp!$C:$C,"*" &amp; $A143 &amp; "*")</f>
        <v>0</v>
      </c>
      <c r="L143" s="43">
        <f>COUNTIF(S23_Emp!$C:$C,"*" &amp; $A143 &amp; "*")</f>
        <v>0</v>
      </c>
      <c r="M143" s="43">
        <f>COUNTIF(F22_Emp!$C:$C,"*" &amp; $A143 &amp; "*")</f>
        <v>0</v>
      </c>
      <c r="N143" s="43">
        <f>COUNTIF(S22_Emp!$C:$C,"*" &amp; $A143 &amp; "*")</f>
        <v>0</v>
      </c>
      <c r="O143" s="43" t="str">
        <f>COUNTIFS(S22_Emp!$C:$C,"*" &amp; $A143 &amp; "*", S22_S25_Emp!$B:$B, "Bachelor")</f>
        <v>#VALUE!</v>
      </c>
      <c r="P143" s="43" t="str">
        <f>COUNTIFS(S22_Emp!$C:$C,"*" &amp; $A143 &amp; "*", S22_S25_Emp!$B:$B, "Master")</f>
        <v>#VALUE!</v>
      </c>
      <c r="Q143" s="43" t="str">
        <f>COUNTIFS(S22_Emp!$C:$C,"*" &amp; $A143 &amp; "*", S22_S25_Emp!$B:$B, "Doctorate")</f>
        <v>#VALUE!</v>
      </c>
      <c r="R143" s="43" t="str">
        <f t="array" ref="R143">IF(OR(INDEX(S26_CF!X:X, MATCH("*" &amp; $A143 &amp; "*", CompanyList!A:A, 0))=TRUE, INDEX(F25_CF!P:P, MATCH("*" &amp; $A143 &amp; "*", CompanyList!A:A, 0))=TRUE, INDEX(S25_CF!T:T, MATCH("*" &amp; $A143 &amp; "*", CompanyList!A:A, 0))=TRUE, INDEX(S24_CF!W:W, MATCH("*" &amp; $A143 &amp; "*", CompanyList!A:A, 0))=TRUE), "Yes", "No")</f>
        <v>No</v>
      </c>
      <c r="S143" s="43" t="str">
        <f>IF(COUNTIF(S26_CF!$A:$A,"*" &amp; $A143 &amp; "*") &lt;&gt; 0, "Yes", "No")</f>
        <v>No</v>
      </c>
      <c r="T143" s="43" t="str">
        <f t="array" ref="T143">INDEX(S26_CF!K:K, MATCH("*" &amp; $A143 &amp; "*", S26_CF!A:A, 0))</f>
        <v>#N/A</v>
      </c>
      <c r="U143" s="43" t="str">
        <f>IF(COUNTIF(F25_CF!$A:$A,"*" &amp; $A143 &amp; "*") &lt;&gt; 0, "Yes", "No")</f>
        <v>Yes</v>
      </c>
      <c r="V143" s="43" t="str">
        <f t="array" ref="V143">INDEX(F25_CF!I:I, MATCH("*" &amp; $A143 &amp; "*", F25_CF!$A:$A, 0))</f>
        <v>Silver One-Day: Wednesday, September 10th [$1800.00]</v>
      </c>
      <c r="W143" s="43" t="str">
        <f>IF(COUNTIF(S25_CF!$A:$A,"*" &amp; $A143 &amp; "*") &lt;&gt; 0, "Yes", "No")</f>
        <v>No</v>
      </c>
      <c r="X143" s="43" t="str">
        <f t="array" ref="X143">INDEX(S25_CF!J:J, MATCH("*" &amp; $A143 &amp; "*", S25_CF!$A:$A, 0))</f>
        <v>#N/A</v>
      </c>
      <c r="Y143" s="43" t="str">
        <f>IF(COUNTIF(F24_CF!$A:$A,"*" &amp; $A143 &amp; "*") &lt;&gt; 0, "Yes", "No")</f>
        <v>Yes</v>
      </c>
      <c r="Z143" s="43" t="str">
        <f t="array" ref="Z143">INDEX(F24_CF!N:N, MATCH("*" &amp; $A143 &amp; "*", F24_CF!$A:$A, 0))</f>
        <v>Diamond One-Day: Wednesday, September 4th [$4000.00]</v>
      </c>
      <c r="AA143" s="43" t="str">
        <f>IF(COUNTIF(S24_CF!$A:$A,"*" &amp; $A143 &amp; "*") &lt;&gt; 0, "Yes", "No")</f>
        <v>Yes</v>
      </c>
      <c r="AB143" s="43" t="str">
        <f t="array" ref="AB143">INDEX(S24_CF!H:H, MATCH("*" &amp; $A143 &amp; "*", S24_CF!$A:$A, 0))</f>
        <v>Diamond One-Day [$4000.00]</v>
      </c>
    </row>
    <row r="144" ht="15.0" customHeight="1">
      <c r="A144" s="52" t="s">
        <v>199</v>
      </c>
      <c r="B144" s="43" t="s">
        <v>52</v>
      </c>
      <c r="C144" s="43"/>
      <c r="D144" s="43"/>
      <c r="E144" s="43"/>
      <c r="F144" s="43">
        <f>COUNTIF(S26_Emp!$C:$C,"*" &amp;A144 &amp; "*")</f>
        <v>0</v>
      </c>
      <c r="G144" s="43">
        <f>COUNTIF(F25_Emp!$C:$C,"*" &amp;#REF! &amp; "*")</f>
        <v>0</v>
      </c>
      <c r="H144" s="43">
        <f>COUNTIF(S25_Emp!$C:$C,"*" &amp; A144 &amp; "*")</f>
        <v>0</v>
      </c>
      <c r="I144" s="43">
        <f>COUNTIF(F24_Emp!$C:$C,"*" &amp; B144 &amp; "*")</f>
        <v>0</v>
      </c>
      <c r="J144" s="43">
        <f>COUNTIF(S24_Emp!$C:$C,"*" &amp; $A144 &amp; "*")</f>
        <v>0</v>
      </c>
      <c r="K144" s="43">
        <f>COUNTIF(F23_Emp!$C:$C,"*" &amp; $A144 &amp; "*")</f>
        <v>0</v>
      </c>
      <c r="L144" s="43">
        <f>COUNTIF(S23_Emp!$C:$C,"*" &amp; $A144 &amp; "*")</f>
        <v>0</v>
      </c>
      <c r="M144" s="43">
        <f>COUNTIF(F22_Emp!$C:$C,"*" &amp; $A144 &amp; "*")</f>
        <v>0</v>
      </c>
      <c r="N144" s="43">
        <f>COUNTIF(S22_Emp!$C:$C,"*" &amp; $A144 &amp; "*")</f>
        <v>0</v>
      </c>
      <c r="O144" s="43" t="str">
        <f>COUNTIFS(S22_Emp!$C:$C,"*" &amp; $A144 &amp; "*", S22_S25_Emp!$B:$B, "Bachelor")</f>
        <v>#VALUE!</v>
      </c>
      <c r="P144" s="43" t="str">
        <f>COUNTIFS(S22_Emp!$C:$C,"*" &amp; $A144 &amp; "*", S22_S25_Emp!$B:$B, "Master")</f>
        <v>#VALUE!</v>
      </c>
      <c r="Q144" s="43" t="str">
        <f>COUNTIFS(S22_Emp!$C:$C,"*" &amp; $A144 &amp; "*", S22_S25_Emp!$B:$B, "Doctorate")</f>
        <v>#VALUE!</v>
      </c>
      <c r="R144" s="43" t="str">
        <f t="array" ref="R144">IF(OR(INDEX(S26_CF!X:X, MATCH("*" &amp; $A144 &amp; "*", CompanyList!A:A, 0))=TRUE, INDEX(F25_CF!P:P, MATCH("*" &amp; $A144 &amp; "*", CompanyList!A:A, 0))=TRUE, INDEX(S25_CF!T:T, MATCH("*" &amp; $A144 &amp; "*", CompanyList!A:A, 0))=TRUE, INDEX(S24_CF!W:W, MATCH("*" &amp; $A144 &amp; "*", CompanyList!A:A, 0))=TRUE), "Yes", "No")</f>
        <v>No</v>
      </c>
      <c r="S144" s="43" t="str">
        <f>IF(COUNTIF(S26_CF!$A:$A,"*" &amp; $A144 &amp; "*") &lt;&gt; 0, "Yes", "No")</f>
        <v>No</v>
      </c>
      <c r="T144" s="43" t="str">
        <f t="array" ref="T144">INDEX(S26_CF!K:K, MATCH("*" &amp; $A144 &amp; "*", S26_CF!A:A, 0))</f>
        <v>#N/A</v>
      </c>
      <c r="U144" s="43" t="str">
        <f>IF(COUNTIF(F25_CF!$A:$A,"*" &amp; $A144 &amp; "*") &lt;&gt; 0, "Yes", "No")</f>
        <v>Yes</v>
      </c>
      <c r="V144" s="43" t="str">
        <f t="array" ref="V144">INDEX(F25_CF!I:I, MATCH("*" &amp; $A144 &amp; "*", F25_CF!$A:$A, 0))</f>
        <v>Basic One-Day: Thursday, September 11th [$1000.00]</v>
      </c>
      <c r="W144" s="43" t="str">
        <f>IF(COUNTIF(S25_CF!$A:$A,"*" &amp; $A144 &amp; "*") &lt;&gt; 0, "Yes", "No")</f>
        <v>Yes</v>
      </c>
      <c r="X144" s="43" t="str">
        <f t="array" ref="X144">INDEX(S25_CF!J:J, MATCH("*" &amp; $A144 &amp; "*", S25_CF!$A:$A, 0))</f>
        <v>Basic One-Day: Thursday, January 23rd [$1000.00]</v>
      </c>
      <c r="Y144" s="43" t="str">
        <f>IF(COUNTIF(F24_CF!$A:$A,"*" &amp; $A144 &amp; "*") &lt;&gt; 0, "Yes", "No")</f>
        <v>Yes</v>
      </c>
      <c r="Z144" s="43" t="str">
        <f t="array" ref="Z144">INDEX(F24_CF!N:N, MATCH("*" &amp; $A144 &amp; "*", F24_CF!$A:$A, 0))</f>
        <v>Basic One-Day: Thursday, September 5th [$1000.00]</v>
      </c>
      <c r="AA144" s="43" t="str">
        <f>IF(COUNTIF(S24_CF!$A:$A,"*" &amp; $A144 &amp; "*") &lt;&gt; 0, "Yes", "No")</f>
        <v>Yes</v>
      </c>
      <c r="AB144" s="43" t="str">
        <f t="array" ref="AB144">INDEX(S24_CF!H:H, MATCH("*" &amp; $A144 &amp; "*", S24_CF!$A:$A, 0))</f>
        <v>Basic One-Day [$1000.00]</v>
      </c>
    </row>
    <row r="145" ht="15.0" customHeight="1">
      <c r="A145" s="52" t="s">
        <v>200</v>
      </c>
      <c r="B145" s="43" t="s">
        <v>52</v>
      </c>
      <c r="C145" s="43">
        <v>3800.0</v>
      </c>
      <c r="D145" s="43">
        <v>5000.0</v>
      </c>
      <c r="E145" s="43"/>
      <c r="F145" s="43">
        <f>COUNTIF(S26_Emp!$C:$C,"*" &amp;A145 &amp; "*")</f>
        <v>0</v>
      </c>
      <c r="G145" s="43">
        <f>COUNTIF(F25_Emp!$C:$C,"*" &amp;#REF! &amp; "*")</f>
        <v>0</v>
      </c>
      <c r="H145" s="43">
        <f>COUNTIF(S25_Emp!$C:$C,"*" &amp; A145 &amp; "*")</f>
        <v>1</v>
      </c>
      <c r="I145" s="43">
        <f>COUNTIF(F24_Emp!$C:$C,"*" &amp; B145 &amp; "*")</f>
        <v>0</v>
      </c>
      <c r="J145" s="43">
        <f>COUNTIF(S24_Emp!$C:$C,"*" &amp; $A145 &amp; "*")</f>
        <v>1</v>
      </c>
      <c r="K145" s="43">
        <f>COUNTIF(F23_Emp!$C:$C,"*" &amp; $A145 &amp; "*")</f>
        <v>0</v>
      </c>
      <c r="L145" s="43">
        <f>COUNTIF(S23_Emp!$C:$C,"*" &amp; $A145 &amp; "*")</f>
        <v>1</v>
      </c>
      <c r="M145" s="43">
        <f>COUNTIF(F22_Emp!$C:$C,"*" &amp; $A145 &amp; "*")</f>
        <v>1</v>
      </c>
      <c r="N145" s="43">
        <f>COUNTIF(S22_Emp!$C:$C,"*" &amp; $A145 &amp; "*")</f>
        <v>0</v>
      </c>
      <c r="O145" s="43" t="str">
        <f>COUNTIFS(S22_Emp!$C:$C,"*" &amp; $A145 &amp; "*", S22_S25_Emp!$B:$B, "Bachelor")</f>
        <v>#VALUE!</v>
      </c>
      <c r="P145" s="43" t="str">
        <f>COUNTIFS(S22_Emp!$C:$C,"*" &amp; $A145 &amp; "*", S22_S25_Emp!$B:$B, "Master")</f>
        <v>#VALUE!</v>
      </c>
      <c r="Q145" s="43" t="str">
        <f>COUNTIFS(S22_Emp!$C:$C,"*" &amp; $A145 &amp; "*", S22_S25_Emp!$B:$B, "Doctorate")</f>
        <v>#VALUE!</v>
      </c>
      <c r="R145" s="43" t="str">
        <f t="array" ref="R145">IF(OR(INDEX(S26_CF!X:X, MATCH("*" &amp; $A145 &amp; "*", CompanyList!A:A, 0))=TRUE, INDEX(F25_CF!P:P, MATCH("*" &amp; $A145 &amp; "*", CompanyList!A:A, 0))=TRUE, INDEX(S25_CF!T:T, MATCH("*" &amp; $A145 &amp; "*", CompanyList!A:A, 0))=TRUE, INDEX(S24_CF!W:W, MATCH("*" &amp; $A145 &amp; "*", CompanyList!A:A, 0))=TRUE), "Yes", "No")</f>
        <v>No</v>
      </c>
      <c r="S145" s="43" t="str">
        <f>IF(COUNTIF(S26_CF!$A:$A,"*" &amp; $A145 &amp; "*") &lt;&gt; 0, "Yes", "No")</f>
        <v>Yes</v>
      </c>
      <c r="T145" s="43" t="str">
        <f t="array" ref="T145">INDEX(S26_CF!K:K, MATCH("*" &amp; $A145 &amp; "*", S26_CF!A:A, 0))</f>
        <v>Silver Two-Day [$3000.00]</v>
      </c>
      <c r="U145" s="43" t="str">
        <f>IF(COUNTIF(F25_CF!$A:$A,"*" &amp; $A145 &amp; "*") &lt;&gt; 0, "Yes", "No")</f>
        <v>Yes</v>
      </c>
      <c r="V145" s="43" t="str">
        <f t="array" ref="V145">INDEX(F25_CF!I:I, MATCH("*" &amp; $A145 &amp; "*", F25_CF!$A:$A, 0))</f>
        <v>Silver Two-Day [$3000.00]</v>
      </c>
      <c r="W145" s="43" t="str">
        <f>IF(COUNTIF(S25_CF!$A:$A,"*" &amp; $A145 &amp; "*") &lt;&gt; 0, "Yes", "No")</f>
        <v>Yes</v>
      </c>
      <c r="X145" s="43" t="str">
        <f t="array" ref="X145">INDEX(S25_CF!J:J, MATCH("*" &amp; $A145 &amp; "*", S25_CF!$A:$A, 0))</f>
        <v>Silver Two-Day [$3000.00]</v>
      </c>
      <c r="Y145" s="43" t="str">
        <f>IF(COUNTIF(F24_CF!$A:$A,"*" &amp; $A145 &amp; "*") &lt;&gt; 0, "Yes", "No")</f>
        <v>Yes</v>
      </c>
      <c r="Z145" s="43" t="str">
        <f t="array" ref="Z145">INDEX(F24_CF!N:N, MATCH("*" &amp; $A145 &amp; "*", F24_CF!$A:$A, 0))</f>
        <v>Silver Two-Day [$3000.00]</v>
      </c>
      <c r="AA145" s="43" t="str">
        <f>IF(COUNTIF(S24_CF!$A:$A,"*" &amp; $A145 &amp; "*") &lt;&gt; 0, "Yes", "No")</f>
        <v>Yes</v>
      </c>
      <c r="AB145" s="43" t="str">
        <f t="array" ref="AB145">INDEX(S24_CF!H:H, MATCH("*" &amp; $A145 &amp; "*", S24_CF!$A:$A, 0))</f>
        <v>Basic One-Day [$1000.00]</v>
      </c>
    </row>
    <row r="146" ht="15.0" customHeight="1">
      <c r="A146" s="52" t="s">
        <v>201</v>
      </c>
      <c r="B146" s="43" t="s">
        <v>54</v>
      </c>
      <c r="C146" s="43">
        <v>250.0</v>
      </c>
      <c r="D146" s="43">
        <v>500.0</v>
      </c>
      <c r="E146" s="43">
        <v>3.0</v>
      </c>
      <c r="F146" s="43">
        <f>COUNTIF(S26_Emp!$C:$C,"*" &amp;A146 &amp; "*")</f>
        <v>0</v>
      </c>
      <c r="G146" s="43">
        <f>COUNTIF(F25_Emp!$C:$C,"*" &amp;#REF! &amp; "*")</f>
        <v>0</v>
      </c>
      <c r="H146" s="43">
        <f>COUNTIF(S25_Emp!$C:$C,"*" &amp; A146 &amp; "*")</f>
        <v>0</v>
      </c>
      <c r="I146" s="43">
        <f>COUNTIF(F24_Emp!$C:$C,"*" &amp; B146 &amp; "*")</f>
        <v>1</v>
      </c>
      <c r="J146" s="43">
        <f>COUNTIF(S24_Emp!$C:$C,"*" &amp; $A146 &amp; "*")</f>
        <v>0</v>
      </c>
      <c r="K146" s="43">
        <f>COUNTIF(F23_Emp!$C:$C,"*" &amp; $A146 &amp; "*")</f>
        <v>0</v>
      </c>
      <c r="L146" s="43">
        <f>COUNTIF(S23_Emp!$C:$C,"*" &amp; $A146 &amp; "*")</f>
        <v>0</v>
      </c>
      <c r="M146" s="43">
        <f>COUNTIF(F22_Emp!$C:$C,"*" &amp; $A146 &amp; "*")</f>
        <v>0</v>
      </c>
      <c r="N146" s="43">
        <f>COUNTIF(S22_Emp!$C:$C,"*" &amp; $A146 &amp; "*")</f>
        <v>0</v>
      </c>
      <c r="O146" s="43" t="str">
        <f>COUNTIFS(S22_Emp!$C:$C,"*" &amp; $A146 &amp; "*", S22_S25_Emp!$B:$B, "Bachelor")</f>
        <v>#VALUE!</v>
      </c>
      <c r="P146" s="43" t="str">
        <f>COUNTIFS(S22_Emp!$C:$C,"*" &amp; $A146 &amp; "*", S22_S25_Emp!$B:$B, "Master")</f>
        <v>#VALUE!</v>
      </c>
      <c r="Q146" s="43" t="str">
        <f>COUNTIFS(S22_Emp!$C:$C,"*" &amp; $A146 &amp; "*", S22_S25_Emp!$B:$B, "Doctorate")</f>
        <v>#VALUE!</v>
      </c>
      <c r="R146" s="43" t="str">
        <f t="array" ref="R146">IF(OR(INDEX(S26_CF!X:X, MATCH("*" &amp; $A146 &amp; "*", CompanyList!A:A, 0))=TRUE, INDEX(F25_CF!P:P, MATCH("*" &amp; $A146 &amp; "*", CompanyList!A:A, 0))=TRUE, INDEX(S25_CF!T:T, MATCH("*" &amp; $A146 &amp; "*", CompanyList!A:A, 0))=TRUE, INDEX(S24_CF!W:W, MATCH("*" &amp; $A146 &amp; "*", CompanyList!A:A, 0))=TRUE), "Yes", "No")</f>
        <v>No</v>
      </c>
      <c r="S146" s="43" t="str">
        <f>IF(COUNTIF(S26_CF!$A:$A,"*" &amp; $A146 &amp; "*") &lt;&gt; 0, "Yes", "No")</f>
        <v>Yes</v>
      </c>
      <c r="T146" s="43" t="str">
        <f t="array" ref="T146">INDEX(S26_CF!K:K, MATCH("*" &amp; $A146 &amp; "*", S26_CF!A:A, 0))</f>
        <v>Basic One-Day: Thursday, January 29th [$1000.00]</v>
      </c>
      <c r="U146" s="43" t="str">
        <f>IF(COUNTIF(F25_CF!$A:$A,"*" &amp; $A146 &amp; "*") &lt;&gt; 0, "Yes", "No")</f>
        <v>Yes</v>
      </c>
      <c r="V146" s="43" t="str">
        <f t="array" ref="V146">INDEX(F25_CF!I:I, MATCH("*" &amp; $A146 &amp; "*", F25_CF!$A:$A, 0))</f>
        <v>Basic One-Day: Wednesday, September 10th [$1000.00]</v>
      </c>
      <c r="W146" s="43" t="str">
        <f>IF(COUNTIF(S25_CF!$A:$A,"*" &amp; $A146 &amp; "*") &lt;&gt; 0, "Yes", "No")</f>
        <v>Yes</v>
      </c>
      <c r="X146" s="43" t="str">
        <f t="array" ref="X146">INDEX(S25_CF!J:J, MATCH("*" &amp; $A146 &amp; "*", S25_CF!$A:$A, 0))</f>
        <v>Basic One-Day: Thursday, January 23rd [$1000.00]</v>
      </c>
      <c r="Y146" s="43" t="str">
        <f>IF(COUNTIF(F24_CF!$A:$A,"*" &amp; $A146 &amp; "*") &lt;&gt; 0, "Yes", "No")</f>
        <v>Yes</v>
      </c>
      <c r="Z146" s="43" t="str">
        <f t="array" ref="Z146">INDEX(F24_CF!N:N, MATCH("*" &amp; $A146 &amp; "*", F24_CF!$A:$A, 0))</f>
        <v>Basic One-Day: Wednesday, September 4th [$1000.00]</v>
      </c>
      <c r="AA146" s="43" t="str">
        <f>IF(COUNTIF(S24_CF!$A:$A,"*" &amp; $A146 &amp; "*") &lt;&gt; 0, "Yes", "No")</f>
        <v>Yes</v>
      </c>
      <c r="AB146" s="43" t="str">
        <f t="array" ref="AB146">INDEX(S24_CF!H:H, MATCH("*" &amp; $A146 &amp; "*", S24_CF!$A:$A, 0))</f>
        <v>Basic One-Day [$1000.00]</v>
      </c>
    </row>
    <row r="147" ht="15.0" customHeight="1">
      <c r="A147" s="52" t="s">
        <v>202</v>
      </c>
      <c r="B147" s="43" t="s">
        <v>54</v>
      </c>
      <c r="C147" s="43">
        <v>3000.0</v>
      </c>
      <c r="D147" s="43">
        <v>12000.0</v>
      </c>
      <c r="E147" s="43">
        <v>1.5</v>
      </c>
      <c r="F147" s="43">
        <f>COUNTIF(S26_Emp!$C:$C,"*" &amp;A147 &amp; "*")</f>
        <v>0</v>
      </c>
      <c r="G147" s="43">
        <f>COUNTIF(F25_Emp!$C:$C,"*" &amp;#REF! &amp; "*")</f>
        <v>0</v>
      </c>
      <c r="H147" s="43">
        <f>COUNTIF(S25_Emp!$C:$C,"*" &amp; A147 &amp; "*")</f>
        <v>1</v>
      </c>
      <c r="I147" s="43">
        <f>COUNTIF(F24_Emp!$C:$C,"*" &amp; B147 &amp; "*")</f>
        <v>1</v>
      </c>
      <c r="J147" s="43">
        <f>COUNTIF(S24_Emp!$C:$C,"*" &amp; $A147 &amp; "*")</f>
        <v>0</v>
      </c>
      <c r="K147" s="43">
        <f>COUNTIF(F23_Emp!$C:$C,"*" &amp; $A147 &amp; "*")</f>
        <v>1</v>
      </c>
      <c r="L147" s="43">
        <f>COUNTIF(S23_Emp!$C:$C,"*" &amp; $A147 &amp; "*")</f>
        <v>1</v>
      </c>
      <c r="M147" s="43">
        <f>COUNTIF(F22_Emp!$C:$C,"*" &amp; $A147 &amp; "*")</f>
        <v>0</v>
      </c>
      <c r="N147" s="43">
        <f>COUNTIF(S22_Emp!$C:$C,"*" &amp; $A147 &amp; "*")</f>
        <v>0</v>
      </c>
      <c r="O147" s="43" t="str">
        <f>COUNTIFS(S22_Emp!$C:$C,"*" &amp; $A147 &amp; "*", S22_S25_Emp!$B:$B, "Bachelor")</f>
        <v>#VALUE!</v>
      </c>
      <c r="P147" s="43" t="str">
        <f>COUNTIFS(S22_Emp!$C:$C,"*" &amp; $A147 &amp; "*", S22_S25_Emp!$B:$B, "Master")</f>
        <v>#VALUE!</v>
      </c>
      <c r="Q147" s="43" t="str">
        <f>COUNTIFS(S22_Emp!$C:$C,"*" &amp; $A147 &amp; "*", S22_S25_Emp!$B:$B, "Doctorate")</f>
        <v>#VALUE!</v>
      </c>
      <c r="R147" s="43" t="str">
        <f t="array" ref="R147">IF(OR(INDEX(S26_CF!X:X, MATCH("*" &amp; $A147 &amp; "*", CompanyList!A:A, 0))=TRUE, INDEX(F25_CF!P:P, MATCH("*" &amp; $A147 &amp; "*", CompanyList!A:A, 0))=TRUE, INDEX(S25_CF!T:T, MATCH("*" &amp; $A147 &amp; "*", CompanyList!A:A, 0))=TRUE, INDEX(S24_CF!W:W, MATCH("*" &amp; $A147 &amp; "*", CompanyList!A:A, 0))=TRUE), "Yes", "No")</f>
        <v>No</v>
      </c>
      <c r="S147" s="43" t="str">
        <f>IF(COUNTIF(S26_CF!$A:$A,"*" &amp; $A147 &amp; "*") &lt;&gt; 0, "Yes", "No")</f>
        <v>No</v>
      </c>
      <c r="T147" s="43" t="str">
        <f t="array" ref="T147">INDEX(S26_CF!K:K, MATCH("*" &amp; $A147 &amp; "*", S26_CF!A:A, 0))</f>
        <v>#N/A</v>
      </c>
      <c r="U147" s="43" t="str">
        <f>IF(COUNTIF(F25_CF!$A:$A,"*" &amp; $A147 &amp; "*") &lt;&gt; 0, "Yes", "No")</f>
        <v>Yes</v>
      </c>
      <c r="V147" s="43" t="str">
        <f t="array" ref="V147">INDEX(F25_CF!I:I, MATCH("*" &amp; $A147 &amp; "*", F25_CF!$A:$A, 0))</f>
        <v>Gold One-Day: Wednesday, September 10th [$2500.00]</v>
      </c>
      <c r="W147" s="43" t="str">
        <f>IF(COUNTIF(S25_CF!$A:$A,"*" &amp; $A147 &amp; "*") &lt;&gt; 0, "Yes", "No")</f>
        <v>Yes</v>
      </c>
      <c r="X147" s="43" t="str">
        <f t="array" ref="X147">INDEX(S25_CF!J:J, MATCH("*" &amp; $A147 &amp; "*", S25_CF!$A:$A, 0))</f>
        <v>Gold One-Day: Wednesday, January 22nd [$2500.00]</v>
      </c>
      <c r="Y147" s="43" t="str">
        <f>IF(COUNTIF(F24_CF!$A:$A,"*" &amp; $A147 &amp; "*") &lt;&gt; 0, "Yes", "No")</f>
        <v>Yes</v>
      </c>
      <c r="Z147" s="43" t="str">
        <f t="array" ref="Z147">INDEX(F24_CF!N:N, MATCH("*" &amp; $A147 &amp; "*", F24_CF!$A:$A, 0))</f>
        <v>Silver One-Day: Wednesday, September 4th [$1800.00]</v>
      </c>
      <c r="AA147" s="43" t="str">
        <f>IF(COUNTIF(S24_CF!$A:$A,"*" &amp; $A147 &amp; "*") &lt;&gt; 0, "Yes", "No")</f>
        <v>Yes</v>
      </c>
      <c r="AB147" s="43" t="str">
        <f t="array" ref="AB147">INDEX(S24_CF!H:H, MATCH("*" &amp; $A147 &amp; "*", S24_CF!$A:$A, 0))</f>
        <v>Silver One-Day [$1800.00]</v>
      </c>
    </row>
    <row r="148" ht="15.0" customHeight="1">
      <c r="A148" s="52" t="s">
        <v>203</v>
      </c>
      <c r="B148" s="43" t="s">
        <v>61</v>
      </c>
      <c r="C148" s="43"/>
      <c r="D148" s="43">
        <v>32000.0</v>
      </c>
      <c r="E148" s="43"/>
      <c r="F148" s="43">
        <f>COUNTIF(S26_Emp!$C:$C,"*" &amp;A148 &amp; "*")</f>
        <v>0</v>
      </c>
      <c r="G148" s="43">
        <f>COUNTIF(F25_Emp!$C:$C,"*" &amp;#REF! &amp; "*")</f>
        <v>0</v>
      </c>
      <c r="H148" s="43">
        <f>COUNTIF(S25_Emp!$C:$C,"*" &amp; A148 &amp; "*")</f>
        <v>0</v>
      </c>
      <c r="I148" s="43">
        <f>COUNTIF(F24_Emp!$C:$C,"*" &amp; B148 &amp; "*")</f>
        <v>0</v>
      </c>
      <c r="J148" s="43">
        <f>COUNTIF(S24_Emp!$C:$C,"*" &amp; $A148 &amp; "*")</f>
        <v>1</v>
      </c>
      <c r="K148" s="43">
        <f>COUNTIF(F23_Emp!$C:$C,"*" &amp; $A148 &amp; "*")</f>
        <v>0</v>
      </c>
      <c r="L148" s="43">
        <f>COUNTIF(S23_Emp!$C:$C,"*" &amp; $A148 &amp; "*")</f>
        <v>0</v>
      </c>
      <c r="M148" s="43">
        <f>COUNTIF(F22_Emp!$C:$C,"*" &amp; $A148 &amp; "*")</f>
        <v>0</v>
      </c>
      <c r="N148" s="43">
        <f>COUNTIF(S22_Emp!$C:$C,"*" &amp; $A148 &amp; "*")</f>
        <v>0</v>
      </c>
      <c r="O148" s="43" t="str">
        <f>COUNTIFS(S22_Emp!$C:$C,"*" &amp; $A148 &amp; "*", S22_S25_Emp!$B:$B, "Bachelor")</f>
        <v>#VALUE!</v>
      </c>
      <c r="P148" s="43" t="str">
        <f>COUNTIFS(S22_Emp!$C:$C,"*" &amp; $A148 &amp; "*", S22_S25_Emp!$B:$B, "Master")</f>
        <v>#VALUE!</v>
      </c>
      <c r="Q148" s="43" t="str">
        <f>COUNTIFS(S22_Emp!$C:$C,"*" &amp; $A148 &amp; "*", S22_S25_Emp!$B:$B, "Doctorate")</f>
        <v>#VALUE!</v>
      </c>
      <c r="R148" s="43" t="str">
        <f t="array" ref="R148">IF(OR(INDEX(S26_CF!X:X, MATCH("*" &amp; $A148 &amp; "*", CompanyList!A:A, 0))=TRUE, INDEX(F25_CF!P:P, MATCH("*" &amp; $A148 &amp; "*", CompanyList!A:A, 0))=TRUE, INDEX(S25_CF!T:T, MATCH("*" &amp; $A148 &amp; "*", CompanyList!A:A, 0))=TRUE, INDEX(S24_CF!W:W, MATCH("*" &amp; $A148 &amp; "*", CompanyList!A:A, 0))=TRUE), "Yes", "No")</f>
        <v>Yes</v>
      </c>
      <c r="S148" s="43" t="str">
        <f>IF(COUNTIF(S26_CF!$A:$A,"*" &amp; $A148 &amp; "*") &lt;&gt; 0, "Yes", "No")</f>
        <v>Yes</v>
      </c>
      <c r="T148" s="43" t="str">
        <f t="array" ref="T148">INDEX(S26_CF!K:K, MATCH("*" &amp; $A148 &amp; "*", S26_CF!A:A, 0))</f>
        <v>Basic One-Day: Wednesday, January 28th [$1000.00]</v>
      </c>
      <c r="U148" s="43" t="str">
        <f>IF(COUNTIF(F25_CF!$A:$A,"*" &amp; $A148 &amp; "*") &lt;&gt; 0, "Yes", "No")</f>
        <v>No</v>
      </c>
      <c r="V148" s="43" t="str">
        <f t="array" ref="V148">INDEX(F25_CF!I:I, MATCH("*" &amp; $A148 &amp; "*", F25_CF!$A:$A, 0))</f>
        <v>#N/A</v>
      </c>
      <c r="W148" s="43" t="str">
        <f>IF(COUNTIF(S25_CF!$A:$A,"*" &amp; $A148 &amp; "*") &lt;&gt; 0, "Yes", "No")</f>
        <v>Yes</v>
      </c>
      <c r="X148" s="43" t="str">
        <f t="array" ref="X148">INDEX(S25_CF!J:J, MATCH("*" &amp; $A148 &amp; "*", S25_CF!$A:$A, 0))</f>
        <v>Basic One-Day: Thursday, January 23rd [$1000.00]</v>
      </c>
      <c r="Y148" s="43" t="str">
        <f>IF(COUNTIF(F24_CF!$A:$A,"*" &amp; $A148 &amp; "*") &lt;&gt; 0, "Yes", "No")</f>
        <v>Yes</v>
      </c>
      <c r="Z148" s="43" t="str">
        <f t="array" ref="Z148">INDEX(F24_CF!N:N, MATCH("*" &amp; $A148 &amp; "*", F24_CF!$A:$A, 0))</f>
        <v>Basic One-Day: Wednesday, September 4th [$1000.00]</v>
      </c>
      <c r="AA148" s="43" t="str">
        <f>IF(COUNTIF(S24_CF!$A:$A,"*" &amp; $A148 &amp; "*") &lt;&gt; 0, "Yes", "No")</f>
        <v>Yes</v>
      </c>
      <c r="AB148" s="43" t="str">
        <f t="array" ref="AB148">INDEX(S24_CF!H:H, MATCH("*" &amp; $A148 &amp; "*", S24_CF!$A:$A, 0))</f>
        <v>Basic One-Day [$1000.00]</v>
      </c>
    </row>
    <row r="149" ht="15.0" customHeight="1">
      <c r="A149" s="52" t="s">
        <v>204</v>
      </c>
      <c r="B149" s="43" t="s">
        <v>61</v>
      </c>
      <c r="C149" s="43"/>
      <c r="D149" s="43">
        <v>8000.0</v>
      </c>
      <c r="E149" s="43"/>
      <c r="F149" s="43">
        <f>COUNTIF(S26_Emp!$C:$C,"*" &amp;A149 &amp; "*")</f>
        <v>0</v>
      </c>
      <c r="G149" s="43">
        <f>COUNTIF(F25_Emp!$C:$C,"*" &amp;#REF! &amp; "*")</f>
        <v>0</v>
      </c>
      <c r="H149" s="43">
        <f>COUNTIF(S25_Emp!$C:$C,"*" &amp; A149 &amp; "*")</f>
        <v>2</v>
      </c>
      <c r="I149" s="43">
        <f>COUNTIF(F24_Emp!$C:$C,"*" &amp; B149 &amp; "*")</f>
        <v>0</v>
      </c>
      <c r="J149" s="43">
        <f>COUNTIF(S24_Emp!$C:$C,"*" &amp; $A149 &amp; "*")</f>
        <v>0</v>
      </c>
      <c r="K149" s="43">
        <f>COUNTIF(F23_Emp!$C:$C,"*" &amp; $A149 &amp; "*")</f>
        <v>1</v>
      </c>
      <c r="L149" s="43">
        <f>COUNTIF(S23_Emp!$C:$C,"*" &amp; $A149 &amp; "*")</f>
        <v>2</v>
      </c>
      <c r="M149" s="43">
        <f>COUNTIF(F22_Emp!$C:$C,"*" &amp; $A149 &amp; "*")</f>
        <v>1</v>
      </c>
      <c r="N149" s="43">
        <f>COUNTIF(S22_Emp!$C:$C,"*" &amp; $A149 &amp; "*")</f>
        <v>3</v>
      </c>
      <c r="O149" s="43" t="str">
        <f>COUNTIFS(S22_Emp!$C:$C,"*" &amp; $A149 &amp; "*", S22_S25_Emp!$B:$B, "Bachelor")</f>
        <v>#VALUE!</v>
      </c>
      <c r="P149" s="43" t="str">
        <f>COUNTIFS(S22_Emp!$C:$C,"*" &amp; $A149 &amp; "*", S22_S25_Emp!$B:$B, "Master")</f>
        <v>#VALUE!</v>
      </c>
      <c r="Q149" s="43" t="str">
        <f>COUNTIFS(S22_Emp!$C:$C,"*" &amp; $A149 &amp; "*", S22_S25_Emp!$B:$B, "Doctorate")</f>
        <v>#VALUE!</v>
      </c>
      <c r="R149" s="43" t="str">
        <f t="array" ref="R149">IF(OR(INDEX(S26_CF!X:X, MATCH("*" &amp; $A149 &amp; "*", CompanyList!A:A, 0))=TRUE, INDEX(F25_CF!P:P, MATCH("*" &amp; $A149 &amp; "*", CompanyList!A:A, 0))=TRUE, INDEX(S25_CF!T:T, MATCH("*" &amp; $A149 &amp; "*", CompanyList!A:A, 0))=TRUE, INDEX(S24_CF!W:W, MATCH("*" &amp; $A149 &amp; "*", CompanyList!A:A, 0))=TRUE), "Yes", "No")</f>
        <v>No</v>
      </c>
      <c r="S149" s="43" t="str">
        <f>IF(COUNTIF(S26_CF!$A:$A,"*" &amp; $A149 &amp; "*") &lt;&gt; 0, "Yes", "No")</f>
        <v>Yes</v>
      </c>
      <c r="T149" s="43" t="str">
        <f t="array" ref="T149">INDEX(S26_CF!K:K, MATCH("*" &amp; $A149 &amp; "*", S26_CF!A:A, 0))</f>
        <v>Silver Two-Day [$3000.00]</v>
      </c>
      <c r="U149" s="43" t="str">
        <f>IF(COUNTIF(F25_CF!$A:$A,"*" &amp; $A149 &amp; "*") &lt;&gt; 0, "Yes", "No")</f>
        <v>Yes</v>
      </c>
      <c r="V149" s="43" t="str">
        <f t="array" ref="V149">INDEX(F25_CF!I:I, MATCH("*" &amp; $A149 &amp; "*", F25_CF!$A:$A, 0))</f>
        <v>Silver Two-Day [$3000.00]</v>
      </c>
      <c r="W149" s="43" t="str">
        <f>IF(COUNTIF(S25_CF!$A:$A,"*" &amp; $A149 &amp; "*") &lt;&gt; 0, "Yes", "No")</f>
        <v>Yes</v>
      </c>
      <c r="X149" s="43" t="str">
        <f t="array" ref="X149">INDEX(S25_CF!J:J, MATCH("*" &amp; $A149 &amp; "*", S25_CF!$A:$A, 0))</f>
        <v>Silver One-Day: Thursday, January 23rd [$1800.00]</v>
      </c>
      <c r="Y149" s="43" t="str">
        <f>IF(COUNTIF(F24_CF!$A:$A,"*" &amp; $A149 &amp; "*") &lt;&gt; 0, "Yes", "No")</f>
        <v>Yes</v>
      </c>
      <c r="Z149" s="43" t="str">
        <f t="array" ref="Z149">INDEX(F24_CF!N:N, MATCH("*" &amp; $A149 &amp; "*", F24_CF!$A:$A, 0))</f>
        <v>Silver Two-Day [$3000.00]</v>
      </c>
      <c r="AA149" s="43" t="str">
        <f>IF(COUNTIF(S24_CF!$A:$A,"*" &amp; $A149 &amp; "*") &lt;&gt; 0, "Yes", "No")</f>
        <v>Yes</v>
      </c>
      <c r="AB149" s="43" t="str">
        <f t="array" ref="AB149">INDEX(S24_CF!H:H, MATCH("*" &amp; $A149 &amp; "*", S24_CF!$A:$A, 0))</f>
        <v>Gold Two-Day [$5000.00]</v>
      </c>
    </row>
    <row r="150" ht="15.0" customHeight="1">
      <c r="A150" s="52" t="s">
        <v>205</v>
      </c>
      <c r="B150" s="43" t="s">
        <v>61</v>
      </c>
      <c r="C150" s="43"/>
      <c r="D150" s="43">
        <v>2000.0</v>
      </c>
      <c r="E150" s="43"/>
      <c r="F150" s="43">
        <f>COUNTIF(S26_Emp!$C:$C,"*" &amp;A150 &amp; "*")</f>
        <v>0</v>
      </c>
      <c r="G150" s="43">
        <f>COUNTIF(F25_Emp!$C:$C,"*" &amp;#REF! &amp; "*")</f>
        <v>0</v>
      </c>
      <c r="H150" s="43">
        <f>COUNTIF(S25_Emp!$C:$C,"*" &amp; A150 &amp; "*")</f>
        <v>0</v>
      </c>
      <c r="I150" s="43">
        <f>COUNTIF(F24_Emp!$C:$C,"*" &amp; B150 &amp; "*")</f>
        <v>0</v>
      </c>
      <c r="J150" s="43">
        <f>COUNTIF(S24_Emp!$C:$C,"*" &amp; $A150 &amp; "*")</f>
        <v>1</v>
      </c>
      <c r="K150" s="43">
        <f>COUNTIF(F23_Emp!$C:$C,"*" &amp; $A150 &amp; "*")</f>
        <v>0</v>
      </c>
      <c r="L150" s="43">
        <f>COUNTIF(S23_Emp!$C:$C,"*" &amp; $A150 &amp; "*")</f>
        <v>0</v>
      </c>
      <c r="M150" s="43">
        <f>COUNTIF(F22_Emp!$C:$C,"*" &amp; $A150 &amp; "*")</f>
        <v>0</v>
      </c>
      <c r="N150" s="43">
        <f>COUNTIF(S22_Emp!$C:$C,"*" &amp; $A150 &amp; "*")</f>
        <v>0</v>
      </c>
      <c r="O150" s="43" t="str">
        <f>COUNTIFS(S22_Emp!$C:$C,"*" &amp; $A150 &amp; "*", S22_S25_Emp!$B:$B, "Bachelor")</f>
        <v>#VALUE!</v>
      </c>
      <c r="P150" s="43" t="str">
        <f>COUNTIFS(S22_Emp!$C:$C,"*" &amp; $A150 &amp; "*", S22_S25_Emp!$B:$B, "Master")</f>
        <v>#VALUE!</v>
      </c>
      <c r="Q150" s="43" t="str">
        <f>COUNTIFS(S22_Emp!$C:$C,"*" &amp; $A150 &amp; "*", S22_S25_Emp!$B:$B, "Doctorate")</f>
        <v>#VALUE!</v>
      </c>
      <c r="R150" s="43" t="str">
        <f t="array" ref="R150">IF(OR(INDEX(S26_CF!X:X, MATCH("*" &amp; $A150 &amp; "*", CompanyList!A:A, 0))=TRUE, INDEX(F25_CF!P:P, MATCH("*" &amp; $A150 &amp; "*", CompanyList!A:A, 0))=TRUE, INDEX(S25_CF!T:T, MATCH("*" &amp; $A150 &amp; "*", CompanyList!A:A, 0))=TRUE, INDEX(S24_CF!W:W, MATCH("*" &amp; $A150 &amp; "*", CompanyList!A:A, 0))=TRUE), "Yes", "No")</f>
        <v>No</v>
      </c>
      <c r="S150" s="43" t="str">
        <f>IF(COUNTIF(S26_CF!$A:$A,"*" &amp; $A150 &amp; "*") &lt;&gt; 0, "Yes", "No")</f>
        <v>No</v>
      </c>
      <c r="T150" s="43" t="str">
        <f t="array" ref="T150">INDEX(S26_CF!K:K, MATCH("*" &amp; $A150 &amp; "*", S26_CF!A:A, 0))</f>
        <v>#N/A</v>
      </c>
      <c r="U150" s="43" t="str">
        <f>IF(COUNTIF(F25_CF!$A:$A,"*" &amp; $A150 &amp; "*") &lt;&gt; 0, "Yes", "No")</f>
        <v>No</v>
      </c>
      <c r="V150" s="43" t="str">
        <f t="array" ref="V150">INDEX(F25_CF!I:I, MATCH("*" &amp; $A150 &amp; "*", F25_CF!$A:$A, 0))</f>
        <v>#N/A</v>
      </c>
      <c r="W150" s="43" t="str">
        <f>IF(COUNTIF(S25_CF!$A:$A,"*" &amp; $A150 &amp; "*") &lt;&gt; 0, "Yes", "No")</f>
        <v>Yes</v>
      </c>
      <c r="X150" s="43" t="str">
        <f t="array" ref="X150">INDEX(S25_CF!J:J, MATCH("*" &amp; $A150 &amp; "*", S25_CF!$A:$A, 0))</f>
        <v>Basic One-Day: Thursday, January 23rd [$1000.00]</v>
      </c>
      <c r="Y150" s="43" t="str">
        <f>IF(COUNTIF(F24_CF!$A:$A,"*" &amp; $A150 &amp; "*") &lt;&gt; 0, "Yes", "No")</f>
        <v>Yes</v>
      </c>
      <c r="Z150" s="43" t="str">
        <f t="array" ref="Z150">INDEX(F24_CF!N:N, MATCH("*" &amp; $A150 &amp; "*", F24_CF!$A:$A, 0))</f>
        <v>Basic One-Day: Wednesday, September 4th [$1000.00]</v>
      </c>
      <c r="AA150" s="43" t="str">
        <f>IF(COUNTIF(S24_CF!$A:$A,"*" &amp; $A150 &amp; "*") &lt;&gt; 0, "Yes", "No")</f>
        <v>Yes</v>
      </c>
      <c r="AB150" s="43" t="str">
        <f t="array" ref="AB150">INDEX(S24_CF!H:H, MATCH("*" &amp; $A150 &amp; "*", S24_CF!$A:$A, 0))</f>
        <v>Basic One-Day [$1000.00]</v>
      </c>
    </row>
    <row r="151" ht="15.0" customHeight="1">
      <c r="A151" s="52" t="s">
        <v>206</v>
      </c>
      <c r="B151" s="43" t="s">
        <v>54</v>
      </c>
      <c r="C151" s="43">
        <v>4200.0</v>
      </c>
      <c r="D151" s="43">
        <v>20000.0</v>
      </c>
      <c r="E151" s="43">
        <v>2.0</v>
      </c>
      <c r="F151" s="43">
        <f>COUNTIF(S26_Emp!$C:$C,"*" &amp;A151 &amp; "*")</f>
        <v>0</v>
      </c>
      <c r="G151" s="43">
        <f>COUNTIF(F25_Emp!$C:$C,"*" &amp;#REF! &amp; "*")</f>
        <v>0</v>
      </c>
      <c r="H151" s="43">
        <f>COUNTIF(S25_Emp!$C:$C,"*" &amp; A151 &amp; "*")</f>
        <v>0</v>
      </c>
      <c r="I151" s="43">
        <f>COUNTIF(F24_Emp!$C:$C,"*" &amp; B151 &amp; "*")</f>
        <v>1</v>
      </c>
      <c r="J151" s="43">
        <f>COUNTIF(S24_Emp!$C:$C,"*" &amp; $A151 &amp; "*")</f>
        <v>0</v>
      </c>
      <c r="K151" s="43">
        <f>COUNTIF(F23_Emp!$C:$C,"*" &amp; $A151 &amp; "*")</f>
        <v>0</v>
      </c>
      <c r="L151" s="43">
        <f>COUNTIF(S23_Emp!$C:$C,"*" &amp; $A151 &amp; "*")</f>
        <v>0</v>
      </c>
      <c r="M151" s="43">
        <f>COUNTIF(F22_Emp!$C:$C,"*" &amp; $A151 &amp; "*")</f>
        <v>0</v>
      </c>
      <c r="N151" s="43">
        <f>COUNTIF(S22_Emp!$C:$C,"*" &amp; $A151 &amp; "*")</f>
        <v>0</v>
      </c>
      <c r="O151" s="43" t="str">
        <f>COUNTIFS(S22_Emp!$C:$C,"*" &amp; $A151 &amp; "*", S22_S25_Emp!$B:$B, "Bachelor")</f>
        <v>#VALUE!</v>
      </c>
      <c r="P151" s="43" t="str">
        <f>COUNTIFS(S22_Emp!$C:$C,"*" &amp; $A151 &amp; "*", S22_S25_Emp!$B:$B, "Master")</f>
        <v>#VALUE!</v>
      </c>
      <c r="Q151" s="43" t="str">
        <f>COUNTIFS(S22_Emp!$C:$C,"*" &amp; $A151 &amp; "*", S22_S25_Emp!$B:$B, "Doctorate")</f>
        <v>#VALUE!</v>
      </c>
      <c r="R151" s="43" t="str">
        <f t="array" ref="R151">IF(OR(INDEX(S26_CF!X:X, MATCH("*" &amp; $A151 &amp; "*", CompanyList!A:A, 0))=TRUE, INDEX(F25_CF!P:P, MATCH("*" &amp; $A151 &amp; "*", CompanyList!A:A, 0))=TRUE, INDEX(S25_CF!T:T, MATCH("*" &amp; $A151 &amp; "*", CompanyList!A:A, 0))=TRUE, INDEX(S24_CF!W:W, MATCH("*" &amp; $A151 &amp; "*", CompanyList!A:A, 0))=TRUE), "Yes", "No")</f>
        <v>No</v>
      </c>
      <c r="S151" s="43" t="str">
        <f>IF(COUNTIF(S26_CF!$A:$A,"*" &amp; $A151 &amp; "*") &lt;&gt; 0, "Yes", "No")</f>
        <v>No</v>
      </c>
      <c r="T151" s="43" t="str">
        <f t="array" ref="T151">INDEX(S26_CF!K:K, MATCH("*" &amp; $A151 &amp; "*", S26_CF!A:A, 0))</f>
        <v>#N/A</v>
      </c>
      <c r="U151" s="43" t="str">
        <f>IF(COUNTIF(F25_CF!$A:$A,"*" &amp; $A151 &amp; "*") &lt;&gt; 0, "Yes", "No")</f>
        <v>Yes</v>
      </c>
      <c r="V151" s="43" t="str">
        <f t="array" ref="V151">INDEX(F25_CF!I:I, MATCH("*" &amp; $A151 &amp; "*", F25_CF!$A:$A, 0))</f>
        <v>Basic One-Day: Thursday, September 11th [$1000.00]</v>
      </c>
      <c r="W151" s="43" t="str">
        <f>IF(COUNTIF(S25_CF!$A:$A,"*" &amp; $A151 &amp; "*") &lt;&gt; 0, "Yes", "No")</f>
        <v>No</v>
      </c>
      <c r="X151" s="43" t="str">
        <f t="array" ref="X151">INDEX(S25_CF!J:J, MATCH("*" &amp; $A151 &amp; "*", S25_CF!$A:$A, 0))</f>
        <v>#N/A</v>
      </c>
      <c r="Y151" s="43" t="str">
        <f>IF(COUNTIF(F24_CF!$A:$A,"*" &amp; $A151 &amp; "*") &lt;&gt; 0, "Yes", "No")</f>
        <v>Yes</v>
      </c>
      <c r="Z151" s="43" t="str">
        <f t="array" ref="Z151">INDEX(F24_CF!N:N, MATCH("*" &amp; $A151 &amp; "*", F24_CF!$A:$A, 0))</f>
        <v>Basic One-Day: Wednesday, September 4th [$1000.00]</v>
      </c>
      <c r="AA151" s="43" t="str">
        <f>IF(COUNTIF(S24_CF!$A:$A,"*" &amp; $A151 &amp; "*") &lt;&gt; 0, "Yes", "No")</f>
        <v>Yes</v>
      </c>
      <c r="AB151" s="43" t="str">
        <f t="array" ref="AB151">INDEX(S24_CF!H:H, MATCH("*" &amp; $A151 &amp; "*", S24_CF!$A:$A, 0))</f>
        <v>Basic One-Day [$1000.00]</v>
      </c>
    </row>
    <row r="152" ht="15.0" customHeight="1">
      <c r="A152" s="52" t="s">
        <v>207</v>
      </c>
      <c r="B152" s="43" t="s">
        <v>61</v>
      </c>
      <c r="C152" s="43"/>
      <c r="D152" s="43">
        <v>10000.0</v>
      </c>
      <c r="E152" s="43"/>
      <c r="F152" s="43">
        <f>COUNTIF(S26_Emp!$C:$C,"*" &amp;A152 &amp; "*")</f>
        <v>0</v>
      </c>
      <c r="G152" s="43">
        <f>COUNTIF(F25_Emp!$C:$C,"*" &amp;#REF! &amp; "*")</f>
        <v>0</v>
      </c>
      <c r="H152" s="43">
        <f>COUNTIF(S25_Emp!$C:$C,"*" &amp; A152 &amp; "*")</f>
        <v>1</v>
      </c>
      <c r="I152" s="43">
        <f>COUNTIF(F24_Emp!$C:$C,"*" &amp; B152 &amp; "*")</f>
        <v>0</v>
      </c>
      <c r="J152" s="43">
        <f>COUNTIF(S24_Emp!$C:$C,"*" &amp; $A152 &amp; "*")</f>
        <v>3</v>
      </c>
      <c r="K152" s="43">
        <f>COUNTIF(F23_Emp!$C:$C,"*" &amp; $A152 &amp; "*")</f>
        <v>0</v>
      </c>
      <c r="L152" s="43">
        <f>COUNTIF(S23_Emp!$C:$C,"*" &amp; $A152 &amp; "*")</f>
        <v>0</v>
      </c>
      <c r="M152" s="43">
        <f>COUNTIF(F22_Emp!$C:$C,"*" &amp; $A152 &amp; "*")</f>
        <v>0</v>
      </c>
      <c r="N152" s="43">
        <f>COUNTIF(S22_Emp!$C:$C,"*" &amp; $A152 &amp; "*")</f>
        <v>0</v>
      </c>
      <c r="O152" s="43" t="str">
        <f>COUNTIFS(S22_Emp!$C:$C,"*" &amp; $A152 &amp; "*", S22_S25_Emp!$B:$B, "Bachelor")</f>
        <v>#VALUE!</v>
      </c>
      <c r="P152" s="43" t="str">
        <f>COUNTIFS(S22_Emp!$C:$C,"*" &amp; $A152 &amp; "*", S22_S25_Emp!$B:$B, "Master")</f>
        <v>#VALUE!</v>
      </c>
      <c r="Q152" s="43" t="str">
        <f>COUNTIFS(S22_Emp!$C:$C,"*" &amp; $A152 &amp; "*", S22_S25_Emp!$B:$B, "Doctorate")</f>
        <v>#VALUE!</v>
      </c>
      <c r="R152" s="43" t="str">
        <f t="array" ref="R152">IF(OR(INDEX(S26_CF!X:X, MATCH("*" &amp; $A152 &amp; "*", CompanyList!A:A, 0))=TRUE, INDEX(F25_CF!P:P, MATCH("*" &amp; $A152 &amp; "*", CompanyList!A:A, 0))=TRUE, INDEX(S25_CF!T:T, MATCH("*" &amp; $A152 &amp; "*", CompanyList!A:A, 0))=TRUE, INDEX(S24_CF!W:W, MATCH("*" &amp; $A152 &amp; "*", CompanyList!A:A, 0))=TRUE), "Yes", "No")</f>
        <v>No</v>
      </c>
      <c r="S152" s="43" t="str">
        <f>IF(COUNTIF(S26_CF!$A:$A,"*" &amp; $A152 &amp; "*") &lt;&gt; 0, "Yes", "No")</f>
        <v>Yes</v>
      </c>
      <c r="T152" s="43" t="str">
        <f t="array" ref="T152">INDEX(S26_CF!K:K, MATCH("*" &amp; $A152 &amp; "*", S26_CF!A:A, 0))</f>
        <v>Basic One-Day: Wednesday, January 28th [$1000.00]</v>
      </c>
      <c r="U152" s="43" t="str">
        <f>IF(COUNTIF(F25_CF!$A:$A,"*" &amp; $A152 &amp; "*") &lt;&gt; 0, "Yes", "No")</f>
        <v>Yes</v>
      </c>
      <c r="V152" s="43" t="str">
        <f t="array" ref="V152">INDEX(F25_CF!I:I, MATCH("*" &amp; $A152 &amp; "*", F25_CF!$A:$A, 0))</f>
        <v>Basic Two-Day [$2000.00]</v>
      </c>
      <c r="W152" s="43" t="str">
        <f>IF(COUNTIF(S25_CF!$A:$A,"*" &amp; $A152 &amp; "*") &lt;&gt; 0, "Yes", "No")</f>
        <v>Yes</v>
      </c>
      <c r="X152" s="43" t="str">
        <f t="array" ref="X152">INDEX(S25_CF!J:J, MATCH("*" &amp; $A152 &amp; "*", S25_CF!$A:$A, 0))</f>
        <v>Basic Two-Day [$2000.00]</v>
      </c>
      <c r="Y152" s="43" t="str">
        <f>IF(COUNTIF(F24_CF!$A:$A,"*" &amp; $A152 &amp; "*") &lt;&gt; 0, "Yes", "No")</f>
        <v>Yes</v>
      </c>
      <c r="Z152" s="43" t="str">
        <f t="array" ref="Z152">INDEX(F24_CF!N:N, MATCH("*" &amp; $A152 &amp; "*", F24_CF!$A:$A, 0))</f>
        <v>Basic One-Day: Wednesday, September 4th [$1000.00]</v>
      </c>
      <c r="AA152" s="43" t="str">
        <f>IF(COUNTIF(S24_CF!$A:$A,"*" &amp; $A152 &amp; "*") &lt;&gt; 0, "Yes", "No")</f>
        <v>Yes</v>
      </c>
      <c r="AB152" s="43" t="str">
        <f t="array" ref="AB152">INDEX(S24_CF!H:H, MATCH("*" &amp; $A152 &amp; "*", S24_CF!$A:$A, 0))</f>
        <v>Basic Two-Day [$2000.00]</v>
      </c>
    </row>
    <row r="153" ht="15.0" customHeight="1">
      <c r="A153" s="52" t="s">
        <v>208</v>
      </c>
      <c r="B153" s="43" t="s">
        <v>54</v>
      </c>
      <c r="C153" s="43">
        <v>8500.0</v>
      </c>
      <c r="D153" s="43">
        <v>34000.0</v>
      </c>
      <c r="E153" s="43">
        <v>7.0</v>
      </c>
      <c r="F153" s="43">
        <f>COUNTIF(S26_Emp!$C:$C,"*" &amp;A153 &amp; "*")</f>
        <v>0</v>
      </c>
      <c r="G153" s="43">
        <f>COUNTIF(F25_Emp!$C:$C,"*" &amp;#REF! &amp; "*")</f>
        <v>0</v>
      </c>
      <c r="H153" s="43">
        <f>COUNTIF(S25_Emp!$C:$C,"*" &amp; A153 &amp; "*")</f>
        <v>6</v>
      </c>
      <c r="I153" s="43">
        <f>COUNTIF(F24_Emp!$C:$C,"*" &amp; B153 &amp; "*")</f>
        <v>1</v>
      </c>
      <c r="J153" s="43">
        <f>COUNTIF(S24_Emp!$C:$C,"*" &amp; $A153 &amp; "*")</f>
        <v>5</v>
      </c>
      <c r="K153" s="43">
        <f>COUNTIF(F23_Emp!$C:$C,"*" &amp; $A153 &amp; "*")</f>
        <v>4</v>
      </c>
      <c r="L153" s="43">
        <f>COUNTIF(S23_Emp!$C:$C,"*" &amp; $A153 &amp; "*")</f>
        <v>4</v>
      </c>
      <c r="M153" s="43">
        <f>COUNTIF(F22_Emp!$C:$C,"*" &amp; $A153 &amp; "*")</f>
        <v>6</v>
      </c>
      <c r="N153" s="43">
        <f>COUNTIF(S22_Emp!$C:$C,"*" &amp; $A153 &amp; "*")</f>
        <v>3</v>
      </c>
      <c r="O153" s="43" t="str">
        <f>COUNTIFS(S22_Emp!$C:$C,"*" &amp; $A153 &amp; "*", S22_S25_Emp!$B:$B, "Bachelor")</f>
        <v>#VALUE!</v>
      </c>
      <c r="P153" s="43" t="str">
        <f>COUNTIFS(S22_Emp!$C:$C,"*" &amp; $A153 &amp; "*", S22_S25_Emp!$B:$B, "Master")</f>
        <v>#VALUE!</v>
      </c>
      <c r="Q153" s="43" t="str">
        <f>COUNTIFS(S22_Emp!$C:$C,"*" &amp; $A153 &amp; "*", S22_S25_Emp!$B:$B, "Doctorate")</f>
        <v>#VALUE!</v>
      </c>
      <c r="R153" s="43" t="str">
        <f t="array" ref="R153">IF(OR(INDEX(S26_CF!X:X, MATCH("*" &amp; $A153 &amp; "*", CompanyList!A:A, 0))=TRUE, INDEX(F25_CF!P:P, MATCH("*" &amp; $A153 &amp; "*", CompanyList!A:A, 0))=TRUE, INDEX(S25_CF!T:T, MATCH("*" &amp; $A153 &amp; "*", CompanyList!A:A, 0))=TRUE, INDEX(S24_CF!W:W, MATCH("*" &amp; $A153 &amp; "*", CompanyList!A:A, 0))=TRUE), "Yes", "No")</f>
        <v>Yes</v>
      </c>
      <c r="S153" s="43" t="str">
        <f>IF(COUNTIF(S26_CF!$A:$A,"*" &amp; $A153 &amp; "*") &lt;&gt; 0, "Yes", "No")</f>
        <v>Yes</v>
      </c>
      <c r="T153" s="43" t="str">
        <f t="array" ref="T153">INDEX(S26_CF!K:K, MATCH("*" &amp; $A153 &amp; "*", S26_CF!A:A, 0))</f>
        <v>Basic Two-Day [$2000.00]</v>
      </c>
      <c r="U153" s="43" t="str">
        <f>IF(COUNTIF(F25_CF!$A:$A,"*" &amp; $A153 &amp; "*") &lt;&gt; 0, "Yes", "No")</f>
        <v>Yes</v>
      </c>
      <c r="V153" s="43" t="str">
        <f t="array" ref="V153">INDEX(F25_CF!I:I, MATCH("*" &amp; $A153 &amp; "*", F25_CF!$A:$A, 0))</f>
        <v>Basic One-Day: Wednesday, September 10th [$1000.00]</v>
      </c>
      <c r="W153" s="43" t="str">
        <f>IF(COUNTIF(S25_CF!$A:$A,"*" &amp; $A153 &amp; "*") &lt;&gt; 0, "Yes", "No")</f>
        <v>Yes</v>
      </c>
      <c r="X153" s="43" t="str">
        <f t="array" ref="X153">INDEX(S25_CF!J:J, MATCH("*" &amp; $A153 &amp; "*", S25_CF!$A:$A, 0))</f>
        <v>Basic One-Day: Thursday, January 23rd [$1000.00]</v>
      </c>
      <c r="Y153" s="43" t="str">
        <f>IF(COUNTIF(F24_CF!$A:$A,"*" &amp; $A153 &amp; "*") &lt;&gt; 0, "Yes", "No")</f>
        <v>Yes</v>
      </c>
      <c r="Z153" s="43" t="str">
        <f t="array" ref="Z153">INDEX(F24_CF!N:N, MATCH("*" &amp; $A153 &amp; "*", F24_CF!$A:$A, 0))</f>
        <v>Basic Two-Day [$2000.00]</v>
      </c>
      <c r="AA153" s="43" t="str">
        <f>IF(COUNTIF(S24_CF!$A:$A,"*" &amp; $A153 &amp; "*") &lt;&gt; 0, "Yes", "No")</f>
        <v>Yes</v>
      </c>
      <c r="AB153" s="43" t="str">
        <f t="array" ref="AB153">INDEX(S24_CF!H:H, MATCH("*" &amp; $A153 &amp; "*", S24_CF!$A:$A, 0))</f>
        <v>Basic Two-Day [$2000.00]</v>
      </c>
    </row>
    <row r="154" ht="15.0" customHeight="1">
      <c r="A154" s="52" t="s">
        <v>209</v>
      </c>
      <c r="B154" s="43" t="s">
        <v>54</v>
      </c>
      <c r="C154" s="43">
        <v>34000.0</v>
      </c>
      <c r="D154" s="43">
        <v>32000.0</v>
      </c>
      <c r="E154" s="43">
        <v>45.0</v>
      </c>
      <c r="F154" s="43">
        <f>COUNTIF(S26_Emp!$C:$C,"*" &amp;A154 &amp; "*")</f>
        <v>0</v>
      </c>
      <c r="G154" s="43">
        <f>COUNTIF(F25_Emp!$C:$C,"*" &amp;#REF! &amp; "*")</f>
        <v>0</v>
      </c>
      <c r="H154" s="43">
        <f>COUNTIF(S25_Emp!$C:$C,"*" &amp; A154 &amp; "*")</f>
        <v>0</v>
      </c>
      <c r="I154" s="43">
        <f>COUNTIF(F24_Emp!$C:$C,"*" &amp; B154 &amp; "*")</f>
        <v>1</v>
      </c>
      <c r="J154" s="43">
        <f>COUNTIF(S24_Emp!$C:$C,"*" &amp; $A154 &amp; "*")</f>
        <v>0</v>
      </c>
      <c r="K154" s="43">
        <f>COUNTIF(F23_Emp!$C:$C,"*" &amp; $A154 &amp; "*")</f>
        <v>1</v>
      </c>
      <c r="L154" s="43">
        <f>COUNTIF(S23_Emp!$C:$C,"*" &amp; $A154 &amp; "*")</f>
        <v>0</v>
      </c>
      <c r="M154" s="43">
        <f>COUNTIF(F22_Emp!$C:$C,"*" &amp; $A154 &amp; "*")</f>
        <v>0</v>
      </c>
      <c r="N154" s="43">
        <f>COUNTIF(S22_Emp!$C:$C,"*" &amp; $A154 &amp; "*")</f>
        <v>0</v>
      </c>
      <c r="O154" s="43" t="str">
        <f>COUNTIFS(S22_Emp!$C:$C,"*" &amp; $A154 &amp; "*", S22_S25_Emp!$B:$B, "Bachelor")</f>
        <v>#VALUE!</v>
      </c>
      <c r="P154" s="43" t="str">
        <f>COUNTIFS(S22_Emp!$C:$C,"*" &amp; $A154 &amp; "*", S22_S25_Emp!$B:$B, "Master")</f>
        <v>#VALUE!</v>
      </c>
      <c r="Q154" s="43" t="str">
        <f>COUNTIFS(S22_Emp!$C:$C,"*" &amp; $A154 &amp; "*", S22_S25_Emp!$B:$B, "Doctorate")</f>
        <v>#VALUE!</v>
      </c>
      <c r="R154" s="43" t="str">
        <f t="array" ref="R154">IF(OR(INDEX(S26_CF!X:X, MATCH("*" &amp; $A154 &amp; "*", CompanyList!A:A, 0))=TRUE, INDEX(F25_CF!P:P, MATCH("*" &amp; $A154 &amp; "*", CompanyList!A:A, 0))=TRUE, INDEX(S25_CF!T:T, MATCH("*" &amp; $A154 &amp; "*", CompanyList!A:A, 0))=TRUE, INDEX(S24_CF!W:W, MATCH("*" &amp; $A154 &amp; "*", CompanyList!A:A, 0))=TRUE), "Yes", "No")</f>
        <v>Yes</v>
      </c>
      <c r="S154" s="43" t="str">
        <f>IF(COUNTIF(S26_CF!$A:$A,"*" &amp; $A154 &amp; "*") &lt;&gt; 0, "Yes", "No")</f>
        <v>No</v>
      </c>
      <c r="T154" s="43" t="str">
        <f t="array" ref="T154">INDEX(S26_CF!K:K, MATCH("*" &amp; $A154 &amp; "*", S26_CF!A:A, 0))</f>
        <v>#N/A</v>
      </c>
      <c r="U154" s="43" t="str">
        <f>IF(COUNTIF(F25_CF!$A:$A,"*" &amp; $A154 &amp; "*") &lt;&gt; 0, "Yes", "No")</f>
        <v>No</v>
      </c>
      <c r="V154" s="43" t="str">
        <f t="array" ref="V154">INDEX(F25_CF!I:I, MATCH("*" &amp; $A154 &amp; "*", F25_CF!$A:$A, 0))</f>
        <v>#N/A</v>
      </c>
      <c r="W154" s="43" t="str">
        <f>IF(COUNTIF(S25_CF!$A:$A,"*" &amp; $A154 &amp; "*") &lt;&gt; 0, "Yes", "No")</f>
        <v>Yes</v>
      </c>
      <c r="X154" s="43" t="str">
        <f t="array" ref="X154">INDEX(S25_CF!J:J, MATCH("*" &amp; $A154 &amp; "*", S25_CF!$A:$A, 0))</f>
        <v>Basic One-Day: Thursday, January 23rd [$1000.00]</v>
      </c>
      <c r="Y154" s="43" t="str">
        <f>IF(COUNTIF(F24_CF!$A:$A,"*" &amp; $A154 &amp; "*") &lt;&gt; 0, "Yes", "No")</f>
        <v>Yes</v>
      </c>
      <c r="Z154" s="43" t="str">
        <f t="array" ref="Z154">INDEX(F24_CF!N:N, MATCH("*" &amp; $A154 &amp; "*", F24_CF!$A:$A, 0))</f>
        <v>Silver Two-Day [$3000.00]</v>
      </c>
      <c r="AA154" s="43" t="str">
        <f>IF(COUNTIF(S24_CF!$A:$A,"*" &amp; $A154 &amp; "*") &lt;&gt; 0, "Yes", "No")</f>
        <v>Yes</v>
      </c>
      <c r="AB154" s="43" t="str">
        <f t="array" ref="AB154">INDEX(S24_CF!H:H, MATCH("*" &amp; $A154 &amp; "*", S24_CF!$A:$A, 0))</f>
        <v>Silver Two-Day [$3000.00]</v>
      </c>
    </row>
    <row r="155" ht="15.0" customHeight="1">
      <c r="A155" s="52" t="s">
        <v>210</v>
      </c>
      <c r="B155" s="43" t="s">
        <v>54</v>
      </c>
      <c r="C155" s="43">
        <v>13200.0</v>
      </c>
      <c r="D155" s="43">
        <v>34000.0</v>
      </c>
      <c r="E155" s="43">
        <v>65.0</v>
      </c>
      <c r="F155" s="43">
        <f>COUNTIF(S26_Emp!$C:$C,"*" &amp;A155 &amp; "*")</f>
        <v>0</v>
      </c>
      <c r="G155" s="43">
        <f>COUNTIF(F25_Emp!$C:$C,"*" &amp;#REF! &amp; "*")</f>
        <v>0</v>
      </c>
      <c r="H155" s="43">
        <f>COUNTIF(S25_Emp!$C:$C,"*" &amp; A155 &amp; "*")</f>
        <v>2</v>
      </c>
      <c r="I155" s="43">
        <f>COUNTIF(F24_Emp!$C:$C,"*" &amp; B155 &amp; "*")</f>
        <v>1</v>
      </c>
      <c r="J155" s="43">
        <f>COUNTIF(S24_Emp!$C:$C,"*" &amp; $A155 &amp; "*")</f>
        <v>4</v>
      </c>
      <c r="K155" s="43">
        <f>COUNTIF(F23_Emp!$C:$C,"*" &amp; $A155 &amp; "*")</f>
        <v>2</v>
      </c>
      <c r="L155" s="43">
        <f>COUNTIF(S23_Emp!$C:$C,"*" &amp; $A155 &amp; "*")</f>
        <v>4</v>
      </c>
      <c r="M155" s="43">
        <f>COUNTIF(F22_Emp!$C:$C,"*" &amp; $A155 &amp; "*")</f>
        <v>1</v>
      </c>
      <c r="N155" s="43">
        <f>COUNTIF(S22_Emp!$C:$C,"*" &amp; $A155 &amp; "*")</f>
        <v>2</v>
      </c>
      <c r="O155" s="43" t="str">
        <f>COUNTIFS(S22_Emp!$C:$C,"*" &amp; $A155 &amp; "*", S22_S25_Emp!$B:$B, "Bachelor")</f>
        <v>#VALUE!</v>
      </c>
      <c r="P155" s="43" t="str">
        <f>COUNTIFS(S22_Emp!$C:$C,"*" &amp; $A155 &amp; "*", S22_S25_Emp!$B:$B, "Master")</f>
        <v>#VALUE!</v>
      </c>
      <c r="Q155" s="43" t="str">
        <f>COUNTIFS(S22_Emp!$C:$C,"*" &amp; $A155 &amp; "*", S22_S25_Emp!$B:$B, "Doctorate")</f>
        <v>#VALUE!</v>
      </c>
      <c r="R155" s="43" t="str">
        <f t="array" ref="R155">IF(OR(INDEX(S26_CF!X:X, MATCH("*" &amp; $A155 &amp; "*", CompanyList!A:A, 0))=TRUE, INDEX(F25_CF!P:P, MATCH("*" &amp; $A155 &amp; "*", CompanyList!A:A, 0))=TRUE, INDEX(S25_CF!T:T, MATCH("*" &amp; $A155 &amp; "*", CompanyList!A:A, 0))=TRUE, INDEX(S24_CF!W:W, MATCH("*" &amp; $A155 &amp; "*", CompanyList!A:A, 0))=TRUE), "Yes", "No")</f>
        <v>No</v>
      </c>
      <c r="S155" s="43" t="str">
        <f>IF(COUNTIF(S26_CF!$A:$A,"*" &amp; $A155 &amp; "*") &lt;&gt; 0, "Yes", "No")</f>
        <v>Yes</v>
      </c>
      <c r="T155" s="43" t="str">
        <f t="array" ref="T155">INDEX(S26_CF!K:K, MATCH("*" &amp; $A155 &amp; "*", S26_CF!A:A, 0))</f>
        <v>Gold One-Day: Wednesday, January 28th [$2500.00]</v>
      </c>
      <c r="U155" s="43" t="str">
        <f>IF(COUNTIF(F25_CF!$A:$A,"*" &amp; $A155 &amp; "*") &lt;&gt; 0, "Yes", "No")</f>
        <v>Yes</v>
      </c>
      <c r="V155" s="43" t="str">
        <f t="array" ref="V155">INDEX(F25_CF!I:I, MATCH("*" &amp; $A155 &amp; "*", F25_CF!$A:$A, 0))</f>
        <v>Gold One-Day: Wednesday, September 10th [$2500.00]</v>
      </c>
      <c r="W155" s="43" t="str">
        <f>IF(COUNTIF(S25_CF!$A:$A,"*" &amp; $A155 &amp; "*") &lt;&gt; 0, "Yes", "No")</f>
        <v>Yes</v>
      </c>
      <c r="X155" s="43" t="str">
        <f t="array" ref="X155">INDEX(S25_CF!J:J, MATCH("*" &amp; $A155 &amp; "*", S25_CF!$A:$A, 0))</f>
        <v>Gold One-Day: Wednesday, January 22nd [$2500.00]</v>
      </c>
      <c r="Y155" s="43" t="str">
        <f>IF(COUNTIF(F24_CF!$A:$A,"*" &amp; $A155 &amp; "*") &lt;&gt; 0, "Yes", "No")</f>
        <v>Yes</v>
      </c>
      <c r="Z155" s="43" t="str">
        <f t="array" ref="Z155">INDEX(F24_CF!N:N, MATCH("*" &amp; $A155 &amp; "*", F24_CF!$A:$A, 0))</f>
        <v>Gold One-Day: Wednesday, September 4th [$2500.00]</v>
      </c>
      <c r="AA155" s="43" t="str">
        <f>IF(COUNTIF(S24_CF!$A:$A,"*" &amp; $A155 &amp; "*") &lt;&gt; 0, "Yes", "No")</f>
        <v>Yes</v>
      </c>
      <c r="AB155" s="43" t="str">
        <f t="array" ref="AB155">INDEX(S24_CF!H:H, MATCH("*" &amp; $A155 &amp; "*", S24_CF!$A:$A, 0))</f>
        <v>Gold One-Day [$2500.00]</v>
      </c>
    </row>
    <row r="156" ht="15.0" customHeight="1">
      <c r="A156" s="52" t="s">
        <v>211</v>
      </c>
      <c r="B156" s="43" t="s">
        <v>54</v>
      </c>
      <c r="C156" s="43">
        <v>2400.0</v>
      </c>
      <c r="D156" s="43">
        <v>10000.0</v>
      </c>
      <c r="E156" s="43">
        <v>2.5</v>
      </c>
      <c r="F156" s="43">
        <f>COUNTIF(S26_Emp!$C:$C,"*" &amp;A156 &amp; "*")</f>
        <v>0</v>
      </c>
      <c r="G156" s="43">
        <f>COUNTIF(F25_Emp!$C:$C,"*" &amp;#REF! &amp; "*")</f>
        <v>0</v>
      </c>
      <c r="H156" s="43">
        <f>COUNTIF(S25_Emp!$C:$C,"*" &amp; A156 &amp; "*")</f>
        <v>0</v>
      </c>
      <c r="I156" s="43">
        <f>COUNTIF(F24_Emp!$C:$C,"*" &amp; B156 &amp; "*")</f>
        <v>1</v>
      </c>
      <c r="J156" s="43">
        <f>COUNTIF(S24_Emp!$C:$C,"*" &amp; $A156 &amp; "*")</f>
        <v>1</v>
      </c>
      <c r="K156" s="43">
        <f>COUNTIF(F23_Emp!$C:$C,"*" &amp; $A156 &amp; "*")</f>
        <v>0</v>
      </c>
      <c r="L156" s="43">
        <f>COUNTIF(S23_Emp!$C:$C,"*" &amp; $A156 &amp; "*")</f>
        <v>0</v>
      </c>
      <c r="M156" s="43">
        <f>COUNTIF(F22_Emp!$C:$C,"*" &amp; $A156 &amp; "*")</f>
        <v>3</v>
      </c>
      <c r="N156" s="43">
        <f>COUNTIF(S22_Emp!$C:$C,"*" &amp; $A156 &amp; "*")</f>
        <v>0</v>
      </c>
      <c r="O156" s="43" t="str">
        <f>COUNTIFS(S22_Emp!$C:$C,"*" &amp; $A156 &amp; "*", S22_S25_Emp!$B:$B, "Bachelor")</f>
        <v>#VALUE!</v>
      </c>
      <c r="P156" s="43" t="str">
        <f>COUNTIFS(S22_Emp!$C:$C,"*" &amp; $A156 &amp; "*", S22_S25_Emp!$B:$B, "Master")</f>
        <v>#VALUE!</v>
      </c>
      <c r="Q156" s="43" t="str">
        <f>COUNTIFS(S22_Emp!$C:$C,"*" &amp; $A156 &amp; "*", S22_S25_Emp!$B:$B, "Doctorate")</f>
        <v>#VALUE!</v>
      </c>
      <c r="R156" s="43" t="str">
        <f t="array" ref="R156">IF(OR(INDEX(S26_CF!X:X, MATCH("*" &amp; $A156 &amp; "*", CompanyList!A:A, 0))=TRUE, INDEX(F25_CF!P:P, MATCH("*" &amp; $A156 &amp; "*", CompanyList!A:A, 0))=TRUE, INDEX(S25_CF!T:T, MATCH("*" &amp; $A156 &amp; "*", CompanyList!A:A, 0))=TRUE, INDEX(S24_CF!W:W, MATCH("*" &amp; $A156 &amp; "*", CompanyList!A:A, 0))=TRUE), "Yes", "No")</f>
        <v>No</v>
      </c>
      <c r="S156" s="43" t="str">
        <f>IF(COUNTIF(S26_CF!$A:$A,"*" &amp; $A156 &amp; "*") &lt;&gt; 0, "Yes", "No")</f>
        <v>Yes</v>
      </c>
      <c r="T156" s="43" t="str">
        <f t="array" ref="T156">INDEX(S26_CF!K:K, MATCH("*" &amp; $A156 &amp; "*", S26_CF!A:A, 0))</f>
        <v>Basic One-Day: Wednesday, January 28th [$1000.00]</v>
      </c>
      <c r="U156" s="43" t="str">
        <f>IF(COUNTIF(F25_CF!$A:$A,"*" &amp; $A156 &amp; "*") &lt;&gt; 0, "Yes", "No")</f>
        <v>No</v>
      </c>
      <c r="V156" s="43" t="str">
        <f t="array" ref="V156">INDEX(F25_CF!I:I, MATCH("*" &amp; $A156 &amp; "*", F25_CF!$A:$A, 0))</f>
        <v>#N/A</v>
      </c>
      <c r="W156" s="43" t="str">
        <f>IF(COUNTIF(S25_CF!$A:$A,"*" &amp; $A156 &amp; "*") &lt;&gt; 0, "Yes", "No")</f>
        <v>Yes</v>
      </c>
      <c r="X156" s="43" t="str">
        <f t="array" ref="X156">INDEX(S25_CF!J:J, MATCH("*" &amp; $A156 &amp; "*", S25_CF!$A:$A, 0))</f>
        <v>Silver One-Day: Thursday, January 23rd [$1800.00]</v>
      </c>
      <c r="Y156" s="43" t="str">
        <f>IF(COUNTIF(F24_CF!$A:$A,"*" &amp; $A156 &amp; "*") &lt;&gt; 0, "Yes", "No")</f>
        <v>No</v>
      </c>
      <c r="Z156" s="43" t="str">
        <f t="array" ref="Z156">INDEX(F24_CF!N:N, MATCH("*" &amp; $A156 &amp; "*", F24_CF!$A:$A, 0))</f>
        <v>#N/A</v>
      </c>
      <c r="AA156" s="43" t="str">
        <f>IF(COUNTIF(S24_CF!$A:$A,"*" &amp; $A156 &amp; "*") &lt;&gt; 0, "Yes", "No")</f>
        <v>Yes</v>
      </c>
      <c r="AB156" s="43" t="str">
        <f t="array" ref="AB156">INDEX(S24_CF!H:H, MATCH("*" &amp; $A156 &amp; "*", S24_CF!$A:$A, 0))</f>
        <v>Silver One-Day [$1800.00]</v>
      </c>
    </row>
    <row r="157" ht="15.0" customHeight="1">
      <c r="A157" s="52" t="s">
        <v>212</v>
      </c>
      <c r="B157" s="43" t="s">
        <v>52</v>
      </c>
      <c r="C157" s="43"/>
      <c r="D157" s="43"/>
      <c r="E157" s="43"/>
      <c r="F157" s="43">
        <f>COUNTIF(S26_Emp!$C:$C,"*" &amp;A157 &amp; "*")</f>
        <v>0</v>
      </c>
      <c r="G157" s="43">
        <f>COUNTIF(F25_Emp!$C:$C,"*" &amp;#REF! &amp; "*")</f>
        <v>0</v>
      </c>
      <c r="H157" s="43">
        <f>COUNTIF(S25_Emp!$C:$C,"*" &amp; A157 &amp; "*")</f>
        <v>0</v>
      </c>
      <c r="I157" s="43">
        <f>COUNTIF(F24_Emp!$C:$C,"*" &amp; B157 &amp; "*")</f>
        <v>0</v>
      </c>
      <c r="J157" s="43">
        <f>COUNTIF(S24_Emp!$C:$C,"*" &amp; $A157 &amp; "*")</f>
        <v>0</v>
      </c>
      <c r="K157" s="43">
        <f>COUNTIF(F23_Emp!$C:$C,"*" &amp; $A157 &amp; "*")</f>
        <v>0</v>
      </c>
      <c r="L157" s="43">
        <f>COUNTIF(S23_Emp!$C:$C,"*" &amp; $A157 &amp; "*")</f>
        <v>0</v>
      </c>
      <c r="M157" s="43">
        <f>COUNTIF(F22_Emp!$C:$C,"*" &amp; $A157 &amp; "*")</f>
        <v>0</v>
      </c>
      <c r="N157" s="43">
        <f>COUNTIF(S22_Emp!$C:$C,"*" &amp; $A157 &amp; "*")</f>
        <v>0</v>
      </c>
      <c r="O157" s="43" t="str">
        <f>COUNTIFS(S22_Emp!$C:$C,"*" &amp; $A157 &amp; "*", S22_S25_Emp!$B:$B, "Bachelor")</f>
        <v>#VALUE!</v>
      </c>
      <c r="P157" s="43" t="str">
        <f>COUNTIFS(S22_Emp!$C:$C,"*" &amp; $A157 &amp; "*", S22_S25_Emp!$B:$B, "Master")</f>
        <v>#VALUE!</v>
      </c>
      <c r="Q157" s="43" t="str">
        <f>COUNTIFS(S22_Emp!$C:$C,"*" &amp; $A157 &amp; "*", S22_S25_Emp!$B:$B, "Doctorate")</f>
        <v>#VALUE!</v>
      </c>
      <c r="R157" s="43" t="str">
        <f t="array" ref="R157">IF(OR(INDEX(S26_CF!X:X, MATCH("*" &amp; $A157 &amp; "*", CompanyList!A:A, 0))=TRUE, INDEX(F25_CF!P:P, MATCH("*" &amp; $A157 &amp; "*", CompanyList!A:A, 0))=TRUE, INDEX(S25_CF!T:T, MATCH("*" &amp; $A157 &amp; "*", CompanyList!A:A, 0))=TRUE, INDEX(S24_CF!W:W, MATCH("*" &amp; $A157 &amp; "*", CompanyList!A:A, 0))=TRUE), "Yes", "No")</f>
        <v>No</v>
      </c>
      <c r="S157" s="43" t="str">
        <f>IF(COUNTIF(S26_CF!$A:$A,"*" &amp; $A157 &amp; "*") &lt;&gt; 0, "Yes", "No")</f>
        <v>Yes</v>
      </c>
      <c r="T157" s="43" t="str">
        <f t="array" ref="T157">INDEX(S26_CF!K:K, MATCH("*" &amp; $A157 &amp; "*", S26_CF!A:A, 0))</f>
        <v>Basic Two-Day [$2000.00]</v>
      </c>
      <c r="U157" s="43" t="str">
        <f>IF(COUNTIF(F25_CF!$A:$A,"*" &amp; $A157 &amp; "*") &lt;&gt; 0, "Yes", "No")</f>
        <v>No</v>
      </c>
      <c r="V157" s="43" t="str">
        <f t="array" ref="V157">INDEX(F25_CF!I:I, MATCH("*" &amp; $A157 &amp; "*", F25_CF!$A:$A, 0))</f>
        <v>#N/A</v>
      </c>
      <c r="W157" s="43" t="str">
        <f>IF(COUNTIF(S25_CF!$A:$A,"*" &amp; $A157 &amp; "*") &lt;&gt; 0, "Yes", "No")</f>
        <v>Yes</v>
      </c>
      <c r="X157" s="43" t="str">
        <f t="array" ref="X157">INDEX(S25_CF!J:J, MATCH("*" &amp; $A157 &amp; "*", S25_CF!$A:$A, 0))</f>
        <v>Basic Two-Day [$2000.00]</v>
      </c>
      <c r="Y157" s="43" t="str">
        <f>IF(COUNTIF(F24_CF!$A:$A,"*" &amp; $A157 &amp; "*") &lt;&gt; 0, "Yes", "No")</f>
        <v>Yes</v>
      </c>
      <c r="Z157" s="43" t="str">
        <f t="array" ref="Z157">INDEX(F24_CF!N:N, MATCH("*" &amp; $A157 &amp; "*", F24_CF!$A:$A, 0))</f>
        <v>Basic Two-Day [$2000.00]</v>
      </c>
      <c r="AA157" s="43" t="str">
        <f>IF(COUNTIF(S24_CF!$A:$A,"*" &amp; $A157 &amp; "*") &lt;&gt; 0, "Yes", "No")</f>
        <v>Yes</v>
      </c>
      <c r="AB157" s="43" t="str">
        <f t="array" ref="AB157">INDEX(S24_CF!H:H, MATCH("*" &amp; $A157 &amp; "*", S24_CF!$A:$A, 0))</f>
        <v>Basic Two-Day [$2000.00]</v>
      </c>
    </row>
    <row r="158" ht="15.0" customHeight="1">
      <c r="A158" s="52" t="s">
        <v>213</v>
      </c>
      <c r="B158" s="43" t="s">
        <v>52</v>
      </c>
      <c r="C158" s="43"/>
      <c r="D158" s="43"/>
      <c r="E158" s="43"/>
      <c r="F158" s="43">
        <f>COUNTIF(S26_Emp!$C:$C,"*" &amp;A158 &amp; "*")</f>
        <v>0</v>
      </c>
      <c r="G158" s="43">
        <f>COUNTIF(F25_Emp!$C:$C,"*" &amp;#REF! &amp; "*")</f>
        <v>0</v>
      </c>
      <c r="H158" s="43">
        <f>COUNTIF(S25_Emp!$C:$C,"*" &amp; A158 &amp; "*")</f>
        <v>0</v>
      </c>
      <c r="I158" s="43">
        <f>COUNTIF(F24_Emp!$C:$C,"*" &amp; B158 &amp; "*")</f>
        <v>0</v>
      </c>
      <c r="J158" s="43">
        <f>COUNTIF(S24_Emp!$C:$C,"*" &amp; $A158 &amp; "*")</f>
        <v>1</v>
      </c>
      <c r="K158" s="43">
        <f>COUNTIF(F23_Emp!$C:$C,"*" &amp; $A158 &amp; "*")</f>
        <v>0</v>
      </c>
      <c r="L158" s="43">
        <f>COUNTIF(S23_Emp!$C:$C,"*" &amp; $A158 &amp; "*")</f>
        <v>1</v>
      </c>
      <c r="M158" s="43">
        <f>COUNTIF(F22_Emp!$C:$C,"*" &amp; $A158 &amp; "*")</f>
        <v>0</v>
      </c>
      <c r="N158" s="43">
        <f>COUNTIF(S22_Emp!$C:$C,"*" &amp; $A158 &amp; "*")</f>
        <v>1</v>
      </c>
      <c r="O158" s="43" t="str">
        <f>COUNTIFS(S22_Emp!$C:$C,"*" &amp; $A158 &amp; "*", S22_S25_Emp!$B:$B, "Bachelor")</f>
        <v>#VALUE!</v>
      </c>
      <c r="P158" s="43" t="str">
        <f>COUNTIFS(S22_Emp!$C:$C,"*" &amp; $A158 &amp; "*", S22_S25_Emp!$B:$B, "Master")</f>
        <v>#VALUE!</v>
      </c>
      <c r="Q158" s="43" t="str">
        <f>COUNTIFS(S22_Emp!$C:$C,"*" &amp; $A158 &amp; "*", S22_S25_Emp!$B:$B, "Doctorate")</f>
        <v>#VALUE!</v>
      </c>
      <c r="R158" s="43" t="str">
        <f t="array" ref="R158">IF(OR(INDEX(S26_CF!X:X, MATCH("*" &amp; $A158 &amp; "*", CompanyList!A:A, 0))=TRUE, INDEX(F25_CF!P:P, MATCH("*" &amp; $A158 &amp; "*", CompanyList!A:A, 0))=TRUE, INDEX(S25_CF!T:T, MATCH("*" &amp; $A158 &amp; "*", CompanyList!A:A, 0))=TRUE, INDEX(S24_CF!W:W, MATCH("*" &amp; $A158 &amp; "*", CompanyList!A:A, 0))=TRUE), "Yes", "No")</f>
        <v>Yes</v>
      </c>
      <c r="S158" s="43" t="str">
        <f>IF(COUNTIF(S26_CF!$A:$A,"*" &amp; $A158 &amp; "*") &lt;&gt; 0, "Yes", "No")</f>
        <v>Yes</v>
      </c>
      <c r="T158" s="43" t="str">
        <f t="array" ref="T158">INDEX(S26_CF!K:K, MATCH("*" &amp; $A158 &amp; "*", S26_CF!A:A, 0))</f>
        <v>Basic Two-Day [$2000.00]</v>
      </c>
      <c r="U158" s="43" t="str">
        <f>IF(COUNTIF(F25_CF!$A:$A,"*" &amp; $A158 &amp; "*") &lt;&gt; 0, "Yes", "No")</f>
        <v>Yes</v>
      </c>
      <c r="V158" s="43" t="str">
        <f t="array" ref="V158">INDEX(F25_CF!I:I, MATCH("*" &amp; $A158 &amp; "*", F25_CF!$A:$A, 0))</f>
        <v>Basic Two-Day [$2000.00]</v>
      </c>
      <c r="W158" s="43" t="str">
        <f>IF(COUNTIF(S25_CF!$A:$A,"*" &amp; $A158 &amp; "*") &lt;&gt; 0, "Yes", "No")</f>
        <v>Yes</v>
      </c>
      <c r="X158" s="43" t="str">
        <f t="array" ref="X158">INDEX(S25_CF!J:J, MATCH("*" &amp; $A158 &amp; "*", S25_CF!$A:$A, 0))</f>
        <v>Basic One-Day: Thursday, January 23rd [$1000.00]</v>
      </c>
      <c r="Y158" s="43" t="str">
        <f>IF(COUNTIF(F24_CF!$A:$A,"*" &amp; $A158 &amp; "*") &lt;&gt; 0, "Yes", "No")</f>
        <v>Yes</v>
      </c>
      <c r="Z158" s="43" t="str">
        <f t="array" ref="Z158">INDEX(F24_CF!N:N, MATCH("*" &amp; $A158 &amp; "*", F24_CF!$A:$A, 0))</f>
        <v>Basic Two-Day [$2000.00]</v>
      </c>
      <c r="AA158" s="43" t="str">
        <f>IF(COUNTIF(S24_CF!$A:$A,"*" &amp; $A158 &amp; "*") &lt;&gt; 0, "Yes", "No")</f>
        <v>Yes</v>
      </c>
      <c r="AB158" s="43" t="str">
        <f t="array" ref="AB158">INDEX(S24_CF!H:H, MATCH("*" &amp; $A158 &amp; "*", S24_CF!$A:$A, 0))</f>
        <v>Basic Two-Day [$2000.00]</v>
      </c>
    </row>
    <row r="159" ht="15.0" customHeight="1">
      <c r="A159" s="52" t="s">
        <v>214</v>
      </c>
      <c r="B159" s="43" t="s">
        <v>52</v>
      </c>
      <c r="C159" s="43"/>
      <c r="D159" s="43"/>
      <c r="E159" s="43"/>
      <c r="F159" s="43">
        <f>COUNTIF(S26_Emp!$C:$C,"*" &amp;A159 &amp; "*")</f>
        <v>0</v>
      </c>
      <c r="G159" s="43">
        <f>COUNTIF(F25_Emp!$C:$C,"*" &amp;#REF! &amp; "*")</f>
        <v>0</v>
      </c>
      <c r="H159" s="43">
        <f>COUNTIF(S25_Emp!$C:$C,"*" &amp; A159 &amp; "*")</f>
        <v>3</v>
      </c>
      <c r="I159" s="43">
        <f>COUNTIF(F24_Emp!$C:$C,"*" &amp; B159 &amp; "*")</f>
        <v>0</v>
      </c>
      <c r="J159" s="43">
        <f>COUNTIF(S24_Emp!$C:$C,"*" &amp; $A159 &amp; "*")</f>
        <v>0</v>
      </c>
      <c r="K159" s="43">
        <f>COUNTIF(F23_Emp!$C:$C,"*" &amp; $A159 &amp; "*")</f>
        <v>1</v>
      </c>
      <c r="L159" s="43">
        <f>COUNTIF(S23_Emp!$C:$C,"*" &amp; $A159 &amp; "*")</f>
        <v>1</v>
      </c>
      <c r="M159" s="43">
        <f>COUNTIF(F22_Emp!$C:$C,"*" &amp; $A159 &amp; "*")</f>
        <v>1</v>
      </c>
      <c r="N159" s="43">
        <f>COUNTIF(S22_Emp!$C:$C,"*" &amp; $A159 &amp; "*")</f>
        <v>0</v>
      </c>
      <c r="O159" s="43" t="str">
        <f>COUNTIFS(S22_Emp!$C:$C,"*" &amp; $A159 &amp; "*", S22_S25_Emp!$B:$B, "Bachelor")</f>
        <v>#VALUE!</v>
      </c>
      <c r="P159" s="43" t="str">
        <f>COUNTIFS(S22_Emp!$C:$C,"*" &amp; $A159 &amp; "*", S22_S25_Emp!$B:$B, "Master")</f>
        <v>#VALUE!</v>
      </c>
      <c r="Q159" s="43" t="str">
        <f>COUNTIFS(S22_Emp!$C:$C,"*" &amp; $A159 &amp; "*", S22_S25_Emp!$B:$B, "Doctorate")</f>
        <v>#VALUE!</v>
      </c>
      <c r="R159" s="43" t="str">
        <f t="array" ref="R159">IF(OR(INDEX(S26_CF!X:X, MATCH("*" &amp; $A159 &amp; "*", CompanyList!A:A, 0))=TRUE, INDEX(F25_CF!P:P, MATCH("*" &amp; $A159 &amp; "*", CompanyList!A:A, 0))=TRUE, INDEX(S25_CF!T:T, MATCH("*" &amp; $A159 &amp; "*", CompanyList!A:A, 0))=TRUE, INDEX(S24_CF!W:W, MATCH("*" &amp; $A159 &amp; "*", CompanyList!A:A, 0))=TRUE), "Yes", "No")</f>
        <v>No</v>
      </c>
      <c r="S159" s="43" t="str">
        <f>IF(COUNTIF(S26_CF!$A:$A,"*" &amp; $A159 &amp; "*") &lt;&gt; 0, "Yes", "No")</f>
        <v>Yes</v>
      </c>
      <c r="T159" s="43" t="str">
        <f t="array" ref="T159">INDEX(S26_CF!K:K, MATCH("*" &amp; $A159 &amp; "*", S26_CF!A:A, 0))</f>
        <v>Basic One-Day: Thursday, January 29th [$1000.00]</v>
      </c>
      <c r="U159" s="43" t="str">
        <f>IF(COUNTIF(F25_CF!$A:$A,"*" &amp; $A159 &amp; "*") &lt;&gt; 0, "Yes", "No")</f>
        <v>Yes</v>
      </c>
      <c r="V159" s="43" t="str">
        <f t="array" ref="V159">INDEX(F25_CF!I:I, MATCH("*" &amp; $A159 &amp; "*", F25_CF!$A:$A, 0))</f>
        <v>Basic One-Day: Thursday, September 11th [$1000.00]</v>
      </c>
      <c r="W159" s="43" t="str">
        <f>IF(COUNTIF(S25_CF!$A:$A,"*" &amp; $A159 &amp; "*") &lt;&gt; 0, "Yes", "No")</f>
        <v>Yes</v>
      </c>
      <c r="X159" s="43" t="str">
        <f t="array" ref="X159">INDEX(S25_CF!J:J, MATCH("*" &amp; $A159 &amp; "*", S25_CF!$A:$A, 0))</f>
        <v>Basic One-Day: Thursday, January 23rd [$1000.00]</v>
      </c>
      <c r="Y159" s="43" t="str">
        <f>IF(COUNTIF(F24_CF!$A:$A,"*" &amp; $A159 &amp; "*") &lt;&gt; 0, "Yes", "No")</f>
        <v>Yes</v>
      </c>
      <c r="Z159" s="43" t="str">
        <f t="array" ref="Z159">INDEX(F24_CF!N:N, MATCH("*" &amp; $A159 &amp; "*", F24_CF!$A:$A, 0))</f>
        <v>Basic One-Day: Thursday, September 5th [$1000.00]</v>
      </c>
      <c r="AA159" s="43" t="str">
        <f>IF(COUNTIF(S24_CF!$A:$A,"*" &amp; $A159 &amp; "*") &lt;&gt; 0, "Yes", "No")</f>
        <v>Yes</v>
      </c>
      <c r="AB159" s="43" t="str">
        <f t="array" ref="AB159">INDEX(S24_CF!H:H, MATCH("*" &amp; $A159 &amp; "*", S24_CF!$A:$A, 0))</f>
        <v>Basic One-Day [$1000.00]</v>
      </c>
    </row>
    <row r="160" ht="15.0" customHeight="1">
      <c r="A160" s="52" t="s">
        <v>215</v>
      </c>
      <c r="B160" s="43" t="s">
        <v>52</v>
      </c>
      <c r="C160" s="43"/>
      <c r="D160" s="43"/>
      <c r="E160" s="43"/>
      <c r="F160" s="43">
        <f>COUNTIF(S26_Emp!$C:$C,"*" &amp;A160 &amp; "*")</f>
        <v>0</v>
      </c>
      <c r="G160" s="43">
        <f>COUNTIF(F25_Emp!$C:$C,"*" &amp;#REF! &amp; "*")</f>
        <v>0</v>
      </c>
      <c r="H160" s="43">
        <f>COUNTIF(S25_Emp!$C:$C,"*" &amp; A160 &amp; "*")</f>
        <v>0</v>
      </c>
      <c r="I160" s="43">
        <f>COUNTIF(F24_Emp!$C:$C,"*" &amp; B160 &amp; "*")</f>
        <v>0</v>
      </c>
      <c r="J160" s="43">
        <f>COUNTIF(S24_Emp!$C:$C,"*" &amp; $A160 &amp; "*")</f>
        <v>5</v>
      </c>
      <c r="K160" s="43">
        <f>COUNTIF(F23_Emp!$C:$C,"*" &amp; $A160 &amp; "*")</f>
        <v>2</v>
      </c>
      <c r="L160" s="43">
        <f>COUNTIF(S23_Emp!$C:$C,"*" &amp; $A160 &amp; "*")</f>
        <v>3</v>
      </c>
      <c r="M160" s="43">
        <f>COUNTIF(F22_Emp!$C:$C,"*" &amp; $A160 &amp; "*")</f>
        <v>4</v>
      </c>
      <c r="N160" s="43">
        <f>COUNTIF(S22_Emp!$C:$C,"*" &amp; $A160 &amp; "*")</f>
        <v>1</v>
      </c>
      <c r="O160" s="43" t="str">
        <f>COUNTIFS(S22_Emp!$C:$C,"*" &amp; $A160 &amp; "*", S22_S25_Emp!$B:$B, "Bachelor")</f>
        <v>#VALUE!</v>
      </c>
      <c r="P160" s="43" t="str">
        <f>COUNTIFS(S22_Emp!$C:$C,"*" &amp; $A160 &amp; "*", S22_S25_Emp!$B:$B, "Master")</f>
        <v>#VALUE!</v>
      </c>
      <c r="Q160" s="43" t="str">
        <f>COUNTIFS(S22_Emp!$C:$C,"*" &amp; $A160 &amp; "*", S22_S25_Emp!$B:$B, "Doctorate")</f>
        <v>#VALUE!</v>
      </c>
      <c r="R160" s="43" t="str">
        <f t="array" ref="R160">IF(OR(INDEX(S26_CF!X:X, MATCH("*" &amp; $A160 &amp; "*", CompanyList!A:A, 0))=TRUE, INDEX(F25_CF!P:P, MATCH("*" &amp; $A160 &amp; "*", CompanyList!A:A, 0))=TRUE, INDEX(S25_CF!T:T, MATCH("*" &amp; $A160 &amp; "*", CompanyList!A:A, 0))=TRUE, INDEX(S24_CF!W:W, MATCH("*" &amp; $A160 &amp; "*", CompanyList!A:A, 0))=TRUE), "Yes", "No")</f>
        <v>No</v>
      </c>
      <c r="S160" s="43" t="str">
        <f>IF(COUNTIF(S26_CF!$A:$A,"*" &amp; $A160 &amp; "*") &lt;&gt; 0, "Yes", "No")</f>
        <v>Yes</v>
      </c>
      <c r="T160" s="43" t="str">
        <f t="array" ref="T160">INDEX(S26_CF!K:K, MATCH("*" &amp; $A160 &amp; "*", S26_CF!A:A, 0))</f>
        <v>Gold One-Day: Thursday, January 29th [$2500.00]</v>
      </c>
      <c r="U160" s="43" t="str">
        <f>IF(COUNTIF(F25_CF!$A:$A,"*" &amp; $A160 &amp; "*") &lt;&gt; 0, "Yes", "No")</f>
        <v>Yes</v>
      </c>
      <c r="V160" s="43" t="str">
        <f t="array" ref="V160">INDEX(F25_CF!I:I, MATCH("*" &amp; $A160 &amp; "*", F25_CF!$A:$A, 0))</f>
        <v>Gold Two-Day [$5500.00]</v>
      </c>
      <c r="W160" s="43" t="str">
        <f>IF(COUNTIF(S25_CF!$A:$A,"*" &amp; $A160 &amp; "*") &lt;&gt; 0, "Yes", "No")</f>
        <v>Yes</v>
      </c>
      <c r="X160" s="43" t="str">
        <f t="array" ref="X160">INDEX(S25_CF!J:J, MATCH("*" &amp; $A160 &amp; "*", S25_CF!$A:$A, 0))</f>
        <v>Gold Two-Day [$5500.00]</v>
      </c>
      <c r="Y160" s="43" t="str">
        <f>IF(COUNTIF(F24_CF!$A:$A,"*" &amp; $A160 &amp; "*") &lt;&gt; 0, "Yes", "No")</f>
        <v>Yes</v>
      </c>
      <c r="Z160" s="43" t="str">
        <f t="array" ref="Z160">INDEX(F24_CF!N:N, MATCH("*" &amp; $A160 &amp; "*", F24_CF!$A:$A, 0))</f>
        <v>Gold Two-Day [$5500.00]</v>
      </c>
      <c r="AA160" s="43" t="str">
        <f>IF(COUNTIF(S24_CF!$A:$A,"*" &amp; $A160 &amp; "*") &lt;&gt; 0, "Yes", "No")</f>
        <v>Yes</v>
      </c>
      <c r="AB160" s="43" t="str">
        <f t="array" ref="AB160">INDEX(S24_CF!H:H, MATCH("*" &amp; $A160 &amp; "*", S24_CF!$A:$A, 0))</f>
        <v>Gold Two-Day [$5000.00]</v>
      </c>
    </row>
    <row r="161" ht="15.0" customHeight="1">
      <c r="A161" s="52" t="s">
        <v>216</v>
      </c>
      <c r="B161" s="43" t="s">
        <v>52</v>
      </c>
      <c r="C161" s="43"/>
      <c r="D161" s="43"/>
      <c r="E161" s="43"/>
      <c r="F161" s="43">
        <f>COUNTIF(S26_Emp!$C:$C,"*" &amp;A161 &amp; "*")</f>
        <v>0</v>
      </c>
      <c r="G161" s="43">
        <f>COUNTIF(F25_Emp!$C:$C,"*" &amp;#REF! &amp; "*")</f>
        <v>0</v>
      </c>
      <c r="H161" s="43">
        <f>COUNTIF(S25_Emp!$C:$C,"*" &amp; A161 &amp; "*")</f>
        <v>0</v>
      </c>
      <c r="I161" s="43">
        <f>COUNTIF(F24_Emp!$C:$C,"*" &amp; B161 &amp; "*")</f>
        <v>0</v>
      </c>
      <c r="J161" s="43">
        <f>COUNTIF(S24_Emp!$C:$C,"*" &amp; $A161 &amp; "*")</f>
        <v>0</v>
      </c>
      <c r="K161" s="43">
        <f>COUNTIF(F23_Emp!$C:$C,"*" &amp; $A161 &amp; "*")</f>
        <v>0</v>
      </c>
      <c r="L161" s="43">
        <f>COUNTIF(S23_Emp!$C:$C,"*" &amp; $A161 &amp; "*")</f>
        <v>0</v>
      </c>
      <c r="M161" s="43">
        <f>COUNTIF(F22_Emp!$C:$C,"*" &amp; $A161 &amp; "*")</f>
        <v>0</v>
      </c>
      <c r="N161" s="43">
        <f>COUNTIF(S22_Emp!$C:$C,"*" &amp; $A161 &amp; "*")</f>
        <v>0</v>
      </c>
      <c r="O161" s="43" t="str">
        <f>COUNTIFS(S22_Emp!$C:$C,"*" &amp; $A161 &amp; "*", S22_S25_Emp!$B:$B, "Bachelor")</f>
        <v>#VALUE!</v>
      </c>
      <c r="P161" s="43" t="str">
        <f>COUNTIFS(S22_Emp!$C:$C,"*" &amp; $A161 &amp; "*", S22_S25_Emp!$B:$B, "Master")</f>
        <v>#VALUE!</v>
      </c>
      <c r="Q161" s="43" t="str">
        <f>COUNTIFS(S22_Emp!$C:$C,"*" &amp; $A161 &amp; "*", S22_S25_Emp!$B:$B, "Doctorate")</f>
        <v>#VALUE!</v>
      </c>
      <c r="R161" s="43" t="str">
        <f t="array" ref="R161">IF(OR(INDEX(S26_CF!X:X, MATCH("*" &amp; $A161 &amp; "*", CompanyList!A:A, 0))=TRUE, INDEX(F25_CF!P:P, MATCH("*" &amp; $A161 &amp; "*", CompanyList!A:A, 0))=TRUE, INDEX(S25_CF!T:T, MATCH("*" &amp; $A161 &amp; "*", CompanyList!A:A, 0))=TRUE, INDEX(S24_CF!W:W, MATCH("*" &amp; $A161 &amp; "*", CompanyList!A:A, 0))=TRUE), "Yes", "No")</f>
        <v>No</v>
      </c>
      <c r="S161" s="43" t="str">
        <f>IF(COUNTIF(S26_CF!$A:$A,"*" &amp; $A161 &amp; "*") &lt;&gt; 0, "Yes", "No")</f>
        <v>Yes</v>
      </c>
      <c r="T161" s="43" t="str">
        <f t="array" ref="T161">INDEX(S26_CF!K:K, MATCH("*" &amp; $A161 &amp; "*", S26_CF!A:A, 0))</f>
        <v>Basic One-Day: Wednesday, January 28th [$1000.00]</v>
      </c>
      <c r="U161" s="43" t="str">
        <f>IF(COUNTIF(F25_CF!$A:$A,"*" &amp; $A161 &amp; "*") &lt;&gt; 0, "Yes", "No")</f>
        <v>Yes</v>
      </c>
      <c r="V161" s="43" t="str">
        <f t="array" ref="V161">INDEX(F25_CF!I:I, MATCH("*" &amp; $A161 &amp; "*", F25_CF!$A:$A, 0))</f>
        <v>Basic Two-Day [$2000.00]</v>
      </c>
      <c r="W161" s="43" t="str">
        <f>IF(COUNTIF(S25_CF!$A:$A,"*" &amp; $A161 &amp; "*") &lt;&gt; 0, "Yes", "No")</f>
        <v>Yes</v>
      </c>
      <c r="X161" s="43" t="str">
        <f t="array" ref="X161">INDEX(S25_CF!J:J, MATCH("*" &amp; $A161 &amp; "*", S25_CF!$A:$A, 0))</f>
        <v>Basic One-Day: Thursday, January 23rd [$1000.00]</v>
      </c>
      <c r="Y161" s="43" t="str">
        <f>IF(COUNTIF(F24_CF!$A:$A,"*" &amp; $A161 &amp; "*") &lt;&gt; 0, "Yes", "No")</f>
        <v>Yes</v>
      </c>
      <c r="Z161" s="43" t="str">
        <f t="array" ref="Z161">INDEX(F24_CF!N:N, MATCH("*" &amp; $A161 &amp; "*", F24_CF!$A:$A, 0))</f>
        <v>Basic One-Day: Thursday, September 5th [$1000.00]</v>
      </c>
      <c r="AA161" s="43" t="str">
        <f>IF(COUNTIF(S24_CF!$A:$A,"*" &amp; $A161 &amp; "*") &lt;&gt; 0, "Yes", "No")</f>
        <v>Yes</v>
      </c>
      <c r="AB161" s="43" t="str">
        <f t="array" ref="AB161">INDEX(S24_CF!H:H, MATCH("*" &amp; $A161 &amp; "*", S24_CF!$A:$A, 0))</f>
        <v>Basic One-Day [$1000.00]</v>
      </c>
    </row>
    <row r="162" ht="15.0" customHeight="1">
      <c r="A162" s="52" t="s">
        <v>217</v>
      </c>
      <c r="B162" s="43" t="s">
        <v>52</v>
      </c>
      <c r="C162" s="43"/>
      <c r="D162" s="43"/>
      <c r="E162" s="43"/>
      <c r="F162" s="43">
        <f>COUNTIF(S26_Emp!$C:$C,"*" &amp;A162 &amp; "*")</f>
        <v>0</v>
      </c>
      <c r="G162" s="43">
        <f>COUNTIF(F25_Emp!$C:$C,"*" &amp;#REF! &amp; "*")</f>
        <v>0</v>
      </c>
      <c r="H162" s="43">
        <f>COUNTIF(S25_Emp!$C:$C,"*" &amp; A162 &amp; "*")</f>
        <v>0</v>
      </c>
      <c r="I162" s="43">
        <f>COUNTIF(F24_Emp!$C:$C,"*" &amp; B162 &amp; "*")</f>
        <v>0</v>
      </c>
      <c r="J162" s="43">
        <f>COUNTIF(S24_Emp!$C:$C,"*" &amp; $A162 &amp; "*")</f>
        <v>1</v>
      </c>
      <c r="K162" s="43">
        <f>COUNTIF(F23_Emp!$C:$C,"*" &amp; $A162 &amp; "*")</f>
        <v>0</v>
      </c>
      <c r="L162" s="43">
        <f>COUNTIF(S23_Emp!$C:$C,"*" &amp; $A162 &amp; "*")</f>
        <v>2</v>
      </c>
      <c r="M162" s="43">
        <f>COUNTIF(F22_Emp!$C:$C,"*" &amp; $A162 &amp; "*")</f>
        <v>1</v>
      </c>
      <c r="N162" s="43">
        <f>COUNTIF(S22_Emp!$C:$C,"*" &amp; $A162 &amp; "*")</f>
        <v>0</v>
      </c>
      <c r="O162" s="43" t="str">
        <f>COUNTIFS(S22_Emp!$C:$C,"*" &amp; $A162 &amp; "*", S22_S25_Emp!$B:$B, "Bachelor")</f>
        <v>#VALUE!</v>
      </c>
      <c r="P162" s="43" t="str">
        <f>COUNTIFS(S22_Emp!$C:$C,"*" &amp; $A162 &amp; "*", S22_S25_Emp!$B:$B, "Master")</f>
        <v>#VALUE!</v>
      </c>
      <c r="Q162" s="43" t="str">
        <f>COUNTIFS(S22_Emp!$C:$C,"*" &amp; $A162 &amp; "*", S22_S25_Emp!$B:$B, "Doctorate")</f>
        <v>#VALUE!</v>
      </c>
      <c r="R162" s="43" t="str">
        <f t="array" ref="R162">IF(OR(INDEX(S26_CF!X:X, MATCH("*" &amp; $A162 &amp; "*", CompanyList!A:A, 0))=TRUE, INDEX(F25_CF!P:P, MATCH("*" &amp; $A162 &amp; "*", CompanyList!A:A, 0))=TRUE, INDEX(S25_CF!T:T, MATCH("*" &amp; $A162 &amp; "*", CompanyList!A:A, 0))=TRUE, INDEX(S24_CF!W:W, MATCH("*" &amp; $A162 &amp; "*", CompanyList!A:A, 0))=TRUE), "Yes", "No")</f>
        <v>Yes</v>
      </c>
      <c r="S162" s="43" t="str">
        <f>IF(COUNTIF(S26_CF!$A:$A,"*" &amp; $A162 &amp; "*") &lt;&gt; 0, "Yes", "No")</f>
        <v>No</v>
      </c>
      <c r="T162" s="43" t="str">
        <f t="array" ref="T162">INDEX(S26_CF!K:K, MATCH("*" &amp; $A162 &amp; "*", S26_CF!A:A, 0))</f>
        <v>#N/A</v>
      </c>
      <c r="U162" s="43" t="str">
        <f>IF(COUNTIF(F25_CF!$A:$A,"*" &amp; $A162 &amp; "*") &lt;&gt; 0, "Yes", "No")</f>
        <v>No</v>
      </c>
      <c r="V162" s="43" t="str">
        <f t="array" ref="V162">INDEX(F25_CF!I:I, MATCH("*" &amp; $A162 &amp; "*", F25_CF!$A:$A, 0))</f>
        <v>#N/A</v>
      </c>
      <c r="W162" s="43" t="str">
        <f>IF(COUNTIF(S25_CF!$A:$A,"*" &amp; $A162 &amp; "*") &lt;&gt; 0, "Yes", "No")</f>
        <v>Yes</v>
      </c>
      <c r="X162" s="43" t="str">
        <f t="array" ref="X162">INDEX(S25_CF!J:J, MATCH("*" &amp; $A162 &amp; "*", S25_CF!$A:$A, 0))</f>
        <v>Maroon One-Day: Thursday, January 23rd [$6500.00]</v>
      </c>
      <c r="Y162" s="43" t="str">
        <f>IF(COUNTIF(F24_CF!$A:$A,"*" &amp; $A162 &amp; "*") &lt;&gt; 0, "Yes", "No")</f>
        <v>Yes</v>
      </c>
      <c r="Z162" s="43" t="str">
        <f t="array" ref="Z162">INDEX(F24_CF!N:N, MATCH("*" &amp; $A162 &amp; "*", F24_CF!$A:$A, 0))</f>
        <v>Maroon Two-Day [$12500.00]</v>
      </c>
      <c r="AA162" s="43" t="str">
        <f>IF(COUNTIF(S24_CF!$A:$A,"*" &amp; $A162 &amp; "*") &lt;&gt; 0, "Yes", "No")</f>
        <v>Yes</v>
      </c>
      <c r="AB162" s="43" t="str">
        <f t="array" ref="AB162">INDEX(S24_CF!H:H, MATCH("*" &amp; $A162 &amp; "*", S24_CF!$A:$A, 0))</f>
        <v>Diamond Two-Day [$8000.00]</v>
      </c>
    </row>
    <row r="163" ht="15.0" customHeight="1">
      <c r="A163" s="52" t="s">
        <v>218</v>
      </c>
      <c r="B163" s="43" t="s">
        <v>54</v>
      </c>
      <c r="C163" s="43">
        <v>1700.0</v>
      </c>
      <c r="D163" s="43">
        <v>7300.0</v>
      </c>
      <c r="E163" s="43">
        <v>12.0</v>
      </c>
      <c r="F163" s="43">
        <f>COUNTIF(S26_Emp!$C:$C,"*" &amp;A163 &amp; "*")</f>
        <v>0</v>
      </c>
      <c r="G163" s="43">
        <f>COUNTIF(F25_Emp!$C:$C,"*" &amp;#REF! &amp; "*")</f>
        <v>0</v>
      </c>
      <c r="H163" s="43">
        <f>COUNTIF(S25_Emp!$C:$C,"*" &amp; A163 &amp; "*")</f>
        <v>4</v>
      </c>
      <c r="I163" s="43">
        <f>COUNTIF(F24_Emp!$C:$C,"*" &amp; B163 &amp; "*")</f>
        <v>1</v>
      </c>
      <c r="J163" s="43">
        <f>COUNTIF(S24_Emp!$C:$C,"*" &amp; $A163 &amp; "*")</f>
        <v>3</v>
      </c>
      <c r="K163" s="43">
        <f>COUNTIF(F23_Emp!$C:$C,"*" &amp; $A163 &amp; "*")</f>
        <v>1</v>
      </c>
      <c r="L163" s="43">
        <f>COUNTIF(S23_Emp!$C:$C,"*" &amp; $A163 &amp; "*")</f>
        <v>1</v>
      </c>
      <c r="M163" s="43">
        <f>COUNTIF(F22_Emp!$C:$C,"*" &amp; $A163 &amp; "*")</f>
        <v>1</v>
      </c>
      <c r="N163" s="43">
        <f>COUNTIF(S22_Emp!$C:$C,"*" &amp; $A163 &amp; "*")</f>
        <v>1</v>
      </c>
      <c r="O163" s="43" t="str">
        <f>COUNTIFS(S22_Emp!$C:$C,"*" &amp; $A163 &amp; "*", S22_S25_Emp!$B:$B, "Bachelor")</f>
        <v>#VALUE!</v>
      </c>
      <c r="P163" s="43" t="str">
        <f>COUNTIFS(S22_Emp!$C:$C,"*" &amp; $A163 &amp; "*", S22_S25_Emp!$B:$B, "Master")</f>
        <v>#VALUE!</v>
      </c>
      <c r="Q163" s="43" t="str">
        <f>COUNTIFS(S22_Emp!$C:$C,"*" &amp; $A163 &amp; "*", S22_S25_Emp!$B:$B, "Doctorate")</f>
        <v>#VALUE!</v>
      </c>
      <c r="R163" s="43" t="str">
        <f t="array" ref="R163">IF(OR(INDEX(S26_CF!X:X, MATCH("*" &amp; $A163 &amp; "*", CompanyList!A:A, 0))=TRUE, INDEX(F25_CF!P:P, MATCH("*" &amp; $A163 &amp; "*", CompanyList!A:A, 0))=TRUE, INDEX(S25_CF!T:T, MATCH("*" &amp; $A163 &amp; "*", CompanyList!A:A, 0))=TRUE, INDEX(S24_CF!W:W, MATCH("*" &amp; $A163 &amp; "*", CompanyList!A:A, 0))=TRUE), "Yes", "No")</f>
        <v>No</v>
      </c>
      <c r="S163" s="43" t="str">
        <f>IF(COUNTIF(S26_CF!$A:$A,"*" &amp; $A163 &amp; "*") &lt;&gt; 0, "Yes", "No")</f>
        <v>Yes</v>
      </c>
      <c r="T163" s="43" t="str">
        <f t="array" ref="T163">INDEX(S26_CF!K:K, MATCH("*" &amp; $A163 &amp; "*", S26_CF!A:A, 0))</f>
        <v>Basic Two-Day [$2000.00]</v>
      </c>
      <c r="U163" s="43" t="str">
        <f>IF(COUNTIF(F25_CF!$A:$A,"*" &amp; $A163 &amp; "*") &lt;&gt; 0, "Yes", "No")</f>
        <v>Yes</v>
      </c>
      <c r="V163" s="43" t="str">
        <f t="array" ref="V163">INDEX(F25_CF!I:I, MATCH("*" &amp; $A163 &amp; "*", F25_CF!$A:$A, 0))</f>
        <v>Basic Two-Day [$2000.00]</v>
      </c>
      <c r="W163" s="43" t="str">
        <f>IF(COUNTIF(S25_CF!$A:$A,"*" &amp; $A163 &amp; "*") &lt;&gt; 0, "Yes", "No")</f>
        <v>Yes</v>
      </c>
      <c r="X163" s="43" t="str">
        <f t="array" ref="X163">INDEX(S25_CF!J:J, MATCH("*" &amp; $A163 &amp; "*", S25_CF!$A:$A, 0))</f>
        <v>Basic One-Day: Thursday, January 23rd [$1000.00]</v>
      </c>
      <c r="Y163" s="43" t="str">
        <f>IF(COUNTIF(F24_CF!$A:$A,"*" &amp; $A163 &amp; "*") &lt;&gt; 0, "Yes", "No")</f>
        <v>Yes</v>
      </c>
      <c r="Z163" s="43" t="str">
        <f t="array" ref="Z163">INDEX(F24_CF!N:N, MATCH("*" &amp; $A163 &amp; "*", F24_CF!$A:$A, 0))</f>
        <v>Basic Two-Day [$2000.00]</v>
      </c>
      <c r="AA163" s="43" t="str">
        <f>IF(COUNTIF(S24_CF!$A:$A,"*" &amp; $A163 &amp; "*") &lt;&gt; 0, "Yes", "No")</f>
        <v>Yes</v>
      </c>
      <c r="AB163" s="43" t="str">
        <f t="array" ref="AB163">INDEX(S24_CF!H:H, MATCH("*" &amp; $A163 &amp; "*", S24_CF!$A:$A, 0))</f>
        <v>Basic Two-Day [$2000.00]</v>
      </c>
    </row>
    <row r="164" ht="15.0" customHeight="1">
      <c r="A164" s="52" t="s">
        <v>219</v>
      </c>
      <c r="B164" s="43" t="s">
        <v>52</v>
      </c>
      <c r="C164" s="43"/>
      <c r="D164" s="43"/>
      <c r="E164" s="43"/>
      <c r="F164" s="43">
        <f>COUNTIF(S26_Emp!$C:$C,"*" &amp;A164 &amp; "*")</f>
        <v>0</v>
      </c>
      <c r="G164" s="43">
        <f>COUNTIF(F25_Emp!$C:$C,"*" &amp;#REF! &amp; "*")</f>
        <v>0</v>
      </c>
      <c r="H164" s="43">
        <f>COUNTIF(S25_Emp!$C:$C,"*" &amp; A164 &amp; "*")</f>
        <v>0</v>
      </c>
      <c r="I164" s="43">
        <f>COUNTIF(F24_Emp!$C:$C,"*" &amp; B164 &amp; "*")</f>
        <v>0</v>
      </c>
      <c r="J164" s="43">
        <f>COUNTIF(S24_Emp!$C:$C,"*" &amp; $A164 &amp; "*")</f>
        <v>0</v>
      </c>
      <c r="K164" s="43">
        <f>COUNTIF(F23_Emp!$C:$C,"*" &amp; $A164 &amp; "*")</f>
        <v>0</v>
      </c>
      <c r="L164" s="43">
        <f>COUNTIF(S23_Emp!$C:$C,"*" &amp; $A164 &amp; "*")</f>
        <v>0</v>
      </c>
      <c r="M164" s="43">
        <f>COUNTIF(F22_Emp!$C:$C,"*" &amp; $A164 &amp; "*")</f>
        <v>0</v>
      </c>
      <c r="N164" s="43">
        <f>COUNTIF(S22_Emp!$C:$C,"*" &amp; $A164 &amp; "*")</f>
        <v>0</v>
      </c>
      <c r="O164" s="43" t="str">
        <f>COUNTIFS(S22_Emp!$C:$C,"*" &amp; $A164 &amp; "*", S22_S25_Emp!$B:$B, "Bachelor")</f>
        <v>#VALUE!</v>
      </c>
      <c r="P164" s="43" t="str">
        <f>COUNTIFS(S22_Emp!$C:$C,"*" &amp; $A164 &amp; "*", S22_S25_Emp!$B:$B, "Master")</f>
        <v>#VALUE!</v>
      </c>
      <c r="Q164" s="43" t="str">
        <f>COUNTIFS(S22_Emp!$C:$C,"*" &amp; $A164 &amp; "*", S22_S25_Emp!$B:$B, "Doctorate")</f>
        <v>#VALUE!</v>
      </c>
      <c r="R164" s="43" t="str">
        <f t="array" ref="R164">IF(OR(INDEX(S26_CF!X:X, MATCH("*" &amp; $A164 &amp; "*", CompanyList!A:A, 0))=TRUE, INDEX(F25_CF!P:P, MATCH("*" &amp; $A164 &amp; "*", CompanyList!A:A, 0))=TRUE, INDEX(S25_CF!T:T, MATCH("*" &amp; $A164 &amp; "*", CompanyList!A:A, 0))=TRUE, INDEX(S24_CF!W:W, MATCH("*" &amp; $A164 &amp; "*", CompanyList!A:A, 0))=TRUE), "Yes", "No")</f>
        <v>Yes</v>
      </c>
      <c r="S164" s="43" t="str">
        <f>IF(COUNTIF(S26_CF!$A:$A,"*" &amp; $A164 &amp; "*") &lt;&gt; 0, "Yes", "No")</f>
        <v>Yes</v>
      </c>
      <c r="T164" s="43" t="str">
        <f t="array" ref="T164">INDEX(S26_CF!K:K, MATCH("*" &amp; $A164 &amp; "*", S26_CF!A:A, 0))</f>
        <v>Basic One-Day: Wednesday, January 28th [$1000.00]</v>
      </c>
      <c r="U164" s="43" t="str">
        <f>IF(COUNTIF(F25_CF!$A:$A,"*" &amp; $A164 &amp; "*") &lt;&gt; 0, "Yes", "No")</f>
        <v>Yes</v>
      </c>
      <c r="V164" s="43" t="str">
        <f t="array" ref="V164">INDEX(F25_CF!I:I, MATCH("*" &amp; $A164 &amp; "*", F25_CF!$A:$A, 0))</f>
        <v>Basic One-Day: Wednesday, September 10th [$1000.00]</v>
      </c>
      <c r="W164" s="43" t="str">
        <f>IF(COUNTIF(S25_CF!$A:$A,"*" &amp; $A164 &amp; "*") &lt;&gt; 0, "Yes", "No")</f>
        <v>Yes</v>
      </c>
      <c r="X164" s="43" t="str">
        <f t="array" ref="X164">INDEX(S25_CF!J:J, MATCH("*" &amp; $A164 &amp; "*", S25_CF!$A:$A, 0))</f>
        <v>Basic One-Day: Wednesday, January 22nd [$1000.00]</v>
      </c>
      <c r="Y164" s="43" t="str">
        <f>IF(COUNTIF(F24_CF!$A:$A,"*" &amp; $A164 &amp; "*") &lt;&gt; 0, "Yes", "No")</f>
        <v>Yes</v>
      </c>
      <c r="Z164" s="43" t="str">
        <f t="array" ref="Z164">INDEX(F24_CF!N:N, MATCH("*" &amp; $A164 &amp; "*", F24_CF!$A:$A, 0))</f>
        <v>Basic One-Day: Wednesday, September 4th [$1000.00]</v>
      </c>
      <c r="AA164" s="43" t="str">
        <f>IF(COUNTIF(S24_CF!$A:$A,"*" &amp; $A164 &amp; "*") &lt;&gt; 0, "Yes", "No")</f>
        <v>Yes</v>
      </c>
      <c r="AB164" s="43" t="str">
        <f t="array" ref="AB164">INDEX(S24_CF!H:H, MATCH("*" &amp; $A164 &amp; "*", S24_CF!$A:$A, 0))</f>
        <v>Silver One-Day [$1800.00]</v>
      </c>
    </row>
    <row r="165" ht="15.0" customHeight="1">
      <c r="A165" s="52" t="s">
        <v>220</v>
      </c>
      <c r="B165" s="43" t="s">
        <v>54</v>
      </c>
      <c r="C165" s="43">
        <v>91000.0</v>
      </c>
      <c r="D165" s="43">
        <v>318000.0</v>
      </c>
      <c r="E165" s="43">
        <v>235.0</v>
      </c>
      <c r="F165" s="43">
        <f>COUNTIF(S26_Emp!$C:$C,"*" &amp;A165 &amp; "*")</f>
        <v>0</v>
      </c>
      <c r="G165" s="43">
        <f>COUNTIF(F25_Emp!$C:$C,"*" &amp;#REF! &amp; "*")</f>
        <v>0</v>
      </c>
      <c r="H165" s="43">
        <f>COUNTIF(S25_Emp!$C:$C,"*" &amp; A165 &amp; "*")</f>
        <v>4</v>
      </c>
      <c r="I165" s="43">
        <f>COUNTIF(F24_Emp!$C:$C,"*" &amp; B165 &amp; "*")</f>
        <v>1</v>
      </c>
      <c r="J165" s="43">
        <f>COUNTIF(S24_Emp!$C:$C,"*" &amp; $A165 &amp; "*")</f>
        <v>10</v>
      </c>
      <c r="K165" s="43">
        <f>COUNTIF(F23_Emp!$C:$C,"*" &amp; $A165 &amp; "*")</f>
        <v>5</v>
      </c>
      <c r="L165" s="43">
        <f>COUNTIF(S23_Emp!$C:$C,"*" &amp; $A165 &amp; "*")</f>
        <v>10</v>
      </c>
      <c r="M165" s="43">
        <f>COUNTIF(F22_Emp!$C:$C,"*" &amp; $A165 &amp; "*")</f>
        <v>2</v>
      </c>
      <c r="N165" s="43">
        <f>COUNTIF(S22_Emp!$C:$C,"*" &amp; $A165 &amp; "*")</f>
        <v>4</v>
      </c>
      <c r="O165" s="43" t="str">
        <f>COUNTIFS(S22_Emp!$C:$C,"*" &amp; $A165 &amp; "*", S22_S25_Emp!$B:$B, "Bachelor")</f>
        <v>#VALUE!</v>
      </c>
      <c r="P165" s="43" t="str">
        <f>COUNTIFS(S22_Emp!$C:$C,"*" &amp; $A165 &amp; "*", S22_S25_Emp!$B:$B, "Master")</f>
        <v>#VALUE!</v>
      </c>
      <c r="Q165" s="43" t="str">
        <f>COUNTIFS(S22_Emp!$C:$C,"*" &amp; $A165 &amp; "*", S22_S25_Emp!$B:$B, "Doctorate")</f>
        <v>#VALUE!</v>
      </c>
      <c r="R165" s="43" t="str">
        <f t="array" ref="R165">IF(OR(INDEX(S26_CF!X:X, MATCH("*" &amp; $A165 &amp; "*", CompanyList!A:A, 0))=TRUE, INDEX(F25_CF!P:P, MATCH("*" &amp; $A165 &amp; "*", CompanyList!A:A, 0))=TRUE, INDEX(S25_CF!T:T, MATCH("*" &amp; $A165 &amp; "*", CompanyList!A:A, 0))=TRUE, INDEX(S24_CF!W:W, MATCH("*" &amp; $A165 &amp; "*", CompanyList!A:A, 0))=TRUE), "Yes", "No")</f>
        <v>No</v>
      </c>
      <c r="S165" s="43" t="str">
        <f>IF(COUNTIF(S26_CF!$A:$A,"*" &amp; $A165 &amp; "*") &lt;&gt; 0, "Yes", "No")</f>
        <v>No</v>
      </c>
      <c r="T165" s="43" t="str">
        <f t="array" ref="T165">INDEX(S26_CF!K:K, MATCH("*" &amp; $A165 &amp; "*", S26_CF!A:A, 0))</f>
        <v>#N/A</v>
      </c>
      <c r="U165" s="43" t="str">
        <f>IF(COUNTIF(F25_CF!$A:$A,"*" &amp; $A165 &amp; "*") &lt;&gt; 0, "Yes", "No")</f>
        <v>Yes</v>
      </c>
      <c r="V165" s="43" t="str">
        <f t="array" ref="V165">INDEX(F25_CF!I:I, MATCH("*" &amp; $A165 &amp; "*", F25_CF!$A:$A, 0))</f>
        <v>Maroon Two-Day [$12500.00]</v>
      </c>
      <c r="W165" s="43" t="str">
        <f>IF(COUNTIF(S25_CF!$A:$A,"*" &amp; $A165 &amp; "*") &lt;&gt; 0, "Yes", "No")</f>
        <v>No</v>
      </c>
      <c r="X165" s="43" t="str">
        <f t="array" ref="X165">INDEX(S25_CF!J:J, MATCH("*" &amp; $A165 &amp; "*", S25_CF!$A:$A, 0))</f>
        <v>#N/A</v>
      </c>
      <c r="Y165" s="43" t="str">
        <f>IF(COUNTIF(F24_CF!$A:$A,"*" &amp; $A165 &amp; "*") &lt;&gt; 0, "Yes", "No")</f>
        <v>Yes</v>
      </c>
      <c r="Z165" s="43" t="str">
        <f t="array" ref="Z165">INDEX(F24_CF!N:N, MATCH("*" &amp; $A165 &amp; "*", F24_CF!$A:$A, 0))</f>
        <v>Platinum Two-Day [$10000.00]</v>
      </c>
      <c r="AA165" s="43" t="str">
        <f>IF(COUNTIF(S24_CF!$A:$A,"*" &amp; $A165 &amp; "*") &lt;&gt; 0, "Yes", "No")</f>
        <v>Yes</v>
      </c>
      <c r="AB165" s="43" t="str">
        <f t="array" ref="AB165">INDEX(S24_CF!H:H, MATCH("*" &amp; $A165 &amp; "*", S24_CF!$A:$A, 0))</f>
        <v>Gold One-Day [$2500.00]</v>
      </c>
    </row>
    <row r="166" ht="15.0" customHeight="1">
      <c r="A166" s="52" t="s">
        <v>221</v>
      </c>
      <c r="B166" s="43" t="s">
        <v>52</v>
      </c>
      <c r="C166" s="43"/>
      <c r="D166" s="43"/>
      <c r="E166" s="43"/>
      <c r="F166" s="43">
        <f>COUNTIF(S26_Emp!$C:$C,"*" &amp;A166 &amp; "*")</f>
        <v>0</v>
      </c>
      <c r="G166" s="43">
        <f>COUNTIF(F25_Emp!$C:$C,"*" &amp;#REF! &amp; "*")</f>
        <v>0</v>
      </c>
      <c r="H166" s="43">
        <f>COUNTIF(S25_Emp!$C:$C,"*" &amp; A166 &amp; "*")</f>
        <v>0</v>
      </c>
      <c r="I166" s="43">
        <f>COUNTIF(F24_Emp!$C:$C,"*" &amp; B166 &amp; "*")</f>
        <v>0</v>
      </c>
      <c r="J166" s="43">
        <f>COUNTIF(S24_Emp!$C:$C,"*" &amp; $A166 &amp; "*")</f>
        <v>0</v>
      </c>
      <c r="K166" s="43">
        <f>COUNTIF(F23_Emp!$C:$C,"*" &amp; $A166 &amp; "*")</f>
        <v>0</v>
      </c>
      <c r="L166" s="43">
        <f>COUNTIF(S23_Emp!$C:$C,"*" &amp; $A166 &amp; "*")</f>
        <v>0</v>
      </c>
      <c r="M166" s="43">
        <f>COUNTIF(F22_Emp!$C:$C,"*" &amp; $A166 &amp; "*")</f>
        <v>0</v>
      </c>
      <c r="N166" s="43">
        <f>COUNTIF(S22_Emp!$C:$C,"*" &amp; $A166 &amp; "*")</f>
        <v>0</v>
      </c>
      <c r="O166" s="43" t="str">
        <f>COUNTIFS(S22_Emp!$C:$C,"*" &amp; $A166 &amp; "*", S22_S25_Emp!$B:$B, "Bachelor")</f>
        <v>#VALUE!</v>
      </c>
      <c r="P166" s="43" t="str">
        <f>COUNTIFS(S22_Emp!$C:$C,"*" &amp; $A166 &amp; "*", S22_S25_Emp!$B:$B, "Master")</f>
        <v>#VALUE!</v>
      </c>
      <c r="Q166" s="43" t="str">
        <f>COUNTIFS(S22_Emp!$C:$C,"*" &amp; $A166 &amp; "*", S22_S25_Emp!$B:$B, "Doctorate")</f>
        <v>#VALUE!</v>
      </c>
      <c r="R166" s="43" t="str">
        <f t="array" ref="R166">IF(OR(INDEX(S26_CF!X:X, MATCH("*" &amp; $A166 &amp; "*", CompanyList!A:A, 0))=TRUE, INDEX(F25_CF!P:P, MATCH("*" &amp; $A166 &amp; "*", CompanyList!A:A, 0))=TRUE, INDEX(S25_CF!T:T, MATCH("*" &amp; $A166 &amp; "*", CompanyList!A:A, 0))=TRUE, INDEX(S24_CF!W:W, MATCH("*" &amp; $A166 &amp; "*", CompanyList!A:A, 0))=TRUE), "Yes", "No")</f>
        <v>No</v>
      </c>
      <c r="S166" s="43" t="str">
        <f>IF(COUNTIF(S26_CF!$A:$A,"*" &amp; $A166 &amp; "*") &lt;&gt; 0, "Yes", "No")</f>
        <v>No</v>
      </c>
      <c r="T166" s="43" t="str">
        <f t="array" ref="T166">INDEX(S26_CF!K:K, MATCH("*" &amp; $A166 &amp; "*", S26_CF!A:A, 0))</f>
        <v>#N/A</v>
      </c>
      <c r="U166" s="43" t="str">
        <f>IF(COUNTIF(F25_CF!$A:$A,"*" &amp; $A166 &amp; "*") &lt;&gt; 0, "Yes", "No")</f>
        <v>Yes</v>
      </c>
      <c r="V166" s="43" t="str">
        <f t="array" ref="V166">INDEX(F25_CF!I:I, MATCH("*" &amp; $A166 &amp; "*", F25_CF!$A:$A, 0))</f>
        <v>Basic One-Day: Wednesday, September 10th [$1000.00]</v>
      </c>
      <c r="W166" s="43" t="str">
        <f>IF(COUNTIF(S25_CF!$A:$A,"*" &amp; $A166 &amp; "*") &lt;&gt; 0, "Yes", "No")</f>
        <v>Yes</v>
      </c>
      <c r="X166" s="43" t="str">
        <f t="array" ref="X166">INDEX(S25_CF!J:J, MATCH("*" &amp; $A166 &amp; "*", S25_CF!$A:$A, 0))</f>
        <v>Basic One-Day: Thursday, January 23rd [$1000.00]</v>
      </c>
      <c r="Y166" s="43" t="str">
        <f>IF(COUNTIF(F24_CF!$A:$A,"*" &amp; $A166 &amp; "*") &lt;&gt; 0, "Yes", "No")</f>
        <v>Yes</v>
      </c>
      <c r="Z166" s="43" t="str">
        <f t="array" ref="Z166">INDEX(F24_CF!N:N, MATCH("*" &amp; $A166 &amp; "*", F24_CF!$A:$A, 0))</f>
        <v>Basic One-Day: Thursday, September 5th [$1000.00]</v>
      </c>
      <c r="AA166" s="43" t="str">
        <f>IF(COUNTIF(S24_CF!$A:$A,"*" &amp; $A166 &amp; "*") &lt;&gt; 0, "Yes", "No")</f>
        <v>Yes</v>
      </c>
      <c r="AB166" s="43" t="str">
        <f t="array" ref="AB166">INDEX(S24_CF!H:H, MATCH("*" &amp; $A166 &amp; "*", S24_CF!$A:$A, 0))</f>
        <v>Basic One-Day [$1000.00]</v>
      </c>
    </row>
    <row r="167" ht="15.0" customHeight="1">
      <c r="A167" s="52" t="s">
        <v>222</v>
      </c>
      <c r="B167" s="43" t="s">
        <v>52</v>
      </c>
      <c r="C167" s="43"/>
      <c r="D167" s="43"/>
      <c r="E167" s="43"/>
      <c r="F167" s="43">
        <f>COUNTIF(S26_Emp!$C:$C,"*" &amp;A167 &amp; "*")</f>
        <v>0</v>
      </c>
      <c r="G167" s="43">
        <f>COUNTIF(F25_Emp!$C:$C,"*" &amp;#REF! &amp; "*")</f>
        <v>0</v>
      </c>
      <c r="H167" s="43">
        <f>COUNTIF(S25_Emp!$C:$C,"*" &amp; A167 &amp; "*")</f>
        <v>3</v>
      </c>
      <c r="I167" s="43">
        <f>COUNTIF(F24_Emp!$C:$C,"*" &amp; B167 &amp; "*")</f>
        <v>0</v>
      </c>
      <c r="J167" s="43">
        <f>COUNTIF(S24_Emp!$C:$C,"*" &amp; $A167 &amp; "*")</f>
        <v>2</v>
      </c>
      <c r="K167" s="43">
        <f>COUNTIF(F23_Emp!$C:$C,"*" &amp; $A167 &amp; "*")</f>
        <v>0</v>
      </c>
      <c r="L167" s="43">
        <f>COUNTIF(S23_Emp!$C:$C,"*" &amp; $A167 &amp; "*")</f>
        <v>2</v>
      </c>
      <c r="M167" s="43">
        <f>COUNTIF(F22_Emp!$C:$C,"*" &amp; $A167 &amp; "*")</f>
        <v>2</v>
      </c>
      <c r="N167" s="43">
        <f>COUNTIF(S22_Emp!$C:$C,"*" &amp; $A167 &amp; "*")</f>
        <v>1</v>
      </c>
      <c r="O167" s="43" t="str">
        <f>COUNTIFS(S22_Emp!$C:$C,"*" &amp; $A167 &amp; "*", S22_S25_Emp!$B:$B, "Bachelor")</f>
        <v>#VALUE!</v>
      </c>
      <c r="P167" s="43" t="str">
        <f>COUNTIFS(S22_Emp!$C:$C,"*" &amp; $A167 &amp; "*", S22_S25_Emp!$B:$B, "Master")</f>
        <v>#VALUE!</v>
      </c>
      <c r="Q167" s="43" t="str">
        <f>COUNTIFS(S22_Emp!$C:$C,"*" &amp; $A167 &amp; "*", S22_S25_Emp!$B:$B, "Doctorate")</f>
        <v>#VALUE!</v>
      </c>
      <c r="R167" s="43" t="str">
        <f t="array" ref="R167">IF(OR(INDEX(S26_CF!X:X, MATCH("*" &amp; $A167 &amp; "*", CompanyList!A:A, 0))=TRUE, INDEX(F25_CF!P:P, MATCH("*" &amp; $A167 &amp; "*", CompanyList!A:A, 0))=TRUE, INDEX(S25_CF!T:T, MATCH("*" &amp; $A167 &amp; "*", CompanyList!A:A, 0))=TRUE, INDEX(S24_CF!W:W, MATCH("*" &amp; $A167 &amp; "*", CompanyList!A:A, 0))=TRUE), "Yes", "No")</f>
        <v>No</v>
      </c>
      <c r="S167" s="43" t="str">
        <f>IF(COUNTIF(S26_CF!$A:$A,"*" &amp; $A167 &amp; "*") &lt;&gt; 0, "Yes", "No")</f>
        <v>No</v>
      </c>
      <c r="T167" s="43" t="str">
        <f t="array" ref="T167">INDEX(S26_CF!K:K, MATCH("*" &amp; $A167 &amp; "*", S26_CF!A:A, 0))</f>
        <v>#N/A</v>
      </c>
      <c r="U167" s="43" t="str">
        <f>IF(COUNTIF(F25_CF!$A:$A,"*" &amp; $A167 &amp; "*") &lt;&gt; 0, "Yes", "No")</f>
        <v>No</v>
      </c>
      <c r="V167" s="43" t="str">
        <f t="array" ref="V167">INDEX(F25_CF!I:I, MATCH("*" &amp; $A167 &amp; "*", F25_CF!$A:$A, 0))</f>
        <v>#N/A</v>
      </c>
      <c r="W167" s="43" t="str">
        <f>IF(COUNTIF(S25_CF!$A:$A,"*" &amp; $A167 &amp; "*") &lt;&gt; 0, "Yes", "No")</f>
        <v>Yes</v>
      </c>
      <c r="X167" s="43" t="str">
        <f t="array" ref="X167">INDEX(S25_CF!J:J, MATCH("*" &amp; $A167 &amp; "*", S25_CF!$A:$A, 0))</f>
        <v>Silver One-Day: Thursday, January 23rd [$1800.00]</v>
      </c>
      <c r="Y167" s="43" t="str">
        <f>IF(COUNTIF(F24_CF!$A:$A,"*" &amp; $A167 &amp; "*") &lt;&gt; 0, "Yes", "No")</f>
        <v>Yes</v>
      </c>
      <c r="Z167" s="43" t="str">
        <f t="array" ref="Z167">INDEX(F24_CF!N:N, MATCH("*" &amp; $A167 &amp; "*", F24_CF!$A:$A, 0))</f>
        <v>Silver One-Day: Thursday, September 5th [$1800.00]</v>
      </c>
      <c r="AA167" s="43" t="str">
        <f>IF(COUNTIF(S24_CF!$A:$A,"*" &amp; $A167 &amp; "*") &lt;&gt; 0, "Yes", "No")</f>
        <v>Yes</v>
      </c>
      <c r="AB167" s="43" t="str">
        <f t="array" ref="AB167">INDEX(S24_CF!H:H, MATCH("*" &amp; $A167 &amp; "*", S24_CF!$A:$A, 0))</f>
        <v>Silver One-Day [$1800.00]</v>
      </c>
    </row>
    <row r="168" ht="15.0" customHeight="1">
      <c r="A168" s="52" t="s">
        <v>223</v>
      </c>
      <c r="B168" s="43" t="s">
        <v>54</v>
      </c>
      <c r="C168" s="43">
        <v>5700.0</v>
      </c>
      <c r="D168" s="43">
        <v>12000.0</v>
      </c>
      <c r="E168" s="43">
        <v>2.0</v>
      </c>
      <c r="F168" s="43">
        <f>COUNTIF(S26_Emp!$C:$C,"*" &amp;A168 &amp; "*")</f>
        <v>0</v>
      </c>
      <c r="G168" s="43">
        <f>COUNTIF(F25_Emp!$C:$C,"*" &amp;#REF! &amp; "*")</f>
        <v>0</v>
      </c>
      <c r="H168" s="43">
        <f>COUNTIF(S25_Emp!$C:$C,"*" &amp; A168 &amp; "*")</f>
        <v>0</v>
      </c>
      <c r="I168" s="43">
        <f>COUNTIF(F24_Emp!$C:$C,"*" &amp; B168 &amp; "*")</f>
        <v>1</v>
      </c>
      <c r="J168" s="43">
        <f>COUNTIF(S24_Emp!$C:$C,"*" &amp; $A168 &amp; "*")</f>
        <v>0</v>
      </c>
      <c r="K168" s="43">
        <f>COUNTIF(F23_Emp!$C:$C,"*" &amp; $A168 &amp; "*")</f>
        <v>0</v>
      </c>
      <c r="L168" s="43">
        <f>COUNTIF(S23_Emp!$C:$C,"*" &amp; $A168 &amp; "*")</f>
        <v>0</v>
      </c>
      <c r="M168" s="43">
        <f>COUNTIF(F22_Emp!$C:$C,"*" &amp; $A168 &amp; "*")</f>
        <v>0</v>
      </c>
      <c r="N168" s="43">
        <f>COUNTIF(S22_Emp!$C:$C,"*" &amp; $A168 &amp; "*")</f>
        <v>0</v>
      </c>
      <c r="O168" s="43" t="str">
        <f>COUNTIFS(S22_Emp!$C:$C,"*" &amp; $A168 &amp; "*", S22_S25_Emp!$B:$B, "Bachelor")</f>
        <v>#VALUE!</v>
      </c>
      <c r="P168" s="43" t="str">
        <f>COUNTIFS(S22_Emp!$C:$C,"*" &amp; $A168 &amp; "*", S22_S25_Emp!$B:$B, "Master")</f>
        <v>#VALUE!</v>
      </c>
      <c r="Q168" s="43" t="str">
        <f>COUNTIFS(S22_Emp!$C:$C,"*" &amp; $A168 &amp; "*", S22_S25_Emp!$B:$B, "Doctorate")</f>
        <v>#VALUE!</v>
      </c>
      <c r="R168" s="43" t="str">
        <f t="array" ref="R168">IF(OR(INDEX(S26_CF!X:X, MATCH("*" &amp; $A168 &amp; "*", CompanyList!A:A, 0))=TRUE, INDEX(F25_CF!P:P, MATCH("*" &amp; $A168 &amp; "*", CompanyList!A:A, 0))=TRUE, INDEX(S25_CF!T:T, MATCH("*" &amp; $A168 &amp; "*", CompanyList!A:A, 0))=TRUE, INDEX(S24_CF!W:W, MATCH("*" &amp; $A168 &amp; "*", CompanyList!A:A, 0))=TRUE), "Yes", "No")</f>
        <v>Yes</v>
      </c>
      <c r="S168" s="43" t="str">
        <f>IF(COUNTIF(S26_CF!$A:$A,"*" &amp; $A168 &amp; "*") &lt;&gt; 0, "Yes", "No")</f>
        <v>Yes</v>
      </c>
      <c r="T168" s="43" t="str">
        <f t="array" ref="T168">INDEX(S26_CF!K:K, MATCH("*" &amp; $A168 &amp; "*", S26_CF!A:A, 0))</f>
        <v>Basic One-Day: Thursday, January 29th [$1000.00]</v>
      </c>
      <c r="U168" s="43" t="str">
        <f>IF(COUNTIF(F25_CF!$A:$A,"*" &amp; $A168 &amp; "*") &lt;&gt; 0, "Yes", "No")</f>
        <v>Yes</v>
      </c>
      <c r="V168" s="43" t="str">
        <f t="array" ref="V168">INDEX(F25_CF!I:I, MATCH("*" &amp; $A168 &amp; "*", F25_CF!$A:$A, 0))</f>
        <v>Basic One-Day: Thursday, September 11th [$1000.00]</v>
      </c>
      <c r="W168" s="43" t="str">
        <f>IF(COUNTIF(S25_CF!$A:$A,"*" &amp; $A168 &amp; "*") &lt;&gt; 0, "Yes", "No")</f>
        <v>Yes</v>
      </c>
      <c r="X168" s="43" t="str">
        <f t="array" ref="X168">INDEX(S25_CF!J:J, MATCH("*" &amp; $A168 &amp; "*", S25_CF!$A:$A, 0))</f>
        <v>Basic One-Day: Wednesday, January 22nd [$1000.00]</v>
      </c>
      <c r="Y168" s="43" t="str">
        <f>IF(COUNTIF(F24_CF!$A:$A,"*" &amp; $A168 &amp; "*") &lt;&gt; 0, "Yes", "No")</f>
        <v>Yes</v>
      </c>
      <c r="Z168" s="43" t="str">
        <f t="array" ref="Z168">INDEX(F24_CF!N:N, MATCH("*" &amp; $A168 &amp; "*", F24_CF!$A:$A, 0))</f>
        <v>Basic One-Day: Thursday, September 5th [$1000.00]</v>
      </c>
      <c r="AA168" s="43" t="str">
        <f>IF(COUNTIF(S24_CF!$A:$A,"*" &amp; $A168 &amp; "*") &lt;&gt; 0, "Yes", "No")</f>
        <v>Yes</v>
      </c>
      <c r="AB168" s="43" t="str">
        <f t="array" ref="AB168">INDEX(S24_CF!H:H, MATCH("*" &amp; $A168 &amp; "*", S24_CF!$A:$A, 0))</f>
        <v>Basic One-Day [$1000.00]</v>
      </c>
    </row>
    <row r="169" ht="15.0" customHeight="1">
      <c r="A169" s="52" t="s">
        <v>224</v>
      </c>
      <c r="B169" s="43" t="s">
        <v>52</v>
      </c>
      <c r="C169" s="43"/>
      <c r="D169" s="43"/>
      <c r="E169" s="43"/>
      <c r="F169" s="43">
        <f>COUNTIF(S26_Emp!$C:$C,"*" &amp;A169 &amp; "*")</f>
        <v>0</v>
      </c>
      <c r="G169" s="43">
        <f>COUNTIF(F25_Emp!$C:$C,"*" &amp;#REF! &amp; "*")</f>
        <v>0</v>
      </c>
      <c r="H169" s="43">
        <f>COUNTIF(S25_Emp!$C:$C,"*" &amp; A169 &amp; "*")</f>
        <v>0</v>
      </c>
      <c r="I169" s="43">
        <f>COUNTIF(F24_Emp!$C:$C,"*" &amp; B169 &amp; "*")</f>
        <v>0</v>
      </c>
      <c r="J169" s="43">
        <f>COUNTIF(S24_Emp!$C:$C,"*" &amp; $A169 &amp; "*")</f>
        <v>0</v>
      </c>
      <c r="K169" s="43">
        <f>COUNTIF(F23_Emp!$C:$C,"*" &amp; $A169 &amp; "*")</f>
        <v>0</v>
      </c>
      <c r="L169" s="43">
        <f>COUNTIF(S23_Emp!$C:$C,"*" &amp; $A169 &amp; "*")</f>
        <v>0</v>
      </c>
      <c r="M169" s="43">
        <f>COUNTIF(F22_Emp!$C:$C,"*" &amp; $A169 &amp; "*")</f>
        <v>1</v>
      </c>
      <c r="N169" s="43">
        <f>COUNTIF(S22_Emp!$C:$C,"*" &amp; $A169 &amp; "*")</f>
        <v>0</v>
      </c>
      <c r="O169" s="43" t="str">
        <f>COUNTIFS(S22_Emp!$C:$C,"*" &amp; $A169 &amp; "*", S22_S25_Emp!$B:$B, "Bachelor")</f>
        <v>#VALUE!</v>
      </c>
      <c r="P169" s="43" t="str">
        <f>COUNTIFS(S22_Emp!$C:$C,"*" &amp; $A169 &amp; "*", S22_S25_Emp!$B:$B, "Master")</f>
        <v>#VALUE!</v>
      </c>
      <c r="Q169" s="43" t="str">
        <f>COUNTIFS(S22_Emp!$C:$C,"*" &amp; $A169 &amp; "*", S22_S25_Emp!$B:$B, "Doctorate")</f>
        <v>#VALUE!</v>
      </c>
      <c r="R169" s="43" t="str">
        <f t="array" ref="R169">IF(OR(INDEX(S26_CF!X:X, MATCH("*" &amp; $A169 &amp; "*", CompanyList!A:A, 0))=TRUE, INDEX(F25_CF!P:P, MATCH("*" &amp; $A169 &amp; "*", CompanyList!A:A, 0))=TRUE, INDEX(S25_CF!T:T, MATCH("*" &amp; $A169 &amp; "*", CompanyList!A:A, 0))=TRUE, INDEX(S24_CF!W:W, MATCH("*" &amp; $A169 &amp; "*", CompanyList!A:A, 0))=TRUE), "Yes", "No")</f>
        <v>No</v>
      </c>
      <c r="S169" s="43" t="str">
        <f>IF(COUNTIF(S26_CF!$A:$A,"*" &amp; $A169 &amp; "*") &lt;&gt; 0, "Yes", "No")</f>
        <v>No</v>
      </c>
      <c r="T169" s="43" t="str">
        <f t="array" ref="T169">INDEX(S26_CF!K:K, MATCH("*" &amp; $A169 &amp; "*", S26_CF!A:A, 0))</f>
        <v>#N/A</v>
      </c>
      <c r="U169" s="43" t="str">
        <f>IF(COUNTIF(F25_CF!$A:$A,"*" &amp; $A169 &amp; "*") &lt;&gt; 0, "Yes", "No")</f>
        <v>Yes</v>
      </c>
      <c r="V169" s="43" t="str">
        <f t="array" ref="V169">INDEX(F25_CF!I:I, MATCH("*" &amp; $A169 &amp; "*", F25_CF!$A:$A, 0))</f>
        <v>Silver Two-Day [$3000.00]</v>
      </c>
      <c r="W169" s="43" t="str">
        <f>IF(COUNTIF(S25_CF!$A:$A,"*" &amp; $A169 &amp; "*") &lt;&gt; 0, "Yes", "No")</f>
        <v>No</v>
      </c>
      <c r="X169" s="43" t="str">
        <f t="array" ref="X169">INDEX(S25_CF!J:J, MATCH("*" &amp; $A169 &amp; "*", S25_CF!$A:$A, 0))</f>
        <v>#N/A</v>
      </c>
      <c r="Y169" s="43" t="str">
        <f>IF(COUNTIF(F24_CF!$A:$A,"*" &amp; $A169 &amp; "*") &lt;&gt; 0, "Yes", "No")</f>
        <v>Yes</v>
      </c>
      <c r="Z169" s="43" t="str">
        <f t="array" ref="Z169">INDEX(F24_CF!N:N, MATCH("*" &amp; $A169 &amp; "*", F24_CF!$A:$A, 0))</f>
        <v>Silver One-Day: Wednesday, September 4th [$1800.00]</v>
      </c>
      <c r="AA169" s="43" t="str">
        <f>IF(COUNTIF(S24_CF!$A:$A,"*" &amp; $A169 &amp; "*") &lt;&gt; 0, "Yes", "No")</f>
        <v>Yes</v>
      </c>
      <c r="AB169" s="43" t="str">
        <f t="array" ref="AB169">INDEX(S24_CF!H:H, MATCH("*" &amp; $A169 &amp; "*", S24_CF!$A:$A, 0))</f>
        <v>Silver One-Day [$1800.00]</v>
      </c>
    </row>
    <row r="170" ht="15.0" customHeight="1">
      <c r="A170" s="52" t="s">
        <v>225</v>
      </c>
      <c r="B170" s="43" t="s">
        <v>52</v>
      </c>
      <c r="C170" s="43"/>
      <c r="D170" s="43"/>
      <c r="E170" s="43"/>
      <c r="F170" s="43">
        <f>COUNTIF(S26_Emp!$C:$C,"*" &amp;A170 &amp; "*")</f>
        <v>0</v>
      </c>
      <c r="G170" s="43">
        <f>COUNTIF(F25_Emp!$C:$C,"*" &amp;#REF! &amp; "*")</f>
        <v>0</v>
      </c>
      <c r="H170" s="43">
        <f>COUNTIF(S25_Emp!$C:$C,"*" &amp; A170 &amp; "*")</f>
        <v>2</v>
      </c>
      <c r="I170" s="43">
        <f>COUNTIF(F24_Emp!$C:$C,"*" &amp; B170 &amp; "*")</f>
        <v>0</v>
      </c>
      <c r="J170" s="43">
        <f>COUNTIF(S24_Emp!$C:$C,"*" &amp; $A170 &amp; "*")</f>
        <v>2</v>
      </c>
      <c r="K170" s="43">
        <f>COUNTIF(F23_Emp!$C:$C,"*" &amp; $A170 &amp; "*")</f>
        <v>2</v>
      </c>
      <c r="L170" s="43">
        <f>COUNTIF(S23_Emp!$C:$C,"*" &amp; $A170 &amp; "*")</f>
        <v>2</v>
      </c>
      <c r="M170" s="43">
        <f>COUNTIF(F22_Emp!$C:$C,"*" &amp; $A170 &amp; "*")</f>
        <v>2</v>
      </c>
      <c r="N170" s="43">
        <f>COUNTIF(S22_Emp!$C:$C,"*" &amp; $A170 &amp; "*")</f>
        <v>1</v>
      </c>
      <c r="O170" s="43" t="str">
        <f>COUNTIFS(S22_Emp!$C:$C,"*" &amp; $A170 &amp; "*", S22_S25_Emp!$B:$B, "Bachelor")</f>
        <v>#VALUE!</v>
      </c>
      <c r="P170" s="43" t="str">
        <f>COUNTIFS(S22_Emp!$C:$C,"*" &amp; $A170 &amp; "*", S22_S25_Emp!$B:$B, "Master")</f>
        <v>#VALUE!</v>
      </c>
      <c r="Q170" s="43" t="str">
        <f>COUNTIFS(S22_Emp!$C:$C,"*" &amp; $A170 &amp; "*", S22_S25_Emp!$B:$B, "Doctorate")</f>
        <v>#VALUE!</v>
      </c>
      <c r="R170" s="43" t="str">
        <f t="array" ref="R170">IF(OR(INDEX(S26_CF!X:X, MATCH("*" &amp; $A170 &amp; "*", CompanyList!A:A, 0))=TRUE, INDEX(F25_CF!P:P, MATCH("*" &amp; $A170 &amp; "*", CompanyList!A:A, 0))=TRUE, INDEX(S25_CF!T:T, MATCH("*" &amp; $A170 &amp; "*", CompanyList!A:A, 0))=TRUE, INDEX(S24_CF!W:W, MATCH("*" &amp; $A170 &amp; "*", CompanyList!A:A, 0))=TRUE), "Yes", "No")</f>
        <v>No</v>
      </c>
      <c r="S170" s="43" t="str">
        <f>IF(COUNTIF(S26_CF!$A:$A,"*" &amp; $A170 &amp; "*") &lt;&gt; 0, "Yes", "No")</f>
        <v>Yes</v>
      </c>
      <c r="T170" s="43" t="str">
        <f t="array" ref="T170">INDEX(S26_CF!K:K, MATCH("*" &amp; $A170 &amp; "*", S26_CF!A:A, 0))</f>
        <v>Silver Two-Day [$3000.00]</v>
      </c>
      <c r="U170" s="43" t="str">
        <f>IF(COUNTIF(F25_CF!$A:$A,"*" &amp; $A170 &amp; "*") &lt;&gt; 0, "Yes", "No")</f>
        <v>Yes</v>
      </c>
      <c r="V170" s="43" t="str">
        <f t="array" ref="V170">INDEX(F25_CF!I:I, MATCH("*" &amp; $A170 &amp; "*", F25_CF!$A:$A, 0))</f>
        <v>Silver Two-Day [$3000.00]</v>
      </c>
      <c r="W170" s="43" t="str">
        <f>IF(COUNTIF(S25_CF!$A:$A,"*" &amp; $A170 &amp; "*") &lt;&gt; 0, "Yes", "No")</f>
        <v>Yes</v>
      </c>
      <c r="X170" s="43" t="str">
        <f t="array" ref="X170">INDEX(S25_CF!J:J, MATCH("*" &amp; $A170 &amp; "*", S25_CF!$A:$A, 0))</f>
        <v>Silver One-Day: Thursday, January 23rd [$1800.00]</v>
      </c>
      <c r="Y170" s="43" t="str">
        <f>IF(COUNTIF(F24_CF!$A:$A,"*" &amp; $A170 &amp; "*") &lt;&gt; 0, "Yes", "No")</f>
        <v>Yes</v>
      </c>
      <c r="Z170" s="43" t="str">
        <f t="array" ref="Z170">INDEX(F24_CF!N:N, MATCH("*" &amp; $A170 &amp; "*", F24_CF!$A:$A, 0))</f>
        <v>Silver Two-Day [$3000.00]</v>
      </c>
      <c r="AA170" s="43" t="str">
        <f>IF(COUNTIF(S24_CF!$A:$A,"*" &amp; $A170 &amp; "*") &lt;&gt; 0, "Yes", "No")</f>
        <v>Yes</v>
      </c>
      <c r="AB170" s="43" t="str">
        <f t="array" ref="AB170">INDEX(S24_CF!H:H, MATCH("*" &amp; $A170 &amp; "*", S24_CF!$A:$A, 0))</f>
        <v>Silver Two-Day [$3000.00]</v>
      </c>
    </row>
    <row r="171" ht="15.0" customHeight="1">
      <c r="A171" s="52" t="s">
        <v>226</v>
      </c>
      <c r="B171" s="43" t="s">
        <v>52</v>
      </c>
      <c r="C171" s="43"/>
      <c r="D171" s="43"/>
      <c r="E171" s="43"/>
      <c r="F171" s="43">
        <f>COUNTIF(S26_Emp!$C:$C,"*" &amp;A171 &amp; "*")</f>
        <v>0</v>
      </c>
      <c r="G171" s="43">
        <f>COUNTIF(F25_Emp!$C:$C,"*" &amp;#REF! &amp; "*")</f>
        <v>0</v>
      </c>
      <c r="H171" s="43">
        <f>COUNTIF(S25_Emp!$C:$C,"*" &amp; A171 &amp; "*")</f>
        <v>0</v>
      </c>
      <c r="I171" s="43">
        <f>COUNTIF(F24_Emp!$C:$C,"*" &amp; B171 &amp; "*")</f>
        <v>0</v>
      </c>
      <c r="J171" s="43">
        <f>COUNTIF(S24_Emp!$C:$C,"*" &amp; $A171 &amp; "*")</f>
        <v>0</v>
      </c>
      <c r="K171" s="43">
        <f>COUNTIF(F23_Emp!$C:$C,"*" &amp; $A171 &amp; "*")</f>
        <v>0</v>
      </c>
      <c r="L171" s="43">
        <f>COUNTIF(S23_Emp!$C:$C,"*" &amp; $A171 &amp; "*")</f>
        <v>0</v>
      </c>
      <c r="M171" s="43">
        <f>COUNTIF(F22_Emp!$C:$C,"*" &amp; $A171 &amp; "*")</f>
        <v>0</v>
      </c>
      <c r="N171" s="43">
        <f>COUNTIF(S22_Emp!$C:$C,"*" &amp; $A171 &amp; "*")</f>
        <v>0</v>
      </c>
      <c r="O171" s="43" t="str">
        <f>COUNTIFS(S22_Emp!$C:$C,"*" &amp; $A171 &amp; "*", S22_S25_Emp!$B:$B, "Bachelor")</f>
        <v>#VALUE!</v>
      </c>
      <c r="P171" s="43" t="str">
        <f>COUNTIFS(S22_Emp!$C:$C,"*" &amp; $A171 &amp; "*", S22_S25_Emp!$B:$B, "Master")</f>
        <v>#VALUE!</v>
      </c>
      <c r="Q171" s="43" t="str">
        <f>COUNTIFS(S22_Emp!$C:$C,"*" &amp; $A171 &amp; "*", S22_S25_Emp!$B:$B, "Doctorate")</f>
        <v>#VALUE!</v>
      </c>
      <c r="R171" s="43" t="str">
        <f t="array" ref="R171">IF(OR(INDEX(S26_CF!X:X, MATCH("*" &amp; $A171 &amp; "*", CompanyList!A:A, 0))=TRUE, INDEX(F25_CF!P:P, MATCH("*" &amp; $A171 &amp; "*", CompanyList!A:A, 0))=TRUE, INDEX(S25_CF!T:T, MATCH("*" &amp; $A171 &amp; "*", CompanyList!A:A, 0))=TRUE, INDEX(S24_CF!W:W, MATCH("*" &amp; $A171 &amp; "*", CompanyList!A:A, 0))=TRUE), "Yes", "No")</f>
        <v>No</v>
      </c>
      <c r="S171" s="43" t="str">
        <f>IF(COUNTIF(S26_CF!$A:$A,"*" &amp; $A171 &amp; "*") &lt;&gt; 0, "Yes", "No")</f>
        <v>No</v>
      </c>
      <c r="T171" s="43" t="str">
        <f t="array" ref="T171">INDEX(S26_CF!K:K, MATCH("*" &amp; $A171 &amp; "*", S26_CF!A:A, 0))</f>
        <v>#N/A</v>
      </c>
      <c r="U171" s="43" t="str">
        <f>IF(COUNTIF(F25_CF!$A:$A,"*" &amp; $A171 &amp; "*") &lt;&gt; 0, "Yes", "No")</f>
        <v>Yes</v>
      </c>
      <c r="V171" s="43" t="str">
        <f t="array" ref="V171">INDEX(F25_CF!I:I, MATCH("*" &amp; $A171 &amp; "*", F25_CF!$A:$A, 0))</f>
        <v>Basic One-Day: Thursday, September 11th [$1000.00]</v>
      </c>
      <c r="W171" s="43" t="str">
        <f>IF(COUNTIF(S25_CF!$A:$A,"*" &amp; $A171 &amp; "*") &lt;&gt; 0, "Yes", "No")</f>
        <v>Yes</v>
      </c>
      <c r="X171" s="43" t="str">
        <f t="array" ref="X171">INDEX(S25_CF!J:J, MATCH("*" &amp; $A171 &amp; "*", S25_CF!$A:$A, 0))</f>
        <v>Basic One-Day: Thursday, January 23rd [$1000.00]</v>
      </c>
      <c r="Y171" s="43" t="str">
        <f>IF(COUNTIF(F24_CF!$A:$A,"*" &amp; $A171 &amp; "*") &lt;&gt; 0, "Yes", "No")</f>
        <v>No</v>
      </c>
      <c r="Z171" s="43" t="str">
        <f t="array" ref="Z171">INDEX(F24_CF!N:N, MATCH("*" &amp; $A171 &amp; "*", F24_CF!$A:$A, 0))</f>
        <v>#N/A</v>
      </c>
      <c r="AA171" s="43" t="str">
        <f>IF(COUNTIF(S24_CF!$A:$A,"*" &amp; $A171 &amp; "*") &lt;&gt; 0, "Yes", "No")</f>
        <v>Yes</v>
      </c>
      <c r="AB171" s="43" t="str">
        <f t="array" ref="AB171">INDEX(S24_CF!H:H, MATCH("*" &amp; $A171 &amp; "*", S24_CF!$A:$A, 0))</f>
        <v>Basic One-Day [$1000.00]</v>
      </c>
    </row>
    <row r="172" ht="15.0" customHeight="1">
      <c r="A172" s="52" t="s">
        <v>227</v>
      </c>
      <c r="B172" s="43" t="s">
        <v>52</v>
      </c>
      <c r="C172" s="43"/>
      <c r="D172" s="43"/>
      <c r="E172" s="43"/>
      <c r="F172" s="43">
        <f>COUNTIF(S26_Emp!$C:$C,"*" &amp;A172 &amp; "*")</f>
        <v>0</v>
      </c>
      <c r="G172" s="43">
        <f>COUNTIF(F25_Emp!$C:$C,"*" &amp;#REF! &amp; "*")</f>
        <v>0</v>
      </c>
      <c r="H172" s="43">
        <f>COUNTIF(S25_Emp!$C:$C,"*" &amp; A172 &amp; "*")</f>
        <v>0</v>
      </c>
      <c r="I172" s="43">
        <f>COUNTIF(F24_Emp!$C:$C,"*" &amp; B172 &amp; "*")</f>
        <v>0</v>
      </c>
      <c r="J172" s="43">
        <f>COUNTIF(S24_Emp!$C:$C,"*" &amp; $A172 &amp; "*")</f>
        <v>0</v>
      </c>
      <c r="K172" s="43">
        <f>COUNTIF(F23_Emp!$C:$C,"*" &amp; $A172 &amp; "*")</f>
        <v>0</v>
      </c>
      <c r="L172" s="43">
        <f>COUNTIF(S23_Emp!$C:$C,"*" &amp; $A172 &amp; "*")</f>
        <v>0</v>
      </c>
      <c r="M172" s="43">
        <f>COUNTIF(F22_Emp!$C:$C,"*" &amp; $A172 &amp; "*")</f>
        <v>0</v>
      </c>
      <c r="N172" s="43">
        <f>COUNTIF(S22_Emp!$C:$C,"*" &amp; $A172 &amp; "*")</f>
        <v>0</v>
      </c>
      <c r="O172" s="43" t="str">
        <f>COUNTIFS(S22_Emp!$C:$C,"*" &amp; $A172 &amp; "*", S22_S25_Emp!$B:$B, "Bachelor")</f>
        <v>#VALUE!</v>
      </c>
      <c r="P172" s="43" t="str">
        <f>COUNTIFS(S22_Emp!$C:$C,"*" &amp; $A172 &amp; "*", S22_S25_Emp!$B:$B, "Master")</f>
        <v>#VALUE!</v>
      </c>
      <c r="Q172" s="43" t="str">
        <f>COUNTIFS(S22_Emp!$C:$C,"*" &amp; $A172 &amp; "*", S22_S25_Emp!$B:$B, "Doctorate")</f>
        <v>#VALUE!</v>
      </c>
      <c r="R172" s="43" t="str">
        <f t="array" ref="R172">IF(OR(INDEX(S26_CF!X:X, MATCH("*" &amp; $A172 &amp; "*", CompanyList!A:A, 0))=TRUE, INDEX(F25_CF!P:P, MATCH("*" &amp; $A172 &amp; "*", CompanyList!A:A, 0))=TRUE, INDEX(S25_CF!T:T, MATCH("*" &amp; $A172 &amp; "*", CompanyList!A:A, 0))=TRUE, INDEX(S24_CF!W:W, MATCH("*" &amp; $A172 &amp; "*", CompanyList!A:A, 0))=TRUE), "Yes", "No")</f>
        <v>No</v>
      </c>
      <c r="S172" s="43" t="str">
        <f>IF(COUNTIF(S26_CF!$A:$A,"*" &amp; $A172 &amp; "*") &lt;&gt; 0, "Yes", "No")</f>
        <v>Yes</v>
      </c>
      <c r="T172" s="43" t="str">
        <f t="array" ref="T172">INDEX(S26_CF!K:K, MATCH("*" &amp; $A172 &amp; "*", S26_CF!A:A, 0))</f>
        <v>Basic Two-Day [$2000.00]</v>
      </c>
      <c r="U172" s="43" t="str">
        <f>IF(COUNTIF(F25_CF!$A:$A,"*" &amp; $A172 &amp; "*") &lt;&gt; 0, "Yes", "No")</f>
        <v>Yes</v>
      </c>
      <c r="V172" s="43" t="str">
        <f t="array" ref="V172">INDEX(F25_CF!I:I, MATCH("*" &amp; $A172 &amp; "*", F25_CF!$A:$A, 0))</f>
        <v>Basic One-Day: Thursday, September 11th [$1000.00]</v>
      </c>
      <c r="W172" s="43" t="str">
        <f>IF(COUNTIF(S25_CF!$A:$A,"*" &amp; $A172 &amp; "*") &lt;&gt; 0, "Yes", "No")</f>
        <v>No</v>
      </c>
      <c r="X172" s="43" t="str">
        <f t="array" ref="X172">INDEX(S25_CF!J:J, MATCH("*" &amp; $A172 &amp; "*", S25_CF!$A:$A, 0))</f>
        <v>#N/A</v>
      </c>
      <c r="Y172" s="43" t="str">
        <f>IF(COUNTIF(F24_CF!$A:$A,"*" &amp; $A172 &amp; "*") &lt;&gt; 0, "Yes", "No")</f>
        <v>Yes</v>
      </c>
      <c r="Z172" s="43" t="str">
        <f t="array" ref="Z172">INDEX(F24_CF!N:N, MATCH("*" &amp; $A172 &amp; "*", F24_CF!$A:$A, 0))</f>
        <v>Basic One-Day: Thursday, September 5th [$1000.00]</v>
      </c>
      <c r="AA172" s="43" t="str">
        <f>IF(COUNTIF(S24_CF!$A:$A,"*" &amp; $A172 &amp; "*") &lt;&gt; 0, "Yes", "No")</f>
        <v>Yes</v>
      </c>
      <c r="AB172" s="43" t="str">
        <f t="array" ref="AB172">INDEX(S24_CF!H:H, MATCH("*" &amp; $A172 &amp; "*", S24_CF!$A:$A, 0))</f>
        <v>Basic Two-Day [$2000.00]</v>
      </c>
    </row>
    <row r="173" ht="15.0" customHeight="1">
      <c r="A173" s="52" t="s">
        <v>228</v>
      </c>
      <c r="B173" s="43" t="s">
        <v>52</v>
      </c>
      <c r="C173" s="43"/>
      <c r="D173" s="43"/>
      <c r="E173" s="43"/>
      <c r="F173" s="43">
        <f>COUNTIF(S26_Emp!$C:$C,"*" &amp;A173 &amp; "*")</f>
        <v>0</v>
      </c>
      <c r="G173" s="43">
        <f>COUNTIF(F25_Emp!$C:$C,"*" &amp;#REF! &amp; "*")</f>
        <v>0</v>
      </c>
      <c r="H173" s="43">
        <f>COUNTIF(S25_Emp!$C:$C,"*" &amp; A173 &amp; "*")</f>
        <v>0</v>
      </c>
      <c r="I173" s="43">
        <f>COUNTIF(F24_Emp!$C:$C,"*" &amp; B173 &amp; "*")</f>
        <v>0</v>
      </c>
      <c r="J173" s="43">
        <f>COUNTIF(S24_Emp!$C:$C,"*" &amp; $A173 &amp; "*")</f>
        <v>0</v>
      </c>
      <c r="K173" s="43">
        <f>COUNTIF(F23_Emp!$C:$C,"*" &amp; $A173 &amp; "*")</f>
        <v>0</v>
      </c>
      <c r="L173" s="43">
        <f>COUNTIF(S23_Emp!$C:$C,"*" &amp; $A173 &amp; "*")</f>
        <v>0</v>
      </c>
      <c r="M173" s="43">
        <f>COUNTIF(F22_Emp!$C:$C,"*" &amp; $A173 &amp; "*")</f>
        <v>0</v>
      </c>
      <c r="N173" s="43">
        <f>COUNTIF(S22_Emp!$C:$C,"*" &amp; $A173 &amp; "*")</f>
        <v>0</v>
      </c>
      <c r="O173" s="43" t="str">
        <f>COUNTIFS(S22_Emp!$C:$C,"*" &amp; $A173 &amp; "*", S22_S25_Emp!$B:$B, "Bachelor")</f>
        <v>#VALUE!</v>
      </c>
      <c r="P173" s="43" t="str">
        <f>COUNTIFS(S22_Emp!$C:$C,"*" &amp; $A173 &amp; "*", S22_S25_Emp!$B:$B, "Master")</f>
        <v>#VALUE!</v>
      </c>
      <c r="Q173" s="43" t="str">
        <f>COUNTIFS(S22_Emp!$C:$C,"*" &amp; $A173 &amp; "*", S22_S25_Emp!$B:$B, "Doctorate")</f>
        <v>#VALUE!</v>
      </c>
      <c r="R173" s="43" t="str">
        <f t="array" ref="R173">IF(OR(INDEX(S26_CF!X:X, MATCH("*" &amp; $A173 &amp; "*", CompanyList!A:A, 0))=TRUE, INDEX(F25_CF!P:P, MATCH("*" &amp; $A173 &amp; "*", CompanyList!A:A, 0))=TRUE, INDEX(S25_CF!T:T, MATCH("*" &amp; $A173 &amp; "*", CompanyList!A:A, 0))=TRUE, INDEX(S24_CF!W:W, MATCH("*" &amp; $A173 &amp; "*", CompanyList!A:A, 0))=TRUE), "Yes", "No")</f>
        <v>No</v>
      </c>
      <c r="S173" s="43" t="str">
        <f>IF(COUNTIF(S26_CF!$A:$A,"*" &amp; $A173 &amp; "*") &lt;&gt; 0, "Yes", "No")</f>
        <v>No</v>
      </c>
      <c r="T173" s="43" t="str">
        <f t="array" ref="T173">INDEX(S26_CF!K:K, MATCH("*" &amp; $A173 &amp; "*", S26_CF!A:A, 0))</f>
        <v>#N/A</v>
      </c>
      <c r="U173" s="43" t="str">
        <f>IF(COUNTIF(F25_CF!$A:$A,"*" &amp; $A173 &amp; "*") &lt;&gt; 0, "Yes", "No")</f>
        <v>Yes</v>
      </c>
      <c r="V173" s="43" t="str">
        <f t="array" ref="V173">INDEX(F25_CF!I:I, MATCH("*" &amp; $A173 &amp; "*", F25_CF!$A:$A, 0))</f>
        <v>Basic One-Day: Thursday, September 11th [$1000.00]</v>
      </c>
      <c r="W173" s="43" t="str">
        <f>IF(COUNTIF(S25_CF!$A:$A,"*" &amp; $A173 &amp; "*") &lt;&gt; 0, "Yes", "No")</f>
        <v>Yes</v>
      </c>
      <c r="X173" s="43" t="str">
        <f t="array" ref="X173">INDEX(S25_CF!J:J, MATCH("*" &amp; $A173 &amp; "*", S25_CF!$A:$A, 0))</f>
        <v>Basic One-Day: Wednesday, January 22nd [$1000.00]</v>
      </c>
      <c r="Y173" s="43" t="str">
        <f>IF(COUNTIF(F24_CF!$A:$A,"*" &amp; $A173 &amp; "*") &lt;&gt; 0, "Yes", "No")</f>
        <v>No</v>
      </c>
      <c r="Z173" s="43" t="str">
        <f t="array" ref="Z173">INDEX(F24_CF!N:N, MATCH("*" &amp; $A173 &amp; "*", F24_CF!$A:$A, 0))</f>
        <v>#N/A</v>
      </c>
      <c r="AA173" s="43" t="str">
        <f>IF(COUNTIF(S24_CF!$A:$A,"*" &amp; $A173 &amp; "*") &lt;&gt; 0, "Yes", "No")</f>
        <v>Yes</v>
      </c>
      <c r="AB173" s="43" t="str">
        <f t="array" ref="AB173">INDEX(S24_CF!H:H, MATCH("*" &amp; $A173 &amp; "*", S24_CF!$A:$A, 0))</f>
        <v>Basic One-Day [$1000.00]</v>
      </c>
    </row>
    <row r="174" ht="15.0" customHeight="1">
      <c r="A174" s="52" t="s">
        <v>229</v>
      </c>
      <c r="B174" s="43" t="s">
        <v>52</v>
      </c>
      <c r="C174" s="43"/>
      <c r="D174" s="43"/>
      <c r="E174" s="43"/>
      <c r="F174" s="43">
        <f>COUNTIF(S26_Emp!$C:$C,"*" &amp;A174 &amp; "*")</f>
        <v>0</v>
      </c>
      <c r="G174" s="43">
        <f>COUNTIF(F25_Emp!$C:$C,"*" &amp;#REF! &amp; "*")</f>
        <v>0</v>
      </c>
      <c r="H174" s="43">
        <f>COUNTIF(S25_Emp!$C:$C,"*" &amp; A174 &amp; "*")</f>
        <v>1</v>
      </c>
      <c r="I174" s="43">
        <f>COUNTIF(F24_Emp!$C:$C,"*" &amp; B174 &amp; "*")</f>
        <v>0</v>
      </c>
      <c r="J174" s="43">
        <f>COUNTIF(S24_Emp!$C:$C,"*" &amp; $A174 &amp; "*")</f>
        <v>0</v>
      </c>
      <c r="K174" s="43">
        <f>COUNTIF(F23_Emp!$C:$C,"*" &amp; $A174 &amp; "*")</f>
        <v>0</v>
      </c>
      <c r="L174" s="43">
        <f>COUNTIF(S23_Emp!$C:$C,"*" &amp; $A174 &amp; "*")</f>
        <v>0</v>
      </c>
      <c r="M174" s="43">
        <f>COUNTIF(F22_Emp!$C:$C,"*" &amp; $A174 &amp; "*")</f>
        <v>1</v>
      </c>
      <c r="N174" s="43">
        <f>COUNTIF(S22_Emp!$C:$C,"*" &amp; $A174 &amp; "*")</f>
        <v>1</v>
      </c>
      <c r="O174" s="43" t="str">
        <f>COUNTIFS(S22_Emp!$C:$C,"*" &amp; $A174 &amp; "*", S22_S25_Emp!$B:$B, "Bachelor")</f>
        <v>#VALUE!</v>
      </c>
      <c r="P174" s="43" t="str">
        <f>COUNTIFS(S22_Emp!$C:$C,"*" &amp; $A174 &amp; "*", S22_S25_Emp!$B:$B, "Master")</f>
        <v>#VALUE!</v>
      </c>
      <c r="Q174" s="43" t="str">
        <f>COUNTIFS(S22_Emp!$C:$C,"*" &amp; $A174 &amp; "*", S22_S25_Emp!$B:$B, "Doctorate")</f>
        <v>#VALUE!</v>
      </c>
      <c r="R174" s="43" t="str">
        <f t="array" ref="R174">IF(OR(INDEX(S26_CF!X:X, MATCH("*" &amp; $A174 &amp; "*", CompanyList!A:A, 0))=TRUE, INDEX(F25_CF!P:P, MATCH("*" &amp; $A174 &amp; "*", CompanyList!A:A, 0))=TRUE, INDEX(S25_CF!T:T, MATCH("*" &amp; $A174 &amp; "*", CompanyList!A:A, 0))=TRUE, INDEX(S24_CF!W:W, MATCH("*" &amp; $A174 &amp; "*", CompanyList!A:A, 0))=TRUE), "Yes", "No")</f>
        <v>No</v>
      </c>
      <c r="S174" s="43" t="str">
        <f>IF(COUNTIF(S26_CF!$A:$A,"*" &amp; $A174 &amp; "*") &lt;&gt; 0, "Yes", "No")</f>
        <v>No</v>
      </c>
      <c r="T174" s="43" t="str">
        <f t="array" ref="T174">INDEX(S26_CF!K:K, MATCH("*" &amp; $A174 &amp; "*", S26_CF!A:A, 0))</f>
        <v>#N/A</v>
      </c>
      <c r="U174" s="43" t="str">
        <f>IF(COUNTIF(F25_CF!$A:$A,"*" &amp; $A174 &amp; "*") &lt;&gt; 0, "Yes", "No")</f>
        <v>No</v>
      </c>
      <c r="V174" s="43" t="str">
        <f t="array" ref="V174">INDEX(F25_CF!I:I, MATCH("*" &amp; $A174 &amp; "*", F25_CF!$A:$A, 0))</f>
        <v>#N/A</v>
      </c>
      <c r="W174" s="43" t="str">
        <f>IF(COUNTIF(S25_CF!$A:$A,"*" &amp; $A174 &amp; "*") &lt;&gt; 0, "Yes", "No")</f>
        <v>Yes</v>
      </c>
      <c r="X174" s="43" t="str">
        <f t="array" ref="X174">INDEX(S25_CF!J:J, MATCH("*" &amp; $A174 &amp; "*", S25_CF!$A:$A, 0))</f>
        <v>Basic One-Day: Thursday, January 23rd [$1000.00]</v>
      </c>
      <c r="Y174" s="43" t="str">
        <f>IF(COUNTIF(F24_CF!$A:$A,"*" &amp; $A174 &amp; "*") &lt;&gt; 0, "Yes", "No")</f>
        <v>No</v>
      </c>
      <c r="Z174" s="43" t="str">
        <f t="array" ref="Z174">INDEX(F24_CF!N:N, MATCH("*" &amp; $A174 &amp; "*", F24_CF!$A:$A, 0))</f>
        <v>#N/A</v>
      </c>
      <c r="AA174" s="43" t="str">
        <f>IF(COUNTIF(S24_CF!$A:$A,"*" &amp; $A174 &amp; "*") &lt;&gt; 0, "Yes", "No")</f>
        <v>Yes</v>
      </c>
      <c r="AB174" s="43" t="str">
        <f t="array" ref="AB174">INDEX(S24_CF!H:H, MATCH("*" &amp; $A174 &amp; "*", S24_CF!$A:$A, 0))</f>
        <v>Basic One-Day [$1000.00]</v>
      </c>
    </row>
    <row r="175" ht="15.0" customHeight="1">
      <c r="A175" s="52" t="s">
        <v>230</v>
      </c>
      <c r="B175" s="43" t="s">
        <v>52</v>
      </c>
      <c r="C175" s="43"/>
      <c r="D175" s="43"/>
      <c r="E175" s="43"/>
      <c r="F175" s="43">
        <f>COUNTIF(S26_Emp!$C:$C,"*" &amp;A175 &amp; "*")</f>
        <v>0</v>
      </c>
      <c r="G175" s="43">
        <f>COUNTIF(F25_Emp!$C:$C,"*" &amp;#REF! &amp; "*")</f>
        <v>0</v>
      </c>
      <c r="H175" s="43">
        <f>COUNTIF(S25_Emp!$C:$C,"*" &amp; A175 &amp; "*")</f>
        <v>1</v>
      </c>
      <c r="I175" s="43">
        <f>COUNTIF(F24_Emp!$C:$C,"*" &amp; B175 &amp; "*")</f>
        <v>0</v>
      </c>
      <c r="J175" s="43">
        <f>COUNTIF(S24_Emp!$C:$C,"*" &amp; $A175 &amp; "*")</f>
        <v>1</v>
      </c>
      <c r="K175" s="43">
        <f>COUNTIF(F23_Emp!$C:$C,"*" &amp; $A175 &amp; "*")</f>
        <v>0</v>
      </c>
      <c r="L175" s="43">
        <f>COUNTIF(S23_Emp!$C:$C,"*" &amp; $A175 &amp; "*")</f>
        <v>0</v>
      </c>
      <c r="M175" s="43">
        <f>COUNTIF(F22_Emp!$C:$C,"*" &amp; $A175 &amp; "*")</f>
        <v>1</v>
      </c>
      <c r="N175" s="43">
        <f>COUNTIF(S22_Emp!$C:$C,"*" &amp; $A175 &amp; "*")</f>
        <v>0</v>
      </c>
      <c r="O175" s="43" t="str">
        <f>COUNTIFS(S22_Emp!$C:$C,"*" &amp; $A175 &amp; "*", S22_S25_Emp!$B:$B, "Bachelor")</f>
        <v>#VALUE!</v>
      </c>
      <c r="P175" s="43" t="str">
        <f>COUNTIFS(S22_Emp!$C:$C,"*" &amp; $A175 &amp; "*", S22_S25_Emp!$B:$B, "Master")</f>
        <v>#VALUE!</v>
      </c>
      <c r="Q175" s="43" t="str">
        <f>COUNTIFS(S22_Emp!$C:$C,"*" &amp; $A175 &amp; "*", S22_S25_Emp!$B:$B, "Doctorate")</f>
        <v>#VALUE!</v>
      </c>
      <c r="R175" s="43" t="str">
        <f t="array" ref="R175">IF(OR(INDEX(S26_CF!X:X, MATCH("*" &amp; $A175 &amp; "*", CompanyList!A:A, 0))=TRUE, INDEX(F25_CF!P:P, MATCH("*" &amp; $A175 &amp; "*", CompanyList!A:A, 0))=TRUE, INDEX(S25_CF!T:T, MATCH("*" &amp; $A175 &amp; "*", CompanyList!A:A, 0))=TRUE, INDEX(S24_CF!W:W, MATCH("*" &amp; $A175 &amp; "*", CompanyList!A:A, 0))=TRUE), "Yes", "No")</f>
        <v>No</v>
      </c>
      <c r="S175" s="43" t="str">
        <f>IF(COUNTIF(S26_CF!$A:$A,"*" &amp; $A175 &amp; "*") &lt;&gt; 0, "Yes", "No")</f>
        <v>Yes</v>
      </c>
      <c r="T175" s="43" t="str">
        <f t="array" ref="T175">INDEX(S26_CF!K:K, MATCH("*" &amp; $A175 &amp; "*", S26_CF!A:A, 0))</f>
        <v>Basic One-Day: Thursday, January 29th [$1000.00]</v>
      </c>
      <c r="U175" s="43" t="str">
        <f>IF(COUNTIF(F25_CF!$A:$A,"*" &amp; $A175 &amp; "*") &lt;&gt; 0, "Yes", "No")</f>
        <v>Yes</v>
      </c>
      <c r="V175" s="43" t="str">
        <f t="array" ref="V175">INDEX(F25_CF!I:I, MATCH("*" &amp; $A175 &amp; "*", F25_CF!$A:$A, 0))</f>
        <v>Basic One-Day: Thursday, September 11th [$1000.00]</v>
      </c>
      <c r="W175" s="43" t="str">
        <f>IF(COUNTIF(S25_CF!$A:$A,"*" &amp; $A175 &amp; "*") &lt;&gt; 0, "Yes", "No")</f>
        <v>Yes</v>
      </c>
      <c r="X175" s="43" t="str">
        <f t="array" ref="X175">INDEX(S25_CF!J:J, MATCH("*" &amp; $A175 &amp; "*", S25_CF!$A:$A, 0))</f>
        <v>Basic One-Day: Thursday, January 23rd [$1000.00]</v>
      </c>
      <c r="Y175" s="43" t="str">
        <f>IF(COUNTIF(F24_CF!$A:$A,"*" &amp; $A175 &amp; "*") &lt;&gt; 0, "Yes", "No")</f>
        <v>Yes</v>
      </c>
      <c r="Z175" s="43" t="str">
        <f t="array" ref="Z175">INDEX(F24_CF!N:N, MATCH("*" &amp; $A175 &amp; "*", F24_CF!$A:$A, 0))</f>
        <v>Basic One-Day: Thursday, September 5th [$1000.00]</v>
      </c>
      <c r="AA175" s="43" t="str">
        <f>IF(COUNTIF(S24_CF!$A:$A,"*" &amp; $A175 &amp; "*") &lt;&gt; 0, "Yes", "No")</f>
        <v>Yes</v>
      </c>
      <c r="AB175" s="43" t="str">
        <f t="array" ref="AB175">INDEX(S24_CF!H:H, MATCH("*" &amp; $A175 &amp; "*", S24_CF!$A:$A, 0))</f>
        <v>Basic One-Day [$1000.00]</v>
      </c>
    </row>
    <row r="176" ht="15.0" customHeight="1">
      <c r="A176" s="52" t="s">
        <v>231</v>
      </c>
      <c r="B176" s="43" t="s">
        <v>52</v>
      </c>
      <c r="C176" s="43"/>
      <c r="D176" s="43"/>
      <c r="E176" s="43"/>
      <c r="F176" s="43">
        <f>COUNTIF(S26_Emp!$C:$C,"*" &amp;A176 &amp; "*")</f>
        <v>0</v>
      </c>
      <c r="G176" s="43">
        <f>COUNTIF(F25_Emp!$C:$C,"*" &amp;#REF! &amp; "*")</f>
        <v>0</v>
      </c>
      <c r="H176" s="43">
        <f>COUNTIF(S25_Emp!$C:$C,"*" &amp; A176 &amp; "*")</f>
        <v>0</v>
      </c>
      <c r="I176" s="43">
        <f>COUNTIF(F24_Emp!$C:$C,"*" &amp; B176 &amp; "*")</f>
        <v>0</v>
      </c>
      <c r="J176" s="43">
        <f>COUNTIF(S24_Emp!$C:$C,"*" &amp; $A176 &amp; "*")</f>
        <v>0</v>
      </c>
      <c r="K176" s="43">
        <f>COUNTIF(F23_Emp!$C:$C,"*" &amp; $A176 &amp; "*")</f>
        <v>0</v>
      </c>
      <c r="L176" s="43">
        <f>COUNTIF(S23_Emp!$C:$C,"*" &amp; $A176 &amp; "*")</f>
        <v>2</v>
      </c>
      <c r="M176" s="43">
        <f>COUNTIF(F22_Emp!$C:$C,"*" &amp; $A176 &amp; "*")</f>
        <v>0</v>
      </c>
      <c r="N176" s="43">
        <f>COUNTIF(S22_Emp!$C:$C,"*" &amp; $A176 &amp; "*")</f>
        <v>0</v>
      </c>
      <c r="O176" s="43" t="str">
        <f>COUNTIFS(S22_Emp!$C:$C,"*" &amp; $A176 &amp; "*", S22_S25_Emp!$B:$B, "Bachelor")</f>
        <v>#VALUE!</v>
      </c>
      <c r="P176" s="43" t="str">
        <f>COUNTIFS(S22_Emp!$C:$C,"*" &amp; $A176 &amp; "*", S22_S25_Emp!$B:$B, "Master")</f>
        <v>#VALUE!</v>
      </c>
      <c r="Q176" s="43" t="str">
        <f>COUNTIFS(S22_Emp!$C:$C,"*" &amp; $A176 &amp; "*", S22_S25_Emp!$B:$B, "Doctorate")</f>
        <v>#VALUE!</v>
      </c>
      <c r="R176" s="43" t="str">
        <f t="array" ref="R176">IF(OR(INDEX(S26_CF!X:X, MATCH("*" &amp; $A176 &amp; "*", CompanyList!A:A, 0))=TRUE, INDEX(F25_CF!P:P, MATCH("*" &amp; $A176 &amp; "*", CompanyList!A:A, 0))=TRUE, INDEX(S25_CF!T:T, MATCH("*" &amp; $A176 &amp; "*", CompanyList!A:A, 0))=TRUE, INDEX(S24_CF!W:W, MATCH("*" &amp; $A176 &amp; "*", CompanyList!A:A, 0))=TRUE), "Yes", "No")</f>
        <v>Yes</v>
      </c>
      <c r="S176" s="43" t="str">
        <f>IF(COUNTIF(S26_CF!$A:$A,"*" &amp; $A176 &amp; "*") &lt;&gt; 0, "Yes", "No")</f>
        <v>Yes</v>
      </c>
      <c r="T176" s="43" t="str">
        <f t="array" ref="T176">INDEX(S26_CF!K:K, MATCH("*" &amp; $A176 &amp; "*", S26_CF!A:A, 0))</f>
        <v>Gold One-Day: Wednesday, January 28th [$2500.00]</v>
      </c>
      <c r="U176" s="43" t="str">
        <f>IF(COUNTIF(F25_CF!$A:$A,"*" &amp; $A176 &amp; "*") &lt;&gt; 0, "Yes", "No")</f>
        <v>Yes</v>
      </c>
      <c r="V176" s="43" t="str">
        <f t="array" ref="V176">INDEX(F25_CF!I:I, MATCH("*" &amp; $A176 &amp; "*", F25_CF!$A:$A, 0))</f>
        <v>Gold One-Day: Wednesday, September 10th [$2500.00]</v>
      </c>
      <c r="W176" s="43" t="str">
        <f>IF(COUNTIF(S25_CF!$A:$A,"*" &amp; $A176 &amp; "*") &lt;&gt; 0, "Yes", "No")</f>
        <v>Yes</v>
      </c>
      <c r="X176" s="43" t="str">
        <f t="array" ref="X176">INDEX(S25_CF!J:J, MATCH("*" &amp; $A176 &amp; "*", S25_CF!$A:$A, 0))</f>
        <v>Gold One-Day: Thursday, January 23rd [$2500.00]</v>
      </c>
      <c r="Y176" s="43" t="str">
        <f>IF(COUNTIF(F24_CF!$A:$A,"*" &amp; $A176 &amp; "*") &lt;&gt; 0, "Yes", "No")</f>
        <v>No</v>
      </c>
      <c r="Z176" s="43" t="str">
        <f t="array" ref="Z176">INDEX(F24_CF!N:N, MATCH("*" &amp; $A176 &amp; "*", F24_CF!$A:$A, 0))</f>
        <v>#N/A</v>
      </c>
      <c r="AA176" s="43" t="str">
        <f>IF(COUNTIF(S24_CF!$A:$A,"*" &amp; $A176 &amp; "*") &lt;&gt; 0, "Yes", "No")</f>
        <v>Yes</v>
      </c>
      <c r="AB176" s="43" t="str">
        <f t="array" ref="AB176">INDEX(S24_CF!H:H, MATCH("*" &amp; $A176 &amp; "*", S24_CF!$A:$A, 0))</f>
        <v>Gold One-Day [$2500.00]</v>
      </c>
    </row>
    <row r="177" ht="15.0" customHeight="1">
      <c r="A177" s="52" t="s">
        <v>232</v>
      </c>
      <c r="B177" s="43" t="s">
        <v>52</v>
      </c>
      <c r="C177" s="43"/>
      <c r="D177" s="43"/>
      <c r="E177" s="43"/>
      <c r="F177" s="43">
        <f>COUNTIF(S26_Emp!$C:$C,"*" &amp;A177 &amp; "*")</f>
        <v>0</v>
      </c>
      <c r="G177" s="43">
        <f>COUNTIF(F25_Emp!$C:$C,"*" &amp;#REF! &amp; "*")</f>
        <v>0</v>
      </c>
      <c r="H177" s="43">
        <f>COUNTIF(S25_Emp!$C:$C,"*" &amp; A177 &amp; "*")</f>
        <v>0</v>
      </c>
      <c r="I177" s="43">
        <f>COUNTIF(F24_Emp!$C:$C,"*" &amp; B177 &amp; "*")</f>
        <v>0</v>
      </c>
      <c r="J177" s="43">
        <f>COUNTIF(S24_Emp!$C:$C,"*" &amp; $A177 &amp; "*")</f>
        <v>0</v>
      </c>
      <c r="K177" s="43">
        <f>COUNTIF(F23_Emp!$C:$C,"*" &amp; $A177 &amp; "*")</f>
        <v>1</v>
      </c>
      <c r="L177" s="43">
        <f>COUNTIF(S23_Emp!$C:$C,"*" &amp; $A177 &amp; "*")</f>
        <v>0</v>
      </c>
      <c r="M177" s="43">
        <f>COUNTIF(F22_Emp!$C:$C,"*" &amp; $A177 &amp; "*")</f>
        <v>0</v>
      </c>
      <c r="N177" s="43">
        <f>COUNTIF(S22_Emp!$C:$C,"*" &amp; $A177 &amp; "*")</f>
        <v>0</v>
      </c>
      <c r="O177" s="43" t="str">
        <f>COUNTIFS(S22_Emp!$C:$C,"*" &amp; $A177 &amp; "*", S22_S25_Emp!$B:$B, "Bachelor")</f>
        <v>#VALUE!</v>
      </c>
      <c r="P177" s="43" t="str">
        <f>COUNTIFS(S22_Emp!$C:$C,"*" &amp; $A177 &amp; "*", S22_S25_Emp!$B:$B, "Master")</f>
        <v>#VALUE!</v>
      </c>
      <c r="Q177" s="43" t="str">
        <f>COUNTIFS(S22_Emp!$C:$C,"*" &amp; $A177 &amp; "*", S22_S25_Emp!$B:$B, "Doctorate")</f>
        <v>#VALUE!</v>
      </c>
      <c r="R177" s="43" t="str">
        <f t="array" ref="R177">IF(OR(INDEX(S26_CF!X:X, MATCH("*" &amp; $A177 &amp; "*", CompanyList!A:A, 0))=TRUE, INDEX(F25_CF!P:P, MATCH("*" &amp; $A177 &amp; "*", CompanyList!A:A, 0))=TRUE, INDEX(S25_CF!T:T, MATCH("*" &amp; $A177 &amp; "*", CompanyList!A:A, 0))=TRUE, INDEX(S24_CF!W:W, MATCH("*" &amp; $A177 &amp; "*", CompanyList!A:A, 0))=TRUE), "Yes", "No")</f>
        <v>No</v>
      </c>
      <c r="S177" s="43" t="str">
        <f>IF(COUNTIF(S26_CF!$A:$A,"*" &amp; $A177 &amp; "*") &lt;&gt; 0, "Yes", "No")</f>
        <v>No</v>
      </c>
      <c r="T177" s="43" t="str">
        <f t="array" ref="T177">INDEX(S26_CF!K:K, MATCH("*" &amp; $A177 &amp; "*", S26_CF!A:A, 0))</f>
        <v>#N/A</v>
      </c>
      <c r="U177" s="43" t="str">
        <f>IF(COUNTIF(F25_CF!$A:$A,"*" &amp; $A177 &amp; "*") &lt;&gt; 0, "Yes", "No")</f>
        <v>Yes</v>
      </c>
      <c r="V177" s="43" t="str">
        <f t="array" ref="V177">INDEX(F25_CF!I:I, MATCH("*" &amp; $A177 &amp; "*", F25_CF!$A:$A, 0))</f>
        <v>Basic One-Day: Wednesday, September 10th [$1000.00]</v>
      </c>
      <c r="W177" s="43" t="str">
        <f>IF(COUNTIF(S25_CF!$A:$A,"*" &amp; $A177 &amp; "*") &lt;&gt; 0, "Yes", "No")</f>
        <v>Yes</v>
      </c>
      <c r="X177" s="43" t="str">
        <f t="array" ref="X177">INDEX(S25_CF!J:J, MATCH("*" &amp; $A177 &amp; "*", S25_CF!$A:$A, 0))</f>
        <v>Basic One-Day: Wednesday, January 22nd [$1000.00]</v>
      </c>
      <c r="Y177" s="43" t="str">
        <f>IF(COUNTIF(F24_CF!$A:$A,"*" &amp; $A177 &amp; "*") &lt;&gt; 0, "Yes", "No")</f>
        <v>Yes</v>
      </c>
      <c r="Z177" s="43" t="str">
        <f t="array" ref="Z177">INDEX(F24_CF!N:N, MATCH("*" &amp; $A177 &amp; "*", F24_CF!$A:$A, 0))</f>
        <v>Diamond One-Day: Thursday, September 5th [$4000.00]</v>
      </c>
      <c r="AA177" s="43" t="str">
        <f>IF(COUNTIF(S24_CF!$A:$A,"*" &amp; $A177 &amp; "*") &lt;&gt; 0, "Yes", "No")</f>
        <v>Yes</v>
      </c>
      <c r="AB177" s="43" t="str">
        <f t="array" ref="AB177">INDEX(S24_CF!H:H, MATCH("*" &amp; $A177 &amp; "*", S24_CF!$A:$A, 0))</f>
        <v>Silver One-Day [$1800.00]</v>
      </c>
    </row>
    <row r="178" ht="15.0" customHeight="1">
      <c r="A178" s="52" t="s">
        <v>233</v>
      </c>
      <c r="B178" s="43" t="s">
        <v>61</v>
      </c>
      <c r="C178" s="43"/>
      <c r="D178" s="43">
        <v>14000.0</v>
      </c>
      <c r="E178" s="43"/>
      <c r="F178" s="43">
        <f>COUNTIF(S26_Emp!$C:$C,"*" &amp;A178 &amp; "*")</f>
        <v>0</v>
      </c>
      <c r="G178" s="43">
        <f>COUNTIF(F25_Emp!$C:$C,"*" &amp;#REF! &amp; "*")</f>
        <v>0</v>
      </c>
      <c r="H178" s="43">
        <f>COUNTIF(S25_Emp!$C:$C,"*" &amp; A178 &amp; "*")</f>
        <v>2</v>
      </c>
      <c r="I178" s="43">
        <f>COUNTIF(F24_Emp!$C:$C,"*" &amp; B178 &amp; "*")</f>
        <v>0</v>
      </c>
      <c r="J178" s="43">
        <f>COUNTIF(S24_Emp!$C:$C,"*" &amp; $A178 &amp; "*")</f>
        <v>5</v>
      </c>
      <c r="K178" s="43">
        <f>COUNTIF(F23_Emp!$C:$C,"*" &amp; $A178 &amp; "*")</f>
        <v>2</v>
      </c>
      <c r="L178" s="43">
        <f>COUNTIF(S23_Emp!$C:$C,"*" &amp; $A178 &amp; "*")</f>
        <v>2</v>
      </c>
      <c r="M178" s="43">
        <f>COUNTIF(F22_Emp!$C:$C,"*" &amp; $A178 &amp; "*")</f>
        <v>1</v>
      </c>
      <c r="N178" s="43">
        <f>COUNTIF(S22_Emp!$C:$C,"*" &amp; $A178 &amp; "*")</f>
        <v>2</v>
      </c>
      <c r="O178" s="43" t="str">
        <f>COUNTIFS(S22_Emp!$C:$C,"*" &amp; $A178 &amp; "*", S22_S25_Emp!$B:$B, "Bachelor")</f>
        <v>#VALUE!</v>
      </c>
      <c r="P178" s="43" t="str">
        <f>COUNTIFS(S22_Emp!$C:$C,"*" &amp; $A178 &amp; "*", S22_S25_Emp!$B:$B, "Master")</f>
        <v>#VALUE!</v>
      </c>
      <c r="Q178" s="43" t="str">
        <f>COUNTIFS(S22_Emp!$C:$C,"*" &amp; $A178 &amp; "*", S22_S25_Emp!$B:$B, "Doctorate")</f>
        <v>#VALUE!</v>
      </c>
      <c r="R178" s="43" t="str">
        <f t="array" ref="R178">IF(OR(INDEX(S26_CF!X:X, MATCH("*" &amp; $A178 &amp; "*", CompanyList!A:A, 0))=TRUE, INDEX(F25_CF!P:P, MATCH("*" &amp; $A178 &amp; "*", CompanyList!A:A, 0))=TRUE, INDEX(S25_CF!T:T, MATCH("*" &amp; $A178 &amp; "*", CompanyList!A:A, 0))=TRUE, INDEX(S24_CF!W:W, MATCH("*" &amp; $A178 &amp; "*", CompanyList!A:A, 0))=TRUE), "Yes", "No")</f>
        <v>No</v>
      </c>
      <c r="S178" s="43" t="str">
        <f>IF(COUNTIF(S26_CF!$A:$A,"*" &amp; $A178 &amp; "*") &lt;&gt; 0, "Yes", "No")</f>
        <v>No</v>
      </c>
      <c r="T178" s="43" t="str">
        <f t="array" ref="T178">INDEX(S26_CF!K:K, MATCH("*" &amp; $A178 &amp; "*", S26_CF!A:A, 0))</f>
        <v>#N/A</v>
      </c>
      <c r="U178" s="43" t="str">
        <f>IF(COUNTIF(F25_CF!$A:$A,"*" &amp; $A178 &amp; "*") &lt;&gt; 0, "Yes", "No")</f>
        <v>Yes</v>
      </c>
      <c r="V178" s="43" t="str">
        <f t="array" ref="V178">INDEX(F25_CF!I:I, MATCH("*" &amp; $A178 &amp; "*", F25_CF!$A:$A, 0))</f>
        <v>Basic One-Day: Wednesday, September 10th [$1000.00]</v>
      </c>
      <c r="W178" s="43" t="str">
        <f>IF(COUNTIF(S25_CF!$A:$A,"*" &amp; $A178 &amp; "*") &lt;&gt; 0, "Yes", "No")</f>
        <v>Yes</v>
      </c>
      <c r="X178" s="43" t="str">
        <f t="array" ref="X178">INDEX(S25_CF!J:J, MATCH("*" &amp; $A178 &amp; "*", S25_CF!$A:$A, 0))</f>
        <v>Basic One-Day: Wednesday, January 22nd [$1000.00]</v>
      </c>
      <c r="Y178" s="43" t="str">
        <f>IF(COUNTIF(F24_CF!$A:$A,"*" &amp; $A178 &amp; "*") &lt;&gt; 0, "Yes", "No")</f>
        <v>Yes</v>
      </c>
      <c r="Z178" s="43" t="str">
        <f t="array" ref="Z178">INDEX(F24_CF!N:N, MATCH("*" &amp; $A178 &amp; "*", F24_CF!$A:$A, 0))</f>
        <v>Basic One-Day: Wednesday, September 4th [$1000.00]</v>
      </c>
      <c r="AA178" s="43" t="str">
        <f>IF(COUNTIF(S24_CF!$A:$A,"*" &amp; $A178 &amp; "*") &lt;&gt; 0, "Yes", "No")</f>
        <v>Yes</v>
      </c>
      <c r="AB178" s="43" t="str">
        <f t="array" ref="AB178">INDEX(S24_CF!H:H, MATCH("*" &amp; $A178 &amp; "*", S24_CF!$A:$A, 0))</f>
        <v>Basic One-Day [$1000.00]</v>
      </c>
    </row>
    <row r="179" ht="15.0" customHeight="1">
      <c r="A179" s="52" t="s">
        <v>234</v>
      </c>
      <c r="B179" s="43" t="s">
        <v>61</v>
      </c>
      <c r="C179" s="43"/>
      <c r="D179" s="43">
        <v>3000.0</v>
      </c>
      <c r="E179" s="43"/>
      <c r="F179" s="43">
        <f>COUNTIF(S26_Emp!$C:$C,"*" &amp;A179 &amp; "*")</f>
        <v>0</v>
      </c>
      <c r="G179" s="43">
        <f>COUNTIF(F25_Emp!$C:$C,"*" &amp;#REF! &amp; "*")</f>
        <v>0</v>
      </c>
      <c r="H179" s="43">
        <f>COUNTIF(S25_Emp!$C:$C,"*" &amp; A179 &amp; "*")</f>
        <v>1</v>
      </c>
      <c r="I179" s="43">
        <f>COUNTIF(F24_Emp!$C:$C,"*" &amp; B179 &amp; "*")</f>
        <v>0</v>
      </c>
      <c r="J179" s="43">
        <f>COUNTIF(S24_Emp!$C:$C,"*" &amp; $A179 &amp; "*")</f>
        <v>1</v>
      </c>
      <c r="K179" s="43">
        <f>COUNTIF(F23_Emp!$C:$C,"*" &amp; $A179 &amp; "*")</f>
        <v>0</v>
      </c>
      <c r="L179" s="43">
        <f>COUNTIF(S23_Emp!$C:$C,"*" &amp; $A179 &amp; "*")</f>
        <v>0</v>
      </c>
      <c r="M179" s="43">
        <f>COUNTIF(F22_Emp!$C:$C,"*" &amp; $A179 &amp; "*")</f>
        <v>0</v>
      </c>
      <c r="N179" s="43">
        <f>COUNTIF(S22_Emp!$C:$C,"*" &amp; $A179 &amp; "*")</f>
        <v>0</v>
      </c>
      <c r="O179" s="43" t="str">
        <f>COUNTIFS(S22_Emp!$C:$C,"*" &amp; $A179 &amp; "*", S22_S25_Emp!$B:$B, "Bachelor")</f>
        <v>#VALUE!</v>
      </c>
      <c r="P179" s="43" t="str">
        <f>COUNTIFS(S22_Emp!$C:$C,"*" &amp; $A179 &amp; "*", S22_S25_Emp!$B:$B, "Master")</f>
        <v>#VALUE!</v>
      </c>
      <c r="Q179" s="43" t="str">
        <f>COUNTIFS(S22_Emp!$C:$C,"*" &amp; $A179 &amp; "*", S22_S25_Emp!$B:$B, "Doctorate")</f>
        <v>#VALUE!</v>
      </c>
      <c r="R179" s="43" t="str">
        <f t="array" ref="R179">IF(OR(INDEX(S26_CF!X:X, MATCH("*" &amp; $A179 &amp; "*", CompanyList!A:A, 0))=TRUE, INDEX(F25_CF!P:P, MATCH("*" &amp; $A179 &amp; "*", CompanyList!A:A, 0))=TRUE, INDEX(S25_CF!T:T, MATCH("*" &amp; $A179 &amp; "*", CompanyList!A:A, 0))=TRUE, INDEX(S24_CF!W:W, MATCH("*" &amp; $A179 &amp; "*", CompanyList!A:A, 0))=TRUE), "Yes", "No")</f>
        <v>No</v>
      </c>
      <c r="S179" s="43" t="str">
        <f>IF(COUNTIF(S26_CF!$A:$A,"*" &amp; $A179 &amp; "*") &lt;&gt; 0, "Yes", "No")</f>
        <v>No</v>
      </c>
      <c r="T179" s="43" t="str">
        <f t="array" ref="T179">INDEX(S26_CF!K:K, MATCH("*" &amp; $A179 &amp; "*", S26_CF!A:A, 0))</f>
        <v>#N/A</v>
      </c>
      <c r="U179" s="43" t="str">
        <f>IF(COUNTIF(F25_CF!$A:$A,"*" &amp; $A179 &amp; "*") &lt;&gt; 0, "Yes", "No")</f>
        <v>Yes</v>
      </c>
      <c r="V179" s="43" t="str">
        <f t="array" ref="V179">INDEX(F25_CF!I:I, MATCH("*" &amp; $A179 &amp; "*", F25_CF!$A:$A, 0))</f>
        <v>Basic One-Day: Wednesday, September 10th [$1000.00]</v>
      </c>
      <c r="W179" s="43" t="str">
        <f>IF(COUNTIF(S25_CF!$A:$A,"*" &amp; $A179 &amp; "*") &lt;&gt; 0, "Yes", "No")</f>
        <v>No</v>
      </c>
      <c r="X179" s="43" t="str">
        <f t="array" ref="X179">INDEX(S25_CF!J:J, MATCH("*" &amp; $A179 &amp; "*", S25_CF!$A:$A, 0))</f>
        <v>#N/A</v>
      </c>
      <c r="Y179" s="43" t="str">
        <f>IF(COUNTIF(F24_CF!$A:$A,"*" &amp; $A179 &amp; "*") &lt;&gt; 0, "Yes", "No")</f>
        <v>Yes</v>
      </c>
      <c r="Z179" s="43" t="str">
        <f t="array" ref="Z179">INDEX(F24_CF!N:N, MATCH("*" &amp; $A179 &amp; "*", F24_CF!$A:$A, 0))</f>
        <v>Basic One-Day: Wednesday, September 4th [$1000.00]</v>
      </c>
      <c r="AA179" s="43" t="str">
        <f>IF(COUNTIF(S24_CF!$A:$A,"*" &amp; $A179 &amp; "*") &lt;&gt; 0, "Yes", "No")</f>
        <v>Yes</v>
      </c>
      <c r="AB179" s="43" t="str">
        <f t="array" ref="AB179">INDEX(S24_CF!H:H, MATCH("*" &amp; $A179 &amp; "*", S24_CF!$A:$A, 0))</f>
        <v>Basic One-Day [$1000.00]</v>
      </c>
    </row>
    <row r="180" ht="15.0" customHeight="1">
      <c r="A180" s="52" t="s">
        <v>235</v>
      </c>
      <c r="B180" s="43" t="s">
        <v>52</v>
      </c>
      <c r="C180" s="43"/>
      <c r="D180" s="43"/>
      <c r="E180" s="43"/>
      <c r="F180" s="43">
        <f>COUNTIF(S26_Emp!$C:$C,"*" &amp;A180 &amp; "*")</f>
        <v>0</v>
      </c>
      <c r="G180" s="43">
        <f>COUNTIF(F25_Emp!$C:$C,"*" &amp;#REF! &amp; "*")</f>
        <v>0</v>
      </c>
      <c r="H180" s="43">
        <f>COUNTIF(S25_Emp!$C:$C,"*" &amp; A180 &amp; "*")</f>
        <v>0</v>
      </c>
      <c r="I180" s="43">
        <f>COUNTIF(F24_Emp!$C:$C,"*" &amp; B180 &amp; "*")</f>
        <v>0</v>
      </c>
      <c r="J180" s="43">
        <f>COUNTIF(S24_Emp!$C:$C,"*" &amp; $A180 &amp; "*")</f>
        <v>0</v>
      </c>
      <c r="K180" s="43">
        <f>COUNTIF(F23_Emp!$C:$C,"*" &amp; $A180 &amp; "*")</f>
        <v>0</v>
      </c>
      <c r="L180" s="43">
        <f>COUNTIF(S23_Emp!$C:$C,"*" &amp; $A180 &amp; "*")</f>
        <v>0</v>
      </c>
      <c r="M180" s="43">
        <f>COUNTIF(F22_Emp!$C:$C,"*" &amp; $A180 &amp; "*")</f>
        <v>0</v>
      </c>
      <c r="N180" s="43">
        <f>COUNTIF(S22_Emp!$C:$C,"*" &amp; $A180 &amp; "*")</f>
        <v>0</v>
      </c>
      <c r="O180" s="43" t="str">
        <f>COUNTIFS(S22_Emp!$C:$C,"*" &amp; $A180 &amp; "*", S22_S25_Emp!$B:$B, "Bachelor")</f>
        <v>#VALUE!</v>
      </c>
      <c r="P180" s="43" t="str">
        <f>COUNTIFS(S22_Emp!$C:$C,"*" &amp; $A180 &amp; "*", S22_S25_Emp!$B:$B, "Master")</f>
        <v>#VALUE!</v>
      </c>
      <c r="Q180" s="43" t="str">
        <f>COUNTIFS(S22_Emp!$C:$C,"*" &amp; $A180 &amp; "*", S22_S25_Emp!$B:$B, "Doctorate")</f>
        <v>#VALUE!</v>
      </c>
      <c r="R180" s="43" t="str">
        <f t="array" ref="R180">IF(OR(INDEX(S26_CF!X:X, MATCH("*" &amp; $A180 &amp; "*", CompanyList!A:A, 0))=TRUE, INDEX(F25_CF!P:P, MATCH("*" &amp; $A180 &amp; "*", CompanyList!A:A, 0))=TRUE, INDEX(S25_CF!T:T, MATCH("*" &amp; $A180 &amp; "*", CompanyList!A:A, 0))=TRUE, INDEX(S24_CF!W:W, MATCH("*" &amp; $A180 &amp; "*", CompanyList!A:A, 0))=TRUE), "Yes", "No")</f>
        <v>No</v>
      </c>
      <c r="S180" s="43" t="str">
        <f>IF(COUNTIF(S26_CF!$A:$A,"*" &amp; $A180 &amp; "*") &lt;&gt; 0, "Yes", "No")</f>
        <v>Yes</v>
      </c>
      <c r="T180" s="43" t="str">
        <f t="array" ref="T180">INDEX(S26_CF!K:K, MATCH("*" &amp; $A180 &amp; "*", S26_CF!A:A, 0))</f>
        <v>Basic One-Day: Thursday, January 29th [$1000.00]</v>
      </c>
      <c r="U180" s="43" t="str">
        <f>IF(COUNTIF(F25_CF!$A:$A,"*" &amp; $A180 &amp; "*") &lt;&gt; 0, "Yes", "No")</f>
        <v>Yes</v>
      </c>
      <c r="V180" s="43" t="str">
        <f t="array" ref="V180">INDEX(F25_CF!I:I, MATCH("*" &amp; $A180 &amp; "*", F25_CF!$A:$A, 0))</f>
        <v>Basic One-Day: Thursday, September 11th [$1000.00]</v>
      </c>
      <c r="W180" s="43" t="str">
        <f>IF(COUNTIF(S25_CF!$A:$A,"*" &amp; $A180 &amp; "*") &lt;&gt; 0, "Yes", "No")</f>
        <v>Yes</v>
      </c>
      <c r="X180" s="43" t="str">
        <f t="array" ref="X180">INDEX(S25_CF!J:J, MATCH("*" &amp; $A180 &amp; "*", S25_CF!$A:$A, 0))</f>
        <v>Basic One-Day: Thursday, January 23rd [$1000.00]</v>
      </c>
      <c r="Y180" s="43" t="str">
        <f>IF(COUNTIF(F24_CF!$A:$A,"*" &amp; $A180 &amp; "*") &lt;&gt; 0, "Yes", "No")</f>
        <v>Yes</v>
      </c>
      <c r="Z180" s="43" t="str">
        <f t="array" ref="Z180">INDEX(F24_CF!N:N, MATCH("*" &amp; $A180 &amp; "*", F24_CF!$A:$A, 0))</f>
        <v>Basic One-Day: Wednesday, September 4th [$1000.00]</v>
      </c>
      <c r="AA180" s="43" t="str">
        <f>IF(COUNTIF(S24_CF!$A:$A,"*" &amp; $A180 &amp; "*") &lt;&gt; 0, "Yes", "No")</f>
        <v>Yes</v>
      </c>
      <c r="AB180" s="43" t="str">
        <f t="array" ref="AB180">INDEX(S24_CF!H:H, MATCH("*" &amp; $A180 &amp; "*", S24_CF!$A:$A, 0))</f>
        <v>Basic One-Day [$1000.00]</v>
      </c>
    </row>
    <row r="181" ht="15.0" customHeight="1">
      <c r="A181" s="52" t="s">
        <v>236</v>
      </c>
      <c r="B181" s="43" t="s">
        <v>52</v>
      </c>
      <c r="C181" s="43"/>
      <c r="D181" s="43"/>
      <c r="E181" s="43"/>
      <c r="F181" s="43">
        <f>COUNTIF(S26_Emp!$C:$C,"*" &amp;A181 &amp; "*")</f>
        <v>0</v>
      </c>
      <c r="G181" s="43">
        <f>COUNTIF(F25_Emp!$C:$C,"*" &amp;#REF! &amp; "*")</f>
        <v>0</v>
      </c>
      <c r="H181" s="43">
        <f>COUNTIF(S25_Emp!$C:$C,"*" &amp; A181 &amp; "*")</f>
        <v>0</v>
      </c>
      <c r="I181" s="43">
        <f>COUNTIF(F24_Emp!$C:$C,"*" &amp; B181 &amp; "*")</f>
        <v>0</v>
      </c>
      <c r="J181" s="43">
        <f>COUNTIF(S24_Emp!$C:$C,"*" &amp; $A181 &amp; "*")</f>
        <v>0</v>
      </c>
      <c r="K181" s="43">
        <f>COUNTIF(F23_Emp!$C:$C,"*" &amp; $A181 &amp; "*")</f>
        <v>0</v>
      </c>
      <c r="L181" s="43">
        <f>COUNTIF(S23_Emp!$C:$C,"*" &amp; $A181 &amp; "*")</f>
        <v>0</v>
      </c>
      <c r="M181" s="43">
        <f>COUNTIF(F22_Emp!$C:$C,"*" &amp; $A181 &amp; "*")</f>
        <v>1</v>
      </c>
      <c r="N181" s="43">
        <f>COUNTIF(S22_Emp!$C:$C,"*" &amp; $A181 &amp; "*")</f>
        <v>0</v>
      </c>
      <c r="O181" s="43" t="str">
        <f>COUNTIFS(S22_Emp!$C:$C,"*" &amp; $A181 &amp; "*", S22_S25_Emp!$B:$B, "Bachelor")</f>
        <v>#VALUE!</v>
      </c>
      <c r="P181" s="43" t="str">
        <f>COUNTIFS(S22_Emp!$C:$C,"*" &amp; $A181 &amp; "*", S22_S25_Emp!$B:$B, "Master")</f>
        <v>#VALUE!</v>
      </c>
      <c r="Q181" s="43" t="str">
        <f>COUNTIFS(S22_Emp!$C:$C,"*" &amp; $A181 &amp; "*", S22_S25_Emp!$B:$B, "Doctorate")</f>
        <v>#VALUE!</v>
      </c>
      <c r="R181" s="43" t="str">
        <f t="array" ref="R181">IF(OR(INDEX(S26_CF!X:X, MATCH("*" &amp; $A181 &amp; "*", CompanyList!A:A, 0))=TRUE, INDEX(F25_CF!P:P, MATCH("*" &amp; $A181 &amp; "*", CompanyList!A:A, 0))=TRUE, INDEX(S25_CF!T:T, MATCH("*" &amp; $A181 &amp; "*", CompanyList!A:A, 0))=TRUE, INDEX(S24_CF!W:W, MATCH("*" &amp; $A181 &amp; "*", CompanyList!A:A, 0))=TRUE), "Yes", "No")</f>
        <v>Yes</v>
      </c>
      <c r="S181" s="43" t="str">
        <f>IF(COUNTIF(S26_CF!$A:$A,"*" &amp; $A181 &amp; "*") &lt;&gt; 0, "Yes", "No")</f>
        <v>Yes</v>
      </c>
      <c r="T181" s="43" t="str">
        <f t="array" ref="T181">INDEX(S26_CF!K:K, MATCH("*" &amp; $A181 &amp; "*", S26_CF!A:A, 0))</f>
        <v>Basic One-Day: Wednesday, January 28th [$1000.00]</v>
      </c>
      <c r="U181" s="43" t="str">
        <f>IF(COUNTIF(F25_CF!$A:$A,"*" &amp; $A181 &amp; "*") &lt;&gt; 0, "Yes", "No")</f>
        <v>No</v>
      </c>
      <c r="V181" s="43" t="str">
        <f t="array" ref="V181">INDEX(F25_CF!I:I, MATCH("*" &amp; $A181 &amp; "*", F25_CF!$A:$A, 0))</f>
        <v>#N/A</v>
      </c>
      <c r="W181" s="43" t="str">
        <f>IF(COUNTIF(S25_CF!$A:$A,"*" &amp; $A181 &amp; "*") &lt;&gt; 0, "Yes", "No")</f>
        <v>Yes</v>
      </c>
      <c r="X181" s="43" t="str">
        <f t="array" ref="X181">INDEX(S25_CF!J:J, MATCH("*" &amp; $A181 &amp; "*", S25_CF!$A:$A, 0))</f>
        <v>Basic One-Day: Thursday, January 23rd [$1000.00]</v>
      </c>
      <c r="Y181" s="43" t="str">
        <f>IF(COUNTIF(F24_CF!$A:$A,"*" &amp; $A181 &amp; "*") &lt;&gt; 0, "Yes", "No")</f>
        <v>Yes</v>
      </c>
      <c r="Z181" s="43" t="str">
        <f t="array" ref="Z181">INDEX(F24_CF!N:N, MATCH("*" &amp; $A181 &amp; "*", F24_CF!$A:$A, 0))</f>
        <v>Basic One-Day: Wednesday, September 4th [$1000.00]</v>
      </c>
      <c r="AA181" s="43" t="str">
        <f>IF(COUNTIF(S24_CF!$A:$A,"*" &amp; $A181 &amp; "*") &lt;&gt; 0, "Yes", "No")</f>
        <v>Yes</v>
      </c>
      <c r="AB181" s="43" t="str">
        <f t="array" ref="AB181">INDEX(S24_CF!H:H, MATCH("*" &amp; $A181 &amp; "*", S24_CF!$A:$A, 0))</f>
        <v>Basic One-Day [$1000.00]</v>
      </c>
    </row>
    <row r="182" ht="15.0" customHeight="1">
      <c r="A182" s="52" t="s">
        <v>237</v>
      </c>
      <c r="B182" s="43" t="s">
        <v>52</v>
      </c>
      <c r="C182" s="43"/>
      <c r="D182" s="43"/>
      <c r="E182" s="43"/>
      <c r="F182" s="43">
        <f>COUNTIF(S26_Emp!$C:$C,"*" &amp;A182 &amp; "*")</f>
        <v>0</v>
      </c>
      <c r="G182" s="43">
        <f>COUNTIF(F25_Emp!$C:$C,"*" &amp;#REF! &amp; "*")</f>
        <v>0</v>
      </c>
      <c r="H182" s="43">
        <f>COUNTIF(S25_Emp!$C:$C,"*" &amp; A182 &amp; "*")</f>
        <v>0</v>
      </c>
      <c r="I182" s="43">
        <f>COUNTIF(F24_Emp!$C:$C,"*" &amp; B182 &amp; "*")</f>
        <v>0</v>
      </c>
      <c r="J182" s="43">
        <f>COUNTIF(S24_Emp!$C:$C,"*" &amp; $A182 &amp; "*")</f>
        <v>0</v>
      </c>
      <c r="K182" s="43">
        <f>COUNTIF(F23_Emp!$C:$C,"*" &amp; $A182 &amp; "*")</f>
        <v>0</v>
      </c>
      <c r="L182" s="43">
        <f>COUNTIF(S23_Emp!$C:$C,"*" &amp; $A182 &amp; "*")</f>
        <v>1</v>
      </c>
      <c r="M182" s="43">
        <f>COUNTIF(F22_Emp!$C:$C,"*" &amp; $A182 &amp; "*")</f>
        <v>0</v>
      </c>
      <c r="N182" s="43">
        <f>COUNTIF(S22_Emp!$C:$C,"*" &amp; $A182 &amp; "*")</f>
        <v>0</v>
      </c>
      <c r="O182" s="43" t="str">
        <f>COUNTIFS(S22_Emp!$C:$C,"*" &amp; $A182 &amp; "*", S22_S25_Emp!$B:$B, "Bachelor")</f>
        <v>#VALUE!</v>
      </c>
      <c r="P182" s="43" t="str">
        <f>COUNTIFS(S22_Emp!$C:$C,"*" &amp; $A182 &amp; "*", S22_S25_Emp!$B:$B, "Master")</f>
        <v>#VALUE!</v>
      </c>
      <c r="Q182" s="43" t="str">
        <f>COUNTIFS(S22_Emp!$C:$C,"*" &amp; $A182 &amp; "*", S22_S25_Emp!$B:$B, "Doctorate")</f>
        <v>#VALUE!</v>
      </c>
      <c r="R182" s="43" t="str">
        <f t="array" ref="R182">IF(OR(INDEX(S26_CF!X:X, MATCH("*" &amp; $A182 &amp; "*", CompanyList!A:A, 0))=TRUE, INDEX(F25_CF!P:P, MATCH("*" &amp; $A182 &amp; "*", CompanyList!A:A, 0))=TRUE, INDEX(S25_CF!T:T, MATCH("*" &amp; $A182 &amp; "*", CompanyList!A:A, 0))=TRUE, INDEX(S24_CF!W:W, MATCH("*" &amp; $A182 &amp; "*", CompanyList!A:A, 0))=TRUE), "Yes", "No")</f>
        <v>Yes</v>
      </c>
      <c r="S182" s="43" t="str">
        <f>IF(COUNTIF(S26_CF!$A:$A,"*" &amp; $A182 &amp; "*") &lt;&gt; 0, "Yes", "No")</f>
        <v>Yes</v>
      </c>
      <c r="T182" s="43" t="str">
        <f t="array" ref="T182">INDEX(S26_CF!K:K, MATCH("*" &amp; $A182 &amp; "*", S26_CF!A:A, 0))</f>
        <v>Basic One-Day: Wednesday, January 28th [$1000.00]</v>
      </c>
      <c r="U182" s="43" t="str">
        <f>IF(COUNTIF(F25_CF!$A:$A,"*" &amp; $A182 &amp; "*") &lt;&gt; 0, "Yes", "No")</f>
        <v>No</v>
      </c>
      <c r="V182" s="43" t="str">
        <f t="array" ref="V182">INDEX(F25_CF!I:I, MATCH("*" &amp; $A182 &amp; "*", F25_CF!$A:$A, 0))</f>
        <v>#N/A</v>
      </c>
      <c r="W182" s="43" t="str">
        <f>IF(COUNTIF(S25_CF!$A:$A,"*" &amp; $A182 &amp; "*") &lt;&gt; 0, "Yes", "No")</f>
        <v>Yes</v>
      </c>
      <c r="X182" s="43" t="str">
        <f t="array" ref="X182">INDEX(S25_CF!J:J, MATCH("*" &amp; $A182 &amp; "*", S25_CF!$A:$A, 0))</f>
        <v>Basic One-Day: Wednesday, January 22nd [$1000.00]</v>
      </c>
      <c r="Y182" s="43" t="str">
        <f>IF(COUNTIF(F24_CF!$A:$A,"*" &amp; $A182 &amp; "*") &lt;&gt; 0, "Yes", "No")</f>
        <v>No</v>
      </c>
      <c r="Z182" s="43" t="str">
        <f t="array" ref="Z182">INDEX(F24_CF!N:N, MATCH("*" &amp; $A182 &amp; "*", F24_CF!$A:$A, 0))</f>
        <v>#N/A</v>
      </c>
      <c r="AA182" s="43" t="str">
        <f>IF(COUNTIF(S24_CF!$A:$A,"*" &amp; $A182 &amp; "*") &lt;&gt; 0, "Yes", "No")</f>
        <v>Yes</v>
      </c>
      <c r="AB182" s="43" t="str">
        <f t="array" ref="AB182">INDEX(S24_CF!H:H, MATCH("*" &amp; $A182 &amp; "*", S24_CF!$A:$A, 0))</f>
        <v>Silver One-Day [$1800.00]</v>
      </c>
    </row>
    <row r="183" ht="15.0" customHeight="1">
      <c r="A183" s="52" t="s">
        <v>238</v>
      </c>
      <c r="B183" s="43" t="s">
        <v>52</v>
      </c>
      <c r="C183" s="43"/>
      <c r="D183" s="43"/>
      <c r="E183" s="43"/>
      <c r="F183" s="43">
        <f>COUNTIF(S26_Emp!$C:$C,"*" &amp;A183 &amp; "*")</f>
        <v>0</v>
      </c>
      <c r="G183" s="43">
        <f>COUNTIF(F25_Emp!$C:$C,"*" &amp;#REF! &amp; "*")</f>
        <v>0</v>
      </c>
      <c r="H183" s="43">
        <f>COUNTIF(S25_Emp!$C:$C,"*" &amp; A183 &amp; "*")</f>
        <v>0</v>
      </c>
      <c r="I183" s="43">
        <f>COUNTIF(F24_Emp!$C:$C,"*" &amp; B183 &amp; "*")</f>
        <v>0</v>
      </c>
      <c r="J183" s="43">
        <f>COUNTIF(S24_Emp!$C:$C,"*" &amp; $A183 &amp; "*")</f>
        <v>0</v>
      </c>
      <c r="K183" s="43">
        <f>COUNTIF(F23_Emp!$C:$C,"*" &amp; $A183 &amp; "*")</f>
        <v>0</v>
      </c>
      <c r="L183" s="43">
        <f>COUNTIF(S23_Emp!$C:$C,"*" &amp; $A183 &amp; "*")</f>
        <v>0</v>
      </c>
      <c r="M183" s="43">
        <f>COUNTIF(F22_Emp!$C:$C,"*" &amp; $A183 &amp; "*")</f>
        <v>0</v>
      </c>
      <c r="N183" s="43">
        <f>COUNTIF(S22_Emp!$C:$C,"*" &amp; $A183 &amp; "*")</f>
        <v>0</v>
      </c>
      <c r="O183" s="43" t="str">
        <f>COUNTIFS(S22_Emp!$C:$C,"*" &amp; $A183 &amp; "*", S22_S25_Emp!$B:$B, "Bachelor")</f>
        <v>#VALUE!</v>
      </c>
      <c r="P183" s="43" t="str">
        <f>COUNTIFS(S22_Emp!$C:$C,"*" &amp; $A183 &amp; "*", S22_S25_Emp!$B:$B, "Master")</f>
        <v>#VALUE!</v>
      </c>
      <c r="Q183" s="43" t="str">
        <f>COUNTIFS(S22_Emp!$C:$C,"*" &amp; $A183 &amp; "*", S22_S25_Emp!$B:$B, "Doctorate")</f>
        <v>#VALUE!</v>
      </c>
      <c r="R183" s="43" t="str">
        <f t="array" ref="R183">IF(OR(INDEX(S26_CF!X:X, MATCH("*" &amp; $A183 &amp; "*", CompanyList!A:A, 0))=TRUE, INDEX(F25_CF!P:P, MATCH("*" &amp; $A183 &amp; "*", CompanyList!A:A, 0))=TRUE, INDEX(S25_CF!T:T, MATCH("*" &amp; $A183 &amp; "*", CompanyList!A:A, 0))=TRUE, INDEX(S24_CF!W:W, MATCH("*" &amp; $A183 &amp; "*", CompanyList!A:A, 0))=TRUE), "Yes", "No")</f>
        <v>No</v>
      </c>
      <c r="S183" s="43" t="str">
        <f>IF(COUNTIF(S26_CF!$A:$A,"*" &amp; $A183 &amp; "*") &lt;&gt; 0, "Yes", "No")</f>
        <v>Yes</v>
      </c>
      <c r="T183" s="43" t="str">
        <f t="array" ref="T183">INDEX(S26_CF!K:K, MATCH("*" &amp; $A183 &amp; "*", S26_CF!A:A, 0))</f>
        <v>Basic Two-Day [$2000.00]</v>
      </c>
      <c r="U183" s="43" t="str">
        <f>IF(COUNTIF(F25_CF!$A:$A,"*" &amp; $A183 &amp; "*") &lt;&gt; 0, "Yes", "No")</f>
        <v>Yes</v>
      </c>
      <c r="V183" s="43" t="str">
        <f t="array" ref="V183">INDEX(F25_CF!I:I, MATCH("*" &amp; $A183 &amp; "*", F25_CF!$A:$A, 0))</f>
        <v>Basic Two-Day [$2000.00]</v>
      </c>
      <c r="W183" s="43" t="str">
        <f>IF(COUNTIF(S25_CF!$A:$A,"*" &amp; $A183 &amp; "*") &lt;&gt; 0, "Yes", "No")</f>
        <v>Yes</v>
      </c>
      <c r="X183" s="43" t="str">
        <f t="array" ref="X183">INDEX(S25_CF!J:J, MATCH("*" &amp; $A183 &amp; "*", S25_CF!$A:$A, 0))</f>
        <v>Basic One-Day: Wednesday, January 22nd [$1000.00]</v>
      </c>
      <c r="Y183" s="43" t="str">
        <f>IF(COUNTIF(F24_CF!$A:$A,"*" &amp; $A183 &amp; "*") &lt;&gt; 0, "Yes", "No")</f>
        <v>Yes</v>
      </c>
      <c r="Z183" s="43" t="str">
        <f t="array" ref="Z183">INDEX(F24_CF!N:N, MATCH("*" &amp; $A183 &amp; "*", F24_CF!$A:$A, 0))</f>
        <v>Basic Two-Day [$2000.00]</v>
      </c>
      <c r="AA183" s="43" t="str">
        <f>IF(COUNTIF(S24_CF!$A:$A,"*" &amp; $A183 &amp; "*") &lt;&gt; 0, "Yes", "No")</f>
        <v>Yes</v>
      </c>
      <c r="AB183" s="43" t="str">
        <f t="array" ref="AB183">INDEX(S24_CF!H:H, MATCH("*" &amp; $A183 &amp; "*", S24_CF!$A:$A, 0))</f>
        <v>Basic Two-Day [$2000.00]</v>
      </c>
    </row>
    <row r="184" ht="15.0" customHeight="1">
      <c r="A184" s="52" t="s">
        <v>239</v>
      </c>
      <c r="B184" s="43" t="s">
        <v>52</v>
      </c>
      <c r="C184" s="43"/>
      <c r="D184" s="43"/>
      <c r="E184" s="43"/>
      <c r="F184" s="43">
        <f>COUNTIF(S26_Emp!$C:$C,"*" &amp;A184 &amp; "*")</f>
        <v>0</v>
      </c>
      <c r="G184" s="43">
        <f>COUNTIF(F25_Emp!$C:$C,"*" &amp;#REF! &amp; "*")</f>
        <v>0</v>
      </c>
      <c r="H184" s="43">
        <f>COUNTIF(S25_Emp!$C:$C,"*" &amp; A184 &amp; "*")</f>
        <v>0</v>
      </c>
      <c r="I184" s="43">
        <f>COUNTIF(F24_Emp!$C:$C,"*" &amp; B184 &amp; "*")</f>
        <v>0</v>
      </c>
      <c r="J184" s="43">
        <f>COUNTIF(S24_Emp!$C:$C,"*" &amp; $A184 &amp; "*")</f>
        <v>0</v>
      </c>
      <c r="K184" s="43">
        <f>COUNTIF(F23_Emp!$C:$C,"*" &amp; $A184 &amp; "*")</f>
        <v>0</v>
      </c>
      <c r="L184" s="43">
        <f>COUNTIF(S23_Emp!$C:$C,"*" &amp; $A184 &amp; "*")</f>
        <v>0</v>
      </c>
      <c r="M184" s="43">
        <f>COUNTIF(F22_Emp!$C:$C,"*" &amp; $A184 &amp; "*")</f>
        <v>0</v>
      </c>
      <c r="N184" s="43">
        <f>COUNTIF(S22_Emp!$C:$C,"*" &amp; $A184 &amp; "*")</f>
        <v>0</v>
      </c>
      <c r="O184" s="43" t="str">
        <f>COUNTIFS(S22_Emp!$C:$C,"*" &amp; $A184 &amp; "*", S22_S25_Emp!$B:$B, "Bachelor")</f>
        <v>#VALUE!</v>
      </c>
      <c r="P184" s="43" t="str">
        <f>COUNTIFS(S22_Emp!$C:$C,"*" &amp; $A184 &amp; "*", S22_S25_Emp!$B:$B, "Master")</f>
        <v>#VALUE!</v>
      </c>
      <c r="Q184" s="43" t="str">
        <f>COUNTIFS(S22_Emp!$C:$C,"*" &amp; $A184 &amp; "*", S22_S25_Emp!$B:$B, "Doctorate")</f>
        <v>#VALUE!</v>
      </c>
      <c r="R184" s="43" t="str">
        <f t="array" ref="R184">IF(OR(INDEX(S26_CF!X:X, MATCH("*" &amp; $A184 &amp; "*", CompanyList!A:A, 0))=TRUE, INDEX(F25_CF!P:P, MATCH("*" &amp; $A184 &amp; "*", CompanyList!A:A, 0))=TRUE, INDEX(S25_CF!T:T, MATCH("*" &amp; $A184 &amp; "*", CompanyList!A:A, 0))=TRUE, INDEX(S24_CF!W:W, MATCH("*" &amp; $A184 &amp; "*", CompanyList!A:A, 0))=TRUE), "Yes", "No")</f>
        <v>Yes</v>
      </c>
      <c r="S184" s="43" t="str">
        <f>IF(COUNTIF(S26_CF!$A:$A,"*" &amp; $A184 &amp; "*") &lt;&gt; 0, "Yes", "No")</f>
        <v>No</v>
      </c>
      <c r="T184" s="43" t="str">
        <f t="array" ref="T184">INDEX(S26_CF!K:K, MATCH("*" &amp; $A184 &amp; "*", S26_CF!A:A, 0))</f>
        <v>#N/A</v>
      </c>
      <c r="U184" s="43" t="str">
        <f>IF(COUNTIF(F25_CF!$A:$A,"*" &amp; $A184 &amp; "*") &lt;&gt; 0, "Yes", "No")</f>
        <v>No</v>
      </c>
      <c r="V184" s="43" t="str">
        <f t="array" ref="V184">INDEX(F25_CF!I:I, MATCH("*" &amp; $A184 &amp; "*", F25_CF!$A:$A, 0))</f>
        <v>#N/A</v>
      </c>
      <c r="W184" s="43" t="str">
        <f>IF(COUNTIF(S25_CF!$A:$A,"*" &amp; $A184 &amp; "*") &lt;&gt; 0, "Yes", "No")</f>
        <v>No</v>
      </c>
      <c r="X184" s="43" t="str">
        <f t="array" ref="X184">INDEX(S25_CF!J:J, MATCH("*" &amp; $A184 &amp; "*", S25_CF!$A:$A, 0))</f>
        <v>#N/A</v>
      </c>
      <c r="Y184" s="43" t="str">
        <f>IF(COUNTIF(F24_CF!$A:$A,"*" &amp; $A184 &amp; "*") &lt;&gt; 0, "Yes", "No")</f>
        <v>No</v>
      </c>
      <c r="Z184" s="43" t="str">
        <f t="array" ref="Z184">INDEX(F24_CF!N:N, MATCH("*" &amp; $A184 &amp; "*", F24_CF!$A:$A, 0))</f>
        <v>#N/A</v>
      </c>
      <c r="AA184" s="43" t="str">
        <f>IF(COUNTIF(S24_CF!$A:$A,"*" &amp; $A184 &amp; "*") &lt;&gt; 0, "Yes", "No")</f>
        <v>Yes</v>
      </c>
      <c r="AB184" s="43" t="str">
        <f t="array" ref="AB184">INDEX(S24_CF!H:H, MATCH("*" &amp; $A184 &amp; "*", S24_CF!$A:$A, 0))</f>
        <v>Basic One-Day [$1000.00]</v>
      </c>
    </row>
    <row r="185" ht="15.0" customHeight="1">
      <c r="A185" s="52" t="s">
        <v>240</v>
      </c>
      <c r="B185" s="43" t="s">
        <v>52</v>
      </c>
      <c r="C185" s="43"/>
      <c r="D185" s="43"/>
      <c r="E185" s="43"/>
      <c r="F185" s="43">
        <f>COUNTIF(S26_Emp!$C:$C,"*" &amp;A185 &amp; "*")</f>
        <v>0</v>
      </c>
      <c r="G185" s="43">
        <f>COUNTIF(F25_Emp!$C:$C,"*" &amp;#REF! &amp; "*")</f>
        <v>0</v>
      </c>
      <c r="H185" s="43">
        <f>COUNTIF(S25_Emp!$C:$C,"*" &amp; A185 &amp; "*")</f>
        <v>0</v>
      </c>
      <c r="I185" s="43">
        <f>COUNTIF(F24_Emp!$C:$C,"*" &amp; B185 &amp; "*")</f>
        <v>0</v>
      </c>
      <c r="J185" s="43">
        <f>COUNTIF(S24_Emp!$C:$C,"*" &amp; $A185 &amp; "*")</f>
        <v>1</v>
      </c>
      <c r="K185" s="43">
        <f>COUNTIF(F23_Emp!$C:$C,"*" &amp; $A185 &amp; "*")</f>
        <v>1</v>
      </c>
      <c r="L185" s="43">
        <f>COUNTIF(S23_Emp!$C:$C,"*" &amp; $A185 &amp; "*")</f>
        <v>1</v>
      </c>
      <c r="M185" s="43">
        <f>COUNTIF(F22_Emp!$C:$C,"*" &amp; $A185 &amp; "*")</f>
        <v>0</v>
      </c>
      <c r="N185" s="43">
        <f>COUNTIF(S22_Emp!$C:$C,"*" &amp; $A185 &amp; "*")</f>
        <v>0</v>
      </c>
      <c r="O185" s="43" t="str">
        <f>COUNTIFS(S22_Emp!$C:$C,"*" &amp; $A185 &amp; "*", S22_S25_Emp!$B:$B, "Bachelor")</f>
        <v>#VALUE!</v>
      </c>
      <c r="P185" s="43" t="str">
        <f>COUNTIFS(S22_Emp!$C:$C,"*" &amp; $A185 &amp; "*", S22_S25_Emp!$B:$B, "Master")</f>
        <v>#VALUE!</v>
      </c>
      <c r="Q185" s="43" t="str">
        <f>COUNTIFS(S22_Emp!$C:$C,"*" &amp; $A185 &amp; "*", S22_S25_Emp!$B:$B, "Doctorate")</f>
        <v>#VALUE!</v>
      </c>
      <c r="R185" s="43" t="str">
        <f t="array" ref="R185">IF(OR(INDEX(S26_CF!X:X, MATCH("*" &amp; $A185 &amp; "*", CompanyList!A:A, 0))=TRUE, INDEX(F25_CF!P:P, MATCH("*" &amp; $A185 &amp; "*", CompanyList!A:A, 0))=TRUE, INDEX(S25_CF!T:T, MATCH("*" &amp; $A185 &amp; "*", CompanyList!A:A, 0))=TRUE, INDEX(S24_CF!W:W, MATCH("*" &amp; $A185 &amp; "*", CompanyList!A:A, 0))=TRUE), "Yes", "No")</f>
        <v>Yes</v>
      </c>
      <c r="S185" s="43" t="str">
        <f>IF(COUNTIF(S26_CF!$A:$A,"*" &amp; $A185 &amp; "*") &lt;&gt; 0, "Yes", "No")</f>
        <v>Yes</v>
      </c>
      <c r="T185" s="43" t="str">
        <f t="array" ref="T185">INDEX(S26_CF!K:K, MATCH("*" &amp; $A185 &amp; "*", S26_CF!A:A, 0))</f>
        <v>Silver Two-Day [$3000.00]</v>
      </c>
      <c r="U185" s="43" t="str">
        <f>IF(COUNTIF(F25_CF!$A:$A,"*" &amp; $A185 &amp; "*") &lt;&gt; 0, "Yes", "No")</f>
        <v>Yes</v>
      </c>
      <c r="V185" s="43" t="str">
        <f t="array" ref="V185">INDEX(F25_CF!I:I, MATCH("*" &amp; $A185 &amp; "*", F25_CF!$A:$A, 0))</f>
        <v>Silver Two-Day [$3000.00]</v>
      </c>
      <c r="W185" s="43" t="str">
        <f>IF(COUNTIF(S25_CF!$A:$A,"*" &amp; $A185 &amp; "*") &lt;&gt; 0, "Yes", "No")</f>
        <v>Yes</v>
      </c>
      <c r="X185" s="43" t="str">
        <f t="array" ref="X185">INDEX(S25_CF!J:J, MATCH("*" &amp; $A185 &amp; "*", S25_CF!$A:$A, 0))</f>
        <v>Silver Two-Day [$3000.00]</v>
      </c>
      <c r="Y185" s="43" t="str">
        <f>IF(COUNTIF(F24_CF!$A:$A,"*" &amp; $A185 &amp; "*") &lt;&gt; 0, "Yes", "No")</f>
        <v>Yes</v>
      </c>
      <c r="Z185" s="43" t="str">
        <f t="array" ref="Z185">INDEX(F24_CF!N:N, MATCH("*" &amp; $A185 &amp; "*", F24_CF!$A:$A, 0))</f>
        <v>Silver One-Day: Thursday, September 5th [$1800.00]</v>
      </c>
      <c r="AA185" s="43" t="str">
        <f>IF(COUNTIF(S24_CF!$A:$A,"*" &amp; $A185 &amp; "*") &lt;&gt; 0, "Yes", "No")</f>
        <v>Yes</v>
      </c>
      <c r="AB185" s="43" t="str">
        <f t="array" ref="AB185">INDEX(S24_CF!H:H, MATCH("*" &amp; $A185 &amp; "*", S24_CF!$A:$A, 0))</f>
        <v>Basic Two-Day [$2000.00]</v>
      </c>
    </row>
    <row r="186" ht="15.0" customHeight="1">
      <c r="A186" s="52" t="s">
        <v>241</v>
      </c>
      <c r="B186" s="43" t="s">
        <v>54</v>
      </c>
      <c r="C186" s="43">
        <v>33000.0</v>
      </c>
      <c r="D186" s="43">
        <v>97000.0</v>
      </c>
      <c r="E186" s="43">
        <v>22.0</v>
      </c>
      <c r="F186" s="43">
        <f>COUNTIF(S26_Emp!$C:$C,"*" &amp;A186 &amp; "*")</f>
        <v>0</v>
      </c>
      <c r="G186" s="43">
        <f>COUNTIF(F25_Emp!$C:$C,"*" &amp;#REF! &amp; "*")</f>
        <v>0</v>
      </c>
      <c r="H186" s="43">
        <f>COUNTIF(S25_Emp!$C:$C,"*" &amp; A186 &amp; "*")</f>
        <v>1</v>
      </c>
      <c r="I186" s="43">
        <f>COUNTIF(F24_Emp!$C:$C,"*" &amp; B186 &amp; "*")</f>
        <v>1</v>
      </c>
      <c r="J186" s="43">
        <f>COUNTIF(S24_Emp!$C:$C,"*" &amp; $A186 &amp; "*")</f>
        <v>0</v>
      </c>
      <c r="K186" s="43">
        <f>COUNTIF(F23_Emp!$C:$C,"*" &amp; $A186 &amp; "*")</f>
        <v>1</v>
      </c>
      <c r="L186" s="43">
        <f>COUNTIF(S23_Emp!$C:$C,"*" &amp; $A186 &amp; "*")</f>
        <v>0</v>
      </c>
      <c r="M186" s="43">
        <f>COUNTIF(F22_Emp!$C:$C,"*" &amp; $A186 &amp; "*")</f>
        <v>0</v>
      </c>
      <c r="N186" s="43">
        <f>COUNTIF(S22_Emp!$C:$C,"*" &amp; $A186 &amp; "*")</f>
        <v>1</v>
      </c>
      <c r="O186" s="43" t="str">
        <f>COUNTIFS(S22_Emp!$C:$C,"*" &amp; $A186 &amp; "*", S22_S25_Emp!$B:$B, "Bachelor")</f>
        <v>#VALUE!</v>
      </c>
      <c r="P186" s="43" t="str">
        <f>COUNTIFS(S22_Emp!$C:$C,"*" &amp; $A186 &amp; "*", S22_S25_Emp!$B:$B, "Master")</f>
        <v>#VALUE!</v>
      </c>
      <c r="Q186" s="43" t="str">
        <f>COUNTIFS(S22_Emp!$C:$C,"*" &amp; $A186 &amp; "*", S22_S25_Emp!$B:$B, "Doctorate")</f>
        <v>#VALUE!</v>
      </c>
      <c r="R186" s="43" t="str">
        <f t="array" ref="R186">IF(OR(INDEX(S26_CF!X:X, MATCH("*" &amp; $A186 &amp; "*", CompanyList!A:A, 0))=TRUE, INDEX(F25_CF!P:P, MATCH("*" &amp; $A186 &amp; "*", CompanyList!A:A, 0))=TRUE, INDEX(S25_CF!T:T, MATCH("*" &amp; $A186 &amp; "*", CompanyList!A:A, 0))=TRUE, INDEX(S24_CF!W:W, MATCH("*" &amp; $A186 &amp; "*", CompanyList!A:A, 0))=TRUE), "Yes", "No")</f>
        <v>No</v>
      </c>
      <c r="S186" s="43" t="str">
        <f>IF(COUNTIF(S26_CF!$A:$A,"*" &amp; $A186 &amp; "*") &lt;&gt; 0, "Yes", "No")</f>
        <v>No</v>
      </c>
      <c r="T186" s="43" t="str">
        <f t="array" ref="T186">INDEX(S26_CF!K:K, MATCH("*" &amp; $A186 &amp; "*", S26_CF!A:A, 0))</f>
        <v>#N/A</v>
      </c>
      <c r="U186" s="43" t="str">
        <f>IF(COUNTIF(F25_CF!$A:$A,"*" &amp; $A186 &amp; "*") &lt;&gt; 0, "Yes", "No")</f>
        <v>No</v>
      </c>
      <c r="V186" s="43" t="str">
        <f t="array" ref="V186">INDEX(F25_CF!I:I, MATCH("*" &amp; $A186 &amp; "*", F25_CF!$A:$A, 0))</f>
        <v>#N/A</v>
      </c>
      <c r="W186" s="43" t="str">
        <f>IF(COUNTIF(S25_CF!$A:$A,"*" &amp; $A186 &amp; "*") &lt;&gt; 0, "Yes", "No")</f>
        <v>Yes</v>
      </c>
      <c r="X186" s="43" t="str">
        <f t="array" ref="X186">INDEX(S25_CF!J:J, MATCH("*" &amp; $A186 &amp; "*", S25_CF!$A:$A, 0))</f>
        <v>Basic One-Day: Thursday, January 23rd [$1000.00]</v>
      </c>
      <c r="Y186" s="43" t="str">
        <f>IF(COUNTIF(F24_CF!$A:$A,"*" &amp; $A186 &amp; "*") &lt;&gt; 0, "Yes", "No")</f>
        <v>Yes</v>
      </c>
      <c r="Z186" s="43" t="str">
        <f t="array" ref="Z186">INDEX(F24_CF!N:N, MATCH("*" &amp; $A186 &amp; "*", F24_CF!$A:$A, 0))</f>
        <v>Basic One-Day: Wednesday, September 4th [$1000.00]</v>
      </c>
      <c r="AA186" s="43" t="str">
        <f>IF(COUNTIF(S24_CF!$A:$A,"*" &amp; $A186 &amp; "*") &lt;&gt; 0, "Yes", "No")</f>
        <v>Yes</v>
      </c>
      <c r="AB186" s="43" t="str">
        <f t="array" ref="AB186">INDEX(S24_CF!H:H, MATCH("*" &amp; $A186 &amp; "*", S24_CF!$A:$A, 0))</f>
        <v>Basic One-Day [$1000.00]</v>
      </c>
    </row>
    <row r="187" ht="15.0" customHeight="1">
      <c r="A187" s="52" t="s">
        <v>242</v>
      </c>
      <c r="B187" s="43" t="s">
        <v>54</v>
      </c>
      <c r="C187" s="43">
        <v>33000.0</v>
      </c>
      <c r="D187" s="43">
        <v>111000.0</v>
      </c>
      <c r="E187" s="43">
        <v>75.0</v>
      </c>
      <c r="F187" s="43">
        <f>COUNTIF(S26_Emp!$C:$C,"*" &amp;A187 &amp; "*")</f>
        <v>0</v>
      </c>
      <c r="G187" s="43">
        <f>COUNTIF(F25_Emp!$C:$C,"*" &amp;#REF! &amp; "*")</f>
        <v>0</v>
      </c>
      <c r="H187" s="43">
        <f>COUNTIF(S25_Emp!$C:$C,"*" &amp; A187 &amp; "*")</f>
        <v>2</v>
      </c>
      <c r="I187" s="43">
        <f>COUNTIF(F24_Emp!$C:$C,"*" &amp; B187 &amp; "*")</f>
        <v>1</v>
      </c>
      <c r="J187" s="43">
        <f>COUNTIF(S24_Emp!$C:$C,"*" &amp; $A187 &amp; "*")</f>
        <v>9</v>
      </c>
      <c r="K187" s="43">
        <f>COUNTIF(F23_Emp!$C:$C,"*" &amp; $A187 &amp; "*")</f>
        <v>6</v>
      </c>
      <c r="L187" s="43">
        <f>COUNTIF(S23_Emp!$C:$C,"*" &amp; $A187 &amp; "*")</f>
        <v>8</v>
      </c>
      <c r="M187" s="43">
        <f>COUNTIF(F22_Emp!$C:$C,"*" &amp; $A187 &amp; "*")</f>
        <v>3</v>
      </c>
      <c r="N187" s="43">
        <f>COUNTIF(S22_Emp!$C:$C,"*" &amp; $A187 &amp; "*")</f>
        <v>0</v>
      </c>
      <c r="O187" s="43" t="str">
        <f>COUNTIFS(S22_Emp!$C:$C,"*" &amp; $A187 &amp; "*", S22_S25_Emp!$B:$B, "Bachelor")</f>
        <v>#VALUE!</v>
      </c>
      <c r="P187" s="43" t="str">
        <f>COUNTIFS(S22_Emp!$C:$C,"*" &amp; $A187 &amp; "*", S22_S25_Emp!$B:$B, "Master")</f>
        <v>#VALUE!</v>
      </c>
      <c r="Q187" s="43" t="str">
        <f>COUNTIFS(S22_Emp!$C:$C,"*" &amp; $A187 &amp; "*", S22_S25_Emp!$B:$B, "Doctorate")</f>
        <v>#VALUE!</v>
      </c>
      <c r="R187" s="43" t="str">
        <f t="array" ref="R187">IF(OR(INDEX(S26_CF!X:X, MATCH("*" &amp; $A187 &amp; "*", CompanyList!A:A, 0))=TRUE, INDEX(F25_CF!P:P, MATCH("*" &amp; $A187 &amp; "*", CompanyList!A:A, 0))=TRUE, INDEX(S25_CF!T:T, MATCH("*" &amp; $A187 &amp; "*", CompanyList!A:A, 0))=TRUE, INDEX(S24_CF!W:W, MATCH("*" &amp; $A187 &amp; "*", CompanyList!A:A, 0))=TRUE), "Yes", "No")</f>
        <v>Yes</v>
      </c>
      <c r="S187" s="43" t="str">
        <f>IF(COUNTIF(S26_CF!$A:$A,"*" &amp; $A187 &amp; "*") &lt;&gt; 0, "Yes", "No")</f>
        <v>No</v>
      </c>
      <c r="T187" s="43" t="str">
        <f t="array" ref="T187">INDEX(S26_CF!K:K, MATCH("*" &amp; $A187 &amp; "*", S26_CF!A:A, 0))</f>
        <v>#N/A</v>
      </c>
      <c r="U187" s="43" t="str">
        <f>IF(COUNTIF(F25_CF!$A:$A,"*" &amp; $A187 &amp; "*") &lt;&gt; 0, "Yes", "No")</f>
        <v>Yes</v>
      </c>
      <c r="V187" s="43" t="str">
        <f t="array" ref="V187">INDEX(F25_CF!I:I, MATCH("*" &amp; $A187 &amp; "*", F25_CF!$A:$A, 0))</f>
        <v>Silver One-Day: Wednesday, September 10th [$1800.00]</v>
      </c>
      <c r="W187" s="43" t="str">
        <f>IF(COUNTIF(S25_CF!$A:$A,"*" &amp; $A187 &amp; "*") &lt;&gt; 0, "Yes", "No")</f>
        <v>Yes</v>
      </c>
      <c r="X187" s="43" t="str">
        <f t="array" ref="X187">INDEX(S25_CF!J:J, MATCH("*" &amp; $A187 &amp; "*", S25_CF!$A:$A, 0))</f>
        <v>Diamond One-Day: Wednesday, January 22nd [$4000.00]</v>
      </c>
      <c r="Y187" s="43" t="str">
        <f>IF(COUNTIF(F24_CF!$A:$A,"*" &amp; $A187 &amp; "*") &lt;&gt; 0, "Yes", "No")</f>
        <v>Yes</v>
      </c>
      <c r="Z187" s="43" t="str">
        <f t="array" ref="Z187">INDEX(F24_CF!N:N, MATCH("*" &amp; $A187 &amp; "*", F24_CF!$A:$A, 0))</f>
        <v>Diamond One-Day: Wednesday, September 4th [$4000.00]</v>
      </c>
      <c r="AA187" s="43" t="str">
        <f>IF(COUNTIF(S24_CF!$A:$A,"*" &amp; $A187 &amp; "*") &lt;&gt; 0, "Yes", "No")</f>
        <v>Yes</v>
      </c>
      <c r="AB187" s="43" t="str">
        <f t="array" ref="AB187">INDEX(S24_CF!H:H, MATCH("*" &amp; $A187 &amp; "*", S24_CF!$A:$A, 0))</f>
        <v>Diamond One-Day [$4000.00]</v>
      </c>
    </row>
    <row r="188" ht="15.0" customHeight="1">
      <c r="A188" s="52" t="s">
        <v>243</v>
      </c>
      <c r="B188" s="43" t="s">
        <v>52</v>
      </c>
      <c r="C188" s="43"/>
      <c r="D188" s="43"/>
      <c r="E188" s="43"/>
      <c r="F188" s="43">
        <f>COUNTIF(S26_Emp!$C:$C,"*" &amp;A188 &amp; "*")</f>
        <v>0</v>
      </c>
      <c r="G188" s="43">
        <f>COUNTIF(F25_Emp!$C:$C,"*" &amp;#REF! &amp; "*")</f>
        <v>0</v>
      </c>
      <c r="H188" s="43">
        <f>COUNTIF(S25_Emp!$C:$C,"*" &amp; A188 &amp; "*")</f>
        <v>0</v>
      </c>
      <c r="I188" s="43">
        <f>COUNTIF(F24_Emp!$C:$C,"*" &amp; B188 &amp; "*")</f>
        <v>0</v>
      </c>
      <c r="J188" s="43">
        <f>COUNTIF(S24_Emp!$C:$C,"*" &amp; $A188 &amp; "*")</f>
        <v>0</v>
      </c>
      <c r="K188" s="43">
        <f>COUNTIF(F23_Emp!$C:$C,"*" &amp; $A188 &amp; "*")</f>
        <v>0</v>
      </c>
      <c r="L188" s="43">
        <f>COUNTIF(S23_Emp!$C:$C,"*" &amp; $A188 &amp; "*")</f>
        <v>0</v>
      </c>
      <c r="M188" s="43">
        <f>COUNTIF(F22_Emp!$C:$C,"*" &amp; $A188 &amp; "*")</f>
        <v>0</v>
      </c>
      <c r="N188" s="43">
        <f>COUNTIF(S22_Emp!$C:$C,"*" &amp; $A188 &amp; "*")</f>
        <v>0</v>
      </c>
      <c r="O188" s="43" t="str">
        <f>COUNTIFS(S22_Emp!$C:$C,"*" &amp; $A188 &amp; "*", S22_S25_Emp!$B:$B, "Bachelor")</f>
        <v>#VALUE!</v>
      </c>
      <c r="P188" s="43" t="str">
        <f>COUNTIFS(S22_Emp!$C:$C,"*" &amp; $A188 &amp; "*", S22_S25_Emp!$B:$B, "Master")</f>
        <v>#VALUE!</v>
      </c>
      <c r="Q188" s="43" t="str">
        <f>COUNTIFS(S22_Emp!$C:$C,"*" &amp; $A188 &amp; "*", S22_S25_Emp!$B:$B, "Doctorate")</f>
        <v>#VALUE!</v>
      </c>
      <c r="R188" s="43" t="str">
        <f t="array" ref="R188">IF(OR(INDEX(S26_CF!X:X, MATCH("*" &amp; $A188 &amp; "*", CompanyList!A:A, 0))=TRUE, INDEX(F25_CF!P:P, MATCH("*" &amp; $A188 &amp; "*", CompanyList!A:A, 0))=TRUE, INDEX(S25_CF!T:T, MATCH("*" &amp; $A188 &amp; "*", CompanyList!A:A, 0))=TRUE, INDEX(S24_CF!W:W, MATCH("*" &amp; $A188 &amp; "*", CompanyList!A:A, 0))=TRUE), "Yes", "No")</f>
        <v>No</v>
      </c>
      <c r="S188" s="43" t="str">
        <f>IF(COUNTIF(S26_CF!$A:$A,"*" &amp; $A188 &amp; "*") &lt;&gt; 0, "Yes", "No")</f>
        <v>Yes</v>
      </c>
      <c r="T188" s="43" t="str">
        <f t="array" ref="T188">INDEX(S26_CF!K:K, MATCH("*" &amp; $A188 &amp; "*", S26_CF!A:A, 0))</f>
        <v>Basic One-Day: Wednesday, January 28th [$1000.00]</v>
      </c>
      <c r="U188" s="43" t="str">
        <f>IF(COUNTIF(F25_CF!$A:$A,"*" &amp; $A188 &amp; "*") &lt;&gt; 0, "Yes", "No")</f>
        <v>Yes</v>
      </c>
      <c r="V188" s="43" t="str">
        <f t="array" ref="V188">INDEX(F25_CF!I:I, MATCH("*" &amp; $A188 &amp; "*", F25_CF!$A:$A, 0))</f>
        <v>Basic One-Day: Wednesday, September 10th [$1000.00]</v>
      </c>
      <c r="W188" s="43" t="str">
        <f>IF(COUNTIF(S25_CF!$A:$A,"*" &amp; $A188 &amp; "*") &lt;&gt; 0, "Yes", "No")</f>
        <v>Yes</v>
      </c>
      <c r="X188" s="43" t="str">
        <f t="array" ref="X188">INDEX(S25_CF!J:J, MATCH("*" &amp; $A188 &amp; "*", S25_CF!$A:$A, 0))</f>
        <v>Basic One-Day: Thursday, January 23rd [$1000.00]</v>
      </c>
      <c r="Y188" s="43" t="str">
        <f>IF(COUNTIF(F24_CF!$A:$A,"*" &amp; $A188 &amp; "*") &lt;&gt; 0, "Yes", "No")</f>
        <v>No</v>
      </c>
      <c r="Z188" s="43" t="str">
        <f t="array" ref="Z188">INDEX(F24_CF!N:N, MATCH("*" &amp; $A188 &amp; "*", F24_CF!$A:$A, 0))</f>
        <v>#N/A</v>
      </c>
      <c r="AA188" s="43" t="str">
        <f>IF(COUNTIF(S24_CF!$A:$A,"*" &amp; $A188 &amp; "*") &lt;&gt; 0, "Yes", "No")</f>
        <v>Yes</v>
      </c>
      <c r="AB188" s="43" t="str">
        <f t="array" ref="AB188">INDEX(S24_CF!H:H, MATCH("*" &amp; $A188 &amp; "*", S24_CF!$A:$A, 0))</f>
        <v>Basic One-Day [$1000.00]</v>
      </c>
    </row>
    <row r="189" ht="15.0" customHeight="1">
      <c r="A189" s="52" t="s">
        <v>244</v>
      </c>
      <c r="B189" s="43" t="s">
        <v>52</v>
      </c>
      <c r="C189" s="43"/>
      <c r="D189" s="43"/>
      <c r="E189" s="43"/>
      <c r="F189" s="43">
        <f>COUNTIF(S26_Emp!$C:$C,"*" &amp;A189 &amp; "*")</f>
        <v>0</v>
      </c>
      <c r="G189" s="43">
        <f>COUNTIF(F25_Emp!$C:$C,"*" &amp;#REF! &amp; "*")</f>
        <v>0</v>
      </c>
      <c r="H189" s="43">
        <f>COUNTIF(S25_Emp!$C:$C,"*" &amp; A189 &amp; "*")</f>
        <v>2</v>
      </c>
      <c r="I189" s="43">
        <f>COUNTIF(F24_Emp!$C:$C,"*" &amp; B189 &amp; "*")</f>
        <v>0</v>
      </c>
      <c r="J189" s="43">
        <f>COUNTIF(S24_Emp!$C:$C,"*" &amp; $A189 &amp; "*")</f>
        <v>4</v>
      </c>
      <c r="K189" s="43">
        <f>COUNTIF(F23_Emp!$C:$C,"*" &amp; $A189 &amp; "*")</f>
        <v>3</v>
      </c>
      <c r="L189" s="43">
        <f>COUNTIF(S23_Emp!$C:$C,"*" &amp; $A189 &amp; "*")</f>
        <v>4</v>
      </c>
      <c r="M189" s="43">
        <f>COUNTIF(F22_Emp!$C:$C,"*" &amp; $A189 &amp; "*")</f>
        <v>0</v>
      </c>
      <c r="N189" s="43">
        <f>COUNTIF(S22_Emp!$C:$C,"*" &amp; $A189 &amp; "*")</f>
        <v>3</v>
      </c>
      <c r="O189" s="43" t="str">
        <f>COUNTIFS(S22_Emp!$C:$C,"*" &amp; $A189 &amp; "*", S22_S25_Emp!$B:$B, "Bachelor")</f>
        <v>#VALUE!</v>
      </c>
      <c r="P189" s="43" t="str">
        <f>COUNTIFS(S22_Emp!$C:$C,"*" &amp; $A189 &amp; "*", S22_S25_Emp!$B:$B, "Master")</f>
        <v>#VALUE!</v>
      </c>
      <c r="Q189" s="43" t="str">
        <f>COUNTIFS(S22_Emp!$C:$C,"*" &amp; $A189 &amp; "*", S22_S25_Emp!$B:$B, "Doctorate")</f>
        <v>#VALUE!</v>
      </c>
      <c r="R189" s="43" t="str">
        <f t="array" ref="R189">IF(OR(INDEX(S26_CF!X:X, MATCH("*" &amp; $A189 &amp; "*", CompanyList!A:A, 0))=TRUE, INDEX(F25_CF!P:P, MATCH("*" &amp; $A189 &amp; "*", CompanyList!A:A, 0))=TRUE, INDEX(S25_CF!T:T, MATCH("*" &amp; $A189 &amp; "*", CompanyList!A:A, 0))=TRUE, INDEX(S24_CF!W:W, MATCH("*" &amp; $A189 &amp; "*", CompanyList!A:A, 0))=TRUE), "Yes", "No")</f>
        <v>No</v>
      </c>
      <c r="S189" s="43" t="str">
        <f>IF(COUNTIF(S26_CF!$A:$A,"*" &amp; $A189 &amp; "*") &lt;&gt; 0, "Yes", "No")</f>
        <v>Yes</v>
      </c>
      <c r="T189" s="43" t="str">
        <f t="array" ref="T189">INDEX(S26_CF!K:K, MATCH("*" &amp; $A189 &amp; "*", S26_CF!A:A, 0))</f>
        <v>Basic One-Day: Wednesday, January 28th [$1000.00]</v>
      </c>
      <c r="U189" s="43" t="str">
        <f>IF(COUNTIF(F25_CF!$A:$A,"*" &amp; $A189 &amp; "*") &lt;&gt; 0, "Yes", "No")</f>
        <v>Yes</v>
      </c>
      <c r="V189" s="43" t="str">
        <f t="array" ref="V189">INDEX(F25_CF!I:I, MATCH("*" &amp; $A189 &amp; "*", F25_CF!$A:$A, 0))</f>
        <v>Basic One-Day: Wednesday, September 10th [$1000.00]</v>
      </c>
      <c r="W189" s="43" t="str">
        <f>IF(COUNTIF(S25_CF!$A:$A,"*" &amp; $A189 &amp; "*") &lt;&gt; 0, "Yes", "No")</f>
        <v>Yes</v>
      </c>
      <c r="X189" s="43" t="str">
        <f t="array" ref="X189">INDEX(S25_CF!J:J, MATCH("*" &amp; $A189 &amp; "*", S25_CF!$A:$A, 0))</f>
        <v>Basic One-Day: Thursday, January 23rd [$1000.00]</v>
      </c>
      <c r="Y189" s="43" t="str">
        <f>IF(COUNTIF(F24_CF!$A:$A,"*" &amp; $A189 &amp; "*") &lt;&gt; 0, "Yes", "No")</f>
        <v>Yes</v>
      </c>
      <c r="Z189" s="43" t="str">
        <f t="array" ref="Z189">INDEX(F24_CF!N:N, MATCH("*" &amp; $A189 &amp; "*", F24_CF!$A:$A, 0))</f>
        <v>Basic One-Day: Wednesday, September 4th [$1000.00]</v>
      </c>
      <c r="AA189" s="43" t="str">
        <f>IF(COUNTIF(S24_CF!$A:$A,"*" &amp; $A189 &amp; "*") &lt;&gt; 0, "Yes", "No")</f>
        <v>Yes</v>
      </c>
      <c r="AB189" s="43" t="str">
        <f t="array" ref="AB189">INDEX(S24_CF!H:H, MATCH("*" &amp; $A189 &amp; "*", S24_CF!$A:$A, 0))</f>
        <v>Basic One-Day [$1000.00]</v>
      </c>
    </row>
    <row r="190" ht="15.0" customHeight="1">
      <c r="A190" s="52" t="s">
        <v>245</v>
      </c>
      <c r="B190" s="43" t="s">
        <v>52</v>
      </c>
      <c r="C190" s="43"/>
      <c r="D190" s="43"/>
      <c r="E190" s="43"/>
      <c r="F190" s="43">
        <f>COUNTIF(S26_Emp!$C:$C,"*" &amp;A190 &amp; "*")</f>
        <v>0</v>
      </c>
      <c r="G190" s="43">
        <f>COUNTIF(F25_Emp!$C:$C,"*" &amp;#REF! &amp; "*")</f>
        <v>0</v>
      </c>
      <c r="H190" s="43">
        <f>COUNTIF(S25_Emp!$C:$C,"*" &amp; A190 &amp; "*")</f>
        <v>1</v>
      </c>
      <c r="I190" s="43">
        <f>COUNTIF(F24_Emp!$C:$C,"*" &amp; B190 &amp; "*")</f>
        <v>0</v>
      </c>
      <c r="J190" s="43">
        <f>COUNTIF(S24_Emp!$C:$C,"*" &amp; $A190 &amp; "*")</f>
        <v>1</v>
      </c>
      <c r="K190" s="43">
        <f>COUNTIF(F23_Emp!$C:$C,"*" &amp; $A190 &amp; "*")</f>
        <v>0</v>
      </c>
      <c r="L190" s="43">
        <f>COUNTIF(S23_Emp!$C:$C,"*" &amp; $A190 &amp; "*")</f>
        <v>1</v>
      </c>
      <c r="M190" s="43">
        <f>COUNTIF(F22_Emp!$C:$C,"*" &amp; $A190 &amp; "*")</f>
        <v>1</v>
      </c>
      <c r="N190" s="43">
        <f>COUNTIF(S22_Emp!$C:$C,"*" &amp; $A190 &amp; "*")</f>
        <v>0</v>
      </c>
      <c r="O190" s="43" t="str">
        <f>COUNTIFS(S22_Emp!$C:$C,"*" &amp; $A190 &amp; "*", S22_S25_Emp!$B:$B, "Bachelor")</f>
        <v>#VALUE!</v>
      </c>
      <c r="P190" s="43" t="str">
        <f>COUNTIFS(S22_Emp!$C:$C,"*" &amp; $A190 &amp; "*", S22_S25_Emp!$B:$B, "Master")</f>
        <v>#VALUE!</v>
      </c>
      <c r="Q190" s="43" t="str">
        <f>COUNTIFS(S22_Emp!$C:$C,"*" &amp; $A190 &amp; "*", S22_S25_Emp!$B:$B, "Doctorate")</f>
        <v>#VALUE!</v>
      </c>
      <c r="R190" s="43" t="str">
        <f t="array" ref="R190">IF(OR(INDEX(S26_CF!X:X, MATCH("*" &amp; $A190 &amp; "*", CompanyList!A:A, 0))=TRUE, INDEX(F25_CF!P:P, MATCH("*" &amp; $A190 &amp; "*", CompanyList!A:A, 0))=TRUE, INDEX(S25_CF!T:T, MATCH("*" &amp; $A190 &amp; "*", CompanyList!A:A, 0))=TRUE, INDEX(S24_CF!W:W, MATCH("*" &amp; $A190 &amp; "*", CompanyList!A:A, 0))=TRUE), "Yes", "No")</f>
        <v>No</v>
      </c>
      <c r="S190" s="43" t="str">
        <f>IF(COUNTIF(S26_CF!$A:$A,"*" &amp; $A190 &amp; "*") &lt;&gt; 0, "Yes", "No")</f>
        <v>Yes</v>
      </c>
      <c r="T190" s="43" t="str">
        <f t="array" ref="T190">INDEX(S26_CF!K:K, MATCH("*" &amp; $A190 &amp; "*", S26_CF!A:A, 0))</f>
        <v>Basic One-Day: Thursday, January 29th [$1000.00]</v>
      </c>
      <c r="U190" s="43" t="str">
        <f>IF(COUNTIF(F25_CF!$A:$A,"*" &amp; $A190 &amp; "*") &lt;&gt; 0, "Yes", "No")</f>
        <v>Yes</v>
      </c>
      <c r="V190" s="43" t="str">
        <f t="array" ref="V190">INDEX(F25_CF!I:I, MATCH("*" &amp; $A190 &amp; "*", F25_CF!$A:$A, 0))</f>
        <v>Silver One-Day: Wednesday, September 10th [$1800.00]</v>
      </c>
      <c r="W190" s="43" t="str">
        <f>IF(COUNTIF(S25_CF!$A:$A,"*" &amp; $A190 &amp; "*") &lt;&gt; 0, "Yes", "No")</f>
        <v>Yes</v>
      </c>
      <c r="X190" s="43" t="str">
        <f t="array" ref="X190">INDEX(S25_CF!J:J, MATCH("*" &amp; $A190 &amp; "*", S25_CF!$A:$A, 0))</f>
        <v>Basic One-Day: Thursday, January 23rd [$1000.00]</v>
      </c>
      <c r="Y190" s="43" t="str">
        <f>IF(COUNTIF(F24_CF!$A:$A,"*" &amp; $A190 &amp; "*") &lt;&gt; 0, "Yes", "No")</f>
        <v>Yes</v>
      </c>
      <c r="Z190" s="43" t="str">
        <f t="array" ref="Z190">INDEX(F24_CF!N:N, MATCH("*" &amp; $A190 &amp; "*", F24_CF!$A:$A, 0))</f>
        <v>Silver One-Day: Thursday, September 5th [$1800.00]</v>
      </c>
      <c r="AA190" s="43" t="str">
        <f>IF(COUNTIF(S24_CF!$A:$A,"*" &amp; $A190 &amp; "*") &lt;&gt; 0, "Yes", "No")</f>
        <v>Yes</v>
      </c>
      <c r="AB190" s="43" t="str">
        <f t="array" ref="AB190">INDEX(S24_CF!H:H, MATCH("*" &amp; $A190 &amp; "*", S24_CF!$A:$A, 0))</f>
        <v>Silver One-Day [$1800.00]</v>
      </c>
    </row>
    <row r="191" ht="15.0" customHeight="1">
      <c r="A191" s="52" t="s">
        <v>246</v>
      </c>
      <c r="B191" s="43" t="s">
        <v>54</v>
      </c>
      <c r="C191" s="43">
        <v>4500.0</v>
      </c>
      <c r="D191" s="43">
        <v>28000.0</v>
      </c>
      <c r="E191" s="43">
        <v>9.0</v>
      </c>
      <c r="F191" s="43">
        <f>COUNTIF(S26_Emp!$C:$C,"*" &amp;A191 &amp; "*")</f>
        <v>0</v>
      </c>
      <c r="G191" s="43">
        <f>COUNTIF(F25_Emp!$C:$C,"*" &amp;#REF! &amp; "*")</f>
        <v>0</v>
      </c>
      <c r="H191" s="43">
        <f>COUNTIF(S25_Emp!$C:$C,"*" &amp; A191 &amp; "*")</f>
        <v>2</v>
      </c>
      <c r="I191" s="43">
        <f>COUNTIF(F24_Emp!$C:$C,"*" &amp; B191 &amp; "*")</f>
        <v>1</v>
      </c>
      <c r="J191" s="43">
        <f>COUNTIF(S24_Emp!$C:$C,"*" &amp; $A191 &amp; "*")</f>
        <v>0</v>
      </c>
      <c r="K191" s="43">
        <f>COUNTIF(F23_Emp!$C:$C,"*" &amp; $A191 &amp; "*")</f>
        <v>1</v>
      </c>
      <c r="L191" s="43">
        <f>COUNTIF(S23_Emp!$C:$C,"*" &amp; $A191 &amp; "*")</f>
        <v>1</v>
      </c>
      <c r="M191" s="43">
        <f>COUNTIF(F22_Emp!$C:$C,"*" &amp; $A191 &amp; "*")</f>
        <v>1</v>
      </c>
      <c r="N191" s="43">
        <f>COUNTIF(S22_Emp!$C:$C,"*" &amp; $A191 &amp; "*")</f>
        <v>0</v>
      </c>
      <c r="O191" s="43" t="str">
        <f>COUNTIFS(S22_Emp!$C:$C,"*" &amp; $A191 &amp; "*", S22_S25_Emp!$B:$B, "Bachelor")</f>
        <v>#VALUE!</v>
      </c>
      <c r="P191" s="43" t="str">
        <f>COUNTIFS(S22_Emp!$C:$C,"*" &amp; $A191 &amp; "*", S22_S25_Emp!$B:$B, "Master")</f>
        <v>#VALUE!</v>
      </c>
      <c r="Q191" s="43" t="str">
        <f>COUNTIFS(S22_Emp!$C:$C,"*" &amp; $A191 &amp; "*", S22_S25_Emp!$B:$B, "Doctorate")</f>
        <v>#VALUE!</v>
      </c>
      <c r="R191" s="43" t="str">
        <f t="array" ref="R191">IF(OR(INDEX(S26_CF!X:X, MATCH("*" &amp; $A191 &amp; "*", CompanyList!A:A, 0))=TRUE, INDEX(F25_CF!P:P, MATCH("*" &amp; $A191 &amp; "*", CompanyList!A:A, 0))=TRUE, INDEX(S25_CF!T:T, MATCH("*" &amp; $A191 &amp; "*", CompanyList!A:A, 0))=TRUE, INDEX(S24_CF!W:W, MATCH("*" &amp; $A191 &amp; "*", CompanyList!A:A, 0))=TRUE), "Yes", "No")</f>
        <v>Yes</v>
      </c>
      <c r="S191" s="43" t="str">
        <f>IF(COUNTIF(S26_CF!$A:$A,"*" &amp; $A191 &amp; "*") &lt;&gt; 0, "Yes", "No")</f>
        <v>No</v>
      </c>
      <c r="T191" s="43" t="str">
        <f t="array" ref="T191">INDEX(S26_CF!K:K, MATCH("*" &amp; $A191 &amp; "*", S26_CF!A:A, 0))</f>
        <v>#N/A</v>
      </c>
      <c r="U191" s="43" t="str">
        <f>IF(COUNTIF(F25_CF!$A:$A,"*" &amp; $A191 &amp; "*") &lt;&gt; 0, "Yes", "No")</f>
        <v>No</v>
      </c>
      <c r="V191" s="43" t="str">
        <f t="array" ref="V191">INDEX(F25_CF!I:I, MATCH("*" &amp; $A191 &amp; "*", F25_CF!$A:$A, 0))</f>
        <v>#N/A</v>
      </c>
      <c r="W191" s="43" t="str">
        <f>IF(COUNTIF(S25_CF!$A:$A,"*" &amp; $A191 &amp; "*") &lt;&gt; 0, "Yes", "No")</f>
        <v>Yes</v>
      </c>
      <c r="X191" s="43" t="str">
        <f t="array" ref="X191">INDEX(S25_CF!J:J, MATCH("*" &amp; $A191 &amp; "*", S25_CF!$A:$A, 0))</f>
        <v>Basic One-Day: Wednesday, January 22nd [$1000.00]</v>
      </c>
      <c r="Y191" s="43" t="str">
        <f>IF(COUNTIF(F24_CF!$A:$A,"*" &amp; $A191 &amp; "*") &lt;&gt; 0, "Yes", "No")</f>
        <v>Yes</v>
      </c>
      <c r="Z191" s="43" t="str">
        <f t="array" ref="Z191">INDEX(F24_CF!N:N, MATCH("*" &amp; $A191 &amp; "*", F24_CF!$A:$A, 0))</f>
        <v>Basic One-Day: Wednesday, September 4th [$1000.00]</v>
      </c>
      <c r="AA191" s="43" t="str">
        <f>IF(COUNTIF(S24_CF!$A:$A,"*" &amp; $A191 &amp; "*") &lt;&gt; 0, "Yes", "No")</f>
        <v>Yes</v>
      </c>
      <c r="AB191" s="43" t="str">
        <f t="array" ref="AB191">INDEX(S24_CF!H:H, MATCH("*" &amp; $A191 &amp; "*", S24_CF!$A:$A, 0))</f>
        <v>Basic One-Day [$1000.00]</v>
      </c>
    </row>
    <row r="192" ht="15.0" customHeight="1">
      <c r="A192" s="52" t="s">
        <v>247</v>
      </c>
      <c r="B192" s="43" t="s">
        <v>52</v>
      </c>
      <c r="C192" s="43"/>
      <c r="D192" s="43"/>
      <c r="E192" s="43"/>
      <c r="F192" s="43">
        <f>COUNTIF(S26_Emp!$C:$C,"*" &amp;A192 &amp; "*")</f>
        <v>0</v>
      </c>
      <c r="G192" s="43">
        <f>COUNTIF(F25_Emp!$C:$C,"*" &amp;#REF! &amp; "*")</f>
        <v>0</v>
      </c>
      <c r="H192" s="43">
        <f>COUNTIF(S25_Emp!$C:$C,"*" &amp; A192 &amp; "*")</f>
        <v>0</v>
      </c>
      <c r="I192" s="43">
        <f>COUNTIF(F24_Emp!$C:$C,"*" &amp; B192 &amp; "*")</f>
        <v>0</v>
      </c>
      <c r="J192" s="43">
        <f>COUNTIF(S24_Emp!$C:$C,"*" &amp; $A192 &amp; "*")</f>
        <v>0</v>
      </c>
      <c r="K192" s="43">
        <f>COUNTIF(F23_Emp!$C:$C,"*" &amp; $A192 &amp; "*")</f>
        <v>0</v>
      </c>
      <c r="L192" s="43">
        <f>COUNTIF(S23_Emp!$C:$C,"*" &amp; $A192 &amp; "*")</f>
        <v>0</v>
      </c>
      <c r="M192" s="43">
        <f>COUNTIF(F22_Emp!$C:$C,"*" &amp; $A192 &amp; "*")</f>
        <v>0</v>
      </c>
      <c r="N192" s="43">
        <f>COUNTIF(S22_Emp!$C:$C,"*" &amp; $A192 &amp; "*")</f>
        <v>0</v>
      </c>
      <c r="O192" s="43" t="str">
        <f>COUNTIFS(S22_Emp!$C:$C,"*" &amp; $A192 &amp; "*", S22_S25_Emp!$B:$B, "Bachelor")</f>
        <v>#VALUE!</v>
      </c>
      <c r="P192" s="43" t="str">
        <f>COUNTIFS(S22_Emp!$C:$C,"*" &amp; $A192 &amp; "*", S22_S25_Emp!$B:$B, "Master")</f>
        <v>#VALUE!</v>
      </c>
      <c r="Q192" s="43" t="str">
        <f>COUNTIFS(S22_Emp!$C:$C,"*" &amp; $A192 &amp; "*", S22_S25_Emp!$B:$B, "Doctorate")</f>
        <v>#VALUE!</v>
      </c>
      <c r="R192" s="43" t="str">
        <f t="array" ref="R192">IF(OR(INDEX(S26_CF!X:X, MATCH("*" &amp; $A192 &amp; "*", CompanyList!A:A, 0))=TRUE, INDEX(F25_CF!P:P, MATCH("*" &amp; $A192 &amp; "*", CompanyList!A:A, 0))=TRUE, INDEX(S25_CF!T:T, MATCH("*" &amp; $A192 &amp; "*", CompanyList!A:A, 0))=TRUE, INDEX(S24_CF!W:W, MATCH("*" &amp; $A192 &amp; "*", CompanyList!A:A, 0))=TRUE), "Yes", "No")</f>
        <v>Yes</v>
      </c>
      <c r="S192" s="43" t="str">
        <f>IF(COUNTIF(S26_CF!$A:$A,"*" &amp; $A192 &amp; "*") &lt;&gt; 0, "Yes", "No")</f>
        <v>No</v>
      </c>
      <c r="T192" s="43" t="str">
        <f t="array" ref="T192">INDEX(S26_CF!K:K, MATCH("*" &amp; $A192 &amp; "*", S26_CF!A:A, 0))</f>
        <v>#N/A</v>
      </c>
      <c r="U192" s="43" t="str">
        <f>IF(COUNTIF(F25_CF!$A:$A,"*" &amp; $A192 &amp; "*") &lt;&gt; 0, "Yes", "No")</f>
        <v>Yes</v>
      </c>
      <c r="V192" s="43" t="str">
        <f t="array" ref="V192">INDEX(F25_CF!I:I, MATCH("*" &amp; $A192 &amp; "*", F25_CF!$A:$A, 0))</f>
        <v>Silver Two-Day [$3000.00]</v>
      </c>
      <c r="W192" s="43" t="str">
        <f>IF(COUNTIF(S25_CF!$A:$A,"*" &amp; $A192 &amp; "*") &lt;&gt; 0, "Yes", "No")</f>
        <v>Yes</v>
      </c>
      <c r="X192" s="43" t="str">
        <f t="array" ref="X192">INDEX(S25_CF!J:J, MATCH("*" &amp; $A192 &amp; "*", S25_CF!$A:$A, 0))</f>
        <v>Silver One-Day: Thursday, January 23rd [$1800.00]</v>
      </c>
      <c r="Y192" s="43" t="str">
        <f>IF(COUNTIF(F24_CF!$A:$A,"*" &amp; $A192 &amp; "*") &lt;&gt; 0, "Yes", "No")</f>
        <v>No</v>
      </c>
      <c r="Z192" s="43" t="str">
        <f t="array" ref="Z192">INDEX(F24_CF!N:N, MATCH("*" &amp; $A192 &amp; "*", F24_CF!$A:$A, 0))</f>
        <v>#N/A</v>
      </c>
      <c r="AA192" s="43" t="str">
        <f>IF(COUNTIF(S24_CF!$A:$A,"*" &amp; $A192 &amp; "*") &lt;&gt; 0, "Yes", "No")</f>
        <v>Yes</v>
      </c>
      <c r="AB192" s="43" t="str">
        <f t="array" ref="AB192">INDEX(S24_CF!H:H, MATCH("*" &amp; $A192 &amp; "*", S24_CF!$A:$A, 0))</f>
        <v>Silver Two-Day [$3000.00]</v>
      </c>
    </row>
    <row r="193" ht="15.0" customHeight="1">
      <c r="A193" s="52" t="s">
        <v>248</v>
      </c>
      <c r="B193" s="43" t="s">
        <v>249</v>
      </c>
      <c r="C193" s="43"/>
      <c r="D193" s="43">
        <v>1200.0</v>
      </c>
      <c r="E193" s="43"/>
      <c r="F193" s="43">
        <f>COUNTIF(S26_Emp!$C:$C,"*" &amp;A193 &amp; "*")</f>
        <v>0</v>
      </c>
      <c r="G193" s="43">
        <f>COUNTIF(F25_Emp!$C:$C,"*" &amp;#REF! &amp; "*")</f>
        <v>0</v>
      </c>
      <c r="H193" s="43">
        <f>COUNTIF(S25_Emp!$C:$C,"*" &amp; A193 &amp; "*")</f>
        <v>2</v>
      </c>
      <c r="I193" s="43">
        <f>COUNTIF(F24_Emp!$C:$C,"*" &amp; B193 &amp; "*")</f>
        <v>0</v>
      </c>
      <c r="J193" s="43">
        <f>COUNTIF(S24_Emp!$C:$C,"*" &amp; $A193 &amp; "*")</f>
        <v>0</v>
      </c>
      <c r="K193" s="43">
        <f>COUNTIF(F23_Emp!$C:$C,"*" &amp; $A193 &amp; "*")</f>
        <v>0</v>
      </c>
      <c r="L193" s="43">
        <f>COUNTIF(S23_Emp!$C:$C,"*" &amp; $A193 &amp; "*")</f>
        <v>1</v>
      </c>
      <c r="M193" s="43">
        <f>COUNTIF(F22_Emp!$C:$C,"*" &amp; $A193 &amp; "*")</f>
        <v>0</v>
      </c>
      <c r="N193" s="43">
        <f>COUNTIF(S22_Emp!$C:$C,"*" &amp; $A193 &amp; "*")</f>
        <v>0</v>
      </c>
      <c r="O193" s="43" t="str">
        <f>COUNTIFS(S22_Emp!$C:$C,"*" &amp; $A193 &amp; "*", S22_S25_Emp!$B:$B, "Bachelor")</f>
        <v>#VALUE!</v>
      </c>
      <c r="P193" s="43" t="str">
        <f>COUNTIFS(S22_Emp!$C:$C,"*" &amp; $A193 &amp; "*", S22_S25_Emp!$B:$B, "Master")</f>
        <v>#VALUE!</v>
      </c>
      <c r="Q193" s="43" t="str">
        <f>COUNTIFS(S22_Emp!$C:$C,"*" &amp; $A193 &amp; "*", S22_S25_Emp!$B:$B, "Doctorate")</f>
        <v>#VALUE!</v>
      </c>
      <c r="R193" s="43" t="str">
        <f t="array" ref="R193">IF(OR(INDEX(S26_CF!X:X, MATCH("*" &amp; $A193 &amp; "*", CompanyList!A:A, 0))=TRUE, INDEX(F25_CF!P:P, MATCH("*" &amp; $A193 &amp; "*", CompanyList!A:A, 0))=TRUE, INDEX(S25_CF!T:T, MATCH("*" &amp; $A193 &amp; "*", CompanyList!A:A, 0))=TRUE, INDEX(S24_CF!W:W, MATCH("*" &amp; $A193 &amp; "*", CompanyList!A:A, 0))=TRUE), "Yes", "No")</f>
        <v>Yes</v>
      </c>
      <c r="S193" s="43" t="str">
        <f>IF(COUNTIF(S26_CF!$A:$A,"*" &amp; $A193 &amp; "*") &lt;&gt; 0, "Yes", "No")</f>
        <v>No</v>
      </c>
      <c r="T193" s="43" t="str">
        <f t="array" ref="T193">INDEX(S26_CF!K:K, MATCH("*" &amp; $A193 &amp; "*", S26_CF!A:A, 0))</f>
        <v>#N/A</v>
      </c>
      <c r="U193" s="43" t="str">
        <f>IF(COUNTIF(F25_CF!$A:$A,"*" &amp; $A193 &amp; "*") &lt;&gt; 0, "Yes", "No")</f>
        <v>Yes</v>
      </c>
      <c r="V193" s="43" t="str">
        <f t="array" ref="V193">INDEX(F25_CF!I:I, MATCH("*" &amp; $A193 &amp; "*", F25_CF!$A:$A, 0))</f>
        <v>Basic One-Day: Thursday, September 11th [$1000.00]</v>
      </c>
      <c r="W193" s="43" t="str">
        <f>IF(COUNTIF(S25_CF!$A:$A,"*" &amp; $A193 &amp; "*") &lt;&gt; 0, "Yes", "No")</f>
        <v>Yes</v>
      </c>
      <c r="X193" s="43" t="str">
        <f t="array" ref="X193">INDEX(S25_CF!J:J, MATCH("*" &amp; $A193 &amp; "*", S25_CF!$A:$A, 0))</f>
        <v>Basic One-Day: Thursday, January 23rd [$1000.00]</v>
      </c>
      <c r="Y193" s="43" t="str">
        <f>IF(COUNTIF(F24_CF!$A:$A,"*" &amp; $A193 &amp; "*") &lt;&gt; 0, "Yes", "No")</f>
        <v>Yes</v>
      </c>
      <c r="Z193" s="43" t="str">
        <f t="array" ref="Z193">INDEX(F24_CF!N:N, MATCH("*" &amp; $A193 &amp; "*", F24_CF!$A:$A, 0))</f>
        <v>Basic One-Day: Thursday, September 5th [$1000.00]</v>
      </c>
      <c r="AA193" s="43" t="str">
        <f>IF(COUNTIF(S24_CF!$A:$A,"*" &amp; $A193 &amp; "*") &lt;&gt; 0, "Yes", "No")</f>
        <v>Yes</v>
      </c>
      <c r="AB193" s="43" t="str">
        <f t="array" ref="AB193">INDEX(S24_CF!H:H, MATCH("*" &amp; $A193 &amp; "*", S24_CF!$A:$A, 0))</f>
        <v>Basic One-Day [$1000.00]</v>
      </c>
    </row>
    <row r="194" ht="15.0" customHeight="1">
      <c r="A194" s="52" t="s">
        <v>250</v>
      </c>
      <c r="B194" s="43" t="s">
        <v>52</v>
      </c>
      <c r="C194" s="43"/>
      <c r="D194" s="43"/>
      <c r="E194" s="43"/>
      <c r="F194" s="43">
        <f>COUNTIF(S26_Emp!$C:$C,"*" &amp;A194 &amp; "*")</f>
        <v>0</v>
      </c>
      <c r="G194" s="43">
        <f>COUNTIF(F25_Emp!$C:$C,"*" &amp;#REF! &amp; "*")</f>
        <v>0</v>
      </c>
      <c r="H194" s="43">
        <f>COUNTIF(S25_Emp!$C:$C,"*" &amp; A194 &amp; "*")</f>
        <v>1</v>
      </c>
      <c r="I194" s="43">
        <f>COUNTIF(F24_Emp!$C:$C,"*" &amp; B194 &amp; "*")</f>
        <v>0</v>
      </c>
      <c r="J194" s="43">
        <f>COUNTIF(S24_Emp!$C:$C,"*" &amp; $A194 &amp; "*")</f>
        <v>2</v>
      </c>
      <c r="K194" s="43">
        <f>COUNTIF(F23_Emp!$C:$C,"*" &amp; $A194 &amp; "*")</f>
        <v>0</v>
      </c>
      <c r="L194" s="43">
        <f>COUNTIF(S23_Emp!$C:$C,"*" &amp; $A194 &amp; "*")</f>
        <v>0</v>
      </c>
      <c r="M194" s="43">
        <f>COUNTIF(F22_Emp!$C:$C,"*" &amp; $A194 &amp; "*")</f>
        <v>0</v>
      </c>
      <c r="N194" s="43">
        <f>COUNTIF(S22_Emp!$C:$C,"*" &amp; $A194 &amp; "*")</f>
        <v>0</v>
      </c>
      <c r="O194" s="43" t="str">
        <f>COUNTIFS(S22_Emp!$C:$C,"*" &amp; $A194 &amp; "*", S22_S25_Emp!$B:$B, "Bachelor")</f>
        <v>#VALUE!</v>
      </c>
      <c r="P194" s="43" t="str">
        <f>COUNTIFS(S22_Emp!$C:$C,"*" &amp; $A194 &amp; "*", S22_S25_Emp!$B:$B, "Master")</f>
        <v>#VALUE!</v>
      </c>
      <c r="Q194" s="43" t="str">
        <f>COUNTIFS(S22_Emp!$C:$C,"*" &amp; $A194 &amp; "*", S22_S25_Emp!$B:$B, "Doctorate")</f>
        <v>#VALUE!</v>
      </c>
      <c r="R194" s="43" t="str">
        <f t="array" ref="R194">IF(OR(INDEX(S26_CF!X:X, MATCH("*" &amp; $A194 &amp; "*", CompanyList!A:A, 0))=TRUE, INDEX(F25_CF!P:P, MATCH("*" &amp; $A194 &amp; "*", CompanyList!A:A, 0))=TRUE, INDEX(S25_CF!T:T, MATCH("*" &amp; $A194 &amp; "*", CompanyList!A:A, 0))=TRUE, INDEX(S24_CF!W:W, MATCH("*" &amp; $A194 &amp; "*", CompanyList!A:A, 0))=TRUE), "Yes", "No")</f>
        <v>Yes</v>
      </c>
      <c r="S194" s="43" t="str">
        <f>IF(COUNTIF(S26_CF!$A:$A,"*" &amp; $A194 &amp; "*") &lt;&gt; 0, "Yes", "No")</f>
        <v>Yes</v>
      </c>
      <c r="T194" s="43" t="str">
        <f t="array" ref="T194">INDEX(S26_CF!K:K, MATCH("*" &amp; $A194 &amp; "*", S26_CF!A:A, 0))</f>
        <v>Basic One-Day: Wednesday, January 28th [$1000.00]</v>
      </c>
      <c r="U194" s="43" t="str">
        <f>IF(COUNTIF(F25_CF!$A:$A,"*" &amp; $A194 &amp; "*") &lt;&gt; 0, "Yes", "No")</f>
        <v>No</v>
      </c>
      <c r="V194" s="43" t="str">
        <f t="array" ref="V194">INDEX(F25_CF!I:I, MATCH("*" &amp; $A194 &amp; "*", F25_CF!$A:$A, 0))</f>
        <v>#N/A</v>
      </c>
      <c r="W194" s="43" t="str">
        <f>IF(COUNTIF(S25_CF!$A:$A,"*" &amp; $A194 &amp; "*") &lt;&gt; 0, "Yes", "No")</f>
        <v>No</v>
      </c>
      <c r="X194" s="43" t="str">
        <f t="array" ref="X194">INDEX(S25_CF!J:J, MATCH("*" &amp; $A194 &amp; "*", S25_CF!$A:$A, 0))</f>
        <v>#N/A</v>
      </c>
      <c r="Y194" s="43" t="str">
        <f>IF(COUNTIF(F24_CF!$A:$A,"*" &amp; $A194 &amp; "*") &lt;&gt; 0, "Yes", "No")</f>
        <v>Yes</v>
      </c>
      <c r="Z194" s="43" t="str">
        <f t="array" ref="Z194">INDEX(F24_CF!N:N, MATCH("*" &amp; $A194 &amp; "*", F24_CF!$A:$A, 0))</f>
        <v>Basic One-Day: Wednesday, September 4th [$1000.00]</v>
      </c>
      <c r="AA194" s="43" t="str">
        <f>IF(COUNTIF(S24_CF!$A:$A,"*" &amp; $A194 &amp; "*") &lt;&gt; 0, "Yes", "No")</f>
        <v>Yes</v>
      </c>
      <c r="AB194" s="43" t="str">
        <f t="array" ref="AB194">INDEX(S24_CF!H:H, MATCH("*" &amp; $A194 &amp; "*", S24_CF!$A:$A, 0))</f>
        <v>Basic One-Day [$1000.00]</v>
      </c>
    </row>
    <row r="195" ht="15.0" customHeight="1">
      <c r="A195" s="52" t="s">
        <v>251</v>
      </c>
      <c r="B195" s="43" t="s">
        <v>52</v>
      </c>
      <c r="C195" s="43"/>
      <c r="D195" s="43"/>
      <c r="E195" s="43"/>
      <c r="F195" s="43">
        <f>COUNTIF(S26_Emp!$C:$C,"*" &amp;A195 &amp; "*")</f>
        <v>0</v>
      </c>
      <c r="G195" s="43">
        <f>COUNTIF(F25_Emp!$C:$C,"*" &amp;#REF! &amp; "*")</f>
        <v>0</v>
      </c>
      <c r="H195" s="43">
        <f>COUNTIF(S25_Emp!$C:$C,"*" &amp; A195 &amp; "*")</f>
        <v>0</v>
      </c>
      <c r="I195" s="43">
        <f>COUNTIF(F24_Emp!$C:$C,"*" &amp; B195 &amp; "*")</f>
        <v>0</v>
      </c>
      <c r="J195" s="43">
        <f>COUNTIF(S24_Emp!$C:$C,"*" &amp; $A195 &amp; "*")</f>
        <v>1</v>
      </c>
      <c r="K195" s="43">
        <f>COUNTIF(F23_Emp!$C:$C,"*" &amp; $A195 &amp; "*")</f>
        <v>0</v>
      </c>
      <c r="L195" s="43">
        <f>COUNTIF(S23_Emp!$C:$C,"*" &amp; $A195 &amp; "*")</f>
        <v>0</v>
      </c>
      <c r="M195" s="43">
        <f>COUNTIF(F22_Emp!$C:$C,"*" &amp; $A195 &amp; "*")</f>
        <v>0</v>
      </c>
      <c r="N195" s="43">
        <f>COUNTIF(S22_Emp!$C:$C,"*" &amp; $A195 &amp; "*")</f>
        <v>1</v>
      </c>
      <c r="O195" s="43" t="str">
        <f>COUNTIFS(S22_Emp!$C:$C,"*" &amp; $A195 &amp; "*", S22_S25_Emp!$B:$B, "Bachelor")</f>
        <v>#VALUE!</v>
      </c>
      <c r="P195" s="43" t="str">
        <f>COUNTIFS(S22_Emp!$C:$C,"*" &amp; $A195 &amp; "*", S22_S25_Emp!$B:$B, "Master")</f>
        <v>#VALUE!</v>
      </c>
      <c r="Q195" s="43" t="str">
        <f>COUNTIFS(S22_Emp!$C:$C,"*" &amp; $A195 &amp; "*", S22_S25_Emp!$B:$B, "Doctorate")</f>
        <v>#VALUE!</v>
      </c>
      <c r="R195" s="43" t="str">
        <f t="array" ref="R195">IF(OR(INDEX(S26_CF!X:X, MATCH("*" &amp; $A195 &amp; "*", CompanyList!A:A, 0))=TRUE, INDEX(F25_CF!P:P, MATCH("*" &amp; $A195 &amp; "*", CompanyList!A:A, 0))=TRUE, INDEX(S25_CF!T:T, MATCH("*" &amp; $A195 &amp; "*", CompanyList!A:A, 0))=TRUE, INDEX(S24_CF!W:W, MATCH("*" &amp; $A195 &amp; "*", CompanyList!A:A, 0))=TRUE), "Yes", "No")</f>
        <v>No</v>
      </c>
      <c r="S195" s="43" t="str">
        <f>IF(COUNTIF(S26_CF!$A:$A,"*" &amp; $A195 &amp; "*") &lt;&gt; 0, "Yes", "No")</f>
        <v>Yes</v>
      </c>
      <c r="T195" s="43" t="str">
        <f t="array" ref="T195">INDEX(S26_CF!K:K, MATCH("*" &amp; $A195 &amp; "*", S26_CF!A:A, 0))</f>
        <v>Gold Two-Day [$5500.00]</v>
      </c>
      <c r="U195" s="43" t="str">
        <f>IF(COUNTIF(F25_CF!$A:$A,"*" &amp; $A195 &amp; "*") &lt;&gt; 0, "Yes", "No")</f>
        <v>Yes</v>
      </c>
      <c r="V195" s="43" t="str">
        <f t="array" ref="V195">INDEX(F25_CF!I:I, MATCH("*" &amp; $A195 &amp; "*", F25_CF!$A:$A, 0))</f>
        <v>Gold Two-Day [$5500.00]</v>
      </c>
      <c r="W195" s="43" t="str">
        <f>IF(COUNTIF(S25_CF!$A:$A,"*" &amp; $A195 &amp; "*") &lt;&gt; 0, "Yes", "No")</f>
        <v>Yes</v>
      </c>
      <c r="X195" s="43" t="str">
        <f t="array" ref="X195">INDEX(S25_CF!J:J, MATCH("*" &amp; $A195 &amp; "*", S25_CF!$A:$A, 0))</f>
        <v>Gold One-Day: Thursday, January 23rd [$2500.00]</v>
      </c>
      <c r="Y195" s="43" t="str">
        <f>IF(COUNTIF(F24_CF!$A:$A,"*" &amp; $A195 &amp; "*") &lt;&gt; 0, "Yes", "No")</f>
        <v>Yes</v>
      </c>
      <c r="Z195" s="43" t="str">
        <f t="array" ref="Z195">INDEX(F24_CF!N:N, MATCH("*" &amp; $A195 &amp; "*", F24_CF!$A:$A, 0))</f>
        <v>Gold Two-Day [$5500.00]</v>
      </c>
      <c r="AA195" s="43" t="str">
        <f>IF(COUNTIF(S24_CF!$A:$A,"*" &amp; $A195 &amp; "*") &lt;&gt; 0, "Yes", "No")</f>
        <v>Yes</v>
      </c>
      <c r="AB195" s="43" t="str">
        <f t="array" ref="AB195">INDEX(S24_CF!H:H, MATCH("*" &amp; $A195 &amp; "*", S24_CF!$A:$A, 0))</f>
        <v>Silver Two-Day [$3000.00]</v>
      </c>
    </row>
    <row r="196" ht="15.0" customHeight="1">
      <c r="A196" s="52" t="s">
        <v>252</v>
      </c>
      <c r="B196" s="43" t="s">
        <v>52</v>
      </c>
      <c r="C196" s="43"/>
      <c r="D196" s="43"/>
      <c r="E196" s="43"/>
      <c r="F196" s="43">
        <f>COUNTIF(S26_Emp!$C:$C,"*" &amp;A196 &amp; "*")</f>
        <v>0</v>
      </c>
      <c r="G196" s="43">
        <f>COUNTIF(F25_Emp!$C:$C,"*" &amp;#REF! &amp; "*")</f>
        <v>0</v>
      </c>
      <c r="H196" s="43">
        <f>COUNTIF(S25_Emp!$C:$C,"*" &amp; A196 &amp; "*")</f>
        <v>0</v>
      </c>
      <c r="I196" s="43">
        <f>COUNTIF(F24_Emp!$C:$C,"*" &amp; B196 &amp; "*")</f>
        <v>0</v>
      </c>
      <c r="J196" s="43">
        <f>COUNTIF(S24_Emp!$C:$C,"*" &amp; $A196 &amp; "*")</f>
        <v>0</v>
      </c>
      <c r="K196" s="43">
        <f>COUNTIF(F23_Emp!$C:$C,"*" &amp; $A196 &amp; "*")</f>
        <v>0</v>
      </c>
      <c r="L196" s="43">
        <f>COUNTIF(S23_Emp!$C:$C,"*" &amp; $A196 &amp; "*")</f>
        <v>0</v>
      </c>
      <c r="M196" s="43">
        <f>COUNTIF(F22_Emp!$C:$C,"*" &amp; $A196 &amp; "*")</f>
        <v>0</v>
      </c>
      <c r="N196" s="43">
        <f>COUNTIF(S22_Emp!$C:$C,"*" &amp; $A196 &amp; "*")</f>
        <v>1</v>
      </c>
      <c r="O196" s="43" t="str">
        <f>COUNTIFS(S22_Emp!$C:$C,"*" &amp; $A196 &amp; "*", S22_S25_Emp!$B:$B, "Bachelor")</f>
        <v>#VALUE!</v>
      </c>
      <c r="P196" s="43" t="str">
        <f>COUNTIFS(S22_Emp!$C:$C,"*" &amp; $A196 &amp; "*", S22_S25_Emp!$B:$B, "Master")</f>
        <v>#VALUE!</v>
      </c>
      <c r="Q196" s="43" t="str">
        <f>COUNTIFS(S22_Emp!$C:$C,"*" &amp; $A196 &amp; "*", S22_S25_Emp!$B:$B, "Doctorate")</f>
        <v>#VALUE!</v>
      </c>
      <c r="R196" s="43" t="str">
        <f t="array" ref="R196">IF(OR(INDEX(S26_CF!X:X, MATCH("*" &amp; $A196 &amp; "*", CompanyList!A:A, 0))=TRUE, INDEX(F25_CF!P:P, MATCH("*" &amp; $A196 &amp; "*", CompanyList!A:A, 0))=TRUE, INDEX(S25_CF!T:T, MATCH("*" &amp; $A196 &amp; "*", CompanyList!A:A, 0))=TRUE, INDEX(S24_CF!W:W, MATCH("*" &amp; $A196 &amp; "*", CompanyList!A:A, 0))=TRUE), "Yes", "No")</f>
        <v>Yes</v>
      </c>
      <c r="S196" s="43" t="str">
        <f>IF(COUNTIF(S26_CF!$A:$A,"*" &amp; $A196 &amp; "*") &lt;&gt; 0, "Yes", "No")</f>
        <v>Yes</v>
      </c>
      <c r="T196" s="43" t="str">
        <f t="array" ref="T196">INDEX(S26_CF!K:K, MATCH("*" &amp; $A196 &amp; "*", S26_CF!A:A, 0))</f>
        <v>Basic One-Day: Wednesday, January 28th [$1000.00]</v>
      </c>
      <c r="U196" s="43" t="str">
        <f>IF(COUNTIF(F25_CF!$A:$A,"*" &amp; $A196 &amp; "*") &lt;&gt; 0, "Yes", "No")</f>
        <v>Yes</v>
      </c>
      <c r="V196" s="43" t="str">
        <f t="array" ref="V196">INDEX(F25_CF!I:I, MATCH("*" &amp; $A196 &amp; "*", F25_CF!$A:$A, 0))</f>
        <v>Basic One-Day: Thursday, September 11th [$1000.00]</v>
      </c>
      <c r="W196" s="43" t="str">
        <f>IF(COUNTIF(S25_CF!$A:$A,"*" &amp; $A196 &amp; "*") &lt;&gt; 0, "Yes", "No")</f>
        <v>No</v>
      </c>
      <c r="X196" s="43" t="str">
        <f t="array" ref="X196">INDEX(S25_CF!J:J, MATCH("*" &amp; $A196 &amp; "*", S25_CF!$A:$A, 0))</f>
        <v>#N/A</v>
      </c>
      <c r="Y196" s="43" t="str">
        <f>IF(COUNTIF(F24_CF!$A:$A,"*" &amp; $A196 &amp; "*") &lt;&gt; 0, "Yes", "No")</f>
        <v>No</v>
      </c>
      <c r="Z196" s="43" t="str">
        <f t="array" ref="Z196">INDEX(F24_CF!N:N, MATCH("*" &amp; $A196 &amp; "*", F24_CF!$A:$A, 0))</f>
        <v>#N/A</v>
      </c>
      <c r="AA196" s="43" t="str">
        <f>IF(COUNTIF(S24_CF!$A:$A,"*" &amp; $A196 &amp; "*") &lt;&gt; 0, "Yes", "No")</f>
        <v>Yes</v>
      </c>
      <c r="AB196" s="43" t="str">
        <f t="array" ref="AB196">INDEX(S24_CF!H:H, MATCH("*" &amp; $A196 &amp; "*", S24_CF!$A:$A, 0))</f>
        <v>Basic One-Day [$1000.00]</v>
      </c>
    </row>
    <row r="197" ht="15.0" customHeight="1">
      <c r="A197" s="52" t="s">
        <v>253</v>
      </c>
      <c r="B197" s="43" t="s">
        <v>52</v>
      </c>
      <c r="C197" s="43"/>
      <c r="D197" s="43"/>
      <c r="E197" s="43"/>
      <c r="F197" s="43">
        <f>COUNTIF(S26_Emp!$C:$C,"*" &amp;A197 &amp; "*")</f>
        <v>0</v>
      </c>
      <c r="G197" s="43">
        <f>COUNTIF(F25_Emp!$C:$C,"*" &amp;#REF! &amp; "*")</f>
        <v>0</v>
      </c>
      <c r="H197" s="43">
        <f>COUNTIF(S25_Emp!$C:$C,"*" &amp; A197 &amp; "*")</f>
        <v>0</v>
      </c>
      <c r="I197" s="43">
        <f>COUNTIF(F24_Emp!$C:$C,"*" &amp; B197 &amp; "*")</f>
        <v>0</v>
      </c>
      <c r="J197" s="43">
        <f>COUNTIF(S24_Emp!$C:$C,"*" &amp; $A197 &amp; "*")</f>
        <v>1</v>
      </c>
      <c r="K197" s="43">
        <f>COUNTIF(F23_Emp!$C:$C,"*" &amp; $A197 &amp; "*")</f>
        <v>0</v>
      </c>
      <c r="L197" s="43">
        <f>COUNTIF(S23_Emp!$C:$C,"*" &amp; $A197 &amp; "*")</f>
        <v>1</v>
      </c>
      <c r="M197" s="43">
        <f>COUNTIF(F22_Emp!$C:$C,"*" &amp; $A197 &amp; "*")</f>
        <v>0</v>
      </c>
      <c r="N197" s="43">
        <f>COUNTIF(S22_Emp!$C:$C,"*" &amp; $A197 &amp; "*")</f>
        <v>1</v>
      </c>
      <c r="O197" s="43" t="str">
        <f>COUNTIFS(S22_Emp!$C:$C,"*" &amp; $A197 &amp; "*", S22_S25_Emp!$B:$B, "Bachelor")</f>
        <v>#VALUE!</v>
      </c>
      <c r="P197" s="43" t="str">
        <f>COUNTIFS(S22_Emp!$C:$C,"*" &amp; $A197 &amp; "*", S22_S25_Emp!$B:$B, "Master")</f>
        <v>#VALUE!</v>
      </c>
      <c r="Q197" s="43" t="str">
        <f>COUNTIFS(S22_Emp!$C:$C,"*" &amp; $A197 &amp; "*", S22_S25_Emp!$B:$B, "Doctorate")</f>
        <v>#VALUE!</v>
      </c>
      <c r="R197" s="43" t="str">
        <f t="array" ref="R197">IF(OR(INDEX(S26_CF!X:X, MATCH("*" &amp; $A197 &amp; "*", CompanyList!A:A, 0))=TRUE, INDEX(F25_CF!P:P, MATCH("*" &amp; $A197 &amp; "*", CompanyList!A:A, 0))=TRUE, INDEX(S25_CF!T:T, MATCH("*" &amp; $A197 &amp; "*", CompanyList!A:A, 0))=TRUE, INDEX(S24_CF!W:W, MATCH("*" &amp; $A197 &amp; "*", CompanyList!A:A, 0))=TRUE), "Yes", "No")</f>
        <v>No</v>
      </c>
      <c r="S197" s="43" t="str">
        <f>IF(COUNTIF(S26_CF!$A:$A,"*" &amp; $A197 &amp; "*") &lt;&gt; 0, "Yes", "No")</f>
        <v>Yes</v>
      </c>
      <c r="T197" s="43" t="str">
        <f t="array" ref="T197">INDEX(S26_CF!K:K, MATCH("*" &amp; $A197 &amp; "*", S26_CF!A:A, 0))</f>
        <v>Basic Two-Day [$2000.00]</v>
      </c>
      <c r="U197" s="43" t="str">
        <f>IF(COUNTIF(F25_CF!$A:$A,"*" &amp; $A197 &amp; "*") &lt;&gt; 0, "Yes", "No")</f>
        <v>Yes</v>
      </c>
      <c r="V197" s="43" t="str">
        <f t="array" ref="V197">INDEX(F25_CF!I:I, MATCH("*" &amp; $A197 &amp; "*", F25_CF!$A:$A, 0))</f>
        <v>Silver Two-Day [$3000.00]</v>
      </c>
      <c r="W197" s="43" t="str">
        <f>IF(COUNTIF(S25_CF!$A:$A,"*" &amp; $A197 &amp; "*") &lt;&gt; 0, "Yes", "No")</f>
        <v>Yes</v>
      </c>
      <c r="X197" s="43" t="str">
        <f t="array" ref="X197">INDEX(S25_CF!J:J, MATCH("*" &amp; $A197 &amp; "*", S25_CF!$A:$A, 0))</f>
        <v>Basic One-Day: Thursday, January 23rd [$1000.00]</v>
      </c>
      <c r="Y197" s="43" t="str">
        <f>IF(COUNTIF(F24_CF!$A:$A,"*" &amp; $A197 &amp; "*") &lt;&gt; 0, "Yes", "No")</f>
        <v>Yes</v>
      </c>
      <c r="Z197" s="43" t="str">
        <f t="array" ref="Z197">INDEX(F24_CF!N:N, MATCH("*" &amp; $A197 &amp; "*", F24_CF!$A:$A, 0))</f>
        <v>Basic One-Day: Thursday, September 5th [$1000.00]</v>
      </c>
      <c r="AA197" s="43" t="str">
        <f>IF(COUNTIF(S24_CF!$A:$A,"*" &amp; $A197 &amp; "*") &lt;&gt; 0, "Yes", "No")</f>
        <v>Yes</v>
      </c>
      <c r="AB197" s="43" t="str">
        <f t="array" ref="AB197">INDEX(S24_CF!H:H, MATCH("*" &amp; $A197 &amp; "*", S24_CF!$A:$A, 0))</f>
        <v>Basic Two-Day [$2000.00]</v>
      </c>
    </row>
    <row r="198" ht="15.0" customHeight="1">
      <c r="A198" s="52" t="s">
        <v>254</v>
      </c>
      <c r="B198" s="43" t="s">
        <v>54</v>
      </c>
      <c r="C198" s="43">
        <v>6500.0</v>
      </c>
      <c r="D198" s="43">
        <v>15000.0</v>
      </c>
      <c r="E198" s="43">
        <v>4.0</v>
      </c>
      <c r="F198" s="43">
        <f>COUNTIF(S26_Emp!$C:$C,"*" &amp;A198 &amp; "*")</f>
        <v>0</v>
      </c>
      <c r="G198" s="43">
        <f>COUNTIF(F25_Emp!$C:$C,"*" &amp;#REF! &amp; "*")</f>
        <v>0</v>
      </c>
      <c r="H198" s="43">
        <f>COUNTIF(S25_Emp!$C:$C,"*" &amp; A198 &amp; "*")</f>
        <v>0</v>
      </c>
      <c r="I198" s="43">
        <f>COUNTIF(F24_Emp!$C:$C,"*" &amp; B198 &amp; "*")</f>
        <v>1</v>
      </c>
      <c r="J198" s="43">
        <f>COUNTIF(S24_Emp!$C:$C,"*" &amp; $A198 &amp; "*")</f>
        <v>2</v>
      </c>
      <c r="K198" s="43">
        <f>COUNTIF(F23_Emp!$C:$C,"*" &amp; $A198 &amp; "*")</f>
        <v>1</v>
      </c>
      <c r="L198" s="43">
        <f>COUNTIF(S23_Emp!$C:$C,"*" &amp; $A198 &amp; "*")</f>
        <v>2</v>
      </c>
      <c r="M198" s="43">
        <f>COUNTIF(F22_Emp!$C:$C,"*" &amp; $A198 &amp; "*")</f>
        <v>3</v>
      </c>
      <c r="N198" s="43">
        <f>COUNTIF(S22_Emp!$C:$C,"*" &amp; $A198 &amp; "*")</f>
        <v>1</v>
      </c>
      <c r="O198" s="43" t="str">
        <f>COUNTIFS(S22_Emp!$C:$C,"*" &amp; $A198 &amp; "*", S22_S25_Emp!$B:$B, "Bachelor")</f>
        <v>#VALUE!</v>
      </c>
      <c r="P198" s="43" t="str">
        <f>COUNTIFS(S22_Emp!$C:$C,"*" &amp; $A198 &amp; "*", S22_S25_Emp!$B:$B, "Master")</f>
        <v>#VALUE!</v>
      </c>
      <c r="Q198" s="43" t="str">
        <f>COUNTIFS(S22_Emp!$C:$C,"*" &amp; $A198 &amp; "*", S22_S25_Emp!$B:$B, "Doctorate")</f>
        <v>#VALUE!</v>
      </c>
      <c r="R198" s="43" t="str">
        <f t="array" ref="R198">IF(OR(INDEX(S26_CF!X:X, MATCH("*" &amp; $A198 &amp; "*", CompanyList!A:A, 0))=TRUE, INDEX(F25_CF!P:P, MATCH("*" &amp; $A198 &amp; "*", CompanyList!A:A, 0))=TRUE, INDEX(S25_CF!T:T, MATCH("*" &amp; $A198 &amp; "*", CompanyList!A:A, 0))=TRUE, INDEX(S24_CF!W:W, MATCH("*" &amp; $A198 &amp; "*", CompanyList!A:A, 0))=TRUE), "Yes", "No")</f>
        <v>Yes</v>
      </c>
      <c r="S198" s="43" t="str">
        <f>IF(COUNTIF(S26_CF!$A:$A,"*" &amp; $A198 &amp; "*") &lt;&gt; 0, "Yes", "No")</f>
        <v>No</v>
      </c>
      <c r="T198" s="43" t="str">
        <f t="array" ref="T198">INDEX(S26_CF!K:K, MATCH("*" &amp; $A198 &amp; "*", S26_CF!A:A, 0))</f>
        <v>#N/A</v>
      </c>
      <c r="U198" s="43" t="str">
        <f>IF(COUNTIF(F25_CF!$A:$A,"*" &amp; $A198 &amp; "*") &lt;&gt; 0, "Yes", "No")</f>
        <v>Yes</v>
      </c>
      <c r="V198" s="43" t="str">
        <f t="array" ref="V198">INDEX(F25_CF!I:I, MATCH("*" &amp; $A198 &amp; "*", F25_CF!$A:$A, 0))</f>
        <v>Basic Two-Day [$2000.00]</v>
      </c>
      <c r="W198" s="43" t="str">
        <f>IF(COUNTIF(S25_CF!$A:$A,"*" &amp; $A198 &amp; "*") &lt;&gt; 0, "Yes", "No")</f>
        <v>Yes</v>
      </c>
      <c r="X198" s="43" t="str">
        <f t="array" ref="X198">INDEX(S25_CF!J:J, MATCH("*" &amp; $A198 &amp; "*", S25_CF!$A:$A, 0))</f>
        <v>Silver One-Day: Thursday, January 23rd [$1800.00]</v>
      </c>
      <c r="Y198" s="43" t="str">
        <f>IF(COUNTIF(F24_CF!$A:$A,"*" &amp; $A198 &amp; "*") &lt;&gt; 0, "Yes", "No")</f>
        <v>Yes</v>
      </c>
      <c r="Z198" s="43" t="str">
        <f t="array" ref="Z198">INDEX(F24_CF!N:N, MATCH("*" &amp; $A198 &amp; "*", F24_CF!$A:$A, 0))</f>
        <v>Basic One-Day: Thursday, September 5th [$1000.00]</v>
      </c>
      <c r="AA198" s="43" t="str">
        <f>IF(COUNTIF(S24_CF!$A:$A,"*" &amp; $A198 &amp; "*") &lt;&gt; 0, "Yes", "No")</f>
        <v>Yes</v>
      </c>
      <c r="AB198" s="43" t="str">
        <f t="array" ref="AB198">INDEX(S24_CF!H:H, MATCH("*" &amp; $A198 &amp; "*", S24_CF!$A:$A, 0))</f>
        <v>Basic Two-Day [$2000.00]</v>
      </c>
    </row>
    <row r="199" ht="15.0" customHeight="1">
      <c r="A199" s="52" t="s">
        <v>255</v>
      </c>
      <c r="B199" s="43" t="s">
        <v>54</v>
      </c>
      <c r="C199" s="43">
        <v>7800.0</v>
      </c>
      <c r="D199" s="43">
        <v>21000.0</v>
      </c>
      <c r="E199" s="43">
        <v>11.0</v>
      </c>
      <c r="F199" s="43">
        <f>COUNTIF(S26_Emp!$C:$C,"*" &amp;A199 &amp; "*")</f>
        <v>0</v>
      </c>
      <c r="G199" s="43">
        <f>COUNTIF(F25_Emp!$C:$C,"*" &amp;#REF! &amp; "*")</f>
        <v>0</v>
      </c>
      <c r="H199" s="43">
        <f>COUNTIF(S25_Emp!$C:$C,"*" &amp; A199 &amp; "*")</f>
        <v>1</v>
      </c>
      <c r="I199" s="43">
        <f>COUNTIF(F24_Emp!$C:$C,"*" &amp; B199 &amp; "*")</f>
        <v>1</v>
      </c>
      <c r="J199" s="43">
        <f>COUNTIF(S24_Emp!$C:$C,"*" &amp; $A199 &amp; "*")</f>
        <v>2</v>
      </c>
      <c r="K199" s="43">
        <f>COUNTIF(F23_Emp!$C:$C,"*" &amp; $A199 &amp; "*")</f>
        <v>1</v>
      </c>
      <c r="L199" s="43">
        <f>COUNTIF(S23_Emp!$C:$C,"*" &amp; $A199 &amp; "*")</f>
        <v>6</v>
      </c>
      <c r="M199" s="43">
        <f>COUNTIF(F22_Emp!$C:$C,"*" &amp; $A199 &amp; "*")</f>
        <v>3</v>
      </c>
      <c r="N199" s="43">
        <f>COUNTIF(S22_Emp!$C:$C,"*" &amp; $A199 &amp; "*")</f>
        <v>4</v>
      </c>
      <c r="O199" s="43" t="str">
        <f>COUNTIFS(S22_Emp!$C:$C,"*" &amp; $A199 &amp; "*", S22_S25_Emp!$B:$B, "Bachelor")</f>
        <v>#VALUE!</v>
      </c>
      <c r="P199" s="43" t="str">
        <f>COUNTIFS(S22_Emp!$C:$C,"*" &amp; $A199 &amp; "*", S22_S25_Emp!$B:$B, "Master")</f>
        <v>#VALUE!</v>
      </c>
      <c r="Q199" s="43" t="str">
        <f>COUNTIFS(S22_Emp!$C:$C,"*" &amp; $A199 &amp; "*", S22_S25_Emp!$B:$B, "Doctorate")</f>
        <v>#VALUE!</v>
      </c>
      <c r="R199" s="43" t="str">
        <f t="array" ref="R199">IF(OR(INDEX(S26_CF!X:X, MATCH("*" &amp; $A199 &amp; "*", CompanyList!A:A, 0))=TRUE, INDEX(F25_CF!P:P, MATCH("*" &amp; $A199 &amp; "*", CompanyList!A:A, 0))=TRUE, INDEX(S25_CF!T:T, MATCH("*" &amp; $A199 &amp; "*", CompanyList!A:A, 0))=TRUE, INDEX(S24_CF!W:W, MATCH("*" &amp; $A199 &amp; "*", CompanyList!A:A, 0))=TRUE), "Yes", "No")</f>
        <v>No</v>
      </c>
      <c r="S199" s="43" t="str">
        <f>IF(COUNTIF(S26_CF!$A:$A,"*" &amp; $A199 &amp; "*") &lt;&gt; 0, "Yes", "No")</f>
        <v>Yes</v>
      </c>
      <c r="T199" s="43" t="str">
        <f t="array" ref="T199">INDEX(S26_CF!K:K, MATCH("*" &amp; $A199 &amp; "*", S26_CF!A:A, 0))</f>
        <v>Silver One-Day: Wednesday, January 28th [$1800.00]</v>
      </c>
      <c r="U199" s="43" t="str">
        <f>IF(COUNTIF(F25_CF!$A:$A,"*" &amp; $A199 &amp; "*") &lt;&gt; 0, "Yes", "No")</f>
        <v>Yes</v>
      </c>
      <c r="V199" s="43" t="str">
        <f t="array" ref="V199">INDEX(F25_CF!I:I, MATCH("*" &amp; $A199 &amp; "*", F25_CF!$A:$A, 0))</f>
        <v>Silver Two-Day [$3000.00]</v>
      </c>
      <c r="W199" s="43" t="str">
        <f>IF(COUNTIF(S25_CF!$A:$A,"*" &amp; $A199 &amp; "*") &lt;&gt; 0, "Yes", "No")</f>
        <v>Yes</v>
      </c>
      <c r="X199" s="43" t="str">
        <f t="array" ref="X199">INDEX(S25_CF!J:J, MATCH("*" &amp; $A199 &amp; "*", S25_CF!$A:$A, 0))</f>
        <v>Silver One-Day: Thursday, January 23rd [$1800.00]</v>
      </c>
      <c r="Y199" s="43" t="str">
        <f>IF(COUNTIF(F24_CF!$A:$A,"*" &amp; $A199 &amp; "*") &lt;&gt; 0, "Yes", "No")</f>
        <v>Yes</v>
      </c>
      <c r="Z199" s="43" t="str">
        <f t="array" ref="Z199">INDEX(F24_CF!N:N, MATCH("*" &amp; $A199 &amp; "*", F24_CF!$A:$A, 0))</f>
        <v>Silver Two-Day [$3000.00]</v>
      </c>
      <c r="AA199" s="43" t="str">
        <f>IF(COUNTIF(S24_CF!$A:$A,"*" &amp; $A199 &amp; "*") &lt;&gt; 0, "Yes", "No")</f>
        <v>Yes</v>
      </c>
      <c r="AB199" s="43" t="str">
        <f t="array" ref="AB199">INDEX(S24_CF!H:H, MATCH("*" &amp; $A199 &amp; "*", S24_CF!$A:$A, 0))</f>
        <v>Basic Two-Day [$2000.00]</v>
      </c>
    </row>
    <row r="200" ht="15.0" customHeight="1">
      <c r="A200" s="52" t="s">
        <v>256</v>
      </c>
      <c r="B200" s="43" t="s">
        <v>54</v>
      </c>
      <c r="C200" s="43">
        <v>14000.0</v>
      </c>
      <c r="D200" s="43">
        <v>25000.0</v>
      </c>
      <c r="E200" s="43">
        <v>20.0</v>
      </c>
      <c r="F200" s="43">
        <f>COUNTIF(S26_Emp!$C:$C,"*" &amp;A200 &amp; "*")</f>
        <v>0</v>
      </c>
      <c r="G200" s="43">
        <f>COUNTIF(F25_Emp!$C:$C,"*" &amp;#REF! &amp; "*")</f>
        <v>0</v>
      </c>
      <c r="H200" s="43">
        <f>COUNTIF(S25_Emp!$C:$C,"*" &amp; A200 &amp; "*")</f>
        <v>1</v>
      </c>
      <c r="I200" s="43">
        <f>COUNTIF(F24_Emp!$C:$C,"*" &amp; B200 &amp; "*")</f>
        <v>1</v>
      </c>
      <c r="J200" s="43">
        <f>COUNTIF(S24_Emp!$C:$C,"*" &amp; $A200 &amp; "*")</f>
        <v>0</v>
      </c>
      <c r="K200" s="43">
        <f>COUNTIF(F23_Emp!$C:$C,"*" &amp; $A200 &amp; "*")</f>
        <v>0</v>
      </c>
      <c r="L200" s="43">
        <f>COUNTIF(S23_Emp!$C:$C,"*" &amp; $A200 &amp; "*")</f>
        <v>0</v>
      </c>
      <c r="M200" s="43">
        <f>COUNTIF(F22_Emp!$C:$C,"*" &amp; $A200 &amp; "*")</f>
        <v>0</v>
      </c>
      <c r="N200" s="43">
        <f>COUNTIF(S22_Emp!$C:$C,"*" &amp; $A200 &amp; "*")</f>
        <v>0</v>
      </c>
      <c r="O200" s="43" t="str">
        <f>COUNTIFS(S22_Emp!$C:$C,"*" &amp; $A200 &amp; "*", S22_S25_Emp!$B:$B, "Bachelor")</f>
        <v>#VALUE!</v>
      </c>
      <c r="P200" s="43" t="str">
        <f>COUNTIFS(S22_Emp!$C:$C,"*" &amp; $A200 &amp; "*", S22_S25_Emp!$B:$B, "Master")</f>
        <v>#VALUE!</v>
      </c>
      <c r="Q200" s="43" t="str">
        <f>COUNTIFS(S22_Emp!$C:$C,"*" &amp; $A200 &amp; "*", S22_S25_Emp!$B:$B, "Doctorate")</f>
        <v>#VALUE!</v>
      </c>
      <c r="R200" s="43" t="str">
        <f t="array" ref="R200">IF(OR(INDEX(S26_CF!X:X, MATCH("*" &amp; $A200 &amp; "*", CompanyList!A:A, 0))=TRUE, INDEX(F25_CF!P:P, MATCH("*" &amp; $A200 &amp; "*", CompanyList!A:A, 0))=TRUE, INDEX(S25_CF!T:T, MATCH("*" &amp; $A200 &amp; "*", CompanyList!A:A, 0))=TRUE, INDEX(S24_CF!W:W, MATCH("*" &amp; $A200 &amp; "*", CompanyList!A:A, 0))=TRUE), "Yes", "No")</f>
        <v>No</v>
      </c>
      <c r="S200" s="43" t="str">
        <f>IF(COUNTIF(S26_CF!$A:$A,"*" &amp; $A200 &amp; "*") &lt;&gt; 0, "Yes", "No")</f>
        <v>Yes</v>
      </c>
      <c r="T200" s="43" t="str">
        <f t="array" ref="T200">INDEX(S26_CF!K:K, MATCH("*" &amp; $A200 &amp; "*", S26_CF!A:A, 0))</f>
        <v>Gold Two-Day [$5500.00]</v>
      </c>
      <c r="U200" s="43" t="str">
        <f>IF(COUNTIF(F25_CF!$A:$A,"*" &amp; $A200 &amp; "*") &lt;&gt; 0, "Yes", "No")</f>
        <v>Yes</v>
      </c>
      <c r="V200" s="43" t="str">
        <f t="array" ref="V200">INDEX(F25_CF!I:I, MATCH("*" &amp; $A200 &amp; "*", F25_CF!$A:$A, 0))</f>
        <v>Silver Two-Day [$3000.00]</v>
      </c>
      <c r="W200" s="43" t="str">
        <f>IF(COUNTIF(S25_CF!$A:$A,"*" &amp; $A200 &amp; "*") &lt;&gt; 0, "Yes", "No")</f>
        <v>Yes</v>
      </c>
      <c r="X200" s="43" t="str">
        <f t="array" ref="X200">INDEX(S25_CF!J:J, MATCH("*" &amp; $A200 &amp; "*", S25_CF!$A:$A, 0))</f>
        <v>Basic Two-Day [$2000.00]</v>
      </c>
      <c r="Y200" s="43" t="str">
        <f>IF(COUNTIF(F24_CF!$A:$A,"*" &amp; $A200 &amp; "*") &lt;&gt; 0, "Yes", "No")</f>
        <v>Yes</v>
      </c>
      <c r="Z200" s="43" t="str">
        <f t="array" ref="Z200">INDEX(F24_CF!N:N, MATCH("*" &amp; $A200 &amp; "*", F24_CF!$A:$A, 0))</f>
        <v>Basic One-Day: Wednesday, September 4th [$1000.00]</v>
      </c>
      <c r="AA200" s="43" t="str">
        <f>IF(COUNTIF(S24_CF!$A:$A,"*" &amp; $A200 &amp; "*") &lt;&gt; 0, "Yes", "No")</f>
        <v>Yes</v>
      </c>
      <c r="AB200" s="43" t="str">
        <f t="array" ref="AB200">INDEX(S24_CF!H:H, MATCH("*" &amp; $A200 &amp; "*", S24_CF!$A:$A, 0))</f>
        <v>Basic Two-Day [$2000.00]</v>
      </c>
    </row>
    <row r="201" ht="15.0" customHeight="1">
      <c r="A201" s="52" t="s">
        <v>257</v>
      </c>
      <c r="B201" s="43" t="s">
        <v>52</v>
      </c>
      <c r="C201" s="43"/>
      <c r="D201" s="43"/>
      <c r="E201" s="43"/>
      <c r="F201" s="43">
        <f>COUNTIF(S26_Emp!$C:$C,"*" &amp;A201 &amp; "*")</f>
        <v>0</v>
      </c>
      <c r="G201" s="43">
        <f>COUNTIF(F25_Emp!$C:$C,"*" &amp;#REF! &amp; "*")</f>
        <v>0</v>
      </c>
      <c r="H201" s="43">
        <f>COUNTIF(S25_Emp!$C:$C,"*" &amp; A201 &amp; "*")</f>
        <v>2</v>
      </c>
      <c r="I201" s="43">
        <f>COUNTIF(F24_Emp!$C:$C,"*" &amp; B201 &amp; "*")</f>
        <v>0</v>
      </c>
      <c r="J201" s="43">
        <f>COUNTIF(S24_Emp!$C:$C,"*" &amp; $A201 &amp; "*")</f>
        <v>1</v>
      </c>
      <c r="K201" s="43">
        <f>COUNTIF(F23_Emp!$C:$C,"*" &amp; $A201 &amp; "*")</f>
        <v>0</v>
      </c>
      <c r="L201" s="43">
        <f>COUNTIF(S23_Emp!$C:$C,"*" &amp; $A201 &amp; "*")</f>
        <v>1</v>
      </c>
      <c r="M201" s="43">
        <f>COUNTIF(F22_Emp!$C:$C,"*" &amp; $A201 &amp; "*")</f>
        <v>2</v>
      </c>
      <c r="N201" s="43">
        <f>COUNTIF(S22_Emp!$C:$C,"*" &amp; $A201 &amp; "*")</f>
        <v>2</v>
      </c>
      <c r="O201" s="43" t="str">
        <f>COUNTIFS(S22_Emp!$C:$C,"*" &amp; $A201 &amp; "*", S22_S25_Emp!$B:$B, "Bachelor")</f>
        <v>#VALUE!</v>
      </c>
      <c r="P201" s="43" t="str">
        <f>COUNTIFS(S22_Emp!$C:$C,"*" &amp; $A201 &amp; "*", S22_S25_Emp!$B:$B, "Master")</f>
        <v>#VALUE!</v>
      </c>
      <c r="Q201" s="43" t="str">
        <f>COUNTIFS(S22_Emp!$C:$C,"*" &amp; $A201 &amp; "*", S22_S25_Emp!$B:$B, "Doctorate")</f>
        <v>#VALUE!</v>
      </c>
      <c r="R201" s="43" t="str">
        <f t="array" ref="R201">IF(OR(INDEX(S26_CF!X:X, MATCH("*" &amp; $A201 &amp; "*", CompanyList!A:A, 0))=TRUE, INDEX(F25_CF!P:P, MATCH("*" &amp; $A201 &amp; "*", CompanyList!A:A, 0))=TRUE, INDEX(S25_CF!T:T, MATCH("*" &amp; $A201 &amp; "*", CompanyList!A:A, 0))=TRUE, INDEX(S24_CF!W:W, MATCH("*" &amp; $A201 &amp; "*", CompanyList!A:A, 0))=TRUE), "Yes", "No")</f>
        <v>No</v>
      </c>
      <c r="S201" s="43" t="str">
        <f>IF(COUNTIF(S26_CF!$A:$A,"*" &amp; $A201 &amp; "*") &lt;&gt; 0, "Yes", "No")</f>
        <v>Yes</v>
      </c>
      <c r="T201" s="43" t="str">
        <f t="array" ref="T201">INDEX(S26_CF!K:K, MATCH("*" &amp; $A201 &amp; "*", S26_CF!A:A, 0))</f>
        <v>Basic One-Day: Thursday, January 29th [$1000.00]</v>
      </c>
      <c r="U201" s="43" t="str">
        <f>IF(COUNTIF(F25_CF!$A:$A,"*" &amp; $A201 &amp; "*") &lt;&gt; 0, "Yes", "No")</f>
        <v>Yes</v>
      </c>
      <c r="V201" s="43" t="str">
        <f t="array" ref="V201">INDEX(F25_CF!I:I, MATCH("*" &amp; $A201 &amp; "*", F25_CF!$A:$A, 0))</f>
        <v>Silver One-Day: Wednesday, September 10th [$1800.00]</v>
      </c>
      <c r="W201" s="43" t="str">
        <f>IF(COUNTIF(S25_CF!$A:$A,"*" &amp; $A201 &amp; "*") &lt;&gt; 0, "Yes", "No")</f>
        <v>No</v>
      </c>
      <c r="X201" s="43" t="str">
        <f t="array" ref="X201">INDEX(S25_CF!J:J, MATCH("*" &amp; $A201 &amp; "*", S25_CF!$A:$A, 0))</f>
        <v>#N/A</v>
      </c>
      <c r="Y201" s="43" t="str">
        <f>IF(COUNTIF(F24_CF!$A:$A,"*" &amp; $A201 &amp; "*") &lt;&gt; 0, "Yes", "No")</f>
        <v>Yes</v>
      </c>
      <c r="Z201" s="43" t="str">
        <f t="array" ref="Z201">INDEX(F24_CF!N:N, MATCH("*" &amp; $A201 &amp; "*", F24_CF!$A:$A, 0))</f>
        <v>Basic One-Day: Wednesday, September 4th [$1000.00]</v>
      </c>
      <c r="AA201" s="43" t="str">
        <f>IF(COUNTIF(S24_CF!$A:$A,"*" &amp; $A201 &amp; "*") &lt;&gt; 0, "Yes", "No")</f>
        <v>Yes</v>
      </c>
      <c r="AB201" s="43" t="str">
        <f t="array" ref="AB201">INDEX(S24_CF!H:H, MATCH("*" &amp; $A201 &amp; "*", S24_CF!$A:$A, 0))</f>
        <v>Gold One-Day [$2500.00]</v>
      </c>
    </row>
    <row r="202" ht="15.0" customHeight="1">
      <c r="A202" s="52" t="s">
        <v>258</v>
      </c>
      <c r="B202" s="43" t="s">
        <v>259</v>
      </c>
      <c r="C202" s="43"/>
      <c r="D202" s="43"/>
      <c r="E202" s="43"/>
      <c r="F202" s="43">
        <f>COUNTIF(S26_Emp!$C:$C,"*" &amp;A202 &amp; "*")</f>
        <v>0</v>
      </c>
      <c r="G202" s="43">
        <f>COUNTIF(F25_Emp!$C:$C,"*" &amp;#REF! &amp; "*")</f>
        <v>0</v>
      </c>
      <c r="H202" s="43">
        <f>COUNTIF(S25_Emp!$C:$C,"*" &amp; A202 &amp; "*")</f>
        <v>0</v>
      </c>
      <c r="I202" s="43">
        <f>COUNTIF(F24_Emp!$C:$C,"*" &amp; B202 &amp; "*")</f>
        <v>13</v>
      </c>
      <c r="J202" s="43">
        <f>COUNTIF(S24_Emp!$C:$C,"*" &amp; $A202 &amp; "*")</f>
        <v>0</v>
      </c>
      <c r="K202" s="43">
        <f>COUNTIF(F23_Emp!$C:$C,"*" &amp; $A202 &amp; "*")</f>
        <v>0</v>
      </c>
      <c r="L202" s="43">
        <f>COUNTIF(S23_Emp!$C:$C,"*" &amp; $A202 &amp; "*")</f>
        <v>0</v>
      </c>
      <c r="M202" s="43">
        <f>COUNTIF(F22_Emp!$C:$C,"*" &amp; $A202 &amp; "*")</f>
        <v>0</v>
      </c>
      <c r="N202" s="43">
        <f>COUNTIF(S22_Emp!$C:$C,"*" &amp; $A202 &amp; "*")</f>
        <v>0</v>
      </c>
      <c r="O202" s="43" t="str">
        <f>COUNTIFS(S22_Emp!$C:$C,"*" &amp; $A202 &amp; "*", S22_S25_Emp!$B:$B, "Bachelor")</f>
        <v>#VALUE!</v>
      </c>
      <c r="P202" s="43" t="str">
        <f>COUNTIFS(S22_Emp!$C:$C,"*" &amp; $A202 &amp; "*", S22_S25_Emp!$B:$B, "Master")</f>
        <v>#VALUE!</v>
      </c>
      <c r="Q202" s="43" t="str">
        <f>COUNTIFS(S22_Emp!$C:$C,"*" &amp; $A202 &amp; "*", S22_S25_Emp!$B:$B, "Doctorate")</f>
        <v>#VALUE!</v>
      </c>
      <c r="R202" s="43" t="str">
        <f t="array" ref="R202">IF(OR(INDEX(S26_CF!X:X, MATCH("*" &amp; $A202 &amp; "*", CompanyList!A:A, 0))=TRUE, INDEX(F25_CF!P:P, MATCH("*" &amp; $A202 &amp; "*", CompanyList!A:A, 0))=TRUE, INDEX(S25_CF!T:T, MATCH("*" &amp; $A202 &amp; "*", CompanyList!A:A, 0))=TRUE, INDEX(S24_CF!W:W, MATCH("*" &amp; $A202 &amp; "*", CompanyList!A:A, 0))=TRUE), "Yes", "No")</f>
        <v>No</v>
      </c>
      <c r="S202" s="43" t="str">
        <f>IF(COUNTIF(S26_CF!$A:$A,"*" &amp; $A202 &amp; "*") &lt;&gt; 0, "Yes", "No")</f>
        <v>Yes</v>
      </c>
      <c r="T202" s="43" t="str">
        <f t="array" ref="T202">INDEX(S26_CF!K:K, MATCH("*" &amp; $A202 &amp; "*", S26_CF!A:A, 0))</f>
        <v>Basic One-Day: Thursday, January 29th [$1000.00]</v>
      </c>
      <c r="U202" s="43" t="str">
        <f>IF(COUNTIF(F25_CF!$A:$A,"*" &amp; $A202 &amp; "*") &lt;&gt; 0, "Yes", "No")</f>
        <v>Yes</v>
      </c>
      <c r="V202" s="43" t="str">
        <f t="array" ref="V202">INDEX(F25_CF!I:I, MATCH("*" &amp; $A202 &amp; "*", F25_CF!$A:$A, 0))</f>
        <v>Basic One-Day: Thursday, September 11th [$1000.00]</v>
      </c>
      <c r="W202" s="43" t="str">
        <f>IF(COUNTIF(S25_CF!$A:$A,"*" &amp; $A202 &amp; "*") &lt;&gt; 0, "Yes", "No")</f>
        <v>Yes</v>
      </c>
      <c r="X202" s="43" t="str">
        <f t="array" ref="X202">INDEX(S25_CF!J:J, MATCH("*" &amp; $A202 &amp; "*", S25_CF!$A:$A, 0))</f>
        <v>Basic One-Day: Thursday, January 23rd [$1000.00]</v>
      </c>
      <c r="Y202" s="43" t="str">
        <f>IF(COUNTIF(F24_CF!$A:$A,"*" &amp; $A202 &amp; "*") &lt;&gt; 0, "Yes", "No")</f>
        <v>Yes</v>
      </c>
      <c r="Z202" s="43" t="str">
        <f t="array" ref="Z202">INDEX(F24_CF!N:N, MATCH("*" &amp; $A202 &amp; "*", F24_CF!$A:$A, 0))</f>
        <v>Basic Two-Day [$2000.00]</v>
      </c>
      <c r="AA202" s="43" t="str">
        <f>IF(COUNTIF(S24_CF!$A:$A,"*" &amp; $A202 &amp; "*") &lt;&gt; 0, "Yes", "No")</f>
        <v>Yes</v>
      </c>
      <c r="AB202" s="43" t="str">
        <f t="array" ref="AB202">INDEX(S24_CF!H:H, MATCH("*" &amp; $A202 &amp; "*", S24_CF!$A:$A, 0))</f>
        <v>Basic Two-Day [$2000.00]</v>
      </c>
    </row>
    <row r="203" ht="15.0" customHeight="1">
      <c r="A203" s="52" t="s">
        <v>260</v>
      </c>
      <c r="B203" s="43" t="s">
        <v>259</v>
      </c>
      <c r="C203" s="43"/>
      <c r="D203" s="43"/>
      <c r="E203" s="43"/>
      <c r="F203" s="43">
        <f>COUNTIF(S26_Emp!$C:$C,"*" &amp;A203 &amp; "*")</f>
        <v>0</v>
      </c>
      <c r="G203" s="43">
        <f>COUNTIF(F25_Emp!$C:$C,"*" &amp;#REF! &amp; "*")</f>
        <v>0</v>
      </c>
      <c r="H203" s="43">
        <f>COUNTIF(S25_Emp!$C:$C,"*" &amp; A203 &amp; "*")</f>
        <v>0</v>
      </c>
      <c r="I203" s="43">
        <f>COUNTIF(F24_Emp!$C:$C,"*" &amp; B203 &amp; "*")</f>
        <v>13</v>
      </c>
      <c r="J203" s="43">
        <f>COUNTIF(S24_Emp!$C:$C,"*" &amp; $A203 &amp; "*")</f>
        <v>0</v>
      </c>
      <c r="K203" s="43">
        <f>COUNTIF(F23_Emp!$C:$C,"*" &amp; $A203 &amp; "*")</f>
        <v>0</v>
      </c>
      <c r="L203" s="43">
        <f>COUNTIF(S23_Emp!$C:$C,"*" &amp; $A203 &amp; "*")</f>
        <v>0</v>
      </c>
      <c r="M203" s="43">
        <f>COUNTIF(F22_Emp!$C:$C,"*" &amp; $A203 &amp; "*")</f>
        <v>0</v>
      </c>
      <c r="N203" s="43">
        <f>COUNTIF(S22_Emp!$C:$C,"*" &amp; $A203 &amp; "*")</f>
        <v>0</v>
      </c>
      <c r="O203" s="43" t="str">
        <f>COUNTIFS(S22_Emp!$C:$C,"*" &amp; $A203 &amp; "*", S22_S25_Emp!$B:$B, "Bachelor")</f>
        <v>#VALUE!</v>
      </c>
      <c r="P203" s="43" t="str">
        <f>COUNTIFS(S22_Emp!$C:$C,"*" &amp; $A203 &amp; "*", S22_S25_Emp!$B:$B, "Master")</f>
        <v>#VALUE!</v>
      </c>
      <c r="Q203" s="43" t="str">
        <f>COUNTIFS(S22_Emp!$C:$C,"*" &amp; $A203 &amp; "*", S22_S25_Emp!$B:$B, "Doctorate")</f>
        <v>#VALUE!</v>
      </c>
      <c r="R203" s="43" t="str">
        <f t="array" ref="R203">IF(OR(INDEX(S26_CF!X:X, MATCH("*" &amp; $A203 &amp; "*", CompanyList!A:A, 0))=TRUE, INDEX(F25_CF!P:P, MATCH("*" &amp; $A203 &amp; "*", CompanyList!A:A, 0))=TRUE, INDEX(S25_CF!T:T, MATCH("*" &amp; $A203 &amp; "*", CompanyList!A:A, 0))=TRUE, INDEX(S24_CF!W:W, MATCH("*" &amp; $A203 &amp; "*", CompanyList!A:A, 0))=TRUE), "Yes", "No")</f>
        <v>No</v>
      </c>
      <c r="S203" s="43" t="str">
        <f>IF(COUNTIF(S26_CF!$A:$A,"*" &amp; $A203 &amp; "*") &lt;&gt; 0, "Yes", "No")</f>
        <v>No</v>
      </c>
      <c r="T203" s="43" t="str">
        <f t="array" ref="T203">INDEX(S26_CF!K:K, MATCH("*" &amp; $A203 &amp; "*", S26_CF!A:A, 0))</f>
        <v>#N/A</v>
      </c>
      <c r="U203" s="43" t="str">
        <f>IF(COUNTIF(F25_CF!$A:$A,"*" &amp; $A203 &amp; "*") &lt;&gt; 0, "Yes", "No")</f>
        <v>Yes</v>
      </c>
      <c r="V203" s="43" t="str">
        <f t="array" ref="V203">INDEX(F25_CF!I:I, MATCH("*" &amp; $A203 &amp; "*", F25_CF!$A:$A, 0))</f>
        <v>Basic One-Day: Thursday, September 11th [$1000.00]</v>
      </c>
      <c r="W203" s="43" t="str">
        <f>IF(COUNTIF(S25_CF!$A:$A,"*" &amp; $A203 &amp; "*") &lt;&gt; 0, "Yes", "No")</f>
        <v>Yes</v>
      </c>
      <c r="X203" s="43" t="str">
        <f t="array" ref="X203">INDEX(S25_CF!J:J, MATCH("*" &amp; $A203 &amp; "*", S25_CF!$A:$A, 0))</f>
        <v>Basic One-Day: Thursday, January 23rd [$1000.00]</v>
      </c>
      <c r="Y203" s="43" t="str">
        <f>IF(COUNTIF(F24_CF!$A:$A,"*" &amp; $A203 &amp; "*") &lt;&gt; 0, "Yes", "No")</f>
        <v>No</v>
      </c>
      <c r="Z203" s="43" t="str">
        <f t="array" ref="Z203">INDEX(F24_CF!N:N, MATCH("*" &amp; $A203 &amp; "*", F24_CF!$A:$A, 0))</f>
        <v>#N/A</v>
      </c>
      <c r="AA203" s="43" t="str">
        <f>IF(COUNTIF(S24_CF!$A:$A,"*" &amp; $A203 &amp; "*") &lt;&gt; 0, "Yes", "No")</f>
        <v>Yes</v>
      </c>
      <c r="AB203" s="43" t="str">
        <f t="array" ref="AB203">INDEX(S24_CF!H:H, MATCH("*" &amp; $A203 &amp; "*", S24_CF!$A:$A, 0))</f>
        <v>Basic One-Day [$1000.00]</v>
      </c>
    </row>
    <row r="204" ht="15.0" customHeight="1">
      <c r="A204" s="52" t="s">
        <v>261</v>
      </c>
      <c r="B204" s="43" t="s">
        <v>61</v>
      </c>
      <c r="C204" s="43"/>
      <c r="D204" s="43">
        <v>12000.0</v>
      </c>
      <c r="E204" s="43"/>
      <c r="F204" s="43">
        <f>COUNTIF(S26_Emp!$C:$C,"*" &amp;A204 &amp; "*")</f>
        <v>0</v>
      </c>
      <c r="G204" s="43">
        <f>COUNTIF(F25_Emp!$C:$C,"*" &amp;#REF! &amp; "*")</f>
        <v>0</v>
      </c>
      <c r="H204" s="43">
        <f>COUNTIF(S25_Emp!$C:$C,"*" &amp; A204 &amp; "*")</f>
        <v>0</v>
      </c>
      <c r="I204" s="43">
        <f>COUNTIF(F24_Emp!$C:$C,"*" &amp; B204 &amp; "*")</f>
        <v>0</v>
      </c>
      <c r="J204" s="43">
        <f>COUNTIF(S24_Emp!$C:$C,"*" &amp; $A204 &amp; "*")</f>
        <v>3</v>
      </c>
      <c r="K204" s="43">
        <f>COUNTIF(F23_Emp!$C:$C,"*" &amp; $A204 &amp; "*")</f>
        <v>2</v>
      </c>
      <c r="L204" s="43">
        <f>COUNTIF(S23_Emp!$C:$C,"*" &amp; $A204 &amp; "*")</f>
        <v>3</v>
      </c>
      <c r="M204" s="43">
        <f>COUNTIF(F22_Emp!$C:$C,"*" &amp; $A204 &amp; "*")</f>
        <v>2</v>
      </c>
      <c r="N204" s="43">
        <f>COUNTIF(S22_Emp!$C:$C,"*" &amp; $A204 &amp; "*")</f>
        <v>0</v>
      </c>
      <c r="O204" s="43" t="str">
        <f>COUNTIFS(S22_Emp!$C:$C,"*" &amp; $A204 &amp; "*", S22_S25_Emp!$B:$B, "Bachelor")</f>
        <v>#VALUE!</v>
      </c>
      <c r="P204" s="43" t="str">
        <f>COUNTIFS(S22_Emp!$C:$C,"*" &amp; $A204 &amp; "*", S22_S25_Emp!$B:$B, "Master")</f>
        <v>#VALUE!</v>
      </c>
      <c r="Q204" s="43" t="str">
        <f>COUNTIFS(S22_Emp!$C:$C,"*" &amp; $A204 &amp; "*", S22_S25_Emp!$B:$B, "Doctorate")</f>
        <v>#VALUE!</v>
      </c>
      <c r="R204" s="43" t="str">
        <f t="array" ref="R204">IF(OR(INDEX(S26_CF!X:X, MATCH("*" &amp; $A204 &amp; "*", CompanyList!A:A, 0))=TRUE, INDEX(F25_CF!P:P, MATCH("*" &amp; $A204 &amp; "*", CompanyList!A:A, 0))=TRUE, INDEX(S25_CF!T:T, MATCH("*" &amp; $A204 &amp; "*", CompanyList!A:A, 0))=TRUE, INDEX(S24_CF!W:W, MATCH("*" &amp; $A204 &amp; "*", CompanyList!A:A, 0))=TRUE), "Yes", "No")</f>
        <v>No</v>
      </c>
      <c r="S204" s="43" t="str">
        <f>IF(COUNTIF(S26_CF!$A:$A,"*" &amp; $A204 &amp; "*") &lt;&gt; 0, "Yes", "No")</f>
        <v>Yes</v>
      </c>
      <c r="T204" s="43" t="str">
        <f t="array" ref="T204">INDEX(S26_CF!K:K, MATCH("*" &amp; $A204 &amp; "*", S26_CF!A:A, 0))</f>
        <v>Gold Two-Day [$5500.00]</v>
      </c>
      <c r="U204" s="43" t="str">
        <f>IF(COUNTIF(F25_CF!$A:$A,"*" &amp; $A204 &amp; "*") &lt;&gt; 0, "Yes", "No")</f>
        <v>Yes</v>
      </c>
      <c r="V204" s="43" t="str">
        <f t="array" ref="V204">INDEX(F25_CF!I:I, MATCH("*" &amp; $A204 &amp; "*", F25_CF!$A:$A, 0))</f>
        <v>Gold Two-Day [$5500.00]</v>
      </c>
      <c r="W204" s="43" t="str">
        <f>IF(COUNTIF(S25_CF!$A:$A,"*" &amp; $A204 &amp; "*") &lt;&gt; 0, "Yes", "No")</f>
        <v>Yes</v>
      </c>
      <c r="X204" s="43" t="str">
        <f t="array" ref="X204">INDEX(S25_CF!J:J, MATCH("*" &amp; $A204 &amp; "*", S25_CF!$A:$A, 0))</f>
        <v>Gold One-Day: Thursday, January 23rd [$2500.00]</v>
      </c>
      <c r="Y204" s="43" t="str">
        <f>IF(COUNTIF(F24_CF!$A:$A,"*" &amp; $A204 &amp; "*") &lt;&gt; 0, "Yes", "No")</f>
        <v>Yes</v>
      </c>
      <c r="Z204" s="43" t="str">
        <f t="array" ref="Z204">INDEX(F24_CF!N:N, MATCH("*" &amp; $A204 &amp; "*", F24_CF!$A:$A, 0))</f>
        <v>Gold One-Day: Thursday, September 5th [$2500.00]</v>
      </c>
      <c r="AA204" s="43" t="str">
        <f>IF(COUNTIF(S24_CF!$A:$A,"*" &amp; $A204 &amp; "*") &lt;&gt; 0, "Yes", "No")</f>
        <v>Yes</v>
      </c>
      <c r="AB204" s="43" t="str">
        <f t="array" ref="AB204">INDEX(S24_CF!H:H, MATCH("*" &amp; $A204 &amp; "*", S24_CF!$A:$A, 0))</f>
        <v>Gold Two-Day [$5000.00]</v>
      </c>
    </row>
    <row r="205" ht="15.0" customHeight="1">
      <c r="A205" s="52" t="s">
        <v>262</v>
      </c>
      <c r="B205" s="43" t="s">
        <v>54</v>
      </c>
      <c r="C205" s="43">
        <v>17500.0</v>
      </c>
      <c r="D205" s="43">
        <v>34000.0</v>
      </c>
      <c r="E205" s="43">
        <v>160.0</v>
      </c>
      <c r="F205" s="43">
        <f>COUNTIF(S26_Emp!$C:$C,"*" &amp;A205 &amp; "*")</f>
        <v>0</v>
      </c>
      <c r="G205" s="43">
        <f>COUNTIF(F25_Emp!$C:$C,"*" &amp;#REF! &amp; "*")</f>
        <v>0</v>
      </c>
      <c r="H205" s="43">
        <f>COUNTIF(S25_Emp!$C:$C,"*" &amp; A205 &amp; "*")</f>
        <v>0</v>
      </c>
      <c r="I205" s="43">
        <f>COUNTIF(F24_Emp!$C:$C,"*" &amp; B205 &amp; "*")</f>
        <v>1</v>
      </c>
      <c r="J205" s="43">
        <f>COUNTIF(S24_Emp!$C:$C,"*" &amp; $A205 &amp; "*")</f>
        <v>12</v>
      </c>
      <c r="K205" s="43">
        <f>COUNTIF(F23_Emp!$C:$C,"*" &amp; $A205 &amp; "*")</f>
        <v>8</v>
      </c>
      <c r="L205" s="43">
        <f>COUNTIF(S23_Emp!$C:$C,"*" &amp; $A205 &amp; "*")</f>
        <v>13</v>
      </c>
      <c r="M205" s="43">
        <f>COUNTIF(F22_Emp!$C:$C,"*" &amp; $A205 &amp; "*")</f>
        <v>9</v>
      </c>
      <c r="N205" s="43">
        <f>COUNTIF(S22_Emp!$C:$C,"*" &amp; $A205 &amp; "*")</f>
        <v>0</v>
      </c>
      <c r="O205" s="43" t="str">
        <f>COUNTIFS(S22_Emp!$C:$C,"*" &amp; $A205 &amp; "*", S22_S25_Emp!$B:$B, "Bachelor")</f>
        <v>#VALUE!</v>
      </c>
      <c r="P205" s="43" t="str">
        <f>COUNTIFS(S22_Emp!$C:$C,"*" &amp; $A205 &amp; "*", S22_S25_Emp!$B:$B, "Master")</f>
        <v>#VALUE!</v>
      </c>
      <c r="Q205" s="43" t="str">
        <f>COUNTIFS(S22_Emp!$C:$C,"*" &amp; $A205 &amp; "*", S22_S25_Emp!$B:$B, "Doctorate")</f>
        <v>#VALUE!</v>
      </c>
      <c r="R205" s="43" t="str">
        <f t="array" ref="R205">IF(OR(INDEX(S26_CF!X:X, MATCH("*" &amp; $A205 &amp; "*", CompanyList!A:A, 0))=TRUE, INDEX(F25_CF!P:P, MATCH("*" &amp; $A205 &amp; "*", CompanyList!A:A, 0))=TRUE, INDEX(S25_CF!T:T, MATCH("*" &amp; $A205 &amp; "*", CompanyList!A:A, 0))=TRUE, INDEX(S24_CF!W:W, MATCH("*" &amp; $A205 &amp; "*", CompanyList!A:A, 0))=TRUE), "Yes", "No")</f>
        <v>No</v>
      </c>
      <c r="S205" s="43" t="str">
        <f>IF(COUNTIF(S26_CF!$A:$A,"*" &amp; $A205 &amp; "*") &lt;&gt; 0, "Yes", "No")</f>
        <v>Yes</v>
      </c>
      <c r="T205" s="43" t="str">
        <f t="array" ref="T205">INDEX(S26_CF!K:K, MATCH("*" &amp; $A205 &amp; "*", S26_CF!A:A, 0))</f>
        <v>Gold Two-Day [$5500.00]</v>
      </c>
      <c r="U205" s="43" t="str">
        <f>IF(COUNTIF(F25_CF!$A:$A,"*" &amp; $A205 &amp; "*") &lt;&gt; 0, "Yes", "No")</f>
        <v>Yes</v>
      </c>
      <c r="V205" s="43" t="str">
        <f t="array" ref="V205">INDEX(F25_CF!I:I, MATCH("*" &amp; $A205 &amp; "*", F25_CF!$A:$A, 0))</f>
        <v>Diamond Two-Day [$8000.00]</v>
      </c>
      <c r="W205" s="43" t="str">
        <f>IF(COUNTIF(S25_CF!$A:$A,"*" &amp; $A205 &amp; "*") &lt;&gt; 0, "Yes", "No")</f>
        <v>Yes</v>
      </c>
      <c r="X205" s="43" t="str">
        <f t="array" ref="X205">INDEX(S25_CF!J:J, MATCH("*" &amp; $A205 &amp; "*", S25_CF!$A:$A, 0))</f>
        <v>Gold One-Day: Thursday, January 23rd [$2500.00]</v>
      </c>
      <c r="Y205" s="43" t="str">
        <f>IF(COUNTIF(F24_CF!$A:$A,"*" &amp; $A205 &amp; "*") &lt;&gt; 0, "Yes", "No")</f>
        <v>Yes</v>
      </c>
      <c r="Z205" s="43" t="str">
        <f t="array" ref="Z205">INDEX(F24_CF!N:N, MATCH("*" &amp; $A205 &amp; "*", F24_CF!$A:$A, 0))</f>
        <v>Diamond Two-Day [$8000.00]</v>
      </c>
      <c r="AA205" s="43" t="str">
        <f>IF(COUNTIF(S24_CF!$A:$A,"*" &amp; $A205 &amp; "*") &lt;&gt; 0, "Yes", "No")</f>
        <v>Yes</v>
      </c>
      <c r="AB205" s="43" t="str">
        <f t="array" ref="AB205">INDEX(S24_CF!H:H, MATCH("*" &amp; $A205 &amp; "*", S24_CF!$A:$A, 0))</f>
        <v>Gold Two-Day [$5000.00]</v>
      </c>
    </row>
    <row r="206" ht="15.0" customHeight="1">
      <c r="A206" s="52" t="s">
        <v>263</v>
      </c>
      <c r="B206" s="43" t="s">
        <v>52</v>
      </c>
      <c r="C206" s="43"/>
      <c r="D206" s="43"/>
      <c r="E206" s="43"/>
      <c r="F206" s="43">
        <f>COUNTIF(S26_Emp!$C:$C,"*" &amp;A206 &amp; "*")</f>
        <v>0</v>
      </c>
      <c r="G206" s="43">
        <f>COUNTIF(F25_Emp!$C:$C,"*" &amp;#REF! &amp; "*")</f>
        <v>0</v>
      </c>
      <c r="H206" s="43">
        <f>COUNTIF(S25_Emp!$C:$C,"*" &amp; A206 &amp; "*")</f>
        <v>0</v>
      </c>
      <c r="I206" s="43">
        <f>COUNTIF(F24_Emp!$C:$C,"*" &amp; B206 &amp; "*")</f>
        <v>0</v>
      </c>
      <c r="J206" s="43">
        <f>COUNTIF(S24_Emp!$C:$C,"*" &amp; $A206 &amp; "*")</f>
        <v>1</v>
      </c>
      <c r="K206" s="43">
        <f>COUNTIF(F23_Emp!$C:$C,"*" &amp; $A206 &amp; "*")</f>
        <v>0</v>
      </c>
      <c r="L206" s="43">
        <f>COUNTIF(S23_Emp!$C:$C,"*" &amp; $A206 &amp; "*")</f>
        <v>1</v>
      </c>
      <c r="M206" s="43">
        <f>COUNTIF(F22_Emp!$C:$C,"*" &amp; $A206 &amp; "*")</f>
        <v>1</v>
      </c>
      <c r="N206" s="43">
        <f>COUNTIF(S22_Emp!$C:$C,"*" &amp; $A206 &amp; "*")</f>
        <v>0</v>
      </c>
      <c r="O206" s="43" t="str">
        <f>COUNTIFS(S22_Emp!$C:$C,"*" &amp; $A206 &amp; "*", S22_S25_Emp!$B:$B, "Bachelor")</f>
        <v>#VALUE!</v>
      </c>
      <c r="P206" s="43" t="str">
        <f>COUNTIFS(S22_Emp!$C:$C,"*" &amp; $A206 &amp; "*", S22_S25_Emp!$B:$B, "Master")</f>
        <v>#VALUE!</v>
      </c>
      <c r="Q206" s="43" t="str">
        <f>COUNTIFS(S22_Emp!$C:$C,"*" &amp; $A206 &amp; "*", S22_S25_Emp!$B:$B, "Doctorate")</f>
        <v>#VALUE!</v>
      </c>
      <c r="R206" s="43" t="str">
        <f t="array" ref="R206">IF(OR(INDEX(S26_CF!X:X, MATCH("*" &amp; $A206 &amp; "*", CompanyList!A:A, 0))=TRUE, INDEX(F25_CF!P:P, MATCH("*" &amp; $A206 &amp; "*", CompanyList!A:A, 0))=TRUE, INDEX(S25_CF!T:T, MATCH("*" &amp; $A206 &amp; "*", CompanyList!A:A, 0))=TRUE, INDEX(S24_CF!W:W, MATCH("*" &amp; $A206 &amp; "*", CompanyList!A:A, 0))=TRUE), "Yes", "No")</f>
        <v>Yes</v>
      </c>
      <c r="S206" s="43" t="str">
        <f>IF(COUNTIF(S26_CF!$A:$A,"*" &amp; $A206 &amp; "*") &lt;&gt; 0, "Yes", "No")</f>
        <v>No</v>
      </c>
      <c r="T206" s="43" t="str">
        <f t="array" ref="T206">INDEX(S26_CF!K:K, MATCH("*" &amp; $A206 &amp; "*", S26_CF!A:A, 0))</f>
        <v>#N/A</v>
      </c>
      <c r="U206" s="43" t="str">
        <f>IF(COUNTIF(F25_CF!$A:$A,"*" &amp; $A206 &amp; "*") &lt;&gt; 0, "Yes", "No")</f>
        <v>Yes</v>
      </c>
      <c r="V206" s="43" t="str">
        <f t="array" ref="V206">INDEX(F25_CF!I:I, MATCH("*" &amp; $A206 &amp; "*", F25_CF!$A:$A, 0))</f>
        <v>Basic Two-Day [$2000.00]</v>
      </c>
      <c r="W206" s="43" t="str">
        <f>IF(COUNTIF(S25_CF!$A:$A,"*" &amp; $A206 &amp; "*") &lt;&gt; 0, "Yes", "No")</f>
        <v>Yes</v>
      </c>
      <c r="X206" s="43" t="str">
        <f t="array" ref="X206">INDEX(S25_CF!J:J, MATCH("*" &amp; $A206 &amp; "*", S25_CF!$A:$A, 0))</f>
        <v>Basic One-Day: Wednesday, January 22nd [$1000.00]</v>
      </c>
      <c r="Y206" s="43" t="str">
        <f>IF(COUNTIF(F24_CF!$A:$A,"*" &amp; $A206 &amp; "*") &lt;&gt; 0, "Yes", "No")</f>
        <v>Yes</v>
      </c>
      <c r="Z206" s="43" t="str">
        <f t="array" ref="Z206">INDEX(F24_CF!N:N, MATCH("*" &amp; $A206 &amp; "*", F24_CF!$A:$A, 0))</f>
        <v>Basic One-Day: Wednesday, September 4th [$1000.00]</v>
      </c>
      <c r="AA206" s="43" t="str">
        <f>IF(COUNTIF(S24_CF!$A:$A,"*" &amp; $A206 &amp; "*") &lt;&gt; 0, "Yes", "No")</f>
        <v>Yes</v>
      </c>
      <c r="AB206" s="43" t="str">
        <f t="array" ref="AB206">INDEX(S24_CF!H:H, MATCH("*" &amp; $A206 &amp; "*", S24_CF!$A:$A, 0))</f>
        <v>Basic One-Day [$1000.00]</v>
      </c>
    </row>
    <row r="207" ht="15.0" customHeight="1">
      <c r="A207" s="52" t="s">
        <v>264</v>
      </c>
      <c r="B207" s="43" t="s">
        <v>54</v>
      </c>
      <c r="C207" s="43">
        <v>4700.0</v>
      </c>
      <c r="D207" s="43">
        <v>19000.0</v>
      </c>
      <c r="E207" s="43">
        <v>6.0</v>
      </c>
      <c r="F207" s="43">
        <f>COUNTIF(S26_Emp!$C:$C,"*" &amp;A207 &amp; "*")</f>
        <v>0</v>
      </c>
      <c r="G207" s="43">
        <f>COUNTIF(F25_Emp!$C:$C,"*" &amp;#REF! &amp; "*")</f>
        <v>0</v>
      </c>
      <c r="H207" s="43">
        <f>COUNTIF(S25_Emp!$C:$C,"*" &amp; A207 &amp; "*")</f>
        <v>0</v>
      </c>
      <c r="I207" s="43">
        <f>COUNTIF(F24_Emp!$C:$C,"*" &amp; B207 &amp; "*")</f>
        <v>1</v>
      </c>
      <c r="J207" s="43">
        <f>COUNTIF(S24_Emp!$C:$C,"*" &amp; $A207 &amp; "*")</f>
        <v>0</v>
      </c>
      <c r="K207" s="43">
        <f>COUNTIF(F23_Emp!$C:$C,"*" &amp; $A207 &amp; "*")</f>
        <v>2</v>
      </c>
      <c r="L207" s="43">
        <f>COUNTIF(S23_Emp!$C:$C,"*" &amp; $A207 &amp; "*")</f>
        <v>0</v>
      </c>
      <c r="M207" s="43">
        <f>COUNTIF(F22_Emp!$C:$C,"*" &amp; $A207 &amp; "*")</f>
        <v>0</v>
      </c>
      <c r="N207" s="43">
        <f>COUNTIF(S22_Emp!$C:$C,"*" &amp; $A207 &amp; "*")</f>
        <v>0</v>
      </c>
      <c r="O207" s="43" t="str">
        <f>COUNTIFS(S22_Emp!$C:$C,"*" &amp; $A207 &amp; "*", S22_S25_Emp!$B:$B, "Bachelor")</f>
        <v>#VALUE!</v>
      </c>
      <c r="P207" s="43" t="str">
        <f>COUNTIFS(S22_Emp!$C:$C,"*" &amp; $A207 &amp; "*", S22_S25_Emp!$B:$B, "Master")</f>
        <v>#VALUE!</v>
      </c>
      <c r="Q207" s="43" t="str">
        <f>COUNTIFS(S22_Emp!$C:$C,"*" &amp; $A207 &amp; "*", S22_S25_Emp!$B:$B, "Doctorate")</f>
        <v>#VALUE!</v>
      </c>
      <c r="R207" s="43" t="str">
        <f t="array" ref="R207">IF(OR(INDEX(S26_CF!X:X, MATCH("*" &amp; $A207 &amp; "*", CompanyList!A:A, 0))=TRUE, INDEX(F25_CF!P:P, MATCH("*" &amp; $A207 &amp; "*", CompanyList!A:A, 0))=TRUE, INDEX(S25_CF!T:T, MATCH("*" &amp; $A207 &amp; "*", CompanyList!A:A, 0))=TRUE, INDEX(S24_CF!W:W, MATCH("*" &amp; $A207 &amp; "*", CompanyList!A:A, 0))=TRUE), "Yes", "No")</f>
        <v>No</v>
      </c>
      <c r="S207" s="43" t="str">
        <f>IF(COUNTIF(S26_CF!$A:$A,"*" &amp; $A207 &amp; "*") &lt;&gt; 0, "Yes", "No")</f>
        <v>No</v>
      </c>
      <c r="T207" s="43" t="str">
        <f t="array" ref="T207">INDEX(S26_CF!K:K, MATCH("*" &amp; $A207 &amp; "*", S26_CF!A:A, 0))</f>
        <v>#N/A</v>
      </c>
      <c r="U207" s="43" t="str">
        <f>IF(COUNTIF(F25_CF!$A:$A,"*" &amp; $A207 &amp; "*") &lt;&gt; 0, "Yes", "No")</f>
        <v>Yes</v>
      </c>
      <c r="V207" s="43" t="str">
        <f t="array" ref="V207">INDEX(F25_CF!I:I, MATCH("*" &amp; $A207 &amp; "*", F25_CF!$A:$A, 0))</f>
        <v>Basic One-Day: Wednesday, September 10th [$1000.00]</v>
      </c>
      <c r="W207" s="43" t="str">
        <f>IF(COUNTIF(S25_CF!$A:$A,"*" &amp; $A207 &amp; "*") &lt;&gt; 0, "Yes", "No")</f>
        <v>No</v>
      </c>
      <c r="X207" s="43" t="str">
        <f t="array" ref="X207">INDEX(S25_CF!J:J, MATCH("*" &amp; $A207 &amp; "*", S25_CF!$A:$A, 0))</f>
        <v>#N/A</v>
      </c>
      <c r="Y207" s="43" t="str">
        <f>IF(COUNTIF(F24_CF!$A:$A,"*" &amp; $A207 &amp; "*") &lt;&gt; 0, "Yes", "No")</f>
        <v>Yes</v>
      </c>
      <c r="Z207" s="43" t="str">
        <f t="array" ref="Z207">INDEX(F24_CF!N:N, MATCH("*" &amp; $A207 &amp; "*", F24_CF!$A:$A, 0))</f>
        <v>Basic One-Day: Wednesday, September 4th [$1000.00]</v>
      </c>
      <c r="AA207" s="43" t="str">
        <f>IF(COUNTIF(S24_CF!$A:$A,"*" &amp; $A207 &amp; "*") &lt;&gt; 0, "Yes", "No")</f>
        <v>Yes</v>
      </c>
      <c r="AB207" s="43" t="str">
        <f t="array" ref="AB207">INDEX(S24_CF!H:H, MATCH("*" &amp; $A207 &amp; "*", S24_CF!$A:$A, 0))</f>
        <v>Basic One-Day [$1000.00]</v>
      </c>
    </row>
    <row r="208" ht="15.0" customHeight="1">
      <c r="A208" s="52" t="s">
        <v>265</v>
      </c>
      <c r="B208" s="43" t="s">
        <v>61</v>
      </c>
      <c r="C208" s="43"/>
      <c r="D208" s="43"/>
      <c r="E208" s="43"/>
      <c r="F208" s="43">
        <f>COUNTIF(S26_Emp!$C:$C,"*" &amp;A208 &amp; "*")</f>
        <v>0</v>
      </c>
      <c r="G208" s="43">
        <f>COUNTIF(F25_Emp!$C:$C,"*" &amp;#REF! &amp; "*")</f>
        <v>0</v>
      </c>
      <c r="H208" s="43">
        <f>COUNTIF(S25_Emp!$C:$C,"*" &amp; A208 &amp; "*")</f>
        <v>0</v>
      </c>
      <c r="I208" s="43">
        <f>COUNTIF(F24_Emp!$C:$C,"*" &amp; B208 &amp; "*")</f>
        <v>0</v>
      </c>
      <c r="J208" s="43">
        <f>COUNTIF(S24_Emp!$C:$C,"*" &amp; $A208 &amp; "*")</f>
        <v>0</v>
      </c>
      <c r="K208" s="43">
        <f>COUNTIF(F23_Emp!$C:$C,"*" &amp; $A208 &amp; "*")</f>
        <v>0</v>
      </c>
      <c r="L208" s="43">
        <f>COUNTIF(S23_Emp!$C:$C,"*" &amp; $A208 &amp; "*")</f>
        <v>1</v>
      </c>
      <c r="M208" s="43">
        <f>COUNTIF(F22_Emp!$C:$C,"*" &amp; $A208 &amp; "*")</f>
        <v>0</v>
      </c>
      <c r="N208" s="43">
        <f>COUNTIF(S22_Emp!$C:$C,"*" &amp; $A208 &amp; "*")</f>
        <v>0</v>
      </c>
      <c r="O208" s="43" t="str">
        <f>COUNTIFS(S22_Emp!$C:$C,"*" &amp; $A208 &amp; "*", S22_S25_Emp!$B:$B, "Bachelor")</f>
        <v>#VALUE!</v>
      </c>
      <c r="P208" s="43" t="str">
        <f>COUNTIFS(S22_Emp!$C:$C,"*" &amp; $A208 &amp; "*", S22_S25_Emp!$B:$B, "Master")</f>
        <v>#VALUE!</v>
      </c>
      <c r="Q208" s="43" t="str">
        <f>COUNTIFS(S22_Emp!$C:$C,"*" &amp; $A208 &amp; "*", S22_S25_Emp!$B:$B, "Doctorate")</f>
        <v>#VALUE!</v>
      </c>
      <c r="R208" s="43" t="str">
        <f t="array" ref="R208">IF(OR(INDEX(S26_CF!X:X, MATCH("*" &amp; $A208 &amp; "*", CompanyList!A:A, 0))=TRUE, INDEX(F25_CF!P:P, MATCH("*" &amp; $A208 &amp; "*", CompanyList!A:A, 0))=TRUE, INDEX(S25_CF!T:T, MATCH("*" &amp; $A208 &amp; "*", CompanyList!A:A, 0))=TRUE, INDEX(S24_CF!W:W, MATCH("*" &amp; $A208 &amp; "*", CompanyList!A:A, 0))=TRUE), "Yes", "No")</f>
        <v>No</v>
      </c>
      <c r="S208" s="43" t="str">
        <f>IF(COUNTIF(S26_CF!$A:$A,"*" &amp; $A208 &amp; "*") &lt;&gt; 0, "Yes", "No")</f>
        <v>No</v>
      </c>
      <c r="T208" s="43" t="str">
        <f t="array" ref="T208">INDEX(S26_CF!K:K, MATCH("*" &amp; $A208 &amp; "*", S26_CF!A:A, 0))</f>
        <v>#N/A</v>
      </c>
      <c r="U208" s="43" t="str">
        <f>IF(COUNTIF(F25_CF!$A:$A,"*" &amp; $A208 &amp; "*") &lt;&gt; 0, "Yes", "No")</f>
        <v>No</v>
      </c>
      <c r="V208" s="43" t="str">
        <f t="array" ref="V208">INDEX(F25_CF!I:I, MATCH("*" &amp; $A208 &amp; "*", F25_CF!$A:$A, 0))</f>
        <v>#N/A</v>
      </c>
      <c r="W208" s="43" t="str">
        <f>IF(COUNTIF(S25_CF!$A:$A,"*" &amp; $A208 &amp; "*") &lt;&gt; 0, "Yes", "No")</f>
        <v>Yes</v>
      </c>
      <c r="X208" s="43" t="str">
        <f t="array" ref="X208">INDEX(S25_CF!J:J, MATCH("*" &amp; $A208 &amp; "*", S25_CF!$A:$A, 0))</f>
        <v>Basic One-Day: Thursday, January 23rd [$1000.00]</v>
      </c>
      <c r="Y208" s="43" t="str">
        <f>IF(COUNTIF(F24_CF!$A:$A,"*" &amp; $A208 &amp; "*") &lt;&gt; 0, "Yes", "No")</f>
        <v>Yes</v>
      </c>
      <c r="Z208" s="43" t="str">
        <f t="array" ref="Z208">INDEX(F24_CF!N:N, MATCH("*" &amp; $A208 &amp; "*", F24_CF!$A:$A, 0))</f>
        <v>Basic Two-Day [$2000.00]</v>
      </c>
      <c r="AA208" s="43" t="str">
        <f>IF(COUNTIF(S24_CF!$A:$A,"*" &amp; $A208 &amp; "*") &lt;&gt; 0, "Yes", "No")</f>
        <v>Yes</v>
      </c>
      <c r="AB208" s="43" t="str">
        <f t="array" ref="AB208">INDEX(S24_CF!H:H, MATCH("*" &amp; $A208 &amp; "*", S24_CF!$A:$A, 0))</f>
        <v>Basic Two-Day [$2000.00]</v>
      </c>
    </row>
    <row r="209" ht="15.0" customHeight="1">
      <c r="A209" s="52" t="s">
        <v>266</v>
      </c>
      <c r="B209" s="43" t="s">
        <v>52</v>
      </c>
      <c r="C209" s="43"/>
      <c r="D209" s="43"/>
      <c r="E209" s="43"/>
      <c r="F209" s="43">
        <f>COUNTIF(S26_Emp!$C:$C,"*" &amp;A209 &amp; "*")</f>
        <v>0</v>
      </c>
      <c r="G209" s="43">
        <f>COUNTIF(F25_Emp!$C:$C,"*" &amp;#REF! &amp; "*")</f>
        <v>0</v>
      </c>
      <c r="H209" s="43">
        <f>COUNTIF(S25_Emp!$C:$C,"*" &amp; A209 &amp; "*")</f>
        <v>0</v>
      </c>
      <c r="I209" s="43">
        <f>COUNTIF(F24_Emp!$C:$C,"*" &amp; B209 &amp; "*")</f>
        <v>0</v>
      </c>
      <c r="J209" s="43">
        <f>COUNTIF(S24_Emp!$C:$C,"*" &amp; $A209 &amp; "*")</f>
        <v>0</v>
      </c>
      <c r="K209" s="43">
        <f>COUNTIF(F23_Emp!$C:$C,"*" &amp; $A209 &amp; "*")</f>
        <v>0</v>
      </c>
      <c r="L209" s="43">
        <f>COUNTIF(S23_Emp!$C:$C,"*" &amp; $A209 &amp; "*")</f>
        <v>0</v>
      </c>
      <c r="M209" s="43">
        <f>COUNTIF(F22_Emp!$C:$C,"*" &amp; $A209 &amp; "*")</f>
        <v>0</v>
      </c>
      <c r="N209" s="43">
        <f>COUNTIF(S22_Emp!$C:$C,"*" &amp; $A209 &amp; "*")</f>
        <v>0</v>
      </c>
      <c r="O209" s="43" t="str">
        <f>COUNTIFS(S22_Emp!$C:$C,"*" &amp; $A209 &amp; "*", S22_S25_Emp!$B:$B, "Bachelor")</f>
        <v>#VALUE!</v>
      </c>
      <c r="P209" s="43" t="str">
        <f>COUNTIFS(S22_Emp!$C:$C,"*" &amp; $A209 &amp; "*", S22_S25_Emp!$B:$B, "Master")</f>
        <v>#VALUE!</v>
      </c>
      <c r="Q209" s="43" t="str">
        <f>COUNTIFS(S22_Emp!$C:$C,"*" &amp; $A209 &amp; "*", S22_S25_Emp!$B:$B, "Doctorate")</f>
        <v>#VALUE!</v>
      </c>
      <c r="R209" s="43" t="str">
        <f t="array" ref="R209">IF(OR(INDEX(S26_CF!X:X, MATCH("*" &amp; $A209 &amp; "*", CompanyList!A:A, 0))=TRUE, INDEX(F25_CF!P:P, MATCH("*" &amp; $A209 &amp; "*", CompanyList!A:A, 0))=TRUE, INDEX(S25_CF!T:T, MATCH("*" &amp; $A209 &amp; "*", CompanyList!A:A, 0))=TRUE, INDEX(S24_CF!W:W, MATCH("*" &amp; $A209 &amp; "*", CompanyList!A:A, 0))=TRUE), "Yes", "No")</f>
        <v>Yes</v>
      </c>
      <c r="S209" s="43" t="str">
        <f>IF(COUNTIF(S26_CF!$A:$A,"*" &amp; $A209 &amp; "*") &lt;&gt; 0, "Yes", "No")</f>
        <v>No</v>
      </c>
      <c r="T209" s="43" t="str">
        <f t="array" ref="T209">INDEX(S26_CF!K:K, MATCH("*" &amp; $A209 &amp; "*", S26_CF!A:A, 0))</f>
        <v>#N/A</v>
      </c>
      <c r="U209" s="43" t="str">
        <f>IF(COUNTIF(F25_CF!$A:$A,"*" &amp; $A209 &amp; "*") &lt;&gt; 0, "Yes", "No")</f>
        <v>No</v>
      </c>
      <c r="V209" s="43" t="str">
        <f t="array" ref="V209">INDEX(F25_CF!I:I, MATCH("*" &amp; $A209 &amp; "*", F25_CF!$A:$A, 0))</f>
        <v>#N/A</v>
      </c>
      <c r="W209" s="43" t="str">
        <f>IF(COUNTIF(S25_CF!$A:$A,"*" &amp; $A209 &amp; "*") &lt;&gt; 0, "Yes", "No")</f>
        <v>Yes</v>
      </c>
      <c r="X209" s="43" t="str">
        <f t="array" ref="X209">INDEX(S25_CF!J:J, MATCH("*" &amp; $A209 &amp; "*", S25_CF!$A:$A, 0))</f>
        <v>Basic One-Day: Thursday, January 23rd [$1000.00]</v>
      </c>
      <c r="Y209" s="43" t="str">
        <f>IF(COUNTIF(F24_CF!$A:$A,"*" &amp; $A209 &amp; "*") &lt;&gt; 0, "Yes", "No")</f>
        <v>Yes</v>
      </c>
      <c r="Z209" s="43" t="str">
        <f t="array" ref="Z209">INDEX(F24_CF!N:N, MATCH("*" &amp; $A209 &amp; "*", F24_CF!$A:$A, 0))</f>
        <v>Silver Two-Day [$3000.00]</v>
      </c>
      <c r="AA209" s="43" t="str">
        <f>IF(COUNTIF(S24_CF!$A:$A,"*" &amp; $A209 &amp; "*") &lt;&gt; 0, "Yes", "No")</f>
        <v>Yes</v>
      </c>
      <c r="AB209" s="43" t="str">
        <f t="array" ref="AB209">INDEX(S24_CF!H:H, MATCH("*" &amp; $A209 &amp; "*", S24_CF!$A:$A, 0))</f>
        <v>Silver Two-Day [$3000.00]</v>
      </c>
    </row>
    <row r="210" ht="15.0" customHeight="1">
      <c r="A210" s="52" t="s">
        <v>267</v>
      </c>
      <c r="B210" s="43" t="s">
        <v>52</v>
      </c>
      <c r="C210" s="43"/>
      <c r="D210" s="43"/>
      <c r="E210" s="43"/>
      <c r="F210" s="43">
        <f>COUNTIF(S26_Emp!$C:$C,"*" &amp;A210 &amp; "*")</f>
        <v>0</v>
      </c>
      <c r="G210" s="43">
        <f>COUNTIF(F25_Emp!$C:$C,"*" &amp;#REF! &amp; "*")</f>
        <v>0</v>
      </c>
      <c r="H210" s="43">
        <f>COUNTIF(S25_Emp!$C:$C,"*" &amp; A210 &amp; "*")</f>
        <v>0</v>
      </c>
      <c r="I210" s="43">
        <f>COUNTIF(F24_Emp!$C:$C,"*" &amp; B210 &amp; "*")</f>
        <v>0</v>
      </c>
      <c r="J210" s="43">
        <f>COUNTIF(S24_Emp!$C:$C,"*" &amp; $A210 &amp; "*")</f>
        <v>1</v>
      </c>
      <c r="K210" s="43">
        <f>COUNTIF(F23_Emp!$C:$C,"*" &amp; $A210 &amp; "*")</f>
        <v>0</v>
      </c>
      <c r="L210" s="43">
        <f>COUNTIF(S23_Emp!$C:$C,"*" &amp; $A210 &amp; "*")</f>
        <v>0</v>
      </c>
      <c r="M210" s="43">
        <f>COUNTIF(F22_Emp!$C:$C,"*" &amp; $A210 &amp; "*")</f>
        <v>1</v>
      </c>
      <c r="N210" s="43">
        <f>COUNTIF(S22_Emp!$C:$C,"*" &amp; $A210 &amp; "*")</f>
        <v>0</v>
      </c>
      <c r="O210" s="43" t="str">
        <f>COUNTIFS(S22_Emp!$C:$C,"*" &amp; $A210 &amp; "*", S22_S25_Emp!$B:$B, "Bachelor")</f>
        <v>#VALUE!</v>
      </c>
      <c r="P210" s="43" t="str">
        <f>COUNTIFS(S22_Emp!$C:$C,"*" &amp; $A210 &amp; "*", S22_S25_Emp!$B:$B, "Master")</f>
        <v>#VALUE!</v>
      </c>
      <c r="Q210" s="43" t="str">
        <f>COUNTIFS(S22_Emp!$C:$C,"*" &amp; $A210 &amp; "*", S22_S25_Emp!$B:$B, "Doctorate")</f>
        <v>#VALUE!</v>
      </c>
      <c r="R210" s="43" t="str">
        <f t="array" ref="R210">IF(OR(INDEX(S26_CF!X:X, MATCH("*" &amp; $A210 &amp; "*", CompanyList!A:A, 0))=TRUE, INDEX(F25_CF!P:P, MATCH("*" &amp; $A210 &amp; "*", CompanyList!A:A, 0))=TRUE, INDEX(S25_CF!T:T, MATCH("*" &amp; $A210 &amp; "*", CompanyList!A:A, 0))=TRUE, INDEX(S24_CF!W:W, MATCH("*" &amp; $A210 &amp; "*", CompanyList!A:A, 0))=TRUE), "Yes", "No")</f>
        <v>Yes</v>
      </c>
      <c r="S210" s="43" t="str">
        <f>IF(COUNTIF(S26_CF!$A:$A,"*" &amp; $A210 &amp; "*") &lt;&gt; 0, "Yes", "No")</f>
        <v>No</v>
      </c>
      <c r="T210" s="43" t="str">
        <f t="array" ref="T210">INDEX(S26_CF!K:K, MATCH("*" &amp; $A210 &amp; "*", S26_CF!A:A, 0))</f>
        <v>#N/A</v>
      </c>
      <c r="U210" s="43" t="str">
        <f>IF(COUNTIF(F25_CF!$A:$A,"*" &amp; $A210 &amp; "*") &lt;&gt; 0, "Yes", "No")</f>
        <v>Yes</v>
      </c>
      <c r="V210" s="43" t="str">
        <f t="array" ref="V210">INDEX(F25_CF!I:I, MATCH("*" &amp; $A210 &amp; "*", F25_CF!$A:$A, 0))</f>
        <v>Gold One-Day: Wednesday, September 10th [$2500.00]</v>
      </c>
      <c r="W210" s="43" t="str">
        <f>IF(COUNTIF(S25_CF!$A:$A,"*" &amp; $A210 &amp; "*") &lt;&gt; 0, "Yes", "No")</f>
        <v>Yes</v>
      </c>
      <c r="X210" s="43" t="str">
        <f t="array" ref="X210">INDEX(S25_CF!J:J, MATCH("*" &amp; $A210 &amp; "*", S25_CF!$A:$A, 0))</f>
        <v>Basic One-Day: Thursday, January 23rd [$1000.00]</v>
      </c>
      <c r="Y210" s="43" t="str">
        <f>IF(COUNTIF(F24_CF!$A:$A,"*" &amp; $A210 &amp; "*") &lt;&gt; 0, "Yes", "No")</f>
        <v>Yes</v>
      </c>
      <c r="Z210" s="43" t="str">
        <f t="array" ref="Z210">INDEX(F24_CF!N:N, MATCH("*" &amp; $A210 &amp; "*", F24_CF!$A:$A, 0))</f>
        <v>Gold One-Day: Thursday, September 5th [$2500.00]</v>
      </c>
      <c r="AA210" s="43" t="str">
        <f>IF(COUNTIF(S24_CF!$A:$A,"*" &amp; $A210 &amp; "*") &lt;&gt; 0, "Yes", "No")</f>
        <v>Yes</v>
      </c>
      <c r="AB210" s="43" t="str">
        <f t="array" ref="AB210">INDEX(S24_CF!H:H, MATCH("*" &amp; $A210 &amp; "*", S24_CF!$A:$A, 0))</f>
        <v>Basic One-Day [$1000.00]</v>
      </c>
    </row>
    <row r="211" ht="15.0" customHeight="1">
      <c r="A211" s="52" t="s">
        <v>268</v>
      </c>
      <c r="B211" s="43" t="s">
        <v>54</v>
      </c>
      <c r="C211" s="43">
        <v>22000.0</v>
      </c>
      <c r="D211" s="43">
        <v>106000.0</v>
      </c>
      <c r="E211" s="43">
        <v>14.0</v>
      </c>
      <c r="F211" s="43">
        <f>COUNTIF(S26_Emp!$C:$C,"*" &amp;A211 &amp; "*")</f>
        <v>0</v>
      </c>
      <c r="G211" s="43">
        <f>COUNTIF(F25_Emp!$C:$C,"*" &amp;#REF! &amp; "*")</f>
        <v>0</v>
      </c>
      <c r="H211" s="43">
        <f>COUNTIF(S25_Emp!$C:$C,"*" &amp; A211 &amp; "*")</f>
        <v>0</v>
      </c>
      <c r="I211" s="43">
        <f>COUNTIF(F24_Emp!$C:$C,"*" &amp; B211 &amp; "*")</f>
        <v>1</v>
      </c>
      <c r="J211" s="43">
        <f>COUNTIF(S24_Emp!$C:$C,"*" &amp; $A211 &amp; "*")</f>
        <v>0</v>
      </c>
      <c r="K211" s="43">
        <f>COUNTIF(F23_Emp!$C:$C,"*" &amp; $A211 &amp; "*")</f>
        <v>0</v>
      </c>
      <c r="L211" s="43">
        <f>COUNTIF(S23_Emp!$C:$C,"*" &amp; $A211 &amp; "*")</f>
        <v>1</v>
      </c>
      <c r="M211" s="43">
        <f>COUNTIF(F22_Emp!$C:$C,"*" &amp; $A211 &amp; "*")</f>
        <v>0</v>
      </c>
      <c r="N211" s="43">
        <f>COUNTIF(S22_Emp!$C:$C,"*" &amp; $A211 &amp; "*")</f>
        <v>1</v>
      </c>
      <c r="O211" s="43" t="str">
        <f>COUNTIFS(S22_Emp!$C:$C,"*" &amp; $A211 &amp; "*", S22_S25_Emp!$B:$B, "Bachelor")</f>
        <v>#VALUE!</v>
      </c>
      <c r="P211" s="43" t="str">
        <f>COUNTIFS(S22_Emp!$C:$C,"*" &amp; $A211 &amp; "*", S22_S25_Emp!$B:$B, "Master")</f>
        <v>#VALUE!</v>
      </c>
      <c r="Q211" s="43" t="str">
        <f>COUNTIFS(S22_Emp!$C:$C,"*" &amp; $A211 &amp; "*", S22_S25_Emp!$B:$B, "Doctorate")</f>
        <v>#VALUE!</v>
      </c>
      <c r="R211" s="43" t="str">
        <f t="array" ref="R211">IF(OR(INDEX(S26_CF!X:X, MATCH("*" &amp; $A211 &amp; "*", CompanyList!A:A, 0))=TRUE, INDEX(F25_CF!P:P, MATCH("*" &amp; $A211 &amp; "*", CompanyList!A:A, 0))=TRUE, INDEX(S25_CF!T:T, MATCH("*" &amp; $A211 &amp; "*", CompanyList!A:A, 0))=TRUE, INDEX(S24_CF!W:W, MATCH("*" &amp; $A211 &amp; "*", CompanyList!A:A, 0))=TRUE), "Yes", "No")</f>
        <v>Yes</v>
      </c>
      <c r="S211" s="43" t="str">
        <f>IF(COUNTIF(S26_CF!$A:$A,"*" &amp; $A211 &amp; "*") &lt;&gt; 0, "Yes", "No")</f>
        <v>No</v>
      </c>
      <c r="T211" s="43" t="str">
        <f t="array" ref="T211">INDEX(S26_CF!K:K, MATCH("*" &amp; $A211 &amp; "*", S26_CF!A:A, 0))</f>
        <v>#N/A</v>
      </c>
      <c r="U211" s="43" t="str">
        <f>IF(COUNTIF(F25_CF!$A:$A,"*" &amp; $A211 &amp; "*") &lt;&gt; 0, "Yes", "No")</f>
        <v>No</v>
      </c>
      <c r="V211" s="43" t="str">
        <f t="array" ref="V211">INDEX(F25_CF!I:I, MATCH("*" &amp; $A211 &amp; "*", F25_CF!$A:$A, 0))</f>
        <v>#N/A</v>
      </c>
      <c r="W211" s="43" t="str">
        <f>IF(COUNTIF(S25_CF!$A:$A,"*" &amp; $A211 &amp; "*") &lt;&gt; 0, "Yes", "No")</f>
        <v>Yes</v>
      </c>
      <c r="X211" s="43" t="str">
        <f t="array" ref="X211">INDEX(S25_CF!J:J, MATCH("*" &amp; $A211 &amp; "*", S25_CF!$A:$A, 0))</f>
        <v>Basic One-Day: Thursday, January 23rd [$1000.00]</v>
      </c>
      <c r="Y211" s="43" t="str">
        <f>IF(COUNTIF(F24_CF!$A:$A,"*" &amp; $A211 &amp; "*") &lt;&gt; 0, "Yes", "No")</f>
        <v>Yes</v>
      </c>
      <c r="Z211" s="43" t="str">
        <f t="array" ref="Z211">INDEX(F24_CF!N:N, MATCH("*" &amp; $A211 &amp; "*", F24_CF!$A:$A, 0))</f>
        <v>Silver One-Day: Wednesday, September 4th [$1800.00]</v>
      </c>
      <c r="AA211" s="43" t="str">
        <f>IF(COUNTIF(S24_CF!$A:$A,"*" &amp; $A211 &amp; "*") &lt;&gt; 0, "Yes", "No")</f>
        <v>Yes</v>
      </c>
      <c r="AB211" s="43" t="str">
        <f t="array" ref="AB211">INDEX(S24_CF!H:H, MATCH("*" &amp; $A211 &amp; "*", S24_CF!$A:$A, 0))</f>
        <v>Silver One-Day [$1800.00]</v>
      </c>
    </row>
    <row r="212" ht="15.0" customHeight="1">
      <c r="A212" s="52" t="s">
        <v>269</v>
      </c>
      <c r="B212" s="43" t="s">
        <v>54</v>
      </c>
      <c r="C212" s="43">
        <v>17000.0</v>
      </c>
      <c r="D212" s="43">
        <v>40000.0</v>
      </c>
      <c r="E212" s="43">
        <v>65.0</v>
      </c>
      <c r="F212" s="43">
        <f>COUNTIF(S26_Emp!$C:$C,"*" &amp;A212 &amp; "*")</f>
        <v>0</v>
      </c>
      <c r="G212" s="43">
        <f>COUNTIF(F25_Emp!$C:$C,"*" &amp;#REF! &amp; "*")</f>
        <v>0</v>
      </c>
      <c r="H212" s="43">
        <f>COUNTIF(S25_Emp!$C:$C,"*" &amp; A212 &amp; "*")</f>
        <v>1</v>
      </c>
      <c r="I212" s="43">
        <f>COUNTIF(F24_Emp!$C:$C,"*" &amp; B212 &amp; "*")</f>
        <v>1</v>
      </c>
      <c r="J212" s="43">
        <f>COUNTIF(S24_Emp!$C:$C,"*" &amp; $A212 &amp; "*")</f>
        <v>1</v>
      </c>
      <c r="K212" s="43">
        <f>COUNTIF(F23_Emp!$C:$C,"*" &amp; $A212 &amp; "*")</f>
        <v>0</v>
      </c>
      <c r="L212" s="43">
        <f>COUNTIF(S23_Emp!$C:$C,"*" &amp; $A212 &amp; "*")</f>
        <v>2</v>
      </c>
      <c r="M212" s="43">
        <f>COUNTIF(F22_Emp!$C:$C,"*" &amp; $A212 &amp; "*")</f>
        <v>1</v>
      </c>
      <c r="N212" s="43">
        <f>COUNTIF(S22_Emp!$C:$C,"*" &amp; $A212 &amp; "*")</f>
        <v>1</v>
      </c>
      <c r="O212" s="43" t="str">
        <f>COUNTIFS(S22_Emp!$C:$C,"*" &amp; $A212 &amp; "*", S22_S25_Emp!$B:$B, "Bachelor")</f>
        <v>#VALUE!</v>
      </c>
      <c r="P212" s="43" t="str">
        <f>COUNTIFS(S22_Emp!$C:$C,"*" &amp; $A212 &amp; "*", S22_S25_Emp!$B:$B, "Master")</f>
        <v>#VALUE!</v>
      </c>
      <c r="Q212" s="43" t="str">
        <f>COUNTIFS(S22_Emp!$C:$C,"*" &amp; $A212 &amp; "*", S22_S25_Emp!$B:$B, "Doctorate")</f>
        <v>#VALUE!</v>
      </c>
      <c r="R212" s="43" t="str">
        <f t="array" ref="R212">IF(OR(INDEX(S26_CF!X:X, MATCH("*" &amp; $A212 &amp; "*", CompanyList!A:A, 0))=TRUE, INDEX(F25_CF!P:P, MATCH("*" &amp; $A212 &amp; "*", CompanyList!A:A, 0))=TRUE, INDEX(S25_CF!T:T, MATCH("*" &amp; $A212 &amp; "*", CompanyList!A:A, 0))=TRUE, INDEX(S24_CF!W:W, MATCH("*" &amp; $A212 &amp; "*", CompanyList!A:A, 0))=TRUE), "Yes", "No")</f>
        <v>No</v>
      </c>
      <c r="S212" s="43" t="str">
        <f>IF(COUNTIF(S26_CF!$A:$A,"*" &amp; $A212 &amp; "*") &lt;&gt; 0, "Yes", "No")</f>
        <v>Yes</v>
      </c>
      <c r="T212" s="43" t="str">
        <f t="array" ref="T212">INDEX(S26_CF!K:K, MATCH("*" &amp; $A212 &amp; "*", S26_CF!A:A, 0))</f>
        <v>Basic One-Day: Thursday, January 29th [$1000.00]</v>
      </c>
      <c r="U212" s="43" t="str">
        <f>IF(COUNTIF(F25_CF!$A:$A,"*" &amp; $A212 &amp; "*") &lt;&gt; 0, "Yes", "No")</f>
        <v>Yes</v>
      </c>
      <c r="V212" s="43" t="str">
        <f t="array" ref="V212">INDEX(F25_CF!I:I, MATCH("*" &amp; $A212 &amp; "*", F25_CF!$A:$A, 0))</f>
        <v>Basic One-Day: Thursday, September 11th [$1000.00]</v>
      </c>
      <c r="W212" s="43" t="str">
        <f>IF(COUNTIF(S25_CF!$A:$A,"*" &amp; $A212 &amp; "*") &lt;&gt; 0, "Yes", "No")</f>
        <v>Yes</v>
      </c>
      <c r="X212" s="43" t="str">
        <f t="array" ref="X212">INDEX(S25_CF!J:J, MATCH("*" &amp; $A212 &amp; "*", S25_CF!$A:$A, 0))</f>
        <v>Basic One-Day: Thursday, January 23rd [$1000.00]</v>
      </c>
      <c r="Y212" s="43" t="str">
        <f>IF(COUNTIF(F24_CF!$A:$A,"*" &amp; $A212 &amp; "*") &lt;&gt; 0, "Yes", "No")</f>
        <v>Yes</v>
      </c>
      <c r="Z212" s="43" t="str">
        <f t="array" ref="Z212">INDEX(F24_CF!N:N, MATCH("*" &amp; $A212 &amp; "*", F24_CF!$A:$A, 0))</f>
        <v>Basic One-Day: Thursday, September 5th [$1000.00]</v>
      </c>
      <c r="AA212" s="43" t="str">
        <f>IF(COUNTIF(S24_CF!$A:$A,"*" &amp; $A212 &amp; "*") &lt;&gt; 0, "Yes", "No")</f>
        <v>Yes</v>
      </c>
      <c r="AB212" s="43" t="str">
        <f t="array" ref="AB212">INDEX(S24_CF!H:H, MATCH("*" &amp; $A212 &amp; "*", S24_CF!$A:$A, 0))</f>
        <v>Basic One-Day [$1000.00]</v>
      </c>
    </row>
    <row r="213" ht="15.0" customHeight="1">
      <c r="A213" s="52" t="s">
        <v>270</v>
      </c>
      <c r="B213" s="43" t="s">
        <v>52</v>
      </c>
      <c r="C213" s="43"/>
      <c r="D213" s="43"/>
      <c r="E213" s="43"/>
      <c r="F213" s="43">
        <f>COUNTIF(S26_Emp!$C:$C,"*" &amp;A213 &amp; "*")</f>
        <v>0</v>
      </c>
      <c r="G213" s="43">
        <f>COUNTIF(F25_Emp!$C:$C,"*" &amp;#REF! &amp; "*")</f>
        <v>0</v>
      </c>
      <c r="H213" s="43">
        <f>COUNTIF(S25_Emp!$C:$C,"*" &amp; A213 &amp; "*")</f>
        <v>0</v>
      </c>
      <c r="I213" s="43">
        <f>COUNTIF(F24_Emp!$C:$C,"*" &amp; B213 &amp; "*")</f>
        <v>0</v>
      </c>
      <c r="J213" s="43">
        <f>COUNTIF(S24_Emp!$C:$C,"*" &amp; $A213 &amp; "*")</f>
        <v>0</v>
      </c>
      <c r="K213" s="43">
        <f>COUNTIF(F23_Emp!$C:$C,"*" &amp; $A213 &amp; "*")</f>
        <v>0</v>
      </c>
      <c r="L213" s="43">
        <f>COUNTIF(S23_Emp!$C:$C,"*" &amp; $A213 &amp; "*")</f>
        <v>0</v>
      </c>
      <c r="M213" s="43">
        <f>COUNTIF(F22_Emp!$C:$C,"*" &amp; $A213 &amp; "*")</f>
        <v>2</v>
      </c>
      <c r="N213" s="43">
        <f>COUNTIF(S22_Emp!$C:$C,"*" &amp; $A213 &amp; "*")</f>
        <v>0</v>
      </c>
      <c r="O213" s="43" t="str">
        <f>COUNTIFS(S22_Emp!$C:$C,"*" &amp; $A213 &amp; "*", S22_S25_Emp!$B:$B, "Bachelor")</f>
        <v>#VALUE!</v>
      </c>
      <c r="P213" s="43" t="str">
        <f>COUNTIFS(S22_Emp!$C:$C,"*" &amp; $A213 &amp; "*", S22_S25_Emp!$B:$B, "Master")</f>
        <v>#VALUE!</v>
      </c>
      <c r="Q213" s="43" t="str">
        <f>COUNTIFS(S22_Emp!$C:$C,"*" &amp; $A213 &amp; "*", S22_S25_Emp!$B:$B, "Doctorate")</f>
        <v>#VALUE!</v>
      </c>
      <c r="R213" s="43" t="str">
        <f t="array" ref="R213">IF(OR(INDEX(S26_CF!X:X, MATCH("*" &amp; $A213 &amp; "*", CompanyList!A:A, 0))=TRUE, INDEX(F25_CF!P:P, MATCH("*" &amp; $A213 &amp; "*", CompanyList!A:A, 0))=TRUE, INDEX(S25_CF!T:T, MATCH("*" &amp; $A213 &amp; "*", CompanyList!A:A, 0))=TRUE, INDEX(S24_CF!W:W, MATCH("*" &amp; $A213 &amp; "*", CompanyList!A:A, 0))=TRUE), "Yes", "No")</f>
        <v>Yes</v>
      </c>
      <c r="S213" s="43" t="str">
        <f>IF(COUNTIF(S26_CF!$A:$A,"*" &amp; $A213 &amp; "*") &lt;&gt; 0, "Yes", "No")</f>
        <v>Yes</v>
      </c>
      <c r="T213" s="43" t="str">
        <f t="array" ref="T213">INDEX(S26_CF!K:K, MATCH("*" &amp; $A213 &amp; "*", S26_CF!A:A, 0))</f>
        <v>Basic One-Day: Wednesday, January 28th [$1000.00]</v>
      </c>
      <c r="U213" s="43" t="str">
        <f>IF(COUNTIF(F25_CF!$A:$A,"*" &amp; $A213 &amp; "*") &lt;&gt; 0, "Yes", "No")</f>
        <v>Yes</v>
      </c>
      <c r="V213" s="43" t="str">
        <f t="array" ref="V213">INDEX(F25_CF!I:I, MATCH("*" &amp; $A213 &amp; "*", F25_CF!$A:$A, 0))</f>
        <v>Basic One-Day: Wednesday, September 10th [$1000.00]</v>
      </c>
      <c r="W213" s="43" t="str">
        <f>IF(COUNTIF(S25_CF!$A:$A,"*" &amp; $A213 &amp; "*") &lt;&gt; 0, "Yes", "No")</f>
        <v>Yes</v>
      </c>
      <c r="X213" s="43" t="str">
        <f t="array" ref="X213">INDEX(S25_CF!J:J, MATCH("*" &amp; $A213 &amp; "*", S25_CF!$A:$A, 0))</f>
        <v>Basic One-Day: Thursday, January 23rd [$1000.00]</v>
      </c>
      <c r="Y213" s="43" t="str">
        <f>IF(COUNTIF(F24_CF!$A:$A,"*" &amp; $A213 &amp; "*") &lt;&gt; 0, "Yes", "No")</f>
        <v>Yes</v>
      </c>
      <c r="Z213" s="43" t="str">
        <f t="array" ref="Z213">INDEX(F24_CF!N:N, MATCH("*" &amp; $A213 &amp; "*", F24_CF!$A:$A, 0))</f>
        <v>Basic One-Day: Thursday, September 5th [$1000.00]</v>
      </c>
      <c r="AA213" s="43" t="str">
        <f>IF(COUNTIF(S24_CF!$A:$A,"*" &amp; $A213 &amp; "*") &lt;&gt; 0, "Yes", "No")</f>
        <v>Yes</v>
      </c>
      <c r="AB213" s="43" t="str">
        <f t="array" ref="AB213">INDEX(S24_CF!H:H, MATCH("*" &amp; $A213 &amp; "*", S24_CF!$A:$A, 0))</f>
        <v>Basic One-Day [$1000.00]</v>
      </c>
    </row>
    <row r="214" ht="15.0" customHeight="1">
      <c r="A214" s="52" t="s">
        <v>271</v>
      </c>
      <c r="B214" s="43" t="s">
        <v>54</v>
      </c>
      <c r="C214" s="43">
        <v>73000.0</v>
      </c>
      <c r="D214" s="43">
        <v>76000.0</v>
      </c>
      <c r="E214" s="43">
        <v>700.0</v>
      </c>
      <c r="F214" s="43">
        <f>COUNTIF(S26_Emp!$C:$C,"*" &amp;A214 &amp; "*")</f>
        <v>0</v>
      </c>
      <c r="G214" s="43">
        <f>COUNTIF(F25_Emp!$C:$C,"*" &amp;#REF! &amp; "*")</f>
        <v>0</v>
      </c>
      <c r="H214" s="43">
        <f>COUNTIF(S25_Emp!$C:$C,"*" &amp; A214 &amp; "*")</f>
        <v>0</v>
      </c>
      <c r="I214" s="43">
        <f>COUNTIF(F24_Emp!$C:$C,"*" &amp; B214 &amp; "*")</f>
        <v>1</v>
      </c>
      <c r="J214" s="43">
        <f>COUNTIF(S24_Emp!$C:$C,"*" &amp; $A214 &amp; "*")</f>
        <v>2</v>
      </c>
      <c r="K214" s="43">
        <f>COUNTIF(F23_Emp!$C:$C,"*" &amp; $A214 &amp; "*")</f>
        <v>0</v>
      </c>
      <c r="L214" s="43">
        <f>COUNTIF(S23_Emp!$C:$C,"*" &amp; $A214 &amp; "*")</f>
        <v>1</v>
      </c>
      <c r="M214" s="43">
        <f>COUNTIF(F22_Emp!$C:$C,"*" &amp; $A214 &amp; "*")</f>
        <v>1</v>
      </c>
      <c r="N214" s="43">
        <f>COUNTIF(S22_Emp!$C:$C,"*" &amp; $A214 &amp; "*")</f>
        <v>0</v>
      </c>
      <c r="O214" s="43" t="str">
        <f>COUNTIFS(S22_Emp!$C:$C,"*" &amp; $A214 &amp; "*", S22_S25_Emp!$B:$B, "Bachelor")</f>
        <v>#VALUE!</v>
      </c>
      <c r="P214" s="43" t="str">
        <f>COUNTIFS(S22_Emp!$C:$C,"*" &amp; $A214 &amp; "*", S22_S25_Emp!$B:$B, "Master")</f>
        <v>#VALUE!</v>
      </c>
      <c r="Q214" s="43" t="str">
        <f>COUNTIFS(S22_Emp!$C:$C,"*" &amp; $A214 &amp; "*", S22_S25_Emp!$B:$B, "Doctorate")</f>
        <v>#VALUE!</v>
      </c>
      <c r="R214" s="43" t="str">
        <f t="array" ref="R214">IF(OR(INDEX(S26_CF!X:X, MATCH("*" &amp; $A214 &amp; "*", CompanyList!A:A, 0))=TRUE, INDEX(F25_CF!P:P, MATCH("*" &amp; $A214 &amp; "*", CompanyList!A:A, 0))=TRUE, INDEX(S25_CF!T:T, MATCH("*" &amp; $A214 &amp; "*", CompanyList!A:A, 0))=TRUE, INDEX(S24_CF!W:W, MATCH("*" &amp; $A214 &amp; "*", CompanyList!A:A, 0))=TRUE), "Yes", "No")</f>
        <v>Yes</v>
      </c>
      <c r="S214" s="43" t="str">
        <f>IF(COUNTIF(S26_CF!$A:$A,"*" &amp; $A214 &amp; "*") &lt;&gt; 0, "Yes", "No")</f>
        <v>No</v>
      </c>
      <c r="T214" s="43" t="str">
        <f t="array" ref="T214">INDEX(S26_CF!K:K, MATCH("*" &amp; $A214 &amp; "*", S26_CF!A:A, 0))</f>
        <v>#N/A</v>
      </c>
      <c r="U214" s="43" t="str">
        <f>IF(COUNTIF(F25_CF!$A:$A,"*" &amp; $A214 &amp; "*") &lt;&gt; 0, "Yes", "No")</f>
        <v>No</v>
      </c>
      <c r="V214" s="43" t="str">
        <f t="array" ref="V214">INDEX(F25_CF!I:I, MATCH("*" &amp; $A214 &amp; "*", F25_CF!$A:$A, 0))</f>
        <v>#N/A</v>
      </c>
      <c r="W214" s="43" t="str">
        <f>IF(COUNTIF(S25_CF!$A:$A,"*" &amp; $A214 &amp; "*") &lt;&gt; 0, "Yes", "No")</f>
        <v>No</v>
      </c>
      <c r="X214" s="43" t="str">
        <f t="array" ref="X214">INDEX(S25_CF!J:J, MATCH("*" &amp; $A214 &amp; "*", S25_CF!$A:$A, 0))</f>
        <v>#N/A</v>
      </c>
      <c r="Y214" s="43" t="str">
        <f>IF(COUNTIF(F24_CF!$A:$A,"*" &amp; $A214 &amp; "*") &lt;&gt; 0, "Yes", "No")</f>
        <v>No</v>
      </c>
      <c r="Z214" s="43" t="str">
        <f t="array" ref="Z214">INDEX(F24_CF!N:N, MATCH("*" &amp; $A214 &amp; "*", F24_CF!$A:$A, 0))</f>
        <v>#N/A</v>
      </c>
      <c r="AA214" s="43" t="str">
        <f>IF(COUNTIF(S24_CF!$A:$A,"*" &amp; $A214 &amp; "*") &lt;&gt; 0, "Yes", "No")</f>
        <v>Yes</v>
      </c>
      <c r="AB214" s="43" t="str">
        <f t="array" ref="AB214">INDEX(S24_CF!H:H, MATCH("*" &amp; $A214 &amp; "*", S24_CF!$A:$A, 0))</f>
        <v>Gold One-Day [$2500.00]</v>
      </c>
    </row>
    <row r="215" ht="15.0" customHeight="1">
      <c r="A215" s="52" t="s">
        <v>272</v>
      </c>
      <c r="B215" s="43" t="s">
        <v>61</v>
      </c>
      <c r="C215" s="43">
        <v>78000.0</v>
      </c>
      <c r="D215" s="43">
        <v>516000.0</v>
      </c>
      <c r="E215" s="43"/>
      <c r="F215" s="43">
        <f>COUNTIF(S26_Emp!$C:$C,"*" &amp;A215 &amp; "*")</f>
        <v>0</v>
      </c>
      <c r="G215" s="43">
        <f>COUNTIF(F25_Emp!$C:$C,"*" &amp;#REF! &amp; "*")</f>
        <v>0</v>
      </c>
      <c r="H215" s="43">
        <f>COUNTIF(S25_Emp!$C:$C,"*" &amp; A215 &amp; "*")</f>
        <v>0</v>
      </c>
      <c r="I215" s="43">
        <f>COUNTIF(F24_Emp!$C:$C,"*" &amp; B215 &amp; "*")</f>
        <v>0</v>
      </c>
      <c r="J215" s="43">
        <f>COUNTIF(S24_Emp!$C:$C,"*" &amp; $A215 &amp; "*")</f>
        <v>0</v>
      </c>
      <c r="K215" s="43">
        <f>COUNTIF(F23_Emp!$C:$C,"*" &amp; $A215 &amp; "*")</f>
        <v>1</v>
      </c>
      <c r="L215" s="43">
        <f>COUNTIF(S23_Emp!$C:$C,"*" &amp; $A215 &amp; "*")</f>
        <v>0</v>
      </c>
      <c r="M215" s="43">
        <f>COUNTIF(F22_Emp!$C:$C,"*" &amp; $A215 &amp; "*")</f>
        <v>0</v>
      </c>
      <c r="N215" s="43">
        <f>COUNTIF(S22_Emp!$C:$C,"*" &amp; $A215 &amp; "*")</f>
        <v>0</v>
      </c>
      <c r="O215" s="43" t="str">
        <f>COUNTIFS(S22_Emp!$C:$C,"*" &amp; $A215 &amp; "*", S22_S25_Emp!$B:$B, "Bachelor")</f>
        <v>#VALUE!</v>
      </c>
      <c r="P215" s="43" t="str">
        <f>COUNTIFS(S22_Emp!$C:$C,"*" &amp; $A215 &amp; "*", S22_S25_Emp!$B:$B, "Master")</f>
        <v>#VALUE!</v>
      </c>
      <c r="Q215" s="43" t="str">
        <f>COUNTIFS(S22_Emp!$C:$C,"*" &amp; $A215 &amp; "*", S22_S25_Emp!$B:$B, "Doctorate")</f>
        <v>#VALUE!</v>
      </c>
      <c r="R215" s="43" t="str">
        <f t="array" ref="R215">IF(OR(INDEX(S26_CF!X:X, MATCH("*" &amp; $A215 &amp; "*", CompanyList!A:A, 0))=TRUE, INDEX(F25_CF!P:P, MATCH("*" &amp; $A215 &amp; "*", CompanyList!A:A, 0))=TRUE, INDEX(S25_CF!T:T, MATCH("*" &amp; $A215 &amp; "*", CompanyList!A:A, 0))=TRUE, INDEX(S24_CF!W:W, MATCH("*" &amp; $A215 &amp; "*", CompanyList!A:A, 0))=TRUE), "Yes", "No")</f>
        <v>Yes</v>
      </c>
      <c r="S215" s="43" t="str">
        <f>IF(COUNTIF(S26_CF!$A:$A,"*" &amp; $A215 &amp; "*") &lt;&gt; 0, "Yes", "No")</f>
        <v>Yes</v>
      </c>
      <c r="T215" s="43" t="str">
        <f t="array" ref="T215">INDEX(S26_CF!K:K, MATCH("*" &amp; $A215 &amp; "*", S26_CF!A:A, 0))</f>
        <v>Basic Two-Day [$2000.00]</v>
      </c>
      <c r="U215" s="43" t="str">
        <f>IF(COUNTIF(F25_CF!$A:$A,"*" &amp; $A215 &amp; "*") &lt;&gt; 0, "Yes", "No")</f>
        <v>No</v>
      </c>
      <c r="V215" s="43" t="str">
        <f t="array" ref="V215">INDEX(F25_CF!I:I, MATCH("*" &amp; $A215 &amp; "*", F25_CF!$A:$A, 0))</f>
        <v>#N/A</v>
      </c>
      <c r="W215" s="43" t="str">
        <f>IF(COUNTIF(S25_CF!$A:$A,"*" &amp; $A215 &amp; "*") &lt;&gt; 0, "Yes", "No")</f>
        <v>Yes</v>
      </c>
      <c r="X215" s="43" t="str">
        <f t="array" ref="X215">INDEX(S25_CF!J:J, MATCH("*" &amp; $A215 &amp; "*", S25_CF!$A:$A, 0))</f>
        <v>Basic One-Day: Thursday, January 23rd [$1000.00]</v>
      </c>
      <c r="Y215" s="43" t="str">
        <f>IF(COUNTIF(F24_CF!$A:$A,"*" &amp; $A215 &amp; "*") &lt;&gt; 0, "Yes", "No")</f>
        <v>Yes</v>
      </c>
      <c r="Z215" s="43" t="str">
        <f t="array" ref="Z215">INDEX(F24_CF!N:N, MATCH("*" &amp; $A215 &amp; "*", F24_CF!$A:$A, 0))</f>
        <v>Basic Two-Day [$2000.00]</v>
      </c>
      <c r="AA215" s="43" t="str">
        <f>IF(COUNTIF(S24_CF!$A:$A,"*" &amp; $A215 &amp; "*") &lt;&gt; 0, "Yes", "No")</f>
        <v>Yes</v>
      </c>
      <c r="AB215" s="43" t="str">
        <f t="array" ref="AB215">INDEX(S24_CF!H:H, MATCH("*" &amp; $A215 &amp; "*", S24_CF!$A:$A, 0))</f>
        <v>Basic Two-Day [$2000.00]</v>
      </c>
    </row>
    <row r="216" ht="15.0" customHeight="1">
      <c r="A216" s="52" t="s">
        <v>273</v>
      </c>
      <c r="B216" s="43" t="s">
        <v>61</v>
      </c>
      <c r="C216" s="43"/>
      <c r="D216" s="43">
        <v>1200.0</v>
      </c>
      <c r="E216" s="43"/>
      <c r="F216" s="43">
        <f>COUNTIF(S26_Emp!$C:$C,"*" &amp;A216 &amp; "*")</f>
        <v>0</v>
      </c>
      <c r="G216" s="43">
        <f>COUNTIF(F25_Emp!$C:$C,"*" &amp;#REF! &amp; "*")</f>
        <v>0</v>
      </c>
      <c r="H216" s="43">
        <f>COUNTIF(S25_Emp!$C:$C,"*" &amp; A216 &amp; "*")</f>
        <v>0</v>
      </c>
      <c r="I216" s="43">
        <f>COUNTIF(F24_Emp!$C:$C,"*" &amp; B216 &amp; "*")</f>
        <v>0</v>
      </c>
      <c r="J216" s="43">
        <f>COUNTIF(S24_Emp!$C:$C,"*" &amp; $A216 &amp; "*")</f>
        <v>0</v>
      </c>
      <c r="K216" s="43">
        <f>COUNTIF(F23_Emp!$C:$C,"*" &amp; $A216 &amp; "*")</f>
        <v>0</v>
      </c>
      <c r="L216" s="43">
        <f>COUNTIF(S23_Emp!$C:$C,"*" &amp; $A216 &amp; "*")</f>
        <v>0</v>
      </c>
      <c r="M216" s="43">
        <f>COUNTIF(F22_Emp!$C:$C,"*" &amp; $A216 &amp; "*")</f>
        <v>0</v>
      </c>
      <c r="N216" s="43">
        <f>COUNTIF(S22_Emp!$C:$C,"*" &amp; $A216 &amp; "*")</f>
        <v>0</v>
      </c>
      <c r="O216" s="43" t="str">
        <f>COUNTIFS(S22_Emp!$C:$C,"*" &amp; $A216 &amp; "*", S22_S25_Emp!$B:$B, "Bachelor")</f>
        <v>#VALUE!</v>
      </c>
      <c r="P216" s="43" t="str">
        <f>COUNTIFS(S22_Emp!$C:$C,"*" &amp; $A216 &amp; "*", S22_S25_Emp!$B:$B, "Master")</f>
        <v>#VALUE!</v>
      </c>
      <c r="Q216" s="43" t="str">
        <f>COUNTIFS(S22_Emp!$C:$C,"*" &amp; $A216 &amp; "*", S22_S25_Emp!$B:$B, "Doctorate")</f>
        <v>#VALUE!</v>
      </c>
      <c r="R216" s="43" t="str">
        <f t="array" ref="R216">IF(OR(INDEX(S26_CF!X:X, MATCH("*" &amp; $A216 &amp; "*", CompanyList!A:A, 0))=TRUE, INDEX(F25_CF!P:P, MATCH("*" &amp; $A216 &amp; "*", CompanyList!A:A, 0))=TRUE, INDEX(S25_CF!T:T, MATCH("*" &amp; $A216 &amp; "*", CompanyList!A:A, 0))=TRUE, INDEX(S24_CF!W:W, MATCH("*" &amp; $A216 &amp; "*", CompanyList!A:A, 0))=TRUE), "Yes", "No")</f>
        <v>Yes</v>
      </c>
      <c r="S216" s="43" t="str">
        <f>IF(COUNTIF(S26_CF!$A:$A,"*" &amp; $A216 &amp; "*") &lt;&gt; 0, "Yes", "No")</f>
        <v>No</v>
      </c>
      <c r="T216" s="43" t="str">
        <f t="array" ref="T216">INDEX(S26_CF!K:K, MATCH("*" &amp; $A216 &amp; "*", S26_CF!A:A, 0))</f>
        <v>#N/A</v>
      </c>
      <c r="U216" s="43" t="str">
        <f>IF(COUNTIF(F25_CF!$A:$A,"*" &amp; $A216 &amp; "*") &lt;&gt; 0, "Yes", "No")</f>
        <v>No</v>
      </c>
      <c r="V216" s="43" t="str">
        <f t="array" ref="V216">INDEX(F25_CF!I:I, MATCH("*" &amp; $A216 &amp; "*", F25_CF!$A:$A, 0))</f>
        <v>#N/A</v>
      </c>
      <c r="W216" s="43" t="str">
        <f>IF(COUNTIF(S25_CF!$A:$A,"*" &amp; $A216 &amp; "*") &lt;&gt; 0, "Yes", "No")</f>
        <v>Yes</v>
      </c>
      <c r="X216" s="43" t="str">
        <f t="array" ref="X216">INDEX(S25_CF!J:J, MATCH("*" &amp; $A216 &amp; "*", S25_CF!$A:$A, 0))</f>
        <v>Basic Two-Day [$2000.00]</v>
      </c>
      <c r="Y216" s="43" t="str">
        <f>IF(COUNTIF(F24_CF!$A:$A,"*" &amp; $A216 &amp; "*") &lt;&gt; 0, "Yes", "No")</f>
        <v>Yes</v>
      </c>
      <c r="Z216" s="43" t="str">
        <f t="array" ref="Z216">INDEX(F24_CF!N:N, MATCH("*" &amp; $A216 &amp; "*", F24_CF!$A:$A, 0))</f>
        <v>Basic One-Day: Thursday, September 5th [$1000.00]</v>
      </c>
      <c r="AA216" s="43" t="str">
        <f>IF(COUNTIF(S24_CF!$A:$A,"*" &amp; $A216 &amp; "*") &lt;&gt; 0, "Yes", "No")</f>
        <v>Yes</v>
      </c>
      <c r="AB216" s="43" t="str">
        <f t="array" ref="AB216">INDEX(S24_CF!H:H, MATCH("*" &amp; $A216 &amp; "*", S24_CF!$A:$A, 0))</f>
        <v>Basic Two-Day [$2000.00]</v>
      </c>
    </row>
    <row r="217" ht="15.0" customHeight="1">
      <c r="A217" s="52" t="s">
        <v>274</v>
      </c>
      <c r="B217" s="43" t="s">
        <v>52</v>
      </c>
      <c r="C217" s="43">
        <v>36000.0</v>
      </c>
      <c r="D217" s="43">
        <v>37000.0</v>
      </c>
      <c r="E217" s="43"/>
      <c r="F217" s="43">
        <f>COUNTIF(S26_Emp!$C:$C,"*" &amp;A217 &amp; "*")</f>
        <v>0</v>
      </c>
      <c r="G217" s="43">
        <f>COUNTIF(F25_Emp!$C:$C,"*" &amp;#REF! &amp; "*")</f>
        <v>0</v>
      </c>
      <c r="H217" s="43">
        <f>COUNTIF(S25_Emp!$C:$C,"*" &amp; A217 &amp; "*")</f>
        <v>1</v>
      </c>
      <c r="I217" s="43">
        <f>COUNTIF(F24_Emp!$C:$C,"*" &amp; B217 &amp; "*")</f>
        <v>0</v>
      </c>
      <c r="J217" s="43">
        <f>COUNTIF(S24_Emp!$C:$C,"*" &amp; $A217 &amp; "*")</f>
        <v>1</v>
      </c>
      <c r="K217" s="43">
        <f>COUNTIF(F23_Emp!$C:$C,"*" &amp; $A217 &amp; "*")</f>
        <v>0</v>
      </c>
      <c r="L217" s="43">
        <f>COUNTIF(S23_Emp!$C:$C,"*" &amp; $A217 &amp; "*")</f>
        <v>5</v>
      </c>
      <c r="M217" s="43">
        <f>COUNTIF(F22_Emp!$C:$C,"*" &amp; $A217 &amp; "*")</f>
        <v>2</v>
      </c>
      <c r="N217" s="43">
        <f>COUNTIF(S22_Emp!$C:$C,"*" &amp; $A217 &amp; "*")</f>
        <v>1</v>
      </c>
      <c r="O217" s="43" t="str">
        <f>COUNTIFS(S22_Emp!$C:$C,"*" &amp; $A217 &amp; "*", S22_S25_Emp!$B:$B, "Bachelor")</f>
        <v>#VALUE!</v>
      </c>
      <c r="P217" s="43" t="str">
        <f>COUNTIFS(S22_Emp!$C:$C,"*" &amp; $A217 &amp; "*", S22_S25_Emp!$B:$B, "Master")</f>
        <v>#VALUE!</v>
      </c>
      <c r="Q217" s="43" t="str">
        <f>COUNTIFS(S22_Emp!$C:$C,"*" &amp; $A217 &amp; "*", S22_S25_Emp!$B:$B, "Doctorate")</f>
        <v>#VALUE!</v>
      </c>
      <c r="R217" s="43" t="str">
        <f t="array" ref="R217">IF(OR(INDEX(S26_CF!X:X, MATCH("*" &amp; $A217 &amp; "*", CompanyList!A:A, 0))=TRUE, INDEX(F25_CF!P:P, MATCH("*" &amp; $A217 &amp; "*", CompanyList!A:A, 0))=TRUE, INDEX(S25_CF!T:T, MATCH("*" &amp; $A217 &amp; "*", CompanyList!A:A, 0))=TRUE, INDEX(S24_CF!W:W, MATCH("*" &amp; $A217 &amp; "*", CompanyList!A:A, 0))=TRUE), "Yes", "No")</f>
        <v>No</v>
      </c>
      <c r="S217" s="43" t="str">
        <f>IF(COUNTIF(S26_CF!$A:$A,"*" &amp; $A217 &amp; "*") &lt;&gt; 0, "Yes", "No")</f>
        <v>No</v>
      </c>
      <c r="T217" s="43" t="str">
        <f t="array" ref="T217">INDEX(S26_CF!K:K, MATCH("*" &amp; $A217 &amp; "*", S26_CF!A:A, 0))</f>
        <v>#N/A</v>
      </c>
      <c r="U217" s="43" t="str">
        <f>IF(COUNTIF(F25_CF!$A:$A,"*" &amp; $A217 &amp; "*") &lt;&gt; 0, "Yes", "No")</f>
        <v>Yes</v>
      </c>
      <c r="V217" s="43" t="str">
        <f t="array" ref="V217">INDEX(F25_CF!I:I, MATCH("*" &amp; $A217 &amp; "*", F25_CF!$A:$A, 0))</f>
        <v>Basic Two-Day [$2000.00]</v>
      </c>
      <c r="W217" s="43" t="str">
        <f>IF(COUNTIF(S25_CF!$A:$A,"*" &amp; $A217 &amp; "*") &lt;&gt; 0, "Yes", "No")</f>
        <v>Yes</v>
      </c>
      <c r="X217" s="43" t="str">
        <f t="array" ref="X217">INDEX(S25_CF!J:J, MATCH("*" &amp; $A217 &amp; "*", S25_CF!$A:$A, 0))</f>
        <v>Basic One-Day: Thursday, January 23rd [$1000.00]</v>
      </c>
      <c r="Y217" s="43" t="str">
        <f>IF(COUNTIF(F24_CF!$A:$A,"*" &amp; $A217 &amp; "*") &lt;&gt; 0, "Yes", "No")</f>
        <v>Yes</v>
      </c>
      <c r="Z217" s="43" t="str">
        <f t="array" ref="Z217">INDEX(F24_CF!N:N, MATCH("*" &amp; $A217 &amp; "*", F24_CF!$A:$A, 0))</f>
        <v>Basic One-Day: Wednesday, September 4th [$1000.00]</v>
      </c>
      <c r="AA217" s="43" t="str">
        <f>IF(COUNTIF(S24_CF!$A:$A,"*" &amp; $A217 &amp; "*") &lt;&gt; 0, "Yes", "No")</f>
        <v>Yes</v>
      </c>
      <c r="AB217" s="43" t="str">
        <f t="array" ref="AB217">INDEX(S24_CF!H:H, MATCH("*" &amp; $A217 &amp; "*", S24_CF!$A:$A, 0))</f>
        <v>Basic One-Day [$1000.00]</v>
      </c>
    </row>
    <row r="218" ht="15.0" customHeight="1">
      <c r="A218" s="52" t="s">
        <v>275</v>
      </c>
      <c r="B218" s="43" t="s">
        <v>52</v>
      </c>
      <c r="C218" s="43"/>
      <c r="D218" s="43"/>
      <c r="E218" s="43"/>
      <c r="F218" s="43">
        <f>COUNTIF(S26_Emp!$C:$C,"*" &amp;A218 &amp; "*")</f>
        <v>0</v>
      </c>
      <c r="G218" s="43">
        <f>COUNTIF(F25_Emp!$C:$C,"*" &amp;#REF! &amp; "*")</f>
        <v>0</v>
      </c>
      <c r="H218" s="43">
        <f>COUNTIF(S25_Emp!$C:$C,"*" &amp; A218 &amp; "*")</f>
        <v>0</v>
      </c>
      <c r="I218" s="43">
        <f>COUNTIF(F24_Emp!$C:$C,"*" &amp; B218 &amp; "*")</f>
        <v>0</v>
      </c>
      <c r="J218" s="43">
        <f>COUNTIF(S24_Emp!$C:$C,"*" &amp; $A218 &amp; "*")</f>
        <v>0</v>
      </c>
      <c r="K218" s="43">
        <f>COUNTIF(F23_Emp!$C:$C,"*" &amp; $A218 &amp; "*")</f>
        <v>0</v>
      </c>
      <c r="L218" s="43">
        <f>COUNTIF(S23_Emp!$C:$C,"*" &amp; $A218 &amp; "*")</f>
        <v>1</v>
      </c>
      <c r="M218" s="43">
        <f>COUNTIF(F22_Emp!$C:$C,"*" &amp; $A218 &amp; "*")</f>
        <v>0</v>
      </c>
      <c r="N218" s="43">
        <f>COUNTIF(S22_Emp!$C:$C,"*" &amp; $A218 &amp; "*")</f>
        <v>0</v>
      </c>
      <c r="O218" s="43" t="str">
        <f>COUNTIFS(S22_Emp!$C:$C,"*" &amp; $A218 &amp; "*", S22_S25_Emp!$B:$B, "Bachelor")</f>
        <v>#VALUE!</v>
      </c>
      <c r="P218" s="43" t="str">
        <f>COUNTIFS(S22_Emp!$C:$C,"*" &amp; $A218 &amp; "*", S22_S25_Emp!$B:$B, "Master")</f>
        <v>#VALUE!</v>
      </c>
      <c r="Q218" s="43" t="str">
        <f>COUNTIFS(S22_Emp!$C:$C,"*" &amp; $A218 &amp; "*", S22_S25_Emp!$B:$B, "Doctorate")</f>
        <v>#VALUE!</v>
      </c>
      <c r="R218" s="43" t="str">
        <f t="array" ref="R218">IF(OR(INDEX(S26_CF!X:X, MATCH("*" &amp; $A218 &amp; "*", CompanyList!A:A, 0))=TRUE, INDEX(F25_CF!P:P, MATCH("*" &amp; $A218 &amp; "*", CompanyList!A:A, 0))=TRUE, INDEX(S25_CF!T:T, MATCH("*" &amp; $A218 &amp; "*", CompanyList!A:A, 0))=TRUE, INDEX(S24_CF!W:W, MATCH("*" &amp; $A218 &amp; "*", CompanyList!A:A, 0))=TRUE), "Yes", "No")</f>
        <v>No</v>
      </c>
      <c r="S218" s="43" t="str">
        <f>IF(COUNTIF(S26_CF!$A:$A,"*" &amp; $A218 &amp; "*") &lt;&gt; 0, "Yes", "No")</f>
        <v>No</v>
      </c>
      <c r="T218" s="43" t="str">
        <f t="array" ref="T218">INDEX(S26_CF!K:K, MATCH("*" &amp; $A218 &amp; "*", S26_CF!A:A, 0))</f>
        <v>#N/A</v>
      </c>
      <c r="U218" s="43" t="str">
        <f>IF(COUNTIF(F25_CF!$A:$A,"*" &amp; $A218 &amp; "*") &lt;&gt; 0, "Yes", "No")</f>
        <v>Yes</v>
      </c>
      <c r="V218" s="43" t="str">
        <f t="array" ref="V218">INDEX(F25_CF!I:I, MATCH("*" &amp; $A218 &amp; "*", F25_CF!$A:$A, 0))</f>
        <v>Basic One-Day: Wednesday, September 10th [$1000.00]</v>
      </c>
      <c r="W218" s="43" t="str">
        <f>IF(COUNTIF(S25_CF!$A:$A,"*" &amp; $A218 &amp; "*") &lt;&gt; 0, "Yes", "No")</f>
        <v>No</v>
      </c>
      <c r="X218" s="43" t="str">
        <f t="array" ref="X218">INDEX(S25_CF!J:J, MATCH("*" &amp; $A218 &amp; "*", S25_CF!$A:$A, 0))</f>
        <v>#N/A</v>
      </c>
      <c r="Y218" s="43" t="str">
        <f>IF(COUNTIF(F24_CF!$A:$A,"*" &amp; $A218 &amp; "*") &lt;&gt; 0, "Yes", "No")</f>
        <v>Yes</v>
      </c>
      <c r="Z218" s="43" t="str">
        <f t="array" ref="Z218">INDEX(F24_CF!N:N, MATCH("*" &amp; $A218 &amp; "*", F24_CF!$A:$A, 0))</f>
        <v>Basic One-Day: Wednesday, September 4th [$1000.00]</v>
      </c>
      <c r="AA218" s="43" t="str">
        <f>IF(COUNTIF(S24_CF!$A:$A,"*" &amp; $A218 &amp; "*") &lt;&gt; 0, "Yes", "No")</f>
        <v>Yes</v>
      </c>
      <c r="AB218" s="43" t="str">
        <f t="array" ref="AB218">INDEX(S24_CF!H:H, MATCH("*" &amp; $A218 &amp; "*", S24_CF!$A:$A, 0))</f>
        <v>Basic One-Day [$1000.00]</v>
      </c>
    </row>
    <row r="219" ht="15.0" customHeight="1">
      <c r="A219" s="52" t="s">
        <v>276</v>
      </c>
      <c r="B219" s="43" t="s">
        <v>52</v>
      </c>
      <c r="C219" s="43"/>
      <c r="D219" s="43">
        <v>1000.0</v>
      </c>
      <c r="E219" s="43"/>
      <c r="F219" s="43">
        <f>COUNTIF(S26_Emp!$C:$C,"*" &amp;A219 &amp; "*")</f>
        <v>0</v>
      </c>
      <c r="G219" s="43">
        <f>COUNTIF(F25_Emp!$C:$C,"*" &amp;#REF! &amp; "*")</f>
        <v>0</v>
      </c>
      <c r="H219" s="43">
        <f>COUNTIF(S25_Emp!$C:$C,"*" &amp; A219 &amp; "*")</f>
        <v>0</v>
      </c>
      <c r="I219" s="43">
        <f>COUNTIF(F24_Emp!$C:$C,"*" &amp; B219 &amp; "*")</f>
        <v>0</v>
      </c>
      <c r="J219" s="43">
        <f>COUNTIF(S24_Emp!$C:$C,"*" &amp; $A219 &amp; "*")</f>
        <v>0</v>
      </c>
      <c r="K219" s="43">
        <f>COUNTIF(F23_Emp!$C:$C,"*" &amp; $A219 &amp; "*")</f>
        <v>0</v>
      </c>
      <c r="L219" s="43">
        <f>COUNTIF(S23_Emp!$C:$C,"*" &amp; $A219 &amp; "*")</f>
        <v>0</v>
      </c>
      <c r="M219" s="43">
        <f>COUNTIF(F22_Emp!$C:$C,"*" &amp; $A219 &amp; "*")</f>
        <v>0</v>
      </c>
      <c r="N219" s="43">
        <f>COUNTIF(S22_Emp!$C:$C,"*" &amp; $A219 &amp; "*")</f>
        <v>0</v>
      </c>
      <c r="O219" s="43" t="str">
        <f>COUNTIFS(S22_Emp!$C:$C,"*" &amp; $A219 &amp; "*", S22_S25_Emp!$B:$B, "Bachelor")</f>
        <v>#VALUE!</v>
      </c>
      <c r="P219" s="43" t="str">
        <f>COUNTIFS(S22_Emp!$C:$C,"*" &amp; $A219 &amp; "*", S22_S25_Emp!$B:$B, "Master")</f>
        <v>#VALUE!</v>
      </c>
      <c r="Q219" s="43" t="str">
        <f>COUNTIFS(S22_Emp!$C:$C,"*" &amp; $A219 &amp; "*", S22_S25_Emp!$B:$B, "Doctorate")</f>
        <v>#VALUE!</v>
      </c>
      <c r="R219" s="43" t="str">
        <f t="array" ref="R219">IF(OR(INDEX(S26_CF!X:X, MATCH("*" &amp; $A219 &amp; "*", CompanyList!A:A, 0))=TRUE, INDEX(F25_CF!P:P, MATCH("*" &amp; $A219 &amp; "*", CompanyList!A:A, 0))=TRUE, INDEX(S25_CF!T:T, MATCH("*" &amp; $A219 &amp; "*", CompanyList!A:A, 0))=TRUE, INDEX(S24_CF!W:W, MATCH("*" &amp; $A219 &amp; "*", CompanyList!A:A, 0))=TRUE), "Yes", "No")</f>
        <v>No</v>
      </c>
      <c r="S219" s="43" t="str">
        <f>IF(COUNTIF(S26_CF!$A:$A,"*" &amp; $A219 &amp; "*") &lt;&gt; 0, "Yes", "No")</f>
        <v>No</v>
      </c>
      <c r="T219" s="43" t="str">
        <f t="array" ref="T219">INDEX(S26_CF!K:K, MATCH("*" &amp; $A219 &amp; "*", S26_CF!A:A, 0))</f>
        <v>#N/A</v>
      </c>
      <c r="U219" s="43" t="str">
        <f>IF(COUNTIF(F25_CF!$A:$A,"*" &amp; $A219 &amp; "*") &lt;&gt; 0, "Yes", "No")</f>
        <v>Yes</v>
      </c>
      <c r="V219" s="43" t="str">
        <f t="array" ref="V219">INDEX(F25_CF!I:I, MATCH("*" &amp; $A219 &amp; "*", F25_CF!$A:$A, 0))</f>
        <v>Gold Two-Day [$5500.00]</v>
      </c>
      <c r="W219" s="43" t="str">
        <f>IF(COUNTIF(S25_CF!$A:$A,"*" &amp; $A219 &amp; "*") &lt;&gt; 0, "Yes", "No")</f>
        <v>Yes</v>
      </c>
      <c r="X219" s="43" t="str">
        <f t="array" ref="X219">INDEX(S25_CF!J:J, MATCH("*" &amp; $A219 &amp; "*", S25_CF!$A:$A, 0))</f>
        <v>Basic Two-Day [$2000.00]</v>
      </c>
      <c r="Y219" s="43" t="str">
        <f>IF(COUNTIF(F24_CF!$A:$A,"*" &amp; $A219 &amp; "*") &lt;&gt; 0, "Yes", "No")</f>
        <v>Yes</v>
      </c>
      <c r="Z219" s="43" t="str">
        <f t="array" ref="Z219">INDEX(F24_CF!N:N, MATCH("*" &amp; $A219 &amp; "*", F24_CF!$A:$A, 0))</f>
        <v>Basic One-Day: Thursday, September 5th [$1000.00]</v>
      </c>
      <c r="AA219" s="43" t="str">
        <f>IF(COUNTIF(S24_CF!$A:$A,"*" &amp; $A219 &amp; "*") &lt;&gt; 0, "Yes", "No")</f>
        <v>Yes</v>
      </c>
      <c r="AB219" s="43" t="str">
        <f t="array" ref="AB219">INDEX(S24_CF!H:H, MATCH("*" &amp; $A219 &amp; "*", S24_CF!$A:$A, 0))</f>
        <v>Basic Two-Day [$2000.00]</v>
      </c>
    </row>
    <row r="220" ht="15.0" customHeight="1">
      <c r="A220" s="52" t="s">
        <v>277</v>
      </c>
      <c r="B220" s="43" t="s">
        <v>52</v>
      </c>
      <c r="C220" s="43"/>
      <c r="D220" s="43"/>
      <c r="E220" s="43"/>
      <c r="F220" s="43">
        <f>COUNTIF(S26_Emp!$C:$C,"*" &amp;A220 &amp; "*")</f>
        <v>0</v>
      </c>
      <c r="G220" s="43">
        <f>COUNTIF(F25_Emp!$C:$C,"*" &amp;#REF! &amp; "*")</f>
        <v>0</v>
      </c>
      <c r="H220" s="43">
        <f>COUNTIF(S25_Emp!$C:$C,"*" &amp; A220 &amp; "*")</f>
        <v>0</v>
      </c>
      <c r="I220" s="43">
        <f>COUNTIF(F24_Emp!$C:$C,"*" &amp; B220 &amp; "*")</f>
        <v>0</v>
      </c>
      <c r="J220" s="43">
        <f>COUNTIF(S24_Emp!$C:$C,"*" &amp; $A220 &amp; "*")</f>
        <v>0</v>
      </c>
      <c r="K220" s="43">
        <f>COUNTIF(F23_Emp!$C:$C,"*" &amp; $A220 &amp; "*")</f>
        <v>0</v>
      </c>
      <c r="L220" s="43">
        <f>COUNTIF(S23_Emp!$C:$C,"*" &amp; $A220 &amp; "*")</f>
        <v>0</v>
      </c>
      <c r="M220" s="43">
        <f>COUNTIF(F22_Emp!$C:$C,"*" &amp; $A220 &amp; "*")</f>
        <v>0</v>
      </c>
      <c r="N220" s="43">
        <f>COUNTIF(S22_Emp!$C:$C,"*" &amp; $A220 &amp; "*")</f>
        <v>0</v>
      </c>
      <c r="O220" s="43" t="str">
        <f>COUNTIFS(S22_Emp!$C:$C,"*" &amp; $A220 &amp; "*", S22_S25_Emp!$B:$B, "Bachelor")</f>
        <v>#VALUE!</v>
      </c>
      <c r="P220" s="43" t="str">
        <f>COUNTIFS(S22_Emp!$C:$C,"*" &amp; $A220 &amp; "*", S22_S25_Emp!$B:$B, "Master")</f>
        <v>#VALUE!</v>
      </c>
      <c r="Q220" s="43" t="str">
        <f>COUNTIFS(S22_Emp!$C:$C,"*" &amp; $A220 &amp; "*", S22_S25_Emp!$B:$B, "Doctorate")</f>
        <v>#VALUE!</v>
      </c>
      <c r="R220" s="43" t="str">
        <f t="array" ref="R220">IF(OR(INDEX(S26_CF!X:X, MATCH("*" &amp; $A220 &amp; "*", CompanyList!A:A, 0))=TRUE, INDEX(F25_CF!P:P, MATCH("*" &amp; $A220 &amp; "*", CompanyList!A:A, 0))=TRUE, INDEX(S25_CF!T:T, MATCH("*" &amp; $A220 &amp; "*", CompanyList!A:A, 0))=TRUE, INDEX(S24_CF!W:W, MATCH("*" &amp; $A220 &amp; "*", CompanyList!A:A, 0))=TRUE), "Yes", "No")</f>
        <v>No</v>
      </c>
      <c r="S220" s="43" t="str">
        <f>IF(COUNTIF(S26_CF!$A:$A,"*" &amp; $A220 &amp; "*") &lt;&gt; 0, "Yes", "No")</f>
        <v>No</v>
      </c>
      <c r="T220" s="43" t="str">
        <f t="array" ref="T220">INDEX(S26_CF!K:K, MATCH("*" &amp; $A220 &amp; "*", S26_CF!A:A, 0))</f>
        <v>#N/A</v>
      </c>
      <c r="U220" s="43" t="str">
        <f>IF(COUNTIF(F25_CF!$A:$A,"*" &amp; $A220 &amp; "*") &lt;&gt; 0, "Yes", "No")</f>
        <v>Yes</v>
      </c>
      <c r="V220" s="43" t="str">
        <f t="array" ref="V220">INDEX(F25_CF!I:I, MATCH("*" &amp; $A220 &amp; "*", F25_CF!$A:$A, 0))</f>
        <v>Basic One-Day: Wednesday, September 10th [$1000.00]</v>
      </c>
      <c r="W220" s="43" t="str">
        <f>IF(COUNTIF(S25_CF!$A:$A,"*" &amp; $A220 &amp; "*") &lt;&gt; 0, "Yes", "No")</f>
        <v>Yes</v>
      </c>
      <c r="X220" s="43" t="str">
        <f t="array" ref="X220">INDEX(S25_CF!J:J, MATCH("*" &amp; $A220 &amp; "*", S25_CF!$A:$A, 0))</f>
        <v>Basic One-Day: Wednesday, January 22nd [$1000.00]</v>
      </c>
      <c r="Y220" s="43" t="str">
        <f>IF(COUNTIF(F24_CF!$A:$A,"*" &amp; $A220 &amp; "*") &lt;&gt; 0, "Yes", "No")</f>
        <v>Yes</v>
      </c>
      <c r="Z220" s="43" t="str">
        <f t="array" ref="Z220">INDEX(F24_CF!N:N, MATCH("*" &amp; $A220 &amp; "*", F24_CF!$A:$A, 0))</f>
        <v>Basic One-Day: Wednesday, September 4th [$1000.00]</v>
      </c>
      <c r="AA220" s="43" t="str">
        <f>IF(COUNTIF(S24_CF!$A:$A,"*" &amp; $A220 &amp; "*") &lt;&gt; 0, "Yes", "No")</f>
        <v>Yes</v>
      </c>
      <c r="AB220" s="43" t="str">
        <f t="array" ref="AB220">INDEX(S24_CF!H:H, MATCH("*" &amp; $A220 &amp; "*", S24_CF!$A:$A, 0))</f>
        <v>Basic One-Day [$1000.00]</v>
      </c>
    </row>
    <row r="221" ht="15.0" customHeight="1">
      <c r="A221" s="52" t="s">
        <v>278</v>
      </c>
      <c r="B221" s="43" t="s">
        <v>52</v>
      </c>
      <c r="C221" s="43"/>
      <c r="D221" s="43"/>
      <c r="E221" s="43"/>
      <c r="F221" s="43">
        <f>COUNTIF(S26_Emp!$C:$C,"*" &amp;A221 &amp; "*")</f>
        <v>0</v>
      </c>
      <c r="G221" s="43">
        <f>COUNTIF(F25_Emp!$C:$C,"*" &amp;#REF! &amp; "*")</f>
        <v>0</v>
      </c>
      <c r="H221" s="43">
        <f>COUNTIF(S25_Emp!$C:$C,"*" &amp; A221 &amp; "*")</f>
        <v>0</v>
      </c>
      <c r="I221" s="43">
        <f>COUNTIF(F24_Emp!$C:$C,"*" &amp; B221 &amp; "*")</f>
        <v>0</v>
      </c>
      <c r="J221" s="43">
        <f>COUNTIF(S24_Emp!$C:$C,"*" &amp; $A221 &amp; "*")</f>
        <v>0</v>
      </c>
      <c r="K221" s="43">
        <f>COUNTIF(F23_Emp!$C:$C,"*" &amp; $A221 &amp; "*")</f>
        <v>1</v>
      </c>
      <c r="L221" s="43">
        <f>COUNTIF(S23_Emp!$C:$C,"*" &amp; $A221 &amp; "*")</f>
        <v>1</v>
      </c>
      <c r="M221" s="43">
        <f>COUNTIF(F22_Emp!$C:$C,"*" &amp; $A221 &amp; "*")</f>
        <v>0</v>
      </c>
      <c r="N221" s="43">
        <f>COUNTIF(S22_Emp!$C:$C,"*" &amp; $A221 &amp; "*")</f>
        <v>1</v>
      </c>
      <c r="O221" s="43" t="str">
        <f>COUNTIFS(S22_Emp!$C:$C,"*" &amp; $A221 &amp; "*", S22_S25_Emp!$B:$B, "Bachelor")</f>
        <v>#VALUE!</v>
      </c>
      <c r="P221" s="43" t="str">
        <f>COUNTIFS(S22_Emp!$C:$C,"*" &amp; $A221 &amp; "*", S22_S25_Emp!$B:$B, "Master")</f>
        <v>#VALUE!</v>
      </c>
      <c r="Q221" s="43" t="str">
        <f>COUNTIFS(S22_Emp!$C:$C,"*" &amp; $A221 &amp; "*", S22_S25_Emp!$B:$B, "Doctorate")</f>
        <v>#VALUE!</v>
      </c>
      <c r="R221" s="43" t="str">
        <f t="array" ref="R221">IF(OR(INDEX(S26_CF!X:X, MATCH("*" &amp; $A221 &amp; "*", CompanyList!A:A, 0))=TRUE, INDEX(F25_CF!P:P, MATCH("*" &amp; $A221 &amp; "*", CompanyList!A:A, 0))=TRUE, INDEX(S25_CF!T:T, MATCH("*" &amp; $A221 &amp; "*", CompanyList!A:A, 0))=TRUE, INDEX(S24_CF!W:W, MATCH("*" &amp; $A221 &amp; "*", CompanyList!A:A, 0))=TRUE), "Yes", "No")</f>
        <v>No</v>
      </c>
      <c r="S221" s="43" t="str">
        <f>IF(COUNTIF(S26_CF!$A:$A,"*" &amp; $A221 &amp; "*") &lt;&gt; 0, "Yes", "No")</f>
        <v>Yes</v>
      </c>
      <c r="T221" s="43" t="str">
        <f t="array" ref="T221">INDEX(S26_CF!K:K, MATCH("*" &amp; $A221 &amp; "*", S26_CF!A:A, 0))</f>
        <v>Basic One-Day: Wednesday, January 28th [$1000.00]</v>
      </c>
      <c r="U221" s="43" t="str">
        <f>IF(COUNTIF(F25_CF!$A:$A,"*" &amp; $A221 &amp; "*") &lt;&gt; 0, "Yes", "No")</f>
        <v>Yes</v>
      </c>
      <c r="V221" s="43" t="str">
        <f t="array" ref="V221">INDEX(F25_CF!I:I, MATCH("*" &amp; $A221 &amp; "*", F25_CF!$A:$A, 0))</f>
        <v>Basic Two-Day [$2000.00]</v>
      </c>
      <c r="W221" s="43" t="str">
        <f>IF(COUNTIF(S25_CF!$A:$A,"*" &amp; $A221 &amp; "*") &lt;&gt; 0, "Yes", "No")</f>
        <v>Yes</v>
      </c>
      <c r="X221" s="43" t="str">
        <f t="array" ref="X221">INDEX(S25_CF!J:J, MATCH("*" &amp; $A221 &amp; "*", S25_CF!$A:$A, 0))</f>
        <v>Basic One-Day: Thursday, January 23rd [$1000.00]</v>
      </c>
      <c r="Y221" s="43" t="str">
        <f>IF(COUNTIF(F24_CF!$A:$A,"*" &amp; $A221 &amp; "*") &lt;&gt; 0, "Yes", "No")</f>
        <v>Yes</v>
      </c>
      <c r="Z221" s="43" t="str">
        <f t="array" ref="Z221">INDEX(F24_CF!N:N, MATCH("*" &amp; $A221 &amp; "*", F24_CF!$A:$A, 0))</f>
        <v>Silver One-Day: Thursday, September 5th [$1800.00]</v>
      </c>
      <c r="AA221" s="43" t="str">
        <f>IF(COUNTIF(S24_CF!$A:$A,"*" &amp; $A221 &amp; "*") &lt;&gt; 0, "Yes", "No")</f>
        <v>Yes</v>
      </c>
      <c r="AB221" s="43" t="str">
        <f t="array" ref="AB221">INDEX(S24_CF!H:H, MATCH("*" &amp; $A221 &amp; "*", S24_CF!$A:$A, 0))</f>
        <v>Silver Two-Day [$3000.00]</v>
      </c>
    </row>
    <row r="222" ht="15.0" customHeight="1">
      <c r="A222" s="52" t="s">
        <v>279</v>
      </c>
      <c r="B222" s="43" t="s">
        <v>52</v>
      </c>
      <c r="C222" s="43"/>
      <c r="D222" s="43"/>
      <c r="E222" s="43"/>
      <c r="F222" s="43">
        <f>COUNTIF(S26_Emp!$C:$C,"*" &amp;A222 &amp; "*")</f>
        <v>0</v>
      </c>
      <c r="G222" s="43">
        <f>COUNTIF(F25_Emp!$C:$C,"*" &amp;#REF! &amp; "*")</f>
        <v>0</v>
      </c>
      <c r="H222" s="43">
        <f>COUNTIF(S25_Emp!$C:$C,"*" &amp; A222 &amp; "*")</f>
        <v>0</v>
      </c>
      <c r="I222" s="43">
        <f>COUNTIF(F24_Emp!$C:$C,"*" &amp; B222 &amp; "*")</f>
        <v>0</v>
      </c>
      <c r="J222" s="43">
        <f>COUNTIF(S24_Emp!$C:$C,"*" &amp; $A222 &amp; "*")</f>
        <v>0</v>
      </c>
      <c r="K222" s="43">
        <f>COUNTIF(F23_Emp!$C:$C,"*" &amp; $A222 &amp; "*")</f>
        <v>0</v>
      </c>
      <c r="L222" s="43">
        <f>COUNTIF(S23_Emp!$C:$C,"*" &amp; $A222 &amp; "*")</f>
        <v>0</v>
      </c>
      <c r="M222" s="43">
        <f>COUNTIF(F22_Emp!$C:$C,"*" &amp; $A222 &amp; "*")</f>
        <v>0</v>
      </c>
      <c r="N222" s="43">
        <f>COUNTIF(S22_Emp!$C:$C,"*" &amp; $A222 &amp; "*")</f>
        <v>0</v>
      </c>
      <c r="O222" s="43" t="str">
        <f>COUNTIFS(S22_Emp!$C:$C,"*" &amp; $A222 &amp; "*", S22_S25_Emp!$B:$B, "Bachelor")</f>
        <v>#VALUE!</v>
      </c>
      <c r="P222" s="43" t="str">
        <f>COUNTIFS(S22_Emp!$C:$C,"*" &amp; $A222 &amp; "*", S22_S25_Emp!$B:$B, "Master")</f>
        <v>#VALUE!</v>
      </c>
      <c r="Q222" s="43" t="str">
        <f>COUNTIFS(S22_Emp!$C:$C,"*" &amp; $A222 &amp; "*", S22_S25_Emp!$B:$B, "Doctorate")</f>
        <v>#VALUE!</v>
      </c>
      <c r="R222" s="43" t="str">
        <f t="array" ref="R222">IF(OR(INDEX(S26_CF!X:X, MATCH("*" &amp; $A222 &amp; "*", CompanyList!A:A, 0))=TRUE, INDEX(F25_CF!P:P, MATCH("*" &amp; $A222 &amp; "*", CompanyList!A:A, 0))=TRUE, INDEX(S25_CF!T:T, MATCH("*" &amp; $A222 &amp; "*", CompanyList!A:A, 0))=TRUE, INDEX(S24_CF!W:W, MATCH("*" &amp; $A222 &amp; "*", CompanyList!A:A, 0))=TRUE), "Yes", "No")</f>
        <v>No</v>
      </c>
      <c r="S222" s="43" t="str">
        <f>IF(COUNTIF(S26_CF!$A:$A,"*" &amp; $A222 &amp; "*") &lt;&gt; 0, "Yes", "No")</f>
        <v>Yes</v>
      </c>
      <c r="T222" s="43" t="str">
        <f t="array" ref="T222">INDEX(S26_CF!K:K, MATCH("*" &amp; $A222 &amp; "*", S26_CF!A:A, 0))</f>
        <v>Basic One-Day: Thursday, January 29th [$1000.00]</v>
      </c>
      <c r="U222" s="43" t="str">
        <f>IF(COUNTIF(F25_CF!$A:$A,"*" &amp; $A222 &amp; "*") &lt;&gt; 0, "Yes", "No")</f>
        <v>Yes</v>
      </c>
      <c r="V222" s="43" t="str">
        <f t="array" ref="V222">INDEX(F25_CF!I:I, MATCH("*" &amp; $A222 &amp; "*", F25_CF!$A:$A, 0))</f>
        <v>Basic One-Day: Wednesday, September 10th [$1000.00]</v>
      </c>
      <c r="W222" s="43" t="str">
        <f>IF(COUNTIF(S25_CF!$A:$A,"*" &amp; $A222 &amp; "*") &lt;&gt; 0, "Yes", "No")</f>
        <v>Yes</v>
      </c>
      <c r="X222" s="43" t="str">
        <f t="array" ref="X222">INDEX(S25_CF!J:J, MATCH("*" &amp; $A222 &amp; "*", S25_CF!$A:$A, 0))</f>
        <v>Basic One-Day: Wednesday, January 22nd [$1000.00]</v>
      </c>
      <c r="Y222" s="43" t="str">
        <f>IF(COUNTIF(F24_CF!$A:$A,"*" &amp; $A222 &amp; "*") &lt;&gt; 0, "Yes", "No")</f>
        <v>Yes</v>
      </c>
      <c r="Z222" s="43" t="str">
        <f t="array" ref="Z222">INDEX(F24_CF!N:N, MATCH("*" &amp; $A222 &amp; "*", F24_CF!$A:$A, 0))</f>
        <v>Basic One-Day: Wednesday, September 4th [$1000.00]</v>
      </c>
      <c r="AA222" s="43" t="str">
        <f>IF(COUNTIF(S24_CF!$A:$A,"*" &amp; $A222 &amp; "*") &lt;&gt; 0, "Yes", "No")</f>
        <v>Yes</v>
      </c>
      <c r="AB222" s="43" t="str">
        <f t="array" ref="AB222">INDEX(S24_CF!H:H, MATCH("*" &amp; $A222 &amp; "*", S24_CF!$A:$A, 0))</f>
        <v>Basic One-Day [$1000.00]</v>
      </c>
    </row>
    <row r="223" ht="15.0" customHeight="1">
      <c r="A223" s="52" t="s">
        <v>280</v>
      </c>
      <c r="B223" s="43" t="s">
        <v>52</v>
      </c>
      <c r="C223" s="43"/>
      <c r="D223" s="43"/>
      <c r="E223" s="43"/>
      <c r="F223" s="43">
        <f>COUNTIF(S26_Emp!$C:$C,"*" &amp;A223 &amp; "*")</f>
        <v>0</v>
      </c>
      <c r="G223" s="43">
        <f>COUNTIF(F25_Emp!$C:$C,"*" &amp;#REF! &amp; "*")</f>
        <v>0</v>
      </c>
      <c r="H223" s="43">
        <f>COUNTIF(S25_Emp!$C:$C,"*" &amp; A223 &amp; "*")</f>
        <v>0</v>
      </c>
      <c r="I223" s="43">
        <f>COUNTIF(F24_Emp!$C:$C,"*" &amp; B223 &amp; "*")</f>
        <v>0</v>
      </c>
      <c r="J223" s="43">
        <f>COUNTIF(S24_Emp!$C:$C,"*" &amp; $A223 &amp; "*")</f>
        <v>1</v>
      </c>
      <c r="K223" s="43">
        <f>COUNTIF(F23_Emp!$C:$C,"*" &amp; $A223 &amp; "*")</f>
        <v>0</v>
      </c>
      <c r="L223" s="43">
        <f>COUNTIF(S23_Emp!$C:$C,"*" &amp; $A223 &amp; "*")</f>
        <v>1</v>
      </c>
      <c r="M223" s="43">
        <f>COUNTIF(F22_Emp!$C:$C,"*" &amp; $A223 &amp; "*")</f>
        <v>0</v>
      </c>
      <c r="N223" s="43">
        <f>COUNTIF(S22_Emp!$C:$C,"*" &amp; $A223 &amp; "*")</f>
        <v>1</v>
      </c>
      <c r="O223" s="43" t="str">
        <f>COUNTIFS(S22_Emp!$C:$C,"*" &amp; $A223 &amp; "*", S22_S25_Emp!$B:$B, "Bachelor")</f>
        <v>#VALUE!</v>
      </c>
      <c r="P223" s="43" t="str">
        <f>COUNTIFS(S22_Emp!$C:$C,"*" &amp; $A223 &amp; "*", S22_S25_Emp!$B:$B, "Master")</f>
        <v>#VALUE!</v>
      </c>
      <c r="Q223" s="43" t="str">
        <f>COUNTIFS(S22_Emp!$C:$C,"*" &amp; $A223 &amp; "*", S22_S25_Emp!$B:$B, "Doctorate")</f>
        <v>#VALUE!</v>
      </c>
      <c r="R223" s="43" t="str">
        <f t="array" ref="R223">IF(OR(INDEX(S26_CF!X:X, MATCH("*" &amp; $A223 &amp; "*", CompanyList!A:A, 0))=TRUE, INDEX(F25_CF!P:P, MATCH("*" &amp; $A223 &amp; "*", CompanyList!A:A, 0))=TRUE, INDEX(S25_CF!T:T, MATCH("*" &amp; $A223 &amp; "*", CompanyList!A:A, 0))=TRUE, INDEX(S24_CF!W:W, MATCH("*" &amp; $A223 &amp; "*", CompanyList!A:A, 0))=TRUE), "Yes", "No")</f>
        <v>No</v>
      </c>
      <c r="S223" s="43" t="str">
        <f>IF(COUNTIF(S26_CF!$A:$A,"*" &amp; $A223 &amp; "*") &lt;&gt; 0, "Yes", "No")</f>
        <v>Yes</v>
      </c>
      <c r="T223" s="43" t="str">
        <f t="array" ref="T223">INDEX(S26_CF!K:K, MATCH("*" &amp; $A223 &amp; "*", S26_CF!A:A, 0))</f>
        <v>Gold Two-Day [$5500.00]</v>
      </c>
      <c r="U223" s="43" t="str">
        <f>IF(COUNTIF(F25_CF!$A:$A,"*" &amp; $A223 &amp; "*") &lt;&gt; 0, "Yes", "No")</f>
        <v>Yes</v>
      </c>
      <c r="V223" s="43" t="str">
        <f t="array" ref="V223">INDEX(F25_CF!I:I, MATCH("*" &amp; $A223 &amp; "*", F25_CF!$A:$A, 0))</f>
        <v>Gold Two-Day [$5500.00]</v>
      </c>
      <c r="W223" s="43" t="str">
        <f>IF(COUNTIF(S25_CF!$A:$A,"*" &amp; $A223 &amp; "*") &lt;&gt; 0, "Yes", "No")</f>
        <v>No</v>
      </c>
      <c r="X223" s="43" t="str">
        <f t="array" ref="X223">INDEX(S25_CF!J:J, MATCH("*" &amp; $A223 &amp; "*", S25_CF!$A:$A, 0))</f>
        <v>#N/A</v>
      </c>
      <c r="Y223" s="43" t="str">
        <f>IF(COUNTIF(F24_CF!$A:$A,"*" &amp; $A223 &amp; "*") &lt;&gt; 0, "Yes", "No")</f>
        <v>Yes</v>
      </c>
      <c r="Z223" s="43" t="str">
        <f t="array" ref="Z223">INDEX(F24_CF!N:N, MATCH("*" &amp; $A223 &amp; "*", F24_CF!$A:$A, 0))</f>
        <v>Gold Two-Day [$5500.00]</v>
      </c>
      <c r="AA223" s="43" t="str">
        <f>IF(COUNTIF(S24_CF!$A:$A,"*" &amp; $A223 &amp; "*") &lt;&gt; 0, "Yes", "No")</f>
        <v>Yes</v>
      </c>
      <c r="AB223" s="43" t="str">
        <f t="array" ref="AB223">INDEX(S24_CF!H:H, MATCH("*" &amp; $A223 &amp; "*", S24_CF!$A:$A, 0))</f>
        <v>Gold Two-Day [$5000.00]</v>
      </c>
    </row>
    <row r="224" ht="15.0" customHeight="1">
      <c r="A224" s="52" t="s">
        <v>281</v>
      </c>
      <c r="B224" s="43" t="s">
        <v>52</v>
      </c>
      <c r="C224" s="43"/>
      <c r="D224" s="43"/>
      <c r="E224" s="43"/>
      <c r="F224" s="43">
        <f>COUNTIF(S26_Emp!$C:$C,"*" &amp;A224 &amp; "*")</f>
        <v>0</v>
      </c>
      <c r="G224" s="43">
        <f>COUNTIF(F25_Emp!$C:$C,"*" &amp;#REF! &amp; "*")</f>
        <v>0</v>
      </c>
      <c r="H224" s="43">
        <f>COUNTIF(S25_Emp!$C:$C,"*" &amp; A224 &amp; "*")</f>
        <v>1</v>
      </c>
      <c r="I224" s="43">
        <f>COUNTIF(F24_Emp!$C:$C,"*" &amp; B224 &amp; "*")</f>
        <v>0</v>
      </c>
      <c r="J224" s="43">
        <f>COUNTIF(S24_Emp!$C:$C,"*" &amp; $A224 &amp; "*")</f>
        <v>3</v>
      </c>
      <c r="K224" s="43">
        <f>COUNTIF(F23_Emp!$C:$C,"*" &amp; $A224 &amp; "*")</f>
        <v>1</v>
      </c>
      <c r="L224" s="43">
        <f>COUNTIF(S23_Emp!$C:$C,"*" &amp; $A224 &amp; "*")</f>
        <v>1</v>
      </c>
      <c r="M224" s="43">
        <f>COUNTIF(F22_Emp!$C:$C,"*" &amp; $A224 &amp; "*")</f>
        <v>3</v>
      </c>
      <c r="N224" s="43">
        <f>COUNTIF(S22_Emp!$C:$C,"*" &amp; $A224 &amp; "*")</f>
        <v>1</v>
      </c>
      <c r="O224" s="43" t="str">
        <f>COUNTIFS(S22_Emp!$C:$C,"*" &amp; $A224 &amp; "*", S22_S25_Emp!$B:$B, "Bachelor")</f>
        <v>#VALUE!</v>
      </c>
      <c r="P224" s="43" t="str">
        <f>COUNTIFS(S22_Emp!$C:$C,"*" &amp; $A224 &amp; "*", S22_S25_Emp!$B:$B, "Master")</f>
        <v>#VALUE!</v>
      </c>
      <c r="Q224" s="43" t="str">
        <f>COUNTIFS(S22_Emp!$C:$C,"*" &amp; $A224 &amp; "*", S22_S25_Emp!$B:$B, "Doctorate")</f>
        <v>#VALUE!</v>
      </c>
      <c r="R224" s="43" t="str">
        <f t="array" ref="R224">IF(OR(INDEX(S26_CF!X:X, MATCH("*" &amp; $A224 &amp; "*", CompanyList!A:A, 0))=TRUE, INDEX(F25_CF!P:P, MATCH("*" &amp; $A224 &amp; "*", CompanyList!A:A, 0))=TRUE, INDEX(S25_CF!T:T, MATCH("*" &amp; $A224 &amp; "*", CompanyList!A:A, 0))=TRUE, INDEX(S24_CF!W:W, MATCH("*" &amp; $A224 &amp; "*", CompanyList!A:A, 0))=TRUE), "Yes", "No")</f>
        <v>No</v>
      </c>
      <c r="S224" s="43" t="str">
        <f>IF(COUNTIF(S26_CF!$A:$A,"*" &amp; $A224 &amp; "*") &lt;&gt; 0, "Yes", "No")</f>
        <v>Yes</v>
      </c>
      <c r="T224" s="43" t="str">
        <f t="array" ref="T224">INDEX(S26_CF!K:K, MATCH("*" &amp; $A224 &amp; "*", S26_CF!A:A, 0))</f>
        <v>Silver Two-Day [$3000.00]</v>
      </c>
      <c r="U224" s="43" t="str">
        <f>IF(COUNTIF(F25_CF!$A:$A,"*" &amp; $A224 &amp; "*") &lt;&gt; 0, "Yes", "No")</f>
        <v>Yes</v>
      </c>
      <c r="V224" s="43" t="str">
        <f t="array" ref="V224">INDEX(F25_CF!I:I, MATCH("*" &amp; $A224 &amp; "*", F25_CF!$A:$A, 0))</f>
        <v>Gold Two-Day [$5500.00]</v>
      </c>
      <c r="W224" s="43" t="str">
        <f>IF(COUNTIF(S25_CF!$A:$A,"*" &amp; $A224 &amp; "*") &lt;&gt; 0, "Yes", "No")</f>
        <v>Yes</v>
      </c>
      <c r="X224" s="43" t="str">
        <f t="array" ref="X224">INDEX(S25_CF!J:J, MATCH("*" &amp; $A224 &amp; "*", S25_CF!$A:$A, 0))</f>
        <v>Gold One-Day: Thursday, January 23rd [$2500.00]</v>
      </c>
      <c r="Y224" s="43" t="str">
        <f>IF(COUNTIF(F24_CF!$A:$A,"*" &amp; $A224 &amp; "*") &lt;&gt; 0, "Yes", "No")</f>
        <v>No</v>
      </c>
      <c r="Z224" s="43" t="str">
        <f t="array" ref="Z224">INDEX(F24_CF!N:N, MATCH("*" &amp; $A224 &amp; "*", F24_CF!$A:$A, 0))</f>
        <v>#N/A</v>
      </c>
      <c r="AA224" s="43" t="str">
        <f>IF(COUNTIF(S24_CF!$A:$A,"*" &amp; $A224 &amp; "*") &lt;&gt; 0, "Yes", "No")</f>
        <v>Yes</v>
      </c>
      <c r="AB224" s="43" t="str">
        <f t="array" ref="AB224">INDEX(S24_CF!H:H, MATCH("*" &amp; $A224 &amp; "*", S24_CF!$A:$A, 0))</f>
        <v>Gold Two-Day [$5000.00]</v>
      </c>
    </row>
    <row r="225" ht="15.0" customHeight="1">
      <c r="A225" s="52" t="s">
        <v>282</v>
      </c>
      <c r="B225" s="43" t="s">
        <v>52</v>
      </c>
      <c r="C225" s="43"/>
      <c r="D225" s="43"/>
      <c r="E225" s="43"/>
      <c r="F225" s="43">
        <f>COUNTIF(S26_Emp!$C:$C,"*" &amp;A225 &amp; "*")</f>
        <v>0</v>
      </c>
      <c r="G225" s="43">
        <f>COUNTIF(F25_Emp!$C:$C,"*" &amp;#REF! &amp; "*")</f>
        <v>0</v>
      </c>
      <c r="H225" s="43">
        <f>COUNTIF(S25_Emp!$C:$C,"*" &amp; A225 &amp; "*")</f>
        <v>1</v>
      </c>
      <c r="I225" s="43">
        <f>COUNTIF(F24_Emp!$C:$C,"*" &amp; B225 &amp; "*")</f>
        <v>0</v>
      </c>
      <c r="J225" s="43">
        <f>COUNTIF(S24_Emp!$C:$C,"*" &amp; $A225 &amp; "*")</f>
        <v>1</v>
      </c>
      <c r="K225" s="43">
        <f>COUNTIF(F23_Emp!$C:$C,"*" &amp; $A225 &amp; "*")</f>
        <v>0</v>
      </c>
      <c r="L225" s="43">
        <f>COUNTIF(S23_Emp!$C:$C,"*" &amp; $A225 &amp; "*")</f>
        <v>0</v>
      </c>
      <c r="M225" s="43">
        <f>COUNTIF(F22_Emp!$C:$C,"*" &amp; $A225 &amp; "*")</f>
        <v>0</v>
      </c>
      <c r="N225" s="43">
        <f>COUNTIF(S22_Emp!$C:$C,"*" &amp; $A225 &amp; "*")</f>
        <v>0</v>
      </c>
      <c r="O225" s="43" t="str">
        <f>COUNTIFS(S22_Emp!$C:$C,"*" &amp; $A225 &amp; "*", S22_S25_Emp!$B:$B, "Bachelor")</f>
        <v>#VALUE!</v>
      </c>
      <c r="P225" s="43" t="str">
        <f>COUNTIFS(S22_Emp!$C:$C,"*" &amp; $A225 &amp; "*", S22_S25_Emp!$B:$B, "Master")</f>
        <v>#VALUE!</v>
      </c>
      <c r="Q225" s="43" t="str">
        <f>COUNTIFS(S22_Emp!$C:$C,"*" &amp; $A225 &amp; "*", S22_S25_Emp!$B:$B, "Doctorate")</f>
        <v>#VALUE!</v>
      </c>
      <c r="R225" s="43" t="str">
        <f t="array" ref="R225">IF(OR(INDEX(S26_CF!X:X, MATCH("*" &amp; $A225 &amp; "*", CompanyList!A:A, 0))=TRUE, INDEX(F25_CF!P:P, MATCH("*" &amp; $A225 &amp; "*", CompanyList!A:A, 0))=TRUE, INDEX(S25_CF!T:T, MATCH("*" &amp; $A225 &amp; "*", CompanyList!A:A, 0))=TRUE, INDEX(S24_CF!W:W, MATCH("*" &amp; $A225 &amp; "*", CompanyList!A:A, 0))=TRUE), "Yes", "No")</f>
        <v>No</v>
      </c>
      <c r="S225" s="43" t="str">
        <f>IF(COUNTIF(S26_CF!$A:$A,"*" &amp; $A225 &amp; "*") &lt;&gt; 0, "Yes", "No")</f>
        <v>Yes</v>
      </c>
      <c r="T225" s="43" t="str">
        <f t="array" ref="T225">INDEX(S26_CF!K:K, MATCH("*" &amp; $A225 &amp; "*", S26_CF!A:A, 0))</f>
        <v>Gold Two-Day [$5500.00]</v>
      </c>
      <c r="U225" s="43" t="str">
        <f>IF(COUNTIF(F25_CF!$A:$A,"*" &amp; $A225 &amp; "*") &lt;&gt; 0, "Yes", "No")</f>
        <v>Yes</v>
      </c>
      <c r="V225" s="43" t="str">
        <f t="array" ref="V225">INDEX(F25_CF!I:I, MATCH("*" &amp; $A225 &amp; "*", F25_CF!$A:$A, 0))</f>
        <v>Gold Two-Day [$5500.00]</v>
      </c>
      <c r="W225" s="43" t="str">
        <f>IF(COUNTIF(S25_CF!$A:$A,"*" &amp; $A225 &amp; "*") &lt;&gt; 0, "Yes", "No")</f>
        <v>Yes</v>
      </c>
      <c r="X225" s="43" t="str">
        <f t="array" ref="X225">INDEX(S25_CF!J:J, MATCH("*" &amp; $A225 &amp; "*", S25_CF!$A:$A, 0))</f>
        <v>Gold One-Day: Thursday, January 23rd [$2500.00]</v>
      </c>
      <c r="Y225" s="43" t="str">
        <f>IF(COUNTIF(F24_CF!$A:$A,"*" &amp; $A225 &amp; "*") &lt;&gt; 0, "Yes", "No")</f>
        <v>Yes</v>
      </c>
      <c r="Z225" s="43" t="str">
        <f t="array" ref="Z225">INDEX(F24_CF!N:N, MATCH("*" &amp; $A225 &amp; "*", F24_CF!$A:$A, 0))</f>
        <v>Gold Two-Day [$5500.00]</v>
      </c>
      <c r="AA225" s="43" t="str">
        <f>IF(COUNTIF(S24_CF!$A:$A,"*" &amp; $A225 &amp; "*") &lt;&gt; 0, "Yes", "No")</f>
        <v>Yes</v>
      </c>
      <c r="AB225" s="43" t="str">
        <f t="array" ref="AB225">INDEX(S24_CF!H:H, MATCH("*" &amp; $A225 &amp; "*", S24_CF!$A:$A, 0))</f>
        <v>Gold Two-Day [$5000.00]</v>
      </c>
    </row>
    <row r="226" ht="15.0" customHeight="1">
      <c r="A226" s="52" t="s">
        <v>283</v>
      </c>
      <c r="B226" s="43" t="s">
        <v>52</v>
      </c>
      <c r="C226" s="43"/>
      <c r="D226" s="43"/>
      <c r="E226" s="43"/>
      <c r="F226" s="43">
        <f>COUNTIF(S26_Emp!$C:$C,"*" &amp;A226 &amp; "*")</f>
        <v>0</v>
      </c>
      <c r="G226" s="43">
        <f>COUNTIF(F25_Emp!$C:$C,"*" &amp;#REF! &amp; "*")</f>
        <v>0</v>
      </c>
      <c r="H226" s="43">
        <f>COUNTIF(S25_Emp!$C:$C,"*" &amp; A226 &amp; "*")</f>
        <v>1</v>
      </c>
      <c r="I226" s="43">
        <f>COUNTIF(F24_Emp!$C:$C,"*" &amp; B226 &amp; "*")</f>
        <v>0</v>
      </c>
      <c r="J226" s="43">
        <f>COUNTIF(S24_Emp!$C:$C,"*" &amp; $A226 &amp; "*")</f>
        <v>0</v>
      </c>
      <c r="K226" s="43">
        <f>COUNTIF(F23_Emp!$C:$C,"*" &amp; $A226 &amp; "*")</f>
        <v>0</v>
      </c>
      <c r="L226" s="43">
        <f>COUNTIF(S23_Emp!$C:$C,"*" &amp; $A226 &amp; "*")</f>
        <v>0</v>
      </c>
      <c r="M226" s="43">
        <f>COUNTIF(F22_Emp!$C:$C,"*" &amp; $A226 &amp; "*")</f>
        <v>0</v>
      </c>
      <c r="N226" s="43">
        <f>COUNTIF(S22_Emp!$C:$C,"*" &amp; $A226 &amp; "*")</f>
        <v>0</v>
      </c>
      <c r="O226" s="43" t="str">
        <f>COUNTIFS(S22_Emp!$C:$C,"*" &amp; $A226 &amp; "*", S22_S25_Emp!$B:$B, "Bachelor")</f>
        <v>#VALUE!</v>
      </c>
      <c r="P226" s="43" t="str">
        <f>COUNTIFS(S22_Emp!$C:$C,"*" &amp; $A226 &amp; "*", S22_S25_Emp!$B:$B, "Master")</f>
        <v>#VALUE!</v>
      </c>
      <c r="Q226" s="43" t="str">
        <f>COUNTIFS(S22_Emp!$C:$C,"*" &amp; $A226 &amp; "*", S22_S25_Emp!$B:$B, "Doctorate")</f>
        <v>#VALUE!</v>
      </c>
      <c r="R226" s="43" t="str">
        <f t="array" ref="R226">IF(OR(INDEX(S26_CF!X:X, MATCH("*" &amp; $A226 &amp; "*", CompanyList!A:A, 0))=TRUE, INDEX(F25_CF!P:P, MATCH("*" &amp; $A226 &amp; "*", CompanyList!A:A, 0))=TRUE, INDEX(S25_CF!T:T, MATCH("*" &amp; $A226 &amp; "*", CompanyList!A:A, 0))=TRUE, INDEX(S24_CF!W:W, MATCH("*" &amp; $A226 &amp; "*", CompanyList!A:A, 0))=TRUE), "Yes", "No")</f>
        <v>No</v>
      </c>
      <c r="S226" s="43" t="str">
        <f>IF(COUNTIF(S26_CF!$A:$A,"*" &amp; $A226 &amp; "*") &lt;&gt; 0, "Yes", "No")</f>
        <v>No</v>
      </c>
      <c r="T226" s="43" t="str">
        <f t="array" ref="T226">INDEX(S26_CF!K:K, MATCH("*" &amp; $A226 &amp; "*", S26_CF!A:A, 0))</f>
        <v>#N/A</v>
      </c>
      <c r="U226" s="43" t="str">
        <f>IF(COUNTIF(F25_CF!$A:$A,"*" &amp; $A226 &amp; "*") &lt;&gt; 0, "Yes", "No")</f>
        <v>Yes</v>
      </c>
      <c r="V226" s="43" t="str">
        <f t="array" ref="V226">INDEX(F25_CF!I:I, MATCH("*" &amp; $A226 &amp; "*", F25_CF!$A:$A, 0))</f>
        <v>Basic One-Day: Wednesday, September 10th [$1000.00]</v>
      </c>
      <c r="W226" s="43" t="str">
        <f>IF(COUNTIF(S25_CF!$A:$A,"*" &amp; $A226 &amp; "*") &lt;&gt; 0, "Yes", "No")</f>
        <v>No</v>
      </c>
      <c r="X226" s="43" t="str">
        <f t="array" ref="X226">INDEX(S25_CF!J:J, MATCH("*" &amp; $A226 &amp; "*", S25_CF!$A:$A, 0))</f>
        <v>#N/A</v>
      </c>
      <c r="Y226" s="43" t="str">
        <f>IF(COUNTIF(F24_CF!$A:$A,"*" &amp; $A226 &amp; "*") &lt;&gt; 0, "Yes", "No")</f>
        <v>Yes</v>
      </c>
      <c r="Z226" s="43" t="str">
        <f t="array" ref="Z226">INDEX(F24_CF!N:N, MATCH("*" &amp; $A226 &amp; "*", F24_CF!$A:$A, 0))</f>
        <v>Basic One-Day: Thursday, September 5th [$1000.00]</v>
      </c>
      <c r="AA226" s="43" t="str">
        <f>IF(COUNTIF(S24_CF!$A:$A,"*" &amp; $A226 &amp; "*") &lt;&gt; 0, "Yes", "No")</f>
        <v>Yes</v>
      </c>
      <c r="AB226" s="43" t="str">
        <f t="array" ref="AB226">INDEX(S24_CF!H:H, MATCH("*" &amp; $A226 &amp; "*", S24_CF!$A:$A, 0))</f>
        <v>Basic One-Day [$1000.00]</v>
      </c>
    </row>
    <row r="227" ht="15.0" customHeight="1">
      <c r="A227" s="52" t="s">
        <v>284</v>
      </c>
      <c r="B227" s="43" t="s">
        <v>54</v>
      </c>
      <c r="C227" s="43">
        <v>7500.0</v>
      </c>
      <c r="D227" s="43">
        <v>35000.0</v>
      </c>
      <c r="E227" s="43">
        <v>1.5</v>
      </c>
      <c r="F227" s="43">
        <f>COUNTIF(S26_Emp!$C:$C,"*" &amp;A227 &amp; "*")</f>
        <v>0</v>
      </c>
      <c r="G227" s="43">
        <f>COUNTIF(F25_Emp!$C:$C,"*" &amp;#REF! &amp; "*")</f>
        <v>0</v>
      </c>
      <c r="H227" s="43">
        <f>COUNTIF(S25_Emp!$C:$C,"*" &amp; A227 &amp; "*")</f>
        <v>4</v>
      </c>
      <c r="I227" s="43">
        <f>COUNTIF(F24_Emp!$C:$C,"*" &amp; B227 &amp; "*")</f>
        <v>1</v>
      </c>
      <c r="J227" s="43">
        <f>COUNTIF(S24_Emp!$C:$C,"*" &amp; $A227 &amp; "*")</f>
        <v>10</v>
      </c>
      <c r="K227" s="43">
        <f>COUNTIF(F23_Emp!$C:$C,"*" &amp; $A227 &amp; "*")</f>
        <v>5</v>
      </c>
      <c r="L227" s="43">
        <f>COUNTIF(S23_Emp!$C:$C,"*" &amp; $A227 &amp; "*")</f>
        <v>7</v>
      </c>
      <c r="M227" s="43">
        <f>COUNTIF(F22_Emp!$C:$C,"*" &amp; $A227 &amp; "*")</f>
        <v>7</v>
      </c>
      <c r="N227" s="43">
        <f>COUNTIF(S22_Emp!$C:$C,"*" &amp; $A227 &amp; "*")</f>
        <v>9</v>
      </c>
      <c r="O227" s="43" t="str">
        <f>COUNTIFS(S22_Emp!$C:$C,"*" &amp; $A227 &amp; "*", S22_S25_Emp!$B:$B, "Bachelor")</f>
        <v>#VALUE!</v>
      </c>
      <c r="P227" s="43" t="str">
        <f>COUNTIFS(S22_Emp!$C:$C,"*" &amp; $A227 &amp; "*", S22_S25_Emp!$B:$B, "Master")</f>
        <v>#VALUE!</v>
      </c>
      <c r="Q227" s="43" t="str">
        <f>COUNTIFS(S22_Emp!$C:$C,"*" &amp; $A227 &amp; "*", S22_S25_Emp!$B:$B, "Doctorate")</f>
        <v>#VALUE!</v>
      </c>
      <c r="R227" s="43" t="str">
        <f t="array" ref="R227">IF(OR(INDEX(S26_CF!X:X, MATCH("*" &amp; $A227 &amp; "*", CompanyList!A:A, 0))=TRUE, INDEX(F25_CF!P:P, MATCH("*" &amp; $A227 &amp; "*", CompanyList!A:A, 0))=TRUE, INDEX(S25_CF!T:T, MATCH("*" &amp; $A227 &amp; "*", CompanyList!A:A, 0))=TRUE, INDEX(S24_CF!W:W, MATCH("*" &amp; $A227 &amp; "*", CompanyList!A:A, 0))=TRUE), "Yes", "No")</f>
        <v>Yes</v>
      </c>
      <c r="S227" s="43" t="str">
        <f>IF(COUNTIF(S26_CF!$A:$A,"*" &amp; $A227 &amp; "*") &lt;&gt; 0, "Yes", "No")</f>
        <v>Yes</v>
      </c>
      <c r="T227" s="43" t="str">
        <f t="array" ref="T227">INDEX(S26_CF!K:K, MATCH("*" &amp; $A227 &amp; "*", S26_CF!A:A, 0))</f>
        <v>Basic One-Day: Wednesday, January 28th [$1000.00]</v>
      </c>
      <c r="U227" s="43" t="str">
        <f>IF(COUNTIF(F25_CF!$A:$A,"*" &amp; $A227 &amp; "*") &lt;&gt; 0, "Yes", "No")</f>
        <v>Yes</v>
      </c>
      <c r="V227" s="43" t="str">
        <f t="array" ref="V227">INDEX(F25_CF!I:I, MATCH("*" &amp; $A227 &amp; "*", F25_CF!$A:$A, 0))</f>
        <v>Basic One-Day: Thursday, September 11th [$1000.00]</v>
      </c>
      <c r="W227" s="43" t="str">
        <f>IF(COUNTIF(S25_CF!$A:$A,"*" &amp; $A227 &amp; "*") &lt;&gt; 0, "Yes", "No")</f>
        <v>Yes</v>
      </c>
      <c r="X227" s="43" t="str">
        <f t="array" ref="X227">INDEX(S25_CF!J:J, MATCH("*" &amp; $A227 &amp; "*", S25_CF!$A:$A, 0))</f>
        <v>Basic Two-Day [$2000.00]</v>
      </c>
      <c r="Y227" s="43" t="str">
        <f>IF(COUNTIF(F24_CF!$A:$A,"*" &amp; $A227 &amp; "*") &lt;&gt; 0, "Yes", "No")</f>
        <v>Yes</v>
      </c>
      <c r="Z227" s="43" t="str">
        <f t="array" ref="Z227">INDEX(F24_CF!N:N, MATCH("*" &amp; $A227 &amp; "*", F24_CF!$A:$A, 0))</f>
        <v>Basic One-Day: Thursday, September 5th [$1000.00]</v>
      </c>
      <c r="AA227" s="43" t="str">
        <f>IF(COUNTIF(S24_CF!$A:$A,"*" &amp; $A227 &amp; "*") &lt;&gt; 0, "Yes", "No")</f>
        <v>Yes</v>
      </c>
      <c r="AB227" s="43" t="str">
        <f t="array" ref="AB227">INDEX(S24_CF!H:H, MATCH("*" &amp; $A227 &amp; "*", S24_CF!$A:$A, 0))</f>
        <v>Basic One-Day [$1000.00]</v>
      </c>
    </row>
    <row r="228" ht="15.0" customHeight="1">
      <c r="A228" s="52" t="s">
        <v>285</v>
      </c>
      <c r="B228" s="43" t="s">
        <v>54</v>
      </c>
      <c r="C228" s="43">
        <v>8000.0</v>
      </c>
      <c r="D228" s="43">
        <v>48000.0</v>
      </c>
      <c r="E228" s="43">
        <v>6.0</v>
      </c>
      <c r="F228" s="43">
        <f>COUNTIF(S26_Emp!$C:$C,"*" &amp;A228 &amp; "*")</f>
        <v>0</v>
      </c>
      <c r="G228" s="43">
        <f>COUNTIF(F25_Emp!$C:$C,"*" &amp;#REF! &amp; "*")</f>
        <v>0</v>
      </c>
      <c r="H228" s="43">
        <f>COUNTIF(S25_Emp!$C:$C,"*" &amp; A228 &amp; "*")</f>
        <v>1</v>
      </c>
      <c r="I228" s="43">
        <f>COUNTIF(F24_Emp!$C:$C,"*" &amp; B228 &amp; "*")</f>
        <v>1</v>
      </c>
      <c r="J228" s="43">
        <f>COUNTIF(S24_Emp!$C:$C,"*" &amp; $A228 &amp; "*")</f>
        <v>0</v>
      </c>
      <c r="K228" s="43">
        <f>COUNTIF(F23_Emp!$C:$C,"*" &amp; $A228 &amp; "*")</f>
        <v>0</v>
      </c>
      <c r="L228" s="43">
        <f>COUNTIF(S23_Emp!$C:$C,"*" &amp; $A228 &amp; "*")</f>
        <v>2</v>
      </c>
      <c r="M228" s="43">
        <f>COUNTIF(F22_Emp!$C:$C,"*" &amp; $A228 &amp; "*")</f>
        <v>0</v>
      </c>
      <c r="N228" s="43">
        <f>COUNTIF(S22_Emp!$C:$C,"*" &amp; $A228 &amp; "*")</f>
        <v>0</v>
      </c>
      <c r="O228" s="43" t="str">
        <f>COUNTIFS(S22_Emp!$C:$C,"*" &amp; $A228 &amp; "*", S22_S25_Emp!$B:$B, "Bachelor")</f>
        <v>#VALUE!</v>
      </c>
      <c r="P228" s="43" t="str">
        <f>COUNTIFS(S22_Emp!$C:$C,"*" &amp; $A228 &amp; "*", S22_S25_Emp!$B:$B, "Master")</f>
        <v>#VALUE!</v>
      </c>
      <c r="Q228" s="43" t="str">
        <f>COUNTIFS(S22_Emp!$C:$C,"*" &amp; $A228 &amp; "*", S22_S25_Emp!$B:$B, "Doctorate")</f>
        <v>#VALUE!</v>
      </c>
      <c r="R228" s="43" t="str">
        <f t="array" ref="R228">IF(OR(INDEX(S26_CF!X:X, MATCH("*" &amp; $A228 &amp; "*", CompanyList!A:A, 0))=TRUE, INDEX(F25_CF!P:P, MATCH("*" &amp; $A228 &amp; "*", CompanyList!A:A, 0))=TRUE, INDEX(S25_CF!T:T, MATCH("*" &amp; $A228 &amp; "*", CompanyList!A:A, 0))=TRUE, INDEX(S24_CF!W:W, MATCH("*" &amp; $A228 &amp; "*", CompanyList!A:A, 0))=TRUE), "Yes", "No")</f>
        <v>Yes</v>
      </c>
      <c r="S228" s="43" t="str">
        <f>IF(COUNTIF(S26_CF!$A:$A,"*" &amp; $A228 &amp; "*") &lt;&gt; 0, "Yes", "No")</f>
        <v>Yes</v>
      </c>
      <c r="T228" s="43" t="str">
        <f t="array" ref="T228">INDEX(S26_CF!K:K, MATCH("*" &amp; $A228 &amp; "*", S26_CF!A:A, 0))</f>
        <v>Gold One-Day: Wednesday, January 28th [$2500.00]</v>
      </c>
      <c r="U228" s="43" t="str">
        <f>IF(COUNTIF(F25_CF!$A:$A,"*" &amp; $A228 &amp; "*") &lt;&gt; 0, "Yes", "No")</f>
        <v>Yes</v>
      </c>
      <c r="V228" s="43" t="str">
        <f t="array" ref="V228">INDEX(F25_CF!I:I, MATCH("*" &amp; $A228 &amp; "*", F25_CF!$A:$A, 0))</f>
        <v>Silver One-Day: Wednesday, September 10th [$1800.00]</v>
      </c>
      <c r="W228" s="43" t="str">
        <f>IF(COUNTIF(S25_CF!$A:$A,"*" &amp; $A228 &amp; "*") &lt;&gt; 0, "Yes", "No")</f>
        <v>Yes</v>
      </c>
      <c r="X228" s="43" t="str">
        <f t="array" ref="X228">INDEX(S25_CF!J:J, MATCH("*" &amp; $A228 &amp; "*", S25_CF!$A:$A, 0))</f>
        <v>Silver One-Day: Wednesday, January 22nd [$1800.00]</v>
      </c>
      <c r="Y228" s="43" t="str">
        <f>IF(COUNTIF(F24_CF!$A:$A,"*" &amp; $A228 &amp; "*") &lt;&gt; 0, "Yes", "No")</f>
        <v>Yes</v>
      </c>
      <c r="Z228" s="43" t="str">
        <f t="array" ref="Z228">INDEX(F24_CF!N:N, MATCH("*" &amp; $A228 &amp; "*", F24_CF!$A:$A, 0))</f>
        <v>Basic Two-Day [$2000.00]</v>
      </c>
      <c r="AA228" s="43" t="str">
        <f>IF(COUNTIF(S24_CF!$A:$A,"*" &amp; $A228 &amp; "*") &lt;&gt; 0, "Yes", "No")</f>
        <v>Yes</v>
      </c>
      <c r="AB228" s="43" t="str">
        <f t="array" ref="AB228">INDEX(S24_CF!H:H, MATCH("*" &amp; $A228 &amp; "*", S24_CF!$A:$A, 0))</f>
        <v>Silver One-Day [$1800.00]</v>
      </c>
    </row>
    <row r="229" ht="15.0" customHeight="1">
      <c r="A229" s="52" t="s">
        <v>286</v>
      </c>
      <c r="B229" s="43" t="s">
        <v>54</v>
      </c>
      <c r="C229" s="43">
        <v>10500.0</v>
      </c>
      <c r="D229" s="43">
        <v>66000.0</v>
      </c>
      <c r="E229" s="43">
        <v>20.0</v>
      </c>
      <c r="F229" s="43">
        <f>COUNTIF(S26_Emp!$C:$C,"*" &amp;A229 &amp; "*")</f>
        <v>0</v>
      </c>
      <c r="G229" s="43">
        <f>COUNTIF(F25_Emp!$C:$C,"*" &amp;#REF! &amp; "*")</f>
        <v>0</v>
      </c>
      <c r="H229" s="43">
        <f>COUNTIF(S25_Emp!$C:$C,"*" &amp; A229 &amp; "*")</f>
        <v>1</v>
      </c>
      <c r="I229" s="43">
        <f>COUNTIF(F24_Emp!$C:$C,"*" &amp; B229 &amp; "*")</f>
        <v>1</v>
      </c>
      <c r="J229" s="43">
        <f>COUNTIF(S24_Emp!$C:$C,"*" &amp; $A229 &amp; "*")</f>
        <v>2</v>
      </c>
      <c r="K229" s="43">
        <f>COUNTIF(F23_Emp!$C:$C,"*" &amp; $A229 &amp; "*")</f>
        <v>2</v>
      </c>
      <c r="L229" s="43">
        <f>COUNTIF(S23_Emp!$C:$C,"*" &amp; $A229 &amp; "*")</f>
        <v>2</v>
      </c>
      <c r="M229" s="43">
        <f>COUNTIF(F22_Emp!$C:$C,"*" &amp; $A229 &amp; "*")</f>
        <v>3</v>
      </c>
      <c r="N229" s="43">
        <f>COUNTIF(S22_Emp!$C:$C,"*" &amp; $A229 &amp; "*")</f>
        <v>1</v>
      </c>
      <c r="O229" s="43" t="str">
        <f>COUNTIFS(S22_Emp!$C:$C,"*" &amp; $A229 &amp; "*", S22_S25_Emp!$B:$B, "Bachelor")</f>
        <v>#VALUE!</v>
      </c>
      <c r="P229" s="43" t="str">
        <f>COUNTIFS(S22_Emp!$C:$C,"*" &amp; $A229 &amp; "*", S22_S25_Emp!$B:$B, "Master")</f>
        <v>#VALUE!</v>
      </c>
      <c r="Q229" s="43" t="str">
        <f>COUNTIFS(S22_Emp!$C:$C,"*" &amp; $A229 &amp; "*", S22_S25_Emp!$B:$B, "Doctorate")</f>
        <v>#VALUE!</v>
      </c>
      <c r="R229" s="43" t="str">
        <f t="array" ref="R229">IF(OR(INDEX(S26_CF!X:X, MATCH("*" &amp; $A229 &amp; "*", CompanyList!A:A, 0))=TRUE, INDEX(F25_CF!P:P, MATCH("*" &amp; $A229 &amp; "*", CompanyList!A:A, 0))=TRUE, INDEX(S25_CF!T:T, MATCH("*" &amp; $A229 &amp; "*", CompanyList!A:A, 0))=TRUE, INDEX(S24_CF!W:W, MATCH("*" &amp; $A229 &amp; "*", CompanyList!A:A, 0))=TRUE), "Yes", "No")</f>
        <v>No</v>
      </c>
      <c r="S229" s="43" t="str">
        <f>IF(COUNTIF(S26_CF!$A:$A,"*" &amp; $A229 &amp; "*") &lt;&gt; 0, "Yes", "No")</f>
        <v>Yes</v>
      </c>
      <c r="T229" s="43" t="str">
        <f t="array" ref="T229">INDEX(S26_CF!K:K, MATCH("*" &amp; $A229 &amp; "*", S26_CF!A:A, 0))</f>
        <v>Basic Two-Day [$2000.00]</v>
      </c>
      <c r="U229" s="43" t="str">
        <f>IF(COUNTIF(F25_CF!$A:$A,"*" &amp; $A229 &amp; "*") &lt;&gt; 0, "Yes", "No")</f>
        <v>Yes</v>
      </c>
      <c r="V229" s="43" t="str">
        <f t="array" ref="V229">INDEX(F25_CF!I:I, MATCH("*" &amp; $A229 &amp; "*", F25_CF!$A:$A, 0))</f>
        <v>Basic Two-Day [$2000.00]</v>
      </c>
      <c r="W229" s="43" t="str">
        <f>IF(COUNTIF(S25_CF!$A:$A,"*" &amp; $A229 &amp; "*") &lt;&gt; 0, "Yes", "No")</f>
        <v>Yes</v>
      </c>
      <c r="X229" s="43" t="str">
        <f t="array" ref="X229">INDEX(S25_CF!J:J, MATCH("*" &amp; $A229 &amp; "*", S25_CF!$A:$A, 0))</f>
        <v>Basic One-Day: Thursday, January 23rd [$1000.00]</v>
      </c>
      <c r="Y229" s="43" t="str">
        <f>IF(COUNTIF(F24_CF!$A:$A,"*" &amp; $A229 &amp; "*") &lt;&gt; 0, "Yes", "No")</f>
        <v>Yes</v>
      </c>
      <c r="Z229" s="43" t="str">
        <f t="array" ref="Z229">INDEX(F24_CF!N:N, MATCH("*" &amp; $A229 &amp; "*", F24_CF!$A:$A, 0))</f>
        <v>Basic Two-Day [$2000.00]</v>
      </c>
      <c r="AA229" s="43" t="str">
        <f>IF(COUNTIF(S24_CF!$A:$A,"*" &amp; $A229 &amp; "*") &lt;&gt; 0, "Yes", "No")</f>
        <v>Yes</v>
      </c>
      <c r="AB229" s="43" t="str">
        <f t="array" ref="AB229">INDEX(S24_CF!H:H, MATCH("*" &amp; $A229 &amp; "*", S24_CF!$A:$A, 0))</f>
        <v>Basic One-Day [$1000.00]</v>
      </c>
    </row>
    <row r="230" ht="15.0" customHeight="1">
      <c r="A230" s="52" t="s">
        <v>287</v>
      </c>
      <c r="B230" s="43" t="s">
        <v>52</v>
      </c>
      <c r="C230" s="43"/>
      <c r="D230" s="43"/>
      <c r="E230" s="43"/>
      <c r="F230" s="43">
        <f>COUNTIF(S26_Emp!$C:$C,"*" &amp;A230 &amp; "*")</f>
        <v>0</v>
      </c>
      <c r="G230" s="43">
        <f>COUNTIF(F25_Emp!$C:$C,"*" &amp;#REF! &amp; "*")</f>
        <v>0</v>
      </c>
      <c r="H230" s="43">
        <f>COUNTIF(S25_Emp!$C:$C,"*" &amp; A230 &amp; "*")</f>
        <v>0</v>
      </c>
      <c r="I230" s="43">
        <f>COUNTIF(F24_Emp!$C:$C,"*" &amp; B230 &amp; "*")</f>
        <v>0</v>
      </c>
      <c r="J230" s="43">
        <f>COUNTIF(S24_Emp!$C:$C,"*" &amp; $A230 &amp; "*")</f>
        <v>0</v>
      </c>
      <c r="K230" s="43">
        <f>COUNTIF(F23_Emp!$C:$C,"*" &amp; $A230 &amp; "*")</f>
        <v>0</v>
      </c>
      <c r="L230" s="43">
        <f>COUNTIF(S23_Emp!$C:$C,"*" &amp; $A230 &amp; "*")</f>
        <v>0</v>
      </c>
      <c r="M230" s="43">
        <f>COUNTIF(F22_Emp!$C:$C,"*" &amp; $A230 &amp; "*")</f>
        <v>0</v>
      </c>
      <c r="N230" s="43">
        <f>COUNTIF(S22_Emp!$C:$C,"*" &amp; $A230 &amp; "*")</f>
        <v>0</v>
      </c>
      <c r="O230" s="43" t="str">
        <f>COUNTIFS(S22_Emp!$C:$C,"*" &amp; $A230 &amp; "*", S22_S25_Emp!$B:$B, "Bachelor")</f>
        <v>#VALUE!</v>
      </c>
      <c r="P230" s="43" t="str">
        <f>COUNTIFS(S22_Emp!$C:$C,"*" &amp; $A230 &amp; "*", S22_S25_Emp!$B:$B, "Master")</f>
        <v>#VALUE!</v>
      </c>
      <c r="Q230" s="43" t="str">
        <f>COUNTIFS(S22_Emp!$C:$C,"*" &amp; $A230 &amp; "*", S22_S25_Emp!$B:$B, "Doctorate")</f>
        <v>#VALUE!</v>
      </c>
      <c r="R230" s="43" t="str">
        <f t="array" ref="R230">IF(OR(INDEX(S26_CF!X:X, MATCH("*" &amp; $A230 &amp; "*", CompanyList!A:A, 0))=TRUE, INDEX(F25_CF!P:P, MATCH("*" &amp; $A230 &amp; "*", CompanyList!A:A, 0))=TRUE, INDEX(S25_CF!T:T, MATCH("*" &amp; $A230 &amp; "*", CompanyList!A:A, 0))=TRUE, INDEX(S24_CF!W:W, MATCH("*" &amp; $A230 &amp; "*", CompanyList!A:A, 0))=TRUE), "Yes", "No")</f>
        <v>Yes</v>
      </c>
      <c r="S230" s="43" t="str">
        <f>IF(COUNTIF(S26_CF!$A:$A,"*" &amp; $A230 &amp; "*") &lt;&gt; 0, "Yes", "No")</f>
        <v>Yes</v>
      </c>
      <c r="T230" s="43" t="str">
        <f t="array" ref="T230">INDEX(S26_CF!K:K, MATCH("*" &amp; $A230 &amp; "*", S26_CF!A:A, 0))</f>
        <v>Basic One-Day: Wednesday, January 28th [$1000.00]</v>
      </c>
      <c r="U230" s="43" t="str">
        <f>IF(COUNTIF(F25_CF!$A:$A,"*" &amp; $A230 &amp; "*") &lt;&gt; 0, "Yes", "No")</f>
        <v>Yes</v>
      </c>
      <c r="V230" s="43" t="str">
        <f t="array" ref="V230">INDEX(F25_CF!I:I, MATCH("*" &amp; $A230 &amp; "*", F25_CF!$A:$A, 0))</f>
        <v>Basic One-Day: Wednesday, September 10th [$1000.00]</v>
      </c>
      <c r="W230" s="43" t="str">
        <f>IF(COUNTIF(S25_CF!$A:$A,"*" &amp; $A230 &amp; "*") &lt;&gt; 0, "Yes", "No")</f>
        <v>Yes</v>
      </c>
      <c r="X230" s="43" t="str">
        <f t="array" ref="X230">INDEX(S25_CF!J:J, MATCH("*" &amp; $A230 &amp; "*", S25_CF!$A:$A, 0))</f>
        <v>Basic One-Day: Thursday, January 23rd [$1000.00]</v>
      </c>
      <c r="Y230" s="43" t="str">
        <f>IF(COUNTIF(F24_CF!$A:$A,"*" &amp; $A230 &amp; "*") &lt;&gt; 0, "Yes", "No")</f>
        <v>Yes</v>
      </c>
      <c r="Z230" s="43" t="str">
        <f t="array" ref="Z230">INDEX(F24_CF!N:N, MATCH("*" &amp; $A230 &amp; "*", F24_CF!$A:$A, 0))</f>
        <v>Basic One-Day: Wednesday, September 4th [$1000.00]</v>
      </c>
      <c r="AA230" s="43" t="str">
        <f>IF(COUNTIF(S24_CF!$A:$A,"*" &amp; $A230 &amp; "*") &lt;&gt; 0, "Yes", "No")</f>
        <v>Yes</v>
      </c>
      <c r="AB230" s="43" t="str">
        <f t="array" ref="AB230">INDEX(S24_CF!H:H, MATCH("*" &amp; $A230 &amp; "*", S24_CF!$A:$A, 0))</f>
        <v>Basic One-Day [$1000.00]</v>
      </c>
    </row>
    <row r="231" ht="15.0" customHeight="1">
      <c r="A231" s="52" t="s">
        <v>288</v>
      </c>
      <c r="B231" s="43" t="s">
        <v>52</v>
      </c>
      <c r="C231" s="43"/>
      <c r="D231" s="43"/>
      <c r="E231" s="43"/>
      <c r="F231" s="43">
        <f>COUNTIF(S26_Emp!$C:$C,"*" &amp;A231 &amp; "*")</f>
        <v>0</v>
      </c>
      <c r="G231" s="43">
        <f>COUNTIF(F25_Emp!$C:$C,"*" &amp;#REF! &amp; "*")</f>
        <v>0</v>
      </c>
      <c r="H231" s="43">
        <f>COUNTIF(S25_Emp!$C:$C,"*" &amp; A231 &amp; "*")</f>
        <v>0</v>
      </c>
      <c r="I231" s="43">
        <f>COUNTIF(F24_Emp!$C:$C,"*" &amp; B231 &amp; "*")</f>
        <v>0</v>
      </c>
      <c r="J231" s="43">
        <f>COUNTIF(S24_Emp!$C:$C,"*" &amp; $A231 &amp; "*")</f>
        <v>0</v>
      </c>
      <c r="K231" s="43">
        <f>COUNTIF(F23_Emp!$C:$C,"*" &amp; $A231 &amp; "*")</f>
        <v>1</v>
      </c>
      <c r="L231" s="43">
        <f>COUNTIF(S23_Emp!$C:$C,"*" &amp; $A231 &amp; "*")</f>
        <v>0</v>
      </c>
      <c r="M231" s="43">
        <f>COUNTIF(F22_Emp!$C:$C,"*" &amp; $A231 &amp; "*")</f>
        <v>0</v>
      </c>
      <c r="N231" s="43">
        <f>COUNTIF(S22_Emp!$C:$C,"*" &amp; $A231 &amp; "*")</f>
        <v>0</v>
      </c>
      <c r="O231" s="43" t="str">
        <f>COUNTIFS(S22_Emp!$C:$C,"*" &amp; $A231 &amp; "*", S22_S25_Emp!$B:$B, "Bachelor")</f>
        <v>#VALUE!</v>
      </c>
      <c r="P231" s="43" t="str">
        <f>COUNTIFS(S22_Emp!$C:$C,"*" &amp; $A231 &amp; "*", S22_S25_Emp!$B:$B, "Master")</f>
        <v>#VALUE!</v>
      </c>
      <c r="Q231" s="43" t="str">
        <f>COUNTIFS(S22_Emp!$C:$C,"*" &amp; $A231 &amp; "*", S22_S25_Emp!$B:$B, "Doctorate")</f>
        <v>#VALUE!</v>
      </c>
      <c r="R231" s="43" t="str">
        <f t="array" ref="R231">IF(OR(INDEX(S26_CF!X:X, MATCH("*" &amp; $A231 &amp; "*", CompanyList!A:A, 0))=TRUE, INDEX(F25_CF!P:P, MATCH("*" &amp; $A231 &amp; "*", CompanyList!A:A, 0))=TRUE, INDEX(S25_CF!T:T, MATCH("*" &amp; $A231 &amp; "*", CompanyList!A:A, 0))=TRUE, INDEX(S24_CF!W:W, MATCH("*" &amp; $A231 &amp; "*", CompanyList!A:A, 0))=TRUE), "Yes", "No")</f>
        <v>No</v>
      </c>
      <c r="S231" s="43" t="str">
        <f>IF(COUNTIF(S26_CF!$A:$A,"*" &amp; $A231 &amp; "*") &lt;&gt; 0, "Yes", "No")</f>
        <v>No</v>
      </c>
      <c r="T231" s="43" t="str">
        <f t="array" ref="T231">INDEX(S26_CF!K:K, MATCH("*" &amp; $A231 &amp; "*", S26_CF!A:A, 0))</f>
        <v>#N/A</v>
      </c>
      <c r="U231" s="43" t="str">
        <f>IF(COUNTIF(F25_CF!$A:$A,"*" &amp; $A231 &amp; "*") &lt;&gt; 0, "Yes", "No")</f>
        <v>No</v>
      </c>
      <c r="V231" s="43" t="str">
        <f t="array" ref="V231">INDEX(F25_CF!I:I, MATCH("*" &amp; $A231 &amp; "*", F25_CF!$A:$A, 0))</f>
        <v>#N/A</v>
      </c>
      <c r="W231" s="43" t="str">
        <f>IF(COUNTIF(S25_CF!$A:$A,"*" &amp; $A231 &amp; "*") &lt;&gt; 0, "Yes", "No")</f>
        <v>No</v>
      </c>
      <c r="X231" s="43" t="str">
        <f t="array" ref="X231">INDEX(S25_CF!J:J, MATCH("*" &amp; $A231 &amp; "*", S25_CF!$A:$A, 0))</f>
        <v>#N/A</v>
      </c>
      <c r="Y231" s="43" t="str">
        <f>IF(COUNTIF(F24_CF!$A:$A,"*" &amp; $A231 &amp; "*") &lt;&gt; 0, "Yes", "No")</f>
        <v>No</v>
      </c>
      <c r="Z231" s="43" t="str">
        <f t="array" ref="Z231">INDEX(F24_CF!N:N, MATCH("*" &amp; $A231 &amp; "*", F24_CF!$A:$A, 0))</f>
        <v>#N/A</v>
      </c>
      <c r="AA231" s="43" t="str">
        <f>IF(COUNTIF(S24_CF!$A:$A,"*" &amp; $A231 &amp; "*") &lt;&gt; 0, "Yes", "No")</f>
        <v>Yes</v>
      </c>
      <c r="AB231" s="43" t="str">
        <f t="array" ref="AB231">INDEX(S24_CF!H:H, MATCH("*" &amp; $A231 &amp; "*", S24_CF!$A:$A, 0))</f>
        <v>Silver Two-Day [$3000.00]</v>
      </c>
    </row>
    <row r="232" ht="15.0" customHeight="1">
      <c r="A232" s="52" t="s">
        <v>289</v>
      </c>
      <c r="B232" s="43" t="s">
        <v>54</v>
      </c>
      <c r="C232" s="43">
        <v>6000.0</v>
      </c>
      <c r="D232" s="43">
        <v>21000.0</v>
      </c>
      <c r="E232" s="43">
        <v>16.0</v>
      </c>
      <c r="F232" s="43">
        <f>COUNTIF(S26_Emp!$C:$C,"*" &amp;A232 &amp; "*")</f>
        <v>0</v>
      </c>
      <c r="G232" s="43">
        <f>COUNTIF(F25_Emp!$C:$C,"*" &amp;#REF! &amp; "*")</f>
        <v>0</v>
      </c>
      <c r="H232" s="43">
        <f>COUNTIF(S25_Emp!$C:$C,"*" &amp; A232 &amp; "*")</f>
        <v>0</v>
      </c>
      <c r="I232" s="43">
        <f>COUNTIF(F24_Emp!$C:$C,"*" &amp; B232 &amp; "*")</f>
        <v>1</v>
      </c>
      <c r="J232" s="43">
        <f>COUNTIF(S24_Emp!$C:$C,"*" &amp; $A232 &amp; "*")</f>
        <v>0</v>
      </c>
      <c r="K232" s="43">
        <f>COUNTIF(F23_Emp!$C:$C,"*" &amp; $A232 &amp; "*")</f>
        <v>0</v>
      </c>
      <c r="L232" s="43">
        <f>COUNTIF(S23_Emp!$C:$C,"*" &amp; $A232 &amp; "*")</f>
        <v>0</v>
      </c>
      <c r="M232" s="43">
        <f>COUNTIF(F22_Emp!$C:$C,"*" &amp; $A232 &amp; "*")</f>
        <v>0</v>
      </c>
      <c r="N232" s="43">
        <f>COUNTIF(S22_Emp!$C:$C,"*" &amp; $A232 &amp; "*")</f>
        <v>0</v>
      </c>
      <c r="O232" s="43" t="str">
        <f>COUNTIFS(S22_Emp!$C:$C,"*" &amp; $A232 &amp; "*", S22_S25_Emp!$B:$B, "Bachelor")</f>
        <v>#VALUE!</v>
      </c>
      <c r="P232" s="43" t="str">
        <f>COUNTIFS(S22_Emp!$C:$C,"*" &amp; $A232 &amp; "*", S22_S25_Emp!$B:$B, "Master")</f>
        <v>#VALUE!</v>
      </c>
      <c r="Q232" s="43" t="str">
        <f>COUNTIFS(S22_Emp!$C:$C,"*" &amp; $A232 &amp; "*", S22_S25_Emp!$B:$B, "Doctorate")</f>
        <v>#VALUE!</v>
      </c>
      <c r="R232" s="43" t="str">
        <f t="array" ref="R232">IF(OR(INDEX(S26_CF!X:X, MATCH("*" &amp; $A232 &amp; "*", CompanyList!A:A, 0))=TRUE, INDEX(F25_CF!P:P, MATCH("*" &amp; $A232 &amp; "*", CompanyList!A:A, 0))=TRUE, INDEX(S25_CF!T:T, MATCH("*" &amp; $A232 &amp; "*", CompanyList!A:A, 0))=TRUE, INDEX(S24_CF!W:W, MATCH("*" &amp; $A232 &amp; "*", CompanyList!A:A, 0))=TRUE), "Yes", "No")</f>
        <v>No</v>
      </c>
      <c r="S232" s="43" t="str">
        <f>IF(COUNTIF(S26_CF!$A:$A,"*" &amp; $A232 &amp; "*") &lt;&gt; 0, "Yes", "No")</f>
        <v>Yes</v>
      </c>
      <c r="T232" s="43" t="str">
        <f t="array" ref="T232">INDEX(S26_CF!K:K, MATCH("*" &amp; $A232 &amp; "*", S26_CF!A:A, 0))</f>
        <v>Basic One-Day: Wednesday, January 28th [$1000.00]</v>
      </c>
      <c r="U232" s="43" t="str">
        <f>IF(COUNTIF(F25_CF!$A:$A,"*" &amp; $A232 &amp; "*") &lt;&gt; 0, "Yes", "No")</f>
        <v>Yes</v>
      </c>
      <c r="V232" s="43" t="str">
        <f t="array" ref="V232">INDEX(F25_CF!I:I, MATCH("*" &amp; $A232 &amp; "*", F25_CF!$A:$A, 0))</f>
        <v>Basic One-Day: Thursday, September 11th [$1000.00]</v>
      </c>
      <c r="W232" s="43" t="str">
        <f>IF(COUNTIF(S25_CF!$A:$A,"*" &amp; $A232 &amp; "*") &lt;&gt; 0, "Yes", "No")</f>
        <v>Yes</v>
      </c>
      <c r="X232" s="43" t="str">
        <f t="array" ref="X232">INDEX(S25_CF!J:J, MATCH("*" &amp; $A232 &amp; "*", S25_CF!$A:$A, 0))</f>
        <v>Basic One-Day: Wednesday, January 22nd [$1000.00]</v>
      </c>
      <c r="Y232" s="43" t="str">
        <f>IF(COUNTIF(F24_CF!$A:$A,"*" &amp; $A232 &amp; "*") &lt;&gt; 0, "Yes", "No")</f>
        <v>Yes</v>
      </c>
      <c r="Z232" s="43" t="str">
        <f t="array" ref="Z232">INDEX(F24_CF!N:N, MATCH("*" &amp; $A232 &amp; "*", F24_CF!$A:$A, 0))</f>
        <v>Basic One-Day: Wednesday, September 4th [$1000.00]</v>
      </c>
      <c r="AA232" s="43" t="str">
        <f>IF(COUNTIF(S24_CF!$A:$A,"*" &amp; $A232 &amp; "*") &lt;&gt; 0, "Yes", "No")</f>
        <v>No</v>
      </c>
      <c r="AB232" s="43" t="str">
        <f t="array" ref="AB232">INDEX(S24_CF!H:H, MATCH("*" &amp; $A232 &amp; "*", S24_CF!$A:$A, 0))</f>
        <v>#N/A</v>
      </c>
    </row>
    <row r="233" ht="15.0" customHeight="1">
      <c r="A233" s="52" t="s">
        <v>290</v>
      </c>
      <c r="B233" s="43" t="s">
        <v>52</v>
      </c>
      <c r="C233" s="43"/>
      <c r="D233" s="43"/>
      <c r="E233" s="43"/>
      <c r="F233" s="43">
        <f>COUNTIF(S26_Emp!$C:$C,"*" &amp;A233 &amp; "*")</f>
        <v>0</v>
      </c>
      <c r="G233" s="43">
        <f>COUNTIF(F25_Emp!$C:$C,"*" &amp;#REF! &amp; "*")</f>
        <v>0</v>
      </c>
      <c r="H233" s="43">
        <f>COUNTIF(S25_Emp!$C:$C,"*" &amp; A233 &amp; "*")</f>
        <v>0</v>
      </c>
      <c r="I233" s="43">
        <f>COUNTIF(F24_Emp!$C:$C,"*" &amp; B233 &amp; "*")</f>
        <v>0</v>
      </c>
      <c r="J233" s="43">
        <f>COUNTIF(S24_Emp!$C:$C,"*" &amp; $A233 &amp; "*")</f>
        <v>0</v>
      </c>
      <c r="K233" s="43">
        <f>COUNTIF(F23_Emp!$C:$C,"*" &amp; $A233 &amp; "*")</f>
        <v>0</v>
      </c>
      <c r="L233" s="43">
        <f>COUNTIF(S23_Emp!$C:$C,"*" &amp; $A233 &amp; "*")</f>
        <v>0</v>
      </c>
      <c r="M233" s="43">
        <f>COUNTIF(F22_Emp!$C:$C,"*" &amp; $A233 &amp; "*")</f>
        <v>1</v>
      </c>
      <c r="N233" s="43">
        <f>COUNTIF(S22_Emp!$C:$C,"*" &amp; $A233 &amp; "*")</f>
        <v>0</v>
      </c>
      <c r="O233" s="43" t="str">
        <f>COUNTIFS(S22_Emp!$C:$C,"*" &amp; $A233 &amp; "*", S22_S25_Emp!$B:$B, "Bachelor")</f>
        <v>#VALUE!</v>
      </c>
      <c r="P233" s="43" t="str">
        <f>COUNTIFS(S22_Emp!$C:$C,"*" &amp; $A233 &amp; "*", S22_S25_Emp!$B:$B, "Master")</f>
        <v>#VALUE!</v>
      </c>
      <c r="Q233" s="43" t="str">
        <f>COUNTIFS(S22_Emp!$C:$C,"*" &amp; $A233 &amp; "*", S22_S25_Emp!$B:$B, "Doctorate")</f>
        <v>#VALUE!</v>
      </c>
      <c r="R233" s="43" t="str">
        <f t="array" ref="R233">IF(OR(INDEX(S26_CF!X:X, MATCH("*" &amp; $A233 &amp; "*", CompanyList!A:A, 0))=TRUE, INDEX(F25_CF!P:P, MATCH("*" &amp; $A233 &amp; "*", CompanyList!A:A, 0))=TRUE, INDEX(S25_CF!T:T, MATCH("*" &amp; $A233 &amp; "*", CompanyList!A:A, 0))=TRUE, INDEX(S24_CF!W:W, MATCH("*" &amp; $A233 &amp; "*", CompanyList!A:A, 0))=TRUE), "Yes", "No")</f>
        <v>Yes</v>
      </c>
      <c r="S233" s="43" t="str">
        <f>IF(COUNTIF(S26_CF!$A:$A,"*" &amp; $A233 &amp; "*") &lt;&gt; 0, "Yes", "No")</f>
        <v>Yes</v>
      </c>
      <c r="T233" s="43" t="str">
        <f t="array" ref="T233">INDEX(S26_CF!K:K, MATCH("*" &amp; $A233 &amp; "*", S26_CF!A:A, 0))</f>
        <v>Basic One-Day: Wednesday, January 28th [$1000.00]</v>
      </c>
      <c r="U233" s="43" t="str">
        <f>IF(COUNTIF(F25_CF!$A:$A,"*" &amp; $A233 &amp; "*") &lt;&gt; 0, "Yes", "No")</f>
        <v>No</v>
      </c>
      <c r="V233" s="43" t="str">
        <f t="array" ref="V233">INDEX(F25_CF!I:I, MATCH("*" &amp; $A233 &amp; "*", F25_CF!$A:$A, 0))</f>
        <v>#N/A</v>
      </c>
      <c r="W233" s="43" t="str">
        <f>IF(COUNTIF(S25_CF!$A:$A,"*" &amp; $A233 &amp; "*") &lt;&gt; 0, "Yes", "No")</f>
        <v>Yes</v>
      </c>
      <c r="X233" s="43" t="str">
        <f t="array" ref="X233">INDEX(S25_CF!J:J, MATCH("*" &amp; $A233 &amp; "*", S25_CF!$A:$A, 0))</f>
        <v>Silver One-Day: Wednesday, January 22nd [$1800.00]</v>
      </c>
      <c r="Y233" s="43" t="str">
        <f>IF(COUNTIF(F24_CF!$A:$A,"*" &amp; $A233 &amp; "*") &lt;&gt; 0, "Yes", "No")</f>
        <v>Yes</v>
      </c>
      <c r="Z233" s="43" t="str">
        <f t="array" ref="Z233">INDEX(F24_CF!N:N, MATCH("*" &amp; $A233 &amp; "*", F24_CF!$A:$A, 0))</f>
        <v>Basic One-Day: Thursday, September 5th [$1000.00]</v>
      </c>
      <c r="AA233" s="43" t="str">
        <f>IF(COUNTIF(S24_CF!$A:$A,"*" &amp; $A233 &amp; "*") &lt;&gt; 0, "Yes", "No")</f>
        <v>No</v>
      </c>
      <c r="AB233" s="43" t="str">
        <f t="array" ref="AB233">INDEX(S24_CF!H:H, MATCH("*" &amp; $A233 &amp; "*", S24_CF!$A:$A, 0))</f>
        <v>#N/A</v>
      </c>
    </row>
    <row r="234" ht="15.0" customHeight="1">
      <c r="A234" s="52" t="s">
        <v>291</v>
      </c>
      <c r="B234" s="43" t="s">
        <v>52</v>
      </c>
      <c r="C234" s="43"/>
      <c r="D234" s="43"/>
      <c r="E234" s="43"/>
      <c r="F234" s="43">
        <f>COUNTIF(S26_Emp!$C:$C,"*" &amp;A234 &amp; "*")</f>
        <v>0</v>
      </c>
      <c r="G234" s="43">
        <f>COUNTIF(F25_Emp!$C:$C,"*" &amp;#REF! &amp; "*")</f>
        <v>0</v>
      </c>
      <c r="H234" s="43">
        <f>COUNTIF(S25_Emp!$C:$C,"*" &amp; A234 &amp; "*")</f>
        <v>0</v>
      </c>
      <c r="I234" s="43">
        <f>COUNTIF(F24_Emp!$C:$C,"*" &amp; B234 &amp; "*")</f>
        <v>0</v>
      </c>
      <c r="J234" s="43">
        <f>COUNTIF(S24_Emp!$C:$C,"*" &amp; $A234 &amp; "*")</f>
        <v>0</v>
      </c>
      <c r="K234" s="43">
        <f>COUNTIF(F23_Emp!$C:$C,"*" &amp; $A234 &amp; "*")</f>
        <v>0</v>
      </c>
      <c r="L234" s="43">
        <f>COUNTIF(S23_Emp!$C:$C,"*" &amp; $A234 &amp; "*")</f>
        <v>0</v>
      </c>
      <c r="M234" s="43">
        <f>COUNTIF(F22_Emp!$C:$C,"*" &amp; $A234 &amp; "*")</f>
        <v>0</v>
      </c>
      <c r="N234" s="43">
        <f>COUNTIF(S22_Emp!$C:$C,"*" &amp; $A234 &amp; "*")</f>
        <v>0</v>
      </c>
      <c r="O234" s="43" t="str">
        <f>COUNTIFS(S22_Emp!$C:$C,"*" &amp; $A234 &amp; "*", S22_S25_Emp!$B:$B, "Bachelor")</f>
        <v>#VALUE!</v>
      </c>
      <c r="P234" s="43" t="str">
        <f>COUNTIFS(S22_Emp!$C:$C,"*" &amp; $A234 &amp; "*", S22_S25_Emp!$B:$B, "Master")</f>
        <v>#VALUE!</v>
      </c>
      <c r="Q234" s="43" t="str">
        <f>COUNTIFS(S22_Emp!$C:$C,"*" &amp; $A234 &amp; "*", S22_S25_Emp!$B:$B, "Doctorate")</f>
        <v>#VALUE!</v>
      </c>
      <c r="R234" s="43" t="str">
        <f t="array" ref="R234">IF(OR(INDEX(S26_CF!X:X, MATCH("*" &amp; $A234 &amp; "*", CompanyList!A:A, 0))=TRUE, INDEX(F25_CF!P:P, MATCH("*" &amp; $A234 &amp; "*", CompanyList!A:A, 0))=TRUE, INDEX(S25_CF!T:T, MATCH("*" &amp; $A234 &amp; "*", CompanyList!A:A, 0))=TRUE, INDEX(S24_CF!W:W, MATCH("*" &amp; $A234 &amp; "*", CompanyList!A:A, 0))=TRUE), "Yes", "No")</f>
        <v>No</v>
      </c>
      <c r="S234" s="43" t="str">
        <f>IF(COUNTIF(S26_CF!$A:$A,"*" &amp; $A234 &amp; "*") &lt;&gt; 0, "Yes", "No")</f>
        <v>Yes</v>
      </c>
      <c r="T234" s="43" t="str">
        <f t="array" ref="T234">INDEX(S26_CF!K:K, MATCH("*" &amp; $A234 &amp; "*", S26_CF!A:A, 0))</f>
        <v>Basic One-Day: Wednesday, January 28th [$1000.00]</v>
      </c>
      <c r="U234" s="43" t="str">
        <f>IF(COUNTIF(F25_CF!$A:$A,"*" &amp; $A234 &amp; "*") &lt;&gt; 0, "Yes", "No")</f>
        <v>Yes</v>
      </c>
      <c r="V234" s="43" t="str">
        <f t="array" ref="V234">INDEX(F25_CF!I:I, MATCH("*" &amp; $A234 &amp; "*", F25_CF!$A:$A, 0))</f>
        <v>Basic One-Day: Wednesday, September 10th [$1000.00]</v>
      </c>
      <c r="W234" s="43" t="str">
        <f>IF(COUNTIF(S25_CF!$A:$A,"*" &amp; $A234 &amp; "*") &lt;&gt; 0, "Yes", "No")</f>
        <v>Yes</v>
      </c>
      <c r="X234" s="43" t="str">
        <f t="array" ref="X234">INDEX(S25_CF!J:J, MATCH("*" &amp; $A234 &amp; "*", S25_CF!$A:$A, 0))</f>
        <v>Basic One-Day: Thursday, January 23rd [$1000.00]</v>
      </c>
      <c r="Y234" s="43" t="str">
        <f>IF(COUNTIF(F24_CF!$A:$A,"*" &amp; $A234 &amp; "*") &lt;&gt; 0, "Yes", "No")</f>
        <v>Yes</v>
      </c>
      <c r="Z234" s="43" t="str">
        <f t="array" ref="Z234">INDEX(F24_CF!N:N, MATCH("*" &amp; $A234 &amp; "*", F24_CF!$A:$A, 0))</f>
        <v>Basic One-Day: Thursday, September 5th [$1000.00]</v>
      </c>
      <c r="AA234" s="43" t="str">
        <f>IF(COUNTIF(S24_CF!$A:$A,"*" &amp; $A234 &amp; "*") &lt;&gt; 0, "Yes", "No")</f>
        <v>No</v>
      </c>
      <c r="AB234" s="43" t="str">
        <f t="array" ref="AB234">INDEX(S24_CF!H:H, MATCH("*" &amp; $A234 &amp; "*", S24_CF!$A:$A, 0))</f>
        <v>#N/A</v>
      </c>
    </row>
    <row r="235" ht="15.0" customHeight="1">
      <c r="A235" s="52" t="s">
        <v>292</v>
      </c>
      <c r="B235" s="43" t="s">
        <v>61</v>
      </c>
      <c r="C235" s="43"/>
      <c r="D235" s="43">
        <v>600.0</v>
      </c>
      <c r="E235" s="43"/>
      <c r="F235" s="43">
        <f>COUNTIF(S26_Emp!$C:$C,"*" &amp;A235 &amp; "*")</f>
        <v>0</v>
      </c>
      <c r="G235" s="43">
        <f>COUNTIF(F25_Emp!$C:$C,"*" &amp;#REF! &amp; "*")</f>
        <v>0</v>
      </c>
      <c r="H235" s="43">
        <f>COUNTIF(S25_Emp!$C:$C,"*" &amp; A235 &amp; "*")</f>
        <v>0</v>
      </c>
      <c r="I235" s="43">
        <f>COUNTIF(F24_Emp!$C:$C,"*" &amp; B235 &amp; "*")</f>
        <v>0</v>
      </c>
      <c r="J235" s="43">
        <f>COUNTIF(S24_Emp!$C:$C,"*" &amp; $A235 &amp; "*")</f>
        <v>0</v>
      </c>
      <c r="K235" s="43">
        <f>COUNTIF(F23_Emp!$C:$C,"*" &amp; $A235 &amp; "*")</f>
        <v>0</v>
      </c>
      <c r="L235" s="43">
        <f>COUNTIF(S23_Emp!$C:$C,"*" &amp; $A235 &amp; "*")</f>
        <v>1</v>
      </c>
      <c r="M235" s="43">
        <f>COUNTIF(F22_Emp!$C:$C,"*" &amp; $A235 &amp; "*")</f>
        <v>0</v>
      </c>
      <c r="N235" s="43">
        <f>COUNTIF(S22_Emp!$C:$C,"*" &amp; $A235 &amp; "*")</f>
        <v>0</v>
      </c>
      <c r="O235" s="43" t="str">
        <f>COUNTIFS(S22_Emp!$C:$C,"*" &amp; $A235 &amp; "*", S22_S25_Emp!$B:$B, "Bachelor")</f>
        <v>#VALUE!</v>
      </c>
      <c r="P235" s="43" t="str">
        <f>COUNTIFS(S22_Emp!$C:$C,"*" &amp; $A235 &amp; "*", S22_S25_Emp!$B:$B, "Master")</f>
        <v>#VALUE!</v>
      </c>
      <c r="Q235" s="43" t="str">
        <f>COUNTIFS(S22_Emp!$C:$C,"*" &amp; $A235 &amp; "*", S22_S25_Emp!$B:$B, "Doctorate")</f>
        <v>#VALUE!</v>
      </c>
      <c r="R235" s="43" t="str">
        <f t="array" ref="R235">IF(OR(INDEX(S26_CF!X:X, MATCH("*" &amp; $A235 &amp; "*", CompanyList!A:A, 0))=TRUE, INDEX(F25_CF!P:P, MATCH("*" &amp; $A235 &amp; "*", CompanyList!A:A, 0))=TRUE, INDEX(S25_CF!T:T, MATCH("*" &amp; $A235 &amp; "*", CompanyList!A:A, 0))=TRUE, INDEX(S24_CF!W:W, MATCH("*" &amp; $A235 &amp; "*", CompanyList!A:A, 0))=TRUE), "Yes", "No")</f>
        <v>No</v>
      </c>
      <c r="S235" s="43" t="str">
        <f>IF(COUNTIF(S26_CF!$A:$A,"*" &amp; $A235 &amp; "*") &lt;&gt; 0, "Yes", "No")</f>
        <v>Yes</v>
      </c>
      <c r="T235" s="43" t="str">
        <f t="array" ref="T235">INDEX(S26_CF!K:K, MATCH("*" &amp; $A235 &amp; "*", S26_CF!A:A, 0))</f>
        <v>Basic Two-Day [$2000.00]</v>
      </c>
      <c r="U235" s="43" t="str">
        <f>IF(COUNTIF(F25_CF!$A:$A,"*" &amp; $A235 &amp; "*") &lt;&gt; 0, "Yes", "No")</f>
        <v>Yes</v>
      </c>
      <c r="V235" s="43" t="str">
        <f t="array" ref="V235">INDEX(F25_CF!I:I, MATCH("*" &amp; $A235 &amp; "*", F25_CF!$A:$A, 0))</f>
        <v>Basic Two-Day [$2000.00]</v>
      </c>
      <c r="W235" s="43" t="str">
        <f>IF(COUNTIF(S25_CF!$A:$A,"*" &amp; $A235 &amp; "*") &lt;&gt; 0, "Yes", "No")</f>
        <v>Yes</v>
      </c>
      <c r="X235" s="43" t="str">
        <f t="array" ref="X235">INDEX(S25_CF!J:J, MATCH("*" &amp; $A235 &amp; "*", S25_CF!$A:$A, 0))</f>
        <v>Gold One-Day: Thursday, January 23rd [$2500.00]</v>
      </c>
      <c r="Y235" s="43" t="str">
        <f>IF(COUNTIF(F24_CF!$A:$A,"*" &amp; $A235 &amp; "*") &lt;&gt; 0, "Yes", "No")</f>
        <v>Yes</v>
      </c>
      <c r="Z235" s="43" t="str">
        <f t="array" ref="Z235">INDEX(F24_CF!N:N, MATCH("*" &amp; $A235 &amp; "*", F24_CF!$A:$A, 0))</f>
        <v>Basic One-Day: Thursday, September 5th [$1000.00]</v>
      </c>
      <c r="AA235" s="43" t="str">
        <f>IF(COUNTIF(S24_CF!$A:$A,"*" &amp; $A235 &amp; "*") &lt;&gt; 0, "Yes", "No")</f>
        <v>No</v>
      </c>
      <c r="AB235" s="43" t="str">
        <f t="array" ref="AB235">INDEX(S24_CF!H:H, MATCH("*" &amp; $A235 &amp; "*", S24_CF!$A:$A, 0))</f>
        <v>#N/A</v>
      </c>
    </row>
    <row r="236" ht="15.0" customHeight="1">
      <c r="A236" s="52" t="s">
        <v>293</v>
      </c>
      <c r="B236" s="43" t="s">
        <v>259</v>
      </c>
      <c r="C236" s="43"/>
      <c r="D236" s="43"/>
      <c r="E236" s="43"/>
      <c r="F236" s="43">
        <f>COUNTIF(S26_Emp!$C:$C,"*" &amp;A236 &amp; "*")</f>
        <v>0</v>
      </c>
      <c r="G236" s="43">
        <f>COUNTIF(F25_Emp!$C:$C,"*" &amp;#REF! &amp; "*")</f>
        <v>0</v>
      </c>
      <c r="H236" s="43">
        <f>COUNTIF(S25_Emp!$C:$C,"*" &amp; A236 &amp; "*")</f>
        <v>0</v>
      </c>
      <c r="I236" s="43">
        <f>COUNTIF(F24_Emp!$C:$C,"*" &amp; B236 &amp; "*")</f>
        <v>13</v>
      </c>
      <c r="J236" s="43">
        <f>COUNTIF(S24_Emp!$C:$C,"*" &amp; $A236 &amp; "*")</f>
        <v>0</v>
      </c>
      <c r="K236" s="43">
        <f>COUNTIF(F23_Emp!$C:$C,"*" &amp; $A236 &amp; "*")</f>
        <v>0</v>
      </c>
      <c r="L236" s="43">
        <f>COUNTIF(S23_Emp!$C:$C,"*" &amp; $A236 &amp; "*")</f>
        <v>0</v>
      </c>
      <c r="M236" s="43">
        <f>COUNTIF(F22_Emp!$C:$C,"*" &amp; $A236 &amp; "*")</f>
        <v>0</v>
      </c>
      <c r="N236" s="43">
        <f>COUNTIF(S22_Emp!$C:$C,"*" &amp; $A236 &amp; "*")</f>
        <v>0</v>
      </c>
      <c r="O236" s="43" t="str">
        <f>COUNTIFS(S22_Emp!$C:$C,"*" &amp; $A236 &amp; "*", S22_S25_Emp!$B:$B, "Bachelor")</f>
        <v>#VALUE!</v>
      </c>
      <c r="P236" s="43" t="str">
        <f>COUNTIFS(S22_Emp!$C:$C,"*" &amp; $A236 &amp; "*", S22_S25_Emp!$B:$B, "Master")</f>
        <v>#VALUE!</v>
      </c>
      <c r="Q236" s="43" t="str">
        <f>COUNTIFS(S22_Emp!$C:$C,"*" &amp; $A236 &amp; "*", S22_S25_Emp!$B:$B, "Doctorate")</f>
        <v>#VALUE!</v>
      </c>
      <c r="R236" s="43" t="str">
        <f t="array" ref="R236">IF(OR(INDEX(S26_CF!X:X, MATCH("*" &amp; $A236 &amp; "*", CompanyList!A:A, 0))=TRUE, INDEX(F25_CF!P:P, MATCH("*" &amp; $A236 &amp; "*", CompanyList!A:A, 0))=TRUE, INDEX(S25_CF!T:T, MATCH("*" &amp; $A236 &amp; "*", CompanyList!A:A, 0))=TRUE, INDEX(S24_CF!W:W, MATCH("*" &amp; $A236 &amp; "*", CompanyList!A:A, 0))=TRUE), "Yes", "No")</f>
        <v>Yes</v>
      </c>
      <c r="S236" s="43" t="str">
        <f>IF(COUNTIF(S26_CF!$A:$A,"*" &amp; $A236 &amp; "*") &lt;&gt; 0, "Yes", "No")</f>
        <v>Yes</v>
      </c>
      <c r="T236" s="43" t="str">
        <f t="array" ref="T236">INDEX(S26_CF!K:K, MATCH("*" &amp; $A236 &amp; "*", S26_CF!A:A, 0))</f>
        <v>Basic One-Day: Thursday, January 29th [$1000.00]</v>
      </c>
      <c r="U236" s="43" t="str">
        <f>IF(COUNTIF(F25_CF!$A:$A,"*" &amp; $A236 &amp; "*") &lt;&gt; 0, "Yes", "No")</f>
        <v>Yes</v>
      </c>
      <c r="V236" s="43" t="str">
        <f t="array" ref="V236">INDEX(F25_CF!I:I, MATCH("*" &amp; $A236 &amp; "*", F25_CF!$A:$A, 0))</f>
        <v>Basic One-Day: Thursday, September 11th [$1000.00]</v>
      </c>
      <c r="W236" s="43" t="str">
        <f>IF(COUNTIF(S25_CF!$A:$A,"*" &amp; $A236 &amp; "*") &lt;&gt; 0, "Yes", "No")</f>
        <v>Yes</v>
      </c>
      <c r="X236" s="43" t="str">
        <f t="array" ref="X236">INDEX(S25_CF!J:J, MATCH("*" &amp; $A236 &amp; "*", S25_CF!$A:$A, 0))</f>
        <v>Basic One-Day: Thursday, January 23rd [$1000.00]</v>
      </c>
      <c r="Y236" s="43" t="str">
        <f>IF(COUNTIF(F24_CF!$A:$A,"*" &amp; $A236 &amp; "*") &lt;&gt; 0, "Yes", "No")</f>
        <v>Yes</v>
      </c>
      <c r="Z236" s="43" t="str">
        <f t="array" ref="Z236">INDEX(F24_CF!N:N, MATCH("*" &amp; $A236 &amp; "*", F24_CF!$A:$A, 0))</f>
        <v>Basic One-Day: Thursday, September 5th [$1000.00]</v>
      </c>
      <c r="AA236" s="43" t="str">
        <f>IF(COUNTIF(S24_CF!$A:$A,"*" &amp; $A236 &amp; "*") &lt;&gt; 0, "Yes", "No")</f>
        <v>No</v>
      </c>
      <c r="AB236" s="43" t="str">
        <f t="array" ref="AB236">INDEX(S24_CF!H:H, MATCH("*" &amp; $A236 &amp; "*", S24_CF!$A:$A, 0))</f>
        <v>#N/A</v>
      </c>
    </row>
    <row r="237" ht="15.0" customHeight="1">
      <c r="A237" s="52" t="s">
        <v>294</v>
      </c>
      <c r="B237" s="43" t="s">
        <v>54</v>
      </c>
      <c r="C237" s="43">
        <v>67000.0</v>
      </c>
      <c r="D237" s="43">
        <v>113000.0</v>
      </c>
      <c r="E237" s="43">
        <v>180.0</v>
      </c>
      <c r="F237" s="43">
        <f>COUNTIF(S26_Emp!$C:$C,"*" &amp;A237 &amp; "*")</f>
        <v>0</v>
      </c>
      <c r="G237" s="43">
        <f>COUNTIF(F25_Emp!$C:$C,"*" &amp;#REF! &amp; "*")</f>
        <v>0</v>
      </c>
      <c r="H237" s="43">
        <f>COUNTIF(S25_Emp!$C:$C,"*" &amp; A237 &amp; "*")</f>
        <v>4</v>
      </c>
      <c r="I237" s="43">
        <f>COUNTIF(F24_Emp!$C:$C,"*" &amp; B237 &amp; "*")</f>
        <v>1</v>
      </c>
      <c r="J237" s="43">
        <f>COUNTIF(S24_Emp!$C:$C,"*" &amp; $A237 &amp; "*")</f>
        <v>0</v>
      </c>
      <c r="K237" s="43">
        <f>COUNTIF(F23_Emp!$C:$C,"*" &amp; $A237 &amp; "*")</f>
        <v>2</v>
      </c>
      <c r="L237" s="43">
        <f>COUNTIF(S23_Emp!$C:$C,"*" &amp; $A237 &amp; "*")</f>
        <v>0</v>
      </c>
      <c r="M237" s="43">
        <f>COUNTIF(F22_Emp!$C:$C,"*" &amp; $A237 &amp; "*")</f>
        <v>0</v>
      </c>
      <c r="N237" s="43">
        <f>COUNTIF(S22_Emp!$C:$C,"*" &amp; $A237 &amp; "*")</f>
        <v>3</v>
      </c>
      <c r="O237" s="43" t="str">
        <f>COUNTIFS(S22_Emp!$C:$C,"*" &amp; $A237 &amp; "*", S22_S25_Emp!$B:$B, "Bachelor")</f>
        <v>#VALUE!</v>
      </c>
      <c r="P237" s="43" t="str">
        <f>COUNTIFS(S22_Emp!$C:$C,"*" &amp; $A237 &amp; "*", S22_S25_Emp!$B:$B, "Master")</f>
        <v>#VALUE!</v>
      </c>
      <c r="Q237" s="43" t="str">
        <f>COUNTIFS(S22_Emp!$C:$C,"*" &amp; $A237 &amp; "*", S22_S25_Emp!$B:$B, "Doctorate")</f>
        <v>#VALUE!</v>
      </c>
      <c r="R237" s="43" t="str">
        <f t="array" ref="R237">IF(OR(INDEX(S26_CF!X:X, MATCH("*" &amp; $A237 &amp; "*", CompanyList!A:A, 0))=TRUE, INDEX(F25_CF!P:P, MATCH("*" &amp; $A237 &amp; "*", CompanyList!A:A, 0))=TRUE, INDEX(S25_CF!T:T, MATCH("*" &amp; $A237 &amp; "*", CompanyList!A:A, 0))=TRUE, INDEX(S24_CF!W:W, MATCH("*" &amp; $A237 &amp; "*", CompanyList!A:A, 0))=TRUE), "Yes", "No")</f>
        <v>No</v>
      </c>
      <c r="S237" s="43" t="str">
        <f>IF(COUNTIF(S26_CF!$A:$A,"*" &amp; $A237 &amp; "*") &lt;&gt; 0, "Yes", "No")</f>
        <v>No</v>
      </c>
      <c r="T237" s="43" t="str">
        <f t="array" ref="T237">INDEX(S26_CF!K:K, MATCH("*" &amp; $A237 &amp; "*", S26_CF!A:A, 0))</f>
        <v>#N/A</v>
      </c>
      <c r="U237" s="43" t="str">
        <f>IF(COUNTIF(F25_CF!$A:$A,"*" &amp; $A237 &amp; "*") &lt;&gt; 0, "Yes", "No")</f>
        <v>Yes</v>
      </c>
      <c r="V237" s="43" t="str">
        <f t="array" ref="V237">INDEX(F25_CF!I:I, MATCH("*" &amp; $A237 &amp; "*", F25_CF!$A:$A, 0))</f>
        <v>Gold Two-Day [$5500.00]</v>
      </c>
      <c r="W237" s="43" t="str">
        <f>IF(COUNTIF(S25_CF!$A:$A,"*" &amp; $A237 &amp; "*") &lt;&gt; 0, "Yes", "No")</f>
        <v>No</v>
      </c>
      <c r="X237" s="43" t="str">
        <f t="array" ref="X237">INDEX(S25_CF!J:J, MATCH("*" &amp; $A237 &amp; "*", S25_CF!$A:$A, 0))</f>
        <v>#N/A</v>
      </c>
      <c r="Y237" s="43" t="str">
        <f>IF(COUNTIF(F24_CF!$A:$A,"*" &amp; $A237 &amp; "*") &lt;&gt; 0, "Yes", "No")</f>
        <v>Yes</v>
      </c>
      <c r="Z237" s="43" t="str">
        <f t="array" ref="Z237">INDEX(F24_CF!N:N, MATCH("*" &amp; $A237 &amp; "*", F24_CF!$A:$A, 0))</f>
        <v>Gold Two-Day [$5500.00]</v>
      </c>
      <c r="AA237" s="43" t="str">
        <f>IF(COUNTIF(S24_CF!$A:$A,"*" &amp; $A237 &amp; "*") &lt;&gt; 0, "Yes", "No")</f>
        <v>No</v>
      </c>
      <c r="AB237" s="43" t="str">
        <f t="array" ref="AB237">INDEX(S24_CF!H:H, MATCH("*" &amp; $A237 &amp; "*", S24_CF!$A:$A, 0))</f>
        <v>#N/A</v>
      </c>
    </row>
    <row r="238" ht="15.0" customHeight="1">
      <c r="A238" s="52" t="s">
        <v>295</v>
      </c>
      <c r="B238" s="43" t="s">
        <v>52</v>
      </c>
      <c r="C238" s="43"/>
      <c r="D238" s="43"/>
      <c r="E238" s="43"/>
      <c r="F238" s="43">
        <f>COUNTIF(S26_Emp!$C:$C,"*" &amp;A238 &amp; "*")</f>
        <v>0</v>
      </c>
      <c r="G238" s="43">
        <f>COUNTIF(F25_Emp!$C:$C,"*" &amp;#REF! &amp; "*")</f>
        <v>0</v>
      </c>
      <c r="H238" s="43">
        <f>COUNTIF(S25_Emp!$C:$C,"*" &amp; A238 &amp; "*")</f>
        <v>0</v>
      </c>
      <c r="I238" s="43">
        <f>COUNTIF(F24_Emp!$C:$C,"*" &amp; B238 &amp; "*")</f>
        <v>0</v>
      </c>
      <c r="J238" s="43">
        <f>COUNTIF(S24_Emp!$C:$C,"*" &amp; $A238 &amp; "*")</f>
        <v>0</v>
      </c>
      <c r="K238" s="43">
        <f>COUNTIF(F23_Emp!$C:$C,"*" &amp; $A238 &amp; "*")</f>
        <v>0</v>
      </c>
      <c r="L238" s="43">
        <f>COUNTIF(S23_Emp!$C:$C,"*" &amp; $A238 &amp; "*")</f>
        <v>0</v>
      </c>
      <c r="M238" s="43">
        <f>COUNTIF(F22_Emp!$C:$C,"*" &amp; $A238 &amp; "*")</f>
        <v>0</v>
      </c>
      <c r="N238" s="43">
        <f>COUNTIF(S22_Emp!$C:$C,"*" &amp; $A238 &amp; "*")</f>
        <v>0</v>
      </c>
      <c r="O238" s="43" t="str">
        <f>COUNTIFS(S22_Emp!$C:$C,"*" &amp; $A238 &amp; "*", S22_S25_Emp!$B:$B, "Bachelor")</f>
        <v>#VALUE!</v>
      </c>
      <c r="P238" s="43" t="str">
        <f>COUNTIFS(S22_Emp!$C:$C,"*" &amp; $A238 &amp; "*", S22_S25_Emp!$B:$B, "Master")</f>
        <v>#VALUE!</v>
      </c>
      <c r="Q238" s="43" t="str">
        <f>COUNTIFS(S22_Emp!$C:$C,"*" &amp; $A238 &amp; "*", S22_S25_Emp!$B:$B, "Doctorate")</f>
        <v>#VALUE!</v>
      </c>
      <c r="R238" s="43" t="str">
        <f t="array" ref="R238">IF(OR(INDEX(S26_CF!X:X, MATCH("*" &amp; $A238 &amp; "*", CompanyList!A:A, 0))=TRUE, INDEX(F25_CF!P:P, MATCH("*" &amp; $A238 &amp; "*", CompanyList!A:A, 0))=TRUE, INDEX(S25_CF!T:T, MATCH("*" &amp; $A238 &amp; "*", CompanyList!A:A, 0))=TRUE, INDEX(S24_CF!W:W, MATCH("*" &amp; $A238 &amp; "*", CompanyList!A:A, 0))=TRUE), "Yes", "No")</f>
        <v>Yes</v>
      </c>
      <c r="S238" s="43" t="str">
        <f>IF(COUNTIF(S26_CF!$A:$A,"*" &amp; $A238 &amp; "*") &lt;&gt; 0, "Yes", "No")</f>
        <v>Yes</v>
      </c>
      <c r="T238" s="43" t="str">
        <f t="array" ref="T238">INDEX(S26_CF!K:K, MATCH("*" &amp; $A238 &amp; "*", S26_CF!A:A, 0))</f>
        <v>Basic One-Day: Thursday, January 29th [$1000.00]</v>
      </c>
      <c r="U238" s="43" t="str">
        <f>IF(COUNTIF(F25_CF!$A:$A,"*" &amp; $A238 &amp; "*") &lt;&gt; 0, "Yes", "No")</f>
        <v>Yes</v>
      </c>
      <c r="V238" s="43" t="str">
        <f t="array" ref="V238">INDEX(F25_CF!I:I, MATCH("*" &amp; $A238 &amp; "*", F25_CF!$A:$A, 0))</f>
        <v>Basic One-Day: Thursday, September 11th [$1000.00]</v>
      </c>
      <c r="W238" s="43" t="str">
        <f>IF(COUNTIF(S25_CF!$A:$A,"*" &amp; $A238 &amp; "*") &lt;&gt; 0, "Yes", "No")</f>
        <v>No</v>
      </c>
      <c r="X238" s="43" t="str">
        <f t="array" ref="X238">INDEX(S25_CF!J:J, MATCH("*" &amp; $A238 &amp; "*", S25_CF!$A:$A, 0))</f>
        <v>#N/A</v>
      </c>
      <c r="Y238" s="43" t="str">
        <f>IF(COUNTIF(F24_CF!$A:$A,"*" &amp; $A238 &amp; "*") &lt;&gt; 0, "Yes", "No")</f>
        <v>Yes</v>
      </c>
      <c r="Z238" s="43" t="str">
        <f t="array" ref="Z238">INDEX(F24_CF!N:N, MATCH("*" &amp; $A238 &amp; "*", F24_CF!$A:$A, 0))</f>
        <v>Basic One-Day: Thursday, September 5th [$1000.00]</v>
      </c>
      <c r="AA238" s="43" t="str">
        <f>IF(COUNTIF(S24_CF!$A:$A,"*" &amp; $A238 &amp; "*") &lt;&gt; 0, "Yes", "No")</f>
        <v>Yes</v>
      </c>
      <c r="AB238" s="43" t="str">
        <f t="array" ref="AB238">INDEX(S24_CF!H:H, MATCH("*" &amp; $A238 &amp; "*", S24_CF!$A:$A, 0))</f>
        <v>Basic One-Day [$1000.00]</v>
      </c>
    </row>
    <row r="239" ht="15.0" customHeight="1">
      <c r="A239" s="52" t="s">
        <v>296</v>
      </c>
      <c r="B239" s="43" t="s">
        <v>52</v>
      </c>
      <c r="C239" s="43"/>
      <c r="D239" s="43"/>
      <c r="E239" s="43"/>
      <c r="F239" s="43">
        <f>COUNTIF(S26_Emp!$C:$C,"*" &amp;A239 &amp; "*")</f>
        <v>0</v>
      </c>
      <c r="G239" s="43">
        <f>COUNTIF(F25_Emp!$C:$C,"*" &amp;#REF! &amp; "*")</f>
        <v>0</v>
      </c>
      <c r="H239" s="43">
        <f>COUNTIF(S25_Emp!$C:$C,"*" &amp; A239 &amp; "*")</f>
        <v>2</v>
      </c>
      <c r="I239" s="43">
        <f>COUNTIF(F24_Emp!$C:$C,"*" &amp; B239 &amp; "*")</f>
        <v>0</v>
      </c>
      <c r="J239" s="43">
        <f>COUNTIF(S24_Emp!$C:$C,"*" &amp; $A239 &amp; "*")</f>
        <v>0</v>
      </c>
      <c r="K239" s="43">
        <f>COUNTIF(F23_Emp!$C:$C,"*" &amp; $A239 &amp; "*")</f>
        <v>0</v>
      </c>
      <c r="L239" s="43">
        <f>COUNTIF(S23_Emp!$C:$C,"*" &amp; $A239 &amp; "*")</f>
        <v>0</v>
      </c>
      <c r="M239" s="43">
        <f>COUNTIF(F22_Emp!$C:$C,"*" &amp; $A239 &amp; "*")</f>
        <v>0</v>
      </c>
      <c r="N239" s="43">
        <f>COUNTIF(S22_Emp!$C:$C,"*" &amp; $A239 &amp; "*")</f>
        <v>0</v>
      </c>
      <c r="O239" s="43" t="str">
        <f>COUNTIFS(S22_Emp!$C:$C,"*" &amp; $A239 &amp; "*", S22_S25_Emp!$B:$B, "Bachelor")</f>
        <v>#VALUE!</v>
      </c>
      <c r="P239" s="43" t="str">
        <f>COUNTIFS(S22_Emp!$C:$C,"*" &amp; $A239 &amp; "*", S22_S25_Emp!$B:$B, "Master")</f>
        <v>#VALUE!</v>
      </c>
      <c r="Q239" s="43" t="str">
        <f>COUNTIFS(S22_Emp!$C:$C,"*" &amp; $A239 &amp; "*", S22_S25_Emp!$B:$B, "Doctorate")</f>
        <v>#VALUE!</v>
      </c>
      <c r="R239" s="43" t="str">
        <f t="array" ref="R239">IF(OR(INDEX(S26_CF!X:X, MATCH("*" &amp; $A239 &amp; "*", CompanyList!A:A, 0))=TRUE, INDEX(F25_CF!P:P, MATCH("*" &amp; $A239 &amp; "*", CompanyList!A:A, 0))=TRUE, INDEX(S25_CF!T:T, MATCH("*" &amp; $A239 &amp; "*", CompanyList!A:A, 0))=TRUE, INDEX(S24_CF!W:W, MATCH("*" &amp; $A239 &amp; "*", CompanyList!A:A, 0))=TRUE), "Yes", "No")</f>
        <v>No</v>
      </c>
      <c r="S239" s="43" t="str">
        <f>IF(COUNTIF(S26_CF!$A:$A,"*" &amp; $A239 &amp; "*") &lt;&gt; 0, "Yes", "No")</f>
        <v>No</v>
      </c>
      <c r="T239" s="43" t="str">
        <f t="array" ref="T239">INDEX(S26_CF!K:K, MATCH("*" &amp; $A239 &amp; "*", S26_CF!A:A, 0))</f>
        <v>#N/A</v>
      </c>
      <c r="U239" s="43" t="str">
        <f>IF(COUNTIF(F25_CF!$A:$A,"*" &amp; $A239 &amp; "*") &lt;&gt; 0, "Yes", "No")</f>
        <v>Yes</v>
      </c>
      <c r="V239" s="43" t="str">
        <f t="array" ref="V239">INDEX(F25_CF!I:I, MATCH("*" &amp; $A239 &amp; "*", F25_CF!$A:$A, 0))</f>
        <v>Basic One-Day: Wednesday, September 10th [$1000.00]</v>
      </c>
      <c r="W239" s="43" t="str">
        <f>IF(COUNTIF(S25_CF!$A:$A,"*" &amp; $A239 &amp; "*") &lt;&gt; 0, "Yes", "No")</f>
        <v>Yes</v>
      </c>
      <c r="X239" s="43" t="str">
        <f t="array" ref="X239">INDEX(S25_CF!J:J, MATCH("*" &amp; $A239 &amp; "*", S25_CF!$A:$A, 0))</f>
        <v>Basic One-Day: Wednesday, January 22nd [$1000.00]</v>
      </c>
      <c r="Y239" s="43" t="str">
        <f>IF(COUNTIF(F24_CF!$A:$A,"*" &amp; $A239 &amp; "*") &lt;&gt; 0, "Yes", "No")</f>
        <v>Yes</v>
      </c>
      <c r="Z239" s="43" t="str">
        <f t="array" ref="Z239">INDEX(F24_CF!N:N, MATCH("*" &amp; $A239 &amp; "*", F24_CF!$A:$A, 0))</f>
        <v>Basic Two-Day [$2000.00]</v>
      </c>
      <c r="AA239" s="43" t="str">
        <f>IF(COUNTIF(S24_CF!$A:$A,"*" &amp; $A239 &amp; "*") &lt;&gt; 0, "Yes", "No")</f>
        <v>No</v>
      </c>
      <c r="AB239" s="43" t="str">
        <f t="array" ref="AB239">INDEX(S24_CF!H:H, MATCH("*" &amp; $A239 &amp; "*", S24_CF!$A:$A, 0))</f>
        <v>#N/A</v>
      </c>
    </row>
    <row r="240" ht="15.0" customHeight="1">
      <c r="A240" s="52" t="s">
        <v>297</v>
      </c>
      <c r="B240" s="43" t="s">
        <v>52</v>
      </c>
      <c r="C240" s="43"/>
      <c r="D240" s="43"/>
      <c r="E240" s="43"/>
      <c r="F240" s="43">
        <f>COUNTIF(S26_Emp!$C:$C,"*" &amp;A240 &amp; "*")</f>
        <v>0</v>
      </c>
      <c r="G240" s="43">
        <f>COUNTIF(F25_Emp!$C:$C,"*" &amp;#REF! &amp; "*")</f>
        <v>0</v>
      </c>
      <c r="H240" s="43">
        <f>COUNTIF(S25_Emp!$C:$C,"*" &amp; A240 &amp; "*")</f>
        <v>0</v>
      </c>
      <c r="I240" s="43">
        <f>COUNTIF(F24_Emp!$C:$C,"*" &amp; B240 &amp; "*")</f>
        <v>0</v>
      </c>
      <c r="J240" s="43">
        <f>COUNTIF(S24_Emp!$C:$C,"*" &amp; $A240 &amp; "*")</f>
        <v>1</v>
      </c>
      <c r="K240" s="43">
        <f>COUNTIF(F23_Emp!$C:$C,"*" &amp; $A240 &amp; "*")</f>
        <v>0</v>
      </c>
      <c r="L240" s="43">
        <f>COUNTIF(S23_Emp!$C:$C,"*" &amp; $A240 &amp; "*")</f>
        <v>1</v>
      </c>
      <c r="M240" s="43">
        <f>COUNTIF(F22_Emp!$C:$C,"*" &amp; $A240 &amp; "*")</f>
        <v>0</v>
      </c>
      <c r="N240" s="43">
        <f>COUNTIF(S22_Emp!$C:$C,"*" &amp; $A240 &amp; "*")</f>
        <v>0</v>
      </c>
      <c r="O240" s="43" t="str">
        <f>COUNTIFS(S22_Emp!$C:$C,"*" &amp; $A240 &amp; "*", S22_S25_Emp!$B:$B, "Bachelor")</f>
        <v>#VALUE!</v>
      </c>
      <c r="P240" s="43" t="str">
        <f>COUNTIFS(S22_Emp!$C:$C,"*" &amp; $A240 &amp; "*", S22_S25_Emp!$B:$B, "Master")</f>
        <v>#VALUE!</v>
      </c>
      <c r="Q240" s="43" t="str">
        <f>COUNTIFS(S22_Emp!$C:$C,"*" &amp; $A240 &amp; "*", S22_S25_Emp!$B:$B, "Doctorate")</f>
        <v>#VALUE!</v>
      </c>
      <c r="R240" s="43" t="str">
        <f t="array" ref="R240">IF(OR(INDEX(S26_CF!X:X, MATCH("*" &amp; $A240 &amp; "*", CompanyList!A:A, 0))=TRUE, INDEX(F25_CF!P:P, MATCH("*" &amp; $A240 &amp; "*", CompanyList!A:A, 0))=TRUE, INDEX(S25_CF!T:T, MATCH("*" &amp; $A240 &amp; "*", CompanyList!A:A, 0))=TRUE, INDEX(S24_CF!W:W, MATCH("*" &amp; $A240 &amp; "*", CompanyList!A:A, 0))=TRUE), "Yes", "No")</f>
        <v>Yes</v>
      </c>
      <c r="S240" s="43" t="str">
        <f>IF(COUNTIF(S26_CF!$A:$A,"*" &amp; $A240 &amp; "*") &lt;&gt; 0, "Yes", "No")</f>
        <v>No</v>
      </c>
      <c r="T240" s="43" t="str">
        <f t="array" ref="T240">INDEX(S26_CF!K:K, MATCH("*" &amp; $A240 &amp; "*", S26_CF!A:A, 0))</f>
        <v>#N/A</v>
      </c>
      <c r="U240" s="43" t="str">
        <f>IF(COUNTIF(F25_CF!$A:$A,"*" &amp; $A240 &amp; "*") &lt;&gt; 0, "Yes", "No")</f>
        <v>Yes</v>
      </c>
      <c r="V240" s="43" t="str">
        <f t="array" ref="V240">INDEX(F25_CF!I:I, MATCH("*" &amp; $A240 &amp; "*", F25_CF!$A:$A, 0))</f>
        <v>Basic One-Day: Wednesday, September 10th [$1000.00]</v>
      </c>
      <c r="W240" s="43" t="str">
        <f>IF(COUNTIF(S25_CF!$A:$A,"*" &amp; $A240 &amp; "*") &lt;&gt; 0, "Yes", "No")</f>
        <v>Yes</v>
      </c>
      <c r="X240" s="43" t="str">
        <f t="array" ref="X240">INDEX(S25_CF!J:J, MATCH("*" &amp; $A240 &amp; "*", S25_CF!$A:$A, 0))</f>
        <v>Basic One-Day: Thursday, January 23rd [$1000.00]</v>
      </c>
      <c r="Y240" s="43" t="str">
        <f>IF(COUNTIF(F24_CF!$A:$A,"*" &amp; $A240 &amp; "*") &lt;&gt; 0, "Yes", "No")</f>
        <v>Yes</v>
      </c>
      <c r="Z240" s="43" t="str">
        <f t="array" ref="Z240">INDEX(F24_CF!N:N, MATCH("*" &amp; $A240 &amp; "*", F24_CF!$A:$A, 0))</f>
        <v>Basic One-Day: Wednesday, September 4th [$1000.00]</v>
      </c>
      <c r="AA240" s="43" t="str">
        <f>IF(COUNTIF(S24_CF!$A:$A,"*" &amp; $A240 &amp; "*") &lt;&gt; 0, "Yes", "No")</f>
        <v>No</v>
      </c>
      <c r="AB240" s="43" t="str">
        <f t="array" ref="AB240">INDEX(S24_CF!H:H, MATCH("*" &amp; $A240 &amp; "*", S24_CF!$A:$A, 0))</f>
        <v>#N/A</v>
      </c>
    </row>
    <row r="241" ht="15.0" customHeight="1">
      <c r="A241" s="52" t="s">
        <v>298</v>
      </c>
      <c r="B241" s="43" t="s">
        <v>54</v>
      </c>
      <c r="C241" s="43">
        <v>9200.0</v>
      </c>
      <c r="D241" s="43">
        <v>14000.0</v>
      </c>
      <c r="E241" s="43">
        <v>12.0</v>
      </c>
      <c r="F241" s="43">
        <f>COUNTIF(S26_Emp!$C:$C,"*" &amp;A241 &amp; "*")</f>
        <v>0</v>
      </c>
      <c r="G241" s="43">
        <f>COUNTIF(F25_Emp!$C:$C,"*" &amp;#REF! &amp; "*")</f>
        <v>0</v>
      </c>
      <c r="H241" s="43">
        <f>COUNTIF(S25_Emp!$C:$C,"*" &amp; A241 &amp; "*")</f>
        <v>1</v>
      </c>
      <c r="I241" s="43">
        <f>COUNTIF(F24_Emp!$C:$C,"*" &amp; B241 &amp; "*")</f>
        <v>1</v>
      </c>
      <c r="J241" s="43">
        <f>COUNTIF(S24_Emp!$C:$C,"*" &amp; $A241 &amp; "*")</f>
        <v>0</v>
      </c>
      <c r="K241" s="43">
        <f>COUNTIF(F23_Emp!$C:$C,"*" &amp; $A241 &amp; "*")</f>
        <v>1</v>
      </c>
      <c r="L241" s="43">
        <f>COUNTIF(S23_Emp!$C:$C,"*" &amp; $A241 &amp; "*")</f>
        <v>1</v>
      </c>
      <c r="M241" s="43">
        <f>COUNTIF(F22_Emp!$C:$C,"*" &amp; $A241 &amp; "*")</f>
        <v>0</v>
      </c>
      <c r="N241" s="43">
        <f>COUNTIF(S22_Emp!$C:$C,"*" &amp; $A241 &amp; "*")</f>
        <v>2</v>
      </c>
      <c r="O241" s="43" t="str">
        <f>COUNTIFS(S22_Emp!$C:$C,"*" &amp; $A241 &amp; "*", S22_S25_Emp!$B:$B, "Bachelor")</f>
        <v>#VALUE!</v>
      </c>
      <c r="P241" s="43" t="str">
        <f>COUNTIFS(S22_Emp!$C:$C,"*" &amp; $A241 &amp; "*", S22_S25_Emp!$B:$B, "Master")</f>
        <v>#VALUE!</v>
      </c>
      <c r="Q241" s="43" t="str">
        <f>COUNTIFS(S22_Emp!$C:$C,"*" &amp; $A241 &amp; "*", S22_S25_Emp!$B:$B, "Doctorate")</f>
        <v>#VALUE!</v>
      </c>
      <c r="R241" s="43" t="str">
        <f t="array" ref="R241">IF(OR(INDEX(S26_CF!X:X, MATCH("*" &amp; $A241 &amp; "*", CompanyList!A:A, 0))=TRUE, INDEX(F25_CF!P:P, MATCH("*" &amp; $A241 &amp; "*", CompanyList!A:A, 0))=TRUE, INDEX(S25_CF!T:T, MATCH("*" &amp; $A241 &amp; "*", CompanyList!A:A, 0))=TRUE, INDEX(S24_CF!W:W, MATCH("*" &amp; $A241 &amp; "*", CompanyList!A:A, 0))=TRUE), "Yes", "No")</f>
        <v>No</v>
      </c>
      <c r="S241" s="43" t="str">
        <f>IF(COUNTIF(S26_CF!$A:$A,"*" &amp; $A241 &amp; "*") &lt;&gt; 0, "Yes", "No")</f>
        <v>No</v>
      </c>
      <c r="T241" s="43" t="str">
        <f t="array" ref="T241">INDEX(S26_CF!K:K, MATCH("*" &amp; $A241 &amp; "*", S26_CF!A:A, 0))</f>
        <v>#N/A</v>
      </c>
      <c r="U241" s="43" t="str">
        <f>IF(COUNTIF(F25_CF!$A:$A,"*" &amp; $A241 &amp; "*") &lt;&gt; 0, "Yes", "No")</f>
        <v>Yes</v>
      </c>
      <c r="V241" s="43" t="str">
        <f t="array" ref="V241">INDEX(F25_CF!I:I, MATCH("*" &amp; $A241 &amp; "*", F25_CF!$A:$A, 0))</f>
        <v>Gold Two-Day [$5500.00]</v>
      </c>
      <c r="W241" s="43" t="str">
        <f>IF(COUNTIF(S25_CF!$A:$A,"*" &amp; $A241 &amp; "*") &lt;&gt; 0, "Yes", "No")</f>
        <v>Yes</v>
      </c>
      <c r="X241" s="43" t="str">
        <f t="array" ref="X241">INDEX(S25_CF!J:J, MATCH("*" &amp; $A241 &amp; "*", S25_CF!$A:$A, 0))</f>
        <v>Basic Two-Day [$2000.00]</v>
      </c>
      <c r="Y241" s="43" t="str">
        <f>IF(COUNTIF(F24_CF!$A:$A,"*" &amp; $A241 &amp; "*") &lt;&gt; 0, "Yes", "No")</f>
        <v>Yes</v>
      </c>
      <c r="Z241" s="43" t="str">
        <f t="array" ref="Z241">INDEX(F24_CF!N:N, MATCH("*" &amp; $A241 &amp; "*", F24_CF!$A:$A, 0))</f>
        <v>Gold Two-Day [$5500.00]</v>
      </c>
      <c r="AA241" s="43" t="str">
        <f>IF(COUNTIF(S24_CF!$A:$A,"*" &amp; $A241 &amp; "*") &lt;&gt; 0, "Yes", "No")</f>
        <v>No</v>
      </c>
      <c r="AB241" s="43" t="str">
        <f t="array" ref="AB241">INDEX(S24_CF!H:H, MATCH("*" &amp; $A241 &amp; "*", S24_CF!$A:$A, 0))</f>
        <v>#N/A</v>
      </c>
    </row>
    <row r="242" ht="15.0" customHeight="1">
      <c r="A242" s="52" t="s">
        <v>299</v>
      </c>
      <c r="B242" s="43" t="s">
        <v>52</v>
      </c>
      <c r="C242" s="43"/>
      <c r="D242" s="43"/>
      <c r="E242" s="43"/>
      <c r="F242" s="43">
        <f>COUNTIF(S26_Emp!$C:$C,"*" &amp;A242 &amp; "*")</f>
        <v>0</v>
      </c>
      <c r="G242" s="43">
        <f>COUNTIF(F25_Emp!$C:$C,"*" &amp;#REF! &amp; "*")</f>
        <v>0</v>
      </c>
      <c r="H242" s="43">
        <f>COUNTIF(S25_Emp!$C:$C,"*" &amp; A242 &amp; "*")</f>
        <v>0</v>
      </c>
      <c r="I242" s="43">
        <f>COUNTIF(F24_Emp!$C:$C,"*" &amp; B242 &amp; "*")</f>
        <v>0</v>
      </c>
      <c r="J242" s="43">
        <f>COUNTIF(S24_Emp!$C:$C,"*" &amp; $A242 &amp; "*")</f>
        <v>0</v>
      </c>
      <c r="K242" s="43">
        <f>COUNTIF(F23_Emp!$C:$C,"*" &amp; $A242 &amp; "*")</f>
        <v>0</v>
      </c>
      <c r="L242" s="43">
        <f>COUNTIF(S23_Emp!$C:$C,"*" &amp; $A242 &amp; "*")</f>
        <v>0</v>
      </c>
      <c r="M242" s="43">
        <f>COUNTIF(F22_Emp!$C:$C,"*" &amp; $A242 &amp; "*")</f>
        <v>0</v>
      </c>
      <c r="N242" s="43">
        <f>COUNTIF(S22_Emp!$C:$C,"*" &amp; $A242 &amp; "*")</f>
        <v>0</v>
      </c>
      <c r="O242" s="43" t="str">
        <f>COUNTIFS(S22_Emp!$C:$C,"*" &amp; $A242 &amp; "*", S22_S25_Emp!$B:$B, "Bachelor")</f>
        <v>#VALUE!</v>
      </c>
      <c r="P242" s="43" t="str">
        <f>COUNTIFS(S22_Emp!$C:$C,"*" &amp; $A242 &amp; "*", S22_S25_Emp!$B:$B, "Master")</f>
        <v>#VALUE!</v>
      </c>
      <c r="Q242" s="43" t="str">
        <f>COUNTIFS(S22_Emp!$C:$C,"*" &amp; $A242 &amp; "*", S22_S25_Emp!$B:$B, "Doctorate")</f>
        <v>#VALUE!</v>
      </c>
      <c r="R242" s="43" t="str">
        <f t="array" ref="R242">IF(OR(INDEX(S26_CF!X:X, MATCH("*" &amp; $A242 &amp; "*", CompanyList!A:A, 0))=TRUE, INDEX(F25_CF!P:P, MATCH("*" &amp; $A242 &amp; "*", CompanyList!A:A, 0))=TRUE, INDEX(S25_CF!T:T, MATCH("*" &amp; $A242 &amp; "*", CompanyList!A:A, 0))=TRUE, INDEX(S24_CF!W:W, MATCH("*" &amp; $A242 &amp; "*", CompanyList!A:A, 0))=TRUE), "Yes", "No")</f>
        <v>No</v>
      </c>
      <c r="S242" s="43" t="str">
        <f>IF(COUNTIF(S26_CF!$A:$A,"*" &amp; $A242 &amp; "*") &lt;&gt; 0, "Yes", "No")</f>
        <v>Yes</v>
      </c>
      <c r="T242" s="43" t="str">
        <f t="array" ref="T242">INDEX(S26_CF!K:K, MATCH("*" &amp; $A242 &amp; "*", S26_CF!A:A, 0))</f>
        <v>Basic One-Day: Thursday, January 29th [$1000.00]</v>
      </c>
      <c r="U242" s="43" t="str">
        <f>IF(COUNTIF(F25_CF!$A:$A,"*" &amp; $A242 &amp; "*") &lt;&gt; 0, "Yes", "No")</f>
        <v>Yes</v>
      </c>
      <c r="V242" s="43" t="str">
        <f t="array" ref="V242">INDEX(F25_CF!I:I, MATCH("*" &amp; $A242 &amp; "*", F25_CF!$A:$A, 0))</f>
        <v>Basic One-Day: Thursday, September 11th [$1000.00]</v>
      </c>
      <c r="W242" s="43" t="str">
        <f>IF(COUNTIF(S25_CF!$A:$A,"*" &amp; $A242 &amp; "*") &lt;&gt; 0, "Yes", "No")</f>
        <v>Yes</v>
      </c>
      <c r="X242" s="43" t="str">
        <f t="array" ref="X242">INDEX(S25_CF!J:J, MATCH("*" &amp; $A242 &amp; "*", S25_CF!$A:$A, 0))</f>
        <v>Basic One-Day: Thursday, January 23rd [$1000.00]</v>
      </c>
      <c r="Y242" s="43" t="str">
        <f>IF(COUNTIF(F24_CF!$A:$A,"*" &amp; $A242 &amp; "*") &lt;&gt; 0, "Yes", "No")</f>
        <v>Yes</v>
      </c>
      <c r="Z242" s="43" t="str">
        <f t="array" ref="Z242">INDEX(F24_CF!N:N, MATCH("*" &amp; $A242 &amp; "*", F24_CF!$A:$A, 0))</f>
        <v>Basic One-Day: Thursday, September 5th [$1000.00]</v>
      </c>
      <c r="AA242" s="43" t="str">
        <f>IF(COUNTIF(S24_CF!$A:$A,"*" &amp; $A242 &amp; "*") &lt;&gt; 0, "Yes", "No")</f>
        <v>Yes</v>
      </c>
      <c r="AB242" s="43" t="str">
        <f t="array" ref="AB242">INDEX(S24_CF!H:H, MATCH("*" &amp; $A242 &amp; "*", S24_CF!$A:$A, 0))</f>
        <v>Basic One-Day [$1000.00]</v>
      </c>
    </row>
    <row r="243" ht="15.0" customHeight="1">
      <c r="A243" s="52" t="s">
        <v>300</v>
      </c>
      <c r="B243" s="43" t="s">
        <v>54</v>
      </c>
      <c r="C243" s="43">
        <v>31000.0</v>
      </c>
      <c r="D243" s="43">
        <v>13000.0</v>
      </c>
      <c r="E243" s="43">
        <v>50.0</v>
      </c>
      <c r="F243" s="43">
        <f>COUNTIF(S26_Emp!$C:$C,"*" &amp;A243 &amp; "*")</f>
        <v>0</v>
      </c>
      <c r="G243" s="43">
        <f>COUNTIF(F25_Emp!$C:$C,"*" &amp;#REF! &amp; "*")</f>
        <v>0</v>
      </c>
      <c r="H243" s="43">
        <f>COUNTIF(S25_Emp!$C:$C,"*" &amp; A243 &amp; "*")</f>
        <v>0</v>
      </c>
      <c r="I243" s="43">
        <f>COUNTIF(F24_Emp!$C:$C,"*" &amp; B243 &amp; "*")</f>
        <v>1</v>
      </c>
      <c r="J243" s="43">
        <f>COUNTIF(S24_Emp!$C:$C,"*" &amp; $A243 &amp; "*")</f>
        <v>2</v>
      </c>
      <c r="K243" s="43">
        <f>COUNTIF(F23_Emp!$C:$C,"*" &amp; $A243 &amp; "*")</f>
        <v>1</v>
      </c>
      <c r="L243" s="43">
        <f>COUNTIF(S23_Emp!$C:$C,"*" &amp; $A243 &amp; "*")</f>
        <v>0</v>
      </c>
      <c r="M243" s="43">
        <f>COUNTIF(F22_Emp!$C:$C,"*" &amp; $A243 &amp; "*")</f>
        <v>1</v>
      </c>
      <c r="N243" s="43">
        <f>COUNTIF(S22_Emp!$C:$C,"*" &amp; $A243 &amp; "*")</f>
        <v>0</v>
      </c>
      <c r="O243" s="43" t="str">
        <f>COUNTIFS(S22_Emp!$C:$C,"*" &amp; $A243 &amp; "*", S22_S25_Emp!$B:$B, "Bachelor")</f>
        <v>#VALUE!</v>
      </c>
      <c r="P243" s="43" t="str">
        <f>COUNTIFS(S22_Emp!$C:$C,"*" &amp; $A243 &amp; "*", S22_S25_Emp!$B:$B, "Master")</f>
        <v>#VALUE!</v>
      </c>
      <c r="Q243" s="43" t="str">
        <f>COUNTIFS(S22_Emp!$C:$C,"*" &amp; $A243 &amp; "*", S22_S25_Emp!$B:$B, "Doctorate")</f>
        <v>#VALUE!</v>
      </c>
      <c r="R243" s="43" t="str">
        <f t="array" ref="R243">IF(OR(INDEX(S26_CF!X:X, MATCH("*" &amp; $A243 &amp; "*", CompanyList!A:A, 0))=TRUE, INDEX(F25_CF!P:P, MATCH("*" &amp; $A243 &amp; "*", CompanyList!A:A, 0))=TRUE, INDEX(S25_CF!T:T, MATCH("*" &amp; $A243 &amp; "*", CompanyList!A:A, 0))=TRUE, INDEX(S24_CF!W:W, MATCH("*" &amp; $A243 &amp; "*", CompanyList!A:A, 0))=TRUE), "Yes", "No")</f>
        <v>No</v>
      </c>
      <c r="S243" s="43" t="str">
        <f>IF(COUNTIF(S26_CF!$A:$A,"*" &amp; $A243 &amp; "*") &lt;&gt; 0, "Yes", "No")</f>
        <v>No</v>
      </c>
      <c r="T243" s="43" t="str">
        <f t="array" ref="T243">INDEX(S26_CF!K:K, MATCH("*" &amp; $A243 &amp; "*", S26_CF!A:A, 0))</f>
        <v>#N/A</v>
      </c>
      <c r="U243" s="43" t="str">
        <f>IF(COUNTIF(F25_CF!$A:$A,"*" &amp; $A243 &amp; "*") &lt;&gt; 0, "Yes", "No")</f>
        <v>Yes</v>
      </c>
      <c r="V243" s="43" t="str">
        <f t="array" ref="V243">INDEX(F25_CF!I:I, MATCH("*" &amp; $A243 &amp; "*", F25_CF!$A:$A, 0))</f>
        <v>Gold One-Day: Wednesday, September 10th [$2500.00]</v>
      </c>
      <c r="W243" s="43" t="str">
        <f>IF(COUNTIF(S25_CF!$A:$A,"*" &amp; $A243 &amp; "*") &lt;&gt; 0, "Yes", "No")</f>
        <v>Yes</v>
      </c>
      <c r="X243" s="43" t="str">
        <f t="array" ref="X243">INDEX(S25_CF!J:J, MATCH("*" &amp; $A243 &amp; "*", S25_CF!$A:$A, 0))</f>
        <v>Silver One-Day: Thursday, January 23rd [$1800.00]</v>
      </c>
      <c r="Y243" s="43" t="str">
        <f>IF(COUNTIF(F24_CF!$A:$A,"*" &amp; $A243 &amp; "*") &lt;&gt; 0, "Yes", "No")</f>
        <v>Yes</v>
      </c>
      <c r="Z243" s="43" t="str">
        <f t="array" ref="Z243">INDEX(F24_CF!N:N, MATCH("*" &amp; $A243 &amp; "*", F24_CF!$A:$A, 0))</f>
        <v>Silver One-Day: Wednesday, September 4th [$1800.00]</v>
      </c>
      <c r="AA243" s="43" t="str">
        <f>IF(COUNTIF(S24_CF!$A:$A,"*" &amp; $A243 &amp; "*") &lt;&gt; 0, "Yes", "No")</f>
        <v>No</v>
      </c>
      <c r="AB243" s="43" t="str">
        <f t="array" ref="AB243">INDEX(S24_CF!H:H, MATCH("*" &amp; $A243 &amp; "*", S24_CF!$A:$A, 0))</f>
        <v>#N/A</v>
      </c>
    </row>
    <row r="244" ht="15.0" customHeight="1">
      <c r="A244" s="52" t="s">
        <v>301</v>
      </c>
      <c r="B244" s="43" t="s">
        <v>54</v>
      </c>
      <c r="C244" s="43">
        <v>3500.0</v>
      </c>
      <c r="D244" s="43">
        <v>8000.0</v>
      </c>
      <c r="E244" s="43">
        <v>20.0</v>
      </c>
      <c r="F244" s="43">
        <f>COUNTIF(S26_Emp!$C:$C,"*" &amp;A244 &amp; "*")</f>
        <v>0</v>
      </c>
      <c r="G244" s="43">
        <f>COUNTIF(F25_Emp!$C:$C,"*" &amp;#REF! &amp; "*")</f>
        <v>0</v>
      </c>
      <c r="H244" s="43">
        <f>COUNTIF(S25_Emp!$C:$C,"*" &amp; A244 &amp; "*")</f>
        <v>0</v>
      </c>
      <c r="I244" s="43">
        <f>COUNTIF(F24_Emp!$C:$C,"*" &amp; B244 &amp; "*")</f>
        <v>1</v>
      </c>
      <c r="J244" s="43">
        <f>COUNTIF(S24_Emp!$C:$C,"*" &amp; $A244 &amp; "*")</f>
        <v>2</v>
      </c>
      <c r="K244" s="43">
        <f>COUNTIF(F23_Emp!$C:$C,"*" &amp; $A244 &amp; "*")</f>
        <v>0</v>
      </c>
      <c r="L244" s="43">
        <f>COUNTIF(S23_Emp!$C:$C,"*" &amp; $A244 &amp; "*")</f>
        <v>0</v>
      </c>
      <c r="M244" s="43">
        <f>COUNTIF(F22_Emp!$C:$C,"*" &amp; $A244 &amp; "*")</f>
        <v>0</v>
      </c>
      <c r="N244" s="43">
        <f>COUNTIF(S22_Emp!$C:$C,"*" &amp; $A244 &amp; "*")</f>
        <v>0</v>
      </c>
      <c r="O244" s="43" t="str">
        <f>COUNTIFS(S22_Emp!$C:$C,"*" &amp; $A244 &amp; "*", S22_S25_Emp!$B:$B, "Bachelor")</f>
        <v>#VALUE!</v>
      </c>
      <c r="P244" s="43" t="str">
        <f>COUNTIFS(S22_Emp!$C:$C,"*" &amp; $A244 &amp; "*", S22_S25_Emp!$B:$B, "Master")</f>
        <v>#VALUE!</v>
      </c>
      <c r="Q244" s="43" t="str">
        <f>COUNTIFS(S22_Emp!$C:$C,"*" &amp; $A244 &amp; "*", S22_S25_Emp!$B:$B, "Doctorate")</f>
        <v>#VALUE!</v>
      </c>
      <c r="R244" s="43" t="str">
        <f t="array" ref="R244">IF(OR(INDEX(S26_CF!X:X, MATCH("*" &amp; $A244 &amp; "*", CompanyList!A:A, 0))=TRUE, INDEX(F25_CF!P:P, MATCH("*" &amp; $A244 &amp; "*", CompanyList!A:A, 0))=TRUE, INDEX(S25_CF!T:T, MATCH("*" &amp; $A244 &amp; "*", CompanyList!A:A, 0))=TRUE, INDEX(S24_CF!W:W, MATCH("*" &amp; $A244 &amp; "*", CompanyList!A:A, 0))=TRUE), "Yes", "No")</f>
        <v>Yes</v>
      </c>
      <c r="S244" s="43" t="str">
        <f>IF(COUNTIF(S26_CF!$A:$A,"*" &amp; $A244 &amp; "*") &lt;&gt; 0, "Yes", "No")</f>
        <v>Yes</v>
      </c>
      <c r="T244" s="43" t="str">
        <f t="array" ref="T244">INDEX(S26_CF!K:K, MATCH("*" &amp; $A244 &amp; "*", S26_CF!A:A, 0))</f>
        <v>Basic Two-Day [$2000.00]</v>
      </c>
      <c r="U244" s="43" t="str">
        <f>IF(COUNTIF(F25_CF!$A:$A,"*" &amp; $A244 &amp; "*") &lt;&gt; 0, "Yes", "No")</f>
        <v>Yes</v>
      </c>
      <c r="V244" s="43" t="str">
        <f t="array" ref="V244">INDEX(F25_CF!I:I, MATCH("*" &amp; $A244 &amp; "*", F25_CF!$A:$A, 0))</f>
        <v>Basic Two-Day [$2000.00]</v>
      </c>
      <c r="W244" s="43" t="str">
        <f>IF(COUNTIF(S25_CF!$A:$A,"*" &amp; $A244 &amp; "*") &lt;&gt; 0, "Yes", "No")</f>
        <v>Yes</v>
      </c>
      <c r="X244" s="43" t="str">
        <f t="array" ref="X244">INDEX(S25_CF!J:J, MATCH("*" &amp; $A244 &amp; "*", S25_CF!$A:$A, 0))</f>
        <v>Basic One-Day: Thursday, January 23rd [$1000.00]</v>
      </c>
      <c r="Y244" s="43" t="str">
        <f>IF(COUNTIF(F24_CF!$A:$A,"*" &amp; $A244 &amp; "*") &lt;&gt; 0, "Yes", "No")</f>
        <v>Yes</v>
      </c>
      <c r="Z244" s="43" t="str">
        <f t="array" ref="Z244">INDEX(F24_CF!N:N, MATCH("*" &amp; $A244 &amp; "*", F24_CF!$A:$A, 0))</f>
        <v>Basic One-Day: Wednesday, September 4th [$1000.00]</v>
      </c>
      <c r="AA244" s="43" t="str">
        <f>IF(COUNTIF(S24_CF!$A:$A,"*" &amp; $A244 &amp; "*") &lt;&gt; 0, "Yes", "No")</f>
        <v>No</v>
      </c>
      <c r="AB244" s="43" t="str">
        <f t="array" ref="AB244">INDEX(S24_CF!H:H, MATCH("*" &amp; $A244 &amp; "*", S24_CF!$A:$A, 0))</f>
        <v>#N/A</v>
      </c>
    </row>
    <row r="245" ht="15.0" customHeight="1">
      <c r="A245" s="52" t="s">
        <v>302</v>
      </c>
      <c r="B245" s="43" t="s">
        <v>52</v>
      </c>
      <c r="C245" s="43"/>
      <c r="D245" s="43"/>
      <c r="E245" s="43"/>
      <c r="F245" s="43">
        <f>COUNTIF(S26_Emp!$C:$C,"*" &amp;A245 &amp; "*")</f>
        <v>0</v>
      </c>
      <c r="G245" s="43">
        <f>COUNTIF(F25_Emp!$C:$C,"*" &amp;#REF! &amp; "*")</f>
        <v>0</v>
      </c>
      <c r="H245" s="43">
        <f>COUNTIF(S25_Emp!$C:$C,"*" &amp; A245 &amp; "*")</f>
        <v>0</v>
      </c>
      <c r="I245" s="43">
        <f>COUNTIF(F24_Emp!$C:$C,"*" &amp; B245 &amp; "*")</f>
        <v>0</v>
      </c>
      <c r="J245" s="43">
        <f>COUNTIF(S24_Emp!$C:$C,"*" &amp; $A245 &amp; "*")</f>
        <v>0</v>
      </c>
      <c r="K245" s="43">
        <f>COUNTIF(F23_Emp!$C:$C,"*" &amp; $A245 &amp; "*")</f>
        <v>0</v>
      </c>
      <c r="L245" s="43">
        <f>COUNTIF(S23_Emp!$C:$C,"*" &amp; $A245 &amp; "*")</f>
        <v>0</v>
      </c>
      <c r="M245" s="43">
        <f>COUNTIF(F22_Emp!$C:$C,"*" &amp; $A245 &amp; "*")</f>
        <v>0</v>
      </c>
      <c r="N245" s="43">
        <f>COUNTIF(S22_Emp!$C:$C,"*" &amp; $A245 &amp; "*")</f>
        <v>0</v>
      </c>
      <c r="O245" s="43" t="str">
        <f>COUNTIFS(S22_Emp!$C:$C,"*" &amp; $A245 &amp; "*", S22_S25_Emp!$B:$B, "Bachelor")</f>
        <v>#VALUE!</v>
      </c>
      <c r="P245" s="43" t="str">
        <f>COUNTIFS(S22_Emp!$C:$C,"*" &amp; $A245 &amp; "*", S22_S25_Emp!$B:$B, "Master")</f>
        <v>#VALUE!</v>
      </c>
      <c r="Q245" s="43" t="str">
        <f>COUNTIFS(S22_Emp!$C:$C,"*" &amp; $A245 &amp; "*", S22_S25_Emp!$B:$B, "Doctorate")</f>
        <v>#VALUE!</v>
      </c>
      <c r="R245" s="43" t="str">
        <f t="array" ref="R245">IF(OR(INDEX(S26_CF!X:X, MATCH("*" &amp; $A245 &amp; "*", CompanyList!A:A, 0))=TRUE, INDEX(F25_CF!P:P, MATCH("*" &amp; $A245 &amp; "*", CompanyList!A:A, 0))=TRUE, INDEX(S25_CF!T:T, MATCH("*" &amp; $A245 &amp; "*", CompanyList!A:A, 0))=TRUE, INDEX(S24_CF!W:W, MATCH("*" &amp; $A245 &amp; "*", CompanyList!A:A, 0))=TRUE), "Yes", "No")</f>
        <v>Yes</v>
      </c>
      <c r="S245" s="43" t="str">
        <f>IF(COUNTIF(S26_CF!$A:$A,"*" &amp; $A245 &amp; "*") &lt;&gt; 0, "Yes", "No")</f>
        <v>Yes</v>
      </c>
      <c r="T245" s="43" t="str">
        <f t="array" ref="T245">INDEX(S26_CF!K:K, MATCH("*" &amp; $A245 &amp; "*", S26_CF!A:A, 0))</f>
        <v>Basic Two-Day [$2000.00]</v>
      </c>
      <c r="U245" s="43" t="str">
        <f>IF(COUNTIF(F25_CF!$A:$A,"*" &amp; $A245 &amp; "*") &lt;&gt; 0, "Yes", "No")</f>
        <v>Yes</v>
      </c>
      <c r="V245" s="43" t="str">
        <f t="array" ref="V245">INDEX(F25_CF!I:I, MATCH("*" &amp; $A245 &amp; "*", F25_CF!$A:$A, 0))</f>
        <v>Basic Two-Day [$2000.00]</v>
      </c>
      <c r="W245" s="43" t="str">
        <f>IF(COUNTIF(S25_CF!$A:$A,"*" &amp; $A245 &amp; "*") &lt;&gt; 0, "Yes", "No")</f>
        <v>Yes</v>
      </c>
      <c r="X245" s="43" t="str">
        <f t="array" ref="X245">INDEX(S25_CF!J:J, MATCH("*" &amp; $A245 &amp; "*", S25_CF!$A:$A, 0))</f>
        <v>Basic Two-Day [$2000.00]</v>
      </c>
      <c r="Y245" s="43" t="str">
        <f>IF(COUNTIF(F24_CF!$A:$A,"*" &amp; $A245 &amp; "*") &lt;&gt; 0, "Yes", "No")</f>
        <v>Yes</v>
      </c>
      <c r="Z245" s="43" t="str">
        <f t="array" ref="Z245">INDEX(F24_CF!N:N, MATCH("*" &amp; $A245 &amp; "*", F24_CF!$A:$A, 0))</f>
        <v>Basic Two-Day [$2000.00]</v>
      </c>
      <c r="AA245" s="43" t="str">
        <f>IF(COUNTIF(S24_CF!$A:$A,"*" &amp; $A245 &amp; "*") &lt;&gt; 0, "Yes", "No")</f>
        <v>No</v>
      </c>
      <c r="AB245" s="43" t="str">
        <f t="array" ref="AB245">INDEX(S24_CF!H:H, MATCH("*" &amp; $A245 &amp; "*", S24_CF!$A:$A, 0))</f>
        <v>#N/A</v>
      </c>
    </row>
    <row r="246" ht="15.0" customHeight="1">
      <c r="A246" s="52" t="s">
        <v>303</v>
      </c>
      <c r="B246" s="43" t="s">
        <v>52</v>
      </c>
      <c r="C246" s="43"/>
      <c r="D246" s="43"/>
      <c r="E246" s="43"/>
      <c r="F246" s="43">
        <f>COUNTIF(S26_Emp!$C:$C,"*" &amp;A246 &amp; "*")</f>
        <v>0</v>
      </c>
      <c r="G246" s="43">
        <f>COUNTIF(F25_Emp!$C:$C,"*" &amp;#REF! &amp; "*")</f>
        <v>0</v>
      </c>
      <c r="H246" s="43">
        <f>COUNTIF(S25_Emp!$C:$C,"*" &amp; A246 &amp; "*")</f>
        <v>0</v>
      </c>
      <c r="I246" s="43">
        <f>COUNTIF(F24_Emp!$C:$C,"*" &amp; B246 &amp; "*")</f>
        <v>0</v>
      </c>
      <c r="J246" s="43">
        <f>COUNTIF(S24_Emp!$C:$C,"*" &amp; $A246 &amp; "*")</f>
        <v>0</v>
      </c>
      <c r="K246" s="43">
        <f>COUNTIF(F23_Emp!$C:$C,"*" &amp; $A246 &amp; "*")</f>
        <v>0</v>
      </c>
      <c r="L246" s="43">
        <f>COUNTIF(S23_Emp!$C:$C,"*" &amp; $A246 &amp; "*")</f>
        <v>1</v>
      </c>
      <c r="M246" s="43">
        <f>COUNTIF(F22_Emp!$C:$C,"*" &amp; $A246 &amp; "*")</f>
        <v>0</v>
      </c>
      <c r="N246" s="43">
        <f>COUNTIF(S22_Emp!$C:$C,"*" &amp; $A246 &amp; "*")</f>
        <v>0</v>
      </c>
      <c r="O246" s="43" t="str">
        <f>COUNTIFS(S22_Emp!$C:$C,"*" &amp; $A246 &amp; "*", S22_S25_Emp!$B:$B, "Bachelor")</f>
        <v>#VALUE!</v>
      </c>
      <c r="P246" s="43" t="str">
        <f>COUNTIFS(S22_Emp!$C:$C,"*" &amp; $A246 &amp; "*", S22_S25_Emp!$B:$B, "Master")</f>
        <v>#VALUE!</v>
      </c>
      <c r="Q246" s="43" t="str">
        <f>COUNTIFS(S22_Emp!$C:$C,"*" &amp; $A246 &amp; "*", S22_S25_Emp!$B:$B, "Doctorate")</f>
        <v>#VALUE!</v>
      </c>
      <c r="R246" s="43" t="str">
        <f t="array" ref="R246">IF(OR(INDEX(S26_CF!X:X, MATCH("*" &amp; $A246 &amp; "*", CompanyList!A:A, 0))=TRUE, INDEX(F25_CF!P:P, MATCH("*" &amp; $A246 &amp; "*", CompanyList!A:A, 0))=TRUE, INDEX(S25_CF!T:T, MATCH("*" &amp; $A246 &amp; "*", CompanyList!A:A, 0))=TRUE, INDEX(S24_CF!W:W, MATCH("*" &amp; $A246 &amp; "*", CompanyList!A:A, 0))=TRUE), "Yes", "No")</f>
        <v>No</v>
      </c>
      <c r="S246" s="43" t="str">
        <f>IF(COUNTIF(S26_CF!$A:$A,"*" &amp; $A246 &amp; "*") &lt;&gt; 0, "Yes", "No")</f>
        <v>Yes</v>
      </c>
      <c r="T246" s="43" t="str">
        <f t="array" ref="T246">INDEX(S26_CF!K:K, MATCH("*" &amp; $A246 &amp; "*", S26_CF!A:A, 0))</f>
        <v>Basic Two-Day [$2000.00]</v>
      </c>
      <c r="U246" s="43" t="str">
        <f>IF(COUNTIF(F25_CF!$A:$A,"*" &amp; $A246 &amp; "*") &lt;&gt; 0, "Yes", "No")</f>
        <v>Yes</v>
      </c>
      <c r="V246" s="43" t="str">
        <f t="array" ref="V246">INDEX(F25_CF!I:I, MATCH("*" &amp; $A246 &amp; "*", F25_CF!$A:$A, 0))</f>
        <v>Basic Two-Day [$2000.00]</v>
      </c>
      <c r="W246" s="43" t="str">
        <f>IF(COUNTIF(S25_CF!$A:$A,"*" &amp; $A246 &amp; "*") &lt;&gt; 0, "Yes", "No")</f>
        <v>No</v>
      </c>
      <c r="X246" s="43" t="str">
        <f t="array" ref="X246">INDEX(S25_CF!J:J, MATCH("*" &amp; $A246 &amp; "*", S25_CF!$A:$A, 0))</f>
        <v>#N/A</v>
      </c>
      <c r="Y246" s="43" t="str">
        <f>IF(COUNTIF(F24_CF!$A:$A,"*" &amp; $A246 &amp; "*") &lt;&gt; 0, "Yes", "No")</f>
        <v>Yes</v>
      </c>
      <c r="Z246" s="43" t="str">
        <f t="array" ref="Z246">INDEX(F24_CF!N:N, MATCH("*" &amp; $A246 &amp; "*", F24_CF!$A:$A, 0))</f>
        <v>Basic One-Day: Thursday, September 5th [$1000.00]</v>
      </c>
      <c r="AA246" s="43" t="str">
        <f>IF(COUNTIF(S24_CF!$A:$A,"*" &amp; $A246 &amp; "*") &lt;&gt; 0, "Yes", "No")</f>
        <v>No</v>
      </c>
      <c r="AB246" s="43" t="str">
        <f t="array" ref="AB246">INDEX(S24_CF!H:H, MATCH("*" &amp; $A246 &amp; "*", S24_CF!$A:$A, 0))</f>
        <v>#N/A</v>
      </c>
    </row>
    <row r="247" ht="15.0" customHeight="1">
      <c r="A247" s="52" t="s">
        <v>304</v>
      </c>
      <c r="B247" s="43" t="s">
        <v>61</v>
      </c>
      <c r="C247" s="43"/>
      <c r="D247" s="43"/>
      <c r="E247" s="43"/>
      <c r="F247" s="43">
        <f>COUNTIF(S26_Emp!$C:$C,"*" &amp;A247 &amp; "*")</f>
        <v>0</v>
      </c>
      <c r="G247" s="43">
        <f>COUNTIF(F25_Emp!$C:$C,"*" &amp;#REF! &amp; "*")</f>
        <v>0</v>
      </c>
      <c r="H247" s="43">
        <f>COUNTIF(S25_Emp!$C:$C,"*" &amp; A247 &amp; "*")</f>
        <v>0</v>
      </c>
      <c r="I247" s="43">
        <f>COUNTIF(F24_Emp!$C:$C,"*" &amp; B247 &amp; "*")</f>
        <v>0</v>
      </c>
      <c r="J247" s="43">
        <f>COUNTIF(S24_Emp!$C:$C,"*" &amp; $A247 &amp; "*")</f>
        <v>0</v>
      </c>
      <c r="K247" s="43">
        <f>COUNTIF(F23_Emp!$C:$C,"*" &amp; $A247 &amp; "*")</f>
        <v>0</v>
      </c>
      <c r="L247" s="43">
        <f>COUNTIF(S23_Emp!$C:$C,"*" &amp; $A247 &amp; "*")</f>
        <v>0</v>
      </c>
      <c r="M247" s="43">
        <f>COUNTIF(F22_Emp!$C:$C,"*" &amp; $A247 &amp; "*")</f>
        <v>0</v>
      </c>
      <c r="N247" s="43">
        <f>COUNTIF(S22_Emp!$C:$C,"*" &amp; $A247 &amp; "*")</f>
        <v>0</v>
      </c>
      <c r="O247" s="43" t="str">
        <f>COUNTIFS(S22_Emp!$C:$C,"*" &amp; $A247 &amp; "*", S22_S25_Emp!$B:$B, "Bachelor")</f>
        <v>#VALUE!</v>
      </c>
      <c r="P247" s="43" t="str">
        <f>COUNTIFS(S22_Emp!$C:$C,"*" &amp; $A247 &amp; "*", S22_S25_Emp!$B:$B, "Master")</f>
        <v>#VALUE!</v>
      </c>
      <c r="Q247" s="43" t="str">
        <f>COUNTIFS(S22_Emp!$C:$C,"*" &amp; $A247 &amp; "*", S22_S25_Emp!$B:$B, "Doctorate")</f>
        <v>#VALUE!</v>
      </c>
      <c r="R247" s="43" t="str">
        <f t="array" ref="R247">IF(OR(INDEX(S26_CF!X:X, MATCH("*" &amp; $A247 &amp; "*", CompanyList!A:A, 0))=TRUE, INDEX(F25_CF!P:P, MATCH("*" &amp; $A247 &amp; "*", CompanyList!A:A, 0))=TRUE, INDEX(S25_CF!T:T, MATCH("*" &amp; $A247 &amp; "*", CompanyList!A:A, 0))=TRUE, INDEX(S24_CF!W:W, MATCH("*" &amp; $A247 &amp; "*", CompanyList!A:A, 0))=TRUE), "Yes", "No")</f>
        <v>Yes</v>
      </c>
      <c r="S247" s="43" t="str">
        <f>IF(COUNTIF(S26_CF!$A:$A,"*" &amp; $A247 &amp; "*") &lt;&gt; 0, "Yes", "No")</f>
        <v>Yes</v>
      </c>
      <c r="T247" s="43" t="str">
        <f t="array" ref="T247">INDEX(S26_CF!K:K, MATCH("*" &amp; $A247 &amp; "*", S26_CF!A:A, 0))</f>
        <v>Silver One-Day: Thursday, January 29th [$1800.00]</v>
      </c>
      <c r="U247" s="43" t="str">
        <f>IF(COUNTIF(F25_CF!$A:$A,"*" &amp; $A247 &amp; "*") &lt;&gt; 0, "Yes", "No")</f>
        <v>No</v>
      </c>
      <c r="V247" s="43" t="str">
        <f t="array" ref="V247">INDEX(F25_CF!I:I, MATCH("*" &amp; $A247 &amp; "*", F25_CF!$A:$A, 0))</f>
        <v>#N/A</v>
      </c>
      <c r="W247" s="43" t="str">
        <f>IF(COUNTIF(S25_CF!$A:$A,"*" &amp; $A247 &amp; "*") &lt;&gt; 0, "Yes", "No")</f>
        <v>Yes</v>
      </c>
      <c r="X247" s="43" t="str">
        <f t="array" ref="X247">INDEX(S25_CF!J:J, MATCH("*" &amp; $A247 &amp; "*", S25_CF!$A:$A, 0))</f>
        <v>Basic One-Day: Thursday, January 23rd [$1000.00]</v>
      </c>
      <c r="Y247" s="43" t="str">
        <f>IF(COUNTIF(F24_CF!$A:$A,"*" &amp; $A247 &amp; "*") &lt;&gt; 0, "Yes", "No")</f>
        <v>Yes</v>
      </c>
      <c r="Z247" s="43" t="str">
        <f t="array" ref="Z247">INDEX(F24_CF!N:N, MATCH("*" &amp; $A247 &amp; "*", F24_CF!$A:$A, 0))</f>
        <v>Basic One-Day: Thursday, September 5th [$1000.00]</v>
      </c>
      <c r="AA247" s="43" t="str">
        <f>IF(COUNTIF(S24_CF!$A:$A,"*" &amp; $A247 &amp; "*") &lt;&gt; 0, "Yes", "No")</f>
        <v>No</v>
      </c>
      <c r="AB247" s="43" t="str">
        <f t="array" ref="AB247">INDEX(S24_CF!H:H, MATCH("*" &amp; $A247 &amp; "*", S24_CF!$A:$A, 0))</f>
        <v>#N/A</v>
      </c>
    </row>
    <row r="248" ht="15.0" customHeight="1">
      <c r="A248" s="52" t="s">
        <v>305</v>
      </c>
      <c r="B248" s="43" t="s">
        <v>52</v>
      </c>
      <c r="C248" s="43"/>
      <c r="D248" s="43"/>
      <c r="E248" s="43"/>
      <c r="F248" s="43">
        <f>COUNTIF(S26_Emp!$C:$C,"*" &amp;A248 &amp; "*")</f>
        <v>0</v>
      </c>
      <c r="G248" s="43">
        <f>COUNTIF(F25_Emp!$C:$C,"*" &amp;#REF! &amp; "*")</f>
        <v>0</v>
      </c>
      <c r="H248" s="43">
        <f>COUNTIF(S25_Emp!$C:$C,"*" &amp; A248 &amp; "*")</f>
        <v>0</v>
      </c>
      <c r="I248" s="43">
        <f>COUNTIF(F24_Emp!$C:$C,"*" &amp; B248 &amp; "*")</f>
        <v>0</v>
      </c>
      <c r="J248" s="43">
        <f>COUNTIF(S24_Emp!$C:$C,"*" &amp; $A248 &amp; "*")</f>
        <v>0</v>
      </c>
      <c r="K248" s="43">
        <f>COUNTIF(F23_Emp!$C:$C,"*" &amp; $A248 &amp; "*")</f>
        <v>0</v>
      </c>
      <c r="L248" s="43">
        <f>COUNTIF(S23_Emp!$C:$C,"*" &amp; $A248 &amp; "*")</f>
        <v>0</v>
      </c>
      <c r="M248" s="43">
        <f>COUNTIF(F22_Emp!$C:$C,"*" &amp; $A248 &amp; "*")</f>
        <v>0</v>
      </c>
      <c r="N248" s="43">
        <f>COUNTIF(S22_Emp!$C:$C,"*" &amp; $A248 &amp; "*")</f>
        <v>0</v>
      </c>
      <c r="O248" s="43" t="str">
        <f>COUNTIFS(S22_Emp!$C:$C,"*" &amp; $A248 &amp; "*", S22_S25_Emp!$B:$B, "Bachelor")</f>
        <v>#VALUE!</v>
      </c>
      <c r="P248" s="43" t="str">
        <f>COUNTIFS(S22_Emp!$C:$C,"*" &amp; $A248 &amp; "*", S22_S25_Emp!$B:$B, "Master")</f>
        <v>#VALUE!</v>
      </c>
      <c r="Q248" s="43" t="str">
        <f>COUNTIFS(S22_Emp!$C:$C,"*" &amp; $A248 &amp; "*", S22_S25_Emp!$B:$B, "Doctorate")</f>
        <v>#VALUE!</v>
      </c>
      <c r="R248" s="43" t="str">
        <f t="array" ref="R248">IF(OR(INDEX(S26_CF!X:X, MATCH("*" &amp; $A248 &amp; "*", CompanyList!A:A, 0))=TRUE, INDEX(F25_CF!P:P, MATCH("*" &amp; $A248 &amp; "*", CompanyList!A:A, 0))=TRUE, INDEX(S25_CF!T:T, MATCH("*" &amp; $A248 &amp; "*", CompanyList!A:A, 0))=TRUE, INDEX(S24_CF!W:W, MATCH("*" &amp; $A248 &amp; "*", CompanyList!A:A, 0))=TRUE), "Yes", "No")</f>
        <v>No</v>
      </c>
      <c r="S248" s="43" t="str">
        <f>IF(COUNTIF(S26_CF!$A:$A,"*" &amp; $A248 &amp; "*") &lt;&gt; 0, "Yes", "No")</f>
        <v>Yes</v>
      </c>
      <c r="T248" s="43" t="str">
        <f t="array" ref="T248">INDEX(S26_CF!K:K, MATCH("*" &amp; $A248 &amp; "*", S26_CF!A:A, 0))</f>
        <v>Silver Two-Day [$3000.00]</v>
      </c>
      <c r="U248" s="43" t="str">
        <f>IF(COUNTIF(F25_CF!$A:$A,"*" &amp; $A248 &amp; "*") &lt;&gt; 0, "Yes", "No")</f>
        <v>Yes</v>
      </c>
      <c r="V248" s="43" t="str">
        <f t="array" ref="V248">INDEX(F25_CF!I:I, MATCH("*" &amp; $A248 &amp; "*", F25_CF!$A:$A, 0))</f>
        <v>Silver Two-Day [$3000.00]</v>
      </c>
      <c r="W248" s="43" t="str">
        <f>IF(COUNTIF(S25_CF!$A:$A,"*" &amp; $A248 &amp; "*") &lt;&gt; 0, "Yes", "No")</f>
        <v>Yes</v>
      </c>
      <c r="X248" s="43" t="str">
        <f t="array" ref="X248">INDEX(S25_CF!J:J, MATCH("*" &amp; $A248 &amp; "*", S25_CF!$A:$A, 0))</f>
        <v>Diamond One-Day: Wednesday, January 22nd [$4000.00]</v>
      </c>
      <c r="Y248" s="43" t="str">
        <f>IF(COUNTIF(F24_CF!$A:$A,"*" &amp; $A248 &amp; "*") &lt;&gt; 0, "Yes", "No")</f>
        <v>Yes</v>
      </c>
      <c r="Z248" s="43" t="str">
        <f t="array" ref="Z248">INDEX(F24_CF!N:N, MATCH("*" &amp; $A248 &amp; "*", F24_CF!$A:$A, 0))</f>
        <v>Gold One-Day: Wednesday, September 4th [$2500.00]</v>
      </c>
      <c r="AA248" s="43" t="str">
        <f>IF(COUNTIF(S24_CF!$A:$A,"*" &amp; $A248 &amp; "*") &lt;&gt; 0, "Yes", "No")</f>
        <v>No</v>
      </c>
      <c r="AB248" s="43" t="str">
        <f t="array" ref="AB248">INDEX(S24_CF!H:H, MATCH("*" &amp; $A248 &amp; "*", S24_CF!$A:$A, 0))</f>
        <v>#N/A</v>
      </c>
    </row>
    <row r="249" ht="15.0" customHeight="1">
      <c r="A249" s="52" t="s">
        <v>306</v>
      </c>
      <c r="B249" s="43" t="s">
        <v>54</v>
      </c>
      <c r="C249" s="43">
        <v>23000.0</v>
      </c>
      <c r="D249" s="43">
        <v>51000.0</v>
      </c>
      <c r="E249" s="43">
        <v>20.0</v>
      </c>
      <c r="F249" s="43">
        <f>COUNTIF(S26_Emp!$C:$C,"*" &amp;A249 &amp; "*")</f>
        <v>0</v>
      </c>
      <c r="G249" s="43">
        <f>COUNTIF(F25_Emp!$C:$C,"*" &amp;#REF! &amp; "*")</f>
        <v>0</v>
      </c>
      <c r="H249" s="43">
        <f>COUNTIF(S25_Emp!$C:$C,"*" &amp; A249 &amp; "*")</f>
        <v>0</v>
      </c>
      <c r="I249" s="43">
        <f>COUNTIF(F24_Emp!$C:$C,"*" &amp; B249 &amp; "*")</f>
        <v>1</v>
      </c>
      <c r="J249" s="43">
        <f>COUNTIF(S24_Emp!$C:$C,"*" &amp; $A249 &amp; "*")</f>
        <v>0</v>
      </c>
      <c r="K249" s="43">
        <f>COUNTIF(F23_Emp!$C:$C,"*" &amp; $A249 &amp; "*")</f>
        <v>0</v>
      </c>
      <c r="L249" s="43">
        <f>COUNTIF(S23_Emp!$C:$C,"*" &amp; $A249 &amp; "*")</f>
        <v>0</v>
      </c>
      <c r="M249" s="43">
        <f>COUNTIF(F22_Emp!$C:$C,"*" &amp; $A249 &amp; "*")</f>
        <v>0</v>
      </c>
      <c r="N249" s="43">
        <f>COUNTIF(S22_Emp!$C:$C,"*" &amp; $A249 &amp; "*")</f>
        <v>0</v>
      </c>
      <c r="O249" s="43" t="str">
        <f>COUNTIFS(S22_Emp!$C:$C,"*" &amp; $A249 &amp; "*", S22_S25_Emp!$B:$B, "Bachelor")</f>
        <v>#VALUE!</v>
      </c>
      <c r="P249" s="43" t="str">
        <f>COUNTIFS(S22_Emp!$C:$C,"*" &amp; $A249 &amp; "*", S22_S25_Emp!$B:$B, "Master")</f>
        <v>#VALUE!</v>
      </c>
      <c r="Q249" s="43" t="str">
        <f>COUNTIFS(S22_Emp!$C:$C,"*" &amp; $A249 &amp; "*", S22_S25_Emp!$B:$B, "Doctorate")</f>
        <v>#VALUE!</v>
      </c>
      <c r="R249" s="43" t="str">
        <f t="array" ref="R249">IF(OR(INDEX(S26_CF!X:X, MATCH("*" &amp; $A249 &amp; "*", CompanyList!A:A, 0))=TRUE, INDEX(F25_CF!P:P, MATCH("*" &amp; $A249 &amp; "*", CompanyList!A:A, 0))=TRUE, INDEX(S25_CF!T:T, MATCH("*" &amp; $A249 &amp; "*", CompanyList!A:A, 0))=TRUE, INDEX(S24_CF!W:W, MATCH("*" &amp; $A249 &amp; "*", CompanyList!A:A, 0))=TRUE), "Yes", "No")</f>
        <v>Yes</v>
      </c>
      <c r="S249" s="43" t="str">
        <f>IF(COUNTIF(S26_CF!$A:$A,"*" &amp; $A249 &amp; "*") &lt;&gt; 0, "Yes", "No")</f>
        <v>No</v>
      </c>
      <c r="T249" s="43" t="str">
        <f t="array" ref="T249">INDEX(S26_CF!K:K, MATCH("*" &amp; $A249 &amp; "*", S26_CF!A:A, 0))</f>
        <v>#N/A</v>
      </c>
      <c r="U249" s="43" t="str">
        <f>IF(COUNTIF(F25_CF!$A:$A,"*" &amp; $A249 &amp; "*") &lt;&gt; 0, "Yes", "No")</f>
        <v>Yes</v>
      </c>
      <c r="V249" s="43" t="str">
        <f t="array" ref="V249">INDEX(F25_CF!I:I, MATCH("*" &amp; $A249 &amp; "*", F25_CF!$A:$A, 0))</f>
        <v>Basic One-Day: Wednesday, September 10th [$1000.00]</v>
      </c>
      <c r="W249" s="43" t="str">
        <f>IF(COUNTIF(S25_CF!$A:$A,"*" &amp; $A249 &amp; "*") &lt;&gt; 0, "Yes", "No")</f>
        <v>Yes</v>
      </c>
      <c r="X249" s="43" t="str">
        <f t="array" ref="X249">INDEX(S25_CF!J:J, MATCH("*" &amp; $A249 &amp; "*", S25_CF!$A:$A, 0))</f>
        <v>Basic One-Day: Thursday, January 23rd [$1000.00]</v>
      </c>
      <c r="Y249" s="43" t="str">
        <f>IF(COUNTIF(F24_CF!$A:$A,"*" &amp; $A249 &amp; "*") &lt;&gt; 0, "Yes", "No")</f>
        <v>Yes</v>
      </c>
      <c r="Z249" s="43" t="str">
        <f t="array" ref="Z249">INDEX(F24_CF!N:N, MATCH("*" &amp; $A249 &amp; "*", F24_CF!$A:$A, 0))</f>
        <v>Basic One-Day: Wednesday, September 4th [$1000.00]</v>
      </c>
      <c r="AA249" s="43" t="str">
        <f>IF(COUNTIF(S24_CF!$A:$A,"*" &amp; $A249 &amp; "*") &lt;&gt; 0, "Yes", "No")</f>
        <v>Yes</v>
      </c>
      <c r="AB249" s="43" t="str">
        <f t="array" ref="AB249">INDEX(S24_CF!H:H, MATCH("*" &amp; $A249 &amp; "*", S24_CF!$A:$A, 0))</f>
        <v>Basic One-Day [$1000.00]</v>
      </c>
    </row>
    <row r="250" ht="15.0" customHeight="1">
      <c r="A250" s="52" t="s">
        <v>307</v>
      </c>
      <c r="B250" s="43" t="s">
        <v>54</v>
      </c>
      <c r="C250" s="43">
        <v>29000.0</v>
      </c>
      <c r="D250" s="43">
        <v>62000.0</v>
      </c>
      <c r="E250" s="43">
        <v>25.0</v>
      </c>
      <c r="F250" s="43">
        <f>COUNTIF(S26_Emp!$C:$C,"*" &amp;A250 &amp; "*")</f>
        <v>0</v>
      </c>
      <c r="G250" s="43">
        <f>COUNTIF(F25_Emp!$C:$C,"*" &amp;#REF! &amp; "*")</f>
        <v>0</v>
      </c>
      <c r="H250" s="43">
        <f>COUNTIF(S25_Emp!$C:$C,"*" &amp; A250 &amp; "*")</f>
        <v>0</v>
      </c>
      <c r="I250" s="43">
        <f>COUNTIF(F24_Emp!$C:$C,"*" &amp; B250 &amp; "*")</f>
        <v>1</v>
      </c>
      <c r="J250" s="43">
        <f>COUNTIF(S24_Emp!$C:$C,"*" &amp; $A250 &amp; "*")</f>
        <v>1</v>
      </c>
      <c r="K250" s="43">
        <f>COUNTIF(F23_Emp!$C:$C,"*" &amp; $A250 &amp; "*")</f>
        <v>2</v>
      </c>
      <c r="L250" s="43">
        <f>COUNTIF(S23_Emp!$C:$C,"*" &amp; $A250 &amp; "*")</f>
        <v>3</v>
      </c>
      <c r="M250" s="43">
        <f>COUNTIF(F22_Emp!$C:$C,"*" &amp; $A250 &amp; "*")</f>
        <v>3</v>
      </c>
      <c r="N250" s="43">
        <f>COUNTIF(S22_Emp!$C:$C,"*" &amp; $A250 &amp; "*")</f>
        <v>0</v>
      </c>
      <c r="O250" s="43" t="str">
        <f>COUNTIFS(S22_Emp!$C:$C,"*" &amp; $A250 &amp; "*", S22_S25_Emp!$B:$B, "Bachelor")</f>
        <v>#VALUE!</v>
      </c>
      <c r="P250" s="43" t="str">
        <f>COUNTIFS(S22_Emp!$C:$C,"*" &amp; $A250 &amp; "*", S22_S25_Emp!$B:$B, "Master")</f>
        <v>#VALUE!</v>
      </c>
      <c r="Q250" s="43" t="str">
        <f>COUNTIFS(S22_Emp!$C:$C,"*" &amp; $A250 &amp; "*", S22_S25_Emp!$B:$B, "Doctorate")</f>
        <v>#VALUE!</v>
      </c>
      <c r="R250" s="43" t="str">
        <f t="array" ref="R250">IF(OR(INDEX(S26_CF!X:X, MATCH("*" &amp; $A250 &amp; "*", CompanyList!A:A, 0))=TRUE, INDEX(F25_CF!P:P, MATCH("*" &amp; $A250 &amp; "*", CompanyList!A:A, 0))=TRUE, INDEX(S25_CF!T:T, MATCH("*" &amp; $A250 &amp; "*", CompanyList!A:A, 0))=TRUE, INDEX(S24_CF!W:W, MATCH("*" &amp; $A250 &amp; "*", CompanyList!A:A, 0))=TRUE), "Yes", "No")</f>
        <v>No</v>
      </c>
      <c r="S250" s="43" t="str">
        <f>IF(COUNTIF(S26_CF!$A:$A,"*" &amp; $A250 &amp; "*") &lt;&gt; 0, "Yes", "No")</f>
        <v>Yes</v>
      </c>
      <c r="T250" s="43" t="str">
        <f t="array" ref="T250">INDEX(S26_CF!K:K, MATCH("*" &amp; $A250 &amp; "*", S26_CF!A:A, 0))</f>
        <v>Diamond One-Day: Wednesday, January 28th [$4000.00]</v>
      </c>
      <c r="U250" s="43" t="str">
        <f>IF(COUNTIF(F25_CF!$A:$A,"*" &amp; $A250 &amp; "*") &lt;&gt; 0, "Yes", "No")</f>
        <v>Yes</v>
      </c>
      <c r="V250" s="43" t="str">
        <f t="array" ref="V250">INDEX(F25_CF!I:I, MATCH("*" &amp; $A250 &amp; "*", F25_CF!$A:$A, 0))</f>
        <v>Diamond One-Day: Wednesday, September 10th [$4000.00]</v>
      </c>
      <c r="W250" s="43" t="str">
        <f>IF(COUNTIF(S25_CF!$A:$A,"*" &amp; $A250 &amp; "*") &lt;&gt; 0, "Yes", "No")</f>
        <v>Yes</v>
      </c>
      <c r="X250" s="43" t="str">
        <f t="array" ref="X250">INDEX(S25_CF!J:J, MATCH("*" &amp; $A250 &amp; "*", S25_CF!$A:$A, 0))</f>
        <v>Gold One-Day: Wednesday, January 22nd [$2500.00]</v>
      </c>
      <c r="Y250" s="43" t="str">
        <f>IF(COUNTIF(F24_CF!$A:$A,"*" &amp; $A250 &amp; "*") &lt;&gt; 0, "Yes", "No")</f>
        <v>Yes</v>
      </c>
      <c r="Z250" s="43" t="str">
        <f t="array" ref="Z250">INDEX(F24_CF!N:N, MATCH("*" &amp; $A250 &amp; "*", F24_CF!$A:$A, 0))</f>
        <v>Diamond One-Day: Wednesday, September 4th [$4000.00]</v>
      </c>
      <c r="AA250" s="43" t="str">
        <f>IF(COUNTIF(S24_CF!$A:$A,"*" &amp; $A250 &amp; "*") &lt;&gt; 0, "Yes", "No")</f>
        <v>Yes</v>
      </c>
      <c r="AB250" s="43" t="str">
        <f t="array" ref="AB250">INDEX(S24_CF!H:H, MATCH("*" &amp; $A250 &amp; "*", S24_CF!$A:$A, 0))</f>
        <v>Gold One-Day [$2500.00]</v>
      </c>
    </row>
    <row r="251" ht="15.0" customHeight="1">
      <c r="A251" s="52" t="s">
        <v>308</v>
      </c>
      <c r="B251" s="43" t="s">
        <v>52</v>
      </c>
      <c r="C251" s="43">
        <v>3000.0</v>
      </c>
      <c r="D251" s="43">
        <v>2000.0</v>
      </c>
      <c r="E251" s="43"/>
      <c r="F251" s="43">
        <f>COUNTIF(S26_Emp!$C:$C,"*" &amp;A251 &amp; "*")</f>
        <v>0</v>
      </c>
      <c r="G251" s="43">
        <f>COUNTIF(F25_Emp!$C:$C,"*" &amp;#REF! &amp; "*")</f>
        <v>0</v>
      </c>
      <c r="H251" s="43">
        <f>COUNTIF(S25_Emp!$C:$C,"*" &amp; A251 &amp; "*")</f>
        <v>0</v>
      </c>
      <c r="I251" s="43">
        <f>COUNTIF(F24_Emp!$C:$C,"*" &amp; B251 &amp; "*")</f>
        <v>0</v>
      </c>
      <c r="J251" s="43">
        <f>COUNTIF(S24_Emp!$C:$C,"*" &amp; $A251 &amp; "*")</f>
        <v>0</v>
      </c>
      <c r="K251" s="43">
        <f>COUNTIF(F23_Emp!$C:$C,"*" &amp; $A251 &amp; "*")</f>
        <v>0</v>
      </c>
      <c r="L251" s="43">
        <f>COUNTIF(S23_Emp!$C:$C,"*" &amp; $A251 &amp; "*")</f>
        <v>0</v>
      </c>
      <c r="M251" s="43">
        <f>COUNTIF(F22_Emp!$C:$C,"*" &amp; $A251 &amp; "*")</f>
        <v>0</v>
      </c>
      <c r="N251" s="43">
        <f>COUNTIF(S22_Emp!$C:$C,"*" &amp; $A251 &amp; "*")</f>
        <v>0</v>
      </c>
      <c r="O251" s="43" t="str">
        <f>COUNTIFS(S22_Emp!$C:$C,"*" &amp; $A251 &amp; "*", S22_S25_Emp!$B:$B, "Bachelor")</f>
        <v>#VALUE!</v>
      </c>
      <c r="P251" s="43" t="str">
        <f>COUNTIFS(S22_Emp!$C:$C,"*" &amp; $A251 &amp; "*", S22_S25_Emp!$B:$B, "Master")</f>
        <v>#VALUE!</v>
      </c>
      <c r="Q251" s="43" t="str">
        <f>COUNTIFS(S22_Emp!$C:$C,"*" &amp; $A251 &amp; "*", S22_S25_Emp!$B:$B, "Doctorate")</f>
        <v>#VALUE!</v>
      </c>
      <c r="R251" s="43" t="str">
        <f t="array" ref="R251">IF(OR(INDEX(S26_CF!X:X, MATCH("*" &amp; $A251 &amp; "*", CompanyList!A:A, 0))=TRUE, INDEX(F25_CF!P:P, MATCH("*" &amp; $A251 &amp; "*", CompanyList!A:A, 0))=TRUE, INDEX(S25_CF!T:T, MATCH("*" &amp; $A251 &amp; "*", CompanyList!A:A, 0))=TRUE, INDEX(S24_CF!W:W, MATCH("*" &amp; $A251 &amp; "*", CompanyList!A:A, 0))=TRUE), "Yes", "No")</f>
        <v>No</v>
      </c>
      <c r="S251" s="43" t="str">
        <f>IF(COUNTIF(S26_CF!$A:$A,"*" &amp; $A251 &amp; "*") &lt;&gt; 0, "Yes", "No")</f>
        <v>No</v>
      </c>
      <c r="T251" s="43" t="str">
        <f t="array" ref="T251">INDEX(S26_CF!K:K, MATCH("*" &amp; $A251 &amp; "*", S26_CF!A:A, 0))</f>
        <v>#N/A</v>
      </c>
      <c r="U251" s="43" t="str">
        <f>IF(COUNTIF(F25_CF!$A:$A,"*" &amp; $A251 &amp; "*") &lt;&gt; 0, "Yes", "No")</f>
        <v>No</v>
      </c>
      <c r="V251" s="43" t="str">
        <f t="array" ref="V251">INDEX(F25_CF!I:I, MATCH("*" &amp; $A251 &amp; "*", F25_CF!$A:$A, 0))</f>
        <v>#N/A</v>
      </c>
      <c r="W251" s="43" t="str">
        <f>IF(COUNTIF(S25_CF!$A:$A,"*" &amp; $A251 &amp; "*") &lt;&gt; 0, "Yes", "No")</f>
        <v>Yes</v>
      </c>
      <c r="X251" s="43" t="str">
        <f t="array" ref="X251">INDEX(S25_CF!J:J, MATCH("*" &amp; $A251 &amp; "*", S25_CF!$A:$A, 0))</f>
        <v>Basic One-Day: Wednesday, January 22nd [$1000.00]</v>
      </c>
      <c r="Y251" s="43" t="str">
        <f>IF(COUNTIF(F24_CF!$A:$A,"*" &amp; $A251 &amp; "*") &lt;&gt; 0, "Yes", "No")</f>
        <v>Yes</v>
      </c>
      <c r="Z251" s="43" t="str">
        <f t="array" ref="Z251">INDEX(F24_CF!N:N, MATCH("*" &amp; $A251 &amp; "*", F24_CF!$A:$A, 0))</f>
        <v>Basic One-Day: Thursday, September 5th [$1000.00]</v>
      </c>
      <c r="AA251" s="43" t="str">
        <f>IF(COUNTIF(S24_CF!$A:$A,"*" &amp; $A251 &amp; "*") &lt;&gt; 0, "Yes", "No")</f>
        <v>No</v>
      </c>
      <c r="AB251" s="43" t="str">
        <f t="array" ref="AB251">INDEX(S24_CF!H:H, MATCH("*" &amp; $A251 &amp; "*", S24_CF!$A:$A, 0))</f>
        <v>#N/A</v>
      </c>
    </row>
    <row r="252" ht="15.0" customHeight="1">
      <c r="A252" s="52" t="s">
        <v>309</v>
      </c>
      <c r="B252" s="43" t="s">
        <v>54</v>
      </c>
      <c r="C252" s="43">
        <v>15000.0</v>
      </c>
      <c r="D252" s="43">
        <v>26000.0</v>
      </c>
      <c r="E252" s="43">
        <v>4.0</v>
      </c>
      <c r="F252" s="43">
        <f>COUNTIF(S26_Emp!$C:$C,"*" &amp;A252 &amp; "*")</f>
        <v>0</v>
      </c>
      <c r="G252" s="43">
        <f>COUNTIF(F25_Emp!$C:$C,"*" &amp;#REF! &amp; "*")</f>
        <v>0</v>
      </c>
      <c r="H252" s="43">
        <f>COUNTIF(S25_Emp!$C:$C,"*" &amp; A252 &amp; "*")</f>
        <v>0</v>
      </c>
      <c r="I252" s="43">
        <f>COUNTIF(F24_Emp!$C:$C,"*" &amp; B252 &amp; "*")</f>
        <v>1</v>
      </c>
      <c r="J252" s="43">
        <f>COUNTIF(S24_Emp!$C:$C,"*" &amp; $A252 &amp; "*")</f>
        <v>1</v>
      </c>
      <c r="K252" s="43">
        <f>COUNTIF(F23_Emp!$C:$C,"*" &amp; $A252 &amp; "*")</f>
        <v>0</v>
      </c>
      <c r="L252" s="43">
        <f>COUNTIF(S23_Emp!$C:$C,"*" &amp; $A252 &amp; "*")</f>
        <v>0</v>
      </c>
      <c r="M252" s="43">
        <f>COUNTIF(F22_Emp!$C:$C,"*" &amp; $A252 &amp; "*")</f>
        <v>0</v>
      </c>
      <c r="N252" s="43">
        <f>COUNTIF(S22_Emp!$C:$C,"*" &amp; $A252 &amp; "*")</f>
        <v>1</v>
      </c>
      <c r="O252" s="43" t="str">
        <f>COUNTIFS(S22_Emp!$C:$C,"*" &amp; $A252 &amp; "*", S22_S25_Emp!$B:$B, "Bachelor")</f>
        <v>#VALUE!</v>
      </c>
      <c r="P252" s="43" t="str">
        <f>COUNTIFS(S22_Emp!$C:$C,"*" &amp; $A252 &amp; "*", S22_S25_Emp!$B:$B, "Master")</f>
        <v>#VALUE!</v>
      </c>
      <c r="Q252" s="43" t="str">
        <f>COUNTIFS(S22_Emp!$C:$C,"*" &amp; $A252 &amp; "*", S22_S25_Emp!$B:$B, "Doctorate")</f>
        <v>#VALUE!</v>
      </c>
      <c r="R252" s="43" t="str">
        <f t="array" ref="R252">IF(OR(INDEX(S26_CF!X:X, MATCH("*" &amp; $A252 &amp; "*", CompanyList!A:A, 0))=TRUE, INDEX(F25_CF!P:P, MATCH("*" &amp; $A252 &amp; "*", CompanyList!A:A, 0))=TRUE, INDEX(S25_CF!T:T, MATCH("*" &amp; $A252 &amp; "*", CompanyList!A:A, 0))=TRUE, INDEX(S24_CF!W:W, MATCH("*" &amp; $A252 &amp; "*", CompanyList!A:A, 0))=TRUE), "Yes", "No")</f>
        <v>No</v>
      </c>
      <c r="S252" s="43" t="str">
        <f>IF(COUNTIF(S26_CF!$A:$A,"*" &amp; $A252 &amp; "*") &lt;&gt; 0, "Yes", "No")</f>
        <v>No</v>
      </c>
      <c r="T252" s="43" t="str">
        <f t="array" ref="T252">INDEX(S26_CF!K:K, MATCH("*" &amp; $A252 &amp; "*", S26_CF!A:A, 0))</f>
        <v>#N/A</v>
      </c>
      <c r="U252" s="43" t="str">
        <f>IF(COUNTIF(F25_CF!$A:$A,"*" &amp; $A252 &amp; "*") &lt;&gt; 0, "Yes", "No")</f>
        <v>Yes</v>
      </c>
      <c r="V252" s="43" t="str">
        <f t="array" ref="V252">INDEX(F25_CF!I:I, MATCH("*" &amp; $A252 &amp; "*", F25_CF!$A:$A, 0))</f>
        <v>Basic One-Day: Wednesday, September 10th [$1000.00]</v>
      </c>
      <c r="W252" s="43" t="str">
        <f>IF(COUNTIF(S25_CF!$A:$A,"*" &amp; $A252 &amp; "*") &lt;&gt; 0, "Yes", "No")</f>
        <v>Yes</v>
      </c>
      <c r="X252" s="43" t="str">
        <f t="array" ref="X252">INDEX(S25_CF!J:J, MATCH("*" &amp; $A252 &amp; "*", S25_CF!$A:$A, 0))</f>
        <v>Basic One-Day: Thursday, January 23rd [$1000.00]</v>
      </c>
      <c r="Y252" s="43" t="str">
        <f>IF(COUNTIF(F24_CF!$A:$A,"*" &amp; $A252 &amp; "*") &lt;&gt; 0, "Yes", "No")</f>
        <v>Yes</v>
      </c>
      <c r="Z252" s="43" t="str">
        <f t="array" ref="Z252">INDEX(F24_CF!N:N, MATCH("*" &amp; $A252 &amp; "*", F24_CF!$A:$A, 0))</f>
        <v>Basic One-Day: Thursday, September 5th [$1000.00]</v>
      </c>
      <c r="AA252" s="43" t="str">
        <f>IF(COUNTIF(S24_CF!$A:$A,"*" &amp; $A252 &amp; "*") &lt;&gt; 0, "Yes", "No")</f>
        <v>No</v>
      </c>
      <c r="AB252" s="43" t="str">
        <f t="array" ref="AB252">INDEX(S24_CF!H:H, MATCH("*" &amp; $A252 &amp; "*", S24_CF!$A:$A, 0))</f>
        <v>#N/A</v>
      </c>
    </row>
    <row r="253" ht="15.0" customHeight="1">
      <c r="A253" s="52" t="s">
        <v>310</v>
      </c>
      <c r="B253" s="43" t="s">
        <v>54</v>
      </c>
      <c r="C253" s="43">
        <v>17500.0</v>
      </c>
      <c r="D253" s="43">
        <v>58000.0</v>
      </c>
      <c r="E253" s="43">
        <v>50.0</v>
      </c>
      <c r="F253" s="43">
        <f>COUNTIF(S26_Emp!$C:$C,"*" &amp;A253 &amp; "*")</f>
        <v>0</v>
      </c>
      <c r="G253" s="43">
        <f>COUNTIF(F25_Emp!$C:$C,"*" &amp;#REF! &amp; "*")</f>
        <v>0</v>
      </c>
      <c r="H253" s="43">
        <f>COUNTIF(S25_Emp!$C:$C,"*" &amp; A253 &amp; "*")</f>
        <v>0</v>
      </c>
      <c r="I253" s="43">
        <f>COUNTIF(F24_Emp!$C:$C,"*" &amp; B253 &amp; "*")</f>
        <v>1</v>
      </c>
      <c r="J253" s="43">
        <f>COUNTIF(S24_Emp!$C:$C,"*" &amp; $A253 &amp; "*")</f>
        <v>2</v>
      </c>
      <c r="K253" s="43">
        <f>COUNTIF(F23_Emp!$C:$C,"*" &amp; $A253 &amp; "*")</f>
        <v>1</v>
      </c>
      <c r="L253" s="43">
        <f>COUNTIF(S23_Emp!$C:$C,"*" &amp; $A253 &amp; "*")</f>
        <v>1</v>
      </c>
      <c r="M253" s="43">
        <f>COUNTIF(F22_Emp!$C:$C,"*" &amp; $A253 &amp; "*")</f>
        <v>0</v>
      </c>
      <c r="N253" s="43">
        <f>COUNTIF(S22_Emp!$C:$C,"*" &amp; $A253 &amp; "*")</f>
        <v>0</v>
      </c>
      <c r="O253" s="43" t="str">
        <f>COUNTIFS(S22_Emp!$C:$C,"*" &amp; $A253 &amp; "*", S22_S25_Emp!$B:$B, "Bachelor")</f>
        <v>#VALUE!</v>
      </c>
      <c r="P253" s="43" t="str">
        <f>COUNTIFS(S22_Emp!$C:$C,"*" &amp; $A253 &amp; "*", S22_S25_Emp!$B:$B, "Master")</f>
        <v>#VALUE!</v>
      </c>
      <c r="Q253" s="43" t="str">
        <f>COUNTIFS(S22_Emp!$C:$C,"*" &amp; $A253 &amp; "*", S22_S25_Emp!$B:$B, "Doctorate")</f>
        <v>#VALUE!</v>
      </c>
      <c r="R253" s="43" t="str">
        <f t="array" ref="R253">IF(OR(INDEX(S26_CF!X:X, MATCH("*" &amp; $A253 &amp; "*", CompanyList!A:A, 0))=TRUE, INDEX(F25_CF!P:P, MATCH("*" &amp; $A253 &amp; "*", CompanyList!A:A, 0))=TRUE, INDEX(S25_CF!T:T, MATCH("*" &amp; $A253 &amp; "*", CompanyList!A:A, 0))=TRUE, INDEX(S24_CF!W:W, MATCH("*" &amp; $A253 &amp; "*", CompanyList!A:A, 0))=TRUE), "Yes", "No")</f>
        <v>No</v>
      </c>
      <c r="S253" s="43" t="str">
        <f>IF(COUNTIF(S26_CF!$A:$A,"*" &amp; $A253 &amp; "*") &lt;&gt; 0, "Yes", "No")</f>
        <v>Yes</v>
      </c>
      <c r="T253" s="43" t="str">
        <f t="array" ref="T253">INDEX(S26_CF!K:K, MATCH("*" &amp; $A253 &amp; "*", S26_CF!A:A, 0))</f>
        <v>Basic One-Day: Wednesday, January 28th [$1000.00]</v>
      </c>
      <c r="U253" s="43" t="str">
        <f>IF(COUNTIF(F25_CF!$A:$A,"*" &amp; $A253 &amp; "*") &lt;&gt; 0, "Yes", "No")</f>
        <v>Yes</v>
      </c>
      <c r="V253" s="43" t="str">
        <f t="array" ref="V253">INDEX(F25_CF!I:I, MATCH("*" &amp; $A253 &amp; "*", F25_CF!$A:$A, 0))</f>
        <v>Basic One-Day: Thursday, September 11th [$1000.00]</v>
      </c>
      <c r="W253" s="43" t="str">
        <f>IF(COUNTIF(S25_CF!$A:$A,"*" &amp; $A253 &amp; "*") &lt;&gt; 0, "Yes", "No")</f>
        <v>Yes</v>
      </c>
      <c r="X253" s="43" t="str">
        <f t="array" ref="X253">INDEX(S25_CF!J:J, MATCH("*" &amp; $A253 &amp; "*", S25_CF!$A:$A, 0))</f>
        <v>Basic One-Day: Thursday, January 23rd [$1000.00]</v>
      </c>
      <c r="Y253" s="43" t="str">
        <f>IF(COUNTIF(F24_CF!$A:$A,"*" &amp; $A253 &amp; "*") &lt;&gt; 0, "Yes", "No")</f>
        <v>Yes</v>
      </c>
      <c r="Z253" s="43" t="str">
        <f t="array" ref="Z253">INDEX(F24_CF!N:N, MATCH("*" &amp; $A253 &amp; "*", F24_CF!$A:$A, 0))</f>
        <v>Basic One-Day: Thursday, September 5th [$1000.00]</v>
      </c>
      <c r="AA253" s="43" t="str">
        <f>IF(COUNTIF(S24_CF!$A:$A,"*" &amp; $A253 &amp; "*") &lt;&gt; 0, "Yes", "No")</f>
        <v>No</v>
      </c>
      <c r="AB253" s="43" t="str">
        <f t="array" ref="AB253">INDEX(S24_CF!H:H, MATCH("*" &amp; $A253 &amp; "*", S24_CF!$A:$A, 0))</f>
        <v>#N/A</v>
      </c>
    </row>
    <row r="254" ht="15.0" customHeight="1">
      <c r="A254" s="52" t="s">
        <v>311</v>
      </c>
      <c r="B254" s="43" t="s">
        <v>52</v>
      </c>
      <c r="C254" s="43"/>
      <c r="D254" s="43"/>
      <c r="E254" s="43"/>
      <c r="F254" s="43">
        <f>COUNTIF(S26_Emp!$C:$C,"*" &amp;A254 &amp; "*")</f>
        <v>0</v>
      </c>
      <c r="G254" s="43">
        <f>COUNTIF(F25_Emp!$C:$C,"*" &amp;#REF! &amp; "*")</f>
        <v>0</v>
      </c>
      <c r="H254" s="43">
        <f>COUNTIF(S25_Emp!$C:$C,"*" &amp; A254 &amp; "*")</f>
        <v>0</v>
      </c>
      <c r="I254" s="43">
        <f>COUNTIF(F24_Emp!$C:$C,"*" &amp; B254 &amp; "*")</f>
        <v>0</v>
      </c>
      <c r="J254" s="43">
        <f>COUNTIF(S24_Emp!$C:$C,"*" &amp; $A254 &amp; "*")</f>
        <v>0</v>
      </c>
      <c r="K254" s="43">
        <f>COUNTIF(F23_Emp!$C:$C,"*" &amp; $A254 &amp; "*")</f>
        <v>0</v>
      </c>
      <c r="L254" s="43">
        <f>COUNTIF(S23_Emp!$C:$C,"*" &amp; $A254 &amp; "*")</f>
        <v>0</v>
      </c>
      <c r="M254" s="43">
        <f>COUNTIF(F22_Emp!$C:$C,"*" &amp; $A254 &amp; "*")</f>
        <v>0</v>
      </c>
      <c r="N254" s="43">
        <f>COUNTIF(S22_Emp!$C:$C,"*" &amp; $A254 &amp; "*")</f>
        <v>0</v>
      </c>
      <c r="O254" s="43" t="str">
        <f>COUNTIFS(S22_Emp!$C:$C,"*" &amp; $A254 &amp; "*", S22_S25_Emp!$B:$B, "Bachelor")</f>
        <v>#VALUE!</v>
      </c>
      <c r="P254" s="43" t="str">
        <f>COUNTIFS(S22_Emp!$C:$C,"*" &amp; $A254 &amp; "*", S22_S25_Emp!$B:$B, "Master")</f>
        <v>#VALUE!</v>
      </c>
      <c r="Q254" s="43" t="str">
        <f>COUNTIFS(S22_Emp!$C:$C,"*" &amp; $A254 &amp; "*", S22_S25_Emp!$B:$B, "Doctorate")</f>
        <v>#VALUE!</v>
      </c>
      <c r="R254" s="43" t="str">
        <f t="array" ref="R254">IF(OR(INDEX(S26_CF!X:X, MATCH("*" &amp; $A254 &amp; "*", CompanyList!A:A, 0))=TRUE, INDEX(F25_CF!P:P, MATCH("*" &amp; $A254 &amp; "*", CompanyList!A:A, 0))=TRUE, INDEX(S25_CF!T:T, MATCH("*" &amp; $A254 &amp; "*", CompanyList!A:A, 0))=TRUE, INDEX(S24_CF!W:W, MATCH("*" &amp; $A254 &amp; "*", CompanyList!A:A, 0))=TRUE), "Yes", "No")</f>
        <v>Yes</v>
      </c>
      <c r="S254" s="43" t="str">
        <f>IF(COUNTIF(S26_CF!$A:$A,"*" &amp; $A254 &amp; "*") &lt;&gt; 0, "Yes", "No")</f>
        <v>Yes</v>
      </c>
      <c r="T254" s="43" t="str">
        <f t="array" ref="T254">INDEX(S26_CF!K:K, MATCH("*" &amp; $A254 &amp; "*", S26_CF!A:A, 0))</f>
        <v>Basic One-Day: Thursday, January 29th [$1000.00]</v>
      </c>
      <c r="U254" s="43" t="str">
        <f>IF(COUNTIF(F25_CF!$A:$A,"*" &amp; $A254 &amp; "*") &lt;&gt; 0, "Yes", "No")</f>
        <v>Yes</v>
      </c>
      <c r="V254" s="43" t="str">
        <f t="array" ref="V254">INDEX(F25_CF!I:I, MATCH("*" &amp; $A254 &amp; "*", F25_CF!$A:$A, 0))</f>
        <v>Basic One-Day: Wednesday, September 10th [$1000.00]</v>
      </c>
      <c r="W254" s="43" t="str">
        <f>IF(COUNTIF(S25_CF!$A:$A,"*" &amp; $A254 &amp; "*") &lt;&gt; 0, "Yes", "No")</f>
        <v>Yes</v>
      </c>
      <c r="X254" s="43" t="str">
        <f t="array" ref="X254">INDEX(S25_CF!J:J, MATCH("*" &amp; $A254 &amp; "*", S25_CF!$A:$A, 0))</f>
        <v>Basic One-Day: Wednesday, January 22nd [$1000.00]</v>
      </c>
      <c r="Y254" s="43" t="str">
        <f>IF(COUNTIF(F24_CF!$A:$A,"*" &amp; $A254 &amp; "*") &lt;&gt; 0, "Yes", "No")</f>
        <v>Yes</v>
      </c>
      <c r="Z254" s="43" t="str">
        <f t="array" ref="Z254">INDEX(F24_CF!N:N, MATCH("*" &amp; $A254 &amp; "*", F24_CF!$A:$A, 0))</f>
        <v>Basic One-Day: Thursday, September 5th [$1000.00]</v>
      </c>
      <c r="AA254" s="43" t="str">
        <f>IF(COUNTIF(S24_CF!$A:$A,"*" &amp; $A254 &amp; "*") &lt;&gt; 0, "Yes", "No")</f>
        <v>No</v>
      </c>
      <c r="AB254" s="43" t="str">
        <f t="array" ref="AB254">INDEX(S24_CF!H:H, MATCH("*" &amp; $A254 &amp; "*", S24_CF!$A:$A, 0))</f>
        <v>#N/A</v>
      </c>
    </row>
    <row r="255" ht="15.0" customHeight="1">
      <c r="A255" s="52" t="s">
        <v>312</v>
      </c>
      <c r="B255" s="43" t="s">
        <v>54</v>
      </c>
      <c r="C255" s="43">
        <v>19000.0</v>
      </c>
      <c r="D255" s="43">
        <v>50000.0</v>
      </c>
      <c r="E255" s="43">
        <v>40.0</v>
      </c>
      <c r="F255" s="43">
        <f>COUNTIF(S26_Emp!$C:$C,"*" &amp;A255 &amp; "*")</f>
        <v>0</v>
      </c>
      <c r="G255" s="43">
        <f>COUNTIF(F25_Emp!$C:$C,"*" &amp;#REF! &amp; "*")</f>
        <v>0</v>
      </c>
      <c r="H255" s="43">
        <f>COUNTIF(S25_Emp!$C:$C,"*" &amp; A255 &amp; "*")</f>
        <v>0</v>
      </c>
      <c r="I255" s="43">
        <f>COUNTIF(F24_Emp!$C:$C,"*" &amp; B255 &amp; "*")</f>
        <v>1</v>
      </c>
      <c r="J255" s="43">
        <f>COUNTIF(S24_Emp!$C:$C,"*" &amp; $A255 &amp; "*")</f>
        <v>6</v>
      </c>
      <c r="K255" s="43">
        <f>COUNTIF(F23_Emp!$C:$C,"*" &amp; $A255 &amp; "*")</f>
        <v>4</v>
      </c>
      <c r="L255" s="43">
        <f>COUNTIF(S23_Emp!$C:$C,"*" &amp; $A255 &amp; "*")</f>
        <v>11</v>
      </c>
      <c r="M255" s="43">
        <f>COUNTIF(F22_Emp!$C:$C,"*" &amp; $A255 &amp; "*")</f>
        <v>5</v>
      </c>
      <c r="N255" s="43">
        <f>COUNTIF(S22_Emp!$C:$C,"*" &amp; $A255 &amp; "*")</f>
        <v>0</v>
      </c>
      <c r="O255" s="43" t="str">
        <f>COUNTIFS(S22_Emp!$C:$C,"*" &amp; $A255 &amp; "*", S22_S25_Emp!$B:$B, "Bachelor")</f>
        <v>#VALUE!</v>
      </c>
      <c r="P255" s="43" t="str">
        <f>COUNTIFS(S22_Emp!$C:$C,"*" &amp; $A255 &amp; "*", S22_S25_Emp!$B:$B, "Master")</f>
        <v>#VALUE!</v>
      </c>
      <c r="Q255" s="43" t="str">
        <f>COUNTIFS(S22_Emp!$C:$C,"*" &amp; $A255 &amp; "*", S22_S25_Emp!$B:$B, "Doctorate")</f>
        <v>#VALUE!</v>
      </c>
      <c r="R255" s="43" t="str">
        <f t="array" ref="R255">IF(OR(INDEX(S26_CF!X:X, MATCH("*" &amp; $A255 &amp; "*", CompanyList!A:A, 0))=TRUE, INDEX(F25_CF!P:P, MATCH("*" &amp; $A255 &amp; "*", CompanyList!A:A, 0))=TRUE, INDEX(S25_CF!T:T, MATCH("*" &amp; $A255 &amp; "*", CompanyList!A:A, 0))=TRUE, INDEX(S24_CF!W:W, MATCH("*" &amp; $A255 &amp; "*", CompanyList!A:A, 0))=TRUE), "Yes", "No")</f>
        <v>Yes</v>
      </c>
      <c r="S255" s="43" t="str">
        <f>IF(COUNTIF(S26_CF!$A:$A,"*" &amp; $A255 &amp; "*") &lt;&gt; 0, "Yes", "No")</f>
        <v>Yes</v>
      </c>
      <c r="T255" s="43" t="str">
        <f t="array" ref="T255">INDEX(S26_CF!K:K, MATCH("*" &amp; $A255 &amp; "*", S26_CF!A:A, 0))</f>
        <v>Diamond Two-Day [$8000.00]</v>
      </c>
      <c r="U255" s="43" t="str">
        <f>IF(COUNTIF(F25_CF!$A:$A,"*" &amp; $A255 &amp; "*") &lt;&gt; 0, "Yes", "No")</f>
        <v>Yes</v>
      </c>
      <c r="V255" s="43" t="str">
        <f t="array" ref="V255">INDEX(F25_CF!I:I, MATCH("*" &amp; $A255 &amp; "*", F25_CF!$A:$A, 0))</f>
        <v>Maroon Two-Day [$12500.00]</v>
      </c>
      <c r="W255" s="43" t="str">
        <f>IF(COUNTIF(S25_CF!$A:$A,"*" &amp; $A255 &amp; "*") &lt;&gt; 0, "Yes", "No")</f>
        <v>Yes</v>
      </c>
      <c r="X255" s="43" t="str">
        <f t="array" ref="X255">INDEX(S25_CF!J:J, MATCH("*" &amp; $A255 &amp; "*", S25_CF!$A:$A, 0))</f>
        <v>Silver Two-Day [$3000.00]</v>
      </c>
      <c r="Y255" s="43" t="str">
        <f>IF(COUNTIF(F24_CF!$A:$A,"*" &amp; $A255 &amp; "*") &lt;&gt; 0, "Yes", "No")</f>
        <v>Yes</v>
      </c>
      <c r="Z255" s="43" t="str">
        <f t="array" ref="Z255">INDEX(F24_CF!N:N, MATCH("*" &amp; $A255 &amp; "*", F24_CF!$A:$A, 0))</f>
        <v>Diamond Two-Day [$8000.00]</v>
      </c>
      <c r="AA255" s="43" t="str">
        <f>IF(COUNTIF(S24_CF!$A:$A,"*" &amp; $A255 &amp; "*") &lt;&gt; 0, "Yes", "No")</f>
        <v>Yes</v>
      </c>
      <c r="AB255" s="43" t="str">
        <f t="array" ref="AB255">INDEX(S24_CF!H:H, MATCH("*" &amp; $A255 &amp; "*", S24_CF!$A:$A, 0))</f>
        <v>Gold Two-Day [$5000.00]</v>
      </c>
    </row>
    <row r="256" ht="15.0" customHeight="1">
      <c r="A256" s="52" t="s">
        <v>313</v>
      </c>
      <c r="B256" s="43" t="s">
        <v>259</v>
      </c>
      <c r="C256" s="43"/>
      <c r="D256" s="43"/>
      <c r="E256" s="43"/>
      <c r="F256" s="43">
        <f>COUNTIF(S26_Emp!$C:$C,"*" &amp;A256 &amp; "*")</f>
        <v>0</v>
      </c>
      <c r="G256" s="43">
        <f>COUNTIF(F25_Emp!$C:$C,"*" &amp;#REF! &amp; "*")</f>
        <v>0</v>
      </c>
      <c r="H256" s="43">
        <f>COUNTIF(S25_Emp!$C:$C,"*" &amp; A256 &amp; "*")</f>
        <v>0</v>
      </c>
      <c r="I256" s="43">
        <f>COUNTIF(F24_Emp!$C:$C,"*" &amp; B256 &amp; "*")</f>
        <v>13</v>
      </c>
      <c r="J256" s="43">
        <f>COUNTIF(S24_Emp!$C:$C,"*" &amp; $A256 &amp; "*")</f>
        <v>0</v>
      </c>
      <c r="K256" s="43">
        <f>COUNTIF(F23_Emp!$C:$C,"*" &amp; $A256 &amp; "*")</f>
        <v>0</v>
      </c>
      <c r="L256" s="43">
        <f>COUNTIF(S23_Emp!$C:$C,"*" &amp; $A256 &amp; "*")</f>
        <v>0</v>
      </c>
      <c r="M256" s="43">
        <f>COUNTIF(F22_Emp!$C:$C,"*" &amp; $A256 &amp; "*")</f>
        <v>0</v>
      </c>
      <c r="N256" s="43">
        <f>COUNTIF(S22_Emp!$C:$C,"*" &amp; $A256 &amp; "*")</f>
        <v>0</v>
      </c>
      <c r="O256" s="43" t="str">
        <f>COUNTIFS(S22_Emp!$C:$C,"*" &amp; $A256 &amp; "*", S22_S25_Emp!$B:$B, "Bachelor")</f>
        <v>#VALUE!</v>
      </c>
      <c r="P256" s="43" t="str">
        <f>COUNTIFS(S22_Emp!$C:$C,"*" &amp; $A256 &amp; "*", S22_S25_Emp!$B:$B, "Master")</f>
        <v>#VALUE!</v>
      </c>
      <c r="Q256" s="43" t="str">
        <f>COUNTIFS(S22_Emp!$C:$C,"*" &amp; $A256 &amp; "*", S22_S25_Emp!$B:$B, "Doctorate")</f>
        <v>#VALUE!</v>
      </c>
      <c r="R256" s="43" t="str">
        <f t="array" ref="R256">IF(OR(INDEX(S26_CF!X:X, MATCH("*" &amp; $A256 &amp; "*", CompanyList!A:A, 0))=TRUE, INDEX(F25_CF!P:P, MATCH("*" &amp; $A256 &amp; "*", CompanyList!A:A, 0))=TRUE, INDEX(S25_CF!T:T, MATCH("*" &amp; $A256 &amp; "*", CompanyList!A:A, 0))=TRUE, INDEX(S24_CF!W:W, MATCH("*" &amp; $A256 &amp; "*", CompanyList!A:A, 0))=TRUE), "Yes", "No")</f>
        <v>Yes</v>
      </c>
      <c r="S256" s="43" t="str">
        <f>IF(COUNTIF(S26_CF!$A:$A,"*" &amp; $A256 &amp; "*") &lt;&gt; 0, "Yes", "No")</f>
        <v>No</v>
      </c>
      <c r="T256" s="43" t="str">
        <f t="array" ref="T256">INDEX(S26_CF!K:K, MATCH("*" &amp; $A256 &amp; "*", S26_CF!A:A, 0))</f>
        <v>#N/A</v>
      </c>
      <c r="U256" s="43" t="str">
        <f>IF(COUNTIF(F25_CF!$A:$A,"*" &amp; $A256 &amp; "*") &lt;&gt; 0, "Yes", "No")</f>
        <v>Yes</v>
      </c>
      <c r="V256" s="43" t="str">
        <f t="array" ref="V256">INDEX(F25_CF!I:I, MATCH("*" &amp; $A256 &amp; "*", F25_CF!$A:$A, 0))</f>
        <v>Basic One-Day: Thursday, September 11th [$1000.00]</v>
      </c>
      <c r="W256" s="43" t="str">
        <f>IF(COUNTIF(S25_CF!$A:$A,"*" &amp; $A256 &amp; "*") &lt;&gt; 0, "Yes", "No")</f>
        <v>Yes</v>
      </c>
      <c r="X256" s="43" t="str">
        <f t="array" ref="X256">INDEX(S25_CF!J:J, MATCH("*" &amp; $A256 &amp; "*", S25_CF!$A:$A, 0))</f>
        <v>Basic One-Day: Thursday, January 23rd [$1000.00]</v>
      </c>
      <c r="Y256" s="43" t="str">
        <f>IF(COUNTIF(F24_CF!$A:$A,"*" &amp; $A256 &amp; "*") &lt;&gt; 0, "Yes", "No")</f>
        <v>Yes</v>
      </c>
      <c r="Z256" s="43" t="str">
        <f t="array" ref="Z256">INDEX(F24_CF!N:N, MATCH("*" &amp; $A256 &amp; "*", F24_CF!$A:$A, 0))</f>
        <v>Basic One-Day: Thursday, September 5th [$1000.00]</v>
      </c>
      <c r="AA256" s="43" t="str">
        <f>IF(COUNTIF(S24_CF!$A:$A,"*" &amp; $A256 &amp; "*") &lt;&gt; 0, "Yes", "No")</f>
        <v>No</v>
      </c>
      <c r="AB256" s="43" t="str">
        <f t="array" ref="AB256">INDEX(S24_CF!H:H, MATCH("*" &amp; $A256 &amp; "*", S24_CF!$A:$A, 0))</f>
        <v>#N/A</v>
      </c>
    </row>
    <row r="257" ht="15.0" customHeight="1">
      <c r="A257" s="52" t="s">
        <v>314</v>
      </c>
      <c r="B257" s="43" t="s">
        <v>54</v>
      </c>
      <c r="C257" s="43">
        <v>15500.0</v>
      </c>
      <c r="D257" s="43">
        <v>43000.0</v>
      </c>
      <c r="E257" s="43">
        <v>130.0</v>
      </c>
      <c r="F257" s="43">
        <f>COUNTIF(S26_Emp!$C:$C,"*" &amp;A257 &amp; "*")</f>
        <v>0</v>
      </c>
      <c r="G257" s="43">
        <f>COUNTIF(F25_Emp!$C:$C,"*" &amp;#REF! &amp; "*")</f>
        <v>0</v>
      </c>
      <c r="H257" s="43">
        <f>COUNTIF(S25_Emp!$C:$C,"*" &amp; A257 &amp; "*")</f>
        <v>0</v>
      </c>
      <c r="I257" s="43">
        <f>COUNTIF(F24_Emp!$C:$C,"*" &amp; B257 &amp; "*")</f>
        <v>1</v>
      </c>
      <c r="J257" s="43">
        <f>COUNTIF(S24_Emp!$C:$C,"*" &amp; $A257 &amp; "*")</f>
        <v>2</v>
      </c>
      <c r="K257" s="43">
        <f>COUNTIF(F23_Emp!$C:$C,"*" &amp; $A257 &amp; "*")</f>
        <v>1</v>
      </c>
      <c r="L257" s="43">
        <f>COUNTIF(S23_Emp!$C:$C,"*" &amp; $A257 &amp; "*")</f>
        <v>2</v>
      </c>
      <c r="M257" s="43">
        <f>COUNTIF(F22_Emp!$C:$C,"*" &amp; $A257 &amp; "*")</f>
        <v>1</v>
      </c>
      <c r="N257" s="43">
        <f>COUNTIF(S22_Emp!$C:$C,"*" &amp; $A257 &amp; "*")</f>
        <v>0</v>
      </c>
      <c r="O257" s="43" t="str">
        <f>COUNTIFS(S22_Emp!$C:$C,"*" &amp; $A257 &amp; "*", S22_S25_Emp!$B:$B, "Bachelor")</f>
        <v>#VALUE!</v>
      </c>
      <c r="P257" s="43" t="str">
        <f>COUNTIFS(S22_Emp!$C:$C,"*" &amp; $A257 &amp; "*", S22_S25_Emp!$B:$B, "Master")</f>
        <v>#VALUE!</v>
      </c>
      <c r="Q257" s="43" t="str">
        <f>COUNTIFS(S22_Emp!$C:$C,"*" &amp; $A257 &amp; "*", S22_S25_Emp!$B:$B, "Doctorate")</f>
        <v>#VALUE!</v>
      </c>
      <c r="R257" s="43" t="str">
        <f t="array" ref="R257">IF(OR(INDEX(S26_CF!X:X, MATCH("*" &amp; $A257 &amp; "*", CompanyList!A:A, 0))=TRUE, INDEX(F25_CF!P:P, MATCH("*" &amp; $A257 &amp; "*", CompanyList!A:A, 0))=TRUE, INDEX(S25_CF!T:T, MATCH("*" &amp; $A257 &amp; "*", CompanyList!A:A, 0))=TRUE, INDEX(S24_CF!W:W, MATCH("*" &amp; $A257 &amp; "*", CompanyList!A:A, 0))=TRUE), "Yes", "No")</f>
        <v>No</v>
      </c>
      <c r="S257" s="43" t="str">
        <f>IF(COUNTIF(S26_CF!$A:$A,"*" &amp; $A257 &amp; "*") &lt;&gt; 0, "Yes", "No")</f>
        <v>Yes</v>
      </c>
      <c r="T257" s="43" t="str">
        <f t="array" ref="T257">INDEX(S26_CF!K:K, MATCH("*" &amp; $A257 &amp; "*", S26_CF!A:A, 0))</f>
        <v>Basic One-Day: Wednesday, January 28th [$1000.00]</v>
      </c>
      <c r="U257" s="43" t="str">
        <f>IF(COUNTIF(F25_CF!$A:$A,"*" &amp; $A257 &amp; "*") &lt;&gt; 0, "Yes", "No")</f>
        <v>Yes</v>
      </c>
      <c r="V257" s="43" t="str">
        <f t="array" ref="V257">INDEX(F25_CF!I:I, MATCH("*" &amp; $A257 &amp; "*", F25_CF!$A:$A, 0))</f>
        <v>Basic One-Day: Wednesday, September 10th [$1000.00]</v>
      </c>
      <c r="W257" s="43" t="str">
        <f>IF(COUNTIF(S25_CF!$A:$A,"*" &amp; $A257 &amp; "*") &lt;&gt; 0, "Yes", "No")</f>
        <v>Yes</v>
      </c>
      <c r="X257" s="43" t="str">
        <f t="array" ref="X257">INDEX(S25_CF!J:J, MATCH("*" &amp; $A257 &amp; "*", S25_CF!$A:$A, 0))</f>
        <v>Basic Two-Day [$2000.00]</v>
      </c>
      <c r="Y257" s="43" t="str">
        <f>IF(COUNTIF(F24_CF!$A:$A,"*" &amp; $A257 &amp; "*") &lt;&gt; 0, "Yes", "No")</f>
        <v>Yes</v>
      </c>
      <c r="Z257" s="43" t="str">
        <f t="array" ref="Z257">INDEX(F24_CF!N:N, MATCH("*" &amp; $A257 &amp; "*", F24_CF!$A:$A, 0))</f>
        <v>Basic Two-Day [$2000.00]</v>
      </c>
      <c r="AA257" s="43" t="str">
        <f>IF(COUNTIF(S24_CF!$A:$A,"*" &amp; $A257 &amp; "*") &lt;&gt; 0, "Yes", "No")</f>
        <v>No</v>
      </c>
      <c r="AB257" s="43" t="str">
        <f t="array" ref="AB257">INDEX(S24_CF!H:H, MATCH("*" &amp; $A257 &amp; "*", S24_CF!$A:$A, 0))</f>
        <v>#N/A</v>
      </c>
    </row>
    <row r="258" ht="15.0" customHeight="1">
      <c r="A258" s="52" t="s">
        <v>315</v>
      </c>
      <c r="B258" s="43" t="s">
        <v>52</v>
      </c>
      <c r="C258" s="43">
        <v>5000.0</v>
      </c>
      <c r="D258" s="43">
        <v>7900.0</v>
      </c>
      <c r="E258" s="43"/>
      <c r="F258" s="43">
        <f>COUNTIF(S26_Emp!$C:$C,"*" &amp;A258 &amp; "*")</f>
        <v>0</v>
      </c>
      <c r="G258" s="43">
        <f>COUNTIF(F25_Emp!$C:$C,"*" &amp;#REF! &amp; "*")</f>
        <v>0</v>
      </c>
      <c r="H258" s="43">
        <f>COUNTIF(S25_Emp!$C:$C,"*" &amp; A258 &amp; "*")</f>
        <v>1</v>
      </c>
      <c r="I258" s="43">
        <f>COUNTIF(F24_Emp!$C:$C,"*" &amp; B258 &amp; "*")</f>
        <v>0</v>
      </c>
      <c r="J258" s="43">
        <f>COUNTIF(S24_Emp!$C:$C,"*" &amp; $A258 &amp; "*")</f>
        <v>1</v>
      </c>
      <c r="K258" s="43">
        <f>COUNTIF(F23_Emp!$C:$C,"*" &amp; $A258 &amp; "*")</f>
        <v>0</v>
      </c>
      <c r="L258" s="43">
        <f>COUNTIF(S23_Emp!$C:$C,"*" &amp; $A258 &amp; "*")</f>
        <v>2</v>
      </c>
      <c r="M258" s="43">
        <f>COUNTIF(F22_Emp!$C:$C,"*" &amp; $A258 &amp; "*")</f>
        <v>1</v>
      </c>
      <c r="N258" s="43">
        <f>COUNTIF(S22_Emp!$C:$C,"*" &amp; $A258 &amp; "*")</f>
        <v>0</v>
      </c>
      <c r="O258" s="43" t="str">
        <f>COUNTIFS(S22_Emp!$C:$C,"*" &amp; $A258 &amp; "*", S22_S25_Emp!$B:$B, "Bachelor")</f>
        <v>#VALUE!</v>
      </c>
      <c r="P258" s="43" t="str">
        <f>COUNTIFS(S22_Emp!$C:$C,"*" &amp; $A258 &amp; "*", S22_S25_Emp!$B:$B, "Master")</f>
        <v>#VALUE!</v>
      </c>
      <c r="Q258" s="43" t="str">
        <f>COUNTIFS(S22_Emp!$C:$C,"*" &amp; $A258 &amp; "*", S22_S25_Emp!$B:$B, "Doctorate")</f>
        <v>#VALUE!</v>
      </c>
      <c r="R258" s="43" t="str">
        <f t="array" ref="R258">IF(OR(INDEX(S26_CF!X:X, MATCH("*" &amp; $A258 &amp; "*", CompanyList!A:A, 0))=TRUE, INDEX(F25_CF!P:P, MATCH("*" &amp; $A258 &amp; "*", CompanyList!A:A, 0))=TRUE, INDEX(S25_CF!T:T, MATCH("*" &amp; $A258 &amp; "*", CompanyList!A:A, 0))=TRUE, INDEX(S24_CF!W:W, MATCH("*" &amp; $A258 &amp; "*", CompanyList!A:A, 0))=TRUE), "Yes", "No")</f>
        <v>No</v>
      </c>
      <c r="S258" s="43" t="str">
        <f>IF(COUNTIF(S26_CF!$A:$A,"*" &amp; $A258 &amp; "*") &lt;&gt; 0, "Yes", "No")</f>
        <v>No</v>
      </c>
      <c r="T258" s="43" t="str">
        <f t="array" ref="T258">INDEX(S26_CF!K:K, MATCH("*" &amp; $A258 &amp; "*", S26_CF!A:A, 0))</f>
        <v>#N/A</v>
      </c>
      <c r="U258" s="43" t="str">
        <f>IF(COUNTIF(F25_CF!$A:$A,"*" &amp; $A258 &amp; "*") &lt;&gt; 0, "Yes", "No")</f>
        <v>Yes</v>
      </c>
      <c r="V258" s="43" t="str">
        <f t="array" ref="V258">INDEX(F25_CF!I:I, MATCH("*" &amp; $A258 &amp; "*", F25_CF!$A:$A, 0))</f>
        <v>Silver One-Day: Wednesday, September 10th [$1800.00]</v>
      </c>
      <c r="W258" s="43" t="str">
        <f>IF(COUNTIF(S25_CF!$A:$A,"*" &amp; $A258 &amp; "*") &lt;&gt; 0, "Yes", "No")</f>
        <v>Yes</v>
      </c>
      <c r="X258" s="43" t="str">
        <f t="array" ref="X258">INDEX(S25_CF!J:J, MATCH("*" &amp; $A258 &amp; "*", S25_CF!$A:$A, 0))</f>
        <v>Silver One-Day: Thursday, January 23rd [$1800.00]</v>
      </c>
      <c r="Y258" s="43" t="str">
        <f>IF(COUNTIF(F24_CF!$A:$A,"*" &amp; $A258 &amp; "*") &lt;&gt; 0, "Yes", "No")</f>
        <v>Yes</v>
      </c>
      <c r="Z258" s="43" t="str">
        <f t="array" ref="Z258">INDEX(F24_CF!N:N, MATCH("*" &amp; $A258 &amp; "*", F24_CF!$A:$A, 0))</f>
        <v>Silver One-Day: Thursday, September 5th [$1800.00]</v>
      </c>
      <c r="AA258" s="43" t="str">
        <f>IF(COUNTIF(S24_CF!$A:$A,"*" &amp; $A258 &amp; "*") &lt;&gt; 0, "Yes", "No")</f>
        <v>No</v>
      </c>
      <c r="AB258" s="43" t="str">
        <f t="array" ref="AB258">INDEX(S24_CF!H:H, MATCH("*" &amp; $A258 &amp; "*", S24_CF!$A:$A, 0))</f>
        <v>#N/A</v>
      </c>
    </row>
    <row r="259" ht="15.0" customHeight="1">
      <c r="A259" s="52" t="s">
        <v>316</v>
      </c>
      <c r="B259" s="43" t="s">
        <v>54</v>
      </c>
      <c r="C259" s="43">
        <v>68000.0</v>
      </c>
      <c r="D259" s="43">
        <v>185000.0</v>
      </c>
      <c r="E259" s="43">
        <v>135.0</v>
      </c>
      <c r="F259" s="43">
        <f>COUNTIF(S26_Emp!$C:$C,"*" &amp;A259 &amp; "*")</f>
        <v>0</v>
      </c>
      <c r="G259" s="43">
        <f>COUNTIF(F25_Emp!$C:$C,"*" &amp;#REF! &amp; "*")</f>
        <v>0</v>
      </c>
      <c r="H259" s="43">
        <f>COUNTIF(S25_Emp!$C:$C,"*" &amp; A259 &amp; "*")</f>
        <v>2</v>
      </c>
      <c r="I259" s="43">
        <f>COUNTIF(F24_Emp!$C:$C,"*" &amp; B259 &amp; "*")</f>
        <v>1</v>
      </c>
      <c r="J259" s="43">
        <f>COUNTIF(S24_Emp!$C:$C,"*" &amp; $A259 &amp; "*")</f>
        <v>0</v>
      </c>
      <c r="K259" s="43">
        <f>COUNTIF(F23_Emp!$C:$C,"*" &amp; $A259 &amp; "*")</f>
        <v>0</v>
      </c>
      <c r="L259" s="43">
        <f>COUNTIF(S23_Emp!$C:$C,"*" &amp; $A259 &amp; "*")</f>
        <v>0</v>
      </c>
      <c r="M259" s="43">
        <f>COUNTIF(F22_Emp!$C:$C,"*" &amp; $A259 &amp; "*")</f>
        <v>0</v>
      </c>
      <c r="N259" s="43">
        <f>COUNTIF(S22_Emp!$C:$C,"*" &amp; $A259 &amp; "*")</f>
        <v>0</v>
      </c>
      <c r="O259" s="43" t="str">
        <f>COUNTIFS(S22_Emp!$C:$C,"*" &amp; $A259 &amp; "*", S22_S25_Emp!$B:$B, "Bachelor")</f>
        <v>#VALUE!</v>
      </c>
      <c r="P259" s="43" t="str">
        <f>COUNTIFS(S22_Emp!$C:$C,"*" &amp; $A259 &amp; "*", S22_S25_Emp!$B:$B, "Master")</f>
        <v>#VALUE!</v>
      </c>
      <c r="Q259" s="43" t="str">
        <f>COUNTIFS(S22_Emp!$C:$C,"*" &amp; $A259 &amp; "*", S22_S25_Emp!$B:$B, "Doctorate")</f>
        <v>#VALUE!</v>
      </c>
      <c r="R259" s="43" t="str">
        <f t="array" ref="R259">IF(OR(INDEX(S26_CF!X:X, MATCH("*" &amp; $A259 &amp; "*", CompanyList!A:A, 0))=TRUE, INDEX(F25_CF!P:P, MATCH("*" &amp; $A259 &amp; "*", CompanyList!A:A, 0))=TRUE, INDEX(S25_CF!T:T, MATCH("*" &amp; $A259 &amp; "*", CompanyList!A:A, 0))=TRUE, INDEX(S24_CF!W:W, MATCH("*" &amp; $A259 &amp; "*", CompanyList!A:A, 0))=TRUE), "Yes", "No")</f>
        <v>No</v>
      </c>
      <c r="S259" s="43" t="str">
        <f>IF(COUNTIF(S26_CF!$A:$A,"*" &amp; $A259 &amp; "*") &lt;&gt; 0, "Yes", "No")</f>
        <v>Yes</v>
      </c>
      <c r="T259" s="43" t="str">
        <f t="array" ref="T259">INDEX(S26_CF!K:K, MATCH("*" &amp; $A259 &amp; "*", S26_CF!A:A, 0))</f>
        <v>Gold One-Day: Wednesday, January 28th [$2500.00]</v>
      </c>
      <c r="U259" s="43" t="str">
        <f>IF(COUNTIF(F25_CF!$A:$A,"*" &amp; $A259 &amp; "*") &lt;&gt; 0, "Yes", "No")</f>
        <v>Yes</v>
      </c>
      <c r="V259" s="43" t="str">
        <f t="array" ref="V259">INDEX(F25_CF!I:I, MATCH("*" &amp; $A259 &amp; "*", F25_CF!$A:$A, 0))</f>
        <v>Gold One-Day: Wednesday, September 10th [$2500.00]</v>
      </c>
      <c r="W259" s="43" t="str">
        <f>IF(COUNTIF(S25_CF!$A:$A,"*" &amp; $A259 &amp; "*") &lt;&gt; 0, "Yes", "No")</f>
        <v>Yes</v>
      </c>
      <c r="X259" s="43" t="str">
        <f t="array" ref="X259">INDEX(S25_CF!J:J, MATCH("*" &amp; $A259 &amp; "*", S25_CF!$A:$A, 0))</f>
        <v>Gold One-Day: Wednesday, January 22nd [$2500.00]</v>
      </c>
      <c r="Y259" s="43" t="str">
        <f>IF(COUNTIF(F24_CF!$A:$A,"*" &amp; $A259 &amp; "*") &lt;&gt; 0, "Yes", "No")</f>
        <v>Yes</v>
      </c>
      <c r="Z259" s="43" t="str">
        <f t="array" ref="Z259">INDEX(F24_CF!N:N, MATCH("*" &amp; $A259 &amp; "*", F24_CF!$A:$A, 0))</f>
        <v>Gold One-Day: Wednesday, September 4th [$2500.00]</v>
      </c>
      <c r="AA259" s="43" t="str">
        <f>IF(COUNTIF(S24_CF!$A:$A,"*" &amp; $A259 &amp; "*") &lt;&gt; 0, "Yes", "No")</f>
        <v>No</v>
      </c>
      <c r="AB259" s="43" t="str">
        <f t="array" ref="AB259">INDEX(S24_CF!H:H, MATCH("*" &amp; $A259 &amp; "*", S24_CF!$A:$A, 0))</f>
        <v>#N/A</v>
      </c>
    </row>
    <row r="260" ht="15.0" customHeight="1">
      <c r="A260" s="52" t="s">
        <v>317</v>
      </c>
      <c r="B260" s="43" t="s">
        <v>52</v>
      </c>
      <c r="C260" s="43"/>
      <c r="D260" s="43"/>
      <c r="E260" s="43"/>
      <c r="F260" s="43">
        <f>COUNTIF(S26_Emp!$C:$C,"*" &amp;A260 &amp; "*")</f>
        <v>0</v>
      </c>
      <c r="G260" s="43">
        <f>COUNTIF(F25_Emp!$C:$C,"*" &amp;#REF! &amp; "*")</f>
        <v>0</v>
      </c>
      <c r="H260" s="43">
        <f>COUNTIF(S25_Emp!$C:$C,"*" &amp; A260 &amp; "*")</f>
        <v>0</v>
      </c>
      <c r="I260" s="43">
        <f>COUNTIF(F24_Emp!$C:$C,"*" &amp; B260 &amp; "*")</f>
        <v>0</v>
      </c>
      <c r="J260" s="43">
        <f>COUNTIF(S24_Emp!$C:$C,"*" &amp; $A260 &amp; "*")</f>
        <v>0</v>
      </c>
      <c r="K260" s="43">
        <f>COUNTIF(F23_Emp!$C:$C,"*" &amp; $A260 &amp; "*")</f>
        <v>0</v>
      </c>
      <c r="L260" s="43">
        <f>COUNTIF(S23_Emp!$C:$C,"*" &amp; $A260 &amp; "*")</f>
        <v>0</v>
      </c>
      <c r="M260" s="43">
        <f>COUNTIF(F22_Emp!$C:$C,"*" &amp; $A260 &amp; "*")</f>
        <v>0</v>
      </c>
      <c r="N260" s="43">
        <f>COUNTIF(S22_Emp!$C:$C,"*" &amp; $A260 &amp; "*")</f>
        <v>0</v>
      </c>
      <c r="O260" s="43" t="str">
        <f>COUNTIFS(S22_Emp!$C:$C,"*" &amp; $A260 &amp; "*", S22_S25_Emp!$B:$B, "Bachelor")</f>
        <v>#VALUE!</v>
      </c>
      <c r="P260" s="43" t="str">
        <f>COUNTIFS(S22_Emp!$C:$C,"*" &amp; $A260 &amp; "*", S22_S25_Emp!$B:$B, "Master")</f>
        <v>#VALUE!</v>
      </c>
      <c r="Q260" s="43" t="str">
        <f>COUNTIFS(S22_Emp!$C:$C,"*" &amp; $A260 &amp; "*", S22_S25_Emp!$B:$B, "Doctorate")</f>
        <v>#VALUE!</v>
      </c>
      <c r="R260" s="43" t="str">
        <f t="array" ref="R260">IF(OR(INDEX(S26_CF!X:X, MATCH("*" &amp; $A260 &amp; "*", CompanyList!A:A, 0))=TRUE, INDEX(F25_CF!P:P, MATCH("*" &amp; $A260 &amp; "*", CompanyList!A:A, 0))=TRUE, INDEX(S25_CF!T:T, MATCH("*" &amp; $A260 &amp; "*", CompanyList!A:A, 0))=TRUE, INDEX(S24_CF!W:W, MATCH("*" &amp; $A260 &amp; "*", CompanyList!A:A, 0))=TRUE), "Yes", "No")</f>
        <v>No</v>
      </c>
      <c r="S260" s="43" t="str">
        <f>IF(COUNTIF(S26_CF!$A:$A,"*" &amp; $A260 &amp; "*") &lt;&gt; 0, "Yes", "No")</f>
        <v>Yes</v>
      </c>
      <c r="T260" s="43" t="str">
        <f t="array" ref="T260">INDEX(S26_CF!K:K, MATCH("*" &amp; $A260 &amp; "*", S26_CF!A:A, 0))</f>
        <v>Basic One-Day: Wednesday, January 28th [$1000.00]</v>
      </c>
      <c r="U260" s="43" t="str">
        <f>IF(COUNTIF(F25_CF!$A:$A,"*" &amp; $A260 &amp; "*") &lt;&gt; 0, "Yes", "No")</f>
        <v>Yes</v>
      </c>
      <c r="V260" s="43" t="str">
        <f t="array" ref="V260">INDEX(F25_CF!I:I, MATCH("*" &amp; $A260 &amp; "*", F25_CF!$A:$A, 0))</f>
        <v>Basic One-Day: Wednesday, September 10th [$1000.00]</v>
      </c>
      <c r="W260" s="43" t="str">
        <f>IF(COUNTIF(S25_CF!$A:$A,"*" &amp; $A260 &amp; "*") &lt;&gt; 0, "Yes", "No")</f>
        <v>Yes</v>
      </c>
      <c r="X260" s="43" t="str">
        <f t="array" ref="X260">INDEX(S25_CF!J:J, MATCH("*" &amp; $A260 &amp; "*", S25_CF!$A:$A, 0))</f>
        <v>Basic One-Day: Thursday, January 23rd [$1000.00]</v>
      </c>
      <c r="Y260" s="43" t="str">
        <f>IF(COUNTIF(F24_CF!$A:$A,"*" &amp; $A260 &amp; "*") &lt;&gt; 0, "Yes", "No")</f>
        <v>Yes</v>
      </c>
      <c r="Z260" s="43" t="str">
        <f t="array" ref="Z260">INDEX(F24_CF!N:N, MATCH("*" &amp; $A260 &amp; "*", F24_CF!$A:$A, 0))</f>
        <v>Basic One-Day: Thursday, September 5th [$1000.00]</v>
      </c>
      <c r="AA260" s="43" t="str">
        <f>IF(COUNTIF(S24_CF!$A:$A,"*" &amp; $A260 &amp; "*") &lt;&gt; 0, "Yes", "No")</f>
        <v>No</v>
      </c>
      <c r="AB260" s="43" t="str">
        <f t="array" ref="AB260">INDEX(S24_CF!H:H, MATCH("*" &amp; $A260 &amp; "*", S24_CF!$A:$A, 0))</f>
        <v>#N/A</v>
      </c>
    </row>
    <row r="261" ht="15.0" customHeight="1">
      <c r="A261" s="52" t="s">
        <v>318</v>
      </c>
      <c r="B261" s="43" t="s">
        <v>61</v>
      </c>
      <c r="C261" s="43"/>
      <c r="D261" s="43"/>
      <c r="E261" s="43"/>
      <c r="F261" s="43">
        <f>COUNTIF(S26_Emp!$C:$C,"*" &amp;A261 &amp; "*")</f>
        <v>0</v>
      </c>
      <c r="G261" s="43">
        <f>COUNTIF(F25_Emp!$C:$C,"*" &amp;#REF! &amp; "*")</f>
        <v>0</v>
      </c>
      <c r="H261" s="43">
        <f>COUNTIF(S25_Emp!$C:$C,"*" &amp; A261 &amp; "*")</f>
        <v>1</v>
      </c>
      <c r="I261" s="43">
        <f>COUNTIF(F24_Emp!$C:$C,"*" &amp; B261 &amp; "*")</f>
        <v>0</v>
      </c>
      <c r="J261" s="43">
        <f>COUNTIF(S24_Emp!$C:$C,"*" &amp; $A261 &amp; "*")</f>
        <v>0</v>
      </c>
      <c r="K261" s="43">
        <f>COUNTIF(F23_Emp!$C:$C,"*" &amp; $A261 &amp; "*")</f>
        <v>0</v>
      </c>
      <c r="L261" s="43">
        <f>COUNTIF(S23_Emp!$C:$C,"*" &amp; $A261 &amp; "*")</f>
        <v>0</v>
      </c>
      <c r="M261" s="43">
        <f>COUNTIF(F22_Emp!$C:$C,"*" &amp; $A261 &amp; "*")</f>
        <v>0</v>
      </c>
      <c r="N261" s="43">
        <f>COUNTIF(S22_Emp!$C:$C,"*" &amp; $A261 &amp; "*")</f>
        <v>0</v>
      </c>
      <c r="O261" s="43" t="str">
        <f>COUNTIFS(S22_Emp!$C:$C,"*" &amp; $A261 &amp; "*", S22_S25_Emp!$B:$B, "Bachelor")</f>
        <v>#VALUE!</v>
      </c>
      <c r="P261" s="43" t="str">
        <f>COUNTIFS(S22_Emp!$C:$C,"*" &amp; $A261 &amp; "*", S22_S25_Emp!$B:$B, "Master")</f>
        <v>#VALUE!</v>
      </c>
      <c r="Q261" s="43" t="str">
        <f>COUNTIFS(S22_Emp!$C:$C,"*" &amp; $A261 &amp; "*", S22_S25_Emp!$B:$B, "Doctorate")</f>
        <v>#VALUE!</v>
      </c>
      <c r="R261" s="43" t="str">
        <f t="array" ref="R261">IF(OR(INDEX(S26_CF!X:X, MATCH("*" &amp; $A261 &amp; "*", CompanyList!A:A, 0))=TRUE, INDEX(F25_CF!P:P, MATCH("*" &amp; $A261 &amp; "*", CompanyList!A:A, 0))=TRUE, INDEX(S25_CF!T:T, MATCH("*" &amp; $A261 &amp; "*", CompanyList!A:A, 0))=TRUE, INDEX(S24_CF!W:W, MATCH("*" &amp; $A261 &amp; "*", CompanyList!A:A, 0))=TRUE), "Yes", "No")</f>
        <v>Yes</v>
      </c>
      <c r="S261" s="43" t="str">
        <f>IF(COUNTIF(S26_CF!$A:$A,"*" &amp; $A261 &amp; "*") &lt;&gt; 0, "Yes", "No")</f>
        <v>No</v>
      </c>
      <c r="T261" s="43" t="str">
        <f t="array" ref="T261">INDEX(S26_CF!K:K, MATCH("*" &amp; $A261 &amp; "*", S26_CF!A:A, 0))</f>
        <v>#N/A</v>
      </c>
      <c r="U261" s="43" t="str">
        <f>IF(COUNTIF(F25_CF!$A:$A,"*" &amp; $A261 &amp; "*") &lt;&gt; 0, "Yes", "No")</f>
        <v>Yes</v>
      </c>
      <c r="V261" s="43" t="str">
        <f t="array" ref="V261">INDEX(F25_CF!I:I, MATCH("*" &amp; $A261 &amp; "*", F25_CF!$A:$A, 0))</f>
        <v>Basic One-Day: Wednesday, September 10th [$1000.00]</v>
      </c>
      <c r="W261" s="43" t="str">
        <f>IF(COUNTIF(S25_CF!$A:$A,"*" &amp; $A261 &amp; "*") &lt;&gt; 0, "Yes", "No")</f>
        <v>Yes</v>
      </c>
      <c r="X261" s="43" t="str">
        <f t="array" ref="X261">INDEX(S25_CF!J:J, MATCH("*" &amp; $A261 &amp; "*", S25_CF!$A:$A, 0))</f>
        <v>Basic One-Day: Thursday, January 23rd [$1000.00]</v>
      </c>
      <c r="Y261" s="43" t="str">
        <f>IF(COUNTIF(F24_CF!$A:$A,"*" &amp; $A261 &amp; "*") &lt;&gt; 0, "Yes", "No")</f>
        <v>Yes</v>
      </c>
      <c r="Z261" s="43" t="str">
        <f t="array" ref="Z261">INDEX(F24_CF!N:N, MATCH("*" &amp; $A261 &amp; "*", F24_CF!$A:$A, 0))</f>
        <v>Basic One-Day: Thursday, September 5th [$1000.00]</v>
      </c>
      <c r="AA261" s="43" t="str">
        <f>IF(COUNTIF(S24_CF!$A:$A,"*" &amp; $A261 &amp; "*") &lt;&gt; 0, "Yes", "No")</f>
        <v>No</v>
      </c>
      <c r="AB261" s="43" t="str">
        <f t="array" ref="AB261">INDEX(S24_CF!H:H, MATCH("*" &amp; $A261 &amp; "*", S24_CF!$A:$A, 0))</f>
        <v>#N/A</v>
      </c>
    </row>
    <row r="262" ht="15.0" customHeight="1">
      <c r="A262" s="52" t="s">
        <v>319</v>
      </c>
      <c r="B262" s="43" t="s">
        <v>52</v>
      </c>
      <c r="C262" s="43"/>
      <c r="D262" s="43"/>
      <c r="E262" s="43"/>
      <c r="F262" s="43">
        <f>COUNTIF(S26_Emp!$C:$C,"*" &amp;A262 &amp; "*")</f>
        <v>0</v>
      </c>
      <c r="G262" s="43">
        <f>COUNTIF(F25_Emp!$C:$C,"*" &amp;#REF! &amp; "*")</f>
        <v>0</v>
      </c>
      <c r="H262" s="43">
        <f>COUNTIF(S25_Emp!$C:$C,"*" &amp; A262 &amp; "*")</f>
        <v>0</v>
      </c>
      <c r="I262" s="43">
        <f>COUNTIF(F24_Emp!$C:$C,"*" &amp; B262 &amp; "*")</f>
        <v>0</v>
      </c>
      <c r="J262" s="43">
        <f>COUNTIF(S24_Emp!$C:$C,"*" &amp; $A262 &amp; "*")</f>
        <v>0</v>
      </c>
      <c r="K262" s="43">
        <f>COUNTIF(F23_Emp!$C:$C,"*" &amp; $A262 &amp; "*")</f>
        <v>0</v>
      </c>
      <c r="L262" s="43">
        <f>COUNTIF(S23_Emp!$C:$C,"*" &amp; $A262 &amp; "*")</f>
        <v>0</v>
      </c>
      <c r="M262" s="43">
        <f>COUNTIF(F22_Emp!$C:$C,"*" &amp; $A262 &amp; "*")</f>
        <v>0</v>
      </c>
      <c r="N262" s="43">
        <f>COUNTIF(S22_Emp!$C:$C,"*" &amp; $A262 &amp; "*")</f>
        <v>0</v>
      </c>
      <c r="O262" s="43" t="str">
        <f>COUNTIFS(S22_Emp!$C:$C,"*" &amp; $A262 &amp; "*", S22_S25_Emp!$B:$B, "Bachelor")</f>
        <v>#VALUE!</v>
      </c>
      <c r="P262" s="43" t="str">
        <f>COUNTIFS(S22_Emp!$C:$C,"*" &amp; $A262 &amp; "*", S22_S25_Emp!$B:$B, "Master")</f>
        <v>#VALUE!</v>
      </c>
      <c r="Q262" s="43" t="str">
        <f>COUNTIFS(S22_Emp!$C:$C,"*" &amp; $A262 &amp; "*", S22_S25_Emp!$B:$B, "Doctorate")</f>
        <v>#VALUE!</v>
      </c>
      <c r="R262" s="43" t="str">
        <f t="array" ref="R262">IF(OR(INDEX(S26_CF!X:X, MATCH("*" &amp; $A262 &amp; "*", CompanyList!A:A, 0))=TRUE, INDEX(F25_CF!P:P, MATCH("*" &amp; $A262 &amp; "*", CompanyList!A:A, 0))=TRUE, INDEX(S25_CF!T:T, MATCH("*" &amp; $A262 &amp; "*", CompanyList!A:A, 0))=TRUE, INDEX(S24_CF!W:W, MATCH("*" &amp; $A262 &amp; "*", CompanyList!A:A, 0))=TRUE), "Yes", "No")</f>
        <v>No</v>
      </c>
      <c r="S262" s="43" t="str">
        <f>IF(COUNTIF(S26_CF!$A:$A,"*" &amp; $A262 &amp; "*") &lt;&gt; 0, "Yes", "No")</f>
        <v>No</v>
      </c>
      <c r="T262" s="43" t="str">
        <f t="array" ref="T262">INDEX(S26_CF!K:K, MATCH("*" &amp; $A262 &amp; "*", S26_CF!A:A, 0))</f>
        <v>#N/A</v>
      </c>
      <c r="U262" s="43" t="str">
        <f>IF(COUNTIF(F25_CF!$A:$A,"*" &amp; $A262 &amp; "*") &lt;&gt; 0, "Yes", "No")</f>
        <v>Yes</v>
      </c>
      <c r="V262" s="43" t="str">
        <f t="array" ref="V262">INDEX(F25_CF!I:I, MATCH("*" &amp; $A262 &amp; "*", F25_CF!$A:$A, 0))</f>
        <v>Basic One-Day: Wednesday, September 10th [$1000.00]</v>
      </c>
      <c r="W262" s="43" t="str">
        <f>IF(COUNTIF(S25_CF!$A:$A,"*" &amp; $A262 &amp; "*") &lt;&gt; 0, "Yes", "No")</f>
        <v>No</v>
      </c>
      <c r="X262" s="43" t="str">
        <f t="array" ref="X262">INDEX(S25_CF!J:J, MATCH("*" &amp; $A262 &amp; "*", S25_CF!$A:$A, 0))</f>
        <v>#N/A</v>
      </c>
      <c r="Y262" s="43" t="str">
        <f>IF(COUNTIF(F24_CF!$A:$A,"*" &amp; $A262 &amp; "*") &lt;&gt; 0, "Yes", "No")</f>
        <v>Yes</v>
      </c>
      <c r="Z262" s="43" t="str">
        <f t="array" ref="Z262">INDEX(F24_CF!N:N, MATCH("*" &amp; $A262 &amp; "*", F24_CF!$A:$A, 0))</f>
        <v>Basic One-Day: Thursday, September 5th [$1000.00]</v>
      </c>
      <c r="AA262" s="43" t="str">
        <f>IF(COUNTIF(S24_CF!$A:$A,"*" &amp; $A262 &amp; "*") &lt;&gt; 0, "Yes", "No")</f>
        <v>No</v>
      </c>
      <c r="AB262" s="43" t="str">
        <f t="array" ref="AB262">INDEX(S24_CF!H:H, MATCH("*" &amp; $A262 &amp; "*", S24_CF!$A:$A, 0))</f>
        <v>#N/A</v>
      </c>
    </row>
    <row r="263" ht="15.0" customHeight="1">
      <c r="A263" s="52" t="s">
        <v>320</v>
      </c>
      <c r="B263" s="43" t="s">
        <v>52</v>
      </c>
      <c r="C263" s="43"/>
      <c r="D263" s="43"/>
      <c r="E263" s="43"/>
      <c r="F263" s="43">
        <f>COUNTIF(S26_Emp!$C:$C,"*" &amp;A263 &amp; "*")</f>
        <v>0</v>
      </c>
      <c r="G263" s="43">
        <f>COUNTIF(F25_Emp!$C:$C,"*" &amp;#REF! &amp; "*")</f>
        <v>0</v>
      </c>
      <c r="H263" s="43">
        <f>COUNTIF(S25_Emp!$C:$C,"*" &amp; A263 &amp; "*")</f>
        <v>0</v>
      </c>
      <c r="I263" s="43">
        <f>COUNTIF(F24_Emp!$C:$C,"*" &amp; B263 &amp; "*")</f>
        <v>0</v>
      </c>
      <c r="J263" s="43">
        <f>COUNTIF(S24_Emp!$C:$C,"*" &amp; $A263 &amp; "*")</f>
        <v>0</v>
      </c>
      <c r="K263" s="43">
        <f>COUNTIF(F23_Emp!$C:$C,"*" &amp; $A263 &amp; "*")</f>
        <v>0</v>
      </c>
      <c r="L263" s="43">
        <f>COUNTIF(S23_Emp!$C:$C,"*" &amp; $A263 &amp; "*")</f>
        <v>0</v>
      </c>
      <c r="M263" s="43">
        <f>COUNTIF(F22_Emp!$C:$C,"*" &amp; $A263 &amp; "*")</f>
        <v>0</v>
      </c>
      <c r="N263" s="43">
        <f>COUNTIF(S22_Emp!$C:$C,"*" &amp; $A263 &amp; "*")</f>
        <v>0</v>
      </c>
      <c r="O263" s="43" t="str">
        <f>COUNTIFS(S22_Emp!$C:$C,"*" &amp; $A263 &amp; "*", S22_S25_Emp!$B:$B, "Bachelor")</f>
        <v>#VALUE!</v>
      </c>
      <c r="P263" s="43" t="str">
        <f>COUNTIFS(S22_Emp!$C:$C,"*" &amp; $A263 &amp; "*", S22_S25_Emp!$B:$B, "Master")</f>
        <v>#VALUE!</v>
      </c>
      <c r="Q263" s="43" t="str">
        <f>COUNTIFS(S22_Emp!$C:$C,"*" &amp; $A263 &amp; "*", S22_S25_Emp!$B:$B, "Doctorate")</f>
        <v>#VALUE!</v>
      </c>
      <c r="R263" s="43" t="str">
        <f t="array" ref="R263">IF(OR(INDEX(S26_CF!X:X, MATCH("*" &amp; $A263 &amp; "*", CompanyList!A:A, 0))=TRUE, INDEX(F25_CF!P:P, MATCH("*" &amp; $A263 &amp; "*", CompanyList!A:A, 0))=TRUE, INDEX(S25_CF!T:T, MATCH("*" &amp; $A263 &amp; "*", CompanyList!A:A, 0))=TRUE, INDEX(S24_CF!W:W, MATCH("*" &amp; $A263 &amp; "*", CompanyList!A:A, 0))=TRUE), "Yes", "No")</f>
        <v>No</v>
      </c>
      <c r="S263" s="43" t="str">
        <f>IF(COUNTIF(S26_CF!$A:$A,"*" &amp; $A263 &amp; "*") &lt;&gt; 0, "Yes", "No")</f>
        <v>No</v>
      </c>
      <c r="T263" s="43" t="str">
        <f t="array" ref="T263">INDEX(S26_CF!K:K, MATCH("*" &amp; $A263 &amp; "*", S26_CF!A:A, 0))</f>
        <v>#N/A</v>
      </c>
      <c r="U263" s="43" t="str">
        <f>IF(COUNTIF(F25_CF!$A:$A,"*" &amp; $A263 &amp; "*") &lt;&gt; 0, "Yes", "No")</f>
        <v>No</v>
      </c>
      <c r="V263" s="43" t="str">
        <f t="array" ref="V263">INDEX(F25_CF!I:I, MATCH("*" &amp; $A263 &amp; "*", F25_CF!$A:$A, 0))</f>
        <v>#N/A</v>
      </c>
      <c r="W263" s="43" t="str">
        <f>IF(COUNTIF(S25_CF!$A:$A,"*" &amp; $A263 &amp; "*") &lt;&gt; 0, "Yes", "No")</f>
        <v>Yes</v>
      </c>
      <c r="X263" s="43" t="str">
        <f t="array" ref="X263">INDEX(S25_CF!J:J, MATCH("*" &amp; $A263 &amp; "*", S25_CF!$A:$A, 0))</f>
        <v>Basic One-Day: Thursday, January 23rd [$1000.00]</v>
      </c>
      <c r="Y263" s="43" t="str">
        <f>IF(COUNTIF(F24_CF!$A:$A,"*" &amp; $A263 &amp; "*") &lt;&gt; 0, "Yes", "No")</f>
        <v>Yes</v>
      </c>
      <c r="Z263" s="43" t="str">
        <f t="array" ref="Z263">INDEX(F24_CF!N:N, MATCH("*" &amp; $A263 &amp; "*", F24_CF!$A:$A, 0))</f>
        <v>Basic One-Day: Thursday, September 5th [$1000.00]</v>
      </c>
      <c r="AA263" s="43" t="str">
        <f>IF(COUNTIF(S24_CF!$A:$A,"*" &amp; $A263 &amp; "*") &lt;&gt; 0, "Yes", "No")</f>
        <v>Yes</v>
      </c>
      <c r="AB263" s="43" t="str">
        <f t="array" ref="AB263">INDEX(S24_CF!H:H, MATCH("*" &amp; $A263 &amp; "*", S24_CF!$A:$A, 0))</f>
        <v>Basic Two-Day [$2000.00]</v>
      </c>
    </row>
    <row r="264" ht="15.0" customHeight="1">
      <c r="A264" s="52" t="s">
        <v>321</v>
      </c>
      <c r="B264" s="43" t="s">
        <v>52</v>
      </c>
      <c r="C264" s="43"/>
      <c r="D264" s="43"/>
      <c r="E264" s="43"/>
      <c r="F264" s="43">
        <f>COUNTIF(S26_Emp!$C:$C,"*" &amp;A264 &amp; "*")</f>
        <v>0</v>
      </c>
      <c r="G264" s="43">
        <f>COUNTIF(F25_Emp!$C:$C,"*" &amp;#REF! &amp; "*")</f>
        <v>0</v>
      </c>
      <c r="H264" s="43">
        <f>COUNTIF(S25_Emp!$C:$C,"*" &amp; A264 &amp; "*")</f>
        <v>1</v>
      </c>
      <c r="I264" s="43">
        <f>COUNTIF(F24_Emp!$C:$C,"*" &amp; B264 &amp; "*")</f>
        <v>0</v>
      </c>
      <c r="J264" s="43">
        <f>COUNTIF(S24_Emp!$C:$C,"*" &amp; $A264 &amp; "*")</f>
        <v>1</v>
      </c>
      <c r="K264" s="43">
        <f>COUNTIF(F23_Emp!$C:$C,"*" &amp; $A264 &amp; "*")</f>
        <v>0</v>
      </c>
      <c r="L264" s="43">
        <f>COUNTIF(S23_Emp!$C:$C,"*" &amp; $A264 &amp; "*")</f>
        <v>0</v>
      </c>
      <c r="M264" s="43">
        <f>COUNTIF(F22_Emp!$C:$C,"*" &amp; $A264 &amp; "*")</f>
        <v>0</v>
      </c>
      <c r="N264" s="43">
        <f>COUNTIF(S22_Emp!$C:$C,"*" &amp; $A264 &amp; "*")</f>
        <v>0</v>
      </c>
      <c r="O264" s="43" t="str">
        <f>COUNTIFS(S22_Emp!$C:$C,"*" &amp; $A264 &amp; "*", S22_S25_Emp!$B:$B, "Bachelor")</f>
        <v>#VALUE!</v>
      </c>
      <c r="P264" s="43" t="str">
        <f>COUNTIFS(S22_Emp!$C:$C,"*" &amp; $A264 &amp; "*", S22_S25_Emp!$B:$B, "Master")</f>
        <v>#VALUE!</v>
      </c>
      <c r="Q264" s="43" t="str">
        <f>COUNTIFS(S22_Emp!$C:$C,"*" &amp; $A264 &amp; "*", S22_S25_Emp!$B:$B, "Doctorate")</f>
        <v>#VALUE!</v>
      </c>
      <c r="R264" s="43" t="str">
        <f t="array" ref="R264">IF(OR(INDEX(S26_CF!X:X, MATCH("*" &amp; $A264 &amp; "*", CompanyList!A:A, 0))=TRUE, INDEX(F25_CF!P:P, MATCH("*" &amp; $A264 &amp; "*", CompanyList!A:A, 0))=TRUE, INDEX(S25_CF!T:T, MATCH("*" &amp; $A264 &amp; "*", CompanyList!A:A, 0))=TRUE, INDEX(S24_CF!W:W, MATCH("*" &amp; $A264 &amp; "*", CompanyList!A:A, 0))=TRUE), "Yes", "No")</f>
        <v>No</v>
      </c>
      <c r="S264" s="43" t="str">
        <f>IF(COUNTIF(S26_CF!$A:$A,"*" &amp; $A264 &amp; "*") &lt;&gt; 0, "Yes", "No")</f>
        <v>Yes</v>
      </c>
      <c r="T264" s="43" t="str">
        <f t="array" ref="T264">INDEX(S26_CF!K:K, MATCH("*" &amp; $A264 &amp; "*", S26_CF!A:A, 0))</f>
        <v>Silver Two-Day [$3000.00]</v>
      </c>
      <c r="U264" s="43" t="str">
        <f>IF(COUNTIF(F25_CF!$A:$A,"*" &amp; $A264 &amp; "*") &lt;&gt; 0, "Yes", "No")</f>
        <v>Yes</v>
      </c>
      <c r="V264" s="43" t="str">
        <f t="array" ref="V264">INDEX(F25_CF!I:I, MATCH("*" &amp; $A264 &amp; "*", F25_CF!$A:$A, 0))</f>
        <v>Basic Two-Day [$2000.00]</v>
      </c>
      <c r="W264" s="43" t="str">
        <f>IF(COUNTIF(S25_CF!$A:$A,"*" &amp; $A264 &amp; "*") &lt;&gt; 0, "Yes", "No")</f>
        <v>No</v>
      </c>
      <c r="X264" s="43" t="str">
        <f t="array" ref="X264">INDEX(S25_CF!J:J, MATCH("*" &amp; $A264 &amp; "*", S25_CF!$A:$A, 0))</f>
        <v>#N/A</v>
      </c>
      <c r="Y264" s="43" t="str">
        <f>IF(COUNTIF(F24_CF!$A:$A,"*" &amp; $A264 &amp; "*") &lt;&gt; 0, "Yes", "No")</f>
        <v>Yes</v>
      </c>
      <c r="Z264" s="43" t="str">
        <f t="array" ref="Z264">INDEX(F24_CF!N:N, MATCH("*" &amp; $A264 &amp; "*", F24_CF!$A:$A, 0))</f>
        <v>Basic One-Day: Wednesday, September 4th [$1000.00]</v>
      </c>
      <c r="AA264" s="43" t="str">
        <f>IF(COUNTIF(S24_CF!$A:$A,"*" &amp; $A264 &amp; "*") &lt;&gt; 0, "Yes", "No")</f>
        <v>No</v>
      </c>
      <c r="AB264" s="43" t="str">
        <f t="array" ref="AB264">INDEX(S24_CF!H:H, MATCH("*" &amp; $A264 &amp; "*", S24_CF!$A:$A, 0))</f>
        <v>#N/A</v>
      </c>
    </row>
    <row r="265" ht="15.0" customHeight="1">
      <c r="A265" s="52" t="s">
        <v>322</v>
      </c>
      <c r="B265" s="43" t="s">
        <v>52</v>
      </c>
      <c r="C265" s="43"/>
      <c r="D265" s="43"/>
      <c r="E265" s="43"/>
      <c r="F265" s="43">
        <f>COUNTIF(S26_Emp!$C:$C,"*" &amp;A265 &amp; "*")</f>
        <v>0</v>
      </c>
      <c r="G265" s="43">
        <f>COUNTIF(F25_Emp!$C:$C,"*" &amp;#REF! &amp; "*")</f>
        <v>0</v>
      </c>
      <c r="H265" s="43">
        <f>COUNTIF(S25_Emp!$C:$C,"*" &amp; A265 &amp; "*")</f>
        <v>0</v>
      </c>
      <c r="I265" s="43">
        <f>COUNTIF(F24_Emp!$C:$C,"*" &amp; B265 &amp; "*")</f>
        <v>0</v>
      </c>
      <c r="J265" s="43">
        <f>COUNTIF(S24_Emp!$C:$C,"*" &amp; $A265 &amp; "*")</f>
        <v>0</v>
      </c>
      <c r="K265" s="43">
        <f>COUNTIF(F23_Emp!$C:$C,"*" &amp; $A265 &amp; "*")</f>
        <v>0</v>
      </c>
      <c r="L265" s="43">
        <f>COUNTIF(S23_Emp!$C:$C,"*" &amp; $A265 &amp; "*")</f>
        <v>0</v>
      </c>
      <c r="M265" s="43">
        <f>COUNTIF(F22_Emp!$C:$C,"*" &amp; $A265 &amp; "*")</f>
        <v>0</v>
      </c>
      <c r="N265" s="43">
        <f>COUNTIF(S22_Emp!$C:$C,"*" &amp; $A265 &amp; "*")</f>
        <v>0</v>
      </c>
      <c r="O265" s="43" t="str">
        <f>COUNTIFS(S22_Emp!$C:$C,"*" &amp; $A265 &amp; "*", S22_S25_Emp!$B:$B, "Bachelor")</f>
        <v>#VALUE!</v>
      </c>
      <c r="P265" s="43" t="str">
        <f>COUNTIFS(S22_Emp!$C:$C,"*" &amp; $A265 &amp; "*", S22_S25_Emp!$B:$B, "Master")</f>
        <v>#VALUE!</v>
      </c>
      <c r="Q265" s="43" t="str">
        <f>COUNTIFS(S22_Emp!$C:$C,"*" &amp; $A265 &amp; "*", S22_S25_Emp!$B:$B, "Doctorate")</f>
        <v>#VALUE!</v>
      </c>
      <c r="R265" s="43" t="str">
        <f t="array" ref="R265">IF(OR(INDEX(S26_CF!X:X, MATCH("*" &amp; $A265 &amp; "*", CompanyList!A:A, 0))=TRUE, INDEX(F25_CF!P:P, MATCH("*" &amp; $A265 &amp; "*", CompanyList!A:A, 0))=TRUE, INDEX(S25_CF!T:T, MATCH("*" &amp; $A265 &amp; "*", CompanyList!A:A, 0))=TRUE, INDEX(S24_CF!W:W, MATCH("*" &amp; $A265 &amp; "*", CompanyList!A:A, 0))=TRUE), "Yes", "No")</f>
        <v>Yes</v>
      </c>
      <c r="S265" s="43" t="str">
        <f>IF(COUNTIF(S26_CF!$A:$A,"*" &amp; $A265 &amp; "*") &lt;&gt; 0, "Yes", "No")</f>
        <v>No</v>
      </c>
      <c r="T265" s="43" t="str">
        <f t="array" ref="T265">INDEX(S26_CF!K:K, MATCH("*" &amp; $A265 &amp; "*", S26_CF!A:A, 0))</f>
        <v>#N/A</v>
      </c>
      <c r="U265" s="43" t="str">
        <f>IF(COUNTIF(F25_CF!$A:$A,"*" &amp; $A265 &amp; "*") &lt;&gt; 0, "Yes", "No")</f>
        <v>No</v>
      </c>
      <c r="V265" s="43" t="str">
        <f t="array" ref="V265">INDEX(F25_CF!I:I, MATCH("*" &amp; $A265 &amp; "*", F25_CF!$A:$A, 0))</f>
        <v>#N/A</v>
      </c>
      <c r="W265" s="43" t="str">
        <f>IF(COUNTIF(S25_CF!$A:$A,"*" &amp; $A265 &amp; "*") &lt;&gt; 0, "Yes", "No")</f>
        <v>Yes</v>
      </c>
      <c r="X265" s="43" t="str">
        <f t="array" ref="X265">INDEX(S25_CF!J:J, MATCH("*" &amp; $A265 &amp; "*", S25_CF!$A:$A, 0))</f>
        <v>Basic One-Day: Thursday, January 23rd [$1000.00]</v>
      </c>
      <c r="Y265" s="43" t="str">
        <f>IF(COUNTIF(F24_CF!$A:$A,"*" &amp; $A265 &amp; "*") &lt;&gt; 0, "Yes", "No")</f>
        <v>Yes</v>
      </c>
      <c r="Z265" s="43" t="str">
        <f t="array" ref="Z265">INDEX(F24_CF!N:N, MATCH("*" &amp; $A265 &amp; "*", F24_CF!$A:$A, 0))</f>
        <v>Basic One-Day: Thursday, September 5th [$1000.00]</v>
      </c>
      <c r="AA265" s="43" t="str">
        <f>IF(COUNTIF(S24_CF!$A:$A,"*" &amp; $A265 &amp; "*") &lt;&gt; 0, "Yes", "No")</f>
        <v>No</v>
      </c>
      <c r="AB265" s="43" t="str">
        <f t="array" ref="AB265">INDEX(S24_CF!H:H, MATCH("*" &amp; $A265 &amp; "*", S24_CF!$A:$A, 0))</f>
        <v>#N/A</v>
      </c>
    </row>
    <row r="266" ht="15.0" customHeight="1">
      <c r="A266" s="52" t="s">
        <v>323</v>
      </c>
      <c r="B266" s="43" t="s">
        <v>52</v>
      </c>
      <c r="C266" s="43"/>
      <c r="D266" s="43"/>
      <c r="E266" s="43"/>
      <c r="F266" s="43">
        <f>COUNTIF(S26_Emp!$C:$C,"*" &amp;A266 &amp; "*")</f>
        <v>0</v>
      </c>
      <c r="G266" s="43">
        <f>COUNTIF(F25_Emp!$C:$C,"*" &amp;#REF! &amp; "*")</f>
        <v>0</v>
      </c>
      <c r="H266" s="43">
        <f>COUNTIF(S25_Emp!$C:$C,"*" &amp; A266 &amp; "*")</f>
        <v>0</v>
      </c>
      <c r="I266" s="43">
        <f>COUNTIF(F24_Emp!$C:$C,"*" &amp; B266 &amp; "*")</f>
        <v>0</v>
      </c>
      <c r="J266" s="43">
        <f>COUNTIF(S24_Emp!$C:$C,"*" &amp; $A266 &amp; "*")</f>
        <v>0</v>
      </c>
      <c r="K266" s="43">
        <f>COUNTIF(F23_Emp!$C:$C,"*" &amp; $A266 &amp; "*")</f>
        <v>0</v>
      </c>
      <c r="L266" s="43">
        <f>COUNTIF(S23_Emp!$C:$C,"*" &amp; $A266 &amp; "*")</f>
        <v>0</v>
      </c>
      <c r="M266" s="43">
        <f>COUNTIF(F22_Emp!$C:$C,"*" &amp; $A266 &amp; "*")</f>
        <v>0</v>
      </c>
      <c r="N266" s="43">
        <f>COUNTIF(S22_Emp!$C:$C,"*" &amp; $A266 &amp; "*")</f>
        <v>0</v>
      </c>
      <c r="O266" s="43" t="str">
        <f>COUNTIFS(S22_Emp!$C:$C,"*" &amp; $A266 &amp; "*", S22_S25_Emp!$B:$B, "Bachelor")</f>
        <v>#VALUE!</v>
      </c>
      <c r="P266" s="43" t="str">
        <f>COUNTIFS(S22_Emp!$C:$C,"*" &amp; $A266 &amp; "*", S22_S25_Emp!$B:$B, "Master")</f>
        <v>#VALUE!</v>
      </c>
      <c r="Q266" s="43" t="str">
        <f>COUNTIFS(S22_Emp!$C:$C,"*" &amp; $A266 &amp; "*", S22_S25_Emp!$B:$B, "Doctorate")</f>
        <v>#VALUE!</v>
      </c>
      <c r="R266" s="43" t="str">
        <f t="array" ref="R266">IF(OR(INDEX(S26_CF!X:X, MATCH("*" &amp; $A266 &amp; "*", CompanyList!A:A, 0))=TRUE, INDEX(F25_CF!P:P, MATCH("*" &amp; $A266 &amp; "*", CompanyList!A:A, 0))=TRUE, INDEX(S25_CF!T:T, MATCH("*" &amp; $A266 &amp; "*", CompanyList!A:A, 0))=TRUE, INDEX(S24_CF!W:W, MATCH("*" &amp; $A266 &amp; "*", CompanyList!A:A, 0))=TRUE), "Yes", "No")</f>
        <v>Yes</v>
      </c>
      <c r="S266" s="43" t="str">
        <f>IF(COUNTIF(S26_CF!$A:$A,"*" &amp; $A266 &amp; "*") &lt;&gt; 0, "Yes", "No")</f>
        <v>Yes</v>
      </c>
      <c r="T266" s="43" t="str">
        <f t="array" ref="T266">INDEX(S26_CF!K:K, MATCH("*" &amp; $A266 &amp; "*", S26_CF!A:A, 0))</f>
        <v>Basic One-Day: Thursday, January 29th [$1000.00]</v>
      </c>
      <c r="U266" s="43" t="str">
        <f>IF(COUNTIF(F25_CF!$A:$A,"*" &amp; $A266 &amp; "*") &lt;&gt; 0, "Yes", "No")</f>
        <v>Yes</v>
      </c>
      <c r="V266" s="43" t="str">
        <f t="array" ref="V266">INDEX(F25_CF!I:I, MATCH("*" &amp; $A266 &amp; "*", F25_CF!$A:$A, 0))</f>
        <v>Basic Two-Day [$2000.00]</v>
      </c>
      <c r="W266" s="43" t="str">
        <f>IF(COUNTIF(S25_CF!$A:$A,"*" &amp; $A266 &amp; "*") &lt;&gt; 0, "Yes", "No")</f>
        <v>Yes</v>
      </c>
      <c r="X266" s="43" t="str">
        <f t="array" ref="X266">INDEX(S25_CF!J:J, MATCH("*" &amp; $A266 &amp; "*", S25_CF!$A:$A, 0))</f>
        <v>Basic One-Day: Thursday, January 23rd [$1000.00]</v>
      </c>
      <c r="Y266" s="43" t="str">
        <f>IF(COUNTIF(F24_CF!$A:$A,"*" &amp; $A266 &amp; "*") &lt;&gt; 0, "Yes", "No")</f>
        <v>Yes</v>
      </c>
      <c r="Z266" s="43" t="str">
        <f t="array" ref="Z266">INDEX(F24_CF!N:N, MATCH("*" &amp; $A266 &amp; "*", F24_CF!$A:$A, 0))</f>
        <v>Basic One-Day: Thursday, September 5th [$1000.00]</v>
      </c>
      <c r="AA266" s="43" t="str">
        <f>IF(COUNTIF(S24_CF!$A:$A,"*" &amp; $A266 &amp; "*") &lt;&gt; 0, "Yes", "No")</f>
        <v>No</v>
      </c>
      <c r="AB266" s="43" t="str">
        <f t="array" ref="AB266">INDEX(S24_CF!H:H, MATCH("*" &amp; $A266 &amp; "*", S24_CF!$A:$A, 0))</f>
        <v>#N/A</v>
      </c>
    </row>
    <row r="267" ht="15.0" customHeight="1">
      <c r="A267" s="52" t="s">
        <v>324</v>
      </c>
      <c r="B267" s="43" t="s">
        <v>54</v>
      </c>
      <c r="C267" s="43">
        <v>144000.0</v>
      </c>
      <c r="D267" s="43">
        <v>9700.0</v>
      </c>
      <c r="E267" s="43">
        <v>55.0</v>
      </c>
      <c r="F267" s="43">
        <f>COUNTIF(S26_Emp!$C:$C,"*" &amp;A267 &amp; "*")</f>
        <v>0</v>
      </c>
      <c r="G267" s="43">
        <f>COUNTIF(F25_Emp!$C:$C,"*" &amp;#REF! &amp; "*")</f>
        <v>0</v>
      </c>
      <c r="H267" s="43">
        <f>COUNTIF(S25_Emp!$C:$C,"*" &amp; A267 &amp; "*")</f>
        <v>2</v>
      </c>
      <c r="I267" s="43">
        <f>COUNTIF(F24_Emp!$C:$C,"*" &amp; B267 &amp; "*")</f>
        <v>1</v>
      </c>
      <c r="J267" s="43">
        <f>COUNTIF(S24_Emp!$C:$C,"*" &amp; $A267 &amp; "*")</f>
        <v>4</v>
      </c>
      <c r="K267" s="43">
        <f>COUNTIF(F23_Emp!$C:$C,"*" &amp; $A267 &amp; "*")</f>
        <v>2</v>
      </c>
      <c r="L267" s="43">
        <f>COUNTIF(S23_Emp!$C:$C,"*" &amp; $A267 &amp; "*")</f>
        <v>3</v>
      </c>
      <c r="M267" s="43">
        <f>COUNTIF(F22_Emp!$C:$C,"*" &amp; $A267 &amp; "*")</f>
        <v>3</v>
      </c>
      <c r="N267" s="43">
        <f>COUNTIF(S22_Emp!$C:$C,"*" &amp; $A267 &amp; "*")</f>
        <v>3</v>
      </c>
      <c r="O267" s="43" t="str">
        <f>COUNTIFS(S22_Emp!$C:$C,"*" &amp; $A267 &amp; "*", S22_S25_Emp!$B:$B, "Bachelor")</f>
        <v>#VALUE!</v>
      </c>
      <c r="P267" s="43" t="str">
        <f>COUNTIFS(S22_Emp!$C:$C,"*" &amp; $A267 &amp; "*", S22_S25_Emp!$B:$B, "Master")</f>
        <v>#VALUE!</v>
      </c>
      <c r="Q267" s="43" t="str">
        <f>COUNTIFS(S22_Emp!$C:$C,"*" &amp; $A267 &amp; "*", S22_S25_Emp!$B:$B, "Doctorate")</f>
        <v>#VALUE!</v>
      </c>
      <c r="R267" s="43" t="str">
        <f t="array" ref="R267">IF(OR(INDEX(S26_CF!X:X, MATCH("*" &amp; $A267 &amp; "*", CompanyList!A:A, 0))=TRUE, INDEX(F25_CF!P:P, MATCH("*" &amp; $A267 &amp; "*", CompanyList!A:A, 0))=TRUE, INDEX(S25_CF!T:T, MATCH("*" &amp; $A267 &amp; "*", CompanyList!A:A, 0))=TRUE, INDEX(S24_CF!W:W, MATCH("*" &amp; $A267 &amp; "*", CompanyList!A:A, 0))=TRUE), "Yes", "No")</f>
        <v>No</v>
      </c>
      <c r="S267" s="43" t="str">
        <f>IF(COUNTIF(S26_CF!$A:$A,"*" &amp; $A267 &amp; "*") &lt;&gt; 0, "Yes", "No")</f>
        <v>No</v>
      </c>
      <c r="T267" s="43" t="str">
        <f t="array" ref="T267">INDEX(S26_CF!K:K, MATCH("*" &amp; $A267 &amp; "*", S26_CF!A:A, 0))</f>
        <v>#N/A</v>
      </c>
      <c r="U267" s="43" t="str">
        <f>IF(COUNTIF(F25_CF!$A:$A,"*" &amp; $A267 &amp; "*") &lt;&gt; 0, "Yes", "No")</f>
        <v>Yes</v>
      </c>
      <c r="V267" s="43" t="str">
        <f t="array" ref="V267">INDEX(F25_CF!I:I, MATCH("*" &amp; $A267 &amp; "*", F25_CF!$A:$A, 0))</f>
        <v>Gold Two-Day [$5500.00]</v>
      </c>
      <c r="W267" s="43" t="str">
        <f>IF(COUNTIF(S25_CF!$A:$A,"*" &amp; $A267 &amp; "*") &lt;&gt; 0, "Yes", "No")</f>
        <v>Yes</v>
      </c>
      <c r="X267" s="43" t="str">
        <f t="array" ref="X267">INDEX(S25_CF!J:J, MATCH("*" &amp; $A267 &amp; "*", S25_CF!$A:$A, 0))</f>
        <v>Basic One-Day: Wednesday, January 22nd [$1000.00]</v>
      </c>
      <c r="Y267" s="43" t="str">
        <f>IF(COUNTIF(F24_CF!$A:$A,"*" &amp; $A267 &amp; "*") &lt;&gt; 0, "Yes", "No")</f>
        <v>Yes</v>
      </c>
      <c r="Z267" s="43" t="str">
        <f t="array" ref="Z267">INDEX(F24_CF!N:N, MATCH("*" &amp; $A267 &amp; "*", F24_CF!$A:$A, 0))</f>
        <v>Gold Two-Day [$5500.00]</v>
      </c>
      <c r="AA267" s="43" t="str">
        <f>IF(COUNTIF(S24_CF!$A:$A,"*" &amp; $A267 &amp; "*") &lt;&gt; 0, "Yes", "No")</f>
        <v>No</v>
      </c>
      <c r="AB267" s="43" t="str">
        <f t="array" ref="AB267">INDEX(S24_CF!H:H, MATCH("*" &amp; $A267 &amp; "*", S24_CF!$A:$A, 0))</f>
        <v>#N/A</v>
      </c>
    </row>
    <row r="268" ht="15.0" customHeight="1">
      <c r="A268" s="52" t="s">
        <v>325</v>
      </c>
      <c r="B268" s="43" t="s">
        <v>54</v>
      </c>
      <c r="C268" s="43">
        <v>1000.0</v>
      </c>
      <c r="D268" s="43">
        <v>3400.0</v>
      </c>
      <c r="E268" s="43">
        <v>0.3</v>
      </c>
      <c r="F268" s="43">
        <f>COUNTIF(S26_Emp!$C:$C,"*" &amp;A268 &amp; "*")</f>
        <v>0</v>
      </c>
      <c r="G268" s="43">
        <f>COUNTIF(F25_Emp!$C:$C,"*" &amp;#REF! &amp; "*")</f>
        <v>0</v>
      </c>
      <c r="H268" s="43">
        <f>COUNTIF(S25_Emp!$C:$C,"*" &amp; A268 &amp; "*")</f>
        <v>1</v>
      </c>
      <c r="I268" s="43">
        <f>COUNTIF(F24_Emp!$C:$C,"*" &amp; B268 &amp; "*")</f>
        <v>1</v>
      </c>
      <c r="J268" s="43">
        <f>COUNTIF(S24_Emp!$C:$C,"*" &amp; $A268 &amp; "*")</f>
        <v>0</v>
      </c>
      <c r="K268" s="43">
        <f>COUNTIF(F23_Emp!$C:$C,"*" &amp; $A268 &amp; "*")</f>
        <v>0</v>
      </c>
      <c r="L268" s="43">
        <f>COUNTIF(S23_Emp!$C:$C,"*" &amp; $A268 &amp; "*")</f>
        <v>0</v>
      </c>
      <c r="M268" s="43">
        <f>COUNTIF(F22_Emp!$C:$C,"*" &amp; $A268 &amp; "*")</f>
        <v>0</v>
      </c>
      <c r="N268" s="43">
        <f>COUNTIF(S22_Emp!$C:$C,"*" &amp; $A268 &amp; "*")</f>
        <v>0</v>
      </c>
      <c r="O268" s="43" t="str">
        <f>COUNTIFS(S22_Emp!$C:$C,"*" &amp; $A268 &amp; "*", S22_S25_Emp!$B:$B, "Bachelor")</f>
        <v>#VALUE!</v>
      </c>
      <c r="P268" s="43" t="str">
        <f>COUNTIFS(S22_Emp!$C:$C,"*" &amp; $A268 &amp; "*", S22_S25_Emp!$B:$B, "Master")</f>
        <v>#VALUE!</v>
      </c>
      <c r="Q268" s="43" t="str">
        <f>COUNTIFS(S22_Emp!$C:$C,"*" &amp; $A268 &amp; "*", S22_S25_Emp!$B:$B, "Doctorate")</f>
        <v>#VALUE!</v>
      </c>
      <c r="R268" s="43" t="str">
        <f t="array" ref="R268">IF(OR(INDEX(S26_CF!X:X, MATCH("*" &amp; $A268 &amp; "*", CompanyList!A:A, 0))=TRUE, INDEX(F25_CF!P:P, MATCH("*" &amp; $A268 &amp; "*", CompanyList!A:A, 0))=TRUE, INDEX(S25_CF!T:T, MATCH("*" &amp; $A268 &amp; "*", CompanyList!A:A, 0))=TRUE, INDEX(S24_CF!W:W, MATCH("*" &amp; $A268 &amp; "*", CompanyList!A:A, 0))=TRUE), "Yes", "No")</f>
        <v>No</v>
      </c>
      <c r="S268" s="43" t="str">
        <f>IF(COUNTIF(S26_CF!$A:$A,"*" &amp; $A268 &amp; "*") &lt;&gt; 0, "Yes", "No")</f>
        <v>Yes</v>
      </c>
      <c r="T268" s="43" t="str">
        <f t="array" ref="T268">INDEX(S26_CF!K:K, MATCH("*" &amp; $A268 &amp; "*", S26_CF!A:A, 0))</f>
        <v>Basic One-Day: Wednesday, January 28th [$1000.00]</v>
      </c>
      <c r="U268" s="43" t="str">
        <f>IF(COUNTIF(F25_CF!$A:$A,"*" &amp; $A268 &amp; "*") &lt;&gt; 0, "Yes", "No")</f>
        <v>Yes</v>
      </c>
      <c r="V268" s="43" t="str">
        <f t="array" ref="V268">INDEX(F25_CF!I:I, MATCH("*" &amp; $A268 &amp; "*", F25_CF!$A:$A, 0))</f>
        <v>Basic One-Day: Wednesday, September 10th [$1000.00]</v>
      </c>
      <c r="W268" s="43" t="str">
        <f>IF(COUNTIF(S25_CF!$A:$A,"*" &amp; $A268 &amp; "*") &lt;&gt; 0, "Yes", "No")</f>
        <v>Yes</v>
      </c>
      <c r="X268" s="43" t="str">
        <f t="array" ref="X268">INDEX(S25_CF!J:J, MATCH("*" &amp; $A268 &amp; "*", S25_CF!$A:$A, 0))</f>
        <v>Basic One-Day: Wednesday, January 22nd [$1000.00]</v>
      </c>
      <c r="Y268" s="43" t="str">
        <f>IF(COUNTIF(F24_CF!$A:$A,"*" &amp; $A268 &amp; "*") &lt;&gt; 0, "Yes", "No")</f>
        <v>Yes</v>
      </c>
      <c r="Z268" s="43" t="str">
        <f t="array" ref="Z268">INDEX(F24_CF!N:N, MATCH("*" &amp; $A268 &amp; "*", F24_CF!$A:$A, 0))</f>
        <v>Basic One-Day: Wednesday, September 4th [$1000.00]</v>
      </c>
      <c r="AA268" s="43" t="str">
        <f>IF(COUNTIF(S24_CF!$A:$A,"*" &amp; $A268 &amp; "*") &lt;&gt; 0, "Yes", "No")</f>
        <v>No</v>
      </c>
      <c r="AB268" s="43" t="str">
        <f t="array" ref="AB268">INDEX(S24_CF!H:H, MATCH("*" &amp; $A268 &amp; "*", S24_CF!$A:$A, 0))</f>
        <v>#N/A</v>
      </c>
    </row>
    <row r="269" ht="15.0" customHeight="1">
      <c r="A269" s="52" t="s">
        <v>326</v>
      </c>
      <c r="B269" s="43" t="s">
        <v>52</v>
      </c>
      <c r="C269" s="43"/>
      <c r="D269" s="43"/>
      <c r="E269" s="43"/>
      <c r="F269" s="43">
        <f>COUNTIF(S26_Emp!$C:$C,"*" &amp;A269 &amp; "*")</f>
        <v>0</v>
      </c>
      <c r="G269" s="43">
        <f>COUNTIF(F25_Emp!$C:$C,"*" &amp;#REF! &amp; "*")</f>
        <v>0</v>
      </c>
      <c r="H269" s="43">
        <f>COUNTIF(S25_Emp!$C:$C,"*" &amp; A269 &amp; "*")</f>
        <v>0</v>
      </c>
      <c r="I269" s="43">
        <f>COUNTIF(F24_Emp!$C:$C,"*" &amp; B269 &amp; "*")</f>
        <v>0</v>
      </c>
      <c r="J269" s="43">
        <f>COUNTIF(S24_Emp!$C:$C,"*" &amp; $A269 &amp; "*")</f>
        <v>0</v>
      </c>
      <c r="K269" s="43">
        <f>COUNTIF(F23_Emp!$C:$C,"*" &amp; $A269 &amp; "*")</f>
        <v>0</v>
      </c>
      <c r="L269" s="43">
        <f>COUNTIF(S23_Emp!$C:$C,"*" &amp; $A269 &amp; "*")</f>
        <v>0</v>
      </c>
      <c r="M269" s="43">
        <f>COUNTIF(F22_Emp!$C:$C,"*" &amp; $A269 &amp; "*")</f>
        <v>0</v>
      </c>
      <c r="N269" s="43">
        <f>COUNTIF(S22_Emp!$C:$C,"*" &amp; $A269 &amp; "*")</f>
        <v>0</v>
      </c>
      <c r="O269" s="43" t="str">
        <f>COUNTIFS(S22_Emp!$C:$C,"*" &amp; $A269 &amp; "*", S22_S25_Emp!$B:$B, "Bachelor")</f>
        <v>#VALUE!</v>
      </c>
      <c r="P269" s="43" t="str">
        <f>COUNTIFS(S22_Emp!$C:$C,"*" &amp; $A269 &amp; "*", S22_S25_Emp!$B:$B, "Master")</f>
        <v>#VALUE!</v>
      </c>
      <c r="Q269" s="43" t="str">
        <f>COUNTIFS(S22_Emp!$C:$C,"*" &amp; $A269 &amp; "*", S22_S25_Emp!$B:$B, "Doctorate")</f>
        <v>#VALUE!</v>
      </c>
      <c r="R269" s="43" t="str">
        <f t="array" ref="R269">IF(OR(INDEX(S26_CF!X:X, MATCH("*" &amp; $A269 &amp; "*", CompanyList!A:A, 0))=TRUE, INDEX(F25_CF!P:P, MATCH("*" &amp; $A269 &amp; "*", CompanyList!A:A, 0))=TRUE, INDEX(S25_CF!T:T, MATCH("*" &amp; $A269 &amp; "*", CompanyList!A:A, 0))=TRUE, INDEX(S24_CF!W:W, MATCH("*" &amp; $A269 &amp; "*", CompanyList!A:A, 0))=TRUE), "Yes", "No")</f>
        <v>No</v>
      </c>
      <c r="S269" s="43" t="str">
        <f>IF(COUNTIF(S26_CF!$A:$A,"*" &amp; $A269 &amp; "*") &lt;&gt; 0, "Yes", "No")</f>
        <v>Yes</v>
      </c>
      <c r="T269" s="43" t="str">
        <f t="array" ref="T269">INDEX(S26_CF!K:K, MATCH("*" &amp; $A269 &amp; "*", S26_CF!A:A, 0))</f>
        <v>Basic One-Day: Wednesday, January 28th [$1000.00]</v>
      </c>
      <c r="U269" s="43" t="str">
        <f>IF(COUNTIF(F25_CF!$A:$A,"*" &amp; $A269 &amp; "*") &lt;&gt; 0, "Yes", "No")</f>
        <v>No</v>
      </c>
      <c r="V269" s="43" t="str">
        <f t="array" ref="V269">INDEX(F25_CF!I:I, MATCH("*" &amp; $A269 &amp; "*", F25_CF!$A:$A, 0))</f>
        <v>#N/A</v>
      </c>
      <c r="W269" s="43" t="str">
        <f>IF(COUNTIF(S25_CF!$A:$A,"*" &amp; $A269 &amp; "*") &lt;&gt; 0, "Yes", "No")</f>
        <v>Yes</v>
      </c>
      <c r="X269" s="43" t="str">
        <f t="array" ref="X269">INDEX(S25_CF!J:J, MATCH("*" &amp; $A269 &amp; "*", S25_CF!$A:$A, 0))</f>
        <v>Basic One-Day: Thursday, January 23rd [$1000.00]</v>
      </c>
      <c r="Y269" s="43" t="str">
        <f>IF(COUNTIF(F24_CF!$A:$A,"*" &amp; $A269 &amp; "*") &lt;&gt; 0, "Yes", "No")</f>
        <v>Yes</v>
      </c>
      <c r="Z269" s="43" t="str">
        <f t="array" ref="Z269">INDEX(F24_CF!N:N, MATCH("*" &amp; $A269 &amp; "*", F24_CF!$A:$A, 0))</f>
        <v>Basic One-Day: Thursday, September 5th [$1000.00]</v>
      </c>
      <c r="AA269" s="43" t="str">
        <f>IF(COUNTIF(S24_CF!$A:$A,"*" &amp; $A269 &amp; "*") &lt;&gt; 0, "Yes", "No")</f>
        <v>No</v>
      </c>
      <c r="AB269" s="43" t="str">
        <f t="array" ref="AB269">INDEX(S24_CF!H:H, MATCH("*" &amp; $A269 &amp; "*", S24_CF!$A:$A, 0))</f>
        <v>#N/A</v>
      </c>
    </row>
    <row r="270" ht="15.0" customHeight="1">
      <c r="A270" s="52" t="s">
        <v>327</v>
      </c>
      <c r="B270" s="43" t="s">
        <v>52</v>
      </c>
      <c r="C270" s="43"/>
      <c r="D270" s="43"/>
      <c r="E270" s="43"/>
      <c r="F270" s="43">
        <f>COUNTIF(S26_Emp!$C:$C,"*" &amp;A270 &amp; "*")</f>
        <v>0</v>
      </c>
      <c r="G270" s="43">
        <f>COUNTIF(F25_Emp!$C:$C,"*" &amp;#REF! &amp; "*")</f>
        <v>0</v>
      </c>
      <c r="H270" s="43">
        <f>COUNTIF(S25_Emp!$C:$C,"*" &amp; A270 &amp; "*")</f>
        <v>0</v>
      </c>
      <c r="I270" s="43">
        <f>COUNTIF(F24_Emp!$C:$C,"*" &amp; B270 &amp; "*")</f>
        <v>0</v>
      </c>
      <c r="J270" s="43">
        <f>COUNTIF(S24_Emp!$C:$C,"*" &amp; $A270 &amp; "*")</f>
        <v>1</v>
      </c>
      <c r="K270" s="43">
        <f>COUNTIF(F23_Emp!$C:$C,"*" &amp; $A270 &amp; "*")</f>
        <v>0</v>
      </c>
      <c r="L270" s="43">
        <f>COUNTIF(S23_Emp!$C:$C,"*" &amp; $A270 &amp; "*")</f>
        <v>0</v>
      </c>
      <c r="M270" s="43">
        <f>COUNTIF(F22_Emp!$C:$C,"*" &amp; $A270 &amp; "*")</f>
        <v>0</v>
      </c>
      <c r="N270" s="43">
        <f>COUNTIF(S22_Emp!$C:$C,"*" &amp; $A270 &amp; "*")</f>
        <v>0</v>
      </c>
      <c r="O270" s="43" t="str">
        <f>COUNTIFS(S22_Emp!$C:$C,"*" &amp; $A270 &amp; "*", S22_S25_Emp!$B:$B, "Bachelor")</f>
        <v>#VALUE!</v>
      </c>
      <c r="P270" s="43" t="str">
        <f>COUNTIFS(S22_Emp!$C:$C,"*" &amp; $A270 &amp; "*", S22_S25_Emp!$B:$B, "Master")</f>
        <v>#VALUE!</v>
      </c>
      <c r="Q270" s="43" t="str">
        <f>COUNTIFS(S22_Emp!$C:$C,"*" &amp; $A270 &amp; "*", S22_S25_Emp!$B:$B, "Doctorate")</f>
        <v>#VALUE!</v>
      </c>
      <c r="R270" s="43" t="str">
        <f t="array" ref="R270">IF(OR(INDEX(S26_CF!X:X, MATCH("*" &amp; $A270 &amp; "*", CompanyList!A:A, 0))=TRUE, INDEX(F25_CF!P:P, MATCH("*" &amp; $A270 &amp; "*", CompanyList!A:A, 0))=TRUE, INDEX(S25_CF!T:T, MATCH("*" &amp; $A270 &amp; "*", CompanyList!A:A, 0))=TRUE, INDEX(S24_CF!W:W, MATCH("*" &amp; $A270 &amp; "*", CompanyList!A:A, 0))=TRUE), "Yes", "No")</f>
        <v>No</v>
      </c>
      <c r="S270" s="43" t="str">
        <f>IF(COUNTIF(S26_CF!$A:$A,"*" &amp; $A270 &amp; "*") &lt;&gt; 0, "Yes", "No")</f>
        <v>Yes</v>
      </c>
      <c r="T270" s="43" t="str">
        <f t="array" ref="T270">INDEX(S26_CF!K:K, MATCH("*" &amp; $A270 &amp; "*", S26_CF!A:A, 0))</f>
        <v>Basic One-Day: Thursday, January 29th [$1000.00]</v>
      </c>
      <c r="U270" s="43" t="str">
        <f>IF(COUNTIF(F25_CF!$A:$A,"*" &amp; $A270 &amp; "*") &lt;&gt; 0, "Yes", "No")</f>
        <v>Yes</v>
      </c>
      <c r="V270" s="43" t="str">
        <f t="array" ref="V270">INDEX(F25_CF!I:I, MATCH("*" &amp; $A270 &amp; "*", F25_CF!$A:$A, 0))</f>
        <v>Basic One-Day: Thursday, September 11th [$1000.00]</v>
      </c>
      <c r="W270" s="43" t="str">
        <f>IF(COUNTIF(S25_CF!$A:$A,"*" &amp; $A270 &amp; "*") &lt;&gt; 0, "Yes", "No")</f>
        <v>Yes</v>
      </c>
      <c r="X270" s="43" t="str">
        <f t="array" ref="X270">INDEX(S25_CF!J:J, MATCH("*" &amp; $A270 &amp; "*", S25_CF!$A:$A, 0))</f>
        <v>Basic One-Day: Thursday, January 23rd [$1000.00]</v>
      </c>
      <c r="Y270" s="43" t="str">
        <f>IF(COUNTIF(F24_CF!$A:$A,"*" &amp; $A270 &amp; "*") &lt;&gt; 0, "Yes", "No")</f>
        <v>No</v>
      </c>
      <c r="Z270" s="43" t="str">
        <f t="array" ref="Z270">INDEX(F24_CF!N:N, MATCH("*" &amp; $A270 &amp; "*", F24_CF!$A:$A, 0))</f>
        <v>#N/A</v>
      </c>
      <c r="AA270" s="43" t="str">
        <f>IF(COUNTIF(S24_CF!$A:$A,"*" &amp; $A270 &amp; "*") &lt;&gt; 0, "Yes", "No")</f>
        <v>No</v>
      </c>
      <c r="AB270" s="43" t="str">
        <f t="array" ref="AB270">INDEX(S24_CF!H:H, MATCH("*" &amp; $A270 &amp; "*", S24_CF!$A:$A, 0))</f>
        <v>#N/A</v>
      </c>
    </row>
    <row r="271" ht="15.0" customHeight="1">
      <c r="A271" s="52" t="s">
        <v>328</v>
      </c>
      <c r="B271" s="43" t="s">
        <v>52</v>
      </c>
      <c r="C271" s="43"/>
      <c r="D271" s="43"/>
      <c r="E271" s="43"/>
      <c r="F271" s="43">
        <f>COUNTIF(S26_Emp!$C:$C,"*" &amp;A271 &amp; "*")</f>
        <v>0</v>
      </c>
      <c r="G271" s="43">
        <f>COUNTIF(F25_Emp!$C:$C,"*" &amp;#REF! &amp; "*")</f>
        <v>0</v>
      </c>
      <c r="H271" s="43">
        <f>COUNTIF(S25_Emp!$C:$C,"*" &amp; A271 &amp; "*")</f>
        <v>0</v>
      </c>
      <c r="I271" s="43">
        <f>COUNTIF(F24_Emp!$C:$C,"*" &amp; B271 &amp; "*")</f>
        <v>0</v>
      </c>
      <c r="J271" s="43">
        <f>COUNTIF(S24_Emp!$C:$C,"*" &amp; $A271 &amp; "*")</f>
        <v>0</v>
      </c>
      <c r="K271" s="43">
        <f>COUNTIF(F23_Emp!$C:$C,"*" &amp; $A271 &amp; "*")</f>
        <v>0</v>
      </c>
      <c r="L271" s="43">
        <f>COUNTIF(S23_Emp!$C:$C,"*" &amp; $A271 &amp; "*")</f>
        <v>0</v>
      </c>
      <c r="M271" s="43">
        <f>COUNTIF(F22_Emp!$C:$C,"*" &amp; $A271 &amp; "*")</f>
        <v>0</v>
      </c>
      <c r="N271" s="43">
        <f>COUNTIF(S22_Emp!$C:$C,"*" &amp; $A271 &amp; "*")</f>
        <v>0</v>
      </c>
      <c r="O271" s="43" t="str">
        <f>COUNTIFS(S22_Emp!$C:$C,"*" &amp; $A271 &amp; "*", S22_S25_Emp!$B:$B, "Bachelor")</f>
        <v>#VALUE!</v>
      </c>
      <c r="P271" s="43" t="str">
        <f>COUNTIFS(S22_Emp!$C:$C,"*" &amp; $A271 &amp; "*", S22_S25_Emp!$B:$B, "Master")</f>
        <v>#VALUE!</v>
      </c>
      <c r="Q271" s="43" t="str">
        <f>COUNTIFS(S22_Emp!$C:$C,"*" &amp; $A271 &amp; "*", S22_S25_Emp!$B:$B, "Doctorate")</f>
        <v>#VALUE!</v>
      </c>
      <c r="R271" s="43" t="str">
        <f t="array" ref="R271">IF(OR(INDEX(S26_CF!X:X, MATCH("*" &amp; $A271 &amp; "*", CompanyList!A:A, 0))=TRUE, INDEX(F25_CF!P:P, MATCH("*" &amp; $A271 &amp; "*", CompanyList!A:A, 0))=TRUE, INDEX(S25_CF!T:T, MATCH("*" &amp; $A271 &amp; "*", CompanyList!A:A, 0))=TRUE, INDEX(S24_CF!W:W, MATCH("*" &amp; $A271 &amp; "*", CompanyList!A:A, 0))=TRUE), "Yes", "No")</f>
        <v>Yes</v>
      </c>
      <c r="S271" s="43" t="str">
        <f>IF(COUNTIF(S26_CF!$A:$A,"*" &amp; $A271 &amp; "*") &lt;&gt; 0, "Yes", "No")</f>
        <v>Yes</v>
      </c>
      <c r="T271" s="43" t="str">
        <f t="array" ref="T271">INDEX(S26_CF!K:K, MATCH("*" &amp; $A271 &amp; "*", S26_CF!A:A, 0))</f>
        <v>Basic One-Day: Wednesday, January 28th [$1000.00]</v>
      </c>
      <c r="U271" s="43" t="str">
        <f>IF(COUNTIF(F25_CF!$A:$A,"*" &amp; $A271 &amp; "*") &lt;&gt; 0, "Yes", "No")</f>
        <v>Yes</v>
      </c>
      <c r="V271" s="43" t="str">
        <f t="array" ref="V271">INDEX(F25_CF!I:I, MATCH("*" &amp; $A271 &amp; "*", F25_CF!$A:$A, 0))</f>
        <v>Basic One-Day: Thursday, September 11th [$1000.00]</v>
      </c>
      <c r="W271" s="43" t="str">
        <f>IF(COUNTIF(S25_CF!$A:$A,"*" &amp; $A271 &amp; "*") &lt;&gt; 0, "Yes", "No")</f>
        <v>Yes</v>
      </c>
      <c r="X271" s="43" t="str">
        <f t="array" ref="X271">INDEX(S25_CF!J:J, MATCH("*" &amp; $A271 &amp; "*", S25_CF!$A:$A, 0))</f>
        <v>Silver One-Day: Wednesday, January 22nd [$1800.00]</v>
      </c>
      <c r="Y271" s="43" t="str">
        <f>IF(COUNTIF(F24_CF!$A:$A,"*" &amp; $A271 &amp; "*") &lt;&gt; 0, "Yes", "No")</f>
        <v>No</v>
      </c>
      <c r="Z271" s="43" t="str">
        <f t="array" ref="Z271">INDEX(F24_CF!N:N, MATCH("*" &amp; $A271 &amp; "*", F24_CF!$A:$A, 0))</f>
        <v>#N/A</v>
      </c>
      <c r="AA271" s="43" t="str">
        <f>IF(COUNTIF(S24_CF!$A:$A,"*" &amp; $A271 &amp; "*") &lt;&gt; 0, "Yes", "No")</f>
        <v>No</v>
      </c>
      <c r="AB271" s="43" t="str">
        <f t="array" ref="AB271">INDEX(S24_CF!H:H, MATCH("*" &amp; $A271 &amp; "*", S24_CF!$A:$A, 0))</f>
        <v>#N/A</v>
      </c>
    </row>
    <row r="272" ht="15.0" customHeight="1">
      <c r="A272" s="52" t="s">
        <v>329</v>
      </c>
      <c r="B272" s="43" t="s">
        <v>52</v>
      </c>
      <c r="C272" s="43"/>
      <c r="D272" s="43"/>
      <c r="E272" s="43"/>
      <c r="F272" s="43">
        <f>COUNTIF(S26_Emp!$C:$C,"*" &amp;A272 &amp; "*")</f>
        <v>0</v>
      </c>
      <c r="G272" s="43">
        <f>COUNTIF(F25_Emp!$C:$C,"*" &amp;#REF! &amp; "*")</f>
        <v>0</v>
      </c>
      <c r="H272" s="43">
        <f>COUNTIF(S25_Emp!$C:$C,"*" &amp; A272 &amp; "*")</f>
        <v>0</v>
      </c>
      <c r="I272" s="43">
        <f>COUNTIF(F24_Emp!$C:$C,"*" &amp; B272 &amp; "*")</f>
        <v>0</v>
      </c>
      <c r="J272" s="43">
        <f>COUNTIF(S24_Emp!$C:$C,"*" &amp; $A272 &amp; "*")</f>
        <v>0</v>
      </c>
      <c r="K272" s="43">
        <f>COUNTIF(F23_Emp!$C:$C,"*" &amp; $A272 &amp; "*")</f>
        <v>0</v>
      </c>
      <c r="L272" s="43">
        <f>COUNTIF(S23_Emp!$C:$C,"*" &amp; $A272 &amp; "*")</f>
        <v>0</v>
      </c>
      <c r="M272" s="43">
        <f>COUNTIF(F22_Emp!$C:$C,"*" &amp; $A272 &amp; "*")</f>
        <v>0</v>
      </c>
      <c r="N272" s="43">
        <f>COUNTIF(S22_Emp!$C:$C,"*" &amp; $A272 &amp; "*")</f>
        <v>2</v>
      </c>
      <c r="O272" s="43" t="str">
        <f>COUNTIFS(S22_Emp!$C:$C,"*" &amp; $A272 &amp; "*", S22_S25_Emp!$B:$B, "Bachelor")</f>
        <v>#VALUE!</v>
      </c>
      <c r="P272" s="43" t="str">
        <f>COUNTIFS(S22_Emp!$C:$C,"*" &amp; $A272 &amp; "*", S22_S25_Emp!$B:$B, "Master")</f>
        <v>#VALUE!</v>
      </c>
      <c r="Q272" s="43" t="str">
        <f>COUNTIFS(S22_Emp!$C:$C,"*" &amp; $A272 &amp; "*", S22_S25_Emp!$B:$B, "Doctorate")</f>
        <v>#VALUE!</v>
      </c>
      <c r="R272" s="43" t="str">
        <f t="array" ref="R272">IF(OR(INDEX(S26_CF!X:X, MATCH("*" &amp; $A272 &amp; "*", CompanyList!A:A, 0))=TRUE, INDEX(F25_CF!P:P, MATCH("*" &amp; $A272 &amp; "*", CompanyList!A:A, 0))=TRUE, INDEX(S25_CF!T:T, MATCH("*" &amp; $A272 &amp; "*", CompanyList!A:A, 0))=TRUE, INDEX(S24_CF!W:W, MATCH("*" &amp; $A272 &amp; "*", CompanyList!A:A, 0))=TRUE), "Yes", "No")</f>
        <v>No</v>
      </c>
      <c r="S272" s="43" t="str">
        <f>IF(COUNTIF(S26_CF!$A:$A,"*" &amp; $A272 &amp; "*") &lt;&gt; 0, "Yes", "No")</f>
        <v>Yes</v>
      </c>
      <c r="T272" s="43" t="str">
        <f t="array" ref="T272">INDEX(S26_CF!K:K, MATCH("*" &amp; $A272 &amp; "*", S26_CF!A:A, 0))</f>
        <v>Basic One-Day: Thursday, January 29th [$1000.00]</v>
      </c>
      <c r="U272" s="43" t="str">
        <f>IF(COUNTIF(F25_CF!$A:$A,"*" &amp; $A272 &amp; "*") &lt;&gt; 0, "Yes", "No")</f>
        <v>Yes</v>
      </c>
      <c r="V272" s="43" t="str">
        <f t="array" ref="V272">INDEX(F25_CF!I:I, MATCH("*" &amp; $A272 &amp; "*", F25_CF!$A:$A, 0))</f>
        <v>Silver One-Day: Thursday, September 11th [$1800.00]</v>
      </c>
      <c r="W272" s="43" t="str">
        <f>IF(COUNTIF(S25_CF!$A:$A,"*" &amp; $A272 &amp; "*") &lt;&gt; 0, "Yes", "No")</f>
        <v>Yes</v>
      </c>
      <c r="X272" s="43" t="str">
        <f t="array" ref="X272">INDEX(S25_CF!J:J, MATCH("*" &amp; $A272 &amp; "*", S25_CF!$A:$A, 0))</f>
        <v>Basic One-Day: Wednesday, January 22nd [$1000.00]</v>
      </c>
      <c r="Y272" s="43" t="str">
        <f>IF(COUNTIF(F24_CF!$A:$A,"*" &amp; $A272 &amp; "*") &lt;&gt; 0, "Yes", "No")</f>
        <v>No</v>
      </c>
      <c r="Z272" s="43" t="str">
        <f t="array" ref="Z272">INDEX(F24_CF!N:N, MATCH("*" &amp; $A272 &amp; "*", F24_CF!$A:$A, 0))</f>
        <v>#N/A</v>
      </c>
      <c r="AA272" s="43" t="str">
        <f>IF(COUNTIF(S24_CF!$A:$A,"*" &amp; $A272 &amp; "*") &lt;&gt; 0, "Yes", "No")</f>
        <v>No</v>
      </c>
      <c r="AB272" s="43" t="str">
        <f t="array" ref="AB272">INDEX(S24_CF!H:H, MATCH("*" &amp; $A272 &amp; "*", S24_CF!$A:$A, 0))</f>
        <v>#N/A</v>
      </c>
    </row>
    <row r="273" ht="15.0" customHeight="1">
      <c r="A273" s="52" t="s">
        <v>330</v>
      </c>
      <c r="B273" s="43" t="s">
        <v>52</v>
      </c>
      <c r="C273" s="43"/>
      <c r="D273" s="43"/>
      <c r="E273" s="43"/>
      <c r="F273" s="43">
        <f>COUNTIF(S26_Emp!$C:$C,"*" &amp;A273 &amp; "*")</f>
        <v>0</v>
      </c>
      <c r="G273" s="43">
        <f>COUNTIF(F25_Emp!$C:$C,"*" &amp;#REF! &amp; "*")</f>
        <v>0</v>
      </c>
      <c r="H273" s="43">
        <f>COUNTIF(S25_Emp!$C:$C,"*" &amp; A273 &amp; "*")</f>
        <v>0</v>
      </c>
      <c r="I273" s="43">
        <f>COUNTIF(F24_Emp!$C:$C,"*" &amp; B273 &amp; "*")</f>
        <v>0</v>
      </c>
      <c r="J273" s="43">
        <f>COUNTIF(S24_Emp!$C:$C,"*" &amp; $A273 &amp; "*")</f>
        <v>0</v>
      </c>
      <c r="K273" s="43">
        <f>COUNTIF(F23_Emp!$C:$C,"*" &amp; $A273 &amp; "*")</f>
        <v>0</v>
      </c>
      <c r="L273" s="43">
        <f>COUNTIF(S23_Emp!$C:$C,"*" &amp; $A273 &amp; "*")</f>
        <v>0</v>
      </c>
      <c r="M273" s="43">
        <f>COUNTIF(F22_Emp!$C:$C,"*" &amp; $A273 &amp; "*")</f>
        <v>0</v>
      </c>
      <c r="N273" s="43">
        <f>COUNTIF(S22_Emp!$C:$C,"*" &amp; $A273 &amp; "*")</f>
        <v>0</v>
      </c>
      <c r="O273" s="43" t="str">
        <f>COUNTIFS(S22_Emp!$C:$C,"*" &amp; $A273 &amp; "*", S22_S25_Emp!$B:$B, "Bachelor")</f>
        <v>#VALUE!</v>
      </c>
      <c r="P273" s="43" t="str">
        <f>COUNTIFS(S22_Emp!$C:$C,"*" &amp; $A273 &amp; "*", S22_S25_Emp!$B:$B, "Master")</f>
        <v>#VALUE!</v>
      </c>
      <c r="Q273" s="43" t="str">
        <f>COUNTIFS(S22_Emp!$C:$C,"*" &amp; $A273 &amp; "*", S22_S25_Emp!$B:$B, "Doctorate")</f>
        <v>#VALUE!</v>
      </c>
      <c r="R273" s="43" t="str">
        <f t="array" ref="R273">IF(OR(INDEX(S26_CF!X:X, MATCH("*" &amp; $A273 &amp; "*", CompanyList!A:A, 0))=TRUE, INDEX(F25_CF!P:P, MATCH("*" &amp; $A273 &amp; "*", CompanyList!A:A, 0))=TRUE, INDEX(S25_CF!T:T, MATCH("*" &amp; $A273 &amp; "*", CompanyList!A:A, 0))=TRUE, INDEX(S24_CF!W:W, MATCH("*" &amp; $A273 &amp; "*", CompanyList!A:A, 0))=TRUE), "Yes", "No")</f>
        <v>Yes</v>
      </c>
      <c r="S273" s="43" t="str">
        <f>IF(COUNTIF(S26_CF!$A:$A,"*" &amp; $A273 &amp; "*") &lt;&gt; 0, "Yes", "No")</f>
        <v>Yes</v>
      </c>
      <c r="T273" s="43" t="str">
        <f t="array" ref="T273">INDEX(S26_CF!K:K, MATCH("*" &amp; $A273 &amp; "*", S26_CF!A:A, 0))</f>
        <v>Silver One-Day: Wednesday, January 28th [$1800.00]</v>
      </c>
      <c r="U273" s="43" t="str">
        <f>IF(COUNTIF(F25_CF!$A:$A,"*" &amp; $A273 &amp; "*") &lt;&gt; 0, "Yes", "No")</f>
        <v>Yes</v>
      </c>
      <c r="V273" s="43" t="str">
        <f t="array" ref="V273">INDEX(F25_CF!I:I, MATCH("*" &amp; $A273 &amp; "*", F25_CF!$A:$A, 0))</f>
        <v>Silver One-Day: Thursday, September 11th [$1800.00]</v>
      </c>
      <c r="W273" s="43" t="str">
        <f>IF(COUNTIF(S25_CF!$A:$A,"*" &amp; $A273 &amp; "*") &lt;&gt; 0, "Yes", "No")</f>
        <v>Yes</v>
      </c>
      <c r="X273" s="43" t="str">
        <f t="array" ref="X273">INDEX(S25_CF!J:J, MATCH("*" &amp; $A273 &amp; "*", S25_CF!$A:$A, 0))</f>
        <v>Silver One-Day: Wednesday, January 22nd [$1800.00]</v>
      </c>
      <c r="Y273" s="43" t="str">
        <f>IF(COUNTIF(F24_CF!$A:$A,"*" &amp; $A273 &amp; "*") &lt;&gt; 0, "Yes", "No")</f>
        <v>No</v>
      </c>
      <c r="Z273" s="43" t="str">
        <f t="array" ref="Z273">INDEX(F24_CF!N:N, MATCH("*" &amp; $A273 &amp; "*", F24_CF!$A:$A, 0))</f>
        <v>#N/A</v>
      </c>
      <c r="AA273" s="43" t="str">
        <f>IF(COUNTIF(S24_CF!$A:$A,"*" &amp; $A273 &amp; "*") &lt;&gt; 0, "Yes", "No")</f>
        <v>No</v>
      </c>
      <c r="AB273" s="43" t="str">
        <f t="array" ref="AB273">INDEX(S24_CF!H:H, MATCH("*" &amp; $A273 &amp; "*", S24_CF!$A:$A, 0))</f>
        <v>#N/A</v>
      </c>
    </row>
    <row r="274" ht="15.0" customHeight="1">
      <c r="A274" s="52" t="s">
        <v>331</v>
      </c>
      <c r="B274" s="43" t="s">
        <v>52</v>
      </c>
      <c r="C274" s="43"/>
      <c r="D274" s="43"/>
      <c r="E274" s="43"/>
      <c r="F274" s="43">
        <f>COUNTIF(S26_Emp!$C:$C,"*" &amp;A274 &amp; "*")</f>
        <v>0</v>
      </c>
      <c r="G274" s="43">
        <f>COUNTIF(F25_Emp!$C:$C,"*" &amp;#REF! &amp; "*")</f>
        <v>0</v>
      </c>
      <c r="H274" s="43">
        <f>COUNTIF(S25_Emp!$C:$C,"*" &amp; A274 &amp; "*")</f>
        <v>0</v>
      </c>
      <c r="I274" s="43">
        <f>COUNTIF(F24_Emp!$C:$C,"*" &amp; B274 &amp; "*")</f>
        <v>0</v>
      </c>
      <c r="J274" s="43">
        <f>COUNTIF(S24_Emp!$C:$C,"*" &amp; $A274 &amp; "*")</f>
        <v>0</v>
      </c>
      <c r="K274" s="43">
        <f>COUNTIF(F23_Emp!$C:$C,"*" &amp; $A274 &amp; "*")</f>
        <v>0</v>
      </c>
      <c r="L274" s="43">
        <f>COUNTIF(S23_Emp!$C:$C,"*" &amp; $A274 &amp; "*")</f>
        <v>0</v>
      </c>
      <c r="M274" s="43">
        <f>COUNTIF(F22_Emp!$C:$C,"*" &amp; $A274 &amp; "*")</f>
        <v>0</v>
      </c>
      <c r="N274" s="43">
        <f>COUNTIF(S22_Emp!$C:$C,"*" &amp; $A274 &amp; "*")</f>
        <v>0</v>
      </c>
      <c r="O274" s="43" t="str">
        <f>COUNTIFS(S22_Emp!$C:$C,"*" &amp; $A274 &amp; "*", S22_S25_Emp!$B:$B, "Bachelor")</f>
        <v>#VALUE!</v>
      </c>
      <c r="P274" s="43" t="str">
        <f>COUNTIFS(S22_Emp!$C:$C,"*" &amp; $A274 &amp; "*", S22_S25_Emp!$B:$B, "Master")</f>
        <v>#VALUE!</v>
      </c>
      <c r="Q274" s="43" t="str">
        <f>COUNTIFS(S22_Emp!$C:$C,"*" &amp; $A274 &amp; "*", S22_S25_Emp!$B:$B, "Doctorate")</f>
        <v>#VALUE!</v>
      </c>
      <c r="R274" s="43" t="str">
        <f t="array" ref="R274">IF(OR(INDEX(S26_CF!X:X, MATCH("*" &amp; $A274 &amp; "*", CompanyList!A:A, 0))=TRUE, INDEX(F25_CF!P:P, MATCH("*" &amp; $A274 &amp; "*", CompanyList!A:A, 0))=TRUE, INDEX(S25_CF!T:T, MATCH("*" &amp; $A274 &amp; "*", CompanyList!A:A, 0))=TRUE, INDEX(S24_CF!W:W, MATCH("*" &amp; $A274 &amp; "*", CompanyList!A:A, 0))=TRUE), "Yes", "No")</f>
        <v>Yes</v>
      </c>
      <c r="S274" s="43" t="str">
        <f>IF(COUNTIF(S26_CF!$A:$A,"*" &amp; $A274 &amp; "*") &lt;&gt; 0, "Yes", "No")</f>
        <v>Yes</v>
      </c>
      <c r="T274" s="43" t="str">
        <f t="array" ref="T274">INDEX(S26_CF!K:K, MATCH("*" &amp; $A274 &amp; "*", S26_CF!A:A, 0))</f>
        <v>Gold One-Day: Wednesday, January 28th [$2500.00]</v>
      </c>
      <c r="U274" s="43" t="str">
        <f>IF(COUNTIF(F25_CF!$A:$A,"*" &amp; $A274 &amp; "*") &lt;&gt; 0, "Yes", "No")</f>
        <v>Yes</v>
      </c>
      <c r="V274" s="43" t="str">
        <f t="array" ref="V274">INDEX(F25_CF!I:I, MATCH("*" &amp; $A274 &amp; "*", F25_CF!$A:$A, 0))</f>
        <v>Gold Two-Day [$5500.00]</v>
      </c>
      <c r="W274" s="43" t="str">
        <f>IF(COUNTIF(S25_CF!$A:$A,"*" &amp; $A274 &amp; "*") &lt;&gt; 0, "Yes", "No")</f>
        <v>Yes</v>
      </c>
      <c r="X274" s="43" t="str">
        <f t="array" ref="X274">INDEX(S25_CF!J:J, MATCH("*" &amp; $A274 &amp; "*", S25_CF!$A:$A, 0))</f>
        <v>Basic One-Day: Thursday, January 23rd [$1000.00]</v>
      </c>
      <c r="Y274" s="43" t="str">
        <f>IF(COUNTIF(F24_CF!$A:$A,"*" &amp; $A274 &amp; "*") &lt;&gt; 0, "Yes", "No")</f>
        <v>No</v>
      </c>
      <c r="Z274" s="43" t="str">
        <f t="array" ref="Z274">INDEX(F24_CF!N:N, MATCH("*" &amp; $A274 &amp; "*", F24_CF!$A:$A, 0))</f>
        <v>#N/A</v>
      </c>
      <c r="AA274" s="43" t="str">
        <f>IF(COUNTIF(S24_CF!$A:$A,"*" &amp; $A274 &amp; "*") &lt;&gt; 0, "Yes", "No")</f>
        <v>No</v>
      </c>
      <c r="AB274" s="43" t="str">
        <f t="array" ref="AB274">INDEX(S24_CF!H:H, MATCH("*" &amp; $A274 &amp; "*", S24_CF!$A:$A, 0))</f>
        <v>#N/A</v>
      </c>
    </row>
    <row r="275" ht="15.0" customHeight="1">
      <c r="A275" s="52" t="s">
        <v>332</v>
      </c>
      <c r="B275" s="43" t="s">
        <v>54</v>
      </c>
      <c r="C275" s="43">
        <v>34000.0</v>
      </c>
      <c r="D275" s="43">
        <v>32000.0</v>
      </c>
      <c r="E275" s="43">
        <v>45.0</v>
      </c>
      <c r="F275" s="43">
        <f>COUNTIF(S26_Emp!$C:$C,"*" &amp;A275 &amp; "*")</f>
        <v>0</v>
      </c>
      <c r="G275" s="43">
        <f>COUNTIF(F25_Emp!$C:$C,"*" &amp;#REF! &amp; "*")</f>
        <v>0</v>
      </c>
      <c r="H275" s="43">
        <f>COUNTIF(S25_Emp!$C:$C,"*" &amp; A275 &amp; "*")</f>
        <v>3</v>
      </c>
      <c r="I275" s="43">
        <f>COUNTIF(F24_Emp!$C:$C,"*" &amp; B275 &amp; "*")</f>
        <v>1</v>
      </c>
      <c r="J275" s="43">
        <f>COUNTIF(S24_Emp!$C:$C,"*" &amp; $A275 &amp; "*")</f>
        <v>1</v>
      </c>
      <c r="K275" s="43">
        <f>COUNTIF(F23_Emp!$C:$C,"*" &amp; $A275 &amp; "*")</f>
        <v>1</v>
      </c>
      <c r="L275" s="43">
        <f>COUNTIF(S23_Emp!$C:$C,"*" &amp; $A275 &amp; "*")</f>
        <v>1</v>
      </c>
      <c r="M275" s="43">
        <f>COUNTIF(F22_Emp!$C:$C,"*" &amp; $A275 &amp; "*")</f>
        <v>0</v>
      </c>
      <c r="N275" s="43">
        <f>COUNTIF(S22_Emp!$C:$C,"*" &amp; $A275 &amp; "*")</f>
        <v>0</v>
      </c>
      <c r="O275" s="43" t="str">
        <f>COUNTIFS(S22_Emp!$C:$C,"*" &amp; $A275 &amp; "*", S22_S25_Emp!$B:$B, "Bachelor")</f>
        <v>#VALUE!</v>
      </c>
      <c r="P275" s="43" t="str">
        <f>COUNTIFS(S22_Emp!$C:$C,"*" &amp; $A275 &amp; "*", S22_S25_Emp!$B:$B, "Master")</f>
        <v>#VALUE!</v>
      </c>
      <c r="Q275" s="43" t="str">
        <f>COUNTIFS(S22_Emp!$C:$C,"*" &amp; $A275 &amp; "*", S22_S25_Emp!$B:$B, "Doctorate")</f>
        <v>#VALUE!</v>
      </c>
      <c r="R275" s="43" t="str">
        <f t="array" ref="R275">IF(OR(INDEX(S26_CF!X:X, MATCH("*" &amp; $A275 &amp; "*", CompanyList!A:A, 0))=TRUE, INDEX(F25_CF!P:P, MATCH("*" &amp; $A275 &amp; "*", CompanyList!A:A, 0))=TRUE, INDEX(S25_CF!T:T, MATCH("*" &amp; $A275 &amp; "*", CompanyList!A:A, 0))=TRUE, INDEX(S24_CF!W:W, MATCH("*" &amp; $A275 &amp; "*", CompanyList!A:A, 0))=TRUE), "Yes", "No")</f>
        <v>Yes</v>
      </c>
      <c r="S275" s="43" t="str">
        <f>IF(COUNTIF(S26_CF!$A:$A,"*" &amp; $A275 &amp; "*") &lt;&gt; 0, "Yes", "No")</f>
        <v>Yes</v>
      </c>
      <c r="T275" s="43" t="str">
        <f t="array" ref="T275">INDEX(S26_CF!K:K, MATCH("*" &amp; $A275 &amp; "*", S26_CF!A:A, 0))</f>
        <v>Basic One-Day: Wednesday, January 28th [$1000.00]</v>
      </c>
      <c r="U275" s="43" t="str">
        <f>IF(COUNTIF(F25_CF!$A:$A,"*" &amp; $A275 &amp; "*") &lt;&gt; 0, "Yes", "No")</f>
        <v>Yes</v>
      </c>
      <c r="V275" s="43" t="str">
        <f t="array" ref="V275">INDEX(F25_CF!I:I, MATCH("*" &amp; $A275 &amp; "*", F25_CF!$A:$A, 0))</f>
        <v>Silver Two-Day [$3000.00]</v>
      </c>
      <c r="W275" s="43" t="str">
        <f>IF(COUNTIF(S25_CF!$A:$A,"*" &amp; $A275 &amp; "*") &lt;&gt; 0, "Yes", "No")</f>
        <v>Yes</v>
      </c>
      <c r="X275" s="43" t="str">
        <f t="array" ref="X275">INDEX(S25_CF!J:J, MATCH("*" &amp; $A275 &amp; "*", S25_CF!$A:$A, 0))</f>
        <v>Basic One-Day: Thursday, January 23rd [$1000.00]</v>
      </c>
      <c r="Y275" s="43" t="str">
        <f>IF(COUNTIF(F24_CF!$A:$A,"*" &amp; $A275 &amp; "*") &lt;&gt; 0, "Yes", "No")</f>
        <v>Yes</v>
      </c>
      <c r="Z275" s="43" t="str">
        <f t="array" ref="Z275">INDEX(F24_CF!N:N, MATCH("*" &amp; $A275 &amp; "*", F24_CF!$A:$A, 0))</f>
        <v>Silver Two-Day [$3000.00]</v>
      </c>
      <c r="AA275" s="43" t="str">
        <f>IF(COUNTIF(S24_CF!$A:$A,"*" &amp; $A275 &amp; "*") &lt;&gt; 0, "Yes", "No")</f>
        <v>Yes</v>
      </c>
      <c r="AB275" s="43" t="str">
        <f t="array" ref="AB275">INDEX(S24_CF!H:H, MATCH("*" &amp; $A275 &amp; "*", S24_CF!$A:$A, 0))</f>
        <v>Silver Two-Day [$3000.00]</v>
      </c>
    </row>
    <row r="276" ht="15.0" customHeight="1">
      <c r="A276" s="52" t="s">
        <v>333</v>
      </c>
      <c r="B276" s="43" t="s">
        <v>61</v>
      </c>
      <c r="C276" s="43"/>
      <c r="D276" s="43">
        <v>4200.0</v>
      </c>
      <c r="E276" s="43"/>
      <c r="F276" s="43">
        <f>COUNTIF(S26_Emp!$C:$C,"*" &amp;A276 &amp; "*")</f>
        <v>0</v>
      </c>
      <c r="G276" s="43">
        <f>COUNTIF(F25_Emp!$C:$C,"*" &amp;#REF! &amp; "*")</f>
        <v>0</v>
      </c>
      <c r="H276" s="43">
        <f>COUNTIF(S25_Emp!$C:$C,"*" &amp; A276 &amp; "*")</f>
        <v>1</v>
      </c>
      <c r="I276" s="43">
        <f>COUNTIF(F24_Emp!$C:$C,"*" &amp; B276 &amp; "*")</f>
        <v>0</v>
      </c>
      <c r="J276" s="43">
        <f>COUNTIF(S24_Emp!$C:$C,"*" &amp; $A276 &amp; "*")</f>
        <v>2</v>
      </c>
      <c r="K276" s="43">
        <f>COUNTIF(F23_Emp!$C:$C,"*" &amp; $A276 &amp; "*")</f>
        <v>0</v>
      </c>
      <c r="L276" s="43">
        <f>COUNTIF(S23_Emp!$C:$C,"*" &amp; $A276 &amp; "*")</f>
        <v>2</v>
      </c>
      <c r="M276" s="43">
        <f>COUNTIF(F22_Emp!$C:$C,"*" &amp; $A276 &amp; "*")</f>
        <v>0</v>
      </c>
      <c r="N276" s="43">
        <f>COUNTIF(S22_Emp!$C:$C,"*" &amp; $A276 &amp; "*")</f>
        <v>0</v>
      </c>
      <c r="O276" s="43" t="str">
        <f>COUNTIFS(S22_Emp!$C:$C,"*" &amp; $A276 &amp; "*", S22_S25_Emp!$B:$B, "Bachelor")</f>
        <v>#VALUE!</v>
      </c>
      <c r="P276" s="43" t="str">
        <f>COUNTIFS(S22_Emp!$C:$C,"*" &amp; $A276 &amp; "*", S22_S25_Emp!$B:$B, "Master")</f>
        <v>#VALUE!</v>
      </c>
      <c r="Q276" s="43" t="str">
        <f>COUNTIFS(S22_Emp!$C:$C,"*" &amp; $A276 &amp; "*", S22_S25_Emp!$B:$B, "Doctorate")</f>
        <v>#VALUE!</v>
      </c>
      <c r="R276" s="43" t="str">
        <f t="array" ref="R276">IF(OR(INDEX(S26_CF!X:X, MATCH("*" &amp; $A276 &amp; "*", CompanyList!A:A, 0))=TRUE, INDEX(F25_CF!P:P, MATCH("*" &amp; $A276 &amp; "*", CompanyList!A:A, 0))=TRUE, INDEX(S25_CF!T:T, MATCH("*" &amp; $A276 &amp; "*", CompanyList!A:A, 0))=TRUE, INDEX(S24_CF!W:W, MATCH("*" &amp; $A276 &amp; "*", CompanyList!A:A, 0))=TRUE), "Yes", "No")</f>
        <v>Yes</v>
      </c>
      <c r="S276" s="43" t="str">
        <f>IF(COUNTIF(S26_CF!$A:$A,"*" &amp; $A276 &amp; "*") &lt;&gt; 0, "Yes", "No")</f>
        <v>Yes</v>
      </c>
      <c r="T276" s="43" t="str">
        <f t="array" ref="T276">INDEX(S26_CF!K:K, MATCH("*" &amp; $A276 &amp; "*", S26_CF!A:A, 0))</f>
        <v>Diamond Two-Day [$8000.00]</v>
      </c>
      <c r="U276" s="43" t="str">
        <f>IF(COUNTIF(F25_CF!$A:$A,"*" &amp; $A276 &amp; "*") &lt;&gt; 0, "Yes", "No")</f>
        <v>Yes</v>
      </c>
      <c r="V276" s="43" t="str">
        <f t="array" ref="V276">INDEX(F25_CF!I:I, MATCH("*" &amp; $A276 &amp; "*", F25_CF!$A:$A, 0))</f>
        <v>Diamond Two-Day [$8000.00]</v>
      </c>
      <c r="W276" s="43" t="str">
        <f>IF(COUNTIF(S25_CF!$A:$A,"*" &amp; $A276 &amp; "*") &lt;&gt; 0, "Yes", "No")</f>
        <v>Yes</v>
      </c>
      <c r="X276" s="43" t="str">
        <f t="array" ref="X276">INDEX(S25_CF!J:J, MATCH("*" &amp; $A276 &amp; "*", S25_CF!$A:$A, 0))</f>
        <v>Basic One-Day: Thursday, January 23rd [$1000.00]</v>
      </c>
      <c r="Y276" s="43" t="str">
        <f>IF(COUNTIF(F24_CF!$A:$A,"*" &amp; $A276 &amp; "*") &lt;&gt; 0, "Yes", "No")</f>
        <v>Yes</v>
      </c>
      <c r="Z276" s="43" t="str">
        <f t="array" ref="Z276">INDEX(F24_CF!N:N, MATCH("*" &amp; $A276 &amp; "*", F24_CF!$A:$A, 0))</f>
        <v>Basic Two-Day [$2000.00]</v>
      </c>
      <c r="AA276" s="43" t="str">
        <f>IF(COUNTIF(S24_CF!$A:$A,"*" &amp; $A276 &amp; "*") &lt;&gt; 0, "Yes", "No")</f>
        <v>No</v>
      </c>
      <c r="AB276" s="43" t="str">
        <f t="array" ref="AB276">INDEX(S24_CF!H:H, MATCH("*" &amp; $A276 &amp; "*", S24_CF!$A:$A, 0))</f>
        <v>#N/A</v>
      </c>
    </row>
    <row r="277" ht="15.0" customHeight="1">
      <c r="A277" s="52" t="s">
        <v>334</v>
      </c>
      <c r="B277" s="43" t="s">
        <v>52</v>
      </c>
      <c r="C277" s="43">
        <v>2000.0</v>
      </c>
      <c r="D277" s="43">
        <v>18000.0</v>
      </c>
      <c r="E277" s="43"/>
      <c r="F277" s="43">
        <f>COUNTIF(S26_Emp!$C:$C,"*" &amp;A277 &amp; "*")</f>
        <v>0</v>
      </c>
      <c r="G277" s="43">
        <f>COUNTIF(F25_Emp!$C:$C,"*" &amp;#REF! &amp; "*")</f>
        <v>0</v>
      </c>
      <c r="H277" s="43">
        <f>COUNTIF(S25_Emp!$C:$C,"*" &amp; A277 &amp; "*")</f>
        <v>0</v>
      </c>
      <c r="I277" s="43">
        <f>COUNTIF(F24_Emp!$C:$C,"*" &amp; B277 &amp; "*")</f>
        <v>0</v>
      </c>
      <c r="J277" s="43">
        <f>COUNTIF(S24_Emp!$C:$C,"*" &amp; $A277 &amp; "*")</f>
        <v>1</v>
      </c>
      <c r="K277" s="43">
        <f>COUNTIF(F23_Emp!$C:$C,"*" &amp; $A277 &amp; "*")</f>
        <v>0</v>
      </c>
      <c r="L277" s="43">
        <f>COUNTIF(S23_Emp!$C:$C,"*" &amp; $A277 &amp; "*")</f>
        <v>0</v>
      </c>
      <c r="M277" s="43">
        <f>COUNTIF(F22_Emp!$C:$C,"*" &amp; $A277 &amp; "*")</f>
        <v>0</v>
      </c>
      <c r="N277" s="43">
        <f>COUNTIF(S22_Emp!$C:$C,"*" &amp; $A277 &amp; "*")</f>
        <v>0</v>
      </c>
      <c r="O277" s="43" t="str">
        <f>COUNTIFS(S22_Emp!$C:$C,"*" &amp; $A277 &amp; "*", S22_S25_Emp!$B:$B, "Bachelor")</f>
        <v>#VALUE!</v>
      </c>
      <c r="P277" s="43" t="str">
        <f>COUNTIFS(S22_Emp!$C:$C,"*" &amp; $A277 &amp; "*", S22_S25_Emp!$B:$B, "Master")</f>
        <v>#VALUE!</v>
      </c>
      <c r="Q277" s="43" t="str">
        <f>COUNTIFS(S22_Emp!$C:$C,"*" &amp; $A277 &amp; "*", S22_S25_Emp!$B:$B, "Doctorate")</f>
        <v>#VALUE!</v>
      </c>
      <c r="R277" s="43" t="str">
        <f t="array" ref="R277">IF(OR(INDEX(S26_CF!X:X, MATCH("*" &amp; $A277 &amp; "*", CompanyList!A:A, 0))=TRUE, INDEX(F25_CF!P:P, MATCH("*" &amp; $A277 &amp; "*", CompanyList!A:A, 0))=TRUE, INDEX(S25_CF!T:T, MATCH("*" &amp; $A277 &amp; "*", CompanyList!A:A, 0))=TRUE, INDEX(S24_CF!W:W, MATCH("*" &amp; $A277 &amp; "*", CompanyList!A:A, 0))=TRUE), "Yes", "No")</f>
        <v>Yes</v>
      </c>
      <c r="S277" s="43" t="str">
        <f>IF(COUNTIF(S26_CF!$A:$A,"*" &amp; $A277 &amp; "*") &lt;&gt; 0, "Yes", "No")</f>
        <v>Yes</v>
      </c>
      <c r="T277" s="43" t="str">
        <f t="array" ref="T277">INDEX(S26_CF!K:K, MATCH("*" &amp; $A277 &amp; "*", S26_CF!A:A, 0))</f>
        <v>Basic One-Day: Wednesday, January 28th [$1000.00]</v>
      </c>
      <c r="U277" s="43" t="str">
        <f>IF(COUNTIF(F25_CF!$A:$A,"*" &amp; $A277 &amp; "*") &lt;&gt; 0, "Yes", "No")</f>
        <v>Yes</v>
      </c>
      <c r="V277" s="43" t="str">
        <f t="array" ref="V277">INDEX(F25_CF!I:I, MATCH("*" &amp; $A277 &amp; "*", F25_CF!$A:$A, 0))</f>
        <v>Basic One-Day: Wednesday, September 10th [$1000.00]</v>
      </c>
      <c r="W277" s="43" t="str">
        <f>IF(COUNTIF(S25_CF!$A:$A,"*" &amp; $A277 &amp; "*") &lt;&gt; 0, "Yes", "No")</f>
        <v>Yes</v>
      </c>
      <c r="X277" s="43" t="str">
        <f t="array" ref="X277">INDEX(S25_CF!J:J, MATCH("*" &amp; $A277 &amp; "*", S25_CF!$A:$A, 0))</f>
        <v>Basic One-Day: Wednesday, January 22nd [$1000.00]</v>
      </c>
      <c r="Y277" s="43" t="str">
        <f>IF(COUNTIF(F24_CF!$A:$A,"*" &amp; $A277 &amp; "*") &lt;&gt; 0, "Yes", "No")</f>
        <v>No</v>
      </c>
      <c r="Z277" s="43" t="str">
        <f t="array" ref="Z277">INDEX(F24_CF!N:N, MATCH("*" &amp; $A277 &amp; "*", F24_CF!$A:$A, 0))</f>
        <v>#N/A</v>
      </c>
      <c r="AA277" s="43" t="str">
        <f>IF(COUNTIF(S24_CF!$A:$A,"*" &amp; $A277 &amp; "*") &lt;&gt; 0, "Yes", "No")</f>
        <v>Yes</v>
      </c>
      <c r="AB277" s="43" t="str">
        <f t="array" ref="AB277">INDEX(S24_CF!H:H, MATCH("*" &amp; $A277 &amp; "*", S24_CF!$A:$A, 0))</f>
        <v>Basic One-Day [$1000.00]</v>
      </c>
    </row>
    <row r="278" ht="15.0" customHeight="1">
      <c r="A278" s="52" t="s">
        <v>335</v>
      </c>
      <c r="B278" s="43" t="s">
        <v>52</v>
      </c>
      <c r="C278" s="43"/>
      <c r="D278" s="43">
        <v>9000.0</v>
      </c>
      <c r="E278" s="43"/>
      <c r="F278" s="43">
        <f>COUNTIF(S26_Emp!$C:$C,"*" &amp;A278 &amp; "*")</f>
        <v>0</v>
      </c>
      <c r="G278" s="43">
        <f>COUNTIF(F25_Emp!$C:$C,"*" &amp;#REF! &amp; "*")</f>
        <v>0</v>
      </c>
      <c r="H278" s="43">
        <f>COUNTIF(S25_Emp!$C:$C,"*" &amp; A278 &amp; "*")</f>
        <v>0</v>
      </c>
      <c r="I278" s="43">
        <f>COUNTIF(F24_Emp!$C:$C,"*" &amp; B278 &amp; "*")</f>
        <v>0</v>
      </c>
      <c r="J278" s="43">
        <f>COUNTIF(S24_Emp!$C:$C,"*" &amp; $A278 &amp; "*")</f>
        <v>0</v>
      </c>
      <c r="K278" s="43">
        <f>COUNTIF(F23_Emp!$C:$C,"*" &amp; $A278 &amp; "*")</f>
        <v>0</v>
      </c>
      <c r="L278" s="43">
        <f>COUNTIF(S23_Emp!$C:$C,"*" &amp; $A278 &amp; "*")</f>
        <v>0</v>
      </c>
      <c r="M278" s="43">
        <f>COUNTIF(F22_Emp!$C:$C,"*" &amp; $A278 &amp; "*")</f>
        <v>0</v>
      </c>
      <c r="N278" s="43">
        <f>COUNTIF(S22_Emp!$C:$C,"*" &amp; $A278 &amp; "*")</f>
        <v>0</v>
      </c>
      <c r="O278" s="43" t="str">
        <f>COUNTIFS(S22_Emp!$C:$C,"*" &amp; $A278 &amp; "*", S22_S25_Emp!$B:$B, "Bachelor")</f>
        <v>#VALUE!</v>
      </c>
      <c r="P278" s="43" t="str">
        <f>COUNTIFS(S22_Emp!$C:$C,"*" &amp; $A278 &amp; "*", S22_S25_Emp!$B:$B, "Master")</f>
        <v>#VALUE!</v>
      </c>
      <c r="Q278" s="43" t="str">
        <f>COUNTIFS(S22_Emp!$C:$C,"*" &amp; $A278 &amp; "*", S22_S25_Emp!$B:$B, "Doctorate")</f>
        <v>#VALUE!</v>
      </c>
      <c r="R278" s="43" t="str">
        <f t="array" ref="R278">IF(OR(INDEX(S26_CF!X:X, MATCH("*" &amp; $A278 &amp; "*", CompanyList!A:A, 0))=TRUE, INDEX(F25_CF!P:P, MATCH("*" &amp; $A278 &amp; "*", CompanyList!A:A, 0))=TRUE, INDEX(S25_CF!T:T, MATCH("*" &amp; $A278 &amp; "*", CompanyList!A:A, 0))=TRUE, INDEX(S24_CF!W:W, MATCH("*" &amp; $A278 &amp; "*", CompanyList!A:A, 0))=TRUE), "Yes", "No")</f>
        <v>No</v>
      </c>
      <c r="S278" s="43" t="str">
        <f>IF(COUNTIF(S26_CF!$A:$A,"*" &amp; $A278 &amp; "*") &lt;&gt; 0, "Yes", "No")</f>
        <v>Yes</v>
      </c>
      <c r="T278" s="43" t="str">
        <f t="array" ref="T278">INDEX(S26_CF!K:K, MATCH("*" &amp; $A278 &amp; "*", S26_CF!A:A, 0))</f>
        <v>Basic Two-Day [$2000.00]</v>
      </c>
      <c r="U278" s="43" t="str">
        <f>IF(COUNTIF(F25_CF!$A:$A,"*" &amp; $A278 &amp; "*") &lt;&gt; 0, "Yes", "No")</f>
        <v>Yes</v>
      </c>
      <c r="V278" s="43" t="str">
        <f t="array" ref="V278">INDEX(F25_CF!I:I, MATCH("*" &amp; $A278 &amp; "*", F25_CF!$A:$A, 0))</f>
        <v>Basic One-Day: Wednesday, September 10th [$1000.00]</v>
      </c>
      <c r="W278" s="43" t="str">
        <f>IF(COUNTIF(S25_CF!$A:$A,"*" &amp; $A278 &amp; "*") &lt;&gt; 0, "Yes", "No")</f>
        <v>Yes</v>
      </c>
      <c r="X278" s="43" t="str">
        <f t="array" ref="X278">INDEX(S25_CF!J:J, MATCH("*" &amp; $A278 &amp; "*", S25_CF!$A:$A, 0))</f>
        <v>Basic One-Day: Thursday, January 23rd [$1000.00]</v>
      </c>
      <c r="Y278" s="43" t="str">
        <f>IF(COUNTIF(F24_CF!$A:$A,"*" &amp; $A278 &amp; "*") &lt;&gt; 0, "Yes", "No")</f>
        <v>No</v>
      </c>
      <c r="Z278" s="43" t="str">
        <f t="array" ref="Z278">INDEX(F24_CF!N:N, MATCH("*" &amp; $A278 &amp; "*", F24_CF!$A:$A, 0))</f>
        <v>#N/A</v>
      </c>
      <c r="AA278" s="43" t="str">
        <f>IF(COUNTIF(S24_CF!$A:$A,"*" &amp; $A278 &amp; "*") &lt;&gt; 0, "Yes", "No")</f>
        <v>No</v>
      </c>
      <c r="AB278" s="43" t="str">
        <f t="array" ref="AB278">INDEX(S24_CF!H:H, MATCH("*" &amp; $A278 &amp; "*", S24_CF!$A:$A, 0))</f>
        <v>#N/A</v>
      </c>
    </row>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22" width="15.75"/>
    <col customWidth="1" min="23" max="26" width="8.63"/>
  </cols>
  <sheetData>
    <row r="1" ht="15.0" customHeight="1">
      <c r="A1" s="53" t="s">
        <v>336</v>
      </c>
      <c r="B1" s="53" t="s">
        <v>337</v>
      </c>
      <c r="C1" s="54" t="s">
        <v>338</v>
      </c>
      <c r="D1" s="53" t="s">
        <v>339</v>
      </c>
      <c r="E1" s="54" t="s">
        <v>340</v>
      </c>
      <c r="F1" s="54" t="s">
        <v>341</v>
      </c>
      <c r="G1" s="54" t="s">
        <v>342</v>
      </c>
      <c r="H1" s="54" t="s">
        <v>343</v>
      </c>
      <c r="I1" s="54" t="s">
        <v>344</v>
      </c>
      <c r="J1" s="54" t="s">
        <v>345</v>
      </c>
      <c r="K1" s="54" t="s">
        <v>24</v>
      </c>
      <c r="L1" s="53" t="s">
        <v>346</v>
      </c>
      <c r="M1" s="53" t="s">
        <v>347</v>
      </c>
      <c r="N1" s="53" t="s">
        <v>348</v>
      </c>
      <c r="O1" s="53" t="s">
        <v>349</v>
      </c>
      <c r="P1" s="54" t="s">
        <v>350</v>
      </c>
      <c r="Q1" s="54" t="s">
        <v>351</v>
      </c>
      <c r="R1" s="53" t="s">
        <v>352</v>
      </c>
      <c r="S1" s="53" t="s">
        <v>353</v>
      </c>
      <c r="T1" s="54" t="s">
        <v>354</v>
      </c>
      <c r="U1" s="54" t="s">
        <v>355</v>
      </c>
      <c r="V1" s="53" t="s">
        <v>356</v>
      </c>
      <c r="X1" s="55" t="s">
        <v>357</v>
      </c>
    </row>
    <row r="2" ht="15.0" customHeight="1">
      <c r="A2" s="56" t="s">
        <v>358</v>
      </c>
      <c r="B2" s="56" t="s">
        <v>359</v>
      </c>
      <c r="C2" s="57" t="s">
        <v>360</v>
      </c>
      <c r="D2" s="58">
        <v>9.722026317E9</v>
      </c>
      <c r="E2" s="56" t="s">
        <v>361</v>
      </c>
      <c r="F2" s="56" t="s">
        <v>362</v>
      </c>
      <c r="G2" s="56" t="s">
        <v>363</v>
      </c>
      <c r="H2" s="56" t="s">
        <v>364</v>
      </c>
      <c r="I2" s="56" t="s">
        <v>365</v>
      </c>
      <c r="J2" s="56" t="s">
        <v>366</v>
      </c>
      <c r="K2" s="56" t="s">
        <v>367</v>
      </c>
      <c r="L2" s="56" t="s">
        <v>368</v>
      </c>
      <c r="M2" s="59"/>
      <c r="N2" s="59"/>
      <c r="O2" s="56" t="s">
        <v>369</v>
      </c>
      <c r="P2" s="60">
        <v>46025.0</v>
      </c>
      <c r="Q2" s="56" t="s">
        <v>370</v>
      </c>
      <c r="R2" s="56" t="s">
        <v>371</v>
      </c>
      <c r="S2" s="59"/>
      <c r="T2" s="56" t="s">
        <v>372</v>
      </c>
      <c r="U2" s="61" t="s">
        <v>373</v>
      </c>
      <c r="V2" s="58" t="s">
        <v>374</v>
      </c>
      <c r="X2" s="55" t="b">
        <f t="shared" ref="X2:X312" si="1">IF(J2="US Citizen or US National, Legally authorized to work in US (Permanent US Resident, Political Asylee, Refugee or DACA), Will now or in the future require visa sponsorship",TRUE,FALSE)</f>
        <v>0</v>
      </c>
    </row>
    <row r="3" ht="15.0" customHeight="1">
      <c r="A3" s="56" t="s">
        <v>1</v>
      </c>
      <c r="B3" s="56" t="s">
        <v>375</v>
      </c>
      <c r="C3" s="57" t="s">
        <v>376</v>
      </c>
      <c r="D3" s="58">
        <v>7.133048918E9</v>
      </c>
      <c r="E3" s="56" t="s">
        <v>361</v>
      </c>
      <c r="F3" s="56" t="s">
        <v>377</v>
      </c>
      <c r="G3" s="56" t="s">
        <v>378</v>
      </c>
      <c r="H3" s="56" t="s">
        <v>379</v>
      </c>
      <c r="I3" s="56" t="s">
        <v>380</v>
      </c>
      <c r="J3" s="56" t="s">
        <v>366</v>
      </c>
      <c r="K3" s="56" t="s">
        <v>381</v>
      </c>
      <c r="L3" s="56" t="s">
        <v>368</v>
      </c>
      <c r="M3" s="59"/>
      <c r="N3" s="59"/>
      <c r="O3" s="56" t="s">
        <v>382</v>
      </c>
      <c r="P3" s="60">
        <v>46025.0</v>
      </c>
      <c r="Q3" s="56" t="s">
        <v>383</v>
      </c>
      <c r="R3" s="56" t="s">
        <v>384</v>
      </c>
      <c r="S3" s="59"/>
      <c r="T3" s="56" t="s">
        <v>385</v>
      </c>
      <c r="U3" s="61" t="s">
        <v>373</v>
      </c>
      <c r="V3" s="58" t="s">
        <v>386</v>
      </c>
      <c r="X3" s="55" t="b">
        <f t="shared" si="1"/>
        <v>0</v>
      </c>
    </row>
    <row r="4" ht="15.0" customHeight="1">
      <c r="A4" s="56" t="s">
        <v>53</v>
      </c>
      <c r="B4" s="56" t="s">
        <v>387</v>
      </c>
      <c r="C4" s="57" t="s">
        <v>388</v>
      </c>
      <c r="D4" s="58">
        <v>2.164103573E9</v>
      </c>
      <c r="E4" s="56" t="s">
        <v>389</v>
      </c>
      <c r="F4" s="56" t="s">
        <v>390</v>
      </c>
      <c r="G4" s="56" t="s">
        <v>391</v>
      </c>
      <c r="H4" s="56" t="s">
        <v>379</v>
      </c>
      <c r="I4" s="56" t="s">
        <v>365</v>
      </c>
      <c r="J4" s="56" t="s">
        <v>366</v>
      </c>
      <c r="K4" s="56" t="s">
        <v>392</v>
      </c>
      <c r="L4" s="56" t="s">
        <v>368</v>
      </c>
      <c r="M4" s="58">
        <v>0.0</v>
      </c>
      <c r="N4" s="58">
        <v>0.0</v>
      </c>
      <c r="O4" s="56" t="s">
        <v>382</v>
      </c>
      <c r="P4" s="60">
        <v>46025.0</v>
      </c>
      <c r="Q4" s="59"/>
      <c r="R4" s="59"/>
      <c r="S4" s="59"/>
      <c r="T4" s="56" t="s">
        <v>393</v>
      </c>
      <c r="U4" s="61" t="s">
        <v>394</v>
      </c>
      <c r="V4" s="58" t="s">
        <v>395</v>
      </c>
      <c r="X4" s="55" t="b">
        <f t="shared" si="1"/>
        <v>0</v>
      </c>
    </row>
    <row r="5" ht="15.0" customHeight="1">
      <c r="A5" s="56" t="s">
        <v>55</v>
      </c>
      <c r="B5" s="56" t="s">
        <v>396</v>
      </c>
      <c r="C5" s="57" t="s">
        <v>397</v>
      </c>
      <c r="D5" s="58">
        <v>4.695009953E9</v>
      </c>
      <c r="E5" s="56" t="s">
        <v>361</v>
      </c>
      <c r="F5" s="56" t="s">
        <v>377</v>
      </c>
      <c r="G5" s="56" t="s">
        <v>398</v>
      </c>
      <c r="H5" s="56" t="s">
        <v>399</v>
      </c>
      <c r="I5" s="56" t="s">
        <v>365</v>
      </c>
      <c r="J5" s="56" t="s">
        <v>366</v>
      </c>
      <c r="K5" s="56" t="s">
        <v>400</v>
      </c>
      <c r="L5" s="56" t="s">
        <v>368</v>
      </c>
      <c r="M5" s="59"/>
      <c r="N5" s="59"/>
      <c r="O5" s="56" t="s">
        <v>382</v>
      </c>
      <c r="P5" s="58">
        <v>0.0</v>
      </c>
      <c r="Q5" s="59"/>
      <c r="R5" s="56" t="s">
        <v>401</v>
      </c>
      <c r="S5" s="59"/>
      <c r="T5" s="56" t="s">
        <v>393</v>
      </c>
      <c r="U5" s="61" t="s">
        <v>373</v>
      </c>
      <c r="V5" s="58" t="s">
        <v>402</v>
      </c>
      <c r="X5" s="55" t="b">
        <f t="shared" si="1"/>
        <v>0</v>
      </c>
    </row>
    <row r="6" ht="15.0" customHeight="1">
      <c r="A6" s="56" t="s">
        <v>56</v>
      </c>
      <c r="B6" s="56" t="s">
        <v>403</v>
      </c>
      <c r="C6" s="57" t="s">
        <v>404</v>
      </c>
      <c r="D6" s="58">
        <v>2.812072055E9</v>
      </c>
      <c r="E6" s="56" t="s">
        <v>361</v>
      </c>
      <c r="F6" s="56" t="s">
        <v>377</v>
      </c>
      <c r="G6" s="56" t="s">
        <v>377</v>
      </c>
      <c r="H6" s="56" t="s">
        <v>364</v>
      </c>
      <c r="I6" s="56" t="s">
        <v>405</v>
      </c>
      <c r="J6" s="56" t="s">
        <v>366</v>
      </c>
      <c r="K6" s="56" t="s">
        <v>400</v>
      </c>
      <c r="L6" s="56" t="s">
        <v>368</v>
      </c>
      <c r="M6" s="58">
        <v>0.0</v>
      </c>
      <c r="N6" s="58">
        <v>0.0</v>
      </c>
      <c r="O6" s="56" t="s">
        <v>382</v>
      </c>
      <c r="P6" s="58">
        <v>0.0</v>
      </c>
      <c r="Q6" s="59"/>
      <c r="R6" s="59"/>
      <c r="S6" s="59"/>
      <c r="T6" s="56" t="s">
        <v>393</v>
      </c>
      <c r="U6" s="61" t="s">
        <v>394</v>
      </c>
      <c r="V6" s="58" t="s">
        <v>406</v>
      </c>
      <c r="X6" s="55" t="b">
        <f t="shared" si="1"/>
        <v>0</v>
      </c>
    </row>
    <row r="7" ht="15.0" customHeight="1">
      <c r="A7" s="56" t="s">
        <v>57</v>
      </c>
      <c r="B7" s="56" t="s">
        <v>407</v>
      </c>
      <c r="C7" s="57" t="s">
        <v>408</v>
      </c>
      <c r="D7" s="58">
        <v>4.018956722E9</v>
      </c>
      <c r="E7" s="56" t="s">
        <v>409</v>
      </c>
      <c r="F7" s="56" t="s">
        <v>410</v>
      </c>
      <c r="G7" s="56" t="s">
        <v>411</v>
      </c>
      <c r="H7" s="56" t="s">
        <v>379</v>
      </c>
      <c r="I7" s="56" t="s">
        <v>412</v>
      </c>
      <c r="J7" s="56" t="s">
        <v>413</v>
      </c>
      <c r="K7" s="56" t="s">
        <v>400</v>
      </c>
      <c r="L7" s="56" t="s">
        <v>368</v>
      </c>
      <c r="M7" s="58">
        <v>1.0</v>
      </c>
      <c r="N7" s="59"/>
      <c r="O7" s="56" t="s">
        <v>414</v>
      </c>
      <c r="P7" s="60">
        <v>46025.0</v>
      </c>
      <c r="Q7" s="59"/>
      <c r="R7" s="56" t="s">
        <v>415</v>
      </c>
      <c r="S7" s="59"/>
      <c r="T7" s="56" t="s">
        <v>393</v>
      </c>
      <c r="U7" s="61" t="s">
        <v>373</v>
      </c>
      <c r="V7" s="58" t="s">
        <v>416</v>
      </c>
      <c r="X7" s="55" t="b">
        <f t="shared" si="1"/>
        <v>0</v>
      </c>
    </row>
    <row r="8" ht="15.0" customHeight="1">
      <c r="A8" s="56" t="s">
        <v>417</v>
      </c>
      <c r="B8" s="56" t="s">
        <v>418</v>
      </c>
      <c r="C8" s="57" t="s">
        <v>419</v>
      </c>
      <c r="D8" s="58">
        <v>3.092051675E9</v>
      </c>
      <c r="E8" s="56" t="s">
        <v>420</v>
      </c>
      <c r="F8" s="56" t="s">
        <v>421</v>
      </c>
      <c r="G8" s="56" t="s">
        <v>422</v>
      </c>
      <c r="H8" s="56" t="s">
        <v>379</v>
      </c>
      <c r="I8" s="56" t="s">
        <v>405</v>
      </c>
      <c r="J8" s="56" t="s">
        <v>413</v>
      </c>
      <c r="K8" s="56" t="s">
        <v>400</v>
      </c>
      <c r="L8" s="56" t="s">
        <v>423</v>
      </c>
      <c r="M8" s="58">
        <v>2.0</v>
      </c>
      <c r="N8" s="59"/>
      <c r="O8" s="56" t="s">
        <v>382</v>
      </c>
      <c r="P8" s="60">
        <v>46025.0</v>
      </c>
      <c r="Q8" s="56" t="s">
        <v>418</v>
      </c>
      <c r="R8" s="56" t="s">
        <v>424</v>
      </c>
      <c r="S8" s="59"/>
      <c r="T8" s="56" t="s">
        <v>393</v>
      </c>
      <c r="U8" s="61" t="s">
        <v>394</v>
      </c>
      <c r="V8" s="58" t="s">
        <v>425</v>
      </c>
      <c r="X8" s="55" t="b">
        <f t="shared" si="1"/>
        <v>0</v>
      </c>
    </row>
    <row r="9" ht="15.0" customHeight="1">
      <c r="A9" s="56" t="s">
        <v>426</v>
      </c>
      <c r="B9" s="56" t="s">
        <v>427</v>
      </c>
      <c r="C9" s="57" t="s">
        <v>428</v>
      </c>
      <c r="D9" s="58">
        <v>9.452768152E9</v>
      </c>
      <c r="E9" s="56" t="s">
        <v>429</v>
      </c>
      <c r="F9" s="56" t="s">
        <v>390</v>
      </c>
      <c r="G9" s="56" t="s">
        <v>430</v>
      </c>
      <c r="H9" s="56" t="s">
        <v>399</v>
      </c>
      <c r="I9" s="56" t="s">
        <v>365</v>
      </c>
      <c r="J9" s="56" t="s">
        <v>413</v>
      </c>
      <c r="K9" s="56" t="s">
        <v>400</v>
      </c>
      <c r="L9" s="56" t="s">
        <v>368</v>
      </c>
      <c r="M9" s="59"/>
      <c r="N9" s="59"/>
      <c r="O9" s="56" t="s">
        <v>369</v>
      </c>
      <c r="P9" s="60">
        <v>46025.0</v>
      </c>
      <c r="Q9" s="56" t="s">
        <v>431</v>
      </c>
      <c r="R9" s="56" t="s">
        <v>432</v>
      </c>
      <c r="S9" s="59"/>
      <c r="T9" s="56" t="s">
        <v>393</v>
      </c>
      <c r="U9" s="61" t="s">
        <v>373</v>
      </c>
      <c r="V9" s="58" t="s">
        <v>433</v>
      </c>
      <c r="X9" s="55" t="b">
        <f t="shared" si="1"/>
        <v>0</v>
      </c>
    </row>
    <row r="10" ht="15.0" customHeight="1">
      <c r="A10" s="56" t="s">
        <v>289</v>
      </c>
      <c r="B10" s="56" t="s">
        <v>434</v>
      </c>
      <c r="C10" s="57" t="s">
        <v>435</v>
      </c>
      <c r="D10" s="58">
        <v>2.817814017E9</v>
      </c>
      <c r="E10" s="56" t="s">
        <v>389</v>
      </c>
      <c r="F10" s="56" t="s">
        <v>390</v>
      </c>
      <c r="G10" s="56" t="s">
        <v>436</v>
      </c>
      <c r="H10" s="56" t="s">
        <v>379</v>
      </c>
      <c r="I10" s="56" t="s">
        <v>365</v>
      </c>
      <c r="J10" s="56" t="s">
        <v>413</v>
      </c>
      <c r="K10" s="56" t="s">
        <v>400</v>
      </c>
      <c r="L10" s="56" t="s">
        <v>368</v>
      </c>
      <c r="M10" s="59"/>
      <c r="N10" s="59"/>
      <c r="O10" s="56" t="s">
        <v>369</v>
      </c>
      <c r="P10" s="60">
        <v>46025.0</v>
      </c>
      <c r="Q10" s="56" t="s">
        <v>434</v>
      </c>
      <c r="R10" s="56" t="s">
        <v>437</v>
      </c>
      <c r="S10" s="59"/>
      <c r="T10" s="56" t="s">
        <v>393</v>
      </c>
      <c r="U10" s="61" t="s">
        <v>373</v>
      </c>
      <c r="V10" s="58" t="s">
        <v>438</v>
      </c>
      <c r="X10" s="55" t="b">
        <f t="shared" si="1"/>
        <v>0</v>
      </c>
    </row>
    <row r="11" ht="15.0" customHeight="1">
      <c r="A11" s="56" t="s">
        <v>439</v>
      </c>
      <c r="B11" s="56" t="s">
        <v>440</v>
      </c>
      <c r="C11" s="57" t="s">
        <v>441</v>
      </c>
      <c r="D11" s="58">
        <v>2.817257431E9</v>
      </c>
      <c r="E11" s="56" t="s">
        <v>442</v>
      </c>
      <c r="F11" s="56" t="s">
        <v>443</v>
      </c>
      <c r="G11" s="56" t="s">
        <v>444</v>
      </c>
      <c r="H11" s="56" t="s">
        <v>364</v>
      </c>
      <c r="I11" s="56" t="s">
        <v>412</v>
      </c>
      <c r="J11" s="56" t="s">
        <v>413</v>
      </c>
      <c r="K11" s="56" t="s">
        <v>367</v>
      </c>
      <c r="L11" s="56" t="s">
        <v>368</v>
      </c>
      <c r="M11" s="59"/>
      <c r="N11" s="59"/>
      <c r="O11" s="56" t="s">
        <v>382</v>
      </c>
      <c r="P11" s="60">
        <v>46025.0</v>
      </c>
      <c r="Q11" s="56" t="s">
        <v>445</v>
      </c>
      <c r="R11" s="56" t="s">
        <v>446</v>
      </c>
      <c r="S11" s="59"/>
      <c r="T11" s="56" t="s">
        <v>372</v>
      </c>
      <c r="U11" s="61" t="s">
        <v>373</v>
      </c>
      <c r="V11" s="58" t="s">
        <v>447</v>
      </c>
      <c r="X11" s="55" t="b">
        <f t="shared" si="1"/>
        <v>0</v>
      </c>
    </row>
    <row r="12" ht="15.0" customHeight="1">
      <c r="A12" s="56" t="s">
        <v>448</v>
      </c>
      <c r="B12" s="56" t="s">
        <v>449</v>
      </c>
      <c r="C12" s="57" t="s">
        <v>450</v>
      </c>
      <c r="D12" s="58">
        <v>9.032860413E9</v>
      </c>
      <c r="E12" s="56" t="s">
        <v>451</v>
      </c>
      <c r="F12" s="56" t="s">
        <v>452</v>
      </c>
      <c r="G12" s="56" t="s">
        <v>453</v>
      </c>
      <c r="H12" s="56" t="s">
        <v>379</v>
      </c>
      <c r="I12" s="56" t="s">
        <v>412</v>
      </c>
      <c r="J12" s="56" t="s">
        <v>366</v>
      </c>
      <c r="K12" s="56" t="s">
        <v>400</v>
      </c>
      <c r="L12" s="56" t="s">
        <v>368</v>
      </c>
      <c r="M12" s="59"/>
      <c r="N12" s="59"/>
      <c r="O12" s="56" t="s">
        <v>382</v>
      </c>
      <c r="P12" s="60">
        <v>46025.0</v>
      </c>
      <c r="Q12" s="56" t="s">
        <v>449</v>
      </c>
      <c r="R12" s="56" t="s">
        <v>454</v>
      </c>
      <c r="S12" s="59"/>
      <c r="T12" s="56" t="s">
        <v>393</v>
      </c>
      <c r="U12" s="61" t="s">
        <v>373</v>
      </c>
      <c r="V12" s="58" t="s">
        <v>455</v>
      </c>
      <c r="X12" s="55" t="b">
        <f t="shared" si="1"/>
        <v>0</v>
      </c>
    </row>
    <row r="13" ht="15.0" customHeight="1">
      <c r="A13" s="56" t="s">
        <v>327</v>
      </c>
      <c r="B13" s="56" t="s">
        <v>456</v>
      </c>
      <c r="C13" s="57" t="s">
        <v>457</v>
      </c>
      <c r="D13" s="58">
        <v>7.13591049E9</v>
      </c>
      <c r="E13" s="56" t="s">
        <v>458</v>
      </c>
      <c r="F13" s="56" t="s">
        <v>459</v>
      </c>
      <c r="G13" s="56" t="s">
        <v>460</v>
      </c>
      <c r="H13" s="56" t="s">
        <v>399</v>
      </c>
      <c r="I13" s="56" t="s">
        <v>365</v>
      </c>
      <c r="J13" s="56" t="s">
        <v>413</v>
      </c>
      <c r="K13" s="56" t="s">
        <v>367</v>
      </c>
      <c r="L13" s="56" t="s">
        <v>368</v>
      </c>
      <c r="M13" s="59"/>
      <c r="N13" s="59"/>
      <c r="O13" s="56" t="s">
        <v>382</v>
      </c>
      <c r="P13" s="58">
        <v>0.0</v>
      </c>
      <c r="Q13" s="56" t="s">
        <v>456</v>
      </c>
      <c r="R13" s="56" t="s">
        <v>461</v>
      </c>
      <c r="S13" s="59"/>
      <c r="T13" s="56" t="s">
        <v>372</v>
      </c>
      <c r="U13" s="61" t="s">
        <v>373</v>
      </c>
      <c r="V13" s="58" t="s">
        <v>462</v>
      </c>
      <c r="X13" s="55" t="b">
        <f t="shared" si="1"/>
        <v>0</v>
      </c>
    </row>
    <row r="14" ht="15.0" customHeight="1">
      <c r="A14" s="56" t="s">
        <v>463</v>
      </c>
      <c r="B14" s="56" t="s">
        <v>464</v>
      </c>
      <c r="C14" s="57" t="s">
        <v>465</v>
      </c>
      <c r="D14" s="58">
        <v>2.057771223E9</v>
      </c>
      <c r="E14" s="56" t="s">
        <v>466</v>
      </c>
      <c r="F14" s="56" t="s">
        <v>390</v>
      </c>
      <c r="G14" s="56" t="s">
        <v>467</v>
      </c>
      <c r="H14" s="56" t="s">
        <v>379</v>
      </c>
      <c r="I14" s="56" t="s">
        <v>380</v>
      </c>
      <c r="J14" s="56" t="s">
        <v>413</v>
      </c>
      <c r="K14" s="56" t="s">
        <v>381</v>
      </c>
      <c r="L14" s="56" t="s">
        <v>368</v>
      </c>
      <c r="M14" s="59"/>
      <c r="N14" s="59"/>
      <c r="O14" s="56" t="s">
        <v>382</v>
      </c>
      <c r="P14" s="58">
        <v>0.0</v>
      </c>
      <c r="Q14" s="56" t="s">
        <v>468</v>
      </c>
      <c r="R14" s="56" t="s">
        <v>469</v>
      </c>
      <c r="S14" s="59"/>
      <c r="T14" s="56" t="s">
        <v>385</v>
      </c>
      <c r="U14" s="61" t="s">
        <v>373</v>
      </c>
      <c r="V14" s="58" t="s">
        <v>470</v>
      </c>
      <c r="X14" s="55" t="b">
        <f t="shared" si="1"/>
        <v>0</v>
      </c>
    </row>
    <row r="15" ht="15.0" customHeight="1">
      <c r="A15" s="56" t="s">
        <v>471</v>
      </c>
      <c r="B15" s="56" t="s">
        <v>472</v>
      </c>
      <c r="C15" s="57" t="s">
        <v>473</v>
      </c>
      <c r="D15" s="58">
        <v>9.189385582E9</v>
      </c>
      <c r="E15" s="56" t="s">
        <v>474</v>
      </c>
      <c r="F15" s="56" t="s">
        <v>452</v>
      </c>
      <c r="G15" s="56" t="s">
        <v>475</v>
      </c>
      <c r="H15" s="56" t="s">
        <v>379</v>
      </c>
      <c r="I15" s="56" t="s">
        <v>405</v>
      </c>
      <c r="J15" s="56" t="s">
        <v>366</v>
      </c>
      <c r="K15" s="56" t="s">
        <v>400</v>
      </c>
      <c r="L15" s="56" t="s">
        <v>368</v>
      </c>
      <c r="M15" s="58">
        <v>1.0</v>
      </c>
      <c r="N15" s="59"/>
      <c r="O15" s="56" t="s">
        <v>414</v>
      </c>
      <c r="P15" s="60">
        <v>46118.0</v>
      </c>
      <c r="Q15" s="56" t="s">
        <v>476</v>
      </c>
      <c r="R15" s="56" t="s">
        <v>477</v>
      </c>
      <c r="S15" s="59"/>
      <c r="T15" s="56" t="s">
        <v>393</v>
      </c>
      <c r="U15" s="61" t="s">
        <v>373</v>
      </c>
      <c r="V15" s="58" t="s">
        <v>478</v>
      </c>
      <c r="X15" s="55" t="b">
        <f t="shared" si="1"/>
        <v>0</v>
      </c>
    </row>
    <row r="16" ht="15.0" customHeight="1">
      <c r="A16" s="56" t="s">
        <v>62</v>
      </c>
      <c r="B16" s="56" t="s">
        <v>479</v>
      </c>
      <c r="C16" s="57" t="s">
        <v>480</v>
      </c>
      <c r="D16" s="56" t="s">
        <v>481</v>
      </c>
      <c r="E16" s="56" t="s">
        <v>389</v>
      </c>
      <c r="F16" s="56" t="s">
        <v>421</v>
      </c>
      <c r="G16" s="56" t="s">
        <v>482</v>
      </c>
      <c r="H16" s="56" t="s">
        <v>379</v>
      </c>
      <c r="I16" s="56" t="s">
        <v>365</v>
      </c>
      <c r="J16" s="56" t="s">
        <v>366</v>
      </c>
      <c r="K16" s="56" t="s">
        <v>483</v>
      </c>
      <c r="L16" s="56" t="s">
        <v>368</v>
      </c>
      <c r="M16" s="59"/>
      <c r="N16" s="59"/>
      <c r="O16" s="56" t="s">
        <v>382</v>
      </c>
      <c r="P16" s="60">
        <v>46118.0</v>
      </c>
      <c r="Q16" s="59"/>
      <c r="R16" s="56" t="s">
        <v>484</v>
      </c>
      <c r="S16" s="59"/>
      <c r="T16" s="56" t="s">
        <v>385</v>
      </c>
      <c r="U16" s="61" t="s">
        <v>373</v>
      </c>
      <c r="V16" s="58" t="s">
        <v>485</v>
      </c>
      <c r="X16" s="55" t="b">
        <f t="shared" si="1"/>
        <v>0</v>
      </c>
    </row>
    <row r="17" ht="15.0" customHeight="1">
      <c r="A17" s="56" t="s">
        <v>486</v>
      </c>
      <c r="B17" s="56" t="s">
        <v>487</v>
      </c>
      <c r="C17" s="57" t="s">
        <v>488</v>
      </c>
      <c r="D17" s="58">
        <v>4.698050144E9</v>
      </c>
      <c r="E17" s="56" t="s">
        <v>489</v>
      </c>
      <c r="F17" s="56" t="s">
        <v>390</v>
      </c>
      <c r="G17" s="56" t="s">
        <v>490</v>
      </c>
      <c r="H17" s="56" t="s">
        <v>364</v>
      </c>
      <c r="I17" s="56" t="s">
        <v>365</v>
      </c>
      <c r="J17" s="56" t="s">
        <v>413</v>
      </c>
      <c r="K17" s="56" t="s">
        <v>400</v>
      </c>
      <c r="L17" s="56" t="s">
        <v>368</v>
      </c>
      <c r="M17" s="59"/>
      <c r="N17" s="59"/>
      <c r="O17" s="56" t="s">
        <v>382</v>
      </c>
      <c r="P17" s="60">
        <v>46025.0</v>
      </c>
      <c r="Q17" s="59"/>
      <c r="R17" s="56" t="s">
        <v>491</v>
      </c>
      <c r="S17" s="59"/>
      <c r="T17" s="56" t="s">
        <v>393</v>
      </c>
      <c r="U17" s="61" t="s">
        <v>394</v>
      </c>
      <c r="V17" s="58" t="s">
        <v>492</v>
      </c>
      <c r="X17" s="55" t="b">
        <f t="shared" si="1"/>
        <v>0</v>
      </c>
    </row>
    <row r="18" ht="15.0" customHeight="1">
      <c r="A18" s="56" t="s">
        <v>63</v>
      </c>
      <c r="B18" s="56" t="s">
        <v>493</v>
      </c>
      <c r="C18" s="57" t="s">
        <v>494</v>
      </c>
      <c r="D18" s="58">
        <v>5.125893232E9</v>
      </c>
      <c r="E18" s="56" t="s">
        <v>495</v>
      </c>
      <c r="F18" s="56" t="s">
        <v>452</v>
      </c>
      <c r="G18" s="56" t="s">
        <v>496</v>
      </c>
      <c r="H18" s="56" t="s">
        <v>399</v>
      </c>
      <c r="I18" s="56" t="s">
        <v>365</v>
      </c>
      <c r="J18" s="56" t="s">
        <v>413</v>
      </c>
      <c r="K18" s="56" t="s">
        <v>497</v>
      </c>
      <c r="L18" s="56" t="s">
        <v>368</v>
      </c>
      <c r="M18" s="59"/>
      <c r="N18" s="59"/>
      <c r="O18" s="56" t="s">
        <v>369</v>
      </c>
      <c r="P18" s="60">
        <v>46025.0</v>
      </c>
      <c r="Q18" s="59"/>
      <c r="R18" s="56" t="s">
        <v>498</v>
      </c>
      <c r="S18" s="59"/>
      <c r="T18" s="56" t="s">
        <v>385</v>
      </c>
      <c r="U18" s="61" t="s">
        <v>373</v>
      </c>
      <c r="V18" s="58" t="s">
        <v>499</v>
      </c>
      <c r="X18" s="55" t="b">
        <f t="shared" si="1"/>
        <v>0</v>
      </c>
    </row>
    <row r="19" ht="15.0" customHeight="1">
      <c r="A19" s="56" t="s">
        <v>500</v>
      </c>
      <c r="B19" s="56" t="s">
        <v>501</v>
      </c>
      <c r="C19" s="57" t="s">
        <v>502</v>
      </c>
      <c r="D19" s="58">
        <v>2.253637108E9</v>
      </c>
      <c r="E19" s="56" t="s">
        <v>503</v>
      </c>
      <c r="F19" s="56" t="s">
        <v>504</v>
      </c>
      <c r="G19" s="56" t="s">
        <v>505</v>
      </c>
      <c r="H19" s="56" t="s">
        <v>364</v>
      </c>
      <c r="I19" s="56" t="s">
        <v>365</v>
      </c>
      <c r="J19" s="56" t="s">
        <v>413</v>
      </c>
      <c r="K19" s="56" t="s">
        <v>400</v>
      </c>
      <c r="L19" s="56" t="s">
        <v>368</v>
      </c>
      <c r="M19" s="58">
        <v>2.0</v>
      </c>
      <c r="N19" s="59"/>
      <c r="O19" s="56" t="s">
        <v>382</v>
      </c>
      <c r="P19" s="60">
        <v>46025.0</v>
      </c>
      <c r="Q19" s="59"/>
      <c r="R19" s="56" t="s">
        <v>506</v>
      </c>
      <c r="S19" s="59"/>
      <c r="T19" s="56" t="s">
        <v>393</v>
      </c>
      <c r="U19" s="61" t="s">
        <v>373</v>
      </c>
      <c r="V19" s="58" t="s">
        <v>507</v>
      </c>
      <c r="X19" s="55" t="b">
        <f t="shared" si="1"/>
        <v>0</v>
      </c>
    </row>
    <row r="20" ht="15.0" customHeight="1">
      <c r="A20" s="56" t="s">
        <v>66</v>
      </c>
      <c r="B20" s="56" t="s">
        <v>508</v>
      </c>
      <c r="C20" s="57" t="s">
        <v>509</v>
      </c>
      <c r="D20" s="56" t="s">
        <v>510</v>
      </c>
      <c r="E20" s="56" t="s">
        <v>511</v>
      </c>
      <c r="F20" s="56" t="s">
        <v>377</v>
      </c>
      <c r="G20" s="56" t="s">
        <v>512</v>
      </c>
      <c r="H20" s="56" t="s">
        <v>379</v>
      </c>
      <c r="I20" s="56" t="s">
        <v>365</v>
      </c>
      <c r="J20" s="56" t="s">
        <v>513</v>
      </c>
      <c r="K20" s="56" t="s">
        <v>381</v>
      </c>
      <c r="L20" s="56" t="s">
        <v>368</v>
      </c>
      <c r="M20" s="59"/>
      <c r="N20" s="59"/>
      <c r="O20" s="56" t="s">
        <v>382</v>
      </c>
      <c r="P20" s="60">
        <v>46025.0</v>
      </c>
      <c r="Q20" s="56" t="s">
        <v>514</v>
      </c>
      <c r="R20" s="56" t="s">
        <v>515</v>
      </c>
      <c r="S20" s="59"/>
      <c r="T20" s="56" t="s">
        <v>385</v>
      </c>
      <c r="U20" s="61" t="s">
        <v>373</v>
      </c>
      <c r="V20" s="58" t="s">
        <v>516</v>
      </c>
      <c r="X20" s="55" t="b">
        <f t="shared" si="1"/>
        <v>1</v>
      </c>
    </row>
    <row r="21" ht="15.0" customHeight="1">
      <c r="A21" s="56" t="s">
        <v>67</v>
      </c>
      <c r="B21" s="56" t="s">
        <v>517</v>
      </c>
      <c r="C21" s="57" t="s">
        <v>518</v>
      </c>
      <c r="D21" s="58">
        <v>5.408417302E9</v>
      </c>
      <c r="E21" s="56" t="s">
        <v>361</v>
      </c>
      <c r="F21" s="56" t="s">
        <v>377</v>
      </c>
      <c r="G21" s="56" t="s">
        <v>519</v>
      </c>
      <c r="H21" s="56" t="s">
        <v>399</v>
      </c>
      <c r="I21" s="56" t="s">
        <v>520</v>
      </c>
      <c r="J21" s="56" t="s">
        <v>513</v>
      </c>
      <c r="K21" s="56" t="s">
        <v>400</v>
      </c>
      <c r="L21" s="56" t="s">
        <v>368</v>
      </c>
      <c r="M21" s="58">
        <v>0.0</v>
      </c>
      <c r="N21" s="59"/>
      <c r="O21" s="56" t="s">
        <v>382</v>
      </c>
      <c r="P21" s="60">
        <v>46118.0</v>
      </c>
      <c r="Q21" s="59"/>
      <c r="R21" s="56" t="s">
        <v>521</v>
      </c>
      <c r="S21" s="59"/>
      <c r="T21" s="56" t="s">
        <v>393</v>
      </c>
      <c r="U21" s="61" t="s">
        <v>373</v>
      </c>
      <c r="V21" s="58" t="s">
        <v>522</v>
      </c>
      <c r="X21" s="55" t="b">
        <f t="shared" si="1"/>
        <v>1</v>
      </c>
    </row>
    <row r="22" ht="15.0" customHeight="1">
      <c r="A22" s="56" t="s">
        <v>68</v>
      </c>
      <c r="B22" s="56" t="s">
        <v>523</v>
      </c>
      <c r="C22" s="57" t="s">
        <v>524</v>
      </c>
      <c r="D22" s="58">
        <v>8.32814742E9</v>
      </c>
      <c r="E22" s="56" t="s">
        <v>525</v>
      </c>
      <c r="F22" s="56" t="s">
        <v>390</v>
      </c>
      <c r="G22" s="56" t="s">
        <v>526</v>
      </c>
      <c r="H22" s="56" t="s">
        <v>379</v>
      </c>
      <c r="I22" s="56" t="s">
        <v>365</v>
      </c>
      <c r="J22" s="56" t="s">
        <v>366</v>
      </c>
      <c r="K22" s="56" t="s">
        <v>367</v>
      </c>
      <c r="L22" s="56" t="s">
        <v>368</v>
      </c>
      <c r="M22" s="59"/>
      <c r="N22" s="59"/>
      <c r="O22" s="56" t="s">
        <v>382</v>
      </c>
      <c r="P22" s="60">
        <v>46025.0</v>
      </c>
      <c r="Q22" s="56" t="s">
        <v>527</v>
      </c>
      <c r="R22" s="56" t="s">
        <v>528</v>
      </c>
      <c r="S22" s="59"/>
      <c r="T22" s="56" t="s">
        <v>372</v>
      </c>
      <c r="U22" s="61" t="s">
        <v>373</v>
      </c>
      <c r="V22" s="58" t="s">
        <v>529</v>
      </c>
      <c r="X22" s="55" t="b">
        <f t="shared" si="1"/>
        <v>0</v>
      </c>
    </row>
    <row r="23" ht="15.0" customHeight="1">
      <c r="A23" s="56" t="s">
        <v>69</v>
      </c>
      <c r="B23" s="56" t="s">
        <v>530</v>
      </c>
      <c r="C23" s="57" t="s">
        <v>531</v>
      </c>
      <c r="D23" s="58">
        <v>8.324543214E9</v>
      </c>
      <c r="E23" s="56" t="s">
        <v>361</v>
      </c>
      <c r="F23" s="56" t="s">
        <v>377</v>
      </c>
      <c r="G23" s="56" t="s">
        <v>532</v>
      </c>
      <c r="H23" s="56" t="s">
        <v>364</v>
      </c>
      <c r="I23" s="56" t="s">
        <v>365</v>
      </c>
      <c r="J23" s="56" t="s">
        <v>513</v>
      </c>
      <c r="K23" s="56" t="s">
        <v>400</v>
      </c>
      <c r="L23" s="56" t="s">
        <v>368</v>
      </c>
      <c r="M23" s="59"/>
      <c r="N23" s="59"/>
      <c r="O23" s="56" t="s">
        <v>382</v>
      </c>
      <c r="P23" s="60">
        <v>46118.0</v>
      </c>
      <c r="Q23" s="56" t="s">
        <v>533</v>
      </c>
      <c r="R23" s="56" t="s">
        <v>534</v>
      </c>
      <c r="S23" s="59"/>
      <c r="T23" s="56" t="s">
        <v>393</v>
      </c>
      <c r="U23" s="61" t="s">
        <v>373</v>
      </c>
      <c r="V23" s="58" t="s">
        <v>535</v>
      </c>
      <c r="X23" s="55" t="b">
        <f t="shared" si="1"/>
        <v>1</v>
      </c>
    </row>
    <row r="24" ht="15.0" customHeight="1">
      <c r="A24" s="56" t="s">
        <v>70</v>
      </c>
      <c r="B24" s="56" t="s">
        <v>536</v>
      </c>
      <c r="C24" s="57" t="s">
        <v>537</v>
      </c>
      <c r="D24" s="58">
        <v>9.799662091E9</v>
      </c>
      <c r="E24" s="56" t="s">
        <v>538</v>
      </c>
      <c r="F24" s="56" t="s">
        <v>504</v>
      </c>
      <c r="G24" s="56" t="s">
        <v>539</v>
      </c>
      <c r="H24" s="56" t="s">
        <v>399</v>
      </c>
      <c r="I24" s="56" t="s">
        <v>365</v>
      </c>
      <c r="J24" s="56" t="s">
        <v>366</v>
      </c>
      <c r="K24" s="56" t="s">
        <v>367</v>
      </c>
      <c r="L24" s="56" t="s">
        <v>368</v>
      </c>
      <c r="M24" s="59"/>
      <c r="N24" s="59"/>
      <c r="O24" s="56" t="s">
        <v>382</v>
      </c>
      <c r="P24" s="60">
        <v>46118.0</v>
      </c>
      <c r="Q24" s="56" t="s">
        <v>540</v>
      </c>
      <c r="R24" s="56" t="s">
        <v>541</v>
      </c>
      <c r="S24" s="59"/>
      <c r="T24" s="56" t="s">
        <v>372</v>
      </c>
      <c r="U24" s="61" t="s">
        <v>373</v>
      </c>
      <c r="V24" s="58" t="s">
        <v>542</v>
      </c>
      <c r="X24" s="55" t="b">
        <f t="shared" si="1"/>
        <v>0</v>
      </c>
    </row>
    <row r="25" ht="15.0" customHeight="1">
      <c r="A25" s="56" t="s">
        <v>71</v>
      </c>
      <c r="B25" s="56" t="s">
        <v>543</v>
      </c>
      <c r="C25" s="57" t="s">
        <v>544</v>
      </c>
      <c r="D25" s="58">
        <v>2.14354786E9</v>
      </c>
      <c r="E25" s="56" t="s">
        <v>361</v>
      </c>
      <c r="F25" s="56" t="s">
        <v>390</v>
      </c>
      <c r="G25" s="56" t="s">
        <v>545</v>
      </c>
      <c r="H25" s="56" t="s">
        <v>379</v>
      </c>
      <c r="I25" s="56" t="s">
        <v>546</v>
      </c>
      <c r="J25" s="56" t="s">
        <v>413</v>
      </c>
      <c r="K25" s="56" t="s">
        <v>400</v>
      </c>
      <c r="L25" s="56" t="s">
        <v>368</v>
      </c>
      <c r="M25" s="59"/>
      <c r="N25" s="59"/>
      <c r="O25" s="56" t="s">
        <v>382</v>
      </c>
      <c r="P25" s="60">
        <v>46025.0</v>
      </c>
      <c r="Q25" s="59"/>
      <c r="R25" s="56" t="s">
        <v>547</v>
      </c>
      <c r="S25" s="59"/>
      <c r="T25" s="56" t="s">
        <v>393</v>
      </c>
      <c r="U25" s="61" t="s">
        <v>394</v>
      </c>
      <c r="V25" s="58" t="s">
        <v>548</v>
      </c>
      <c r="X25" s="55" t="b">
        <f t="shared" si="1"/>
        <v>0</v>
      </c>
    </row>
    <row r="26" ht="15.0" customHeight="1">
      <c r="A26" s="56" t="s">
        <v>72</v>
      </c>
      <c r="B26" s="56" t="s">
        <v>549</v>
      </c>
      <c r="C26" s="57" t="s">
        <v>550</v>
      </c>
      <c r="D26" s="56" t="s">
        <v>551</v>
      </c>
      <c r="E26" s="56" t="s">
        <v>552</v>
      </c>
      <c r="F26" s="56" t="s">
        <v>390</v>
      </c>
      <c r="G26" s="56" t="s">
        <v>553</v>
      </c>
      <c r="H26" s="56" t="s">
        <v>379</v>
      </c>
      <c r="I26" s="56" t="s">
        <v>405</v>
      </c>
      <c r="J26" s="56" t="s">
        <v>413</v>
      </c>
      <c r="K26" s="56" t="s">
        <v>367</v>
      </c>
      <c r="L26" s="56" t="s">
        <v>368</v>
      </c>
      <c r="M26" s="58">
        <v>0.0</v>
      </c>
      <c r="N26" s="59"/>
      <c r="O26" s="56" t="s">
        <v>382</v>
      </c>
      <c r="P26" s="60">
        <v>46025.0</v>
      </c>
      <c r="Q26" s="59"/>
      <c r="R26" s="56" t="s">
        <v>554</v>
      </c>
      <c r="S26" s="59"/>
      <c r="T26" s="56" t="s">
        <v>372</v>
      </c>
      <c r="U26" s="61" t="s">
        <v>373</v>
      </c>
      <c r="V26" s="58" t="s">
        <v>555</v>
      </c>
      <c r="X26" s="55" t="b">
        <f t="shared" si="1"/>
        <v>0</v>
      </c>
    </row>
    <row r="27" ht="15.0" customHeight="1">
      <c r="A27" s="56" t="s">
        <v>556</v>
      </c>
      <c r="B27" s="56" t="s">
        <v>557</v>
      </c>
      <c r="C27" s="57" t="s">
        <v>558</v>
      </c>
      <c r="D27" s="58">
        <v>5.127779078E9</v>
      </c>
      <c r="E27" s="56" t="s">
        <v>559</v>
      </c>
      <c r="F27" s="56" t="s">
        <v>362</v>
      </c>
      <c r="G27" s="56" t="s">
        <v>560</v>
      </c>
      <c r="H27" s="56" t="s">
        <v>379</v>
      </c>
      <c r="I27" s="56" t="s">
        <v>405</v>
      </c>
      <c r="J27" s="56" t="s">
        <v>366</v>
      </c>
      <c r="K27" s="56" t="s">
        <v>561</v>
      </c>
      <c r="L27" s="56" t="s">
        <v>368</v>
      </c>
      <c r="M27" s="58">
        <v>0.0</v>
      </c>
      <c r="N27" s="59"/>
      <c r="O27" s="56" t="s">
        <v>382</v>
      </c>
      <c r="P27" s="60">
        <v>46118.0</v>
      </c>
      <c r="Q27" s="56" t="s">
        <v>562</v>
      </c>
      <c r="R27" s="59"/>
      <c r="S27" s="59"/>
      <c r="T27" s="56" t="s">
        <v>372</v>
      </c>
      <c r="U27" s="61" t="s">
        <v>394</v>
      </c>
      <c r="V27" s="58" t="s">
        <v>563</v>
      </c>
      <c r="X27" s="55" t="b">
        <f t="shared" si="1"/>
        <v>0</v>
      </c>
    </row>
    <row r="28" ht="15.0" customHeight="1">
      <c r="A28" s="56" t="s">
        <v>73</v>
      </c>
      <c r="B28" s="56" t="s">
        <v>564</v>
      </c>
      <c r="C28" s="57" t="s">
        <v>565</v>
      </c>
      <c r="D28" s="58">
        <v>5.04390835E9</v>
      </c>
      <c r="E28" s="56" t="s">
        <v>566</v>
      </c>
      <c r="F28" s="56" t="s">
        <v>452</v>
      </c>
      <c r="G28" s="56" t="s">
        <v>567</v>
      </c>
      <c r="H28" s="56" t="s">
        <v>364</v>
      </c>
      <c r="I28" s="56" t="s">
        <v>365</v>
      </c>
      <c r="J28" s="56" t="s">
        <v>366</v>
      </c>
      <c r="K28" s="56" t="s">
        <v>400</v>
      </c>
      <c r="L28" s="56" t="s">
        <v>368</v>
      </c>
      <c r="M28" s="59"/>
      <c r="N28" s="59"/>
      <c r="O28" s="56" t="s">
        <v>382</v>
      </c>
      <c r="P28" s="60">
        <v>46025.0</v>
      </c>
      <c r="Q28" s="56" t="s">
        <v>568</v>
      </c>
      <c r="R28" s="56" t="s">
        <v>528</v>
      </c>
      <c r="S28" s="59"/>
      <c r="T28" s="56" t="s">
        <v>393</v>
      </c>
      <c r="U28" s="61" t="s">
        <v>373</v>
      </c>
      <c r="V28" s="58" t="s">
        <v>569</v>
      </c>
      <c r="X28" s="55" t="b">
        <f t="shared" si="1"/>
        <v>0</v>
      </c>
    </row>
    <row r="29" ht="15.0" customHeight="1">
      <c r="A29" s="56" t="s">
        <v>74</v>
      </c>
      <c r="B29" s="56" t="s">
        <v>570</v>
      </c>
      <c r="C29" s="57" t="s">
        <v>571</v>
      </c>
      <c r="D29" s="56" t="s">
        <v>572</v>
      </c>
      <c r="E29" s="56" t="s">
        <v>511</v>
      </c>
      <c r="F29" s="56" t="s">
        <v>377</v>
      </c>
      <c r="G29" s="56" t="s">
        <v>377</v>
      </c>
      <c r="H29" s="56" t="s">
        <v>379</v>
      </c>
      <c r="I29" s="56" t="s">
        <v>365</v>
      </c>
      <c r="J29" s="56" t="s">
        <v>366</v>
      </c>
      <c r="K29" s="56" t="s">
        <v>400</v>
      </c>
      <c r="L29" s="56" t="s">
        <v>368</v>
      </c>
      <c r="M29" s="58">
        <v>0.0</v>
      </c>
      <c r="N29" s="59"/>
      <c r="O29" s="56" t="s">
        <v>573</v>
      </c>
      <c r="P29" s="60">
        <v>46118.0</v>
      </c>
      <c r="Q29" s="59"/>
      <c r="R29" s="56" t="s">
        <v>574</v>
      </c>
      <c r="S29" s="59"/>
      <c r="T29" s="56" t="s">
        <v>393</v>
      </c>
      <c r="U29" s="61" t="s">
        <v>373</v>
      </c>
      <c r="V29" s="58" t="s">
        <v>575</v>
      </c>
      <c r="X29" s="55" t="b">
        <f t="shared" si="1"/>
        <v>0</v>
      </c>
    </row>
    <row r="30" ht="15.0" customHeight="1">
      <c r="A30" s="56" t="s">
        <v>576</v>
      </c>
      <c r="B30" s="56" t="s">
        <v>577</v>
      </c>
      <c r="C30" s="57" t="s">
        <v>578</v>
      </c>
      <c r="D30" s="58">
        <v>8.325064078E9</v>
      </c>
      <c r="E30" s="56" t="s">
        <v>579</v>
      </c>
      <c r="F30" s="56" t="s">
        <v>580</v>
      </c>
      <c r="G30" s="56" t="s">
        <v>581</v>
      </c>
      <c r="H30" s="56" t="s">
        <v>379</v>
      </c>
      <c r="I30" s="56" t="s">
        <v>365</v>
      </c>
      <c r="J30" s="56" t="s">
        <v>413</v>
      </c>
      <c r="K30" s="56" t="s">
        <v>483</v>
      </c>
      <c r="L30" s="56" t="s">
        <v>368</v>
      </c>
      <c r="M30" s="59"/>
      <c r="N30" s="59"/>
      <c r="O30" s="56" t="s">
        <v>414</v>
      </c>
      <c r="P30" s="60">
        <v>46118.0</v>
      </c>
      <c r="Q30" s="56" t="s">
        <v>582</v>
      </c>
      <c r="R30" s="56" t="s">
        <v>583</v>
      </c>
      <c r="S30" s="59"/>
      <c r="T30" s="56" t="s">
        <v>385</v>
      </c>
      <c r="U30" s="61" t="s">
        <v>373</v>
      </c>
      <c r="V30" s="58" t="s">
        <v>584</v>
      </c>
      <c r="X30" s="55" t="b">
        <f t="shared" si="1"/>
        <v>0</v>
      </c>
    </row>
    <row r="31" ht="15.0" customHeight="1">
      <c r="A31" s="56" t="s">
        <v>290</v>
      </c>
      <c r="B31" s="56" t="s">
        <v>585</v>
      </c>
      <c r="C31" s="57" t="s">
        <v>586</v>
      </c>
      <c r="D31" s="58">
        <v>2.252704313E9</v>
      </c>
      <c r="E31" s="56" t="s">
        <v>587</v>
      </c>
      <c r="F31" s="56" t="s">
        <v>390</v>
      </c>
      <c r="G31" s="56" t="s">
        <v>588</v>
      </c>
      <c r="H31" s="56" t="s">
        <v>379</v>
      </c>
      <c r="I31" s="56" t="s">
        <v>365</v>
      </c>
      <c r="J31" s="56" t="s">
        <v>366</v>
      </c>
      <c r="K31" s="56" t="s">
        <v>400</v>
      </c>
      <c r="L31" s="56" t="s">
        <v>368</v>
      </c>
      <c r="M31" s="58">
        <v>2.0</v>
      </c>
      <c r="N31" s="59"/>
      <c r="O31" s="56" t="s">
        <v>589</v>
      </c>
      <c r="P31" s="60">
        <v>46025.0</v>
      </c>
      <c r="Q31" s="56" t="s">
        <v>590</v>
      </c>
      <c r="R31" s="56" t="s">
        <v>591</v>
      </c>
      <c r="S31" s="59"/>
      <c r="T31" s="56" t="s">
        <v>393</v>
      </c>
      <c r="U31" s="61" t="s">
        <v>373</v>
      </c>
      <c r="V31" s="58" t="s">
        <v>592</v>
      </c>
      <c r="X31" s="55" t="b">
        <f t="shared" si="1"/>
        <v>0</v>
      </c>
    </row>
    <row r="32" ht="15.0" customHeight="1">
      <c r="A32" s="56" t="s">
        <v>593</v>
      </c>
      <c r="B32" s="56" t="s">
        <v>594</v>
      </c>
      <c r="C32" s="57" t="s">
        <v>595</v>
      </c>
      <c r="D32" s="58">
        <v>9.79845242E9</v>
      </c>
      <c r="E32" s="56" t="s">
        <v>361</v>
      </c>
      <c r="F32" s="56" t="s">
        <v>390</v>
      </c>
      <c r="G32" s="56" t="s">
        <v>436</v>
      </c>
      <c r="H32" s="56" t="s">
        <v>379</v>
      </c>
      <c r="I32" s="56" t="s">
        <v>412</v>
      </c>
      <c r="J32" s="56" t="s">
        <v>513</v>
      </c>
      <c r="K32" s="56" t="s">
        <v>367</v>
      </c>
      <c r="L32" s="56" t="s">
        <v>368</v>
      </c>
      <c r="M32" s="59"/>
      <c r="N32" s="59"/>
      <c r="O32" s="56" t="s">
        <v>414</v>
      </c>
      <c r="P32" s="60">
        <v>46025.0</v>
      </c>
      <c r="Q32" s="59"/>
      <c r="R32" s="56" t="s">
        <v>596</v>
      </c>
      <c r="S32" s="59"/>
      <c r="T32" s="56" t="s">
        <v>372</v>
      </c>
      <c r="U32" s="61" t="s">
        <v>373</v>
      </c>
      <c r="V32" s="58" t="s">
        <v>597</v>
      </c>
      <c r="X32" s="55" t="b">
        <f t="shared" si="1"/>
        <v>1</v>
      </c>
    </row>
    <row r="33" ht="15.0" customHeight="1">
      <c r="A33" s="56" t="s">
        <v>75</v>
      </c>
      <c r="B33" s="56" t="s">
        <v>598</v>
      </c>
      <c r="C33" s="57" t="s">
        <v>599</v>
      </c>
      <c r="D33" s="58">
        <v>8.17366456E9</v>
      </c>
      <c r="E33" s="56" t="s">
        <v>361</v>
      </c>
      <c r="F33" s="56" t="s">
        <v>377</v>
      </c>
      <c r="G33" s="56" t="s">
        <v>600</v>
      </c>
      <c r="H33" s="56" t="s">
        <v>379</v>
      </c>
      <c r="I33" s="56" t="s">
        <v>380</v>
      </c>
      <c r="J33" s="56" t="s">
        <v>366</v>
      </c>
      <c r="K33" s="56" t="s">
        <v>400</v>
      </c>
      <c r="L33" s="56" t="s">
        <v>368</v>
      </c>
      <c r="M33" s="59"/>
      <c r="N33" s="59"/>
      <c r="O33" s="56" t="s">
        <v>382</v>
      </c>
      <c r="P33" s="60">
        <v>46025.0</v>
      </c>
      <c r="Q33" s="59"/>
      <c r="R33" s="56" t="s">
        <v>601</v>
      </c>
      <c r="S33" s="59"/>
      <c r="T33" s="56" t="s">
        <v>393</v>
      </c>
      <c r="U33" s="61" t="s">
        <v>373</v>
      </c>
      <c r="V33" s="58" t="s">
        <v>602</v>
      </c>
      <c r="X33" s="55" t="b">
        <f t="shared" si="1"/>
        <v>0</v>
      </c>
    </row>
    <row r="34" ht="15.0" customHeight="1">
      <c r="A34" s="56" t="s">
        <v>76</v>
      </c>
      <c r="B34" s="56" t="s">
        <v>603</v>
      </c>
      <c r="C34" s="57" t="s">
        <v>604</v>
      </c>
      <c r="D34" s="58">
        <v>8.325179317E9</v>
      </c>
      <c r="E34" s="56" t="s">
        <v>511</v>
      </c>
      <c r="F34" s="56" t="s">
        <v>377</v>
      </c>
      <c r="G34" s="56" t="s">
        <v>377</v>
      </c>
      <c r="H34" s="56" t="s">
        <v>379</v>
      </c>
      <c r="I34" s="56" t="s">
        <v>380</v>
      </c>
      <c r="J34" s="56" t="s">
        <v>366</v>
      </c>
      <c r="K34" s="56" t="s">
        <v>400</v>
      </c>
      <c r="L34" s="56" t="s">
        <v>368</v>
      </c>
      <c r="M34" s="59"/>
      <c r="N34" s="59"/>
      <c r="O34" s="56" t="s">
        <v>414</v>
      </c>
      <c r="P34" s="60">
        <v>46025.0</v>
      </c>
      <c r="Q34" s="56" t="s">
        <v>605</v>
      </c>
      <c r="R34" s="56" t="s">
        <v>606</v>
      </c>
      <c r="S34" s="59"/>
      <c r="T34" s="56" t="s">
        <v>393</v>
      </c>
      <c r="U34" s="61" t="s">
        <v>373</v>
      </c>
      <c r="V34" s="58" t="s">
        <v>607</v>
      </c>
      <c r="X34" s="55" t="b">
        <f t="shared" si="1"/>
        <v>0</v>
      </c>
    </row>
    <row r="35" ht="15.0" customHeight="1">
      <c r="A35" s="56" t="s">
        <v>77</v>
      </c>
      <c r="B35" s="56" t="s">
        <v>608</v>
      </c>
      <c r="C35" s="57" t="s">
        <v>609</v>
      </c>
      <c r="D35" s="58">
        <v>8.32682805E9</v>
      </c>
      <c r="E35" s="56" t="s">
        <v>610</v>
      </c>
      <c r="F35" s="56" t="s">
        <v>410</v>
      </c>
      <c r="G35" s="56" t="s">
        <v>611</v>
      </c>
      <c r="H35" s="56" t="s">
        <v>364</v>
      </c>
      <c r="I35" s="56" t="s">
        <v>380</v>
      </c>
      <c r="J35" s="56" t="s">
        <v>413</v>
      </c>
      <c r="K35" s="56" t="s">
        <v>392</v>
      </c>
      <c r="L35" s="56" t="s">
        <v>368</v>
      </c>
      <c r="M35" s="58">
        <v>3.0</v>
      </c>
      <c r="N35" s="59"/>
      <c r="O35" s="56" t="s">
        <v>414</v>
      </c>
      <c r="P35" s="60">
        <v>46118.0</v>
      </c>
      <c r="Q35" s="56" t="s">
        <v>612</v>
      </c>
      <c r="R35" s="56" t="s">
        <v>613</v>
      </c>
      <c r="S35" s="59"/>
      <c r="T35" s="56" t="s">
        <v>393</v>
      </c>
      <c r="U35" s="61" t="s">
        <v>373</v>
      </c>
      <c r="V35" s="58" t="s">
        <v>614</v>
      </c>
      <c r="X35" s="55" t="b">
        <f t="shared" si="1"/>
        <v>0</v>
      </c>
    </row>
    <row r="36" ht="15.0" customHeight="1">
      <c r="A36" s="56" t="s">
        <v>328</v>
      </c>
      <c r="B36" s="56" t="s">
        <v>615</v>
      </c>
      <c r="C36" s="57" t="s">
        <v>616</v>
      </c>
      <c r="D36" s="58">
        <v>9.017109282E9</v>
      </c>
      <c r="E36" s="56" t="s">
        <v>511</v>
      </c>
      <c r="F36" s="56" t="s">
        <v>390</v>
      </c>
      <c r="G36" s="56" t="s">
        <v>617</v>
      </c>
      <c r="H36" s="56" t="s">
        <v>379</v>
      </c>
      <c r="I36" s="56" t="s">
        <v>365</v>
      </c>
      <c r="J36" s="56" t="s">
        <v>366</v>
      </c>
      <c r="K36" s="56" t="s">
        <v>400</v>
      </c>
      <c r="L36" s="56" t="s">
        <v>368</v>
      </c>
      <c r="M36" s="59"/>
      <c r="N36" s="59"/>
      <c r="O36" s="56" t="s">
        <v>369</v>
      </c>
      <c r="P36" s="60">
        <v>46025.0</v>
      </c>
      <c r="Q36" s="59"/>
      <c r="R36" s="56" t="s">
        <v>618</v>
      </c>
      <c r="S36" s="59"/>
      <c r="T36" s="56" t="s">
        <v>393</v>
      </c>
      <c r="U36" s="61" t="s">
        <v>373</v>
      </c>
      <c r="V36" s="58" t="s">
        <v>619</v>
      </c>
      <c r="X36" s="55" t="b">
        <f t="shared" si="1"/>
        <v>0</v>
      </c>
    </row>
    <row r="37" ht="15.0" customHeight="1">
      <c r="A37" s="56" t="s">
        <v>620</v>
      </c>
      <c r="B37" s="56" t="s">
        <v>621</v>
      </c>
      <c r="C37" s="57" t="s">
        <v>622</v>
      </c>
      <c r="D37" s="58">
        <v>3.478371877E9</v>
      </c>
      <c r="E37" s="56" t="s">
        <v>361</v>
      </c>
      <c r="F37" s="56" t="s">
        <v>377</v>
      </c>
      <c r="G37" s="56" t="s">
        <v>377</v>
      </c>
      <c r="H37" s="56" t="s">
        <v>399</v>
      </c>
      <c r="I37" s="56" t="s">
        <v>412</v>
      </c>
      <c r="J37" s="56" t="s">
        <v>513</v>
      </c>
      <c r="K37" s="56" t="s">
        <v>367</v>
      </c>
      <c r="L37" s="56" t="s">
        <v>368</v>
      </c>
      <c r="M37" s="59"/>
      <c r="N37" s="59"/>
      <c r="O37" s="56" t="s">
        <v>414</v>
      </c>
      <c r="P37" s="60">
        <v>46025.0</v>
      </c>
      <c r="Q37" s="56" t="s">
        <v>623</v>
      </c>
      <c r="R37" s="56" t="s">
        <v>624</v>
      </c>
      <c r="S37" s="59"/>
      <c r="T37" s="56" t="s">
        <v>372</v>
      </c>
      <c r="U37" s="61" t="s">
        <v>373</v>
      </c>
      <c r="V37" s="58" t="s">
        <v>625</v>
      </c>
      <c r="X37" s="55" t="b">
        <f t="shared" si="1"/>
        <v>1</v>
      </c>
    </row>
    <row r="38" ht="15.0" customHeight="1">
      <c r="A38" s="56" t="s">
        <v>80</v>
      </c>
      <c r="B38" s="56" t="s">
        <v>626</v>
      </c>
      <c r="C38" s="57" t="s">
        <v>627</v>
      </c>
      <c r="D38" s="58">
        <v>7.134888336E9</v>
      </c>
      <c r="E38" s="56" t="s">
        <v>361</v>
      </c>
      <c r="F38" s="56" t="s">
        <v>377</v>
      </c>
      <c r="G38" s="56" t="s">
        <v>378</v>
      </c>
      <c r="H38" s="56" t="s">
        <v>379</v>
      </c>
      <c r="I38" s="56" t="s">
        <v>365</v>
      </c>
      <c r="J38" s="56" t="s">
        <v>366</v>
      </c>
      <c r="K38" s="56" t="s">
        <v>497</v>
      </c>
      <c r="L38" s="56" t="s">
        <v>368</v>
      </c>
      <c r="M38" s="58">
        <v>0.0</v>
      </c>
      <c r="N38" s="58">
        <v>0.0</v>
      </c>
      <c r="O38" s="56" t="s">
        <v>382</v>
      </c>
      <c r="P38" s="60">
        <v>46118.0</v>
      </c>
      <c r="Q38" s="59"/>
      <c r="R38" s="56" t="s">
        <v>628</v>
      </c>
      <c r="S38" s="59"/>
      <c r="T38" s="56" t="s">
        <v>385</v>
      </c>
      <c r="U38" s="61" t="s">
        <v>373</v>
      </c>
      <c r="V38" s="58" t="s">
        <v>629</v>
      </c>
      <c r="X38" s="55" t="b">
        <f t="shared" si="1"/>
        <v>0</v>
      </c>
    </row>
    <row r="39" ht="15.0" customHeight="1">
      <c r="A39" s="56" t="s">
        <v>630</v>
      </c>
      <c r="B39" s="56" t="s">
        <v>631</v>
      </c>
      <c r="C39" s="57" t="s">
        <v>632</v>
      </c>
      <c r="D39" s="58">
        <v>2.155826329E9</v>
      </c>
      <c r="E39" s="56" t="s">
        <v>633</v>
      </c>
      <c r="F39" s="56" t="s">
        <v>634</v>
      </c>
      <c r="G39" s="56" t="s">
        <v>635</v>
      </c>
      <c r="H39" s="56" t="s">
        <v>399</v>
      </c>
      <c r="I39" s="56" t="s">
        <v>380</v>
      </c>
      <c r="J39" s="56" t="s">
        <v>413</v>
      </c>
      <c r="K39" s="56" t="s">
        <v>400</v>
      </c>
      <c r="L39" s="56" t="s">
        <v>423</v>
      </c>
      <c r="M39" s="59"/>
      <c r="N39" s="59"/>
      <c r="O39" s="56" t="s">
        <v>369</v>
      </c>
      <c r="P39" s="60">
        <v>46025.0</v>
      </c>
      <c r="Q39" s="59"/>
      <c r="R39" s="56" t="s">
        <v>636</v>
      </c>
      <c r="S39" s="59"/>
      <c r="T39" s="56" t="s">
        <v>393</v>
      </c>
      <c r="U39" s="61" t="s">
        <v>394</v>
      </c>
      <c r="V39" s="58" t="s">
        <v>637</v>
      </c>
      <c r="X39" s="55" t="b">
        <f t="shared" si="1"/>
        <v>0</v>
      </c>
    </row>
    <row r="40" ht="15.0" customHeight="1">
      <c r="A40" s="56" t="s">
        <v>638</v>
      </c>
      <c r="B40" s="56" t="s">
        <v>639</v>
      </c>
      <c r="C40" s="57" t="s">
        <v>640</v>
      </c>
      <c r="D40" s="56" t="s">
        <v>641</v>
      </c>
      <c r="E40" s="56" t="s">
        <v>361</v>
      </c>
      <c r="F40" s="56" t="s">
        <v>443</v>
      </c>
      <c r="G40" s="56" t="s">
        <v>443</v>
      </c>
      <c r="H40" s="56" t="s">
        <v>364</v>
      </c>
      <c r="I40" s="56" t="s">
        <v>412</v>
      </c>
      <c r="J40" s="56" t="s">
        <v>413</v>
      </c>
      <c r="K40" s="56" t="s">
        <v>400</v>
      </c>
      <c r="L40" s="56" t="s">
        <v>368</v>
      </c>
      <c r="M40" s="59"/>
      <c r="N40" s="59"/>
      <c r="O40" s="56" t="s">
        <v>382</v>
      </c>
      <c r="P40" s="60">
        <v>46025.0</v>
      </c>
      <c r="Q40" s="56" t="s">
        <v>642</v>
      </c>
      <c r="R40" s="56" t="s">
        <v>643</v>
      </c>
      <c r="S40" s="59"/>
      <c r="T40" s="56" t="s">
        <v>393</v>
      </c>
      <c r="U40" s="61" t="s">
        <v>373</v>
      </c>
      <c r="V40" s="58" t="s">
        <v>644</v>
      </c>
      <c r="X40" s="55" t="b">
        <f t="shared" si="1"/>
        <v>0</v>
      </c>
    </row>
    <row r="41" ht="15.0" customHeight="1">
      <c r="A41" s="56" t="s">
        <v>81</v>
      </c>
      <c r="B41" s="56" t="s">
        <v>645</v>
      </c>
      <c r="C41" s="57" t="s">
        <v>646</v>
      </c>
      <c r="D41" s="58">
        <v>9.134583292E9</v>
      </c>
      <c r="E41" s="56" t="s">
        <v>361</v>
      </c>
      <c r="F41" s="56" t="s">
        <v>452</v>
      </c>
      <c r="G41" s="56" t="s">
        <v>647</v>
      </c>
      <c r="H41" s="56" t="s">
        <v>364</v>
      </c>
      <c r="I41" s="56" t="s">
        <v>365</v>
      </c>
      <c r="J41" s="56" t="s">
        <v>366</v>
      </c>
      <c r="K41" s="56" t="s">
        <v>400</v>
      </c>
      <c r="L41" s="56" t="s">
        <v>368</v>
      </c>
      <c r="M41" s="59"/>
      <c r="N41" s="59"/>
      <c r="O41" s="56" t="s">
        <v>382</v>
      </c>
      <c r="P41" s="60">
        <v>46025.0</v>
      </c>
      <c r="Q41" s="59"/>
      <c r="R41" s="56" t="s">
        <v>648</v>
      </c>
      <c r="S41" s="59"/>
      <c r="T41" s="56" t="s">
        <v>393</v>
      </c>
      <c r="U41" s="61" t="s">
        <v>373</v>
      </c>
      <c r="V41" s="58" t="s">
        <v>649</v>
      </c>
      <c r="X41" s="55" t="b">
        <f t="shared" si="1"/>
        <v>0</v>
      </c>
    </row>
    <row r="42" ht="15.0" customHeight="1">
      <c r="A42" s="56" t="s">
        <v>82</v>
      </c>
      <c r="B42" s="56" t="s">
        <v>650</v>
      </c>
      <c r="C42" s="57" t="s">
        <v>651</v>
      </c>
      <c r="D42" s="56" t="s">
        <v>652</v>
      </c>
      <c r="E42" s="56" t="s">
        <v>653</v>
      </c>
      <c r="F42" s="56" t="s">
        <v>377</v>
      </c>
      <c r="G42" s="56" t="s">
        <v>654</v>
      </c>
      <c r="H42" s="56" t="s">
        <v>364</v>
      </c>
      <c r="I42" s="56" t="s">
        <v>365</v>
      </c>
      <c r="J42" s="56" t="s">
        <v>366</v>
      </c>
      <c r="K42" s="56" t="s">
        <v>381</v>
      </c>
      <c r="L42" s="56" t="s">
        <v>368</v>
      </c>
      <c r="M42" s="58">
        <v>0.0</v>
      </c>
      <c r="N42" s="58">
        <v>0.0</v>
      </c>
      <c r="O42" s="56" t="s">
        <v>382</v>
      </c>
      <c r="P42" s="58">
        <v>0.0</v>
      </c>
      <c r="Q42" s="59"/>
      <c r="R42" s="56" t="s">
        <v>655</v>
      </c>
      <c r="S42" s="59"/>
      <c r="T42" s="56" t="s">
        <v>385</v>
      </c>
      <c r="U42" s="61" t="s">
        <v>373</v>
      </c>
      <c r="V42" s="58" t="s">
        <v>656</v>
      </c>
      <c r="X42" s="55" t="b">
        <f t="shared" si="1"/>
        <v>0</v>
      </c>
    </row>
    <row r="43" ht="15.0" customHeight="1">
      <c r="A43" s="56" t="s">
        <v>657</v>
      </c>
      <c r="B43" s="56" t="s">
        <v>658</v>
      </c>
      <c r="C43" s="57" t="s">
        <v>659</v>
      </c>
      <c r="D43" s="56" t="s">
        <v>660</v>
      </c>
      <c r="E43" s="56" t="s">
        <v>579</v>
      </c>
      <c r="F43" s="56" t="s">
        <v>390</v>
      </c>
      <c r="G43" s="56" t="s">
        <v>661</v>
      </c>
      <c r="H43" s="56" t="s">
        <v>379</v>
      </c>
      <c r="I43" s="56" t="s">
        <v>365</v>
      </c>
      <c r="J43" s="56" t="s">
        <v>366</v>
      </c>
      <c r="K43" s="56" t="s">
        <v>367</v>
      </c>
      <c r="L43" s="56" t="s">
        <v>368</v>
      </c>
      <c r="M43" s="59"/>
      <c r="N43" s="58">
        <v>2.0</v>
      </c>
      <c r="O43" s="56" t="s">
        <v>382</v>
      </c>
      <c r="P43" s="58">
        <v>0.0</v>
      </c>
      <c r="Q43" s="59"/>
      <c r="R43" s="56" t="s">
        <v>662</v>
      </c>
      <c r="S43" s="59"/>
      <c r="T43" s="56" t="s">
        <v>372</v>
      </c>
      <c r="U43" s="61" t="s">
        <v>373</v>
      </c>
      <c r="V43" s="58" t="s">
        <v>663</v>
      </c>
      <c r="X43" s="55" t="b">
        <f t="shared" si="1"/>
        <v>0</v>
      </c>
    </row>
    <row r="44" ht="15.0" customHeight="1">
      <c r="A44" s="56" t="s">
        <v>291</v>
      </c>
      <c r="B44" s="56" t="s">
        <v>664</v>
      </c>
      <c r="C44" s="57" t="s">
        <v>665</v>
      </c>
      <c r="D44" s="56" t="s">
        <v>666</v>
      </c>
      <c r="E44" s="56" t="s">
        <v>361</v>
      </c>
      <c r="F44" s="56" t="s">
        <v>377</v>
      </c>
      <c r="G44" s="56" t="s">
        <v>377</v>
      </c>
      <c r="H44" s="56" t="s">
        <v>364</v>
      </c>
      <c r="I44" s="56" t="s">
        <v>667</v>
      </c>
      <c r="J44" s="56" t="s">
        <v>366</v>
      </c>
      <c r="K44" s="56" t="s">
        <v>400</v>
      </c>
      <c r="L44" s="56" t="s">
        <v>368</v>
      </c>
      <c r="M44" s="59"/>
      <c r="N44" s="59"/>
      <c r="O44" s="56" t="s">
        <v>382</v>
      </c>
      <c r="P44" s="60">
        <v>46025.0</v>
      </c>
      <c r="Q44" s="56" t="s">
        <v>668</v>
      </c>
      <c r="R44" s="56" t="s">
        <v>669</v>
      </c>
      <c r="S44" s="59"/>
      <c r="T44" s="56" t="s">
        <v>393</v>
      </c>
      <c r="U44" s="61" t="s">
        <v>373</v>
      </c>
      <c r="V44" s="58" t="s">
        <v>670</v>
      </c>
      <c r="X44" s="55" t="b">
        <f t="shared" si="1"/>
        <v>0</v>
      </c>
    </row>
    <row r="45" ht="15.0" customHeight="1">
      <c r="A45" s="56" t="s">
        <v>671</v>
      </c>
      <c r="B45" s="56" t="s">
        <v>672</v>
      </c>
      <c r="C45" s="57" t="s">
        <v>673</v>
      </c>
      <c r="D45" s="56" t="s">
        <v>674</v>
      </c>
      <c r="E45" s="56" t="s">
        <v>361</v>
      </c>
      <c r="F45" s="56" t="s">
        <v>675</v>
      </c>
      <c r="G45" s="56" t="s">
        <v>676</v>
      </c>
      <c r="H45" s="56" t="s">
        <v>379</v>
      </c>
      <c r="I45" s="56" t="s">
        <v>412</v>
      </c>
      <c r="J45" s="56" t="s">
        <v>366</v>
      </c>
      <c r="K45" s="56" t="s">
        <v>400</v>
      </c>
      <c r="L45" s="56" t="s">
        <v>368</v>
      </c>
      <c r="M45" s="59"/>
      <c r="N45" s="59"/>
      <c r="O45" s="56" t="s">
        <v>382</v>
      </c>
      <c r="P45" s="60">
        <v>46025.0</v>
      </c>
      <c r="Q45" s="56" t="s">
        <v>677</v>
      </c>
      <c r="R45" s="56" t="s">
        <v>678</v>
      </c>
      <c r="S45" s="59"/>
      <c r="T45" s="56" t="s">
        <v>393</v>
      </c>
      <c r="U45" s="61" t="s">
        <v>373</v>
      </c>
      <c r="V45" s="58" t="s">
        <v>679</v>
      </c>
      <c r="X45" s="55" t="b">
        <f t="shared" si="1"/>
        <v>0</v>
      </c>
    </row>
    <row r="46" ht="15.0" customHeight="1">
      <c r="A46" s="56" t="s">
        <v>86</v>
      </c>
      <c r="B46" s="56" t="s">
        <v>680</v>
      </c>
      <c r="C46" s="57" t="s">
        <v>681</v>
      </c>
      <c r="D46" s="58">
        <v>2.819321105E9</v>
      </c>
      <c r="E46" s="56" t="s">
        <v>466</v>
      </c>
      <c r="F46" s="56" t="s">
        <v>421</v>
      </c>
      <c r="G46" s="56" t="s">
        <v>682</v>
      </c>
      <c r="H46" s="56" t="s">
        <v>364</v>
      </c>
      <c r="I46" s="56" t="s">
        <v>365</v>
      </c>
      <c r="J46" s="56" t="s">
        <v>513</v>
      </c>
      <c r="K46" s="56" t="s">
        <v>497</v>
      </c>
      <c r="L46" s="56" t="s">
        <v>368</v>
      </c>
      <c r="M46" s="59"/>
      <c r="N46" s="59"/>
      <c r="O46" s="56" t="s">
        <v>369</v>
      </c>
      <c r="P46" s="60">
        <v>46213.0</v>
      </c>
      <c r="Q46" s="56" t="s">
        <v>683</v>
      </c>
      <c r="R46" s="56" t="s">
        <v>684</v>
      </c>
      <c r="S46" s="59"/>
      <c r="T46" s="56" t="s">
        <v>385</v>
      </c>
      <c r="U46" s="61" t="s">
        <v>373</v>
      </c>
      <c r="V46" s="58" t="s">
        <v>685</v>
      </c>
      <c r="X46" s="55" t="b">
        <f t="shared" si="1"/>
        <v>1</v>
      </c>
    </row>
    <row r="47" ht="15.0" customHeight="1">
      <c r="A47" s="56" t="s">
        <v>292</v>
      </c>
      <c r="B47" s="56" t="s">
        <v>686</v>
      </c>
      <c r="C47" s="57" t="s">
        <v>687</v>
      </c>
      <c r="D47" s="56" t="s">
        <v>688</v>
      </c>
      <c r="E47" s="56" t="s">
        <v>525</v>
      </c>
      <c r="F47" s="56" t="s">
        <v>452</v>
      </c>
      <c r="G47" s="56" t="s">
        <v>689</v>
      </c>
      <c r="H47" s="56" t="s">
        <v>364</v>
      </c>
      <c r="I47" s="56" t="s">
        <v>365</v>
      </c>
      <c r="J47" s="56" t="s">
        <v>413</v>
      </c>
      <c r="K47" s="56" t="s">
        <v>381</v>
      </c>
      <c r="L47" s="56" t="s">
        <v>368</v>
      </c>
      <c r="M47" s="59"/>
      <c r="N47" s="59"/>
      <c r="O47" s="56" t="s">
        <v>382</v>
      </c>
      <c r="P47" s="60">
        <v>46025.0</v>
      </c>
      <c r="Q47" s="56" t="s">
        <v>690</v>
      </c>
      <c r="R47" s="56" t="s">
        <v>691</v>
      </c>
      <c r="S47" s="59"/>
      <c r="T47" s="56" t="s">
        <v>385</v>
      </c>
      <c r="U47" s="61" t="s">
        <v>373</v>
      </c>
      <c r="V47" s="58" t="s">
        <v>692</v>
      </c>
      <c r="X47" s="55" t="b">
        <f t="shared" si="1"/>
        <v>0</v>
      </c>
    </row>
    <row r="48" ht="15.0" customHeight="1">
      <c r="A48" s="56" t="s">
        <v>88</v>
      </c>
      <c r="B48" s="56" t="s">
        <v>693</v>
      </c>
      <c r="C48" s="57" t="s">
        <v>694</v>
      </c>
      <c r="D48" s="56" t="s">
        <v>695</v>
      </c>
      <c r="E48" s="56" t="s">
        <v>696</v>
      </c>
      <c r="F48" s="56" t="s">
        <v>410</v>
      </c>
      <c r="G48" s="56" t="s">
        <v>697</v>
      </c>
      <c r="H48" s="56" t="s">
        <v>399</v>
      </c>
      <c r="I48" s="56" t="s">
        <v>365</v>
      </c>
      <c r="J48" s="56" t="s">
        <v>366</v>
      </c>
      <c r="K48" s="56" t="s">
        <v>400</v>
      </c>
      <c r="L48" s="56" t="s">
        <v>368</v>
      </c>
      <c r="M48" s="59"/>
      <c r="N48" s="59"/>
      <c r="O48" s="56" t="s">
        <v>382</v>
      </c>
      <c r="P48" s="60">
        <v>46025.0</v>
      </c>
      <c r="Q48" s="59"/>
      <c r="R48" s="56" t="s">
        <v>698</v>
      </c>
      <c r="S48" s="59"/>
      <c r="T48" s="56" t="s">
        <v>393</v>
      </c>
      <c r="U48" s="61" t="s">
        <v>373</v>
      </c>
      <c r="V48" s="58" t="s">
        <v>699</v>
      </c>
      <c r="X48" s="55" t="b">
        <f t="shared" si="1"/>
        <v>0</v>
      </c>
    </row>
    <row r="49" ht="15.0" customHeight="1">
      <c r="A49" s="56" t="s">
        <v>89</v>
      </c>
      <c r="B49" s="56" t="s">
        <v>700</v>
      </c>
      <c r="C49" s="57" t="s">
        <v>701</v>
      </c>
      <c r="D49" s="58">
        <v>8.162266151E9</v>
      </c>
      <c r="E49" s="56" t="s">
        <v>361</v>
      </c>
      <c r="F49" s="56" t="s">
        <v>452</v>
      </c>
      <c r="G49" s="56" t="s">
        <v>702</v>
      </c>
      <c r="H49" s="56" t="s">
        <v>364</v>
      </c>
      <c r="I49" s="56" t="s">
        <v>365</v>
      </c>
      <c r="J49" s="56" t="s">
        <v>413</v>
      </c>
      <c r="K49" s="56" t="s">
        <v>392</v>
      </c>
      <c r="L49" s="56" t="s">
        <v>368</v>
      </c>
      <c r="M49" s="58">
        <v>2.0</v>
      </c>
      <c r="N49" s="58">
        <v>0.0</v>
      </c>
      <c r="O49" s="56" t="s">
        <v>382</v>
      </c>
      <c r="P49" s="60">
        <v>46025.0</v>
      </c>
      <c r="Q49" s="59"/>
      <c r="R49" s="56" t="s">
        <v>703</v>
      </c>
      <c r="S49" s="59"/>
      <c r="T49" s="56" t="s">
        <v>393</v>
      </c>
      <c r="U49" s="61" t="s">
        <v>373</v>
      </c>
      <c r="V49" s="58" t="s">
        <v>704</v>
      </c>
      <c r="X49" s="55" t="b">
        <f t="shared" si="1"/>
        <v>0</v>
      </c>
    </row>
    <row r="50" ht="15.0" customHeight="1">
      <c r="A50" s="56" t="s">
        <v>293</v>
      </c>
      <c r="B50" s="56" t="s">
        <v>705</v>
      </c>
      <c r="C50" s="57" t="s">
        <v>706</v>
      </c>
      <c r="D50" s="56" t="s">
        <v>707</v>
      </c>
      <c r="E50" s="56" t="s">
        <v>708</v>
      </c>
      <c r="F50" s="56" t="s">
        <v>709</v>
      </c>
      <c r="G50" s="56" t="s">
        <v>436</v>
      </c>
      <c r="H50" s="56" t="s">
        <v>399</v>
      </c>
      <c r="I50" s="56" t="s">
        <v>710</v>
      </c>
      <c r="J50" s="56" t="s">
        <v>366</v>
      </c>
      <c r="K50" s="56" t="s">
        <v>367</v>
      </c>
      <c r="L50" s="56" t="s">
        <v>368</v>
      </c>
      <c r="M50" s="58">
        <v>0.0</v>
      </c>
      <c r="N50" s="58">
        <v>0.0</v>
      </c>
      <c r="O50" s="56" t="s">
        <v>414</v>
      </c>
      <c r="P50" s="58">
        <v>0.0</v>
      </c>
      <c r="Q50" s="56" t="s">
        <v>711</v>
      </c>
      <c r="R50" s="59"/>
      <c r="S50" s="59"/>
      <c r="T50" s="56" t="s">
        <v>372</v>
      </c>
      <c r="U50" s="61" t="s">
        <v>394</v>
      </c>
      <c r="V50" s="58" t="s">
        <v>712</v>
      </c>
      <c r="X50" s="55" t="b">
        <f t="shared" si="1"/>
        <v>0</v>
      </c>
    </row>
    <row r="51" ht="15.0" customHeight="1">
      <c r="A51" s="56" t="s">
        <v>329</v>
      </c>
      <c r="B51" s="56" t="s">
        <v>713</v>
      </c>
      <c r="C51" s="57" t="s">
        <v>714</v>
      </c>
      <c r="D51" s="58">
        <v>7.068813749E9</v>
      </c>
      <c r="E51" s="56" t="s">
        <v>715</v>
      </c>
      <c r="F51" s="56" t="s">
        <v>716</v>
      </c>
      <c r="G51" s="56" t="s">
        <v>717</v>
      </c>
      <c r="H51" s="56" t="s">
        <v>379</v>
      </c>
      <c r="I51" s="56" t="s">
        <v>380</v>
      </c>
      <c r="J51" s="56" t="s">
        <v>366</v>
      </c>
      <c r="K51" s="56" t="s">
        <v>367</v>
      </c>
      <c r="L51" s="56" t="s">
        <v>368</v>
      </c>
      <c r="M51" s="58">
        <v>0.0</v>
      </c>
      <c r="N51" s="58">
        <v>4.0</v>
      </c>
      <c r="O51" s="56" t="s">
        <v>382</v>
      </c>
      <c r="P51" s="60">
        <v>46025.0</v>
      </c>
      <c r="Q51" s="59"/>
      <c r="R51" s="56" t="s">
        <v>718</v>
      </c>
      <c r="S51" s="59"/>
      <c r="T51" s="56" t="s">
        <v>372</v>
      </c>
      <c r="U51" s="61" t="s">
        <v>373</v>
      </c>
      <c r="V51" s="58" t="s">
        <v>719</v>
      </c>
      <c r="X51" s="55" t="b">
        <f t="shared" si="1"/>
        <v>0</v>
      </c>
    </row>
    <row r="52" ht="15.0" customHeight="1">
      <c r="A52" s="56" t="s">
        <v>90</v>
      </c>
      <c r="B52" s="56" t="s">
        <v>720</v>
      </c>
      <c r="C52" s="57" t="s">
        <v>721</v>
      </c>
      <c r="D52" s="58">
        <v>4.088020034E9</v>
      </c>
      <c r="E52" s="56" t="s">
        <v>722</v>
      </c>
      <c r="F52" s="56" t="s">
        <v>452</v>
      </c>
      <c r="G52" s="56" t="s">
        <v>363</v>
      </c>
      <c r="H52" s="56" t="s">
        <v>399</v>
      </c>
      <c r="I52" s="56" t="s">
        <v>365</v>
      </c>
      <c r="J52" s="56" t="s">
        <v>513</v>
      </c>
      <c r="K52" s="56" t="s">
        <v>723</v>
      </c>
      <c r="L52" s="56" t="s">
        <v>368</v>
      </c>
      <c r="M52" s="59"/>
      <c r="N52" s="59"/>
      <c r="O52" s="56" t="s">
        <v>414</v>
      </c>
      <c r="P52" s="60">
        <v>46025.0</v>
      </c>
      <c r="Q52" s="56" t="s">
        <v>724</v>
      </c>
      <c r="R52" s="56" t="s">
        <v>725</v>
      </c>
      <c r="S52" s="59"/>
      <c r="T52" s="56" t="s">
        <v>393</v>
      </c>
      <c r="U52" s="61" t="s">
        <v>373</v>
      </c>
      <c r="V52" s="58" t="s">
        <v>726</v>
      </c>
      <c r="X52" s="55" t="b">
        <f t="shared" si="1"/>
        <v>1</v>
      </c>
    </row>
    <row r="53" ht="15.0" customHeight="1">
      <c r="A53" s="56" t="s">
        <v>727</v>
      </c>
      <c r="B53" s="56" t="s">
        <v>728</v>
      </c>
      <c r="C53" s="57" t="s">
        <v>729</v>
      </c>
      <c r="D53" s="58">
        <v>3.144944689E9</v>
      </c>
      <c r="E53" s="56" t="s">
        <v>489</v>
      </c>
      <c r="F53" s="56" t="s">
        <v>377</v>
      </c>
      <c r="G53" s="56" t="s">
        <v>730</v>
      </c>
      <c r="H53" s="56" t="s">
        <v>379</v>
      </c>
      <c r="I53" s="56" t="s">
        <v>365</v>
      </c>
      <c r="J53" s="56" t="s">
        <v>413</v>
      </c>
      <c r="K53" s="56" t="s">
        <v>400</v>
      </c>
      <c r="L53" s="56" t="s">
        <v>368</v>
      </c>
      <c r="M53" s="59"/>
      <c r="N53" s="59"/>
      <c r="O53" s="56" t="s">
        <v>382</v>
      </c>
      <c r="P53" s="60">
        <v>46025.0</v>
      </c>
      <c r="Q53" s="59"/>
      <c r="R53" s="59"/>
      <c r="S53" s="59"/>
      <c r="T53" s="56" t="s">
        <v>393</v>
      </c>
      <c r="U53" s="61" t="s">
        <v>394</v>
      </c>
      <c r="V53" s="58" t="s">
        <v>731</v>
      </c>
      <c r="X53" s="55" t="b">
        <f t="shared" si="1"/>
        <v>0</v>
      </c>
    </row>
    <row r="54" ht="15.0" customHeight="1">
      <c r="A54" s="56" t="s">
        <v>732</v>
      </c>
      <c r="B54" s="56" t="s">
        <v>733</v>
      </c>
      <c r="C54" s="57" t="s">
        <v>734</v>
      </c>
      <c r="D54" s="56" t="s">
        <v>735</v>
      </c>
      <c r="E54" s="56" t="s">
        <v>361</v>
      </c>
      <c r="F54" s="56" t="s">
        <v>452</v>
      </c>
      <c r="G54" s="56" t="s">
        <v>736</v>
      </c>
      <c r="H54" s="56" t="s">
        <v>379</v>
      </c>
      <c r="I54" s="56" t="s">
        <v>412</v>
      </c>
      <c r="J54" s="56" t="s">
        <v>366</v>
      </c>
      <c r="K54" s="56" t="s">
        <v>381</v>
      </c>
      <c r="L54" s="56" t="s">
        <v>423</v>
      </c>
      <c r="M54" s="59"/>
      <c r="N54" s="59"/>
      <c r="O54" s="56" t="s">
        <v>414</v>
      </c>
      <c r="P54" s="60">
        <v>46118.0</v>
      </c>
      <c r="Q54" s="56" t="s">
        <v>737</v>
      </c>
      <c r="R54" s="56" t="s">
        <v>738</v>
      </c>
      <c r="S54" s="59"/>
      <c r="T54" s="56" t="s">
        <v>385</v>
      </c>
      <c r="U54" s="61" t="s">
        <v>394</v>
      </c>
      <c r="V54" s="58" t="s">
        <v>739</v>
      </c>
      <c r="X54" s="55" t="b">
        <f t="shared" si="1"/>
        <v>0</v>
      </c>
    </row>
    <row r="55" ht="15.0" customHeight="1">
      <c r="A55" s="56" t="s">
        <v>740</v>
      </c>
      <c r="B55" s="56" t="s">
        <v>741</v>
      </c>
      <c r="C55" s="57" t="s">
        <v>742</v>
      </c>
      <c r="D55" s="58">
        <v>2.149295479E9</v>
      </c>
      <c r="E55" s="56" t="s">
        <v>361</v>
      </c>
      <c r="F55" s="56" t="s">
        <v>390</v>
      </c>
      <c r="G55" s="56" t="s">
        <v>676</v>
      </c>
      <c r="H55" s="56" t="s">
        <v>379</v>
      </c>
      <c r="I55" s="56" t="s">
        <v>365</v>
      </c>
      <c r="J55" s="56" t="s">
        <v>366</v>
      </c>
      <c r="K55" s="56" t="s">
        <v>561</v>
      </c>
      <c r="L55" s="56" t="s">
        <v>368</v>
      </c>
      <c r="M55" s="59"/>
      <c r="N55" s="59"/>
      <c r="O55" s="56" t="s">
        <v>382</v>
      </c>
      <c r="P55" s="60">
        <v>46118.0</v>
      </c>
      <c r="Q55" s="59"/>
      <c r="R55" s="56" t="s">
        <v>743</v>
      </c>
      <c r="S55" s="59"/>
      <c r="T55" s="56" t="s">
        <v>372</v>
      </c>
      <c r="U55" s="61" t="s">
        <v>373</v>
      </c>
      <c r="V55" s="58" t="s">
        <v>744</v>
      </c>
      <c r="X55" s="55" t="b">
        <f t="shared" si="1"/>
        <v>0</v>
      </c>
    </row>
    <row r="56" ht="15.0" customHeight="1">
      <c r="A56" s="56" t="s">
        <v>92</v>
      </c>
      <c r="B56" s="56" t="s">
        <v>745</v>
      </c>
      <c r="C56" s="57" t="s">
        <v>746</v>
      </c>
      <c r="D56" s="58">
        <v>4.692613442E9</v>
      </c>
      <c r="E56" s="56" t="s">
        <v>747</v>
      </c>
      <c r="F56" s="56" t="s">
        <v>362</v>
      </c>
      <c r="G56" s="56" t="s">
        <v>748</v>
      </c>
      <c r="H56" s="56" t="s">
        <v>364</v>
      </c>
      <c r="I56" s="56" t="s">
        <v>365</v>
      </c>
      <c r="J56" s="56" t="s">
        <v>366</v>
      </c>
      <c r="K56" s="56" t="s">
        <v>723</v>
      </c>
      <c r="L56" s="56" t="s">
        <v>368</v>
      </c>
      <c r="M56" s="58">
        <v>0.0</v>
      </c>
      <c r="N56" s="59"/>
      <c r="O56" s="56" t="s">
        <v>382</v>
      </c>
      <c r="P56" s="60">
        <v>46025.0</v>
      </c>
      <c r="Q56" s="59"/>
      <c r="R56" s="56" t="s">
        <v>749</v>
      </c>
      <c r="S56" s="59"/>
      <c r="T56" s="56" t="s">
        <v>393</v>
      </c>
      <c r="U56" s="61" t="s">
        <v>373</v>
      </c>
      <c r="V56" s="58" t="s">
        <v>750</v>
      </c>
      <c r="X56" s="55" t="b">
        <f t="shared" si="1"/>
        <v>0</v>
      </c>
    </row>
    <row r="57" ht="15.0" customHeight="1">
      <c r="A57" s="56" t="s">
        <v>93</v>
      </c>
      <c r="B57" s="56" t="s">
        <v>751</v>
      </c>
      <c r="C57" s="57" t="s">
        <v>752</v>
      </c>
      <c r="D57" s="58">
        <v>2.817038822E9</v>
      </c>
      <c r="E57" s="56" t="s">
        <v>753</v>
      </c>
      <c r="F57" s="56" t="s">
        <v>362</v>
      </c>
      <c r="G57" s="56" t="s">
        <v>362</v>
      </c>
      <c r="H57" s="56" t="s">
        <v>379</v>
      </c>
      <c r="I57" s="56" t="s">
        <v>365</v>
      </c>
      <c r="J57" s="56" t="s">
        <v>366</v>
      </c>
      <c r="K57" s="56" t="s">
        <v>381</v>
      </c>
      <c r="L57" s="56" t="s">
        <v>368</v>
      </c>
      <c r="M57" s="59"/>
      <c r="N57" s="59"/>
      <c r="O57" s="56" t="s">
        <v>382</v>
      </c>
      <c r="P57" s="58">
        <v>0.0</v>
      </c>
      <c r="Q57" s="59"/>
      <c r="R57" s="56" t="s">
        <v>754</v>
      </c>
      <c r="S57" s="59"/>
      <c r="T57" s="56" t="s">
        <v>385</v>
      </c>
      <c r="U57" s="61" t="s">
        <v>373</v>
      </c>
      <c r="V57" s="58" t="s">
        <v>755</v>
      </c>
      <c r="X57" s="55" t="b">
        <f t="shared" si="1"/>
        <v>0</v>
      </c>
    </row>
    <row r="58" ht="15.0" customHeight="1">
      <c r="A58" s="56" t="s">
        <v>756</v>
      </c>
      <c r="B58" s="56" t="s">
        <v>757</v>
      </c>
      <c r="C58" s="57" t="s">
        <v>758</v>
      </c>
      <c r="D58" s="58">
        <v>9.402555634E9</v>
      </c>
      <c r="E58" s="56" t="s">
        <v>587</v>
      </c>
      <c r="F58" s="56" t="s">
        <v>410</v>
      </c>
      <c r="G58" s="56" t="s">
        <v>759</v>
      </c>
      <c r="H58" s="56" t="s">
        <v>379</v>
      </c>
      <c r="I58" s="56" t="s">
        <v>405</v>
      </c>
      <c r="J58" s="56" t="s">
        <v>366</v>
      </c>
      <c r="K58" s="56" t="s">
        <v>483</v>
      </c>
      <c r="L58" s="56" t="s">
        <v>368</v>
      </c>
      <c r="M58" s="58">
        <v>0.0</v>
      </c>
      <c r="N58" s="58">
        <v>0.0</v>
      </c>
      <c r="O58" s="56" t="s">
        <v>382</v>
      </c>
      <c r="P58" s="60">
        <v>46025.0</v>
      </c>
      <c r="Q58" s="56" t="s">
        <v>760</v>
      </c>
      <c r="R58" s="56" t="s">
        <v>761</v>
      </c>
      <c r="S58" s="59"/>
      <c r="T58" s="56" t="s">
        <v>385</v>
      </c>
      <c r="U58" s="61" t="s">
        <v>373</v>
      </c>
      <c r="V58" s="58" t="s">
        <v>762</v>
      </c>
      <c r="X58" s="55" t="b">
        <f t="shared" si="1"/>
        <v>0</v>
      </c>
    </row>
    <row r="59" ht="15.0" customHeight="1">
      <c r="A59" s="56" t="s">
        <v>763</v>
      </c>
      <c r="B59" s="56" t="s">
        <v>764</v>
      </c>
      <c r="C59" s="57" t="s">
        <v>765</v>
      </c>
      <c r="D59" s="56" t="s">
        <v>766</v>
      </c>
      <c r="E59" s="56" t="s">
        <v>420</v>
      </c>
      <c r="F59" s="56" t="s">
        <v>390</v>
      </c>
      <c r="G59" s="56" t="s">
        <v>767</v>
      </c>
      <c r="H59" s="56" t="s">
        <v>364</v>
      </c>
      <c r="I59" s="56" t="s">
        <v>380</v>
      </c>
      <c r="J59" s="56" t="s">
        <v>413</v>
      </c>
      <c r="K59" s="56" t="s">
        <v>392</v>
      </c>
      <c r="L59" s="56" t="s">
        <v>368</v>
      </c>
      <c r="M59" s="59"/>
      <c r="N59" s="59"/>
      <c r="O59" s="56" t="s">
        <v>382</v>
      </c>
      <c r="P59" s="60">
        <v>46118.0</v>
      </c>
      <c r="Q59" s="59"/>
      <c r="R59" s="56" t="s">
        <v>768</v>
      </c>
      <c r="S59" s="59"/>
      <c r="T59" s="56" t="s">
        <v>393</v>
      </c>
      <c r="U59" s="61" t="s">
        <v>373</v>
      </c>
      <c r="V59" s="58" t="s">
        <v>769</v>
      </c>
      <c r="X59" s="55" t="b">
        <f t="shared" si="1"/>
        <v>0</v>
      </c>
    </row>
    <row r="60" ht="15.0" customHeight="1">
      <c r="A60" s="56" t="s">
        <v>330</v>
      </c>
      <c r="B60" s="56" t="s">
        <v>770</v>
      </c>
      <c r="C60" s="57" t="s">
        <v>771</v>
      </c>
      <c r="D60" s="56" t="s">
        <v>772</v>
      </c>
      <c r="E60" s="56" t="s">
        <v>361</v>
      </c>
      <c r="F60" s="56" t="s">
        <v>377</v>
      </c>
      <c r="G60" s="56" t="s">
        <v>773</v>
      </c>
      <c r="H60" s="56" t="s">
        <v>399</v>
      </c>
      <c r="I60" s="56" t="s">
        <v>365</v>
      </c>
      <c r="J60" s="56" t="s">
        <v>513</v>
      </c>
      <c r="K60" s="56" t="s">
        <v>723</v>
      </c>
      <c r="L60" s="56" t="s">
        <v>368</v>
      </c>
      <c r="M60" s="59"/>
      <c r="N60" s="59"/>
      <c r="O60" s="56" t="s">
        <v>382</v>
      </c>
      <c r="P60" s="60">
        <v>46025.0</v>
      </c>
      <c r="Q60" s="59"/>
      <c r="R60" s="56" t="s">
        <v>774</v>
      </c>
      <c r="S60" s="59"/>
      <c r="T60" s="56" t="s">
        <v>393</v>
      </c>
      <c r="U60" s="61" t="s">
        <v>373</v>
      </c>
      <c r="V60" s="58" t="s">
        <v>775</v>
      </c>
      <c r="X60" s="55" t="b">
        <f t="shared" si="1"/>
        <v>1</v>
      </c>
    </row>
    <row r="61" ht="15.0" customHeight="1">
      <c r="A61" s="56" t="s">
        <v>776</v>
      </c>
      <c r="B61" s="56" t="s">
        <v>777</v>
      </c>
      <c r="C61" s="57" t="s">
        <v>778</v>
      </c>
      <c r="D61" s="58">
        <v>3.096429176E9</v>
      </c>
      <c r="E61" s="56" t="s">
        <v>361</v>
      </c>
      <c r="F61" s="56" t="s">
        <v>390</v>
      </c>
      <c r="G61" s="56" t="s">
        <v>779</v>
      </c>
      <c r="H61" s="56" t="s">
        <v>364</v>
      </c>
      <c r="I61" s="56" t="s">
        <v>380</v>
      </c>
      <c r="J61" s="56" t="s">
        <v>413</v>
      </c>
      <c r="K61" s="56" t="s">
        <v>392</v>
      </c>
      <c r="L61" s="56" t="s">
        <v>368</v>
      </c>
      <c r="M61" s="58">
        <v>0.0</v>
      </c>
      <c r="N61" s="58">
        <v>0.0</v>
      </c>
      <c r="O61" s="56" t="s">
        <v>382</v>
      </c>
      <c r="P61" s="60">
        <v>46213.0</v>
      </c>
      <c r="Q61" s="59"/>
      <c r="R61" s="56" t="s">
        <v>780</v>
      </c>
      <c r="S61" s="59"/>
      <c r="T61" s="56" t="s">
        <v>393</v>
      </c>
      <c r="U61" s="61" t="s">
        <v>373</v>
      </c>
      <c r="V61" s="58" t="s">
        <v>781</v>
      </c>
      <c r="X61" s="55" t="b">
        <f t="shared" si="1"/>
        <v>0</v>
      </c>
    </row>
    <row r="62" ht="15.0" customHeight="1">
      <c r="A62" s="56" t="s">
        <v>95</v>
      </c>
      <c r="B62" s="56" t="s">
        <v>782</v>
      </c>
      <c r="C62" s="57" t="s">
        <v>783</v>
      </c>
      <c r="D62" s="58">
        <v>2.816850365E9</v>
      </c>
      <c r="E62" s="56" t="s">
        <v>511</v>
      </c>
      <c r="F62" s="56" t="s">
        <v>377</v>
      </c>
      <c r="G62" s="56" t="s">
        <v>617</v>
      </c>
      <c r="H62" s="56" t="s">
        <v>364</v>
      </c>
      <c r="I62" s="56" t="s">
        <v>365</v>
      </c>
      <c r="J62" s="56" t="s">
        <v>413</v>
      </c>
      <c r="K62" s="56" t="s">
        <v>367</v>
      </c>
      <c r="L62" s="56" t="s">
        <v>368</v>
      </c>
      <c r="M62" s="58">
        <v>0.0</v>
      </c>
      <c r="N62" s="58">
        <v>0.0</v>
      </c>
      <c r="O62" s="56" t="s">
        <v>382</v>
      </c>
      <c r="P62" s="58">
        <v>0.0</v>
      </c>
      <c r="Q62" s="56" t="s">
        <v>784</v>
      </c>
      <c r="R62" s="56" t="s">
        <v>785</v>
      </c>
      <c r="S62" s="59"/>
      <c r="T62" s="56" t="s">
        <v>372</v>
      </c>
      <c r="U62" s="61" t="s">
        <v>373</v>
      </c>
      <c r="V62" s="58" t="s">
        <v>786</v>
      </c>
      <c r="X62" s="55" t="b">
        <f t="shared" si="1"/>
        <v>0</v>
      </c>
    </row>
    <row r="63" ht="15.0" customHeight="1">
      <c r="A63" s="56" t="s">
        <v>787</v>
      </c>
      <c r="B63" s="56" t="s">
        <v>788</v>
      </c>
      <c r="C63" s="57" t="s">
        <v>789</v>
      </c>
      <c r="D63" s="56" t="s">
        <v>790</v>
      </c>
      <c r="E63" s="56" t="s">
        <v>715</v>
      </c>
      <c r="F63" s="56" t="s">
        <v>377</v>
      </c>
      <c r="G63" s="56" t="s">
        <v>512</v>
      </c>
      <c r="H63" s="56" t="s">
        <v>399</v>
      </c>
      <c r="I63" s="56" t="s">
        <v>365</v>
      </c>
      <c r="J63" s="56" t="s">
        <v>366</v>
      </c>
      <c r="K63" s="56" t="s">
        <v>400</v>
      </c>
      <c r="L63" s="56" t="s">
        <v>368</v>
      </c>
      <c r="M63" s="59"/>
      <c r="N63" s="59"/>
      <c r="O63" s="56" t="s">
        <v>382</v>
      </c>
      <c r="P63" s="60">
        <v>46025.0</v>
      </c>
      <c r="Q63" s="59"/>
      <c r="R63" s="56" t="s">
        <v>791</v>
      </c>
      <c r="S63" s="59"/>
      <c r="T63" s="56" t="s">
        <v>393</v>
      </c>
      <c r="U63" s="61" t="s">
        <v>394</v>
      </c>
      <c r="V63" s="58" t="s">
        <v>792</v>
      </c>
      <c r="X63" s="55" t="b">
        <f t="shared" si="1"/>
        <v>0</v>
      </c>
    </row>
    <row r="64" ht="15.0" customHeight="1">
      <c r="A64" s="56" t="s">
        <v>295</v>
      </c>
      <c r="B64" s="56" t="s">
        <v>793</v>
      </c>
      <c r="C64" s="57" t="s">
        <v>794</v>
      </c>
      <c r="D64" s="58">
        <v>8.16285321E9</v>
      </c>
      <c r="E64" s="56" t="s">
        <v>511</v>
      </c>
      <c r="F64" s="56" t="s">
        <v>377</v>
      </c>
      <c r="G64" s="56" t="s">
        <v>795</v>
      </c>
      <c r="H64" s="56" t="s">
        <v>364</v>
      </c>
      <c r="I64" s="56" t="s">
        <v>365</v>
      </c>
      <c r="J64" s="56" t="s">
        <v>366</v>
      </c>
      <c r="K64" s="56" t="s">
        <v>367</v>
      </c>
      <c r="L64" s="56" t="s">
        <v>368</v>
      </c>
      <c r="M64" s="59"/>
      <c r="N64" s="59"/>
      <c r="O64" s="56" t="s">
        <v>382</v>
      </c>
      <c r="P64" s="60">
        <v>46025.0</v>
      </c>
      <c r="Q64" s="59"/>
      <c r="R64" s="56" t="s">
        <v>796</v>
      </c>
      <c r="S64" s="59"/>
      <c r="T64" s="56" t="s">
        <v>372</v>
      </c>
      <c r="U64" s="61" t="s">
        <v>373</v>
      </c>
      <c r="V64" s="58" t="s">
        <v>797</v>
      </c>
      <c r="X64" s="55" t="b">
        <f t="shared" si="1"/>
        <v>0</v>
      </c>
    </row>
    <row r="65" ht="15.0" customHeight="1">
      <c r="A65" s="56" t="s">
        <v>96</v>
      </c>
      <c r="B65" s="56" t="s">
        <v>798</v>
      </c>
      <c r="C65" s="57" t="s">
        <v>799</v>
      </c>
      <c r="D65" s="56" t="s">
        <v>800</v>
      </c>
      <c r="E65" s="56" t="s">
        <v>801</v>
      </c>
      <c r="F65" s="56" t="s">
        <v>452</v>
      </c>
      <c r="G65" s="56" t="s">
        <v>802</v>
      </c>
      <c r="H65" s="56" t="s">
        <v>379</v>
      </c>
      <c r="I65" s="56" t="s">
        <v>380</v>
      </c>
      <c r="J65" s="56" t="s">
        <v>413</v>
      </c>
      <c r="K65" s="56" t="s">
        <v>561</v>
      </c>
      <c r="L65" s="56" t="s">
        <v>368</v>
      </c>
      <c r="M65" s="59"/>
      <c r="N65" s="58">
        <v>0.0</v>
      </c>
      <c r="O65" s="56" t="s">
        <v>382</v>
      </c>
      <c r="P65" s="58">
        <v>0.0</v>
      </c>
      <c r="Q65" s="59"/>
      <c r="R65" s="56" t="s">
        <v>803</v>
      </c>
      <c r="S65" s="59"/>
      <c r="T65" s="56" t="s">
        <v>372</v>
      </c>
      <c r="U65" s="61" t="s">
        <v>373</v>
      </c>
      <c r="V65" s="58" t="s">
        <v>804</v>
      </c>
      <c r="X65" s="55" t="b">
        <f t="shared" si="1"/>
        <v>0</v>
      </c>
    </row>
    <row r="66" ht="15.0" customHeight="1">
      <c r="A66" s="56" t="s">
        <v>805</v>
      </c>
      <c r="B66" s="56" t="s">
        <v>806</v>
      </c>
      <c r="C66" s="57" t="s">
        <v>807</v>
      </c>
      <c r="D66" s="58">
        <v>5.713742031E9</v>
      </c>
      <c r="E66" s="56" t="s">
        <v>429</v>
      </c>
      <c r="F66" s="56" t="s">
        <v>390</v>
      </c>
      <c r="G66" s="56" t="s">
        <v>436</v>
      </c>
      <c r="H66" s="56" t="s">
        <v>399</v>
      </c>
      <c r="I66" s="56" t="s">
        <v>380</v>
      </c>
      <c r="J66" s="56" t="s">
        <v>413</v>
      </c>
      <c r="K66" s="56" t="s">
        <v>497</v>
      </c>
      <c r="L66" s="56" t="s">
        <v>368</v>
      </c>
      <c r="M66" s="59"/>
      <c r="N66" s="59"/>
      <c r="O66" s="56" t="s">
        <v>382</v>
      </c>
      <c r="P66" s="58">
        <v>0.0</v>
      </c>
      <c r="Q66" s="59"/>
      <c r="R66" s="56" t="s">
        <v>808</v>
      </c>
      <c r="S66" s="59"/>
      <c r="T66" s="56" t="s">
        <v>385</v>
      </c>
      <c r="U66" s="61" t="s">
        <v>394</v>
      </c>
      <c r="V66" s="58" t="s">
        <v>809</v>
      </c>
      <c r="X66" s="55" t="b">
        <f t="shared" si="1"/>
        <v>0</v>
      </c>
    </row>
    <row r="67" ht="15.0" customHeight="1">
      <c r="A67" s="56" t="s">
        <v>810</v>
      </c>
      <c r="B67" s="56" t="s">
        <v>811</v>
      </c>
      <c r="C67" s="57" t="s">
        <v>812</v>
      </c>
      <c r="D67" s="56" t="s">
        <v>813</v>
      </c>
      <c r="E67" s="56" t="s">
        <v>361</v>
      </c>
      <c r="F67" s="56" t="s">
        <v>377</v>
      </c>
      <c r="G67" s="56" t="s">
        <v>814</v>
      </c>
      <c r="H67" s="56" t="s">
        <v>364</v>
      </c>
      <c r="I67" s="56" t="s">
        <v>365</v>
      </c>
      <c r="J67" s="56" t="s">
        <v>513</v>
      </c>
      <c r="K67" s="56" t="s">
        <v>400</v>
      </c>
      <c r="L67" s="56" t="s">
        <v>368</v>
      </c>
      <c r="M67" s="59"/>
      <c r="N67" s="59"/>
      <c r="O67" s="56" t="s">
        <v>382</v>
      </c>
      <c r="P67" s="60">
        <v>46025.0</v>
      </c>
      <c r="Q67" s="56" t="s">
        <v>815</v>
      </c>
      <c r="R67" s="56" t="s">
        <v>816</v>
      </c>
      <c r="S67" s="59"/>
      <c r="T67" s="56" t="s">
        <v>393</v>
      </c>
      <c r="U67" s="61" t="s">
        <v>373</v>
      </c>
      <c r="V67" s="58" t="s">
        <v>817</v>
      </c>
      <c r="X67" s="55" t="b">
        <f t="shared" si="1"/>
        <v>1</v>
      </c>
    </row>
    <row r="68" ht="15.0" customHeight="1">
      <c r="A68" s="56" t="s">
        <v>97</v>
      </c>
      <c r="B68" s="56" t="s">
        <v>818</v>
      </c>
      <c r="C68" s="57" t="s">
        <v>819</v>
      </c>
      <c r="D68" s="56" t="s">
        <v>820</v>
      </c>
      <c r="E68" s="56" t="s">
        <v>361</v>
      </c>
      <c r="F68" s="56" t="s">
        <v>452</v>
      </c>
      <c r="G68" s="56" t="s">
        <v>821</v>
      </c>
      <c r="H68" s="56" t="s">
        <v>379</v>
      </c>
      <c r="I68" s="56" t="s">
        <v>822</v>
      </c>
      <c r="J68" s="56" t="s">
        <v>413</v>
      </c>
      <c r="K68" s="56" t="s">
        <v>381</v>
      </c>
      <c r="L68" s="56" t="s">
        <v>368</v>
      </c>
      <c r="M68" s="59"/>
      <c r="N68" s="59"/>
      <c r="O68" s="56" t="s">
        <v>382</v>
      </c>
      <c r="P68" s="60">
        <v>46025.0</v>
      </c>
      <c r="Q68" s="56" t="s">
        <v>823</v>
      </c>
      <c r="R68" s="56" t="s">
        <v>824</v>
      </c>
      <c r="S68" s="59"/>
      <c r="T68" s="56" t="s">
        <v>385</v>
      </c>
      <c r="U68" s="61" t="s">
        <v>373</v>
      </c>
      <c r="V68" s="58" t="s">
        <v>825</v>
      </c>
      <c r="X68" s="55" t="b">
        <f t="shared" si="1"/>
        <v>0</v>
      </c>
    </row>
    <row r="69" ht="15.0" customHeight="1">
      <c r="A69" s="56" t="s">
        <v>98</v>
      </c>
      <c r="B69" s="56" t="s">
        <v>826</v>
      </c>
      <c r="C69" s="57" t="s">
        <v>827</v>
      </c>
      <c r="D69" s="56" t="s">
        <v>828</v>
      </c>
      <c r="E69" s="56" t="s">
        <v>389</v>
      </c>
      <c r="F69" s="56" t="s">
        <v>390</v>
      </c>
      <c r="G69" s="56" t="s">
        <v>829</v>
      </c>
      <c r="H69" s="56" t="s">
        <v>379</v>
      </c>
      <c r="I69" s="56" t="s">
        <v>830</v>
      </c>
      <c r="J69" s="56" t="s">
        <v>366</v>
      </c>
      <c r="K69" s="56" t="s">
        <v>381</v>
      </c>
      <c r="L69" s="56" t="s">
        <v>368</v>
      </c>
      <c r="M69" s="59"/>
      <c r="N69" s="59"/>
      <c r="O69" s="56" t="s">
        <v>369</v>
      </c>
      <c r="P69" s="58">
        <v>0.0</v>
      </c>
      <c r="Q69" s="59"/>
      <c r="R69" s="56" t="s">
        <v>831</v>
      </c>
      <c r="S69" s="59"/>
      <c r="T69" s="56" t="s">
        <v>385</v>
      </c>
      <c r="U69" s="61" t="s">
        <v>373</v>
      </c>
      <c r="V69" s="58" t="s">
        <v>832</v>
      </c>
      <c r="X69" s="55" t="b">
        <f t="shared" si="1"/>
        <v>0</v>
      </c>
    </row>
    <row r="70" ht="15.0" customHeight="1">
      <c r="A70" s="56" t="s">
        <v>99</v>
      </c>
      <c r="B70" s="56" t="s">
        <v>833</v>
      </c>
      <c r="C70" s="57" t="s">
        <v>834</v>
      </c>
      <c r="D70" s="58">
        <v>4.124890232E9</v>
      </c>
      <c r="E70" s="56" t="s">
        <v>835</v>
      </c>
      <c r="F70" s="56" t="s">
        <v>377</v>
      </c>
      <c r="G70" s="56" t="s">
        <v>378</v>
      </c>
      <c r="H70" s="56" t="s">
        <v>364</v>
      </c>
      <c r="I70" s="56" t="s">
        <v>380</v>
      </c>
      <c r="J70" s="56" t="s">
        <v>413</v>
      </c>
      <c r="K70" s="56" t="s">
        <v>400</v>
      </c>
      <c r="L70" s="56" t="s">
        <v>368</v>
      </c>
      <c r="M70" s="59"/>
      <c r="N70" s="59"/>
      <c r="O70" s="56" t="s">
        <v>382</v>
      </c>
      <c r="P70" s="58">
        <v>0.0</v>
      </c>
      <c r="Q70" s="59"/>
      <c r="R70" s="59"/>
      <c r="S70" s="59"/>
      <c r="T70" s="56" t="s">
        <v>393</v>
      </c>
      <c r="U70" s="61" t="s">
        <v>394</v>
      </c>
      <c r="V70" s="58" t="s">
        <v>836</v>
      </c>
      <c r="X70" s="55" t="b">
        <f t="shared" si="1"/>
        <v>0</v>
      </c>
    </row>
    <row r="71" ht="15.0" customHeight="1">
      <c r="A71" s="56" t="s">
        <v>837</v>
      </c>
      <c r="B71" s="56" t="s">
        <v>838</v>
      </c>
      <c r="C71" s="57" t="s">
        <v>839</v>
      </c>
      <c r="D71" s="56" t="s">
        <v>840</v>
      </c>
      <c r="E71" s="56" t="s">
        <v>466</v>
      </c>
      <c r="F71" s="56" t="s">
        <v>452</v>
      </c>
      <c r="G71" s="56" t="s">
        <v>841</v>
      </c>
      <c r="H71" s="56" t="s">
        <v>379</v>
      </c>
      <c r="I71" s="56" t="s">
        <v>405</v>
      </c>
      <c r="J71" s="56" t="s">
        <v>366</v>
      </c>
      <c r="K71" s="56" t="s">
        <v>367</v>
      </c>
      <c r="L71" s="56" t="s">
        <v>368</v>
      </c>
      <c r="M71" s="59"/>
      <c r="N71" s="59"/>
      <c r="O71" s="56" t="s">
        <v>382</v>
      </c>
      <c r="P71" s="60">
        <v>46025.0</v>
      </c>
      <c r="Q71" s="56" t="s">
        <v>842</v>
      </c>
      <c r="R71" s="56" t="s">
        <v>843</v>
      </c>
      <c r="S71" s="59"/>
      <c r="T71" s="56" t="s">
        <v>372</v>
      </c>
      <c r="U71" s="61" t="s">
        <v>373</v>
      </c>
      <c r="V71" s="58" t="s">
        <v>817</v>
      </c>
      <c r="X71" s="55" t="b">
        <f t="shared" si="1"/>
        <v>0</v>
      </c>
    </row>
    <row r="72" ht="15.0" customHeight="1">
      <c r="A72" s="56" t="s">
        <v>101</v>
      </c>
      <c r="B72" s="56" t="s">
        <v>844</v>
      </c>
      <c r="C72" s="57" t="s">
        <v>845</v>
      </c>
      <c r="D72" s="58">
        <v>2.818540972E9</v>
      </c>
      <c r="E72" s="56" t="s">
        <v>361</v>
      </c>
      <c r="F72" s="56" t="s">
        <v>377</v>
      </c>
      <c r="G72" s="56" t="s">
        <v>377</v>
      </c>
      <c r="H72" s="56" t="s">
        <v>364</v>
      </c>
      <c r="I72" s="56" t="s">
        <v>365</v>
      </c>
      <c r="J72" s="56" t="s">
        <v>366</v>
      </c>
      <c r="K72" s="56" t="s">
        <v>367</v>
      </c>
      <c r="L72" s="56" t="s">
        <v>368</v>
      </c>
      <c r="M72" s="59"/>
      <c r="N72" s="59"/>
      <c r="O72" s="56" t="s">
        <v>382</v>
      </c>
      <c r="P72" s="60">
        <v>46025.0</v>
      </c>
      <c r="Q72" s="59"/>
      <c r="R72" s="56" t="s">
        <v>21</v>
      </c>
      <c r="S72" s="59"/>
      <c r="T72" s="56" t="s">
        <v>372</v>
      </c>
      <c r="U72" s="61" t="s">
        <v>373</v>
      </c>
      <c r="V72" s="58" t="s">
        <v>846</v>
      </c>
      <c r="X72" s="55" t="b">
        <f t="shared" si="1"/>
        <v>0</v>
      </c>
    </row>
    <row r="73" ht="15.0" customHeight="1">
      <c r="A73" s="56" t="s">
        <v>102</v>
      </c>
      <c r="B73" s="56" t="s">
        <v>847</v>
      </c>
      <c r="C73" s="57" t="s">
        <v>848</v>
      </c>
      <c r="D73" s="58">
        <v>7.173765833E9</v>
      </c>
      <c r="E73" s="56" t="s">
        <v>849</v>
      </c>
      <c r="F73" s="56" t="s">
        <v>377</v>
      </c>
      <c r="G73" s="56" t="s">
        <v>850</v>
      </c>
      <c r="H73" s="56" t="s">
        <v>364</v>
      </c>
      <c r="I73" s="56" t="s">
        <v>365</v>
      </c>
      <c r="J73" s="56" t="s">
        <v>366</v>
      </c>
      <c r="K73" s="56" t="s">
        <v>367</v>
      </c>
      <c r="L73" s="56" t="s">
        <v>368</v>
      </c>
      <c r="M73" s="59"/>
      <c r="N73" s="59"/>
      <c r="O73" s="56" t="s">
        <v>382</v>
      </c>
      <c r="P73" s="60">
        <v>46025.0</v>
      </c>
      <c r="Q73" s="59"/>
      <c r="R73" s="56" t="s">
        <v>851</v>
      </c>
      <c r="S73" s="59"/>
      <c r="T73" s="56" t="s">
        <v>372</v>
      </c>
      <c r="U73" s="61" t="s">
        <v>373</v>
      </c>
      <c r="V73" s="58" t="s">
        <v>516</v>
      </c>
      <c r="X73" s="55" t="b">
        <f t="shared" si="1"/>
        <v>0</v>
      </c>
    </row>
    <row r="74" ht="15.0" customHeight="1">
      <c r="A74" s="56" t="s">
        <v>852</v>
      </c>
      <c r="B74" s="56" t="s">
        <v>853</v>
      </c>
      <c r="C74" s="57" t="s">
        <v>854</v>
      </c>
      <c r="D74" s="58">
        <v>8.322174946E9</v>
      </c>
      <c r="E74" s="56" t="s">
        <v>511</v>
      </c>
      <c r="F74" s="56" t="s">
        <v>390</v>
      </c>
      <c r="G74" s="56" t="s">
        <v>855</v>
      </c>
      <c r="H74" s="56" t="s">
        <v>379</v>
      </c>
      <c r="I74" s="56" t="s">
        <v>380</v>
      </c>
      <c r="J74" s="56" t="s">
        <v>413</v>
      </c>
      <c r="K74" s="56" t="s">
        <v>367</v>
      </c>
      <c r="L74" s="56" t="s">
        <v>368</v>
      </c>
      <c r="M74" s="58">
        <v>0.0</v>
      </c>
      <c r="N74" s="59"/>
      <c r="O74" s="56" t="s">
        <v>382</v>
      </c>
      <c r="P74" s="60">
        <v>46025.0</v>
      </c>
      <c r="Q74" s="56" t="s">
        <v>856</v>
      </c>
      <c r="R74" s="56" t="s">
        <v>857</v>
      </c>
      <c r="S74" s="59"/>
      <c r="T74" s="56" t="s">
        <v>372</v>
      </c>
      <c r="U74" s="61" t="s">
        <v>373</v>
      </c>
      <c r="V74" s="58" t="s">
        <v>858</v>
      </c>
      <c r="X74" s="55" t="b">
        <f t="shared" si="1"/>
        <v>0</v>
      </c>
    </row>
    <row r="75" ht="15.0" customHeight="1">
      <c r="A75" s="56" t="s">
        <v>859</v>
      </c>
      <c r="B75" s="56" t="s">
        <v>860</v>
      </c>
      <c r="C75" s="57" t="s">
        <v>861</v>
      </c>
      <c r="D75" s="58">
        <v>9.45298068E9</v>
      </c>
      <c r="E75" s="56" t="s">
        <v>715</v>
      </c>
      <c r="F75" s="56" t="s">
        <v>377</v>
      </c>
      <c r="G75" s="56" t="s">
        <v>862</v>
      </c>
      <c r="H75" s="56" t="s">
        <v>399</v>
      </c>
      <c r="I75" s="56" t="s">
        <v>365</v>
      </c>
      <c r="J75" s="56" t="s">
        <v>366</v>
      </c>
      <c r="K75" s="56" t="s">
        <v>400</v>
      </c>
      <c r="L75" s="56" t="s">
        <v>423</v>
      </c>
      <c r="M75" s="59"/>
      <c r="N75" s="59"/>
      <c r="O75" s="56" t="s">
        <v>382</v>
      </c>
      <c r="P75" s="60">
        <v>46025.0</v>
      </c>
      <c r="Q75" s="56" t="s">
        <v>860</v>
      </c>
      <c r="R75" s="56" t="s">
        <v>863</v>
      </c>
      <c r="S75" s="59"/>
      <c r="T75" s="56" t="s">
        <v>393</v>
      </c>
      <c r="U75" s="61" t="s">
        <v>373</v>
      </c>
      <c r="V75" s="58" t="s">
        <v>864</v>
      </c>
      <c r="X75" s="55" t="b">
        <f t="shared" si="1"/>
        <v>0</v>
      </c>
    </row>
    <row r="76" ht="15.0" customHeight="1">
      <c r="A76" s="56" t="s">
        <v>103</v>
      </c>
      <c r="B76" s="56" t="s">
        <v>865</v>
      </c>
      <c r="C76" s="57" t="s">
        <v>866</v>
      </c>
      <c r="D76" s="58">
        <v>9.79997074E9</v>
      </c>
      <c r="E76" s="56" t="s">
        <v>361</v>
      </c>
      <c r="F76" s="56" t="s">
        <v>867</v>
      </c>
      <c r="G76" s="56" t="s">
        <v>868</v>
      </c>
      <c r="H76" s="56" t="s">
        <v>379</v>
      </c>
      <c r="I76" s="56" t="s">
        <v>412</v>
      </c>
      <c r="J76" s="56" t="s">
        <v>869</v>
      </c>
      <c r="K76" s="56" t="s">
        <v>367</v>
      </c>
      <c r="L76" s="56" t="s">
        <v>368</v>
      </c>
      <c r="M76" s="59"/>
      <c r="N76" s="58">
        <v>0.0</v>
      </c>
      <c r="O76" s="56" t="s">
        <v>382</v>
      </c>
      <c r="P76" s="60">
        <v>46025.0</v>
      </c>
      <c r="Q76" s="56" t="s">
        <v>870</v>
      </c>
      <c r="R76" s="56" t="s">
        <v>477</v>
      </c>
      <c r="S76" s="59"/>
      <c r="T76" s="56" t="s">
        <v>372</v>
      </c>
      <c r="U76" s="61" t="s">
        <v>373</v>
      </c>
      <c r="V76" s="58" t="s">
        <v>871</v>
      </c>
      <c r="X76" s="55" t="b">
        <f t="shared" si="1"/>
        <v>0</v>
      </c>
    </row>
    <row r="77" ht="15.0" customHeight="1">
      <c r="A77" s="56" t="s">
        <v>872</v>
      </c>
      <c r="B77" s="56" t="s">
        <v>873</v>
      </c>
      <c r="C77" s="57" t="s">
        <v>874</v>
      </c>
      <c r="D77" s="56" t="s">
        <v>875</v>
      </c>
      <c r="E77" s="56" t="s">
        <v>876</v>
      </c>
      <c r="F77" s="56" t="s">
        <v>877</v>
      </c>
      <c r="G77" s="56" t="s">
        <v>878</v>
      </c>
      <c r="H77" s="56" t="s">
        <v>399</v>
      </c>
      <c r="I77" s="56" t="s">
        <v>380</v>
      </c>
      <c r="J77" s="56" t="s">
        <v>513</v>
      </c>
      <c r="K77" s="56" t="s">
        <v>381</v>
      </c>
      <c r="L77" s="56" t="s">
        <v>368</v>
      </c>
      <c r="M77" s="58">
        <v>2.0</v>
      </c>
      <c r="N77" s="58">
        <v>2.0</v>
      </c>
      <c r="O77" s="56" t="s">
        <v>382</v>
      </c>
      <c r="P77" s="60">
        <v>46118.0</v>
      </c>
      <c r="Q77" s="56" t="s">
        <v>879</v>
      </c>
      <c r="R77" s="56" t="s">
        <v>880</v>
      </c>
      <c r="S77" s="59"/>
      <c r="T77" s="56" t="s">
        <v>385</v>
      </c>
      <c r="U77" s="61" t="s">
        <v>373</v>
      </c>
      <c r="V77" s="58" t="s">
        <v>881</v>
      </c>
      <c r="X77" s="55" t="b">
        <f t="shared" si="1"/>
        <v>1</v>
      </c>
    </row>
    <row r="78" ht="15.0" customHeight="1">
      <c r="A78" s="56" t="s">
        <v>882</v>
      </c>
      <c r="B78" s="56" t="s">
        <v>883</v>
      </c>
      <c r="C78" s="57" t="s">
        <v>884</v>
      </c>
      <c r="D78" s="58">
        <v>6.20252834E9</v>
      </c>
      <c r="E78" s="56" t="s">
        <v>489</v>
      </c>
      <c r="F78" s="56" t="s">
        <v>377</v>
      </c>
      <c r="G78" s="56" t="s">
        <v>504</v>
      </c>
      <c r="H78" s="56" t="s">
        <v>379</v>
      </c>
      <c r="I78" s="56" t="s">
        <v>365</v>
      </c>
      <c r="J78" s="56" t="s">
        <v>413</v>
      </c>
      <c r="K78" s="56" t="s">
        <v>400</v>
      </c>
      <c r="L78" s="56" t="s">
        <v>368</v>
      </c>
      <c r="M78" s="59"/>
      <c r="N78" s="59"/>
      <c r="O78" s="56" t="s">
        <v>382</v>
      </c>
      <c r="P78" s="60">
        <v>46025.0</v>
      </c>
      <c r="Q78" s="59"/>
      <c r="R78" s="56" t="s">
        <v>461</v>
      </c>
      <c r="S78" s="59"/>
      <c r="T78" s="56" t="s">
        <v>393</v>
      </c>
      <c r="U78" s="61" t="s">
        <v>394</v>
      </c>
      <c r="V78" s="58" t="s">
        <v>885</v>
      </c>
      <c r="X78" s="55" t="b">
        <f t="shared" si="1"/>
        <v>0</v>
      </c>
    </row>
    <row r="79" ht="15.0" customHeight="1">
      <c r="A79" s="56" t="s">
        <v>886</v>
      </c>
      <c r="B79" s="56" t="s">
        <v>887</v>
      </c>
      <c r="C79" s="57" t="s">
        <v>888</v>
      </c>
      <c r="D79" s="58">
        <v>8.326490492E9</v>
      </c>
      <c r="E79" s="56" t="s">
        <v>889</v>
      </c>
      <c r="F79" s="56" t="s">
        <v>390</v>
      </c>
      <c r="G79" s="56" t="s">
        <v>890</v>
      </c>
      <c r="H79" s="56" t="s">
        <v>364</v>
      </c>
      <c r="I79" s="56" t="s">
        <v>412</v>
      </c>
      <c r="J79" s="56" t="s">
        <v>513</v>
      </c>
      <c r="K79" s="56" t="s">
        <v>381</v>
      </c>
      <c r="L79" s="56" t="s">
        <v>423</v>
      </c>
      <c r="M79" s="59"/>
      <c r="N79" s="59"/>
      <c r="O79" s="56" t="s">
        <v>382</v>
      </c>
      <c r="P79" s="60">
        <v>46025.0</v>
      </c>
      <c r="Q79" s="56" t="s">
        <v>891</v>
      </c>
      <c r="R79" s="56" t="s">
        <v>892</v>
      </c>
      <c r="S79" s="59"/>
      <c r="T79" s="56" t="s">
        <v>385</v>
      </c>
      <c r="U79" s="61" t="s">
        <v>373</v>
      </c>
      <c r="V79" s="58" t="s">
        <v>893</v>
      </c>
      <c r="X79" s="55" t="b">
        <f t="shared" si="1"/>
        <v>1</v>
      </c>
    </row>
    <row r="80" ht="15.0" customHeight="1">
      <c r="A80" s="56" t="s">
        <v>104</v>
      </c>
      <c r="B80" s="56" t="s">
        <v>894</v>
      </c>
      <c r="C80" s="57" t="s">
        <v>895</v>
      </c>
      <c r="D80" s="58">
        <v>7.1378086E9</v>
      </c>
      <c r="E80" s="56" t="s">
        <v>466</v>
      </c>
      <c r="F80" s="56" t="s">
        <v>390</v>
      </c>
      <c r="G80" s="56" t="s">
        <v>436</v>
      </c>
      <c r="H80" s="56" t="s">
        <v>379</v>
      </c>
      <c r="I80" s="56" t="s">
        <v>412</v>
      </c>
      <c r="J80" s="56" t="s">
        <v>366</v>
      </c>
      <c r="K80" s="56" t="s">
        <v>367</v>
      </c>
      <c r="L80" s="56" t="s">
        <v>368</v>
      </c>
      <c r="M80" s="59"/>
      <c r="N80" s="59"/>
      <c r="O80" s="56" t="s">
        <v>382</v>
      </c>
      <c r="P80" s="60">
        <v>46025.0</v>
      </c>
      <c r="Q80" s="59"/>
      <c r="R80" s="56" t="s">
        <v>415</v>
      </c>
      <c r="S80" s="59"/>
      <c r="T80" s="56" t="s">
        <v>372</v>
      </c>
      <c r="U80" s="61" t="s">
        <v>373</v>
      </c>
      <c r="V80" s="58" t="s">
        <v>896</v>
      </c>
      <c r="X80" s="55" t="b">
        <f t="shared" si="1"/>
        <v>0</v>
      </c>
    </row>
    <row r="81" ht="15.0" customHeight="1">
      <c r="A81" s="56" t="s">
        <v>106</v>
      </c>
      <c r="B81" s="56" t="s">
        <v>897</v>
      </c>
      <c r="C81" s="57" t="s">
        <v>898</v>
      </c>
      <c r="D81" s="58">
        <v>7.135786244E9</v>
      </c>
      <c r="E81" s="56" t="s">
        <v>361</v>
      </c>
      <c r="F81" s="56" t="s">
        <v>452</v>
      </c>
      <c r="G81" s="56" t="s">
        <v>899</v>
      </c>
      <c r="H81" s="56" t="s">
        <v>379</v>
      </c>
      <c r="I81" s="56" t="s">
        <v>365</v>
      </c>
      <c r="J81" s="56" t="s">
        <v>413</v>
      </c>
      <c r="K81" s="56" t="s">
        <v>497</v>
      </c>
      <c r="L81" s="56" t="s">
        <v>368</v>
      </c>
      <c r="M81" s="59"/>
      <c r="N81" s="59"/>
      <c r="O81" s="56" t="s">
        <v>414</v>
      </c>
      <c r="P81" s="60">
        <v>46025.0</v>
      </c>
      <c r="Q81" s="59"/>
      <c r="R81" s="56" t="s">
        <v>900</v>
      </c>
      <c r="S81" s="59"/>
      <c r="T81" s="56" t="s">
        <v>385</v>
      </c>
      <c r="U81" s="61" t="s">
        <v>373</v>
      </c>
      <c r="V81" s="58" t="s">
        <v>901</v>
      </c>
      <c r="X81" s="55" t="b">
        <f t="shared" si="1"/>
        <v>0</v>
      </c>
    </row>
    <row r="82" ht="15.0" customHeight="1">
      <c r="A82" s="56" t="s">
        <v>902</v>
      </c>
      <c r="B82" s="56" t="s">
        <v>903</v>
      </c>
      <c r="C82" s="57" t="s">
        <v>904</v>
      </c>
      <c r="D82" s="56" t="s">
        <v>905</v>
      </c>
      <c r="E82" s="56" t="s">
        <v>361</v>
      </c>
      <c r="F82" s="56" t="s">
        <v>377</v>
      </c>
      <c r="G82" s="56" t="s">
        <v>377</v>
      </c>
      <c r="H82" s="56" t="s">
        <v>399</v>
      </c>
      <c r="I82" s="56" t="s">
        <v>365</v>
      </c>
      <c r="J82" s="56" t="s">
        <v>366</v>
      </c>
      <c r="K82" s="56" t="s">
        <v>367</v>
      </c>
      <c r="L82" s="56" t="s">
        <v>368</v>
      </c>
      <c r="M82" s="59"/>
      <c r="N82" s="59"/>
      <c r="O82" s="56" t="s">
        <v>382</v>
      </c>
      <c r="P82" s="60">
        <v>46025.0</v>
      </c>
      <c r="Q82" s="56" t="s">
        <v>906</v>
      </c>
      <c r="R82" s="56" t="s">
        <v>907</v>
      </c>
      <c r="S82" s="59"/>
      <c r="T82" s="56" t="s">
        <v>372</v>
      </c>
      <c r="U82" s="61" t="s">
        <v>373</v>
      </c>
      <c r="V82" s="58" t="s">
        <v>908</v>
      </c>
      <c r="X82" s="55" t="b">
        <f t="shared" si="1"/>
        <v>0</v>
      </c>
    </row>
    <row r="83" ht="15.0" customHeight="1">
      <c r="A83" s="56" t="s">
        <v>909</v>
      </c>
      <c r="B83" s="56" t="s">
        <v>910</v>
      </c>
      <c r="C83" s="57" t="s">
        <v>911</v>
      </c>
      <c r="D83" s="58">
        <v>9.85438038E9</v>
      </c>
      <c r="E83" s="56" t="s">
        <v>912</v>
      </c>
      <c r="F83" s="56" t="s">
        <v>377</v>
      </c>
      <c r="G83" s="56" t="s">
        <v>795</v>
      </c>
      <c r="H83" s="56" t="s">
        <v>364</v>
      </c>
      <c r="I83" s="56" t="s">
        <v>365</v>
      </c>
      <c r="J83" s="56" t="s">
        <v>413</v>
      </c>
      <c r="K83" s="56" t="s">
        <v>367</v>
      </c>
      <c r="L83" s="56" t="s">
        <v>368</v>
      </c>
      <c r="M83" s="59"/>
      <c r="N83" s="59"/>
      <c r="O83" s="56" t="s">
        <v>382</v>
      </c>
      <c r="P83" s="60">
        <v>46025.0</v>
      </c>
      <c r="Q83" s="56" t="s">
        <v>913</v>
      </c>
      <c r="R83" s="56" t="s">
        <v>914</v>
      </c>
      <c r="S83" s="59"/>
      <c r="T83" s="56" t="s">
        <v>372</v>
      </c>
      <c r="U83" s="61" t="s">
        <v>373</v>
      </c>
      <c r="V83" s="58" t="s">
        <v>915</v>
      </c>
      <c r="X83" s="55" t="b">
        <f t="shared" si="1"/>
        <v>0</v>
      </c>
    </row>
    <row r="84" ht="15.0" customHeight="1">
      <c r="A84" s="56" t="s">
        <v>916</v>
      </c>
      <c r="B84" s="56" t="s">
        <v>917</v>
      </c>
      <c r="C84" s="57" t="s">
        <v>918</v>
      </c>
      <c r="D84" s="56" t="s">
        <v>919</v>
      </c>
      <c r="E84" s="56" t="s">
        <v>559</v>
      </c>
      <c r="F84" s="56" t="s">
        <v>580</v>
      </c>
      <c r="G84" s="56" t="s">
        <v>920</v>
      </c>
      <c r="H84" s="56" t="s">
        <v>364</v>
      </c>
      <c r="I84" s="56" t="s">
        <v>365</v>
      </c>
      <c r="J84" s="56" t="s">
        <v>513</v>
      </c>
      <c r="K84" s="56" t="s">
        <v>723</v>
      </c>
      <c r="L84" s="56" t="s">
        <v>368</v>
      </c>
      <c r="M84" s="59"/>
      <c r="N84" s="59"/>
      <c r="O84" s="56" t="s">
        <v>382</v>
      </c>
      <c r="P84" s="58">
        <v>0.0</v>
      </c>
      <c r="Q84" s="59"/>
      <c r="R84" s="59"/>
      <c r="S84" s="59"/>
      <c r="T84" s="56" t="s">
        <v>393</v>
      </c>
      <c r="U84" s="61" t="s">
        <v>394</v>
      </c>
      <c r="V84" s="58" t="s">
        <v>921</v>
      </c>
      <c r="X84" s="55" t="b">
        <f t="shared" si="1"/>
        <v>1</v>
      </c>
    </row>
    <row r="85" ht="15.0" customHeight="1">
      <c r="A85" s="56" t="s">
        <v>922</v>
      </c>
      <c r="B85" s="56" t="s">
        <v>923</v>
      </c>
      <c r="C85" s="57" t="s">
        <v>924</v>
      </c>
      <c r="D85" s="58">
        <v>9.453356754E9</v>
      </c>
      <c r="E85" s="56" t="s">
        <v>361</v>
      </c>
      <c r="F85" s="56" t="s">
        <v>421</v>
      </c>
      <c r="G85" s="56" t="s">
        <v>391</v>
      </c>
      <c r="H85" s="56" t="s">
        <v>399</v>
      </c>
      <c r="I85" s="56" t="s">
        <v>380</v>
      </c>
      <c r="J85" s="56" t="s">
        <v>366</v>
      </c>
      <c r="K85" s="56" t="s">
        <v>367</v>
      </c>
      <c r="L85" s="56" t="s">
        <v>368</v>
      </c>
      <c r="M85" s="59"/>
      <c r="N85" s="59"/>
      <c r="O85" s="56" t="s">
        <v>382</v>
      </c>
      <c r="P85" s="60">
        <v>46025.0</v>
      </c>
      <c r="Q85" s="56" t="s">
        <v>923</v>
      </c>
      <c r="R85" s="56" t="s">
        <v>19</v>
      </c>
      <c r="S85" s="59"/>
      <c r="T85" s="56" t="s">
        <v>372</v>
      </c>
      <c r="U85" s="61" t="s">
        <v>373</v>
      </c>
      <c r="V85" s="58" t="s">
        <v>925</v>
      </c>
      <c r="X85" s="55" t="b">
        <f t="shared" si="1"/>
        <v>0</v>
      </c>
    </row>
    <row r="86" ht="15.0" customHeight="1">
      <c r="A86" s="56" t="s">
        <v>926</v>
      </c>
      <c r="B86" s="56" t="s">
        <v>927</v>
      </c>
      <c r="C86" s="57" t="s">
        <v>928</v>
      </c>
      <c r="D86" s="58">
        <v>9.726588059E9</v>
      </c>
      <c r="E86" s="56" t="s">
        <v>849</v>
      </c>
      <c r="F86" s="56" t="s">
        <v>390</v>
      </c>
      <c r="G86" s="56" t="s">
        <v>676</v>
      </c>
      <c r="H86" s="56" t="s">
        <v>379</v>
      </c>
      <c r="I86" s="56" t="s">
        <v>365</v>
      </c>
      <c r="J86" s="56" t="s">
        <v>413</v>
      </c>
      <c r="K86" s="56" t="s">
        <v>381</v>
      </c>
      <c r="L86" s="56" t="s">
        <v>368</v>
      </c>
      <c r="M86" s="58">
        <v>1.0</v>
      </c>
      <c r="N86" s="59"/>
      <c r="O86" s="56" t="s">
        <v>382</v>
      </c>
      <c r="P86" s="60">
        <v>46025.0</v>
      </c>
      <c r="Q86" s="56" t="s">
        <v>929</v>
      </c>
      <c r="R86" s="56" t="s">
        <v>930</v>
      </c>
      <c r="S86" s="59"/>
      <c r="T86" s="56" t="s">
        <v>385</v>
      </c>
      <c r="U86" s="61" t="s">
        <v>373</v>
      </c>
      <c r="V86" s="58" t="s">
        <v>931</v>
      </c>
      <c r="X86" s="55" t="b">
        <f t="shared" si="1"/>
        <v>0</v>
      </c>
    </row>
    <row r="87" ht="15.0" customHeight="1">
      <c r="A87" s="56" t="s">
        <v>932</v>
      </c>
      <c r="B87" s="56" t="s">
        <v>933</v>
      </c>
      <c r="C87" s="57" t="s">
        <v>934</v>
      </c>
      <c r="D87" s="58">
        <v>5.617899084E9</v>
      </c>
      <c r="E87" s="56" t="s">
        <v>935</v>
      </c>
      <c r="F87" s="56" t="s">
        <v>362</v>
      </c>
      <c r="G87" s="56" t="s">
        <v>936</v>
      </c>
      <c r="H87" s="56" t="s">
        <v>399</v>
      </c>
      <c r="I87" s="56" t="s">
        <v>380</v>
      </c>
      <c r="J87" s="56" t="s">
        <v>413</v>
      </c>
      <c r="K87" s="56" t="s">
        <v>400</v>
      </c>
      <c r="L87" s="56" t="s">
        <v>368</v>
      </c>
      <c r="M87" s="59"/>
      <c r="N87" s="59"/>
      <c r="O87" s="56" t="s">
        <v>382</v>
      </c>
      <c r="P87" s="60">
        <v>46025.0</v>
      </c>
      <c r="Q87" s="56" t="s">
        <v>937</v>
      </c>
      <c r="R87" s="56" t="s">
        <v>938</v>
      </c>
      <c r="S87" s="59"/>
      <c r="T87" s="56" t="s">
        <v>393</v>
      </c>
      <c r="U87" s="61" t="s">
        <v>394</v>
      </c>
      <c r="V87" s="58" t="s">
        <v>939</v>
      </c>
      <c r="X87" s="55" t="b">
        <f t="shared" si="1"/>
        <v>0</v>
      </c>
    </row>
    <row r="88" ht="15.0" customHeight="1">
      <c r="A88" s="56" t="s">
        <v>110</v>
      </c>
      <c r="B88" s="56" t="s">
        <v>940</v>
      </c>
      <c r="C88" s="57" t="s">
        <v>941</v>
      </c>
      <c r="D88" s="58">
        <v>7.13677404E9</v>
      </c>
      <c r="E88" s="56" t="s">
        <v>361</v>
      </c>
      <c r="F88" s="56" t="s">
        <v>377</v>
      </c>
      <c r="G88" s="56" t="s">
        <v>377</v>
      </c>
      <c r="H88" s="56" t="s">
        <v>364</v>
      </c>
      <c r="I88" s="56" t="s">
        <v>365</v>
      </c>
      <c r="J88" s="56" t="s">
        <v>413</v>
      </c>
      <c r="K88" s="56" t="s">
        <v>367</v>
      </c>
      <c r="L88" s="56" t="s">
        <v>368</v>
      </c>
      <c r="M88" s="59"/>
      <c r="N88" s="59"/>
      <c r="O88" s="56" t="s">
        <v>382</v>
      </c>
      <c r="P88" s="60">
        <v>46025.0</v>
      </c>
      <c r="Q88" s="56" t="s">
        <v>942</v>
      </c>
      <c r="R88" s="56" t="s">
        <v>943</v>
      </c>
      <c r="S88" s="59"/>
      <c r="T88" s="56" t="s">
        <v>372</v>
      </c>
      <c r="U88" s="61" t="s">
        <v>373</v>
      </c>
      <c r="V88" s="58" t="s">
        <v>944</v>
      </c>
      <c r="X88" s="55" t="b">
        <f t="shared" si="1"/>
        <v>0</v>
      </c>
    </row>
    <row r="89" ht="15.0" customHeight="1">
      <c r="A89" s="56" t="s">
        <v>945</v>
      </c>
      <c r="B89" s="56" t="s">
        <v>946</v>
      </c>
      <c r="C89" s="57" t="s">
        <v>947</v>
      </c>
      <c r="D89" s="58">
        <v>5.127091973E9</v>
      </c>
      <c r="E89" s="56" t="s">
        <v>489</v>
      </c>
      <c r="F89" s="56" t="s">
        <v>390</v>
      </c>
      <c r="G89" s="56" t="s">
        <v>948</v>
      </c>
      <c r="H89" s="56" t="s">
        <v>379</v>
      </c>
      <c r="I89" s="56" t="s">
        <v>520</v>
      </c>
      <c r="J89" s="56" t="s">
        <v>413</v>
      </c>
      <c r="K89" s="56" t="s">
        <v>497</v>
      </c>
      <c r="L89" s="56" t="s">
        <v>368</v>
      </c>
      <c r="M89" s="59"/>
      <c r="N89" s="59"/>
      <c r="O89" s="56" t="s">
        <v>949</v>
      </c>
      <c r="P89" s="60">
        <v>46118.0</v>
      </c>
      <c r="Q89" s="59"/>
      <c r="R89" s="56" t="s">
        <v>950</v>
      </c>
      <c r="S89" s="59"/>
      <c r="T89" s="56" t="s">
        <v>385</v>
      </c>
      <c r="U89" s="61" t="s">
        <v>373</v>
      </c>
      <c r="V89" s="58" t="s">
        <v>951</v>
      </c>
      <c r="X89" s="55" t="b">
        <f t="shared" si="1"/>
        <v>0</v>
      </c>
    </row>
    <row r="90" ht="15.0" customHeight="1">
      <c r="A90" s="56" t="s">
        <v>952</v>
      </c>
      <c r="B90" s="56" t="s">
        <v>953</v>
      </c>
      <c r="C90" s="57" t="s">
        <v>954</v>
      </c>
      <c r="D90" s="58">
        <v>5.128483131E9</v>
      </c>
      <c r="E90" s="56" t="s">
        <v>955</v>
      </c>
      <c r="F90" s="56" t="s">
        <v>390</v>
      </c>
      <c r="G90" s="56" t="s">
        <v>956</v>
      </c>
      <c r="H90" s="56" t="s">
        <v>364</v>
      </c>
      <c r="I90" s="56" t="s">
        <v>365</v>
      </c>
      <c r="J90" s="56" t="s">
        <v>413</v>
      </c>
      <c r="K90" s="56" t="s">
        <v>561</v>
      </c>
      <c r="L90" s="56" t="s">
        <v>368</v>
      </c>
      <c r="M90" s="59"/>
      <c r="N90" s="59"/>
      <c r="O90" s="56" t="s">
        <v>382</v>
      </c>
      <c r="P90" s="60">
        <v>46025.0</v>
      </c>
      <c r="Q90" s="56" t="s">
        <v>957</v>
      </c>
      <c r="R90" s="56" t="s">
        <v>958</v>
      </c>
      <c r="S90" s="59"/>
      <c r="T90" s="56" t="s">
        <v>372</v>
      </c>
      <c r="U90" s="61" t="s">
        <v>373</v>
      </c>
      <c r="V90" s="58" t="s">
        <v>959</v>
      </c>
      <c r="X90" s="55" t="b">
        <f t="shared" si="1"/>
        <v>0</v>
      </c>
    </row>
    <row r="91" ht="15.0" customHeight="1">
      <c r="A91" s="56" t="s">
        <v>114</v>
      </c>
      <c r="B91" s="56" t="s">
        <v>960</v>
      </c>
      <c r="C91" s="57" t="s">
        <v>961</v>
      </c>
      <c r="D91" s="56" t="s">
        <v>962</v>
      </c>
      <c r="E91" s="56" t="s">
        <v>361</v>
      </c>
      <c r="F91" s="56" t="s">
        <v>452</v>
      </c>
      <c r="G91" s="56" t="s">
        <v>963</v>
      </c>
      <c r="H91" s="56" t="s">
        <v>399</v>
      </c>
      <c r="I91" s="56" t="s">
        <v>365</v>
      </c>
      <c r="J91" s="56" t="s">
        <v>366</v>
      </c>
      <c r="K91" s="56" t="s">
        <v>367</v>
      </c>
      <c r="L91" s="56" t="s">
        <v>368</v>
      </c>
      <c r="M91" s="58">
        <v>2.0</v>
      </c>
      <c r="N91" s="59"/>
      <c r="O91" s="56" t="s">
        <v>414</v>
      </c>
      <c r="P91" s="60">
        <v>46118.0</v>
      </c>
      <c r="Q91" s="56" t="s">
        <v>964</v>
      </c>
      <c r="R91" s="56" t="s">
        <v>574</v>
      </c>
      <c r="S91" s="59"/>
      <c r="T91" s="56" t="s">
        <v>372</v>
      </c>
      <c r="U91" s="61" t="s">
        <v>373</v>
      </c>
      <c r="V91" s="58" t="s">
        <v>965</v>
      </c>
      <c r="X91" s="55" t="b">
        <f t="shared" si="1"/>
        <v>0</v>
      </c>
    </row>
    <row r="92" ht="15.0" customHeight="1">
      <c r="A92" s="56" t="s">
        <v>116</v>
      </c>
      <c r="B92" s="56" t="s">
        <v>966</v>
      </c>
      <c r="C92" s="57" t="s">
        <v>967</v>
      </c>
      <c r="D92" s="58">
        <v>8.32367025E9</v>
      </c>
      <c r="E92" s="56" t="s">
        <v>389</v>
      </c>
      <c r="F92" s="56" t="s">
        <v>504</v>
      </c>
      <c r="G92" s="56" t="s">
        <v>968</v>
      </c>
      <c r="H92" s="56" t="s">
        <v>379</v>
      </c>
      <c r="I92" s="56" t="s">
        <v>365</v>
      </c>
      <c r="J92" s="56" t="s">
        <v>366</v>
      </c>
      <c r="K92" s="56" t="s">
        <v>483</v>
      </c>
      <c r="L92" s="56" t="s">
        <v>368</v>
      </c>
      <c r="M92" s="59"/>
      <c r="N92" s="59"/>
      <c r="O92" s="56" t="s">
        <v>382</v>
      </c>
      <c r="P92" s="60">
        <v>46118.0</v>
      </c>
      <c r="Q92" s="56" t="s">
        <v>969</v>
      </c>
      <c r="R92" s="56" t="s">
        <v>970</v>
      </c>
      <c r="S92" s="59"/>
      <c r="T92" s="56" t="s">
        <v>385</v>
      </c>
      <c r="U92" s="61" t="s">
        <v>373</v>
      </c>
      <c r="V92" s="58" t="s">
        <v>971</v>
      </c>
      <c r="X92" s="55" t="b">
        <f t="shared" si="1"/>
        <v>0</v>
      </c>
    </row>
    <row r="93" ht="15.0" customHeight="1">
      <c r="A93" s="56" t="s">
        <v>117</v>
      </c>
      <c r="B93" s="56" t="s">
        <v>972</v>
      </c>
      <c r="C93" s="57" t="s">
        <v>973</v>
      </c>
      <c r="D93" s="56" t="s">
        <v>974</v>
      </c>
      <c r="E93" s="56" t="s">
        <v>511</v>
      </c>
      <c r="F93" s="56" t="s">
        <v>377</v>
      </c>
      <c r="G93" s="56" t="s">
        <v>377</v>
      </c>
      <c r="H93" s="56" t="s">
        <v>379</v>
      </c>
      <c r="I93" s="56" t="s">
        <v>365</v>
      </c>
      <c r="J93" s="56" t="s">
        <v>366</v>
      </c>
      <c r="K93" s="56" t="s">
        <v>381</v>
      </c>
      <c r="L93" s="56" t="s">
        <v>368</v>
      </c>
      <c r="M93" s="58">
        <v>0.0</v>
      </c>
      <c r="N93" s="58">
        <v>0.0</v>
      </c>
      <c r="O93" s="56" t="s">
        <v>382</v>
      </c>
      <c r="P93" s="60">
        <v>46025.0</v>
      </c>
      <c r="Q93" s="56" t="s">
        <v>975</v>
      </c>
      <c r="R93" s="56" t="s">
        <v>976</v>
      </c>
      <c r="S93" s="59"/>
      <c r="T93" s="56" t="s">
        <v>385</v>
      </c>
      <c r="U93" s="61" t="s">
        <v>373</v>
      </c>
      <c r="V93" s="58" t="s">
        <v>977</v>
      </c>
      <c r="X93" s="55" t="b">
        <f t="shared" si="1"/>
        <v>0</v>
      </c>
    </row>
    <row r="94" ht="15.0" customHeight="1">
      <c r="A94" s="56" t="s">
        <v>978</v>
      </c>
      <c r="B94" s="56" t="s">
        <v>979</v>
      </c>
      <c r="C94" s="57" t="s">
        <v>980</v>
      </c>
      <c r="D94" s="58">
        <v>8.325637312E9</v>
      </c>
      <c r="E94" s="56" t="s">
        <v>579</v>
      </c>
      <c r="F94" s="56" t="s">
        <v>452</v>
      </c>
      <c r="G94" s="56" t="s">
        <v>981</v>
      </c>
      <c r="H94" s="56" t="s">
        <v>399</v>
      </c>
      <c r="I94" s="56" t="s">
        <v>365</v>
      </c>
      <c r="J94" s="56" t="s">
        <v>366</v>
      </c>
      <c r="K94" s="56" t="s">
        <v>367</v>
      </c>
      <c r="L94" s="56" t="s">
        <v>368</v>
      </c>
      <c r="M94" s="58">
        <v>0.0</v>
      </c>
      <c r="N94" s="58">
        <v>2.0</v>
      </c>
      <c r="O94" s="56" t="s">
        <v>382</v>
      </c>
      <c r="P94" s="60">
        <v>46025.0</v>
      </c>
      <c r="Q94" s="56" t="s">
        <v>979</v>
      </c>
      <c r="R94" s="56" t="s">
        <v>816</v>
      </c>
      <c r="S94" s="59"/>
      <c r="T94" s="56" t="s">
        <v>372</v>
      </c>
      <c r="U94" s="61" t="s">
        <v>373</v>
      </c>
      <c r="V94" s="58" t="s">
        <v>982</v>
      </c>
      <c r="X94" s="55" t="b">
        <f t="shared" si="1"/>
        <v>0</v>
      </c>
    </row>
    <row r="95" ht="15.0" customHeight="1">
      <c r="A95" s="56" t="s">
        <v>299</v>
      </c>
      <c r="B95" s="56" t="s">
        <v>983</v>
      </c>
      <c r="C95" s="57" t="s">
        <v>984</v>
      </c>
      <c r="D95" s="58">
        <v>5.123381101E9</v>
      </c>
      <c r="E95" s="56" t="s">
        <v>361</v>
      </c>
      <c r="F95" s="56" t="s">
        <v>390</v>
      </c>
      <c r="G95" s="56" t="s">
        <v>702</v>
      </c>
      <c r="H95" s="56" t="s">
        <v>364</v>
      </c>
      <c r="I95" s="56" t="s">
        <v>365</v>
      </c>
      <c r="J95" s="56" t="s">
        <v>413</v>
      </c>
      <c r="K95" s="56" t="s">
        <v>367</v>
      </c>
      <c r="L95" s="56" t="s">
        <v>368</v>
      </c>
      <c r="M95" s="58">
        <v>2.0</v>
      </c>
      <c r="N95" s="59"/>
      <c r="O95" s="56" t="s">
        <v>382</v>
      </c>
      <c r="P95" s="60">
        <v>46025.0</v>
      </c>
      <c r="Q95" s="59"/>
      <c r="R95" s="56" t="s">
        <v>698</v>
      </c>
      <c r="S95" s="59"/>
      <c r="T95" s="56" t="s">
        <v>372</v>
      </c>
      <c r="U95" s="61" t="s">
        <v>373</v>
      </c>
      <c r="V95" s="58" t="s">
        <v>985</v>
      </c>
      <c r="X95" s="55" t="b">
        <f t="shared" si="1"/>
        <v>0</v>
      </c>
    </row>
    <row r="96" ht="15.0" customHeight="1">
      <c r="A96" s="56" t="s">
        <v>118</v>
      </c>
      <c r="B96" s="56" t="s">
        <v>986</v>
      </c>
      <c r="C96" s="57" t="s">
        <v>987</v>
      </c>
      <c r="D96" s="58">
        <v>6.787635161E9</v>
      </c>
      <c r="E96" s="56" t="s">
        <v>552</v>
      </c>
      <c r="F96" s="56" t="s">
        <v>452</v>
      </c>
      <c r="G96" s="56" t="s">
        <v>702</v>
      </c>
      <c r="H96" s="56" t="s">
        <v>364</v>
      </c>
      <c r="I96" s="56" t="s">
        <v>365</v>
      </c>
      <c r="J96" s="56" t="s">
        <v>413</v>
      </c>
      <c r="K96" s="56" t="s">
        <v>400</v>
      </c>
      <c r="L96" s="56" t="s">
        <v>368</v>
      </c>
      <c r="M96" s="58">
        <v>1.0</v>
      </c>
      <c r="N96" s="59"/>
      <c r="O96" s="56" t="s">
        <v>382</v>
      </c>
      <c r="P96" s="60">
        <v>46025.0</v>
      </c>
      <c r="Q96" s="59"/>
      <c r="R96" s="56" t="s">
        <v>988</v>
      </c>
      <c r="S96" s="59"/>
      <c r="T96" s="56" t="s">
        <v>393</v>
      </c>
      <c r="U96" s="61" t="s">
        <v>373</v>
      </c>
      <c r="V96" s="58" t="s">
        <v>989</v>
      </c>
      <c r="X96" s="55" t="b">
        <f t="shared" si="1"/>
        <v>0</v>
      </c>
    </row>
    <row r="97" ht="15.0" customHeight="1">
      <c r="A97" s="56" t="s">
        <v>990</v>
      </c>
      <c r="B97" s="56" t="s">
        <v>991</v>
      </c>
      <c r="C97" s="57" t="s">
        <v>992</v>
      </c>
      <c r="D97" s="58">
        <v>2.259393933E9</v>
      </c>
      <c r="E97" s="56" t="s">
        <v>525</v>
      </c>
      <c r="F97" s="56" t="s">
        <v>390</v>
      </c>
      <c r="G97" s="56" t="s">
        <v>993</v>
      </c>
      <c r="H97" s="56" t="s">
        <v>364</v>
      </c>
      <c r="I97" s="56" t="s">
        <v>365</v>
      </c>
      <c r="J97" s="56" t="s">
        <v>413</v>
      </c>
      <c r="K97" s="56" t="s">
        <v>367</v>
      </c>
      <c r="L97" s="56" t="s">
        <v>368</v>
      </c>
      <c r="M97" s="58">
        <v>1.0</v>
      </c>
      <c r="N97" s="59"/>
      <c r="O97" s="56" t="s">
        <v>414</v>
      </c>
      <c r="P97" s="58">
        <v>0.0</v>
      </c>
      <c r="Q97" s="56" t="s">
        <v>994</v>
      </c>
      <c r="R97" s="56" t="s">
        <v>995</v>
      </c>
      <c r="S97" s="59"/>
      <c r="T97" s="56" t="s">
        <v>372</v>
      </c>
      <c r="U97" s="61" t="s">
        <v>373</v>
      </c>
      <c r="V97" s="58" t="s">
        <v>996</v>
      </c>
      <c r="X97" s="55" t="b">
        <f t="shared" si="1"/>
        <v>0</v>
      </c>
    </row>
    <row r="98" ht="15.0" customHeight="1">
      <c r="A98" s="56" t="s">
        <v>119</v>
      </c>
      <c r="B98" s="56" t="s">
        <v>997</v>
      </c>
      <c r="C98" s="57" t="s">
        <v>998</v>
      </c>
      <c r="D98" s="56" t="s">
        <v>999</v>
      </c>
      <c r="E98" s="56" t="s">
        <v>715</v>
      </c>
      <c r="F98" s="56" t="s">
        <v>377</v>
      </c>
      <c r="G98" s="56" t="s">
        <v>377</v>
      </c>
      <c r="H98" s="56" t="s">
        <v>379</v>
      </c>
      <c r="I98" s="56" t="s">
        <v>380</v>
      </c>
      <c r="J98" s="56" t="s">
        <v>366</v>
      </c>
      <c r="K98" s="56" t="s">
        <v>400</v>
      </c>
      <c r="L98" s="56" t="s">
        <v>368</v>
      </c>
      <c r="M98" s="58">
        <v>0.0</v>
      </c>
      <c r="N98" s="59"/>
      <c r="O98" s="56" t="s">
        <v>382</v>
      </c>
      <c r="P98" s="60">
        <v>46025.0</v>
      </c>
      <c r="Q98" s="56" t="s">
        <v>1000</v>
      </c>
      <c r="R98" s="56" t="s">
        <v>1001</v>
      </c>
      <c r="S98" s="59"/>
      <c r="T98" s="56" t="s">
        <v>393</v>
      </c>
      <c r="U98" s="61" t="s">
        <v>373</v>
      </c>
      <c r="V98" s="58" t="s">
        <v>704</v>
      </c>
      <c r="X98" s="55" t="b">
        <f t="shared" si="1"/>
        <v>0</v>
      </c>
    </row>
    <row r="99" ht="15.0" customHeight="1">
      <c r="A99" s="56" t="s">
        <v>121</v>
      </c>
      <c r="B99" s="56" t="s">
        <v>1002</v>
      </c>
      <c r="C99" s="57" t="s">
        <v>1003</v>
      </c>
      <c r="D99" s="58">
        <v>6.302545522E9</v>
      </c>
      <c r="E99" s="56" t="s">
        <v>1004</v>
      </c>
      <c r="F99" s="56" t="s">
        <v>377</v>
      </c>
      <c r="G99" s="56" t="s">
        <v>1005</v>
      </c>
      <c r="H99" s="56" t="s">
        <v>379</v>
      </c>
      <c r="I99" s="56" t="s">
        <v>412</v>
      </c>
      <c r="J99" s="56" t="s">
        <v>413</v>
      </c>
      <c r="K99" s="56" t="s">
        <v>381</v>
      </c>
      <c r="L99" s="56" t="s">
        <v>368</v>
      </c>
      <c r="M99" s="59"/>
      <c r="N99" s="59"/>
      <c r="O99" s="56" t="s">
        <v>382</v>
      </c>
      <c r="P99" s="58">
        <v>0.0</v>
      </c>
      <c r="Q99" s="56" t="s">
        <v>1006</v>
      </c>
      <c r="R99" s="56" t="s">
        <v>1007</v>
      </c>
      <c r="S99" s="59"/>
      <c r="T99" s="56" t="s">
        <v>385</v>
      </c>
      <c r="U99" s="61" t="s">
        <v>373</v>
      </c>
      <c r="V99" s="58" t="s">
        <v>1008</v>
      </c>
      <c r="X99" s="55" t="b">
        <f t="shared" si="1"/>
        <v>0</v>
      </c>
    </row>
    <row r="100" ht="15.0" customHeight="1">
      <c r="A100" s="56" t="s">
        <v>1009</v>
      </c>
      <c r="B100" s="56" t="s">
        <v>1010</v>
      </c>
      <c r="C100" s="57" t="s">
        <v>1011</v>
      </c>
      <c r="D100" s="58">
        <v>6.039210876E9</v>
      </c>
      <c r="E100" s="56" t="s">
        <v>389</v>
      </c>
      <c r="F100" s="56" t="s">
        <v>390</v>
      </c>
      <c r="G100" s="56" t="s">
        <v>1012</v>
      </c>
      <c r="H100" s="56" t="s">
        <v>364</v>
      </c>
      <c r="I100" s="56" t="s">
        <v>365</v>
      </c>
      <c r="J100" s="56" t="s">
        <v>366</v>
      </c>
      <c r="K100" s="56" t="s">
        <v>381</v>
      </c>
      <c r="L100" s="56" t="s">
        <v>368</v>
      </c>
      <c r="M100" s="59"/>
      <c r="N100" s="59"/>
      <c r="O100" s="56" t="s">
        <v>414</v>
      </c>
      <c r="P100" s="58">
        <v>0.0</v>
      </c>
      <c r="Q100" s="59"/>
      <c r="R100" s="56" t="s">
        <v>1013</v>
      </c>
      <c r="S100" s="59"/>
      <c r="T100" s="56" t="s">
        <v>385</v>
      </c>
      <c r="U100" s="61" t="s">
        <v>373</v>
      </c>
      <c r="V100" s="58" t="s">
        <v>1014</v>
      </c>
      <c r="X100" s="55" t="b">
        <f t="shared" si="1"/>
        <v>0</v>
      </c>
    </row>
    <row r="101" ht="15.0" customHeight="1">
      <c r="A101" s="56" t="s">
        <v>1015</v>
      </c>
      <c r="B101" s="56" t="s">
        <v>1016</v>
      </c>
      <c r="C101" s="57" t="s">
        <v>1017</v>
      </c>
      <c r="D101" s="56" t="s">
        <v>1018</v>
      </c>
      <c r="E101" s="56" t="s">
        <v>525</v>
      </c>
      <c r="F101" s="56" t="s">
        <v>452</v>
      </c>
      <c r="G101" s="56" t="s">
        <v>1019</v>
      </c>
      <c r="H101" s="56" t="s">
        <v>364</v>
      </c>
      <c r="I101" s="56" t="s">
        <v>520</v>
      </c>
      <c r="J101" s="56" t="s">
        <v>413</v>
      </c>
      <c r="K101" s="56" t="s">
        <v>1020</v>
      </c>
      <c r="L101" s="56" t="s">
        <v>368</v>
      </c>
      <c r="M101" s="59"/>
      <c r="N101" s="59"/>
      <c r="O101" s="56" t="s">
        <v>382</v>
      </c>
      <c r="P101" s="60">
        <v>46025.0</v>
      </c>
      <c r="Q101" s="59"/>
      <c r="R101" s="56" t="s">
        <v>1021</v>
      </c>
      <c r="S101" s="59"/>
      <c r="T101" s="56" t="s">
        <v>393</v>
      </c>
      <c r="U101" s="61" t="s">
        <v>373</v>
      </c>
      <c r="V101" s="58" t="s">
        <v>1022</v>
      </c>
      <c r="X101" s="55" t="b">
        <f t="shared" si="1"/>
        <v>0</v>
      </c>
    </row>
    <row r="102" ht="15.0" customHeight="1">
      <c r="A102" s="56" t="s">
        <v>123</v>
      </c>
      <c r="B102" s="56" t="s">
        <v>1023</v>
      </c>
      <c r="C102" s="57" t="s">
        <v>1024</v>
      </c>
      <c r="D102" s="58">
        <v>8.322707202E9</v>
      </c>
      <c r="E102" s="56" t="s">
        <v>579</v>
      </c>
      <c r="F102" s="56" t="s">
        <v>580</v>
      </c>
      <c r="G102" s="56" t="s">
        <v>1025</v>
      </c>
      <c r="H102" s="56" t="s">
        <v>379</v>
      </c>
      <c r="I102" s="56" t="s">
        <v>365</v>
      </c>
      <c r="J102" s="56" t="s">
        <v>413</v>
      </c>
      <c r="K102" s="56" t="s">
        <v>400</v>
      </c>
      <c r="L102" s="56" t="s">
        <v>368</v>
      </c>
      <c r="M102" s="59"/>
      <c r="N102" s="59"/>
      <c r="O102" s="56" t="s">
        <v>382</v>
      </c>
      <c r="P102" s="60">
        <v>46118.0</v>
      </c>
      <c r="Q102" s="59"/>
      <c r="R102" s="56" t="s">
        <v>1026</v>
      </c>
      <c r="S102" s="59"/>
      <c r="T102" s="56" t="s">
        <v>393</v>
      </c>
      <c r="U102" s="61" t="s">
        <v>373</v>
      </c>
      <c r="V102" s="58" t="s">
        <v>1027</v>
      </c>
      <c r="X102" s="55" t="b">
        <f t="shared" si="1"/>
        <v>0</v>
      </c>
    </row>
    <row r="103" ht="15.0" customHeight="1">
      <c r="A103" s="56" t="s">
        <v>124</v>
      </c>
      <c r="B103" s="56" t="s">
        <v>1028</v>
      </c>
      <c r="C103" s="57" t="s">
        <v>1029</v>
      </c>
      <c r="D103" s="58">
        <v>6.082719E9</v>
      </c>
      <c r="E103" s="56" t="s">
        <v>1030</v>
      </c>
      <c r="F103" s="56" t="s">
        <v>362</v>
      </c>
      <c r="G103" s="56" t="s">
        <v>436</v>
      </c>
      <c r="H103" s="56" t="s">
        <v>364</v>
      </c>
      <c r="I103" s="56" t="s">
        <v>365</v>
      </c>
      <c r="J103" s="56" t="s">
        <v>413</v>
      </c>
      <c r="K103" s="56" t="s">
        <v>381</v>
      </c>
      <c r="L103" s="56" t="s">
        <v>368</v>
      </c>
      <c r="M103" s="59"/>
      <c r="N103" s="59"/>
      <c r="O103" s="56" t="s">
        <v>382</v>
      </c>
      <c r="P103" s="60">
        <v>46118.0</v>
      </c>
      <c r="Q103" s="59"/>
      <c r="R103" s="56" t="s">
        <v>1031</v>
      </c>
      <c r="S103" s="59"/>
      <c r="T103" s="56" t="s">
        <v>385</v>
      </c>
      <c r="U103" s="61" t="s">
        <v>373</v>
      </c>
      <c r="V103" s="58" t="s">
        <v>1032</v>
      </c>
      <c r="X103" s="55" t="b">
        <f t="shared" si="1"/>
        <v>0</v>
      </c>
    </row>
    <row r="104" ht="15.0" customHeight="1">
      <c r="A104" s="56" t="s">
        <v>125</v>
      </c>
      <c r="B104" s="56" t="s">
        <v>1033</v>
      </c>
      <c r="C104" s="57" t="s">
        <v>1034</v>
      </c>
      <c r="D104" s="56" t="s">
        <v>1035</v>
      </c>
      <c r="E104" s="56" t="s">
        <v>1036</v>
      </c>
      <c r="F104" s="56" t="s">
        <v>377</v>
      </c>
      <c r="G104" s="56" t="s">
        <v>795</v>
      </c>
      <c r="H104" s="56" t="s">
        <v>379</v>
      </c>
      <c r="I104" s="56" t="s">
        <v>365</v>
      </c>
      <c r="J104" s="56" t="s">
        <v>413</v>
      </c>
      <c r="K104" s="56" t="s">
        <v>367</v>
      </c>
      <c r="L104" s="56" t="s">
        <v>368</v>
      </c>
      <c r="M104" s="59"/>
      <c r="N104" s="59"/>
      <c r="O104" s="56" t="s">
        <v>382</v>
      </c>
      <c r="P104" s="60">
        <v>46025.0</v>
      </c>
      <c r="Q104" s="59"/>
      <c r="R104" s="56" t="s">
        <v>1037</v>
      </c>
      <c r="S104" s="59"/>
      <c r="T104" s="56" t="s">
        <v>372</v>
      </c>
      <c r="U104" s="61" t="s">
        <v>373</v>
      </c>
      <c r="V104" s="58" t="s">
        <v>516</v>
      </c>
      <c r="X104" s="55" t="b">
        <f t="shared" si="1"/>
        <v>0</v>
      </c>
    </row>
    <row r="105" ht="15.0" customHeight="1">
      <c r="A105" s="56" t="s">
        <v>1038</v>
      </c>
      <c r="B105" s="56" t="s">
        <v>1039</v>
      </c>
      <c r="C105" s="57" t="s">
        <v>1040</v>
      </c>
      <c r="D105" s="56" t="s">
        <v>1041</v>
      </c>
      <c r="E105" s="56" t="s">
        <v>389</v>
      </c>
      <c r="F105" s="56" t="s">
        <v>390</v>
      </c>
      <c r="G105" s="56" t="s">
        <v>391</v>
      </c>
      <c r="H105" s="56" t="s">
        <v>379</v>
      </c>
      <c r="I105" s="56" t="s">
        <v>365</v>
      </c>
      <c r="J105" s="56" t="s">
        <v>413</v>
      </c>
      <c r="K105" s="56" t="s">
        <v>723</v>
      </c>
      <c r="L105" s="56" t="s">
        <v>368</v>
      </c>
      <c r="M105" s="59"/>
      <c r="N105" s="59"/>
      <c r="O105" s="56" t="s">
        <v>382</v>
      </c>
      <c r="P105" s="60">
        <v>46025.0</v>
      </c>
      <c r="Q105" s="56" t="s">
        <v>1042</v>
      </c>
      <c r="R105" s="56" t="s">
        <v>21</v>
      </c>
      <c r="S105" s="59"/>
      <c r="T105" s="56" t="s">
        <v>393</v>
      </c>
      <c r="U105" s="61" t="s">
        <v>373</v>
      </c>
      <c r="V105" s="58" t="s">
        <v>1043</v>
      </c>
      <c r="X105" s="55" t="b">
        <f t="shared" si="1"/>
        <v>0</v>
      </c>
    </row>
    <row r="106" ht="15.0" customHeight="1">
      <c r="A106" s="56" t="s">
        <v>1044</v>
      </c>
      <c r="B106" s="56" t="s">
        <v>1045</v>
      </c>
      <c r="C106" s="57" t="s">
        <v>1046</v>
      </c>
      <c r="D106" s="58">
        <v>7.142349377E9</v>
      </c>
      <c r="E106" s="56" t="s">
        <v>1047</v>
      </c>
      <c r="F106" s="56" t="s">
        <v>377</v>
      </c>
      <c r="G106" s="56" t="s">
        <v>1048</v>
      </c>
      <c r="H106" s="56" t="s">
        <v>399</v>
      </c>
      <c r="I106" s="56" t="s">
        <v>365</v>
      </c>
      <c r="J106" s="56" t="s">
        <v>513</v>
      </c>
      <c r="K106" s="56" t="s">
        <v>497</v>
      </c>
      <c r="L106" s="56" t="s">
        <v>368</v>
      </c>
      <c r="M106" s="59"/>
      <c r="N106" s="59"/>
      <c r="O106" s="56" t="s">
        <v>382</v>
      </c>
      <c r="P106" s="60">
        <v>46213.0</v>
      </c>
      <c r="Q106" s="59"/>
      <c r="R106" s="56" t="s">
        <v>1049</v>
      </c>
      <c r="S106" s="59"/>
      <c r="T106" s="56" t="s">
        <v>385</v>
      </c>
      <c r="U106" s="61" t="s">
        <v>373</v>
      </c>
      <c r="V106" s="58" t="s">
        <v>1050</v>
      </c>
      <c r="X106" s="55" t="b">
        <f t="shared" si="1"/>
        <v>1</v>
      </c>
    </row>
    <row r="107" ht="15.0" customHeight="1">
      <c r="A107" s="56" t="s">
        <v>1051</v>
      </c>
      <c r="B107" s="56" t="s">
        <v>1052</v>
      </c>
      <c r="C107" s="57" t="s">
        <v>1053</v>
      </c>
      <c r="D107" s="58">
        <v>8.177182269E9</v>
      </c>
      <c r="E107" s="56" t="s">
        <v>1054</v>
      </c>
      <c r="F107" s="56" t="s">
        <v>362</v>
      </c>
      <c r="G107" s="56" t="s">
        <v>1055</v>
      </c>
      <c r="H107" s="56" t="s">
        <v>379</v>
      </c>
      <c r="I107" s="56" t="s">
        <v>365</v>
      </c>
      <c r="J107" s="56" t="s">
        <v>366</v>
      </c>
      <c r="K107" s="56" t="s">
        <v>367</v>
      </c>
      <c r="L107" s="56" t="s">
        <v>368</v>
      </c>
      <c r="M107" s="58">
        <v>0.0</v>
      </c>
      <c r="N107" s="58">
        <v>2.0</v>
      </c>
      <c r="O107" s="56" t="s">
        <v>382</v>
      </c>
      <c r="P107" s="60">
        <v>46118.0</v>
      </c>
      <c r="Q107" s="59"/>
      <c r="R107" s="56" t="s">
        <v>1056</v>
      </c>
      <c r="S107" s="59"/>
      <c r="T107" s="56" t="s">
        <v>372</v>
      </c>
      <c r="U107" s="61" t="s">
        <v>373</v>
      </c>
      <c r="V107" s="58" t="s">
        <v>1057</v>
      </c>
      <c r="X107" s="55" t="b">
        <f t="shared" si="1"/>
        <v>0</v>
      </c>
    </row>
    <row r="108" ht="15.0" customHeight="1">
      <c r="A108" s="56" t="s">
        <v>1058</v>
      </c>
      <c r="B108" s="56" t="s">
        <v>1059</v>
      </c>
      <c r="C108" s="57" t="s">
        <v>1060</v>
      </c>
      <c r="D108" s="58">
        <v>4.694004703E9</v>
      </c>
      <c r="E108" s="56" t="s">
        <v>1061</v>
      </c>
      <c r="F108" s="56" t="s">
        <v>421</v>
      </c>
      <c r="G108" s="56" t="s">
        <v>1062</v>
      </c>
      <c r="H108" s="56" t="s">
        <v>364</v>
      </c>
      <c r="I108" s="56" t="s">
        <v>365</v>
      </c>
      <c r="J108" s="56" t="s">
        <v>413</v>
      </c>
      <c r="K108" s="56" t="s">
        <v>381</v>
      </c>
      <c r="L108" s="56" t="s">
        <v>368</v>
      </c>
      <c r="M108" s="58">
        <v>2.0</v>
      </c>
      <c r="N108" s="58">
        <v>2.0</v>
      </c>
      <c r="O108" s="56" t="s">
        <v>382</v>
      </c>
      <c r="P108" s="60">
        <v>46025.0</v>
      </c>
      <c r="Q108" s="56" t="s">
        <v>1063</v>
      </c>
      <c r="R108" s="56" t="s">
        <v>1064</v>
      </c>
      <c r="S108" s="59"/>
      <c r="T108" s="56" t="s">
        <v>385</v>
      </c>
      <c r="U108" s="61" t="s">
        <v>373</v>
      </c>
      <c r="V108" s="58" t="s">
        <v>1065</v>
      </c>
      <c r="X108" s="55" t="b">
        <f t="shared" si="1"/>
        <v>0</v>
      </c>
    </row>
    <row r="109" ht="15.0" customHeight="1">
      <c r="A109" s="56" t="s">
        <v>1066</v>
      </c>
      <c r="B109" s="56" t="s">
        <v>1067</v>
      </c>
      <c r="C109" s="57" t="s">
        <v>1068</v>
      </c>
      <c r="D109" s="58">
        <v>9.725858766E9</v>
      </c>
      <c r="E109" s="56" t="s">
        <v>466</v>
      </c>
      <c r="F109" s="56" t="s">
        <v>421</v>
      </c>
      <c r="G109" s="56" t="s">
        <v>1069</v>
      </c>
      <c r="H109" s="56" t="s">
        <v>379</v>
      </c>
      <c r="I109" s="56" t="s">
        <v>380</v>
      </c>
      <c r="J109" s="56" t="s">
        <v>413</v>
      </c>
      <c r="K109" s="56" t="s">
        <v>723</v>
      </c>
      <c r="L109" s="56" t="s">
        <v>368</v>
      </c>
      <c r="M109" s="58">
        <v>2.0</v>
      </c>
      <c r="N109" s="59"/>
      <c r="O109" s="56" t="s">
        <v>382</v>
      </c>
      <c r="P109" s="58">
        <v>0.0</v>
      </c>
      <c r="Q109" s="59"/>
      <c r="R109" s="56" t="s">
        <v>1070</v>
      </c>
      <c r="S109" s="59"/>
      <c r="T109" s="56" t="s">
        <v>393</v>
      </c>
      <c r="U109" s="61" t="s">
        <v>373</v>
      </c>
      <c r="V109" s="58" t="s">
        <v>1071</v>
      </c>
      <c r="X109" s="55" t="b">
        <f t="shared" si="1"/>
        <v>0</v>
      </c>
    </row>
    <row r="110" ht="15.0" customHeight="1">
      <c r="A110" s="56" t="s">
        <v>129</v>
      </c>
      <c r="B110" s="56" t="s">
        <v>1072</v>
      </c>
      <c r="C110" s="57" t="s">
        <v>1073</v>
      </c>
      <c r="D110" s="56" t="s">
        <v>1074</v>
      </c>
      <c r="E110" s="56" t="s">
        <v>361</v>
      </c>
      <c r="F110" s="56" t="s">
        <v>410</v>
      </c>
      <c r="G110" s="56" t="s">
        <v>1075</v>
      </c>
      <c r="H110" s="56" t="s">
        <v>364</v>
      </c>
      <c r="I110" s="56" t="s">
        <v>365</v>
      </c>
      <c r="J110" s="56" t="s">
        <v>513</v>
      </c>
      <c r="K110" s="56" t="s">
        <v>483</v>
      </c>
      <c r="L110" s="56" t="s">
        <v>368</v>
      </c>
      <c r="M110" s="59"/>
      <c r="N110" s="59"/>
      <c r="O110" s="56" t="s">
        <v>382</v>
      </c>
      <c r="P110" s="60">
        <v>46118.0</v>
      </c>
      <c r="Q110" s="59"/>
      <c r="R110" s="56" t="s">
        <v>1076</v>
      </c>
      <c r="S110" s="59"/>
      <c r="T110" s="56" t="s">
        <v>385</v>
      </c>
      <c r="U110" s="61" t="s">
        <v>373</v>
      </c>
      <c r="V110" s="58" t="s">
        <v>769</v>
      </c>
      <c r="X110" s="55" t="b">
        <f t="shared" si="1"/>
        <v>1</v>
      </c>
    </row>
    <row r="111" ht="15.0" customHeight="1">
      <c r="A111" s="56" t="s">
        <v>130</v>
      </c>
      <c r="B111" s="56" t="s">
        <v>1077</v>
      </c>
      <c r="C111" s="57" t="s">
        <v>1078</v>
      </c>
      <c r="D111" s="56" t="s">
        <v>1079</v>
      </c>
      <c r="E111" s="56" t="s">
        <v>466</v>
      </c>
      <c r="F111" s="56" t="s">
        <v>390</v>
      </c>
      <c r="G111" s="56" t="s">
        <v>1080</v>
      </c>
      <c r="H111" s="56" t="s">
        <v>399</v>
      </c>
      <c r="I111" s="56" t="s">
        <v>412</v>
      </c>
      <c r="J111" s="56" t="s">
        <v>513</v>
      </c>
      <c r="K111" s="56" t="s">
        <v>367</v>
      </c>
      <c r="L111" s="56" t="s">
        <v>423</v>
      </c>
      <c r="M111" s="59"/>
      <c r="N111" s="59"/>
      <c r="O111" s="56" t="s">
        <v>1081</v>
      </c>
      <c r="P111" s="60">
        <v>46025.0</v>
      </c>
      <c r="Q111" s="56" t="s">
        <v>1082</v>
      </c>
      <c r="R111" s="56" t="s">
        <v>1083</v>
      </c>
      <c r="S111" s="59"/>
      <c r="T111" s="56" t="s">
        <v>372</v>
      </c>
      <c r="U111" s="61" t="s">
        <v>373</v>
      </c>
      <c r="V111" s="58" t="s">
        <v>1084</v>
      </c>
      <c r="X111" s="55" t="b">
        <f t="shared" si="1"/>
        <v>1</v>
      </c>
    </row>
    <row r="112" ht="15.0" customHeight="1">
      <c r="A112" s="56" t="s">
        <v>131</v>
      </c>
      <c r="B112" s="56" t="s">
        <v>1085</v>
      </c>
      <c r="C112" s="57" t="s">
        <v>1086</v>
      </c>
      <c r="D112" s="56" t="s">
        <v>1087</v>
      </c>
      <c r="E112" s="56" t="s">
        <v>849</v>
      </c>
      <c r="F112" s="56" t="s">
        <v>377</v>
      </c>
      <c r="G112" s="56" t="s">
        <v>1088</v>
      </c>
      <c r="H112" s="56" t="s">
        <v>364</v>
      </c>
      <c r="I112" s="56" t="s">
        <v>365</v>
      </c>
      <c r="J112" s="56" t="s">
        <v>513</v>
      </c>
      <c r="K112" s="56" t="s">
        <v>497</v>
      </c>
      <c r="L112" s="56" t="s">
        <v>368</v>
      </c>
      <c r="M112" s="59"/>
      <c r="N112" s="59"/>
      <c r="O112" s="56" t="s">
        <v>414</v>
      </c>
      <c r="P112" s="58">
        <v>0.0</v>
      </c>
      <c r="Q112" s="56" t="s">
        <v>1085</v>
      </c>
      <c r="R112" s="56" t="s">
        <v>1089</v>
      </c>
      <c r="S112" s="59"/>
      <c r="T112" s="56" t="s">
        <v>385</v>
      </c>
      <c r="U112" s="61" t="s">
        <v>373</v>
      </c>
      <c r="V112" s="58" t="s">
        <v>1090</v>
      </c>
      <c r="X112" s="55" t="b">
        <f t="shared" si="1"/>
        <v>1</v>
      </c>
    </row>
    <row r="113" ht="15.0" customHeight="1">
      <c r="A113" s="56" t="s">
        <v>1091</v>
      </c>
      <c r="B113" s="56" t="s">
        <v>1092</v>
      </c>
      <c r="C113" s="57" t="s">
        <v>1093</v>
      </c>
      <c r="D113" s="58">
        <v>3.46823173E9</v>
      </c>
      <c r="E113" s="56" t="s">
        <v>466</v>
      </c>
      <c r="F113" s="56" t="s">
        <v>421</v>
      </c>
      <c r="G113" s="56" t="s">
        <v>1094</v>
      </c>
      <c r="H113" s="56" t="s">
        <v>379</v>
      </c>
      <c r="I113" s="56" t="s">
        <v>365</v>
      </c>
      <c r="J113" s="56" t="s">
        <v>366</v>
      </c>
      <c r="K113" s="56" t="s">
        <v>367</v>
      </c>
      <c r="L113" s="56" t="s">
        <v>368</v>
      </c>
      <c r="M113" s="58">
        <v>0.0</v>
      </c>
      <c r="N113" s="58">
        <v>0.0</v>
      </c>
      <c r="O113" s="56" t="s">
        <v>382</v>
      </c>
      <c r="P113" s="60">
        <v>46025.0</v>
      </c>
      <c r="Q113" s="56" t="s">
        <v>1095</v>
      </c>
      <c r="R113" s="56" t="s">
        <v>863</v>
      </c>
      <c r="S113" s="59"/>
      <c r="T113" s="56" t="s">
        <v>372</v>
      </c>
      <c r="U113" s="61" t="s">
        <v>373</v>
      </c>
      <c r="V113" s="58" t="s">
        <v>1096</v>
      </c>
      <c r="X113" s="55" t="b">
        <f t="shared" si="1"/>
        <v>0</v>
      </c>
    </row>
    <row r="114" ht="15.0" customHeight="1">
      <c r="A114" s="56" t="s">
        <v>1097</v>
      </c>
      <c r="B114" s="56" t="s">
        <v>1098</v>
      </c>
      <c r="C114" s="57" t="s">
        <v>1099</v>
      </c>
      <c r="D114" s="56" t="s">
        <v>1100</v>
      </c>
      <c r="E114" s="56" t="s">
        <v>1101</v>
      </c>
      <c r="F114" s="56" t="s">
        <v>377</v>
      </c>
      <c r="G114" s="56" t="s">
        <v>1102</v>
      </c>
      <c r="H114" s="56" t="s">
        <v>399</v>
      </c>
      <c r="I114" s="56" t="s">
        <v>412</v>
      </c>
      <c r="J114" s="56" t="s">
        <v>513</v>
      </c>
      <c r="K114" s="56" t="s">
        <v>381</v>
      </c>
      <c r="L114" s="56" t="s">
        <v>423</v>
      </c>
      <c r="M114" s="59"/>
      <c r="N114" s="59"/>
      <c r="O114" s="56" t="s">
        <v>382</v>
      </c>
      <c r="P114" s="60">
        <v>46025.0</v>
      </c>
      <c r="Q114" s="56" t="s">
        <v>1103</v>
      </c>
      <c r="R114" s="59"/>
      <c r="S114" s="59"/>
      <c r="T114" s="56" t="s">
        <v>385</v>
      </c>
      <c r="U114" s="61" t="s">
        <v>394</v>
      </c>
      <c r="V114" s="58" t="s">
        <v>1104</v>
      </c>
      <c r="X114" s="55" t="b">
        <f t="shared" si="1"/>
        <v>1</v>
      </c>
    </row>
    <row r="115" ht="15.0" customHeight="1">
      <c r="A115" s="56" t="s">
        <v>133</v>
      </c>
      <c r="B115" s="56" t="s">
        <v>1105</v>
      </c>
      <c r="C115" s="57" t="s">
        <v>1106</v>
      </c>
      <c r="D115" s="56" t="s">
        <v>1107</v>
      </c>
      <c r="E115" s="56" t="s">
        <v>466</v>
      </c>
      <c r="F115" s="56" t="s">
        <v>390</v>
      </c>
      <c r="G115" s="56" t="s">
        <v>1069</v>
      </c>
      <c r="H115" s="56" t="s">
        <v>379</v>
      </c>
      <c r="I115" s="56" t="s">
        <v>710</v>
      </c>
      <c r="J115" s="56" t="s">
        <v>413</v>
      </c>
      <c r="K115" s="56" t="s">
        <v>400</v>
      </c>
      <c r="L115" s="56" t="s">
        <v>368</v>
      </c>
      <c r="M115" s="58">
        <v>2.0</v>
      </c>
      <c r="N115" s="59"/>
      <c r="O115" s="56" t="s">
        <v>382</v>
      </c>
      <c r="P115" s="60">
        <v>46213.0</v>
      </c>
      <c r="Q115" s="56" t="s">
        <v>1108</v>
      </c>
      <c r="R115" s="56" t="s">
        <v>1109</v>
      </c>
      <c r="S115" s="59"/>
      <c r="T115" s="56" t="s">
        <v>393</v>
      </c>
      <c r="U115" s="61" t="s">
        <v>394</v>
      </c>
      <c r="V115" s="58" t="s">
        <v>1110</v>
      </c>
      <c r="X115" s="55" t="b">
        <f t="shared" si="1"/>
        <v>0</v>
      </c>
    </row>
    <row r="116" ht="15.0" customHeight="1">
      <c r="A116" s="56" t="s">
        <v>1111</v>
      </c>
      <c r="B116" s="56" t="s">
        <v>1112</v>
      </c>
      <c r="C116" s="57" t="s">
        <v>1113</v>
      </c>
      <c r="D116" s="58">
        <v>9.363063281E9</v>
      </c>
      <c r="E116" s="56" t="s">
        <v>361</v>
      </c>
      <c r="F116" s="56" t="s">
        <v>1114</v>
      </c>
      <c r="G116" s="56" t="s">
        <v>1115</v>
      </c>
      <c r="H116" s="56" t="s">
        <v>379</v>
      </c>
      <c r="I116" s="56" t="s">
        <v>405</v>
      </c>
      <c r="J116" s="56" t="s">
        <v>413</v>
      </c>
      <c r="K116" s="56" t="s">
        <v>400</v>
      </c>
      <c r="L116" s="56" t="s">
        <v>368</v>
      </c>
      <c r="M116" s="59"/>
      <c r="N116" s="59"/>
      <c r="O116" s="56" t="s">
        <v>382</v>
      </c>
      <c r="P116" s="60">
        <v>46213.0</v>
      </c>
      <c r="Q116" s="56" t="s">
        <v>1116</v>
      </c>
      <c r="R116" s="56" t="s">
        <v>1117</v>
      </c>
      <c r="S116" s="59"/>
      <c r="T116" s="56" t="s">
        <v>393</v>
      </c>
      <c r="U116" s="61" t="s">
        <v>373</v>
      </c>
      <c r="V116" s="58" t="s">
        <v>1118</v>
      </c>
      <c r="X116" s="55" t="b">
        <f t="shared" si="1"/>
        <v>0</v>
      </c>
    </row>
    <row r="117" ht="15.0" customHeight="1">
      <c r="A117" s="56" t="s">
        <v>1119</v>
      </c>
      <c r="B117" s="56" t="s">
        <v>1120</v>
      </c>
      <c r="C117" s="57" t="s">
        <v>1121</v>
      </c>
      <c r="D117" s="58">
        <v>9.132078997E9</v>
      </c>
      <c r="E117" s="56" t="s">
        <v>511</v>
      </c>
      <c r="F117" s="56" t="s">
        <v>377</v>
      </c>
      <c r="G117" s="56" t="s">
        <v>1122</v>
      </c>
      <c r="H117" s="56" t="s">
        <v>364</v>
      </c>
      <c r="I117" s="56" t="s">
        <v>365</v>
      </c>
      <c r="J117" s="56" t="s">
        <v>413</v>
      </c>
      <c r="K117" s="56" t="s">
        <v>400</v>
      </c>
      <c r="L117" s="56" t="s">
        <v>368</v>
      </c>
      <c r="M117" s="59"/>
      <c r="N117" s="59"/>
      <c r="O117" s="56" t="s">
        <v>1123</v>
      </c>
      <c r="P117" s="60">
        <v>46025.0</v>
      </c>
      <c r="Q117" s="56" t="s">
        <v>1124</v>
      </c>
      <c r="R117" s="56" t="s">
        <v>1125</v>
      </c>
      <c r="S117" s="59"/>
      <c r="T117" s="56" t="s">
        <v>393</v>
      </c>
      <c r="U117" s="61" t="s">
        <v>373</v>
      </c>
      <c r="V117" s="58" t="s">
        <v>1126</v>
      </c>
      <c r="X117" s="55" t="b">
        <f t="shared" si="1"/>
        <v>0</v>
      </c>
    </row>
    <row r="118" ht="15.0" customHeight="1">
      <c r="A118" s="56" t="s">
        <v>1127</v>
      </c>
      <c r="B118" s="56" t="s">
        <v>1128</v>
      </c>
      <c r="C118" s="57" t="s">
        <v>1129</v>
      </c>
      <c r="D118" s="56" t="s">
        <v>1130</v>
      </c>
      <c r="E118" s="56" t="s">
        <v>361</v>
      </c>
      <c r="F118" s="56" t="s">
        <v>390</v>
      </c>
      <c r="G118" s="56" t="s">
        <v>453</v>
      </c>
      <c r="H118" s="56" t="s">
        <v>364</v>
      </c>
      <c r="I118" s="56" t="s">
        <v>365</v>
      </c>
      <c r="J118" s="56" t="s">
        <v>366</v>
      </c>
      <c r="K118" s="56" t="s">
        <v>381</v>
      </c>
      <c r="L118" s="56" t="s">
        <v>368</v>
      </c>
      <c r="M118" s="59"/>
      <c r="N118" s="59"/>
      <c r="O118" s="56" t="s">
        <v>1127</v>
      </c>
      <c r="P118" s="60">
        <v>46025.0</v>
      </c>
      <c r="Q118" s="59"/>
      <c r="R118" s="56" t="s">
        <v>1131</v>
      </c>
      <c r="S118" s="59"/>
      <c r="T118" s="56" t="s">
        <v>385</v>
      </c>
      <c r="U118" s="61" t="s">
        <v>373</v>
      </c>
      <c r="V118" s="58" t="s">
        <v>625</v>
      </c>
      <c r="X118" s="55" t="b">
        <f t="shared" si="1"/>
        <v>0</v>
      </c>
    </row>
    <row r="119" ht="15.0" customHeight="1">
      <c r="A119" s="56" t="s">
        <v>1132</v>
      </c>
      <c r="B119" s="56" t="s">
        <v>1133</v>
      </c>
      <c r="C119" s="57" t="s">
        <v>1134</v>
      </c>
      <c r="D119" s="58">
        <v>8.605598793E9</v>
      </c>
      <c r="E119" s="56" t="s">
        <v>1135</v>
      </c>
      <c r="F119" s="56" t="s">
        <v>390</v>
      </c>
      <c r="G119" s="56" t="s">
        <v>1136</v>
      </c>
      <c r="H119" s="56" t="s">
        <v>364</v>
      </c>
      <c r="I119" s="56" t="s">
        <v>365</v>
      </c>
      <c r="J119" s="56" t="s">
        <v>513</v>
      </c>
      <c r="K119" s="56" t="s">
        <v>367</v>
      </c>
      <c r="L119" s="56" t="s">
        <v>368</v>
      </c>
      <c r="M119" s="59"/>
      <c r="N119" s="59"/>
      <c r="O119" s="56" t="s">
        <v>382</v>
      </c>
      <c r="P119" s="60">
        <v>46025.0</v>
      </c>
      <c r="Q119" s="56" t="s">
        <v>1137</v>
      </c>
      <c r="R119" s="56" t="s">
        <v>601</v>
      </c>
      <c r="S119" s="59"/>
      <c r="T119" s="56" t="s">
        <v>372</v>
      </c>
      <c r="U119" s="61" t="s">
        <v>394</v>
      </c>
      <c r="V119" s="58" t="s">
        <v>1138</v>
      </c>
      <c r="X119" s="55" t="b">
        <f t="shared" si="1"/>
        <v>1</v>
      </c>
    </row>
    <row r="120" ht="15.0" customHeight="1">
      <c r="A120" s="56" t="s">
        <v>135</v>
      </c>
      <c r="B120" s="56" t="s">
        <v>1139</v>
      </c>
      <c r="C120" s="57" t="s">
        <v>1140</v>
      </c>
      <c r="D120" s="56" t="s">
        <v>1141</v>
      </c>
      <c r="E120" s="56" t="s">
        <v>361</v>
      </c>
      <c r="F120" s="56" t="s">
        <v>452</v>
      </c>
      <c r="G120" s="56" t="s">
        <v>1142</v>
      </c>
      <c r="H120" s="56" t="s">
        <v>399</v>
      </c>
      <c r="I120" s="56" t="s">
        <v>822</v>
      </c>
      <c r="J120" s="56" t="s">
        <v>413</v>
      </c>
      <c r="K120" s="56" t="s">
        <v>400</v>
      </c>
      <c r="L120" s="56" t="s">
        <v>368</v>
      </c>
      <c r="M120" s="58">
        <v>0.0</v>
      </c>
      <c r="N120" s="58">
        <v>0.0</v>
      </c>
      <c r="O120" s="56" t="s">
        <v>382</v>
      </c>
      <c r="P120" s="60">
        <v>46025.0</v>
      </c>
      <c r="Q120" s="59"/>
      <c r="R120" s="56" t="s">
        <v>19</v>
      </c>
      <c r="S120" s="59"/>
      <c r="T120" s="56" t="s">
        <v>393</v>
      </c>
      <c r="U120" s="61" t="s">
        <v>373</v>
      </c>
      <c r="V120" s="58" t="s">
        <v>1143</v>
      </c>
      <c r="X120" s="55" t="b">
        <f t="shared" si="1"/>
        <v>0</v>
      </c>
    </row>
    <row r="121" ht="15.0" customHeight="1">
      <c r="A121" s="56" t="s">
        <v>1144</v>
      </c>
      <c r="B121" s="56" t="s">
        <v>1144</v>
      </c>
      <c r="C121" s="57" t="s">
        <v>1145</v>
      </c>
      <c r="D121" s="58">
        <v>9.793148399E9</v>
      </c>
      <c r="E121" s="56" t="s">
        <v>361</v>
      </c>
      <c r="F121" s="56" t="s">
        <v>377</v>
      </c>
      <c r="G121" s="56" t="s">
        <v>398</v>
      </c>
      <c r="H121" s="56" t="s">
        <v>399</v>
      </c>
      <c r="I121" s="56" t="s">
        <v>380</v>
      </c>
      <c r="J121" s="56" t="s">
        <v>869</v>
      </c>
      <c r="K121" s="56" t="s">
        <v>400</v>
      </c>
      <c r="L121" s="56" t="s">
        <v>368</v>
      </c>
      <c r="M121" s="59"/>
      <c r="N121" s="59"/>
      <c r="O121" s="56" t="s">
        <v>382</v>
      </c>
      <c r="P121" s="60">
        <v>46025.0</v>
      </c>
      <c r="Q121" s="56" t="s">
        <v>1146</v>
      </c>
      <c r="R121" s="56" t="s">
        <v>1147</v>
      </c>
      <c r="S121" s="59"/>
      <c r="T121" s="56" t="s">
        <v>393</v>
      </c>
      <c r="U121" s="61" t="s">
        <v>373</v>
      </c>
      <c r="V121" s="58" t="s">
        <v>1148</v>
      </c>
      <c r="X121" s="55" t="b">
        <f t="shared" si="1"/>
        <v>0</v>
      </c>
    </row>
    <row r="122" ht="15.0" customHeight="1">
      <c r="A122" s="56" t="s">
        <v>136</v>
      </c>
      <c r="B122" s="56" t="s">
        <v>1149</v>
      </c>
      <c r="C122" s="57" t="s">
        <v>1150</v>
      </c>
      <c r="D122" s="58">
        <v>8.17714064E9</v>
      </c>
      <c r="E122" s="56" t="s">
        <v>849</v>
      </c>
      <c r="F122" s="56" t="s">
        <v>377</v>
      </c>
      <c r="G122" s="56" t="s">
        <v>1151</v>
      </c>
      <c r="H122" s="56" t="s">
        <v>379</v>
      </c>
      <c r="I122" s="56" t="s">
        <v>830</v>
      </c>
      <c r="J122" s="56" t="s">
        <v>413</v>
      </c>
      <c r="K122" s="56" t="s">
        <v>483</v>
      </c>
      <c r="L122" s="56" t="s">
        <v>368</v>
      </c>
      <c r="M122" s="59"/>
      <c r="N122" s="59"/>
      <c r="O122" s="56" t="s">
        <v>382</v>
      </c>
      <c r="P122" s="58">
        <v>0.0</v>
      </c>
      <c r="Q122" s="56" t="s">
        <v>1149</v>
      </c>
      <c r="R122" s="56" t="s">
        <v>1152</v>
      </c>
      <c r="S122" s="59"/>
      <c r="T122" s="56" t="s">
        <v>385</v>
      </c>
      <c r="U122" s="61" t="s">
        <v>373</v>
      </c>
      <c r="V122" s="58" t="s">
        <v>977</v>
      </c>
      <c r="X122" s="55" t="b">
        <f t="shared" si="1"/>
        <v>0</v>
      </c>
    </row>
    <row r="123" ht="15.0" customHeight="1">
      <c r="A123" s="56" t="s">
        <v>1153</v>
      </c>
      <c r="B123" s="56" t="s">
        <v>1154</v>
      </c>
      <c r="C123" s="57" t="s">
        <v>1155</v>
      </c>
      <c r="D123" s="58">
        <v>5.127747917E9</v>
      </c>
      <c r="E123" s="56" t="s">
        <v>511</v>
      </c>
      <c r="F123" s="56" t="s">
        <v>377</v>
      </c>
      <c r="G123" s="56" t="s">
        <v>378</v>
      </c>
      <c r="H123" s="56" t="s">
        <v>379</v>
      </c>
      <c r="I123" s="56" t="s">
        <v>365</v>
      </c>
      <c r="J123" s="56" t="s">
        <v>413</v>
      </c>
      <c r="K123" s="56" t="s">
        <v>367</v>
      </c>
      <c r="L123" s="56" t="s">
        <v>368</v>
      </c>
      <c r="M123" s="58">
        <v>0.0</v>
      </c>
      <c r="N123" s="59"/>
      <c r="O123" s="56" t="s">
        <v>382</v>
      </c>
      <c r="P123" s="58">
        <v>0.0</v>
      </c>
      <c r="Q123" s="56" t="s">
        <v>1156</v>
      </c>
      <c r="R123" s="56" t="s">
        <v>1157</v>
      </c>
      <c r="S123" s="59"/>
      <c r="T123" s="56" t="s">
        <v>372</v>
      </c>
      <c r="U123" s="61" t="s">
        <v>373</v>
      </c>
      <c r="V123" s="58" t="s">
        <v>1158</v>
      </c>
      <c r="X123" s="55" t="b">
        <f t="shared" si="1"/>
        <v>0</v>
      </c>
    </row>
    <row r="124" ht="15.0" customHeight="1">
      <c r="A124" s="56" t="s">
        <v>137</v>
      </c>
      <c r="B124" s="56" t="s">
        <v>1159</v>
      </c>
      <c r="C124" s="57" t="s">
        <v>1160</v>
      </c>
      <c r="D124" s="56" t="s">
        <v>1161</v>
      </c>
      <c r="E124" s="56" t="s">
        <v>511</v>
      </c>
      <c r="F124" s="56" t="s">
        <v>390</v>
      </c>
      <c r="G124" s="56" t="s">
        <v>1162</v>
      </c>
      <c r="H124" s="56" t="s">
        <v>399</v>
      </c>
      <c r="I124" s="56" t="s">
        <v>380</v>
      </c>
      <c r="J124" s="56" t="s">
        <v>366</v>
      </c>
      <c r="K124" s="56" t="s">
        <v>381</v>
      </c>
      <c r="L124" s="56" t="s">
        <v>368</v>
      </c>
      <c r="M124" s="58">
        <v>0.0</v>
      </c>
      <c r="N124" s="58">
        <v>0.0</v>
      </c>
      <c r="O124" s="56" t="s">
        <v>382</v>
      </c>
      <c r="P124" s="60">
        <v>46025.0</v>
      </c>
      <c r="Q124" s="56" t="s">
        <v>1163</v>
      </c>
      <c r="R124" s="56" t="s">
        <v>1164</v>
      </c>
      <c r="S124" s="59"/>
      <c r="T124" s="56" t="s">
        <v>385</v>
      </c>
      <c r="U124" s="61" t="s">
        <v>373</v>
      </c>
      <c r="V124" s="58" t="s">
        <v>1165</v>
      </c>
      <c r="X124" s="55" t="b">
        <f t="shared" si="1"/>
        <v>0</v>
      </c>
    </row>
    <row r="125" ht="15.0" customHeight="1">
      <c r="A125" s="56" t="s">
        <v>302</v>
      </c>
      <c r="B125" s="56" t="s">
        <v>1166</v>
      </c>
      <c r="C125" s="57" t="s">
        <v>1167</v>
      </c>
      <c r="D125" s="56" t="s">
        <v>1168</v>
      </c>
      <c r="E125" s="56" t="s">
        <v>1169</v>
      </c>
      <c r="F125" s="56" t="s">
        <v>390</v>
      </c>
      <c r="G125" s="56" t="s">
        <v>1170</v>
      </c>
      <c r="H125" s="56" t="s">
        <v>379</v>
      </c>
      <c r="I125" s="56" t="s">
        <v>365</v>
      </c>
      <c r="J125" s="56" t="s">
        <v>366</v>
      </c>
      <c r="K125" s="56" t="s">
        <v>381</v>
      </c>
      <c r="L125" s="56" t="s">
        <v>368</v>
      </c>
      <c r="M125" s="59"/>
      <c r="N125" s="59"/>
      <c r="O125" s="56" t="s">
        <v>1171</v>
      </c>
      <c r="P125" s="58">
        <v>0.0</v>
      </c>
      <c r="Q125" s="56" t="s">
        <v>1166</v>
      </c>
      <c r="R125" s="56" t="s">
        <v>1172</v>
      </c>
      <c r="S125" s="59"/>
      <c r="T125" s="56" t="s">
        <v>385</v>
      </c>
      <c r="U125" s="61" t="s">
        <v>373</v>
      </c>
      <c r="V125" s="58" t="s">
        <v>1173</v>
      </c>
      <c r="X125" s="55" t="b">
        <f t="shared" si="1"/>
        <v>0</v>
      </c>
    </row>
    <row r="126" ht="15.0" customHeight="1">
      <c r="A126" s="56" t="s">
        <v>138</v>
      </c>
      <c r="B126" s="56" t="s">
        <v>1174</v>
      </c>
      <c r="C126" s="57" t="s">
        <v>1175</v>
      </c>
      <c r="D126" s="56" t="s">
        <v>1176</v>
      </c>
      <c r="E126" s="56" t="s">
        <v>525</v>
      </c>
      <c r="F126" s="56" t="s">
        <v>377</v>
      </c>
      <c r="G126" s="56" t="s">
        <v>702</v>
      </c>
      <c r="H126" s="56" t="s">
        <v>399</v>
      </c>
      <c r="I126" s="56" t="s">
        <v>365</v>
      </c>
      <c r="J126" s="56" t="s">
        <v>869</v>
      </c>
      <c r="K126" s="56" t="s">
        <v>400</v>
      </c>
      <c r="L126" s="56" t="s">
        <v>368</v>
      </c>
      <c r="M126" s="59"/>
      <c r="N126" s="59"/>
      <c r="O126" s="56" t="s">
        <v>382</v>
      </c>
      <c r="P126" s="58">
        <v>0.0</v>
      </c>
      <c r="Q126" s="56" t="s">
        <v>1177</v>
      </c>
      <c r="R126" s="56" t="s">
        <v>1178</v>
      </c>
      <c r="S126" s="59"/>
      <c r="T126" s="56" t="s">
        <v>393</v>
      </c>
      <c r="U126" s="61" t="s">
        <v>373</v>
      </c>
      <c r="V126" s="58" t="s">
        <v>1179</v>
      </c>
      <c r="X126" s="55" t="b">
        <f t="shared" si="1"/>
        <v>0</v>
      </c>
    </row>
    <row r="127" ht="15.0" customHeight="1">
      <c r="A127" s="56" t="s">
        <v>303</v>
      </c>
      <c r="B127" s="56" t="s">
        <v>1180</v>
      </c>
      <c r="C127" s="57" t="s">
        <v>1181</v>
      </c>
      <c r="D127" s="58">
        <v>8.322268519E9</v>
      </c>
      <c r="E127" s="56" t="s">
        <v>511</v>
      </c>
      <c r="F127" s="56" t="s">
        <v>390</v>
      </c>
      <c r="G127" s="56" t="s">
        <v>702</v>
      </c>
      <c r="H127" s="56" t="s">
        <v>364</v>
      </c>
      <c r="I127" s="56" t="s">
        <v>365</v>
      </c>
      <c r="J127" s="56" t="s">
        <v>413</v>
      </c>
      <c r="K127" s="56" t="s">
        <v>381</v>
      </c>
      <c r="L127" s="56" t="s">
        <v>368</v>
      </c>
      <c r="M127" s="59"/>
      <c r="N127" s="59"/>
      <c r="O127" s="56" t="s">
        <v>382</v>
      </c>
      <c r="P127" s="60">
        <v>46025.0</v>
      </c>
      <c r="Q127" s="59"/>
      <c r="R127" s="56" t="s">
        <v>1182</v>
      </c>
      <c r="S127" s="59"/>
      <c r="T127" s="56" t="s">
        <v>385</v>
      </c>
      <c r="U127" s="61" t="s">
        <v>373</v>
      </c>
      <c r="V127" s="58" t="s">
        <v>1183</v>
      </c>
      <c r="X127" s="55" t="b">
        <f t="shared" si="1"/>
        <v>0</v>
      </c>
    </row>
    <row r="128" ht="15.0" customHeight="1">
      <c r="A128" s="56" t="s">
        <v>1184</v>
      </c>
      <c r="B128" s="56" t="s">
        <v>1185</v>
      </c>
      <c r="C128" s="57" t="s">
        <v>1186</v>
      </c>
      <c r="D128" s="56" t="s">
        <v>1187</v>
      </c>
      <c r="E128" s="56" t="s">
        <v>1188</v>
      </c>
      <c r="F128" s="56" t="s">
        <v>421</v>
      </c>
      <c r="G128" s="56" t="s">
        <v>1189</v>
      </c>
      <c r="H128" s="56" t="s">
        <v>364</v>
      </c>
      <c r="I128" s="56" t="s">
        <v>412</v>
      </c>
      <c r="J128" s="56" t="s">
        <v>413</v>
      </c>
      <c r="K128" s="56" t="s">
        <v>400</v>
      </c>
      <c r="L128" s="56" t="s">
        <v>368</v>
      </c>
      <c r="M128" s="58">
        <v>0.0</v>
      </c>
      <c r="N128" s="58">
        <v>0.0</v>
      </c>
      <c r="O128" s="56" t="s">
        <v>382</v>
      </c>
      <c r="P128" s="60">
        <v>46025.0</v>
      </c>
      <c r="Q128" s="59"/>
      <c r="R128" s="59"/>
      <c r="S128" s="59"/>
      <c r="T128" s="56" t="s">
        <v>393</v>
      </c>
      <c r="U128" s="61" t="s">
        <v>394</v>
      </c>
      <c r="V128" s="58" t="s">
        <v>1190</v>
      </c>
      <c r="X128" s="55" t="b">
        <f t="shared" si="1"/>
        <v>0</v>
      </c>
    </row>
    <row r="129" ht="15.0" customHeight="1">
      <c r="A129" s="56" t="s">
        <v>139</v>
      </c>
      <c r="B129" s="56" t="s">
        <v>1191</v>
      </c>
      <c r="C129" s="57" t="s">
        <v>1192</v>
      </c>
      <c r="D129" s="58">
        <v>7.13213176E9</v>
      </c>
      <c r="E129" s="56" t="s">
        <v>361</v>
      </c>
      <c r="F129" s="56" t="s">
        <v>377</v>
      </c>
      <c r="G129" s="56" t="s">
        <v>398</v>
      </c>
      <c r="H129" s="56" t="s">
        <v>399</v>
      </c>
      <c r="I129" s="56" t="s">
        <v>365</v>
      </c>
      <c r="J129" s="56" t="s">
        <v>366</v>
      </c>
      <c r="K129" s="56" t="s">
        <v>367</v>
      </c>
      <c r="L129" s="56" t="s">
        <v>423</v>
      </c>
      <c r="M129" s="58">
        <v>0.0</v>
      </c>
      <c r="N129" s="59"/>
      <c r="O129" s="56" t="s">
        <v>369</v>
      </c>
      <c r="P129" s="60">
        <v>46025.0</v>
      </c>
      <c r="Q129" s="56" t="s">
        <v>1193</v>
      </c>
      <c r="R129" s="56" t="s">
        <v>1194</v>
      </c>
      <c r="S129" s="59"/>
      <c r="T129" s="56" t="s">
        <v>372</v>
      </c>
      <c r="U129" s="61" t="s">
        <v>373</v>
      </c>
      <c r="V129" s="58" t="s">
        <v>1195</v>
      </c>
      <c r="X129" s="55" t="b">
        <f t="shared" si="1"/>
        <v>0</v>
      </c>
    </row>
    <row r="130" ht="15.0" customHeight="1">
      <c r="A130" s="56" t="s">
        <v>1196</v>
      </c>
      <c r="B130" s="56" t="s">
        <v>1197</v>
      </c>
      <c r="C130" s="57" t="s">
        <v>1198</v>
      </c>
      <c r="D130" s="56" t="s">
        <v>1199</v>
      </c>
      <c r="E130" s="56" t="s">
        <v>361</v>
      </c>
      <c r="F130" s="56" t="s">
        <v>377</v>
      </c>
      <c r="G130" s="56" t="s">
        <v>850</v>
      </c>
      <c r="H130" s="56" t="s">
        <v>364</v>
      </c>
      <c r="I130" s="56" t="s">
        <v>365</v>
      </c>
      <c r="J130" s="56" t="s">
        <v>413</v>
      </c>
      <c r="K130" s="56" t="s">
        <v>483</v>
      </c>
      <c r="L130" s="56" t="s">
        <v>368</v>
      </c>
      <c r="M130" s="59"/>
      <c r="N130" s="59"/>
      <c r="O130" s="56" t="s">
        <v>382</v>
      </c>
      <c r="P130" s="60">
        <v>46118.0</v>
      </c>
      <c r="Q130" s="59"/>
      <c r="R130" s="56" t="s">
        <v>1200</v>
      </c>
      <c r="S130" s="59"/>
      <c r="T130" s="56" t="s">
        <v>385</v>
      </c>
      <c r="U130" s="61" t="s">
        <v>373</v>
      </c>
      <c r="V130" s="58" t="s">
        <v>1201</v>
      </c>
      <c r="X130" s="55" t="b">
        <f t="shared" si="1"/>
        <v>0</v>
      </c>
    </row>
    <row r="131" ht="15.0" customHeight="1">
      <c r="A131" s="56" t="s">
        <v>1202</v>
      </c>
      <c r="B131" s="56" t="s">
        <v>1203</v>
      </c>
      <c r="C131" s="57" t="s">
        <v>1204</v>
      </c>
      <c r="D131" s="58">
        <v>2.819062858E9</v>
      </c>
      <c r="E131" s="56" t="s">
        <v>579</v>
      </c>
      <c r="F131" s="56" t="s">
        <v>390</v>
      </c>
      <c r="G131" s="56" t="s">
        <v>1205</v>
      </c>
      <c r="H131" s="56" t="s">
        <v>399</v>
      </c>
      <c r="I131" s="56" t="s">
        <v>365</v>
      </c>
      <c r="J131" s="56" t="s">
        <v>366</v>
      </c>
      <c r="K131" s="56" t="s">
        <v>497</v>
      </c>
      <c r="L131" s="56" t="s">
        <v>368</v>
      </c>
      <c r="M131" s="58">
        <v>3.0</v>
      </c>
      <c r="N131" s="58">
        <v>3.0</v>
      </c>
      <c r="O131" s="56" t="s">
        <v>382</v>
      </c>
      <c r="P131" s="56" t="s">
        <v>1206</v>
      </c>
      <c r="Q131" s="56" t="s">
        <v>1207</v>
      </c>
      <c r="R131" s="56" t="s">
        <v>1208</v>
      </c>
      <c r="S131" s="59"/>
      <c r="T131" s="56" t="s">
        <v>385</v>
      </c>
      <c r="U131" s="61" t="s">
        <v>373</v>
      </c>
      <c r="V131" s="58" t="s">
        <v>1209</v>
      </c>
      <c r="X131" s="55" t="b">
        <f t="shared" si="1"/>
        <v>0</v>
      </c>
    </row>
    <row r="132" ht="15.0" customHeight="1">
      <c r="A132" s="56" t="s">
        <v>304</v>
      </c>
      <c r="B132" s="56" t="s">
        <v>1210</v>
      </c>
      <c r="C132" s="57" t="s">
        <v>1211</v>
      </c>
      <c r="D132" s="58">
        <v>5.043529026E9</v>
      </c>
      <c r="E132" s="56" t="s">
        <v>1212</v>
      </c>
      <c r="F132" s="56" t="s">
        <v>504</v>
      </c>
      <c r="G132" s="56" t="s">
        <v>795</v>
      </c>
      <c r="H132" s="56" t="s">
        <v>379</v>
      </c>
      <c r="I132" s="56" t="s">
        <v>365</v>
      </c>
      <c r="J132" s="56" t="s">
        <v>413</v>
      </c>
      <c r="K132" s="56" t="s">
        <v>561</v>
      </c>
      <c r="L132" s="56" t="s">
        <v>368</v>
      </c>
      <c r="M132" s="59"/>
      <c r="N132" s="59"/>
      <c r="O132" s="56" t="s">
        <v>382</v>
      </c>
      <c r="P132" s="58">
        <v>0.0</v>
      </c>
      <c r="Q132" s="56" t="s">
        <v>1213</v>
      </c>
      <c r="R132" s="56" t="s">
        <v>1214</v>
      </c>
      <c r="S132" s="59"/>
      <c r="T132" s="56" t="s">
        <v>372</v>
      </c>
      <c r="U132" s="61" t="s">
        <v>373</v>
      </c>
      <c r="V132" s="58" t="s">
        <v>1215</v>
      </c>
      <c r="X132" s="55" t="b">
        <f t="shared" si="1"/>
        <v>0</v>
      </c>
    </row>
    <row r="133" ht="15.0" customHeight="1">
      <c r="A133" s="56" t="s">
        <v>143</v>
      </c>
      <c r="B133" s="56" t="s">
        <v>1216</v>
      </c>
      <c r="C133" s="57" t="s">
        <v>1217</v>
      </c>
      <c r="D133" s="58">
        <v>2.144910585E9</v>
      </c>
      <c r="E133" s="56" t="s">
        <v>361</v>
      </c>
      <c r="F133" s="56" t="s">
        <v>377</v>
      </c>
      <c r="G133" s="56" t="s">
        <v>398</v>
      </c>
      <c r="H133" s="56" t="s">
        <v>364</v>
      </c>
      <c r="I133" s="56" t="s">
        <v>365</v>
      </c>
      <c r="J133" s="56" t="s">
        <v>413</v>
      </c>
      <c r="K133" s="56" t="s">
        <v>400</v>
      </c>
      <c r="L133" s="56" t="s">
        <v>368</v>
      </c>
      <c r="M133" s="59"/>
      <c r="N133" s="59"/>
      <c r="O133" s="56" t="s">
        <v>382</v>
      </c>
      <c r="P133" s="58">
        <v>0.0</v>
      </c>
      <c r="Q133" s="56" t="s">
        <v>1218</v>
      </c>
      <c r="R133" s="56" t="s">
        <v>1219</v>
      </c>
      <c r="S133" s="59"/>
      <c r="T133" s="56" t="s">
        <v>393</v>
      </c>
      <c r="U133" s="61" t="s">
        <v>373</v>
      </c>
      <c r="V133" s="58" t="s">
        <v>1220</v>
      </c>
      <c r="X133" s="55" t="b">
        <f t="shared" si="1"/>
        <v>0</v>
      </c>
    </row>
    <row r="134" ht="15.0" customHeight="1">
      <c r="A134" s="56" t="s">
        <v>305</v>
      </c>
      <c r="B134" s="56" t="s">
        <v>1221</v>
      </c>
      <c r="C134" s="57" t="s">
        <v>1222</v>
      </c>
      <c r="D134" s="56" t="s">
        <v>1223</v>
      </c>
      <c r="E134" s="56" t="s">
        <v>1224</v>
      </c>
      <c r="F134" s="56" t="s">
        <v>421</v>
      </c>
      <c r="G134" s="56" t="s">
        <v>1225</v>
      </c>
      <c r="H134" s="56" t="s">
        <v>364</v>
      </c>
      <c r="I134" s="56" t="s">
        <v>380</v>
      </c>
      <c r="J134" s="56" t="s">
        <v>366</v>
      </c>
      <c r="K134" s="56" t="s">
        <v>483</v>
      </c>
      <c r="L134" s="56" t="s">
        <v>423</v>
      </c>
      <c r="M134" s="58">
        <v>1.0</v>
      </c>
      <c r="N134" s="58">
        <v>1.0</v>
      </c>
      <c r="O134" s="56" t="s">
        <v>382</v>
      </c>
      <c r="P134" s="60">
        <v>46118.0</v>
      </c>
      <c r="Q134" s="59"/>
      <c r="R134" s="56" t="s">
        <v>1226</v>
      </c>
      <c r="S134" s="59"/>
      <c r="T134" s="56" t="s">
        <v>385</v>
      </c>
      <c r="U134" s="61" t="s">
        <v>394</v>
      </c>
      <c r="V134" s="58" t="s">
        <v>1227</v>
      </c>
      <c r="X134" s="55" t="b">
        <f t="shared" si="1"/>
        <v>0</v>
      </c>
    </row>
    <row r="135" ht="15.0" customHeight="1">
      <c r="A135" s="56" t="s">
        <v>144</v>
      </c>
      <c r="B135" s="56" t="s">
        <v>1228</v>
      </c>
      <c r="C135" s="57" t="s">
        <v>1229</v>
      </c>
      <c r="D135" s="56" t="s">
        <v>1230</v>
      </c>
      <c r="E135" s="56" t="s">
        <v>849</v>
      </c>
      <c r="F135" s="56" t="s">
        <v>377</v>
      </c>
      <c r="G135" s="56" t="s">
        <v>1231</v>
      </c>
      <c r="H135" s="56" t="s">
        <v>364</v>
      </c>
      <c r="I135" s="56" t="s">
        <v>380</v>
      </c>
      <c r="J135" s="56" t="s">
        <v>366</v>
      </c>
      <c r="K135" s="56" t="s">
        <v>400</v>
      </c>
      <c r="L135" s="56" t="s">
        <v>368</v>
      </c>
      <c r="M135" s="59"/>
      <c r="N135" s="59"/>
      <c r="O135" s="56" t="s">
        <v>382</v>
      </c>
      <c r="P135" s="60">
        <v>46025.0</v>
      </c>
      <c r="Q135" s="56" t="s">
        <v>1232</v>
      </c>
      <c r="R135" s="56" t="s">
        <v>1233</v>
      </c>
      <c r="S135" s="59"/>
      <c r="T135" s="56" t="s">
        <v>393</v>
      </c>
      <c r="U135" s="61" t="s">
        <v>373</v>
      </c>
      <c r="V135" s="58" t="s">
        <v>1234</v>
      </c>
      <c r="X135" s="55" t="b">
        <f t="shared" si="1"/>
        <v>0</v>
      </c>
    </row>
    <row r="136" ht="15.0" customHeight="1">
      <c r="A136" s="56" t="s">
        <v>145</v>
      </c>
      <c r="B136" s="56" t="s">
        <v>1235</v>
      </c>
      <c r="C136" s="57" t="s">
        <v>1236</v>
      </c>
      <c r="D136" s="56" t="s">
        <v>1237</v>
      </c>
      <c r="E136" s="56" t="s">
        <v>361</v>
      </c>
      <c r="F136" s="56" t="s">
        <v>377</v>
      </c>
      <c r="G136" s="56" t="s">
        <v>1238</v>
      </c>
      <c r="H136" s="56" t="s">
        <v>399</v>
      </c>
      <c r="I136" s="56" t="s">
        <v>365</v>
      </c>
      <c r="J136" s="56" t="s">
        <v>413</v>
      </c>
      <c r="K136" s="56" t="s">
        <v>497</v>
      </c>
      <c r="L136" s="56" t="s">
        <v>368</v>
      </c>
      <c r="M136" s="59"/>
      <c r="N136" s="59"/>
      <c r="O136" s="56" t="s">
        <v>414</v>
      </c>
      <c r="P136" s="60">
        <v>46025.0</v>
      </c>
      <c r="Q136" s="56" t="s">
        <v>1239</v>
      </c>
      <c r="R136" s="56" t="s">
        <v>1240</v>
      </c>
      <c r="S136" s="59"/>
      <c r="T136" s="56" t="s">
        <v>385</v>
      </c>
      <c r="U136" s="61" t="s">
        <v>373</v>
      </c>
      <c r="V136" s="58" t="s">
        <v>1241</v>
      </c>
      <c r="X136" s="55" t="b">
        <f t="shared" si="1"/>
        <v>0</v>
      </c>
    </row>
    <row r="137" ht="15.0" customHeight="1">
      <c r="A137" s="56" t="s">
        <v>307</v>
      </c>
      <c r="B137" s="56" t="s">
        <v>1242</v>
      </c>
      <c r="C137" s="57" t="s">
        <v>1243</v>
      </c>
      <c r="D137" s="56" t="s">
        <v>1244</v>
      </c>
      <c r="E137" s="56" t="s">
        <v>559</v>
      </c>
      <c r="F137" s="56" t="s">
        <v>580</v>
      </c>
      <c r="G137" s="56" t="s">
        <v>1245</v>
      </c>
      <c r="H137" s="56" t="s">
        <v>379</v>
      </c>
      <c r="I137" s="56" t="s">
        <v>365</v>
      </c>
      <c r="J137" s="56" t="s">
        <v>366</v>
      </c>
      <c r="K137" s="56" t="s">
        <v>1020</v>
      </c>
      <c r="L137" s="56" t="s">
        <v>368</v>
      </c>
      <c r="M137" s="59"/>
      <c r="N137" s="59"/>
      <c r="O137" s="56" t="s">
        <v>382</v>
      </c>
      <c r="P137" s="60">
        <v>46213.0</v>
      </c>
      <c r="Q137" s="59"/>
      <c r="R137" s="56" t="s">
        <v>1246</v>
      </c>
      <c r="S137" s="59"/>
      <c r="T137" s="56" t="s">
        <v>393</v>
      </c>
      <c r="U137" s="61" t="s">
        <v>373</v>
      </c>
      <c r="V137" s="58" t="s">
        <v>1247</v>
      </c>
      <c r="X137" s="55" t="b">
        <f t="shared" si="1"/>
        <v>0</v>
      </c>
    </row>
    <row r="138" ht="15.0" customHeight="1">
      <c r="A138" s="56" t="s">
        <v>1248</v>
      </c>
      <c r="B138" s="56" t="s">
        <v>1249</v>
      </c>
      <c r="C138" s="57" t="s">
        <v>1250</v>
      </c>
      <c r="D138" s="58">
        <v>4.795340422E9</v>
      </c>
      <c r="E138" s="56" t="s">
        <v>361</v>
      </c>
      <c r="F138" s="56" t="s">
        <v>452</v>
      </c>
      <c r="G138" s="56" t="s">
        <v>600</v>
      </c>
      <c r="H138" s="56" t="s">
        <v>364</v>
      </c>
      <c r="I138" s="56" t="s">
        <v>365</v>
      </c>
      <c r="J138" s="56" t="s">
        <v>413</v>
      </c>
      <c r="K138" s="56" t="s">
        <v>367</v>
      </c>
      <c r="L138" s="56" t="s">
        <v>368</v>
      </c>
      <c r="M138" s="59"/>
      <c r="N138" s="59"/>
      <c r="O138" s="56" t="s">
        <v>382</v>
      </c>
      <c r="P138" s="60">
        <v>46025.0</v>
      </c>
      <c r="Q138" s="56" t="s">
        <v>1251</v>
      </c>
      <c r="R138" s="56" t="s">
        <v>1252</v>
      </c>
      <c r="S138" s="59"/>
      <c r="T138" s="56" t="s">
        <v>372</v>
      </c>
      <c r="U138" s="61" t="s">
        <v>373</v>
      </c>
      <c r="V138" s="58" t="s">
        <v>1253</v>
      </c>
      <c r="X138" s="55" t="b">
        <f t="shared" si="1"/>
        <v>0</v>
      </c>
    </row>
    <row r="139" ht="15.0" customHeight="1">
      <c r="A139" s="56" t="s">
        <v>147</v>
      </c>
      <c r="B139" s="56" t="s">
        <v>1254</v>
      </c>
      <c r="C139" s="57" t="s">
        <v>1255</v>
      </c>
      <c r="D139" s="58">
        <v>8.306258555E9</v>
      </c>
      <c r="E139" s="56" t="s">
        <v>361</v>
      </c>
      <c r="F139" s="56" t="s">
        <v>377</v>
      </c>
      <c r="G139" s="56" t="s">
        <v>377</v>
      </c>
      <c r="H139" s="56" t="s">
        <v>379</v>
      </c>
      <c r="I139" s="56" t="s">
        <v>365</v>
      </c>
      <c r="J139" s="56" t="s">
        <v>413</v>
      </c>
      <c r="K139" s="56" t="s">
        <v>561</v>
      </c>
      <c r="L139" s="56" t="s">
        <v>368</v>
      </c>
      <c r="M139" s="59"/>
      <c r="N139" s="59"/>
      <c r="O139" s="56" t="s">
        <v>414</v>
      </c>
      <c r="P139" s="58">
        <v>0.0</v>
      </c>
      <c r="Q139" s="56" t="s">
        <v>1256</v>
      </c>
      <c r="R139" s="56" t="s">
        <v>774</v>
      </c>
      <c r="S139" s="59"/>
      <c r="T139" s="56" t="s">
        <v>372</v>
      </c>
      <c r="U139" s="61" t="s">
        <v>373</v>
      </c>
      <c r="V139" s="58" t="s">
        <v>1257</v>
      </c>
      <c r="X139" s="55" t="b">
        <f t="shared" si="1"/>
        <v>0</v>
      </c>
    </row>
    <row r="140" ht="15.0" customHeight="1">
      <c r="A140" s="56" t="s">
        <v>1258</v>
      </c>
      <c r="B140" s="56" t="s">
        <v>1259</v>
      </c>
      <c r="C140" s="57" t="s">
        <v>1260</v>
      </c>
      <c r="D140" s="56" t="s">
        <v>1261</v>
      </c>
      <c r="E140" s="56" t="s">
        <v>361</v>
      </c>
      <c r="F140" s="56" t="s">
        <v>377</v>
      </c>
      <c r="G140" s="56" t="s">
        <v>377</v>
      </c>
      <c r="H140" s="56" t="s">
        <v>364</v>
      </c>
      <c r="I140" s="56" t="s">
        <v>380</v>
      </c>
      <c r="J140" s="56" t="s">
        <v>413</v>
      </c>
      <c r="K140" s="56" t="s">
        <v>400</v>
      </c>
      <c r="L140" s="56" t="s">
        <v>368</v>
      </c>
      <c r="M140" s="59"/>
      <c r="N140" s="59"/>
      <c r="O140" s="56" t="s">
        <v>369</v>
      </c>
      <c r="P140" s="58">
        <v>0.0</v>
      </c>
      <c r="Q140" s="56" t="s">
        <v>1262</v>
      </c>
      <c r="R140" s="56" t="s">
        <v>1263</v>
      </c>
      <c r="S140" s="59"/>
      <c r="T140" s="56" t="s">
        <v>393</v>
      </c>
      <c r="U140" s="61" t="s">
        <v>373</v>
      </c>
      <c r="V140" s="58" t="s">
        <v>629</v>
      </c>
      <c r="X140" s="55" t="b">
        <f t="shared" si="1"/>
        <v>0</v>
      </c>
    </row>
    <row r="141" ht="15.0" customHeight="1">
      <c r="A141" s="56" t="s">
        <v>1264</v>
      </c>
      <c r="B141" s="56" t="s">
        <v>1265</v>
      </c>
      <c r="C141" s="57" t="s">
        <v>1266</v>
      </c>
      <c r="D141" s="56" t="s">
        <v>1267</v>
      </c>
      <c r="E141" s="56" t="s">
        <v>361</v>
      </c>
      <c r="F141" s="56" t="s">
        <v>377</v>
      </c>
      <c r="G141" s="56" t="s">
        <v>377</v>
      </c>
      <c r="H141" s="56" t="s">
        <v>379</v>
      </c>
      <c r="I141" s="56" t="s">
        <v>667</v>
      </c>
      <c r="J141" s="56" t="s">
        <v>513</v>
      </c>
      <c r="K141" s="56" t="s">
        <v>400</v>
      </c>
      <c r="L141" s="56" t="s">
        <v>368</v>
      </c>
      <c r="M141" s="59"/>
      <c r="N141" s="59"/>
      <c r="O141" s="56" t="s">
        <v>382</v>
      </c>
      <c r="P141" s="60">
        <v>46025.0</v>
      </c>
      <c r="Q141" s="59"/>
      <c r="R141" s="56" t="s">
        <v>1268</v>
      </c>
      <c r="S141" s="59"/>
      <c r="T141" s="56" t="s">
        <v>393</v>
      </c>
      <c r="U141" s="61" t="s">
        <v>373</v>
      </c>
      <c r="V141" s="58" t="s">
        <v>1269</v>
      </c>
      <c r="X141" s="55" t="b">
        <f t="shared" si="1"/>
        <v>1</v>
      </c>
    </row>
    <row r="142" ht="15.0" customHeight="1">
      <c r="A142" s="56" t="s">
        <v>150</v>
      </c>
      <c r="B142" s="56" t="s">
        <v>1270</v>
      </c>
      <c r="C142" s="57" t="s">
        <v>1271</v>
      </c>
      <c r="D142" s="58">
        <v>7.133388058E9</v>
      </c>
      <c r="E142" s="56" t="s">
        <v>361</v>
      </c>
      <c r="F142" s="56" t="s">
        <v>377</v>
      </c>
      <c r="G142" s="56" t="s">
        <v>378</v>
      </c>
      <c r="H142" s="56" t="s">
        <v>364</v>
      </c>
      <c r="I142" s="56" t="s">
        <v>380</v>
      </c>
      <c r="J142" s="56" t="s">
        <v>513</v>
      </c>
      <c r="K142" s="56" t="s">
        <v>400</v>
      </c>
      <c r="L142" s="56" t="s">
        <v>368</v>
      </c>
      <c r="M142" s="59"/>
      <c r="N142" s="59"/>
      <c r="O142" s="56" t="s">
        <v>382</v>
      </c>
      <c r="P142" s="60">
        <v>46025.0</v>
      </c>
      <c r="Q142" s="56" t="s">
        <v>1270</v>
      </c>
      <c r="R142" s="56" t="s">
        <v>1272</v>
      </c>
      <c r="S142" s="59"/>
      <c r="T142" s="56" t="s">
        <v>393</v>
      </c>
      <c r="U142" s="61" t="s">
        <v>373</v>
      </c>
      <c r="V142" s="58" t="s">
        <v>1273</v>
      </c>
      <c r="X142" s="55" t="b">
        <f t="shared" si="1"/>
        <v>1</v>
      </c>
    </row>
    <row r="143" ht="15.0" customHeight="1">
      <c r="A143" s="56" t="s">
        <v>151</v>
      </c>
      <c r="B143" s="56" t="s">
        <v>1274</v>
      </c>
      <c r="C143" s="57" t="s">
        <v>1275</v>
      </c>
      <c r="D143" s="58">
        <v>7.133035697E9</v>
      </c>
      <c r="E143" s="56" t="s">
        <v>1224</v>
      </c>
      <c r="F143" s="56" t="s">
        <v>390</v>
      </c>
      <c r="G143" s="56" t="s">
        <v>1276</v>
      </c>
      <c r="H143" s="56" t="s">
        <v>379</v>
      </c>
      <c r="I143" s="56" t="s">
        <v>380</v>
      </c>
      <c r="J143" s="56" t="s">
        <v>366</v>
      </c>
      <c r="K143" s="56" t="s">
        <v>497</v>
      </c>
      <c r="L143" s="56" t="s">
        <v>368</v>
      </c>
      <c r="M143" s="59"/>
      <c r="N143" s="59"/>
      <c r="O143" s="56" t="s">
        <v>1081</v>
      </c>
      <c r="P143" s="58">
        <v>0.0</v>
      </c>
      <c r="Q143" s="59"/>
      <c r="R143" s="56" t="s">
        <v>1277</v>
      </c>
      <c r="S143" s="59"/>
      <c r="T143" s="56" t="s">
        <v>385</v>
      </c>
      <c r="U143" s="61" t="s">
        <v>373</v>
      </c>
      <c r="V143" s="58" t="s">
        <v>1278</v>
      </c>
      <c r="X143" s="55" t="b">
        <f t="shared" si="1"/>
        <v>0</v>
      </c>
    </row>
    <row r="144" ht="15.0" customHeight="1">
      <c r="A144" s="56" t="s">
        <v>152</v>
      </c>
      <c r="B144" s="56" t="s">
        <v>1279</v>
      </c>
      <c r="C144" s="57" t="s">
        <v>1280</v>
      </c>
      <c r="D144" s="58">
        <v>2.142823132E9</v>
      </c>
      <c r="E144" s="56" t="s">
        <v>361</v>
      </c>
      <c r="F144" s="56" t="s">
        <v>377</v>
      </c>
      <c r="G144" s="56" t="s">
        <v>1281</v>
      </c>
      <c r="H144" s="56" t="s">
        <v>364</v>
      </c>
      <c r="I144" s="56" t="s">
        <v>380</v>
      </c>
      <c r="J144" s="56" t="s">
        <v>366</v>
      </c>
      <c r="K144" s="56" t="s">
        <v>400</v>
      </c>
      <c r="L144" s="56" t="s">
        <v>368</v>
      </c>
      <c r="M144" s="59"/>
      <c r="N144" s="59"/>
      <c r="O144" s="56" t="s">
        <v>414</v>
      </c>
      <c r="P144" s="60">
        <v>46025.0</v>
      </c>
      <c r="Q144" s="59"/>
      <c r="R144" s="56" t="s">
        <v>1282</v>
      </c>
      <c r="S144" s="59"/>
      <c r="T144" s="56" t="s">
        <v>393</v>
      </c>
      <c r="U144" s="61" t="s">
        <v>373</v>
      </c>
      <c r="V144" s="58" t="s">
        <v>704</v>
      </c>
      <c r="X144" s="55" t="b">
        <f t="shared" si="1"/>
        <v>0</v>
      </c>
    </row>
    <row r="145" ht="15.0" customHeight="1">
      <c r="A145" s="56" t="s">
        <v>1283</v>
      </c>
      <c r="B145" s="56" t="s">
        <v>1284</v>
      </c>
      <c r="C145" s="57" t="s">
        <v>1285</v>
      </c>
      <c r="D145" s="56" t="s">
        <v>1286</v>
      </c>
      <c r="E145" s="56" t="s">
        <v>361</v>
      </c>
      <c r="F145" s="56" t="s">
        <v>377</v>
      </c>
      <c r="G145" s="56" t="s">
        <v>398</v>
      </c>
      <c r="H145" s="56" t="s">
        <v>364</v>
      </c>
      <c r="I145" s="56" t="s">
        <v>380</v>
      </c>
      <c r="J145" s="56" t="s">
        <v>366</v>
      </c>
      <c r="K145" s="56" t="s">
        <v>381</v>
      </c>
      <c r="L145" s="56" t="s">
        <v>368</v>
      </c>
      <c r="M145" s="59"/>
      <c r="N145" s="59"/>
      <c r="O145" s="56" t="s">
        <v>382</v>
      </c>
      <c r="P145" s="60">
        <v>46025.0</v>
      </c>
      <c r="Q145" s="56" t="s">
        <v>1287</v>
      </c>
      <c r="R145" s="56" t="s">
        <v>1288</v>
      </c>
      <c r="S145" s="59"/>
      <c r="T145" s="56" t="s">
        <v>385</v>
      </c>
      <c r="U145" s="61" t="s">
        <v>373</v>
      </c>
      <c r="V145" s="58" t="s">
        <v>1289</v>
      </c>
      <c r="X145" s="55" t="b">
        <f t="shared" si="1"/>
        <v>0</v>
      </c>
    </row>
    <row r="146" ht="15.0" customHeight="1">
      <c r="A146" s="56" t="s">
        <v>154</v>
      </c>
      <c r="B146" s="56" t="s">
        <v>1290</v>
      </c>
      <c r="C146" s="57" t="s">
        <v>1291</v>
      </c>
      <c r="D146" s="58">
        <v>4.086908669E9</v>
      </c>
      <c r="E146" s="56" t="s">
        <v>696</v>
      </c>
      <c r="F146" s="56" t="s">
        <v>362</v>
      </c>
      <c r="G146" s="56" t="s">
        <v>1292</v>
      </c>
      <c r="H146" s="56" t="s">
        <v>379</v>
      </c>
      <c r="I146" s="56" t="s">
        <v>1293</v>
      </c>
      <c r="J146" s="56" t="s">
        <v>366</v>
      </c>
      <c r="K146" s="56" t="s">
        <v>367</v>
      </c>
      <c r="L146" s="56" t="s">
        <v>368</v>
      </c>
      <c r="M146" s="58">
        <v>0.0</v>
      </c>
      <c r="N146" s="59"/>
      <c r="O146" s="56" t="s">
        <v>382</v>
      </c>
      <c r="P146" s="60">
        <v>46025.0</v>
      </c>
      <c r="Q146" s="56" t="s">
        <v>1294</v>
      </c>
      <c r="R146" s="56" t="s">
        <v>1295</v>
      </c>
      <c r="S146" s="59"/>
      <c r="T146" s="56" t="s">
        <v>372</v>
      </c>
      <c r="U146" s="61" t="s">
        <v>373</v>
      </c>
      <c r="V146" s="58" t="s">
        <v>1296</v>
      </c>
      <c r="X146" s="55" t="b">
        <f t="shared" si="1"/>
        <v>0</v>
      </c>
    </row>
    <row r="147" ht="15.0" customHeight="1">
      <c r="A147" s="56" t="s">
        <v>155</v>
      </c>
      <c r="B147" s="56" t="s">
        <v>1297</v>
      </c>
      <c r="C147" s="57" t="s">
        <v>1298</v>
      </c>
      <c r="D147" s="56" t="s">
        <v>1299</v>
      </c>
      <c r="E147" s="56" t="s">
        <v>361</v>
      </c>
      <c r="F147" s="56" t="s">
        <v>377</v>
      </c>
      <c r="G147" s="56" t="s">
        <v>1300</v>
      </c>
      <c r="H147" s="56" t="s">
        <v>364</v>
      </c>
      <c r="I147" s="56" t="s">
        <v>365</v>
      </c>
      <c r="J147" s="56" t="s">
        <v>413</v>
      </c>
      <c r="K147" s="56" t="s">
        <v>1301</v>
      </c>
      <c r="L147" s="56" t="s">
        <v>368</v>
      </c>
      <c r="M147" s="59"/>
      <c r="N147" s="59"/>
      <c r="O147" s="56" t="s">
        <v>382</v>
      </c>
      <c r="P147" s="60">
        <v>46025.0</v>
      </c>
      <c r="Q147" s="59"/>
      <c r="R147" s="56" t="s">
        <v>1302</v>
      </c>
      <c r="S147" s="59"/>
      <c r="T147" s="56" t="s">
        <v>385</v>
      </c>
      <c r="U147" s="61" t="s">
        <v>373</v>
      </c>
      <c r="V147" s="58" t="s">
        <v>1303</v>
      </c>
      <c r="X147" s="55" t="b">
        <f t="shared" si="1"/>
        <v>0</v>
      </c>
    </row>
    <row r="148" ht="15.0" customHeight="1">
      <c r="A148" s="56" t="s">
        <v>156</v>
      </c>
      <c r="B148" s="56" t="s">
        <v>1304</v>
      </c>
      <c r="C148" s="57" t="s">
        <v>1305</v>
      </c>
      <c r="D148" s="58">
        <v>9.132262828E9</v>
      </c>
      <c r="E148" s="56" t="s">
        <v>361</v>
      </c>
      <c r="F148" s="56" t="s">
        <v>377</v>
      </c>
      <c r="G148" s="56" t="s">
        <v>378</v>
      </c>
      <c r="H148" s="56" t="s">
        <v>399</v>
      </c>
      <c r="I148" s="56" t="s">
        <v>365</v>
      </c>
      <c r="J148" s="56" t="s">
        <v>366</v>
      </c>
      <c r="K148" s="56" t="s">
        <v>400</v>
      </c>
      <c r="L148" s="56" t="s">
        <v>368</v>
      </c>
      <c r="M148" s="59"/>
      <c r="N148" s="59"/>
      <c r="O148" s="56" t="s">
        <v>382</v>
      </c>
      <c r="P148" s="58">
        <v>0.0</v>
      </c>
      <c r="Q148" s="59"/>
      <c r="R148" s="56" t="s">
        <v>907</v>
      </c>
      <c r="S148" s="59"/>
      <c r="T148" s="56" t="s">
        <v>393</v>
      </c>
      <c r="U148" s="61" t="s">
        <v>373</v>
      </c>
      <c r="V148" s="58" t="s">
        <v>1306</v>
      </c>
      <c r="X148" s="55" t="b">
        <f t="shared" si="1"/>
        <v>0</v>
      </c>
    </row>
    <row r="149" ht="15.0" customHeight="1">
      <c r="A149" s="56" t="s">
        <v>1307</v>
      </c>
      <c r="B149" s="56" t="s">
        <v>1308</v>
      </c>
      <c r="C149" s="57" t="s">
        <v>1309</v>
      </c>
      <c r="D149" s="58">
        <v>2.175245315E9</v>
      </c>
      <c r="E149" s="56" t="s">
        <v>1310</v>
      </c>
      <c r="F149" s="56" t="s">
        <v>377</v>
      </c>
      <c r="G149" s="56" t="s">
        <v>1311</v>
      </c>
      <c r="H149" s="56" t="s">
        <v>379</v>
      </c>
      <c r="I149" s="56" t="s">
        <v>365</v>
      </c>
      <c r="J149" s="56" t="s">
        <v>366</v>
      </c>
      <c r="K149" s="56" t="s">
        <v>367</v>
      </c>
      <c r="L149" s="56" t="s">
        <v>368</v>
      </c>
      <c r="M149" s="59"/>
      <c r="N149" s="59"/>
      <c r="O149" s="56" t="s">
        <v>382</v>
      </c>
      <c r="P149" s="60">
        <v>46025.0</v>
      </c>
      <c r="Q149" s="59"/>
      <c r="R149" s="56" t="s">
        <v>749</v>
      </c>
      <c r="S149" s="59"/>
      <c r="T149" s="56" t="s">
        <v>372</v>
      </c>
      <c r="U149" s="61" t="s">
        <v>394</v>
      </c>
      <c r="V149" s="58" t="s">
        <v>1312</v>
      </c>
      <c r="X149" s="55" t="b">
        <f t="shared" si="1"/>
        <v>0</v>
      </c>
    </row>
    <row r="150" ht="15.0" customHeight="1">
      <c r="A150" s="56" t="s">
        <v>310</v>
      </c>
      <c r="B150" s="56" t="s">
        <v>1313</v>
      </c>
      <c r="C150" s="57" t="s">
        <v>1314</v>
      </c>
      <c r="D150" s="58">
        <v>4.018621647E9</v>
      </c>
      <c r="E150" s="56" t="s">
        <v>559</v>
      </c>
      <c r="F150" s="56" t="s">
        <v>452</v>
      </c>
      <c r="G150" s="56" t="s">
        <v>1315</v>
      </c>
      <c r="H150" s="56" t="s">
        <v>364</v>
      </c>
      <c r="I150" s="56" t="s">
        <v>405</v>
      </c>
      <c r="J150" s="56" t="s">
        <v>413</v>
      </c>
      <c r="K150" s="56" t="s">
        <v>400</v>
      </c>
      <c r="L150" s="56" t="s">
        <v>368</v>
      </c>
      <c r="M150" s="59"/>
      <c r="N150" s="59"/>
      <c r="O150" s="56" t="s">
        <v>1316</v>
      </c>
      <c r="P150" s="60">
        <v>46025.0</v>
      </c>
      <c r="Q150" s="59"/>
      <c r="R150" s="56" t="s">
        <v>1317</v>
      </c>
      <c r="S150" s="59"/>
      <c r="T150" s="56" t="s">
        <v>393</v>
      </c>
      <c r="U150" s="61" t="s">
        <v>373</v>
      </c>
      <c r="V150" s="58" t="s">
        <v>1318</v>
      </c>
      <c r="X150" s="55" t="b">
        <f t="shared" si="1"/>
        <v>0</v>
      </c>
    </row>
    <row r="151" ht="15.0" customHeight="1">
      <c r="A151" s="56" t="s">
        <v>1319</v>
      </c>
      <c r="B151" s="56" t="s">
        <v>1320</v>
      </c>
      <c r="C151" s="57" t="s">
        <v>1321</v>
      </c>
      <c r="D151" s="58">
        <v>5.492995304636E12</v>
      </c>
      <c r="E151" s="56" t="s">
        <v>579</v>
      </c>
      <c r="F151" s="56" t="s">
        <v>1322</v>
      </c>
      <c r="G151" s="56" t="s">
        <v>1323</v>
      </c>
      <c r="H151" s="56" t="s">
        <v>379</v>
      </c>
      <c r="I151" s="56" t="s">
        <v>412</v>
      </c>
      <c r="J151" s="56" t="s">
        <v>366</v>
      </c>
      <c r="K151" s="56" t="s">
        <v>483</v>
      </c>
      <c r="L151" s="56" t="s">
        <v>368</v>
      </c>
      <c r="M151" s="59"/>
      <c r="N151" s="59"/>
      <c r="O151" s="56" t="s">
        <v>382</v>
      </c>
      <c r="P151" s="60">
        <v>46118.0</v>
      </c>
      <c r="Q151" s="59"/>
      <c r="R151" s="56" t="s">
        <v>1324</v>
      </c>
      <c r="S151" s="59"/>
      <c r="T151" s="56" t="s">
        <v>385</v>
      </c>
      <c r="U151" s="61" t="s">
        <v>373</v>
      </c>
      <c r="V151" s="58" t="s">
        <v>1325</v>
      </c>
      <c r="X151" s="55" t="b">
        <f t="shared" si="1"/>
        <v>0</v>
      </c>
    </row>
    <row r="152" ht="15.0" customHeight="1">
      <c r="A152" s="56" t="s">
        <v>1326</v>
      </c>
      <c r="B152" s="56" t="s">
        <v>1327</v>
      </c>
      <c r="C152" s="57" t="s">
        <v>1328</v>
      </c>
      <c r="D152" s="58">
        <v>2.142400655E9</v>
      </c>
      <c r="E152" s="56" t="s">
        <v>1224</v>
      </c>
      <c r="F152" s="56" t="s">
        <v>390</v>
      </c>
      <c r="G152" s="56" t="s">
        <v>702</v>
      </c>
      <c r="H152" s="56" t="s">
        <v>364</v>
      </c>
      <c r="I152" s="56" t="s">
        <v>380</v>
      </c>
      <c r="J152" s="56" t="s">
        <v>366</v>
      </c>
      <c r="K152" s="56" t="s">
        <v>392</v>
      </c>
      <c r="L152" s="56" t="s">
        <v>368</v>
      </c>
      <c r="M152" s="59"/>
      <c r="N152" s="59"/>
      <c r="O152" s="56" t="s">
        <v>382</v>
      </c>
      <c r="P152" s="60">
        <v>46118.0</v>
      </c>
      <c r="Q152" s="56" t="s">
        <v>1329</v>
      </c>
      <c r="R152" s="56" t="s">
        <v>1330</v>
      </c>
      <c r="S152" s="59"/>
      <c r="T152" s="56" t="s">
        <v>393</v>
      </c>
      <c r="U152" s="61" t="s">
        <v>373</v>
      </c>
      <c r="V152" s="58" t="s">
        <v>1331</v>
      </c>
      <c r="X152" s="55" t="b">
        <f t="shared" si="1"/>
        <v>0</v>
      </c>
    </row>
    <row r="153" ht="15.0" customHeight="1">
      <c r="A153" s="56" t="s">
        <v>158</v>
      </c>
      <c r="B153" s="56" t="s">
        <v>1332</v>
      </c>
      <c r="C153" s="57" t="s">
        <v>1333</v>
      </c>
      <c r="D153" s="58">
        <v>2.103499098E9</v>
      </c>
      <c r="E153" s="56" t="s">
        <v>361</v>
      </c>
      <c r="F153" s="56" t="s">
        <v>675</v>
      </c>
      <c r="G153" s="56" t="s">
        <v>675</v>
      </c>
      <c r="H153" s="56" t="s">
        <v>364</v>
      </c>
      <c r="I153" s="56" t="s">
        <v>520</v>
      </c>
      <c r="J153" s="56" t="s">
        <v>513</v>
      </c>
      <c r="K153" s="56" t="s">
        <v>381</v>
      </c>
      <c r="L153" s="56" t="s">
        <v>368</v>
      </c>
      <c r="M153" s="58">
        <v>0.0</v>
      </c>
      <c r="N153" s="59"/>
      <c r="O153" s="56" t="s">
        <v>382</v>
      </c>
      <c r="P153" s="60">
        <v>46025.0</v>
      </c>
      <c r="Q153" s="56" t="s">
        <v>1334</v>
      </c>
      <c r="R153" s="56" t="s">
        <v>1335</v>
      </c>
      <c r="S153" s="59"/>
      <c r="T153" s="56" t="s">
        <v>385</v>
      </c>
      <c r="U153" s="61" t="s">
        <v>373</v>
      </c>
      <c r="V153" s="58" t="s">
        <v>1336</v>
      </c>
      <c r="X153" s="55" t="b">
        <f t="shared" si="1"/>
        <v>1</v>
      </c>
    </row>
    <row r="154" ht="15.0" customHeight="1">
      <c r="A154" s="56" t="s">
        <v>159</v>
      </c>
      <c r="B154" s="56" t="s">
        <v>1337</v>
      </c>
      <c r="C154" s="57" t="s">
        <v>1338</v>
      </c>
      <c r="D154" s="58">
        <v>2.145838214E9</v>
      </c>
      <c r="E154" s="56" t="s">
        <v>849</v>
      </c>
      <c r="F154" s="56" t="s">
        <v>377</v>
      </c>
      <c r="G154" s="56" t="s">
        <v>1339</v>
      </c>
      <c r="H154" s="56" t="s">
        <v>364</v>
      </c>
      <c r="I154" s="56" t="s">
        <v>520</v>
      </c>
      <c r="J154" s="56" t="s">
        <v>366</v>
      </c>
      <c r="K154" s="56" t="s">
        <v>400</v>
      </c>
      <c r="L154" s="56" t="s">
        <v>368</v>
      </c>
      <c r="M154" s="59"/>
      <c r="N154" s="59"/>
      <c r="O154" s="56" t="s">
        <v>382</v>
      </c>
      <c r="P154" s="60">
        <v>46025.0</v>
      </c>
      <c r="Q154" s="56" t="s">
        <v>1340</v>
      </c>
      <c r="R154" s="56" t="s">
        <v>1341</v>
      </c>
      <c r="S154" s="59"/>
      <c r="T154" s="56" t="s">
        <v>393</v>
      </c>
      <c r="U154" s="61" t="s">
        <v>373</v>
      </c>
      <c r="V154" s="58" t="s">
        <v>1342</v>
      </c>
      <c r="X154" s="55" t="b">
        <f t="shared" si="1"/>
        <v>0</v>
      </c>
    </row>
    <row r="155" ht="15.0" customHeight="1">
      <c r="A155" s="56" t="s">
        <v>1343</v>
      </c>
      <c r="B155" s="56" t="s">
        <v>1344</v>
      </c>
      <c r="C155" s="57" t="s">
        <v>1345</v>
      </c>
      <c r="D155" s="58">
        <v>3.608557378E9</v>
      </c>
      <c r="E155" s="56" t="s">
        <v>1346</v>
      </c>
      <c r="F155" s="56" t="s">
        <v>390</v>
      </c>
      <c r="G155" s="56" t="s">
        <v>1347</v>
      </c>
      <c r="H155" s="56" t="s">
        <v>379</v>
      </c>
      <c r="I155" s="56" t="s">
        <v>412</v>
      </c>
      <c r="J155" s="56" t="s">
        <v>413</v>
      </c>
      <c r="K155" s="56" t="s">
        <v>400</v>
      </c>
      <c r="L155" s="56" t="s">
        <v>368</v>
      </c>
      <c r="M155" s="59"/>
      <c r="N155" s="59"/>
      <c r="O155" s="56" t="s">
        <v>382</v>
      </c>
      <c r="P155" s="60">
        <v>46025.0</v>
      </c>
      <c r="Q155" s="56" t="s">
        <v>1348</v>
      </c>
      <c r="R155" s="56" t="s">
        <v>1349</v>
      </c>
      <c r="S155" s="59"/>
      <c r="T155" s="56" t="s">
        <v>393</v>
      </c>
      <c r="U155" s="61" t="s">
        <v>373</v>
      </c>
      <c r="V155" s="58" t="s">
        <v>1350</v>
      </c>
      <c r="X155" s="55" t="b">
        <f t="shared" si="1"/>
        <v>0</v>
      </c>
    </row>
    <row r="156" ht="15.0" customHeight="1">
      <c r="A156" s="56" t="s">
        <v>160</v>
      </c>
      <c r="B156" s="56" t="s">
        <v>1351</v>
      </c>
      <c r="C156" s="57" t="s">
        <v>1352</v>
      </c>
      <c r="D156" s="58">
        <v>3.39933089E9</v>
      </c>
      <c r="E156" s="56" t="s">
        <v>361</v>
      </c>
      <c r="F156" s="56" t="s">
        <v>377</v>
      </c>
      <c r="G156" s="56" t="s">
        <v>1353</v>
      </c>
      <c r="H156" s="56" t="s">
        <v>379</v>
      </c>
      <c r="I156" s="56" t="s">
        <v>412</v>
      </c>
      <c r="J156" s="56" t="s">
        <v>413</v>
      </c>
      <c r="K156" s="56" t="s">
        <v>381</v>
      </c>
      <c r="L156" s="56" t="s">
        <v>368</v>
      </c>
      <c r="M156" s="58">
        <v>0.0</v>
      </c>
      <c r="N156" s="59"/>
      <c r="O156" s="56" t="s">
        <v>382</v>
      </c>
      <c r="P156" s="60">
        <v>46025.0</v>
      </c>
      <c r="Q156" s="56" t="s">
        <v>1354</v>
      </c>
      <c r="R156" s="56" t="s">
        <v>1355</v>
      </c>
      <c r="S156" s="59"/>
      <c r="T156" s="56" t="s">
        <v>385</v>
      </c>
      <c r="U156" s="61" t="s">
        <v>373</v>
      </c>
      <c r="V156" s="58" t="s">
        <v>1356</v>
      </c>
      <c r="X156" s="55" t="b">
        <f t="shared" si="1"/>
        <v>0</v>
      </c>
    </row>
    <row r="157" ht="15.0" customHeight="1">
      <c r="A157" s="56" t="s">
        <v>1357</v>
      </c>
      <c r="B157" s="56" t="s">
        <v>1358</v>
      </c>
      <c r="C157" s="57" t="s">
        <v>1359</v>
      </c>
      <c r="D157" s="58">
        <v>5.128642833E9</v>
      </c>
      <c r="E157" s="56" t="s">
        <v>361</v>
      </c>
      <c r="F157" s="56" t="s">
        <v>377</v>
      </c>
      <c r="G157" s="56" t="s">
        <v>377</v>
      </c>
      <c r="H157" s="56" t="s">
        <v>399</v>
      </c>
      <c r="I157" s="56" t="s">
        <v>365</v>
      </c>
      <c r="J157" s="56" t="s">
        <v>366</v>
      </c>
      <c r="K157" s="56" t="s">
        <v>400</v>
      </c>
      <c r="L157" s="56" t="s">
        <v>423</v>
      </c>
      <c r="M157" s="58">
        <v>0.0</v>
      </c>
      <c r="N157" s="59"/>
      <c r="O157" s="56" t="s">
        <v>382</v>
      </c>
      <c r="P157" s="60">
        <v>46025.0</v>
      </c>
      <c r="Q157" s="59"/>
      <c r="R157" s="56" t="s">
        <v>1360</v>
      </c>
      <c r="S157" s="59"/>
      <c r="T157" s="56" t="s">
        <v>393</v>
      </c>
      <c r="U157" s="61" t="s">
        <v>394</v>
      </c>
      <c r="V157" s="58" t="s">
        <v>1361</v>
      </c>
      <c r="X157" s="55" t="b">
        <f t="shared" si="1"/>
        <v>0</v>
      </c>
    </row>
    <row r="158" ht="15.0" customHeight="1">
      <c r="A158" s="56" t="s">
        <v>162</v>
      </c>
      <c r="B158" s="56" t="s">
        <v>1362</v>
      </c>
      <c r="C158" s="57" t="s">
        <v>1363</v>
      </c>
      <c r="D158" s="58">
        <v>5.674098754E9</v>
      </c>
      <c r="E158" s="56" t="s">
        <v>361</v>
      </c>
      <c r="F158" s="56" t="s">
        <v>443</v>
      </c>
      <c r="G158" s="56" t="s">
        <v>1364</v>
      </c>
      <c r="H158" s="56" t="s">
        <v>379</v>
      </c>
      <c r="I158" s="56" t="s">
        <v>822</v>
      </c>
      <c r="J158" s="56" t="s">
        <v>413</v>
      </c>
      <c r="K158" s="56" t="s">
        <v>381</v>
      </c>
      <c r="L158" s="56" t="s">
        <v>368</v>
      </c>
      <c r="M158" s="59"/>
      <c r="N158" s="59"/>
      <c r="O158" s="56" t="s">
        <v>382</v>
      </c>
      <c r="P158" s="58">
        <v>0.0</v>
      </c>
      <c r="Q158" s="59"/>
      <c r="R158" s="56" t="s">
        <v>1365</v>
      </c>
      <c r="S158" s="59"/>
      <c r="T158" s="56" t="s">
        <v>385</v>
      </c>
      <c r="U158" s="61" t="s">
        <v>373</v>
      </c>
      <c r="V158" s="58" t="s">
        <v>1366</v>
      </c>
      <c r="X158" s="55" t="b">
        <f t="shared" si="1"/>
        <v>0</v>
      </c>
    </row>
    <row r="159" ht="15.0" customHeight="1">
      <c r="A159" s="56" t="s">
        <v>1367</v>
      </c>
      <c r="B159" s="56" t="s">
        <v>1368</v>
      </c>
      <c r="C159" s="57" t="s">
        <v>1369</v>
      </c>
      <c r="D159" s="58">
        <v>8.323822873E9</v>
      </c>
      <c r="E159" s="56" t="s">
        <v>511</v>
      </c>
      <c r="F159" s="56" t="s">
        <v>377</v>
      </c>
      <c r="G159" s="56" t="s">
        <v>1370</v>
      </c>
      <c r="H159" s="56" t="s">
        <v>364</v>
      </c>
      <c r="I159" s="56" t="s">
        <v>365</v>
      </c>
      <c r="J159" s="56" t="s">
        <v>366</v>
      </c>
      <c r="K159" s="56" t="s">
        <v>723</v>
      </c>
      <c r="L159" s="56" t="s">
        <v>368</v>
      </c>
      <c r="M159" s="59"/>
      <c r="N159" s="59"/>
      <c r="O159" s="56" t="s">
        <v>382</v>
      </c>
      <c r="P159" s="58">
        <v>0.0</v>
      </c>
      <c r="Q159" s="59"/>
      <c r="R159" s="56" t="s">
        <v>1371</v>
      </c>
      <c r="S159" s="59"/>
      <c r="T159" s="56" t="s">
        <v>393</v>
      </c>
      <c r="U159" s="61" t="s">
        <v>373</v>
      </c>
      <c r="V159" s="58" t="s">
        <v>704</v>
      </c>
      <c r="X159" s="55" t="b">
        <f t="shared" si="1"/>
        <v>0</v>
      </c>
    </row>
    <row r="160" ht="15.0" customHeight="1">
      <c r="A160" s="56" t="s">
        <v>1372</v>
      </c>
      <c r="B160" s="56" t="s">
        <v>1373</v>
      </c>
      <c r="C160" s="57" t="s">
        <v>1374</v>
      </c>
      <c r="D160" s="56" t="s">
        <v>1375</v>
      </c>
      <c r="E160" s="56" t="s">
        <v>511</v>
      </c>
      <c r="F160" s="56" t="s">
        <v>390</v>
      </c>
      <c r="G160" s="56" t="s">
        <v>1376</v>
      </c>
      <c r="H160" s="56" t="s">
        <v>379</v>
      </c>
      <c r="I160" s="56" t="s">
        <v>380</v>
      </c>
      <c r="J160" s="56" t="s">
        <v>366</v>
      </c>
      <c r="K160" s="56" t="s">
        <v>381</v>
      </c>
      <c r="L160" s="56" t="s">
        <v>368</v>
      </c>
      <c r="M160" s="58">
        <v>0.0</v>
      </c>
      <c r="N160" s="58">
        <v>0.0</v>
      </c>
      <c r="O160" s="56" t="s">
        <v>382</v>
      </c>
      <c r="P160" s="60">
        <v>46025.0</v>
      </c>
      <c r="Q160" s="56" t="s">
        <v>1377</v>
      </c>
      <c r="R160" s="56" t="s">
        <v>1378</v>
      </c>
      <c r="S160" s="59"/>
      <c r="T160" s="56" t="s">
        <v>385</v>
      </c>
      <c r="U160" s="61" t="s">
        <v>394</v>
      </c>
      <c r="V160" s="58" t="s">
        <v>1379</v>
      </c>
      <c r="X160" s="55" t="b">
        <f t="shared" si="1"/>
        <v>0</v>
      </c>
    </row>
    <row r="161" ht="15.0" customHeight="1">
      <c r="A161" s="56" t="s">
        <v>1380</v>
      </c>
      <c r="B161" s="56" t="s">
        <v>1381</v>
      </c>
      <c r="C161" s="57" t="s">
        <v>1382</v>
      </c>
      <c r="D161" s="58">
        <v>3.619352287E9</v>
      </c>
      <c r="E161" s="56" t="s">
        <v>361</v>
      </c>
      <c r="F161" s="56" t="s">
        <v>421</v>
      </c>
      <c r="G161" s="56" t="s">
        <v>1383</v>
      </c>
      <c r="H161" s="56" t="s">
        <v>399</v>
      </c>
      <c r="I161" s="56" t="s">
        <v>405</v>
      </c>
      <c r="J161" s="56" t="s">
        <v>366</v>
      </c>
      <c r="K161" s="56" t="s">
        <v>400</v>
      </c>
      <c r="L161" s="56" t="s">
        <v>368</v>
      </c>
      <c r="M161" s="59"/>
      <c r="N161" s="59"/>
      <c r="O161" s="56" t="s">
        <v>414</v>
      </c>
      <c r="P161" s="60">
        <v>46025.0</v>
      </c>
      <c r="Q161" s="56" t="s">
        <v>1384</v>
      </c>
      <c r="R161" s="56" t="s">
        <v>1385</v>
      </c>
      <c r="S161" s="59"/>
      <c r="T161" s="56" t="s">
        <v>393</v>
      </c>
      <c r="U161" s="61" t="s">
        <v>373</v>
      </c>
      <c r="V161" s="58" t="s">
        <v>1386</v>
      </c>
      <c r="X161" s="55" t="b">
        <f t="shared" si="1"/>
        <v>0</v>
      </c>
    </row>
    <row r="162" ht="15.0" customHeight="1">
      <c r="A162" s="56" t="s">
        <v>1387</v>
      </c>
      <c r="B162" s="56" t="s">
        <v>1388</v>
      </c>
      <c r="C162" s="57" t="s">
        <v>1389</v>
      </c>
      <c r="D162" s="58">
        <v>6.094644364E9</v>
      </c>
      <c r="E162" s="56" t="s">
        <v>511</v>
      </c>
      <c r="F162" s="56" t="s">
        <v>377</v>
      </c>
      <c r="G162" s="56" t="s">
        <v>600</v>
      </c>
      <c r="H162" s="56" t="s">
        <v>364</v>
      </c>
      <c r="I162" s="56" t="s">
        <v>365</v>
      </c>
      <c r="J162" s="56" t="s">
        <v>366</v>
      </c>
      <c r="K162" s="56" t="s">
        <v>400</v>
      </c>
      <c r="L162" s="56" t="s">
        <v>368</v>
      </c>
      <c r="M162" s="59"/>
      <c r="N162" s="59"/>
      <c r="O162" s="56" t="s">
        <v>382</v>
      </c>
      <c r="P162" s="60">
        <v>46025.0</v>
      </c>
      <c r="Q162" s="59"/>
      <c r="R162" s="56" t="s">
        <v>1390</v>
      </c>
      <c r="S162" s="59"/>
      <c r="T162" s="56" t="s">
        <v>393</v>
      </c>
      <c r="U162" s="61" t="s">
        <v>373</v>
      </c>
      <c r="V162" s="58" t="s">
        <v>1391</v>
      </c>
      <c r="X162" s="55" t="b">
        <f t="shared" si="1"/>
        <v>0</v>
      </c>
    </row>
    <row r="163" ht="15.0" customHeight="1">
      <c r="A163" s="56" t="s">
        <v>1392</v>
      </c>
      <c r="B163" s="56" t="s">
        <v>1393</v>
      </c>
      <c r="C163" s="57" t="s">
        <v>1394</v>
      </c>
      <c r="D163" s="58">
        <v>8.312069805E9</v>
      </c>
      <c r="E163" s="56" t="s">
        <v>1395</v>
      </c>
      <c r="F163" s="56" t="s">
        <v>390</v>
      </c>
      <c r="G163" s="56" t="s">
        <v>1396</v>
      </c>
      <c r="H163" s="56" t="s">
        <v>379</v>
      </c>
      <c r="I163" s="56" t="s">
        <v>830</v>
      </c>
      <c r="J163" s="56" t="s">
        <v>413</v>
      </c>
      <c r="K163" s="56" t="s">
        <v>1397</v>
      </c>
      <c r="L163" s="56" t="s">
        <v>368</v>
      </c>
      <c r="M163" s="59"/>
      <c r="N163" s="59"/>
      <c r="O163" s="56" t="s">
        <v>382</v>
      </c>
      <c r="P163" s="60">
        <v>46118.0</v>
      </c>
      <c r="Q163" s="56" t="s">
        <v>1398</v>
      </c>
      <c r="R163" s="56" t="s">
        <v>1399</v>
      </c>
      <c r="S163" s="59"/>
      <c r="T163" s="56" t="s">
        <v>372</v>
      </c>
      <c r="U163" s="61" t="s">
        <v>394</v>
      </c>
      <c r="V163" s="58" t="s">
        <v>1400</v>
      </c>
      <c r="X163" s="55" t="b">
        <f t="shared" si="1"/>
        <v>0</v>
      </c>
    </row>
    <row r="164" ht="15.0" customHeight="1">
      <c r="A164" s="56" t="s">
        <v>164</v>
      </c>
      <c r="B164" s="56" t="s">
        <v>1401</v>
      </c>
      <c r="C164" s="57" t="s">
        <v>1402</v>
      </c>
      <c r="D164" s="58">
        <v>2.254851119E9</v>
      </c>
      <c r="E164" s="56" t="s">
        <v>849</v>
      </c>
      <c r="F164" s="56" t="s">
        <v>452</v>
      </c>
      <c r="G164" s="56" t="s">
        <v>1403</v>
      </c>
      <c r="H164" s="56" t="s">
        <v>379</v>
      </c>
      <c r="I164" s="56" t="s">
        <v>365</v>
      </c>
      <c r="J164" s="56" t="s">
        <v>413</v>
      </c>
      <c r="K164" s="56" t="s">
        <v>400</v>
      </c>
      <c r="L164" s="56" t="s">
        <v>368</v>
      </c>
      <c r="M164" s="59"/>
      <c r="N164" s="59"/>
      <c r="O164" s="56" t="s">
        <v>414</v>
      </c>
      <c r="P164" s="60">
        <v>46025.0</v>
      </c>
      <c r="Q164" s="56" t="s">
        <v>1401</v>
      </c>
      <c r="R164" s="56" t="s">
        <v>1404</v>
      </c>
      <c r="S164" s="59"/>
      <c r="T164" s="56" t="s">
        <v>393</v>
      </c>
      <c r="U164" s="61" t="s">
        <v>373</v>
      </c>
      <c r="V164" s="58" t="s">
        <v>1405</v>
      </c>
      <c r="X164" s="55" t="b">
        <f t="shared" si="1"/>
        <v>0</v>
      </c>
    </row>
    <row r="165" ht="15.0" customHeight="1">
      <c r="A165" s="56" t="s">
        <v>165</v>
      </c>
      <c r="B165" s="56" t="s">
        <v>1406</v>
      </c>
      <c r="C165" s="57" t="s">
        <v>1407</v>
      </c>
      <c r="D165" s="58">
        <v>2.813524533E9</v>
      </c>
      <c r="E165" s="56" t="s">
        <v>361</v>
      </c>
      <c r="F165" s="56" t="s">
        <v>377</v>
      </c>
      <c r="G165" s="56" t="s">
        <v>377</v>
      </c>
      <c r="H165" s="56" t="s">
        <v>379</v>
      </c>
      <c r="I165" s="56" t="s">
        <v>365</v>
      </c>
      <c r="J165" s="56" t="s">
        <v>413</v>
      </c>
      <c r="K165" s="56" t="s">
        <v>400</v>
      </c>
      <c r="L165" s="56" t="s">
        <v>368</v>
      </c>
      <c r="M165" s="59"/>
      <c r="N165" s="59"/>
      <c r="O165" s="56" t="s">
        <v>382</v>
      </c>
      <c r="P165" s="60">
        <v>46025.0</v>
      </c>
      <c r="Q165" s="56" t="s">
        <v>1408</v>
      </c>
      <c r="R165" s="56" t="s">
        <v>1409</v>
      </c>
      <c r="S165" s="59"/>
      <c r="T165" s="56" t="s">
        <v>393</v>
      </c>
      <c r="U165" s="61" t="s">
        <v>373</v>
      </c>
      <c r="V165" s="58" t="s">
        <v>1410</v>
      </c>
      <c r="X165" s="55" t="b">
        <f t="shared" si="1"/>
        <v>0</v>
      </c>
    </row>
    <row r="166" ht="15.0" customHeight="1">
      <c r="A166" s="56" t="s">
        <v>166</v>
      </c>
      <c r="B166" s="56" t="s">
        <v>1411</v>
      </c>
      <c r="C166" s="57" t="s">
        <v>1412</v>
      </c>
      <c r="D166" s="58">
        <v>9.133029483E9</v>
      </c>
      <c r="E166" s="56" t="s">
        <v>511</v>
      </c>
      <c r="F166" s="56" t="s">
        <v>377</v>
      </c>
      <c r="G166" s="56" t="s">
        <v>1413</v>
      </c>
      <c r="H166" s="56" t="s">
        <v>364</v>
      </c>
      <c r="I166" s="56" t="s">
        <v>380</v>
      </c>
      <c r="J166" s="56" t="s">
        <v>869</v>
      </c>
      <c r="K166" s="56" t="s">
        <v>497</v>
      </c>
      <c r="L166" s="56" t="s">
        <v>368</v>
      </c>
      <c r="M166" s="59"/>
      <c r="N166" s="59"/>
      <c r="O166" s="56" t="s">
        <v>382</v>
      </c>
      <c r="P166" s="58">
        <v>0.0</v>
      </c>
      <c r="Q166" s="56" t="s">
        <v>1414</v>
      </c>
      <c r="R166" s="56" t="s">
        <v>1415</v>
      </c>
      <c r="S166" s="59"/>
      <c r="T166" s="56" t="s">
        <v>385</v>
      </c>
      <c r="U166" s="61" t="s">
        <v>373</v>
      </c>
      <c r="V166" s="58" t="s">
        <v>1416</v>
      </c>
      <c r="X166" s="55" t="b">
        <f t="shared" si="1"/>
        <v>0</v>
      </c>
    </row>
    <row r="167" ht="15.0" customHeight="1">
      <c r="A167" s="56" t="s">
        <v>1417</v>
      </c>
      <c r="B167" s="56" t="s">
        <v>1418</v>
      </c>
      <c r="C167" s="57" t="s">
        <v>1419</v>
      </c>
      <c r="D167" s="58">
        <v>2.108376775E9</v>
      </c>
      <c r="E167" s="56" t="s">
        <v>361</v>
      </c>
      <c r="F167" s="56" t="s">
        <v>377</v>
      </c>
      <c r="G167" s="56" t="s">
        <v>1300</v>
      </c>
      <c r="H167" s="56" t="s">
        <v>364</v>
      </c>
      <c r="I167" s="56" t="s">
        <v>365</v>
      </c>
      <c r="J167" s="56" t="s">
        <v>413</v>
      </c>
      <c r="K167" s="56" t="s">
        <v>497</v>
      </c>
      <c r="L167" s="56" t="s">
        <v>368</v>
      </c>
      <c r="M167" s="59"/>
      <c r="N167" s="59"/>
      <c r="O167" s="56" t="s">
        <v>382</v>
      </c>
      <c r="P167" s="60">
        <v>46118.0</v>
      </c>
      <c r="Q167" s="56" t="s">
        <v>1418</v>
      </c>
      <c r="R167" s="56" t="s">
        <v>1420</v>
      </c>
      <c r="S167" s="59"/>
      <c r="T167" s="56" t="s">
        <v>385</v>
      </c>
      <c r="U167" s="61" t="s">
        <v>373</v>
      </c>
      <c r="V167" s="58" t="s">
        <v>944</v>
      </c>
      <c r="X167" s="55" t="b">
        <f t="shared" si="1"/>
        <v>0</v>
      </c>
    </row>
    <row r="168" ht="15.0" customHeight="1">
      <c r="A168" s="56" t="s">
        <v>1421</v>
      </c>
      <c r="B168" s="56" t="s">
        <v>1422</v>
      </c>
      <c r="C168" s="57" t="s">
        <v>1423</v>
      </c>
      <c r="D168" s="58">
        <v>6.138986994E9</v>
      </c>
      <c r="E168" s="56" t="s">
        <v>696</v>
      </c>
      <c r="F168" s="56" t="s">
        <v>634</v>
      </c>
      <c r="G168" s="56" t="s">
        <v>1424</v>
      </c>
      <c r="H168" s="56" t="s">
        <v>364</v>
      </c>
      <c r="I168" s="56" t="s">
        <v>380</v>
      </c>
      <c r="J168" s="56" t="s">
        <v>366</v>
      </c>
      <c r="K168" s="56" t="s">
        <v>367</v>
      </c>
      <c r="L168" s="56" t="s">
        <v>368</v>
      </c>
      <c r="M168" s="59"/>
      <c r="N168" s="59"/>
      <c r="O168" s="56" t="s">
        <v>369</v>
      </c>
      <c r="P168" s="60">
        <v>46025.0</v>
      </c>
      <c r="Q168" s="56" t="s">
        <v>1425</v>
      </c>
      <c r="R168" s="56" t="s">
        <v>1426</v>
      </c>
      <c r="S168" s="59"/>
      <c r="T168" s="56" t="s">
        <v>372</v>
      </c>
      <c r="U168" s="61" t="s">
        <v>394</v>
      </c>
      <c r="V168" s="58" t="s">
        <v>1427</v>
      </c>
      <c r="X168" s="55" t="b">
        <f t="shared" si="1"/>
        <v>0</v>
      </c>
    </row>
    <row r="169" ht="15.0" customHeight="1">
      <c r="A169" s="56" t="s">
        <v>311</v>
      </c>
      <c r="B169" s="56" t="s">
        <v>1428</v>
      </c>
      <c r="C169" s="57" t="s">
        <v>1429</v>
      </c>
      <c r="D169" s="58">
        <v>6.30712102E9</v>
      </c>
      <c r="E169" s="56" t="s">
        <v>525</v>
      </c>
      <c r="F169" s="56" t="s">
        <v>452</v>
      </c>
      <c r="G169" s="56" t="s">
        <v>452</v>
      </c>
      <c r="H169" s="56" t="s">
        <v>364</v>
      </c>
      <c r="I169" s="56" t="s">
        <v>412</v>
      </c>
      <c r="J169" s="56" t="s">
        <v>413</v>
      </c>
      <c r="K169" s="56" t="s">
        <v>367</v>
      </c>
      <c r="L169" s="56" t="s">
        <v>368</v>
      </c>
      <c r="M169" s="59"/>
      <c r="N169" s="59"/>
      <c r="O169" s="56" t="s">
        <v>382</v>
      </c>
      <c r="P169" s="60">
        <v>46025.0</v>
      </c>
      <c r="Q169" s="56" t="s">
        <v>1430</v>
      </c>
      <c r="R169" s="56" t="s">
        <v>1431</v>
      </c>
      <c r="S169" s="59"/>
      <c r="T169" s="56" t="s">
        <v>372</v>
      </c>
      <c r="U169" s="61" t="s">
        <v>373</v>
      </c>
      <c r="V169" s="58" t="s">
        <v>1432</v>
      </c>
      <c r="X169" s="55" t="b">
        <f t="shared" si="1"/>
        <v>0</v>
      </c>
    </row>
    <row r="170" ht="15.0" customHeight="1">
      <c r="A170" s="56" t="s">
        <v>169</v>
      </c>
      <c r="B170" s="56" t="s">
        <v>1433</v>
      </c>
      <c r="C170" s="57" t="s">
        <v>1434</v>
      </c>
      <c r="D170" s="58">
        <v>8.176375374E9</v>
      </c>
      <c r="E170" s="56" t="s">
        <v>361</v>
      </c>
      <c r="F170" s="56" t="s">
        <v>377</v>
      </c>
      <c r="G170" s="56" t="s">
        <v>377</v>
      </c>
      <c r="H170" s="56" t="s">
        <v>379</v>
      </c>
      <c r="I170" s="56" t="s">
        <v>365</v>
      </c>
      <c r="J170" s="56" t="s">
        <v>413</v>
      </c>
      <c r="K170" s="56" t="s">
        <v>367</v>
      </c>
      <c r="L170" s="56" t="s">
        <v>368</v>
      </c>
      <c r="M170" s="59"/>
      <c r="N170" s="59"/>
      <c r="O170" s="56" t="s">
        <v>369</v>
      </c>
      <c r="P170" s="60">
        <v>46025.0</v>
      </c>
      <c r="Q170" s="56" t="s">
        <v>1435</v>
      </c>
      <c r="R170" s="56" t="s">
        <v>1436</v>
      </c>
      <c r="S170" s="59"/>
      <c r="T170" s="56" t="s">
        <v>372</v>
      </c>
      <c r="U170" s="61" t="s">
        <v>373</v>
      </c>
      <c r="V170" s="58" t="s">
        <v>1437</v>
      </c>
      <c r="X170" s="55" t="b">
        <f t="shared" si="1"/>
        <v>0</v>
      </c>
    </row>
    <row r="171" ht="15.0" customHeight="1">
      <c r="A171" s="56" t="s">
        <v>1438</v>
      </c>
      <c r="B171" s="56" t="s">
        <v>1439</v>
      </c>
      <c r="C171" s="57" t="s">
        <v>1440</v>
      </c>
      <c r="D171" s="58">
        <v>8.159543291E9</v>
      </c>
      <c r="E171" s="56" t="s">
        <v>1441</v>
      </c>
      <c r="F171" s="56" t="s">
        <v>390</v>
      </c>
      <c r="G171" s="56" t="s">
        <v>1442</v>
      </c>
      <c r="H171" s="56" t="s">
        <v>379</v>
      </c>
      <c r="I171" s="56" t="s">
        <v>365</v>
      </c>
      <c r="J171" s="56" t="s">
        <v>413</v>
      </c>
      <c r="K171" s="56" t="s">
        <v>367</v>
      </c>
      <c r="L171" s="56" t="s">
        <v>368</v>
      </c>
      <c r="M171" s="58">
        <v>0.0</v>
      </c>
      <c r="N171" s="59"/>
      <c r="O171" s="56" t="s">
        <v>382</v>
      </c>
      <c r="P171" s="58">
        <v>0.0</v>
      </c>
      <c r="Q171" s="56" t="s">
        <v>1439</v>
      </c>
      <c r="R171" s="56" t="s">
        <v>1443</v>
      </c>
      <c r="S171" s="59"/>
      <c r="T171" s="56" t="s">
        <v>372</v>
      </c>
      <c r="U171" s="61" t="s">
        <v>373</v>
      </c>
      <c r="V171" s="58" t="s">
        <v>1336</v>
      </c>
      <c r="X171" s="55" t="b">
        <f t="shared" si="1"/>
        <v>0</v>
      </c>
    </row>
    <row r="172" ht="15.0" customHeight="1">
      <c r="A172" s="56" t="s">
        <v>1444</v>
      </c>
      <c r="B172" s="56" t="s">
        <v>1445</v>
      </c>
      <c r="C172" s="57" t="s">
        <v>1446</v>
      </c>
      <c r="D172" s="58">
        <v>7.133060829E9</v>
      </c>
      <c r="E172" s="56" t="s">
        <v>525</v>
      </c>
      <c r="F172" s="56" t="s">
        <v>877</v>
      </c>
      <c r="G172" s="56" t="s">
        <v>1447</v>
      </c>
      <c r="H172" s="56" t="s">
        <v>379</v>
      </c>
      <c r="I172" s="56" t="s">
        <v>405</v>
      </c>
      <c r="J172" s="56" t="s">
        <v>366</v>
      </c>
      <c r="K172" s="56" t="s">
        <v>367</v>
      </c>
      <c r="L172" s="56" t="s">
        <v>423</v>
      </c>
      <c r="M172" s="58">
        <v>2.0</v>
      </c>
      <c r="N172" s="58">
        <v>0.0</v>
      </c>
      <c r="O172" s="56" t="s">
        <v>382</v>
      </c>
      <c r="P172" s="60">
        <v>46025.0</v>
      </c>
      <c r="Q172" s="56" t="s">
        <v>1448</v>
      </c>
      <c r="R172" s="56" t="s">
        <v>432</v>
      </c>
      <c r="S172" s="59"/>
      <c r="T172" s="56" t="s">
        <v>372</v>
      </c>
      <c r="U172" s="61" t="s">
        <v>373</v>
      </c>
      <c r="V172" s="58" t="s">
        <v>1449</v>
      </c>
      <c r="X172" s="55" t="b">
        <f t="shared" si="1"/>
        <v>0</v>
      </c>
    </row>
    <row r="173" ht="15.0" customHeight="1">
      <c r="A173" s="56" t="s">
        <v>171</v>
      </c>
      <c r="B173" s="56" t="s">
        <v>1450</v>
      </c>
      <c r="C173" s="57" t="s">
        <v>1451</v>
      </c>
      <c r="D173" s="58">
        <v>9.032611819E9</v>
      </c>
      <c r="E173" s="56" t="s">
        <v>389</v>
      </c>
      <c r="F173" s="56" t="s">
        <v>504</v>
      </c>
      <c r="G173" s="56" t="s">
        <v>453</v>
      </c>
      <c r="H173" s="56" t="s">
        <v>364</v>
      </c>
      <c r="I173" s="56" t="s">
        <v>365</v>
      </c>
      <c r="J173" s="56" t="s">
        <v>366</v>
      </c>
      <c r="K173" s="56" t="s">
        <v>400</v>
      </c>
      <c r="L173" s="56" t="s">
        <v>368</v>
      </c>
      <c r="M173" s="59"/>
      <c r="N173" s="59"/>
      <c r="O173" s="56" t="s">
        <v>369</v>
      </c>
      <c r="P173" s="58">
        <v>0.0</v>
      </c>
      <c r="Q173" s="56" t="s">
        <v>1452</v>
      </c>
      <c r="R173" s="56" t="s">
        <v>1453</v>
      </c>
      <c r="S173" s="59"/>
      <c r="T173" s="56" t="s">
        <v>393</v>
      </c>
      <c r="U173" s="61" t="s">
        <v>394</v>
      </c>
      <c r="V173" s="58" t="s">
        <v>1454</v>
      </c>
      <c r="X173" s="55" t="b">
        <f t="shared" si="1"/>
        <v>0</v>
      </c>
    </row>
    <row r="174" ht="15.0" customHeight="1">
      <c r="A174" s="56" t="s">
        <v>172</v>
      </c>
      <c r="B174" s="56" t="s">
        <v>1455</v>
      </c>
      <c r="C174" s="57" t="s">
        <v>1456</v>
      </c>
      <c r="D174" s="58">
        <v>5.128103022E9</v>
      </c>
      <c r="E174" s="56" t="s">
        <v>361</v>
      </c>
      <c r="F174" s="56" t="s">
        <v>377</v>
      </c>
      <c r="G174" s="56" t="s">
        <v>377</v>
      </c>
      <c r="H174" s="56" t="s">
        <v>379</v>
      </c>
      <c r="I174" s="56" t="s">
        <v>365</v>
      </c>
      <c r="J174" s="56" t="s">
        <v>366</v>
      </c>
      <c r="K174" s="56" t="s">
        <v>497</v>
      </c>
      <c r="L174" s="56" t="s">
        <v>368</v>
      </c>
      <c r="M174" s="59"/>
      <c r="N174" s="59"/>
      <c r="O174" s="56" t="s">
        <v>382</v>
      </c>
      <c r="P174" s="60">
        <v>46025.0</v>
      </c>
      <c r="Q174" s="56" t="s">
        <v>1455</v>
      </c>
      <c r="R174" s="56" t="s">
        <v>1457</v>
      </c>
      <c r="S174" s="59"/>
      <c r="T174" s="56" t="s">
        <v>385</v>
      </c>
      <c r="U174" s="61" t="s">
        <v>373</v>
      </c>
      <c r="V174" s="58" t="s">
        <v>1458</v>
      </c>
      <c r="X174" s="55" t="b">
        <f t="shared" si="1"/>
        <v>0</v>
      </c>
    </row>
    <row r="175" ht="15.0" customHeight="1">
      <c r="A175" s="56" t="s">
        <v>1459</v>
      </c>
      <c r="B175" s="56" t="s">
        <v>1460</v>
      </c>
      <c r="C175" s="57" t="s">
        <v>1461</v>
      </c>
      <c r="D175" s="58">
        <v>4.016421711E9</v>
      </c>
      <c r="E175" s="56" t="s">
        <v>1462</v>
      </c>
      <c r="F175" s="56" t="s">
        <v>580</v>
      </c>
      <c r="G175" s="56" t="s">
        <v>1463</v>
      </c>
      <c r="H175" s="56" t="s">
        <v>364</v>
      </c>
      <c r="I175" s="56" t="s">
        <v>365</v>
      </c>
      <c r="J175" s="56" t="s">
        <v>413</v>
      </c>
      <c r="K175" s="56" t="s">
        <v>1464</v>
      </c>
      <c r="L175" s="56" t="s">
        <v>368</v>
      </c>
      <c r="M175" s="59"/>
      <c r="N175" s="59"/>
      <c r="O175" s="56" t="s">
        <v>382</v>
      </c>
      <c r="P175" s="56" t="s">
        <v>1206</v>
      </c>
      <c r="Q175" s="59"/>
      <c r="R175" s="56" t="s">
        <v>1465</v>
      </c>
      <c r="S175" s="59"/>
      <c r="T175" s="56" t="s">
        <v>372</v>
      </c>
      <c r="U175" s="61" t="s">
        <v>373</v>
      </c>
      <c r="V175" s="58" t="s">
        <v>1466</v>
      </c>
      <c r="X175" s="55" t="b">
        <f t="shared" si="1"/>
        <v>0</v>
      </c>
    </row>
    <row r="176" ht="15.0" customHeight="1">
      <c r="A176" s="56" t="s">
        <v>173</v>
      </c>
      <c r="B176" s="56" t="s">
        <v>1467</v>
      </c>
      <c r="C176" s="57" t="s">
        <v>1468</v>
      </c>
      <c r="D176" s="58">
        <v>2.105428315E9</v>
      </c>
      <c r="E176" s="56" t="s">
        <v>1469</v>
      </c>
      <c r="F176" s="56" t="s">
        <v>362</v>
      </c>
      <c r="G176" s="56" t="s">
        <v>1470</v>
      </c>
      <c r="H176" s="56" t="s">
        <v>379</v>
      </c>
      <c r="I176" s="56" t="s">
        <v>365</v>
      </c>
      <c r="J176" s="56" t="s">
        <v>413</v>
      </c>
      <c r="K176" s="56" t="s">
        <v>400</v>
      </c>
      <c r="L176" s="56" t="s">
        <v>368</v>
      </c>
      <c r="M176" s="59"/>
      <c r="N176" s="59"/>
      <c r="O176" s="56" t="s">
        <v>369</v>
      </c>
      <c r="P176" s="58">
        <v>0.0</v>
      </c>
      <c r="Q176" s="56" t="s">
        <v>1471</v>
      </c>
      <c r="R176" s="56" t="s">
        <v>371</v>
      </c>
      <c r="S176" s="59"/>
      <c r="T176" s="56" t="s">
        <v>393</v>
      </c>
      <c r="U176" s="61" t="s">
        <v>373</v>
      </c>
      <c r="V176" s="58" t="s">
        <v>649</v>
      </c>
      <c r="X176" s="55" t="b">
        <f t="shared" si="1"/>
        <v>0</v>
      </c>
    </row>
    <row r="177" ht="15.0" customHeight="1">
      <c r="A177" s="56" t="s">
        <v>175</v>
      </c>
      <c r="B177" s="56" t="s">
        <v>1472</v>
      </c>
      <c r="C177" s="57" t="s">
        <v>1473</v>
      </c>
      <c r="D177" s="56" t="s">
        <v>1474</v>
      </c>
      <c r="E177" s="56" t="s">
        <v>587</v>
      </c>
      <c r="F177" s="56" t="s">
        <v>452</v>
      </c>
      <c r="G177" s="56" t="s">
        <v>1475</v>
      </c>
      <c r="H177" s="56" t="s">
        <v>364</v>
      </c>
      <c r="I177" s="56" t="s">
        <v>405</v>
      </c>
      <c r="J177" s="56" t="s">
        <v>413</v>
      </c>
      <c r="K177" s="56" t="s">
        <v>400</v>
      </c>
      <c r="L177" s="56" t="s">
        <v>368</v>
      </c>
      <c r="M177" s="59"/>
      <c r="N177" s="59"/>
      <c r="O177" s="56" t="s">
        <v>369</v>
      </c>
      <c r="P177" s="58">
        <v>0.0</v>
      </c>
      <c r="Q177" s="56" t="s">
        <v>1476</v>
      </c>
      <c r="R177" s="56" t="s">
        <v>1477</v>
      </c>
      <c r="S177" s="59"/>
      <c r="T177" s="56" t="s">
        <v>393</v>
      </c>
      <c r="U177" s="61" t="s">
        <v>373</v>
      </c>
      <c r="V177" s="58" t="s">
        <v>1478</v>
      </c>
      <c r="X177" s="55" t="b">
        <f t="shared" si="1"/>
        <v>0</v>
      </c>
    </row>
    <row r="178" ht="15.0" customHeight="1">
      <c r="A178" s="56" t="s">
        <v>176</v>
      </c>
      <c r="B178" s="56" t="s">
        <v>1479</v>
      </c>
      <c r="C178" s="57" t="s">
        <v>1480</v>
      </c>
      <c r="D178" s="58">
        <v>8.179484802E9</v>
      </c>
      <c r="E178" s="56" t="s">
        <v>1481</v>
      </c>
      <c r="F178" s="56" t="s">
        <v>390</v>
      </c>
      <c r="G178" s="56" t="s">
        <v>1482</v>
      </c>
      <c r="H178" s="56" t="s">
        <v>364</v>
      </c>
      <c r="I178" s="56" t="s">
        <v>405</v>
      </c>
      <c r="J178" s="56" t="s">
        <v>366</v>
      </c>
      <c r="K178" s="56" t="s">
        <v>400</v>
      </c>
      <c r="L178" s="56" t="s">
        <v>368</v>
      </c>
      <c r="M178" s="59"/>
      <c r="N178" s="59"/>
      <c r="O178" s="56" t="s">
        <v>382</v>
      </c>
      <c r="P178" s="60">
        <v>46025.0</v>
      </c>
      <c r="Q178" s="59"/>
      <c r="R178" s="59"/>
      <c r="S178" s="59"/>
      <c r="T178" s="56" t="s">
        <v>393</v>
      </c>
      <c r="U178" s="61" t="s">
        <v>394</v>
      </c>
      <c r="V178" s="58" t="s">
        <v>1483</v>
      </c>
      <c r="X178" s="55" t="b">
        <f t="shared" si="1"/>
        <v>0</v>
      </c>
    </row>
    <row r="179" ht="15.0" customHeight="1">
      <c r="A179" s="56" t="s">
        <v>179</v>
      </c>
      <c r="B179" s="56" t="s">
        <v>1484</v>
      </c>
      <c r="C179" s="57" t="s">
        <v>1485</v>
      </c>
      <c r="D179" s="56" t="s">
        <v>1486</v>
      </c>
      <c r="E179" s="56" t="s">
        <v>361</v>
      </c>
      <c r="F179" s="56" t="s">
        <v>377</v>
      </c>
      <c r="G179" s="56" t="s">
        <v>378</v>
      </c>
      <c r="H179" s="56" t="s">
        <v>399</v>
      </c>
      <c r="I179" s="56" t="s">
        <v>365</v>
      </c>
      <c r="J179" s="56" t="s">
        <v>366</v>
      </c>
      <c r="K179" s="56" t="s">
        <v>1397</v>
      </c>
      <c r="L179" s="56" t="s">
        <v>368</v>
      </c>
      <c r="M179" s="59"/>
      <c r="N179" s="59"/>
      <c r="O179" s="56" t="s">
        <v>382</v>
      </c>
      <c r="P179" s="60">
        <v>46213.0</v>
      </c>
      <c r="Q179" s="56" t="s">
        <v>1487</v>
      </c>
      <c r="R179" s="56" t="s">
        <v>1488</v>
      </c>
      <c r="S179" s="59"/>
      <c r="T179" s="56" t="s">
        <v>372</v>
      </c>
      <c r="U179" s="61" t="s">
        <v>373</v>
      </c>
      <c r="V179" s="58" t="s">
        <v>1489</v>
      </c>
      <c r="X179" s="55" t="b">
        <f t="shared" si="1"/>
        <v>0</v>
      </c>
    </row>
    <row r="180" ht="15.0" customHeight="1">
      <c r="A180" s="56" t="s">
        <v>1490</v>
      </c>
      <c r="B180" s="56" t="s">
        <v>1491</v>
      </c>
      <c r="C180" s="57" t="s">
        <v>1492</v>
      </c>
      <c r="D180" s="56" t="s">
        <v>1493</v>
      </c>
      <c r="E180" s="56" t="s">
        <v>1494</v>
      </c>
      <c r="F180" s="56" t="s">
        <v>377</v>
      </c>
      <c r="G180" s="56" t="s">
        <v>377</v>
      </c>
      <c r="H180" s="56" t="s">
        <v>379</v>
      </c>
      <c r="I180" s="56" t="s">
        <v>365</v>
      </c>
      <c r="J180" s="56" t="s">
        <v>366</v>
      </c>
      <c r="K180" s="56" t="s">
        <v>400</v>
      </c>
      <c r="L180" s="56" t="s">
        <v>368</v>
      </c>
      <c r="M180" s="59"/>
      <c r="N180" s="59"/>
      <c r="O180" s="56" t="s">
        <v>382</v>
      </c>
      <c r="P180" s="60">
        <v>46025.0</v>
      </c>
      <c r="Q180" s="56" t="s">
        <v>1495</v>
      </c>
      <c r="R180" s="56" t="s">
        <v>1496</v>
      </c>
      <c r="S180" s="59"/>
      <c r="T180" s="56" t="s">
        <v>393</v>
      </c>
      <c r="U180" s="61" t="s">
        <v>373</v>
      </c>
      <c r="V180" s="58" t="s">
        <v>1497</v>
      </c>
      <c r="X180" s="55" t="b">
        <f t="shared" si="1"/>
        <v>0</v>
      </c>
    </row>
    <row r="181" ht="15.0" customHeight="1">
      <c r="A181" s="56" t="s">
        <v>180</v>
      </c>
      <c r="B181" s="56" t="s">
        <v>1498</v>
      </c>
      <c r="C181" s="57" t="s">
        <v>1499</v>
      </c>
      <c r="D181" s="58">
        <v>5.123382738E9</v>
      </c>
      <c r="E181" s="56" t="s">
        <v>361</v>
      </c>
      <c r="F181" s="56" t="s">
        <v>377</v>
      </c>
      <c r="G181" s="56" t="s">
        <v>378</v>
      </c>
      <c r="H181" s="56" t="s">
        <v>399</v>
      </c>
      <c r="I181" s="56" t="s">
        <v>365</v>
      </c>
      <c r="J181" s="56" t="s">
        <v>366</v>
      </c>
      <c r="K181" s="56" t="s">
        <v>400</v>
      </c>
      <c r="L181" s="56" t="s">
        <v>368</v>
      </c>
      <c r="M181" s="59"/>
      <c r="N181" s="59"/>
      <c r="O181" s="56" t="s">
        <v>382</v>
      </c>
      <c r="P181" s="60">
        <v>46118.0</v>
      </c>
      <c r="Q181" s="59"/>
      <c r="R181" s="56" t="s">
        <v>914</v>
      </c>
      <c r="S181" s="59"/>
      <c r="T181" s="56" t="s">
        <v>393</v>
      </c>
      <c r="U181" s="61" t="s">
        <v>373</v>
      </c>
      <c r="V181" s="58" t="s">
        <v>1500</v>
      </c>
      <c r="X181" s="55" t="b">
        <f t="shared" si="1"/>
        <v>0</v>
      </c>
    </row>
    <row r="182" ht="15.0" customHeight="1">
      <c r="A182" s="56" t="s">
        <v>1501</v>
      </c>
      <c r="B182" s="56" t="s">
        <v>1502</v>
      </c>
      <c r="C182" s="57" t="s">
        <v>1503</v>
      </c>
      <c r="D182" s="58">
        <v>3.147073805E9</v>
      </c>
      <c r="E182" s="56" t="s">
        <v>511</v>
      </c>
      <c r="F182" s="56" t="s">
        <v>452</v>
      </c>
      <c r="G182" s="56" t="s">
        <v>1504</v>
      </c>
      <c r="H182" s="56" t="s">
        <v>364</v>
      </c>
      <c r="I182" s="56" t="s">
        <v>365</v>
      </c>
      <c r="J182" s="56" t="s">
        <v>413</v>
      </c>
      <c r="K182" s="56" t="s">
        <v>367</v>
      </c>
      <c r="L182" s="56" t="s">
        <v>368</v>
      </c>
      <c r="M182" s="59"/>
      <c r="N182" s="59"/>
      <c r="O182" s="56" t="s">
        <v>382</v>
      </c>
      <c r="P182" s="60">
        <v>46025.0</v>
      </c>
      <c r="Q182" s="56" t="s">
        <v>1502</v>
      </c>
      <c r="R182" s="56" t="s">
        <v>1505</v>
      </c>
      <c r="S182" s="59"/>
      <c r="T182" s="56" t="s">
        <v>372</v>
      </c>
      <c r="U182" s="61" t="s">
        <v>373</v>
      </c>
      <c r="V182" s="58" t="s">
        <v>1506</v>
      </c>
      <c r="X182" s="55" t="b">
        <f t="shared" si="1"/>
        <v>0</v>
      </c>
    </row>
    <row r="183" ht="15.0" customHeight="1">
      <c r="A183" s="56" t="s">
        <v>1507</v>
      </c>
      <c r="B183" s="56" t="s">
        <v>1508</v>
      </c>
      <c r="C183" s="57" t="s">
        <v>1509</v>
      </c>
      <c r="D183" s="58">
        <v>8.322078355E9</v>
      </c>
      <c r="E183" s="56" t="s">
        <v>466</v>
      </c>
      <c r="F183" s="56" t="s">
        <v>390</v>
      </c>
      <c r="G183" s="56" t="s">
        <v>436</v>
      </c>
      <c r="H183" s="56" t="s">
        <v>399</v>
      </c>
      <c r="I183" s="56" t="s">
        <v>365</v>
      </c>
      <c r="J183" s="56" t="s">
        <v>366</v>
      </c>
      <c r="K183" s="56" t="s">
        <v>400</v>
      </c>
      <c r="L183" s="56" t="s">
        <v>368</v>
      </c>
      <c r="M183" s="59"/>
      <c r="N183" s="59"/>
      <c r="O183" s="56" t="s">
        <v>382</v>
      </c>
      <c r="P183" s="60">
        <v>46025.0</v>
      </c>
      <c r="Q183" s="56" t="s">
        <v>1510</v>
      </c>
      <c r="R183" s="56" t="s">
        <v>1511</v>
      </c>
      <c r="S183" s="59"/>
      <c r="T183" s="56" t="s">
        <v>393</v>
      </c>
      <c r="U183" s="61" t="s">
        <v>373</v>
      </c>
      <c r="V183" s="58" t="s">
        <v>1512</v>
      </c>
      <c r="X183" s="55" t="b">
        <f t="shared" si="1"/>
        <v>0</v>
      </c>
    </row>
    <row r="184" ht="15.0" customHeight="1">
      <c r="A184" s="56" t="s">
        <v>1513</v>
      </c>
      <c r="B184" s="56" t="s">
        <v>1514</v>
      </c>
      <c r="C184" s="57" t="s">
        <v>1515</v>
      </c>
      <c r="D184" s="58">
        <v>2.563070958E9</v>
      </c>
      <c r="E184" s="56" t="s">
        <v>1516</v>
      </c>
      <c r="F184" s="56" t="s">
        <v>362</v>
      </c>
      <c r="G184" s="56" t="s">
        <v>1517</v>
      </c>
      <c r="H184" s="56" t="s">
        <v>364</v>
      </c>
      <c r="I184" s="56" t="s">
        <v>365</v>
      </c>
      <c r="J184" s="56" t="s">
        <v>413</v>
      </c>
      <c r="K184" s="56" t="s">
        <v>400</v>
      </c>
      <c r="L184" s="56" t="s">
        <v>423</v>
      </c>
      <c r="M184" s="58">
        <v>2.0</v>
      </c>
      <c r="N184" s="58">
        <v>0.0</v>
      </c>
      <c r="O184" s="56" t="s">
        <v>382</v>
      </c>
      <c r="P184" s="58">
        <v>0.0</v>
      </c>
      <c r="Q184" s="59"/>
      <c r="R184" s="56" t="s">
        <v>1194</v>
      </c>
      <c r="S184" s="59"/>
      <c r="T184" s="56" t="s">
        <v>393</v>
      </c>
      <c r="U184" s="61" t="s">
        <v>394</v>
      </c>
      <c r="V184" s="58" t="s">
        <v>1518</v>
      </c>
      <c r="X184" s="55" t="b">
        <f t="shared" si="1"/>
        <v>0</v>
      </c>
    </row>
    <row r="185" ht="15.0" customHeight="1">
      <c r="A185" s="56" t="s">
        <v>182</v>
      </c>
      <c r="B185" s="56" t="s">
        <v>1519</v>
      </c>
      <c r="C185" s="57" t="s">
        <v>1520</v>
      </c>
      <c r="D185" s="58">
        <v>4.698089777E9</v>
      </c>
      <c r="E185" s="56" t="s">
        <v>361</v>
      </c>
      <c r="F185" s="56" t="s">
        <v>390</v>
      </c>
      <c r="G185" s="56" t="s">
        <v>676</v>
      </c>
      <c r="H185" s="56" t="s">
        <v>364</v>
      </c>
      <c r="I185" s="56" t="s">
        <v>365</v>
      </c>
      <c r="J185" s="56" t="s">
        <v>413</v>
      </c>
      <c r="K185" s="56" t="s">
        <v>400</v>
      </c>
      <c r="L185" s="56" t="s">
        <v>368</v>
      </c>
      <c r="M185" s="59"/>
      <c r="N185" s="59"/>
      <c r="O185" s="56" t="s">
        <v>369</v>
      </c>
      <c r="P185" s="60">
        <v>46025.0</v>
      </c>
      <c r="Q185" s="56" t="s">
        <v>1519</v>
      </c>
      <c r="R185" s="56" t="s">
        <v>1521</v>
      </c>
      <c r="S185" s="59"/>
      <c r="T185" s="56" t="s">
        <v>393</v>
      </c>
      <c r="U185" s="61" t="s">
        <v>373</v>
      </c>
      <c r="V185" s="58" t="s">
        <v>1522</v>
      </c>
      <c r="X185" s="55" t="b">
        <f t="shared" si="1"/>
        <v>0</v>
      </c>
    </row>
    <row r="186" ht="15.0" customHeight="1">
      <c r="A186" s="56" t="s">
        <v>185</v>
      </c>
      <c r="B186" s="56" t="s">
        <v>1523</v>
      </c>
      <c r="C186" s="57" t="s">
        <v>1524</v>
      </c>
      <c r="D186" s="58">
        <v>8.303128851E9</v>
      </c>
      <c r="E186" s="56" t="s">
        <v>525</v>
      </c>
      <c r="F186" s="56" t="s">
        <v>452</v>
      </c>
      <c r="G186" s="56" t="s">
        <v>1525</v>
      </c>
      <c r="H186" s="56" t="s">
        <v>379</v>
      </c>
      <c r="I186" s="56" t="s">
        <v>380</v>
      </c>
      <c r="J186" s="56" t="s">
        <v>366</v>
      </c>
      <c r="K186" s="56" t="s">
        <v>483</v>
      </c>
      <c r="L186" s="56" t="s">
        <v>368</v>
      </c>
      <c r="M186" s="59"/>
      <c r="N186" s="59"/>
      <c r="O186" s="56" t="s">
        <v>369</v>
      </c>
      <c r="P186" s="58">
        <v>0.0</v>
      </c>
      <c r="Q186" s="56" t="s">
        <v>1526</v>
      </c>
      <c r="R186" s="56" t="s">
        <v>1527</v>
      </c>
      <c r="S186" s="59"/>
      <c r="T186" s="56" t="s">
        <v>385</v>
      </c>
      <c r="U186" s="61" t="s">
        <v>373</v>
      </c>
      <c r="V186" s="58" t="s">
        <v>977</v>
      </c>
      <c r="X186" s="55" t="b">
        <f t="shared" si="1"/>
        <v>0</v>
      </c>
    </row>
    <row r="187" ht="15.0" customHeight="1">
      <c r="A187" s="56" t="s">
        <v>187</v>
      </c>
      <c r="B187" s="56" t="s">
        <v>1528</v>
      </c>
      <c r="C187" s="57" t="s">
        <v>1529</v>
      </c>
      <c r="D187" s="58">
        <v>9.792155078E9</v>
      </c>
      <c r="E187" s="56" t="s">
        <v>361</v>
      </c>
      <c r="F187" s="56" t="s">
        <v>390</v>
      </c>
      <c r="G187" s="56" t="s">
        <v>617</v>
      </c>
      <c r="H187" s="56" t="s">
        <v>364</v>
      </c>
      <c r="I187" s="56" t="s">
        <v>365</v>
      </c>
      <c r="J187" s="56" t="s">
        <v>413</v>
      </c>
      <c r="K187" s="56" t="s">
        <v>400</v>
      </c>
      <c r="L187" s="56" t="s">
        <v>368</v>
      </c>
      <c r="M187" s="58">
        <v>1.0</v>
      </c>
      <c r="N187" s="59"/>
      <c r="O187" s="56" t="s">
        <v>382</v>
      </c>
      <c r="P187" s="60">
        <v>46025.0</v>
      </c>
      <c r="Q187" s="59"/>
      <c r="R187" s="56" t="s">
        <v>1530</v>
      </c>
      <c r="S187" s="59"/>
      <c r="T187" s="56" t="s">
        <v>393</v>
      </c>
      <c r="U187" s="61" t="s">
        <v>373</v>
      </c>
      <c r="V187" s="58" t="s">
        <v>1531</v>
      </c>
      <c r="X187" s="55" t="b">
        <f t="shared" si="1"/>
        <v>0</v>
      </c>
    </row>
    <row r="188" ht="15.0" customHeight="1">
      <c r="A188" s="56" t="s">
        <v>189</v>
      </c>
      <c r="B188" s="56" t="s">
        <v>1532</v>
      </c>
      <c r="C188" s="57" t="s">
        <v>1533</v>
      </c>
      <c r="D188" s="58">
        <v>4.705370406E9</v>
      </c>
      <c r="E188" s="56" t="s">
        <v>835</v>
      </c>
      <c r="F188" s="56" t="s">
        <v>1114</v>
      </c>
      <c r="G188" s="56" t="s">
        <v>1534</v>
      </c>
      <c r="H188" s="56" t="s">
        <v>379</v>
      </c>
      <c r="I188" s="56" t="s">
        <v>412</v>
      </c>
      <c r="J188" s="56" t="s">
        <v>366</v>
      </c>
      <c r="K188" s="56" t="s">
        <v>723</v>
      </c>
      <c r="L188" s="56" t="s">
        <v>368</v>
      </c>
      <c r="M188" s="59"/>
      <c r="N188" s="59"/>
      <c r="O188" s="56" t="s">
        <v>382</v>
      </c>
      <c r="P188" s="60">
        <v>46025.0</v>
      </c>
      <c r="Q188" s="56" t="s">
        <v>1535</v>
      </c>
      <c r="R188" s="56" t="s">
        <v>1536</v>
      </c>
      <c r="S188" s="59"/>
      <c r="T188" s="56" t="s">
        <v>393</v>
      </c>
      <c r="U188" s="61" t="s">
        <v>373</v>
      </c>
      <c r="V188" s="58" t="s">
        <v>1537</v>
      </c>
      <c r="X188" s="55" t="b">
        <f t="shared" si="1"/>
        <v>0</v>
      </c>
    </row>
    <row r="189" ht="15.0" customHeight="1">
      <c r="A189" s="56" t="s">
        <v>190</v>
      </c>
      <c r="B189" s="56" t="s">
        <v>1538</v>
      </c>
      <c r="C189" s="57" t="s">
        <v>1539</v>
      </c>
      <c r="D189" s="56" t="s">
        <v>1540</v>
      </c>
      <c r="E189" s="56" t="s">
        <v>1541</v>
      </c>
      <c r="F189" s="56" t="s">
        <v>377</v>
      </c>
      <c r="G189" s="56" t="s">
        <v>1542</v>
      </c>
      <c r="H189" s="56" t="s">
        <v>364</v>
      </c>
      <c r="I189" s="56" t="s">
        <v>365</v>
      </c>
      <c r="J189" s="56" t="s">
        <v>413</v>
      </c>
      <c r="K189" s="56" t="s">
        <v>400</v>
      </c>
      <c r="L189" s="56" t="s">
        <v>368</v>
      </c>
      <c r="M189" s="58">
        <v>2.0</v>
      </c>
      <c r="N189" s="59"/>
      <c r="O189" s="56" t="s">
        <v>414</v>
      </c>
      <c r="P189" s="60">
        <v>46025.0</v>
      </c>
      <c r="Q189" s="56" t="s">
        <v>1543</v>
      </c>
      <c r="R189" s="56" t="s">
        <v>743</v>
      </c>
      <c r="S189" s="59"/>
      <c r="T189" s="56" t="s">
        <v>393</v>
      </c>
      <c r="U189" s="61" t="s">
        <v>373</v>
      </c>
      <c r="V189" s="58" t="s">
        <v>1544</v>
      </c>
      <c r="X189" s="55" t="b">
        <f t="shared" si="1"/>
        <v>0</v>
      </c>
    </row>
    <row r="190" ht="15.0" customHeight="1">
      <c r="A190" s="56" t="s">
        <v>192</v>
      </c>
      <c r="B190" s="56" t="s">
        <v>1545</v>
      </c>
      <c r="C190" s="57" t="s">
        <v>1546</v>
      </c>
      <c r="D190" s="58">
        <v>9.132939738E9</v>
      </c>
      <c r="E190" s="56" t="s">
        <v>511</v>
      </c>
      <c r="F190" s="56" t="s">
        <v>377</v>
      </c>
      <c r="G190" s="56" t="s">
        <v>1547</v>
      </c>
      <c r="H190" s="56" t="s">
        <v>379</v>
      </c>
      <c r="I190" s="56" t="s">
        <v>365</v>
      </c>
      <c r="J190" s="56" t="s">
        <v>413</v>
      </c>
      <c r="K190" s="56" t="s">
        <v>400</v>
      </c>
      <c r="L190" s="56" t="s">
        <v>423</v>
      </c>
      <c r="M190" s="59"/>
      <c r="N190" s="59"/>
      <c r="O190" s="56" t="s">
        <v>382</v>
      </c>
      <c r="P190" s="58">
        <v>0.0</v>
      </c>
      <c r="Q190" s="59"/>
      <c r="R190" s="56" t="s">
        <v>1548</v>
      </c>
      <c r="S190" s="59"/>
      <c r="T190" s="56" t="s">
        <v>393</v>
      </c>
      <c r="U190" s="61" t="s">
        <v>373</v>
      </c>
      <c r="V190" s="58" t="s">
        <v>1549</v>
      </c>
      <c r="X190" s="55" t="b">
        <f t="shared" si="1"/>
        <v>0</v>
      </c>
    </row>
    <row r="191" ht="15.0" customHeight="1">
      <c r="A191" s="56" t="s">
        <v>193</v>
      </c>
      <c r="B191" s="56" t="s">
        <v>1550</v>
      </c>
      <c r="C191" s="57" t="s">
        <v>1551</v>
      </c>
      <c r="D191" s="56" t="s">
        <v>1552</v>
      </c>
      <c r="E191" s="56" t="s">
        <v>579</v>
      </c>
      <c r="F191" s="56" t="s">
        <v>1553</v>
      </c>
      <c r="G191" s="56" t="s">
        <v>1554</v>
      </c>
      <c r="H191" s="56" t="s">
        <v>379</v>
      </c>
      <c r="I191" s="56" t="s">
        <v>365</v>
      </c>
      <c r="J191" s="56" t="s">
        <v>413</v>
      </c>
      <c r="K191" s="56" t="s">
        <v>392</v>
      </c>
      <c r="L191" s="56" t="s">
        <v>368</v>
      </c>
      <c r="M191" s="59"/>
      <c r="N191" s="59"/>
      <c r="O191" s="56" t="s">
        <v>382</v>
      </c>
      <c r="P191" s="60">
        <v>46025.0</v>
      </c>
      <c r="Q191" s="59"/>
      <c r="R191" s="56" t="s">
        <v>1555</v>
      </c>
      <c r="S191" s="59"/>
      <c r="T191" s="56" t="s">
        <v>393</v>
      </c>
      <c r="U191" s="61" t="s">
        <v>373</v>
      </c>
      <c r="V191" s="58" t="s">
        <v>1556</v>
      </c>
      <c r="X191" s="55" t="b">
        <f t="shared" si="1"/>
        <v>0</v>
      </c>
    </row>
    <row r="192" ht="15.0" customHeight="1">
      <c r="A192" s="56" t="s">
        <v>194</v>
      </c>
      <c r="B192" s="56" t="s">
        <v>1557</v>
      </c>
      <c r="C192" s="57" t="s">
        <v>1558</v>
      </c>
      <c r="D192" s="58">
        <v>3.613624222E9</v>
      </c>
      <c r="E192" s="56" t="s">
        <v>361</v>
      </c>
      <c r="F192" s="56" t="s">
        <v>377</v>
      </c>
      <c r="G192" s="56" t="s">
        <v>377</v>
      </c>
      <c r="H192" s="56" t="s">
        <v>399</v>
      </c>
      <c r="I192" s="56" t="s">
        <v>667</v>
      </c>
      <c r="J192" s="56" t="s">
        <v>413</v>
      </c>
      <c r="K192" s="56" t="s">
        <v>400</v>
      </c>
      <c r="L192" s="56" t="s">
        <v>368</v>
      </c>
      <c r="M192" s="58">
        <v>0.0</v>
      </c>
      <c r="N192" s="59"/>
      <c r="O192" s="56" t="s">
        <v>414</v>
      </c>
      <c r="P192" s="60">
        <v>46025.0</v>
      </c>
      <c r="Q192" s="56" t="s">
        <v>1557</v>
      </c>
      <c r="R192" s="56" t="s">
        <v>943</v>
      </c>
      <c r="S192" s="59"/>
      <c r="T192" s="56" t="s">
        <v>393</v>
      </c>
      <c r="U192" s="61" t="s">
        <v>373</v>
      </c>
      <c r="V192" s="58" t="s">
        <v>1559</v>
      </c>
      <c r="X192" s="55" t="b">
        <f t="shared" si="1"/>
        <v>0</v>
      </c>
    </row>
    <row r="193" ht="15.0" customHeight="1">
      <c r="A193" s="56" t="s">
        <v>195</v>
      </c>
      <c r="B193" s="56" t="s">
        <v>1560</v>
      </c>
      <c r="C193" s="57" t="s">
        <v>1561</v>
      </c>
      <c r="D193" s="58">
        <v>7.133330147E9</v>
      </c>
      <c r="E193" s="56" t="s">
        <v>361</v>
      </c>
      <c r="F193" s="56" t="s">
        <v>377</v>
      </c>
      <c r="G193" s="56" t="s">
        <v>377</v>
      </c>
      <c r="H193" s="56" t="s">
        <v>399</v>
      </c>
      <c r="I193" s="56" t="s">
        <v>365</v>
      </c>
      <c r="J193" s="56" t="s">
        <v>513</v>
      </c>
      <c r="K193" s="56" t="s">
        <v>400</v>
      </c>
      <c r="L193" s="56" t="s">
        <v>368</v>
      </c>
      <c r="M193" s="59"/>
      <c r="N193" s="59"/>
      <c r="O193" s="56" t="s">
        <v>382</v>
      </c>
      <c r="P193" s="60">
        <v>46025.0</v>
      </c>
      <c r="Q193" s="56" t="s">
        <v>1562</v>
      </c>
      <c r="R193" s="56" t="s">
        <v>1037</v>
      </c>
      <c r="S193" s="59"/>
      <c r="T193" s="56" t="s">
        <v>393</v>
      </c>
      <c r="U193" s="61" t="s">
        <v>373</v>
      </c>
      <c r="V193" s="58" t="s">
        <v>1563</v>
      </c>
      <c r="X193" s="55" t="b">
        <f t="shared" si="1"/>
        <v>1</v>
      </c>
    </row>
    <row r="194" ht="15.0" customHeight="1">
      <c r="A194" s="56" t="s">
        <v>1564</v>
      </c>
      <c r="B194" s="56" t="s">
        <v>1565</v>
      </c>
      <c r="C194" s="57" t="s">
        <v>1566</v>
      </c>
      <c r="D194" s="58">
        <v>2.102732455E9</v>
      </c>
      <c r="E194" s="56" t="s">
        <v>409</v>
      </c>
      <c r="F194" s="56" t="s">
        <v>634</v>
      </c>
      <c r="G194" s="56" t="s">
        <v>1567</v>
      </c>
      <c r="H194" s="56" t="s">
        <v>379</v>
      </c>
      <c r="I194" s="56" t="s">
        <v>412</v>
      </c>
      <c r="J194" s="56" t="s">
        <v>513</v>
      </c>
      <c r="K194" s="56" t="s">
        <v>367</v>
      </c>
      <c r="L194" s="56" t="s">
        <v>368</v>
      </c>
      <c r="M194" s="59"/>
      <c r="N194" s="59"/>
      <c r="O194" s="56" t="s">
        <v>414</v>
      </c>
      <c r="P194" s="60">
        <v>46025.0</v>
      </c>
      <c r="Q194" s="56" t="s">
        <v>1568</v>
      </c>
      <c r="R194" s="56" t="s">
        <v>1569</v>
      </c>
      <c r="S194" s="59"/>
      <c r="T194" s="56" t="s">
        <v>372</v>
      </c>
      <c r="U194" s="61" t="s">
        <v>373</v>
      </c>
      <c r="V194" s="58" t="s">
        <v>1570</v>
      </c>
      <c r="X194" s="55" t="b">
        <f t="shared" si="1"/>
        <v>1</v>
      </c>
    </row>
    <row r="195" ht="15.0" customHeight="1">
      <c r="A195" s="56" t="s">
        <v>196</v>
      </c>
      <c r="B195" s="56" t="s">
        <v>1571</v>
      </c>
      <c r="C195" s="57" t="s">
        <v>1572</v>
      </c>
      <c r="D195" s="58">
        <v>8.178637505E9</v>
      </c>
      <c r="E195" s="56" t="s">
        <v>489</v>
      </c>
      <c r="F195" s="56" t="s">
        <v>377</v>
      </c>
      <c r="G195" s="56" t="s">
        <v>1353</v>
      </c>
      <c r="H195" s="56" t="s">
        <v>364</v>
      </c>
      <c r="I195" s="56" t="s">
        <v>380</v>
      </c>
      <c r="J195" s="56" t="s">
        <v>366</v>
      </c>
      <c r="K195" s="56" t="s">
        <v>483</v>
      </c>
      <c r="L195" s="56" t="s">
        <v>368</v>
      </c>
      <c r="M195" s="59"/>
      <c r="N195" s="59"/>
      <c r="O195" s="56" t="s">
        <v>382</v>
      </c>
      <c r="P195" s="60">
        <v>46025.0</v>
      </c>
      <c r="Q195" s="59"/>
      <c r="R195" s="56" t="s">
        <v>1573</v>
      </c>
      <c r="S195" s="59"/>
      <c r="T195" s="56" t="s">
        <v>385</v>
      </c>
      <c r="U195" s="61" t="s">
        <v>373</v>
      </c>
      <c r="V195" s="58" t="s">
        <v>1574</v>
      </c>
      <c r="X195" s="55" t="b">
        <f t="shared" si="1"/>
        <v>0</v>
      </c>
    </row>
    <row r="196" ht="15.0" customHeight="1">
      <c r="A196" s="56" t="s">
        <v>1575</v>
      </c>
      <c r="B196" s="56" t="s">
        <v>1576</v>
      </c>
      <c r="C196" s="57" t="s">
        <v>1577</v>
      </c>
      <c r="D196" s="58">
        <v>3.312054741E9</v>
      </c>
      <c r="E196" s="56" t="s">
        <v>409</v>
      </c>
      <c r="F196" s="56" t="s">
        <v>504</v>
      </c>
      <c r="G196" s="56" t="s">
        <v>436</v>
      </c>
      <c r="H196" s="56" t="s">
        <v>399</v>
      </c>
      <c r="I196" s="56" t="s">
        <v>412</v>
      </c>
      <c r="J196" s="56" t="s">
        <v>366</v>
      </c>
      <c r="K196" s="56" t="s">
        <v>367</v>
      </c>
      <c r="L196" s="56" t="s">
        <v>368</v>
      </c>
      <c r="M196" s="59"/>
      <c r="N196" s="59"/>
      <c r="O196" s="56" t="s">
        <v>414</v>
      </c>
      <c r="P196" s="60">
        <v>46025.0</v>
      </c>
      <c r="Q196" s="56" t="s">
        <v>1576</v>
      </c>
      <c r="R196" s="56" t="s">
        <v>1578</v>
      </c>
      <c r="S196" s="59"/>
      <c r="T196" s="56" t="s">
        <v>372</v>
      </c>
      <c r="U196" s="61" t="s">
        <v>373</v>
      </c>
      <c r="V196" s="58" t="s">
        <v>1579</v>
      </c>
      <c r="X196" s="55" t="b">
        <f t="shared" si="1"/>
        <v>0</v>
      </c>
    </row>
    <row r="197" ht="15.0" customHeight="1">
      <c r="A197" s="56" t="s">
        <v>197</v>
      </c>
      <c r="B197" s="56" t="s">
        <v>1580</v>
      </c>
      <c r="C197" s="57" t="s">
        <v>1581</v>
      </c>
      <c r="D197" s="56" t="s">
        <v>1582</v>
      </c>
      <c r="E197" s="56" t="s">
        <v>389</v>
      </c>
      <c r="F197" s="56" t="s">
        <v>410</v>
      </c>
      <c r="G197" s="56" t="s">
        <v>411</v>
      </c>
      <c r="H197" s="56" t="s">
        <v>379</v>
      </c>
      <c r="I197" s="56" t="s">
        <v>830</v>
      </c>
      <c r="J197" s="56" t="s">
        <v>366</v>
      </c>
      <c r="K197" s="56" t="s">
        <v>723</v>
      </c>
      <c r="L197" s="56" t="s">
        <v>368</v>
      </c>
      <c r="M197" s="59"/>
      <c r="N197" s="59"/>
      <c r="O197" s="56" t="s">
        <v>382</v>
      </c>
      <c r="P197" s="60">
        <v>46025.0</v>
      </c>
      <c r="Q197" s="56" t="s">
        <v>1583</v>
      </c>
      <c r="R197" s="56" t="s">
        <v>1584</v>
      </c>
      <c r="S197" s="59"/>
      <c r="T197" s="56" t="s">
        <v>393</v>
      </c>
      <c r="U197" s="61" t="s">
        <v>373</v>
      </c>
      <c r="V197" s="58" t="s">
        <v>1585</v>
      </c>
      <c r="X197" s="55" t="b">
        <f t="shared" si="1"/>
        <v>0</v>
      </c>
    </row>
    <row r="198" ht="15.0" customHeight="1">
      <c r="A198" s="56" t="s">
        <v>314</v>
      </c>
      <c r="B198" s="56" t="s">
        <v>1586</v>
      </c>
      <c r="C198" s="57" t="s">
        <v>1587</v>
      </c>
      <c r="D198" s="58">
        <v>4.123270929E9</v>
      </c>
      <c r="E198" s="59"/>
      <c r="F198" s="56" t="s">
        <v>452</v>
      </c>
      <c r="G198" s="56" t="s">
        <v>1588</v>
      </c>
      <c r="H198" s="56" t="s">
        <v>399</v>
      </c>
      <c r="I198" s="56" t="s">
        <v>365</v>
      </c>
      <c r="J198" s="56" t="s">
        <v>513</v>
      </c>
      <c r="K198" s="56" t="s">
        <v>400</v>
      </c>
      <c r="L198" s="56" t="s">
        <v>368</v>
      </c>
      <c r="M198" s="59"/>
      <c r="N198" s="59"/>
      <c r="O198" s="56" t="s">
        <v>382</v>
      </c>
      <c r="P198" s="60">
        <v>46118.0</v>
      </c>
      <c r="Q198" s="59"/>
      <c r="R198" s="59"/>
      <c r="S198" s="59"/>
      <c r="T198" s="56" t="s">
        <v>393</v>
      </c>
      <c r="U198" s="61" t="s">
        <v>394</v>
      </c>
      <c r="V198" s="58" t="s">
        <v>1589</v>
      </c>
      <c r="X198" s="55" t="b">
        <f t="shared" si="1"/>
        <v>1</v>
      </c>
    </row>
    <row r="199" ht="15.0" customHeight="1">
      <c r="A199" s="56" t="s">
        <v>200</v>
      </c>
      <c r="B199" s="56" t="s">
        <v>1590</v>
      </c>
      <c r="C199" s="57" t="s">
        <v>1591</v>
      </c>
      <c r="D199" s="58">
        <v>7.633372349E9</v>
      </c>
      <c r="E199" s="56" t="s">
        <v>489</v>
      </c>
      <c r="F199" s="56" t="s">
        <v>377</v>
      </c>
      <c r="G199" s="56" t="s">
        <v>1592</v>
      </c>
      <c r="H199" s="56" t="s">
        <v>364</v>
      </c>
      <c r="I199" s="56" t="s">
        <v>365</v>
      </c>
      <c r="J199" s="56" t="s">
        <v>366</v>
      </c>
      <c r="K199" s="56" t="s">
        <v>483</v>
      </c>
      <c r="L199" s="56" t="s">
        <v>368</v>
      </c>
      <c r="M199" s="59"/>
      <c r="N199" s="59"/>
      <c r="O199" s="56" t="s">
        <v>382</v>
      </c>
      <c r="P199" s="60">
        <v>46025.0</v>
      </c>
      <c r="Q199" s="56" t="s">
        <v>1593</v>
      </c>
      <c r="R199" s="56" t="s">
        <v>1594</v>
      </c>
      <c r="S199" s="59"/>
      <c r="T199" s="56" t="s">
        <v>385</v>
      </c>
      <c r="U199" s="61" t="s">
        <v>373</v>
      </c>
      <c r="V199" s="58" t="s">
        <v>629</v>
      </c>
      <c r="X199" s="55" t="b">
        <f t="shared" si="1"/>
        <v>0</v>
      </c>
    </row>
    <row r="200" ht="15.0" customHeight="1">
      <c r="A200" s="56" t="s">
        <v>201</v>
      </c>
      <c r="B200" s="56" t="s">
        <v>1595</v>
      </c>
      <c r="C200" s="57" t="s">
        <v>1596</v>
      </c>
      <c r="D200" s="56" t="s">
        <v>1597</v>
      </c>
      <c r="E200" s="56" t="s">
        <v>389</v>
      </c>
      <c r="F200" s="56" t="s">
        <v>1598</v>
      </c>
      <c r="G200" s="56" t="s">
        <v>1599</v>
      </c>
      <c r="H200" s="56" t="s">
        <v>399</v>
      </c>
      <c r="I200" s="56" t="s">
        <v>412</v>
      </c>
      <c r="J200" s="56" t="s">
        <v>366</v>
      </c>
      <c r="K200" s="56" t="s">
        <v>367</v>
      </c>
      <c r="L200" s="56" t="s">
        <v>368</v>
      </c>
      <c r="M200" s="58">
        <v>0.0</v>
      </c>
      <c r="N200" s="58">
        <v>2.0</v>
      </c>
      <c r="O200" s="56" t="s">
        <v>382</v>
      </c>
      <c r="P200" s="60">
        <v>46025.0</v>
      </c>
      <c r="Q200" s="56" t="s">
        <v>1600</v>
      </c>
      <c r="R200" s="56" t="s">
        <v>1268</v>
      </c>
      <c r="S200" s="59"/>
      <c r="T200" s="56" t="s">
        <v>372</v>
      </c>
      <c r="U200" s="61" t="s">
        <v>373</v>
      </c>
      <c r="V200" s="58" t="s">
        <v>1601</v>
      </c>
      <c r="X200" s="55" t="b">
        <f t="shared" si="1"/>
        <v>0</v>
      </c>
    </row>
    <row r="201" ht="15.0" customHeight="1">
      <c r="A201" s="56" t="s">
        <v>203</v>
      </c>
      <c r="B201" s="56" t="s">
        <v>1602</v>
      </c>
      <c r="C201" s="57" t="s">
        <v>1603</v>
      </c>
      <c r="D201" s="56" t="s">
        <v>414</v>
      </c>
      <c r="E201" s="56" t="s">
        <v>1604</v>
      </c>
      <c r="F201" s="56" t="s">
        <v>362</v>
      </c>
      <c r="G201" s="56" t="s">
        <v>1605</v>
      </c>
      <c r="H201" s="56" t="s">
        <v>364</v>
      </c>
      <c r="I201" s="56" t="s">
        <v>380</v>
      </c>
      <c r="J201" s="56" t="s">
        <v>413</v>
      </c>
      <c r="K201" s="56" t="s">
        <v>400</v>
      </c>
      <c r="L201" s="56" t="s">
        <v>368</v>
      </c>
      <c r="M201" s="59"/>
      <c r="N201" s="59"/>
      <c r="O201" s="56" t="s">
        <v>382</v>
      </c>
      <c r="P201" s="60">
        <v>46025.0</v>
      </c>
      <c r="Q201" s="59"/>
      <c r="R201" s="56" t="s">
        <v>446</v>
      </c>
      <c r="S201" s="59"/>
      <c r="T201" s="56" t="s">
        <v>393</v>
      </c>
      <c r="U201" s="61" t="s">
        <v>373</v>
      </c>
      <c r="V201" s="58" t="s">
        <v>1606</v>
      </c>
      <c r="X201" s="55" t="b">
        <f t="shared" si="1"/>
        <v>0</v>
      </c>
    </row>
    <row r="202" ht="15.0" customHeight="1">
      <c r="A202" s="56" t="s">
        <v>204</v>
      </c>
      <c r="B202" s="56" t="s">
        <v>1607</v>
      </c>
      <c r="C202" s="57" t="s">
        <v>1608</v>
      </c>
      <c r="D202" s="56" t="s">
        <v>1609</v>
      </c>
      <c r="E202" s="56" t="s">
        <v>1310</v>
      </c>
      <c r="F202" s="56" t="s">
        <v>709</v>
      </c>
      <c r="G202" s="56" t="s">
        <v>1610</v>
      </c>
      <c r="H202" s="56" t="s">
        <v>399</v>
      </c>
      <c r="I202" s="56" t="s">
        <v>380</v>
      </c>
      <c r="J202" s="56" t="s">
        <v>413</v>
      </c>
      <c r="K202" s="56" t="s">
        <v>483</v>
      </c>
      <c r="L202" s="56" t="s">
        <v>368</v>
      </c>
      <c r="M202" s="59"/>
      <c r="N202" s="59"/>
      <c r="O202" s="56" t="s">
        <v>1611</v>
      </c>
      <c r="P202" s="60">
        <v>46025.0</v>
      </c>
      <c r="Q202" s="56" t="s">
        <v>1612</v>
      </c>
      <c r="R202" s="56" t="s">
        <v>1613</v>
      </c>
      <c r="S202" s="59"/>
      <c r="T202" s="56" t="s">
        <v>372</v>
      </c>
      <c r="U202" s="61" t="s">
        <v>373</v>
      </c>
      <c r="V202" s="58" t="s">
        <v>1614</v>
      </c>
      <c r="X202" s="55" t="b">
        <f t="shared" si="1"/>
        <v>0</v>
      </c>
    </row>
    <row r="203" ht="15.0" customHeight="1">
      <c r="A203" s="56" t="s">
        <v>1615</v>
      </c>
      <c r="B203" s="56" t="s">
        <v>1616</v>
      </c>
      <c r="C203" s="57" t="s">
        <v>1617</v>
      </c>
      <c r="D203" s="58">
        <v>1.601462555E9</v>
      </c>
      <c r="E203" s="56" t="s">
        <v>361</v>
      </c>
      <c r="F203" s="56" t="s">
        <v>377</v>
      </c>
      <c r="G203" s="56" t="s">
        <v>378</v>
      </c>
      <c r="H203" s="56" t="s">
        <v>399</v>
      </c>
      <c r="I203" s="56" t="s">
        <v>365</v>
      </c>
      <c r="J203" s="56" t="s">
        <v>366</v>
      </c>
      <c r="K203" s="56" t="s">
        <v>400</v>
      </c>
      <c r="L203" s="56" t="s">
        <v>368</v>
      </c>
      <c r="M203" s="59"/>
      <c r="N203" s="59"/>
      <c r="O203" s="56" t="s">
        <v>382</v>
      </c>
      <c r="P203" s="58">
        <v>0.0</v>
      </c>
      <c r="Q203" s="56" t="s">
        <v>1618</v>
      </c>
      <c r="R203" s="56" t="s">
        <v>1619</v>
      </c>
      <c r="S203" s="59"/>
      <c r="T203" s="56" t="s">
        <v>393</v>
      </c>
      <c r="U203" s="61" t="s">
        <v>373</v>
      </c>
      <c r="V203" s="58" t="s">
        <v>1620</v>
      </c>
      <c r="X203" s="55" t="b">
        <f t="shared" si="1"/>
        <v>0</v>
      </c>
    </row>
    <row r="204" ht="15.0" customHeight="1">
      <c r="A204" s="56" t="s">
        <v>331</v>
      </c>
      <c r="B204" s="56" t="s">
        <v>1621</v>
      </c>
      <c r="C204" s="57" t="s">
        <v>1622</v>
      </c>
      <c r="D204" s="58">
        <v>7.026833665E9</v>
      </c>
      <c r="E204" s="56" t="s">
        <v>466</v>
      </c>
      <c r="F204" s="56" t="s">
        <v>390</v>
      </c>
      <c r="G204" s="56" t="s">
        <v>1080</v>
      </c>
      <c r="H204" s="56" t="s">
        <v>399</v>
      </c>
      <c r="I204" s="56" t="s">
        <v>365</v>
      </c>
      <c r="J204" s="56" t="s">
        <v>366</v>
      </c>
      <c r="K204" s="56" t="s">
        <v>392</v>
      </c>
      <c r="L204" s="56" t="s">
        <v>368</v>
      </c>
      <c r="M204" s="59"/>
      <c r="N204" s="59"/>
      <c r="O204" s="56" t="s">
        <v>382</v>
      </c>
      <c r="P204" s="60">
        <v>46213.0</v>
      </c>
      <c r="Q204" s="59"/>
      <c r="R204" s="56" t="s">
        <v>1623</v>
      </c>
      <c r="S204" s="59"/>
      <c r="T204" s="56" t="s">
        <v>393</v>
      </c>
      <c r="U204" s="61" t="s">
        <v>373</v>
      </c>
      <c r="V204" s="58" t="s">
        <v>1624</v>
      </c>
      <c r="X204" s="55" t="b">
        <f t="shared" si="1"/>
        <v>0</v>
      </c>
    </row>
    <row r="205" ht="15.0" customHeight="1">
      <c r="A205" s="56" t="s">
        <v>207</v>
      </c>
      <c r="B205" s="56" t="s">
        <v>1625</v>
      </c>
      <c r="C205" s="57" t="s">
        <v>1626</v>
      </c>
      <c r="D205" s="58">
        <v>7.573964623E9</v>
      </c>
      <c r="E205" s="56" t="s">
        <v>361</v>
      </c>
      <c r="F205" s="56" t="s">
        <v>709</v>
      </c>
      <c r="G205" s="56" t="s">
        <v>1627</v>
      </c>
      <c r="H205" s="56" t="s">
        <v>379</v>
      </c>
      <c r="I205" s="56" t="s">
        <v>412</v>
      </c>
      <c r="J205" s="56" t="s">
        <v>413</v>
      </c>
      <c r="K205" s="56" t="s">
        <v>400</v>
      </c>
      <c r="L205" s="56" t="s">
        <v>368</v>
      </c>
      <c r="M205" s="58">
        <v>1.0</v>
      </c>
      <c r="N205" s="59"/>
      <c r="O205" s="56" t="s">
        <v>382</v>
      </c>
      <c r="P205" s="58">
        <v>0.0</v>
      </c>
      <c r="Q205" s="59"/>
      <c r="R205" s="56" t="s">
        <v>1628</v>
      </c>
      <c r="S205" s="59"/>
      <c r="T205" s="56" t="s">
        <v>393</v>
      </c>
      <c r="U205" s="61" t="s">
        <v>373</v>
      </c>
      <c r="V205" s="58" t="s">
        <v>1629</v>
      </c>
      <c r="X205" s="55" t="b">
        <f t="shared" si="1"/>
        <v>0</v>
      </c>
    </row>
    <row r="206" ht="15.0" customHeight="1">
      <c r="A206" s="56" t="s">
        <v>208</v>
      </c>
      <c r="B206" s="56" t="s">
        <v>1630</v>
      </c>
      <c r="C206" s="57" t="s">
        <v>1631</v>
      </c>
      <c r="D206" s="58">
        <v>8.322652234E9</v>
      </c>
      <c r="E206" s="56" t="s">
        <v>361</v>
      </c>
      <c r="F206" s="56" t="s">
        <v>580</v>
      </c>
      <c r="G206" s="56" t="s">
        <v>1632</v>
      </c>
      <c r="H206" s="56" t="s">
        <v>364</v>
      </c>
      <c r="I206" s="56" t="s">
        <v>365</v>
      </c>
      <c r="J206" s="56" t="s">
        <v>366</v>
      </c>
      <c r="K206" s="56" t="s">
        <v>497</v>
      </c>
      <c r="L206" s="56" t="s">
        <v>368</v>
      </c>
      <c r="M206" s="59"/>
      <c r="N206" s="59"/>
      <c r="O206" s="56" t="s">
        <v>382</v>
      </c>
      <c r="P206" s="60">
        <v>46025.0</v>
      </c>
      <c r="Q206" s="59"/>
      <c r="R206" s="56" t="s">
        <v>1633</v>
      </c>
      <c r="S206" s="59"/>
      <c r="T206" s="56" t="s">
        <v>385</v>
      </c>
      <c r="U206" s="61" t="s">
        <v>373</v>
      </c>
      <c r="V206" s="58" t="s">
        <v>1634</v>
      </c>
      <c r="X206" s="55" t="b">
        <f t="shared" si="1"/>
        <v>0</v>
      </c>
    </row>
    <row r="207" ht="15.0" customHeight="1">
      <c r="A207" s="56" t="s">
        <v>1635</v>
      </c>
      <c r="B207" s="56" t="s">
        <v>1636</v>
      </c>
      <c r="C207" s="57" t="s">
        <v>1637</v>
      </c>
      <c r="D207" s="56" t="s">
        <v>1638</v>
      </c>
      <c r="E207" s="56" t="s">
        <v>1639</v>
      </c>
      <c r="F207" s="56" t="s">
        <v>390</v>
      </c>
      <c r="G207" s="56" t="s">
        <v>1640</v>
      </c>
      <c r="H207" s="56" t="s">
        <v>379</v>
      </c>
      <c r="I207" s="56" t="s">
        <v>412</v>
      </c>
      <c r="J207" s="56" t="s">
        <v>413</v>
      </c>
      <c r="K207" s="56" t="s">
        <v>561</v>
      </c>
      <c r="L207" s="56" t="s">
        <v>368</v>
      </c>
      <c r="M207" s="59"/>
      <c r="N207" s="59"/>
      <c r="O207" s="56" t="s">
        <v>414</v>
      </c>
      <c r="P207" s="60">
        <v>46025.0</v>
      </c>
      <c r="Q207" s="56" t="s">
        <v>1641</v>
      </c>
      <c r="R207" s="56" t="s">
        <v>1642</v>
      </c>
      <c r="S207" s="59"/>
      <c r="T207" s="56" t="s">
        <v>372</v>
      </c>
      <c r="U207" s="61" t="s">
        <v>373</v>
      </c>
      <c r="V207" s="58" t="s">
        <v>1643</v>
      </c>
      <c r="X207" s="55" t="b">
        <f t="shared" si="1"/>
        <v>0</v>
      </c>
    </row>
    <row r="208" ht="15.0" customHeight="1">
      <c r="A208" s="56" t="s">
        <v>332</v>
      </c>
      <c r="B208" s="56" t="s">
        <v>1644</v>
      </c>
      <c r="C208" s="57" t="s">
        <v>1645</v>
      </c>
      <c r="D208" s="58">
        <v>9.033884525E9</v>
      </c>
      <c r="E208" s="56" t="s">
        <v>389</v>
      </c>
      <c r="F208" s="56" t="s">
        <v>390</v>
      </c>
      <c r="G208" s="56" t="s">
        <v>390</v>
      </c>
      <c r="H208" s="56" t="s">
        <v>364</v>
      </c>
      <c r="I208" s="56" t="s">
        <v>405</v>
      </c>
      <c r="J208" s="56" t="s">
        <v>366</v>
      </c>
      <c r="K208" s="56" t="s">
        <v>400</v>
      </c>
      <c r="L208" s="56" t="s">
        <v>368</v>
      </c>
      <c r="M208" s="59"/>
      <c r="N208" s="59"/>
      <c r="O208" s="56" t="s">
        <v>382</v>
      </c>
      <c r="P208" s="58">
        <v>0.0</v>
      </c>
      <c r="Q208" s="56" t="s">
        <v>1646</v>
      </c>
      <c r="R208" s="56" t="s">
        <v>718</v>
      </c>
      <c r="S208" s="59"/>
      <c r="T208" s="56" t="s">
        <v>393</v>
      </c>
      <c r="U208" s="61" t="s">
        <v>373</v>
      </c>
      <c r="V208" s="58" t="s">
        <v>1647</v>
      </c>
      <c r="X208" s="55" t="b">
        <f t="shared" si="1"/>
        <v>0</v>
      </c>
    </row>
    <row r="209" ht="15.0" customHeight="1">
      <c r="A209" s="56" t="s">
        <v>210</v>
      </c>
      <c r="B209" s="56" t="s">
        <v>1648</v>
      </c>
      <c r="C209" s="57" t="s">
        <v>1649</v>
      </c>
      <c r="D209" s="58">
        <v>5.12965828E9</v>
      </c>
      <c r="E209" s="56" t="s">
        <v>912</v>
      </c>
      <c r="F209" s="56" t="s">
        <v>452</v>
      </c>
      <c r="G209" s="56" t="s">
        <v>1650</v>
      </c>
      <c r="H209" s="56" t="s">
        <v>399</v>
      </c>
      <c r="I209" s="56" t="s">
        <v>365</v>
      </c>
      <c r="J209" s="56" t="s">
        <v>513</v>
      </c>
      <c r="K209" s="56" t="s">
        <v>392</v>
      </c>
      <c r="L209" s="56" t="s">
        <v>368</v>
      </c>
      <c r="M209" s="58">
        <v>2.0</v>
      </c>
      <c r="N209" s="59"/>
      <c r="O209" s="56" t="s">
        <v>382</v>
      </c>
      <c r="P209" s="58">
        <v>0.0</v>
      </c>
      <c r="Q209" s="59"/>
      <c r="R209" s="56" t="s">
        <v>1651</v>
      </c>
      <c r="S209" s="59"/>
      <c r="T209" s="56" t="s">
        <v>393</v>
      </c>
      <c r="U209" s="61" t="s">
        <v>373</v>
      </c>
      <c r="V209" s="58" t="s">
        <v>1652</v>
      </c>
      <c r="X209" s="55" t="b">
        <f t="shared" si="1"/>
        <v>1</v>
      </c>
    </row>
    <row r="210" ht="15.0" customHeight="1">
      <c r="A210" s="56" t="s">
        <v>211</v>
      </c>
      <c r="B210" s="56" t="s">
        <v>1653</v>
      </c>
      <c r="C210" s="57" t="s">
        <v>1654</v>
      </c>
      <c r="D210" s="56" t="s">
        <v>1655</v>
      </c>
      <c r="E210" s="56" t="s">
        <v>1656</v>
      </c>
      <c r="F210" s="56" t="s">
        <v>390</v>
      </c>
      <c r="G210" s="56" t="s">
        <v>1657</v>
      </c>
      <c r="H210" s="56" t="s">
        <v>364</v>
      </c>
      <c r="I210" s="56" t="s">
        <v>365</v>
      </c>
      <c r="J210" s="56" t="s">
        <v>413</v>
      </c>
      <c r="K210" s="56" t="s">
        <v>400</v>
      </c>
      <c r="L210" s="56" t="s">
        <v>368</v>
      </c>
      <c r="M210" s="59"/>
      <c r="N210" s="59"/>
      <c r="O210" s="56" t="s">
        <v>382</v>
      </c>
      <c r="P210" s="60">
        <v>46025.0</v>
      </c>
      <c r="Q210" s="56" t="s">
        <v>1658</v>
      </c>
      <c r="R210" s="56" t="s">
        <v>1659</v>
      </c>
      <c r="S210" s="59"/>
      <c r="T210" s="56" t="s">
        <v>393</v>
      </c>
      <c r="U210" s="61" t="s">
        <v>373</v>
      </c>
      <c r="V210" s="58" t="s">
        <v>629</v>
      </c>
      <c r="X210" s="55" t="b">
        <f t="shared" si="1"/>
        <v>0</v>
      </c>
    </row>
    <row r="211" ht="15.0" customHeight="1">
      <c r="A211" s="56" t="s">
        <v>212</v>
      </c>
      <c r="B211" s="56" t="s">
        <v>1660</v>
      </c>
      <c r="C211" s="57" t="s">
        <v>1661</v>
      </c>
      <c r="D211" s="58">
        <v>9.163163844E9</v>
      </c>
      <c r="E211" s="56" t="s">
        <v>511</v>
      </c>
      <c r="F211" s="56" t="s">
        <v>377</v>
      </c>
      <c r="G211" s="56" t="s">
        <v>378</v>
      </c>
      <c r="H211" s="56" t="s">
        <v>364</v>
      </c>
      <c r="I211" s="56" t="s">
        <v>365</v>
      </c>
      <c r="J211" s="56" t="s">
        <v>366</v>
      </c>
      <c r="K211" s="56" t="s">
        <v>381</v>
      </c>
      <c r="L211" s="56" t="s">
        <v>368</v>
      </c>
      <c r="M211" s="59"/>
      <c r="N211" s="59"/>
      <c r="O211" s="56" t="s">
        <v>382</v>
      </c>
      <c r="P211" s="60">
        <v>46025.0</v>
      </c>
      <c r="Q211" s="56" t="s">
        <v>1662</v>
      </c>
      <c r="R211" s="56" t="s">
        <v>1663</v>
      </c>
      <c r="S211" s="59"/>
      <c r="T211" s="56" t="s">
        <v>385</v>
      </c>
      <c r="U211" s="61" t="s">
        <v>373</v>
      </c>
      <c r="V211" s="58" t="s">
        <v>1664</v>
      </c>
      <c r="X211" s="55" t="b">
        <f t="shared" si="1"/>
        <v>0</v>
      </c>
    </row>
    <row r="212" ht="15.0" customHeight="1">
      <c r="A212" s="56" t="s">
        <v>213</v>
      </c>
      <c r="B212" s="56" t="s">
        <v>1665</v>
      </c>
      <c r="C212" s="57" t="s">
        <v>1666</v>
      </c>
      <c r="D212" s="56" t="s">
        <v>1667</v>
      </c>
      <c r="E212" s="56" t="s">
        <v>1668</v>
      </c>
      <c r="F212" s="56" t="s">
        <v>459</v>
      </c>
      <c r="G212" s="56" t="s">
        <v>1669</v>
      </c>
      <c r="H212" s="56" t="s">
        <v>399</v>
      </c>
      <c r="I212" s="56" t="s">
        <v>365</v>
      </c>
      <c r="J212" s="56" t="s">
        <v>366</v>
      </c>
      <c r="K212" s="56" t="s">
        <v>381</v>
      </c>
      <c r="L212" s="56" t="s">
        <v>368</v>
      </c>
      <c r="M212" s="59"/>
      <c r="N212" s="59"/>
      <c r="O212" s="56" t="s">
        <v>382</v>
      </c>
      <c r="P212" s="60">
        <v>46025.0</v>
      </c>
      <c r="Q212" s="56" t="s">
        <v>1670</v>
      </c>
      <c r="R212" s="56" t="s">
        <v>1671</v>
      </c>
      <c r="S212" s="59"/>
      <c r="T212" s="56" t="s">
        <v>385</v>
      </c>
      <c r="U212" s="61" t="s">
        <v>373</v>
      </c>
      <c r="V212" s="58" t="s">
        <v>1672</v>
      </c>
      <c r="X212" s="55" t="b">
        <f t="shared" si="1"/>
        <v>0</v>
      </c>
    </row>
    <row r="213" ht="15.0" customHeight="1">
      <c r="A213" s="56" t="s">
        <v>214</v>
      </c>
      <c r="B213" s="56" t="s">
        <v>1673</v>
      </c>
      <c r="C213" s="57" t="s">
        <v>1674</v>
      </c>
      <c r="D213" s="58">
        <v>4.024403751E9</v>
      </c>
      <c r="E213" s="56" t="s">
        <v>361</v>
      </c>
      <c r="F213" s="56" t="s">
        <v>377</v>
      </c>
      <c r="G213" s="56" t="s">
        <v>1675</v>
      </c>
      <c r="H213" s="56" t="s">
        <v>379</v>
      </c>
      <c r="I213" s="56" t="s">
        <v>365</v>
      </c>
      <c r="J213" s="56" t="s">
        <v>366</v>
      </c>
      <c r="K213" s="56" t="s">
        <v>367</v>
      </c>
      <c r="L213" s="56" t="s">
        <v>368</v>
      </c>
      <c r="M213" s="58">
        <v>0.0</v>
      </c>
      <c r="N213" s="58">
        <v>0.0</v>
      </c>
      <c r="O213" s="56" t="s">
        <v>382</v>
      </c>
      <c r="P213" s="60">
        <v>46025.0</v>
      </c>
      <c r="Q213" s="56" t="s">
        <v>1676</v>
      </c>
      <c r="R213" s="56" t="s">
        <v>1404</v>
      </c>
      <c r="S213" s="59"/>
      <c r="T213" s="56" t="s">
        <v>372</v>
      </c>
      <c r="U213" s="61" t="s">
        <v>373</v>
      </c>
      <c r="V213" s="58" t="s">
        <v>1677</v>
      </c>
      <c r="X213" s="55" t="b">
        <f t="shared" si="1"/>
        <v>0</v>
      </c>
    </row>
    <row r="214" ht="15.0" customHeight="1">
      <c r="A214" s="56" t="s">
        <v>215</v>
      </c>
      <c r="B214" s="56" t="s">
        <v>1678</v>
      </c>
      <c r="C214" s="57" t="s">
        <v>1679</v>
      </c>
      <c r="D214" s="58">
        <v>8.177891233E9</v>
      </c>
      <c r="E214" s="56" t="s">
        <v>1135</v>
      </c>
      <c r="F214" s="56" t="s">
        <v>452</v>
      </c>
      <c r="G214" s="56" t="s">
        <v>1680</v>
      </c>
      <c r="H214" s="56" t="s">
        <v>364</v>
      </c>
      <c r="I214" s="56" t="s">
        <v>365</v>
      </c>
      <c r="J214" s="56" t="s">
        <v>366</v>
      </c>
      <c r="K214" s="56" t="s">
        <v>1397</v>
      </c>
      <c r="L214" s="56" t="s">
        <v>368</v>
      </c>
      <c r="M214" s="58">
        <v>0.0</v>
      </c>
      <c r="N214" s="58">
        <v>2.0</v>
      </c>
      <c r="O214" s="56" t="s">
        <v>382</v>
      </c>
      <c r="P214" s="60">
        <v>46025.0</v>
      </c>
      <c r="Q214" s="56" t="s">
        <v>1681</v>
      </c>
      <c r="R214" s="56" t="s">
        <v>1682</v>
      </c>
      <c r="S214" s="59"/>
      <c r="T214" s="56" t="s">
        <v>372</v>
      </c>
      <c r="U214" s="61" t="s">
        <v>373</v>
      </c>
      <c r="V214" s="58" t="s">
        <v>896</v>
      </c>
      <c r="X214" s="55" t="b">
        <f t="shared" si="1"/>
        <v>0</v>
      </c>
    </row>
    <row r="215" ht="15.0" customHeight="1">
      <c r="A215" s="56" t="s">
        <v>1683</v>
      </c>
      <c r="B215" s="56" t="s">
        <v>1684</v>
      </c>
      <c r="C215" s="57" t="s">
        <v>1685</v>
      </c>
      <c r="D215" s="56" t="s">
        <v>1686</v>
      </c>
      <c r="E215" s="56" t="s">
        <v>361</v>
      </c>
      <c r="F215" s="56" t="s">
        <v>377</v>
      </c>
      <c r="G215" s="56" t="s">
        <v>398</v>
      </c>
      <c r="H215" s="56" t="s">
        <v>364</v>
      </c>
      <c r="I215" s="56" t="s">
        <v>365</v>
      </c>
      <c r="J215" s="56" t="s">
        <v>513</v>
      </c>
      <c r="K215" s="56" t="s">
        <v>367</v>
      </c>
      <c r="L215" s="56" t="s">
        <v>368</v>
      </c>
      <c r="M215" s="59"/>
      <c r="N215" s="59"/>
      <c r="O215" s="56" t="s">
        <v>1687</v>
      </c>
      <c r="P215" s="60">
        <v>46025.0</v>
      </c>
      <c r="Q215" s="56" t="s">
        <v>1688</v>
      </c>
      <c r="R215" s="56" t="s">
        <v>1689</v>
      </c>
      <c r="S215" s="59"/>
      <c r="T215" s="56" t="s">
        <v>372</v>
      </c>
      <c r="U215" s="61" t="s">
        <v>373</v>
      </c>
      <c r="V215" s="58" t="s">
        <v>1690</v>
      </c>
      <c r="X215" s="55" t="b">
        <f t="shared" si="1"/>
        <v>1</v>
      </c>
    </row>
    <row r="216" ht="15.0" customHeight="1">
      <c r="A216" s="56" t="s">
        <v>1691</v>
      </c>
      <c r="B216" s="56" t="s">
        <v>1692</v>
      </c>
      <c r="C216" s="57" t="s">
        <v>1693</v>
      </c>
      <c r="D216" s="56" t="s">
        <v>1694</v>
      </c>
      <c r="E216" s="56" t="s">
        <v>511</v>
      </c>
      <c r="F216" s="56" t="s">
        <v>377</v>
      </c>
      <c r="G216" s="56" t="s">
        <v>377</v>
      </c>
      <c r="H216" s="56" t="s">
        <v>399</v>
      </c>
      <c r="I216" s="56" t="s">
        <v>365</v>
      </c>
      <c r="J216" s="56" t="s">
        <v>366</v>
      </c>
      <c r="K216" s="56" t="s">
        <v>367</v>
      </c>
      <c r="L216" s="56" t="s">
        <v>423</v>
      </c>
      <c r="M216" s="59"/>
      <c r="N216" s="59"/>
      <c r="O216" s="56" t="s">
        <v>382</v>
      </c>
      <c r="P216" s="60">
        <v>46118.0</v>
      </c>
      <c r="Q216" s="59"/>
      <c r="R216" s="56" t="s">
        <v>1695</v>
      </c>
      <c r="S216" s="59"/>
      <c r="T216" s="56" t="s">
        <v>372</v>
      </c>
      <c r="U216" s="61" t="s">
        <v>373</v>
      </c>
      <c r="V216" s="58" t="s">
        <v>1696</v>
      </c>
      <c r="X216" s="55" t="b">
        <f t="shared" si="1"/>
        <v>0</v>
      </c>
    </row>
    <row r="217" ht="15.0" customHeight="1">
      <c r="A217" s="56" t="s">
        <v>216</v>
      </c>
      <c r="B217" s="56" t="s">
        <v>1697</v>
      </c>
      <c r="C217" s="57" t="s">
        <v>1698</v>
      </c>
      <c r="D217" s="58">
        <v>4.694344373E9</v>
      </c>
      <c r="E217" s="56" t="s">
        <v>511</v>
      </c>
      <c r="F217" s="56" t="s">
        <v>675</v>
      </c>
      <c r="G217" s="56" t="s">
        <v>1699</v>
      </c>
      <c r="H217" s="56" t="s">
        <v>379</v>
      </c>
      <c r="I217" s="56" t="s">
        <v>365</v>
      </c>
      <c r="J217" s="56" t="s">
        <v>366</v>
      </c>
      <c r="K217" s="56" t="s">
        <v>400</v>
      </c>
      <c r="L217" s="56" t="s">
        <v>368</v>
      </c>
      <c r="M217" s="59"/>
      <c r="N217" s="59"/>
      <c r="O217" s="56" t="s">
        <v>382</v>
      </c>
      <c r="P217" s="60">
        <v>46025.0</v>
      </c>
      <c r="Q217" s="56" t="s">
        <v>1700</v>
      </c>
      <c r="R217" s="56" t="s">
        <v>662</v>
      </c>
      <c r="S217" s="59"/>
      <c r="T217" s="56" t="s">
        <v>393</v>
      </c>
      <c r="U217" s="61" t="s">
        <v>373</v>
      </c>
      <c r="V217" s="58" t="s">
        <v>1701</v>
      </c>
      <c r="X217" s="55" t="b">
        <f t="shared" si="1"/>
        <v>0</v>
      </c>
    </row>
    <row r="218" ht="15.0" customHeight="1">
      <c r="A218" s="56" t="s">
        <v>1702</v>
      </c>
      <c r="B218" s="56" t="s">
        <v>1703</v>
      </c>
      <c r="C218" s="57" t="s">
        <v>1704</v>
      </c>
      <c r="D218" s="58">
        <v>5.035459303E9</v>
      </c>
      <c r="E218" s="56" t="s">
        <v>1036</v>
      </c>
      <c r="F218" s="56" t="s">
        <v>362</v>
      </c>
      <c r="G218" s="56" t="s">
        <v>1705</v>
      </c>
      <c r="H218" s="56" t="s">
        <v>399</v>
      </c>
      <c r="I218" s="56" t="s">
        <v>405</v>
      </c>
      <c r="J218" s="56" t="s">
        <v>366</v>
      </c>
      <c r="K218" s="56" t="s">
        <v>381</v>
      </c>
      <c r="L218" s="56" t="s">
        <v>368</v>
      </c>
      <c r="M218" s="58">
        <v>0.0</v>
      </c>
      <c r="N218" s="58">
        <v>0.0</v>
      </c>
      <c r="O218" s="56" t="s">
        <v>382</v>
      </c>
      <c r="P218" s="60">
        <v>46025.0</v>
      </c>
      <c r="Q218" s="56" t="s">
        <v>1706</v>
      </c>
      <c r="R218" s="56" t="s">
        <v>1707</v>
      </c>
      <c r="S218" s="59"/>
      <c r="T218" s="56" t="s">
        <v>385</v>
      </c>
      <c r="U218" s="61" t="s">
        <v>373</v>
      </c>
      <c r="V218" s="58" t="s">
        <v>1708</v>
      </c>
      <c r="X218" s="55" t="b">
        <f t="shared" si="1"/>
        <v>0</v>
      </c>
    </row>
    <row r="219" ht="15.0" customHeight="1">
      <c r="A219" s="56" t="s">
        <v>333</v>
      </c>
      <c r="B219" s="56" t="s">
        <v>1709</v>
      </c>
      <c r="C219" s="57" t="s">
        <v>1710</v>
      </c>
      <c r="D219" s="56" t="s">
        <v>1711</v>
      </c>
      <c r="E219" s="56" t="s">
        <v>1656</v>
      </c>
      <c r="F219" s="56" t="s">
        <v>390</v>
      </c>
      <c r="G219" s="56" t="s">
        <v>1712</v>
      </c>
      <c r="H219" s="56" t="s">
        <v>364</v>
      </c>
      <c r="I219" s="56" t="s">
        <v>412</v>
      </c>
      <c r="J219" s="56" t="s">
        <v>413</v>
      </c>
      <c r="K219" s="56" t="s">
        <v>1464</v>
      </c>
      <c r="L219" s="56" t="s">
        <v>368</v>
      </c>
      <c r="M219" s="59"/>
      <c r="N219" s="59"/>
      <c r="O219" s="56" t="s">
        <v>369</v>
      </c>
      <c r="P219" s="58">
        <v>0.0</v>
      </c>
      <c r="Q219" s="56" t="s">
        <v>1713</v>
      </c>
      <c r="R219" s="56" t="s">
        <v>1714</v>
      </c>
      <c r="S219" s="59"/>
      <c r="T219" s="56" t="s">
        <v>385</v>
      </c>
      <c r="U219" s="61" t="s">
        <v>373</v>
      </c>
      <c r="V219" s="58" t="s">
        <v>1715</v>
      </c>
      <c r="X219" s="55" t="b">
        <f t="shared" si="1"/>
        <v>0</v>
      </c>
    </row>
    <row r="220" ht="15.0" customHeight="1">
      <c r="A220" s="56" t="s">
        <v>1716</v>
      </c>
      <c r="B220" s="56" t="s">
        <v>1717</v>
      </c>
      <c r="C220" s="57" t="s">
        <v>1718</v>
      </c>
      <c r="D220" s="58">
        <v>2.103759E9</v>
      </c>
      <c r="E220" s="56" t="s">
        <v>361</v>
      </c>
      <c r="F220" s="56" t="s">
        <v>377</v>
      </c>
      <c r="G220" s="56" t="s">
        <v>1300</v>
      </c>
      <c r="H220" s="56" t="s">
        <v>364</v>
      </c>
      <c r="I220" s="56" t="s">
        <v>380</v>
      </c>
      <c r="J220" s="56" t="s">
        <v>413</v>
      </c>
      <c r="K220" s="56" t="s">
        <v>1301</v>
      </c>
      <c r="L220" s="56" t="s">
        <v>368</v>
      </c>
      <c r="M220" s="59"/>
      <c r="N220" s="59"/>
      <c r="O220" s="56" t="s">
        <v>414</v>
      </c>
      <c r="P220" s="58">
        <v>0.0</v>
      </c>
      <c r="Q220" s="56" t="s">
        <v>1719</v>
      </c>
      <c r="R220" s="62" t="s">
        <v>1720</v>
      </c>
      <c r="S220" s="59"/>
      <c r="T220" s="56" t="s">
        <v>385</v>
      </c>
      <c r="U220" s="61" t="s">
        <v>373</v>
      </c>
      <c r="V220" s="58" t="s">
        <v>1721</v>
      </c>
      <c r="X220" s="55" t="b">
        <f t="shared" si="1"/>
        <v>0</v>
      </c>
    </row>
    <row r="221" ht="15.0" customHeight="1">
      <c r="A221" s="56" t="s">
        <v>1722</v>
      </c>
      <c r="B221" s="56" t="s">
        <v>1723</v>
      </c>
      <c r="C221" s="57" t="s">
        <v>1724</v>
      </c>
      <c r="D221" s="56" t="s">
        <v>1725</v>
      </c>
      <c r="E221" s="56" t="s">
        <v>579</v>
      </c>
      <c r="F221" s="56" t="s">
        <v>390</v>
      </c>
      <c r="G221" s="56" t="s">
        <v>1726</v>
      </c>
      <c r="H221" s="56" t="s">
        <v>379</v>
      </c>
      <c r="I221" s="56" t="s">
        <v>365</v>
      </c>
      <c r="J221" s="56" t="s">
        <v>413</v>
      </c>
      <c r="K221" s="56" t="s">
        <v>1464</v>
      </c>
      <c r="L221" s="56" t="s">
        <v>368</v>
      </c>
      <c r="M221" s="59"/>
      <c r="N221" s="59"/>
      <c r="O221" s="56" t="s">
        <v>382</v>
      </c>
      <c r="P221" s="60">
        <v>46025.0</v>
      </c>
      <c r="Q221" s="56" t="s">
        <v>1723</v>
      </c>
      <c r="R221" s="56" t="s">
        <v>1727</v>
      </c>
      <c r="S221" s="59"/>
      <c r="T221" s="56" t="s">
        <v>385</v>
      </c>
      <c r="U221" s="61" t="s">
        <v>373</v>
      </c>
      <c r="V221" s="58" t="s">
        <v>1728</v>
      </c>
      <c r="X221" s="55" t="b">
        <f t="shared" si="1"/>
        <v>0</v>
      </c>
    </row>
    <row r="222" ht="15.0" customHeight="1">
      <c r="A222" s="56" t="s">
        <v>218</v>
      </c>
      <c r="B222" s="56" t="s">
        <v>1729</v>
      </c>
      <c r="C222" s="57" t="s">
        <v>1730</v>
      </c>
      <c r="D222" s="58">
        <v>4.054717781E9</v>
      </c>
      <c r="E222" s="56" t="s">
        <v>753</v>
      </c>
      <c r="F222" s="56" t="s">
        <v>362</v>
      </c>
      <c r="G222" s="56" t="s">
        <v>1055</v>
      </c>
      <c r="H222" s="56" t="s">
        <v>364</v>
      </c>
      <c r="I222" s="56" t="s">
        <v>365</v>
      </c>
      <c r="J222" s="56" t="s">
        <v>366</v>
      </c>
      <c r="K222" s="56" t="s">
        <v>381</v>
      </c>
      <c r="L222" s="56" t="s">
        <v>368</v>
      </c>
      <c r="M222" s="59"/>
      <c r="N222" s="59"/>
      <c r="O222" s="56" t="s">
        <v>382</v>
      </c>
      <c r="P222" s="60">
        <v>46025.0</v>
      </c>
      <c r="Q222" s="56" t="s">
        <v>1731</v>
      </c>
      <c r="R222" s="56" t="s">
        <v>1732</v>
      </c>
      <c r="S222" s="59"/>
      <c r="T222" s="56" t="s">
        <v>385</v>
      </c>
      <c r="U222" s="61" t="s">
        <v>373</v>
      </c>
      <c r="V222" s="58" t="s">
        <v>1733</v>
      </c>
      <c r="X222" s="55" t="b">
        <f t="shared" si="1"/>
        <v>0</v>
      </c>
    </row>
    <row r="223" ht="15.0" customHeight="1">
      <c r="A223" s="56" t="s">
        <v>218</v>
      </c>
      <c r="B223" s="56" t="s">
        <v>1734</v>
      </c>
      <c r="C223" s="57" t="s">
        <v>1735</v>
      </c>
      <c r="D223" s="56" t="s">
        <v>1736</v>
      </c>
      <c r="E223" s="56" t="s">
        <v>696</v>
      </c>
      <c r="F223" s="56" t="s">
        <v>362</v>
      </c>
      <c r="G223" s="56" t="s">
        <v>1055</v>
      </c>
      <c r="H223" s="56" t="s">
        <v>364</v>
      </c>
      <c r="I223" s="56" t="s">
        <v>412</v>
      </c>
      <c r="J223" s="56" t="s">
        <v>366</v>
      </c>
      <c r="K223" s="56" t="s">
        <v>381</v>
      </c>
      <c r="L223" s="56" t="s">
        <v>368</v>
      </c>
      <c r="M223" s="59"/>
      <c r="N223" s="59"/>
      <c r="O223" s="56" t="s">
        <v>382</v>
      </c>
      <c r="P223" s="60">
        <v>46025.0</v>
      </c>
      <c r="Q223" s="56" t="s">
        <v>1737</v>
      </c>
      <c r="R223" s="56" t="s">
        <v>1732</v>
      </c>
      <c r="S223" s="59"/>
      <c r="T223" s="56" t="s">
        <v>385</v>
      </c>
      <c r="U223" s="61" t="s">
        <v>394</v>
      </c>
      <c r="V223" s="58" t="s">
        <v>1738</v>
      </c>
      <c r="X223" s="55" t="b">
        <f t="shared" si="1"/>
        <v>0</v>
      </c>
    </row>
    <row r="224" ht="15.0" customHeight="1">
      <c r="A224" s="56" t="s">
        <v>219</v>
      </c>
      <c r="B224" s="56" t="s">
        <v>1739</v>
      </c>
      <c r="C224" s="57" t="s">
        <v>1740</v>
      </c>
      <c r="D224" s="58">
        <v>2.819280124E9</v>
      </c>
      <c r="E224" s="56" t="s">
        <v>722</v>
      </c>
      <c r="F224" s="56" t="s">
        <v>1553</v>
      </c>
      <c r="G224" s="56" t="s">
        <v>1741</v>
      </c>
      <c r="H224" s="56" t="s">
        <v>379</v>
      </c>
      <c r="I224" s="56" t="s">
        <v>405</v>
      </c>
      <c r="J224" s="56" t="s">
        <v>413</v>
      </c>
      <c r="K224" s="56" t="s">
        <v>400</v>
      </c>
      <c r="L224" s="56" t="s">
        <v>368</v>
      </c>
      <c r="M224" s="59"/>
      <c r="N224" s="59"/>
      <c r="O224" s="56" t="s">
        <v>382</v>
      </c>
      <c r="P224" s="58">
        <v>0.0</v>
      </c>
      <c r="Q224" s="59"/>
      <c r="R224" s="56" t="s">
        <v>851</v>
      </c>
      <c r="S224" s="59"/>
      <c r="T224" s="56" t="s">
        <v>393</v>
      </c>
      <c r="U224" s="61" t="s">
        <v>373</v>
      </c>
      <c r="V224" s="58" t="s">
        <v>1742</v>
      </c>
      <c r="X224" s="55" t="b">
        <f t="shared" si="1"/>
        <v>0</v>
      </c>
    </row>
    <row r="225" ht="15.0" customHeight="1">
      <c r="A225" s="56" t="s">
        <v>1743</v>
      </c>
      <c r="B225" s="56" t="s">
        <v>1744</v>
      </c>
      <c r="C225" s="57" t="s">
        <v>1745</v>
      </c>
      <c r="D225" s="58">
        <v>2.146014404E9</v>
      </c>
      <c r="E225" s="56" t="s">
        <v>511</v>
      </c>
      <c r="F225" s="56" t="s">
        <v>452</v>
      </c>
      <c r="G225" s="56" t="s">
        <v>1746</v>
      </c>
      <c r="H225" s="56" t="s">
        <v>379</v>
      </c>
      <c r="I225" s="56" t="s">
        <v>365</v>
      </c>
      <c r="J225" s="56" t="s">
        <v>413</v>
      </c>
      <c r="K225" s="56" t="s">
        <v>381</v>
      </c>
      <c r="L225" s="56" t="s">
        <v>368</v>
      </c>
      <c r="M225" s="58">
        <v>5.0</v>
      </c>
      <c r="N225" s="58">
        <v>5.0</v>
      </c>
      <c r="O225" s="56" t="s">
        <v>368</v>
      </c>
      <c r="P225" s="60">
        <v>46118.0</v>
      </c>
      <c r="Q225" s="56" t="s">
        <v>1747</v>
      </c>
      <c r="R225" s="56" t="s">
        <v>1748</v>
      </c>
      <c r="S225" s="59"/>
      <c r="T225" s="56" t="s">
        <v>385</v>
      </c>
      <c r="U225" s="61" t="s">
        <v>373</v>
      </c>
      <c r="V225" s="58" t="s">
        <v>1749</v>
      </c>
      <c r="X225" s="55" t="b">
        <f t="shared" si="1"/>
        <v>0</v>
      </c>
    </row>
    <row r="226" ht="15.0" customHeight="1">
      <c r="A226" s="56" t="s">
        <v>1750</v>
      </c>
      <c r="B226" s="56" t="s">
        <v>1751</v>
      </c>
      <c r="C226" s="57" t="s">
        <v>1752</v>
      </c>
      <c r="D226" s="56" t="s">
        <v>1753</v>
      </c>
      <c r="E226" s="56" t="s">
        <v>1754</v>
      </c>
      <c r="F226" s="56" t="s">
        <v>443</v>
      </c>
      <c r="G226" s="56" t="s">
        <v>436</v>
      </c>
      <c r="H226" s="56" t="s">
        <v>379</v>
      </c>
      <c r="I226" s="56" t="s">
        <v>1293</v>
      </c>
      <c r="J226" s="56" t="s">
        <v>413</v>
      </c>
      <c r="K226" s="56" t="s">
        <v>400</v>
      </c>
      <c r="L226" s="56" t="s">
        <v>423</v>
      </c>
      <c r="M226" s="59"/>
      <c r="N226" s="59"/>
      <c r="O226" s="56" t="s">
        <v>382</v>
      </c>
      <c r="P226" s="60">
        <v>46025.0</v>
      </c>
      <c r="Q226" s="56" t="s">
        <v>1751</v>
      </c>
      <c r="R226" s="56" t="s">
        <v>1252</v>
      </c>
      <c r="S226" s="59"/>
      <c r="T226" s="56" t="s">
        <v>393</v>
      </c>
      <c r="U226" s="61" t="s">
        <v>373</v>
      </c>
      <c r="V226" s="58" t="s">
        <v>1755</v>
      </c>
      <c r="X226" s="55" t="b">
        <f t="shared" si="1"/>
        <v>0</v>
      </c>
    </row>
    <row r="227" ht="15.0" customHeight="1">
      <c r="A227" s="56" t="s">
        <v>223</v>
      </c>
      <c r="B227" s="56" t="s">
        <v>1756</v>
      </c>
      <c r="C227" s="57" t="s">
        <v>1757</v>
      </c>
      <c r="D227" s="56" t="s">
        <v>1758</v>
      </c>
      <c r="E227" s="56" t="s">
        <v>361</v>
      </c>
      <c r="F227" s="56" t="s">
        <v>377</v>
      </c>
      <c r="G227" s="56" t="s">
        <v>702</v>
      </c>
      <c r="H227" s="56" t="s">
        <v>379</v>
      </c>
      <c r="I227" s="56" t="s">
        <v>365</v>
      </c>
      <c r="J227" s="56" t="s">
        <v>413</v>
      </c>
      <c r="K227" s="56" t="s">
        <v>367</v>
      </c>
      <c r="L227" s="56" t="s">
        <v>368</v>
      </c>
      <c r="M227" s="58">
        <v>0.0</v>
      </c>
      <c r="N227" s="58">
        <v>2.0</v>
      </c>
      <c r="O227" s="56" t="s">
        <v>414</v>
      </c>
      <c r="P227" s="60">
        <v>46025.0</v>
      </c>
      <c r="Q227" s="59"/>
      <c r="R227" s="56" t="s">
        <v>1759</v>
      </c>
      <c r="S227" s="59"/>
      <c r="T227" s="56" t="s">
        <v>372</v>
      </c>
      <c r="U227" s="61" t="s">
        <v>373</v>
      </c>
      <c r="V227" s="58" t="s">
        <v>1760</v>
      </c>
      <c r="X227" s="55" t="b">
        <f t="shared" si="1"/>
        <v>0</v>
      </c>
    </row>
    <row r="228" ht="15.0" customHeight="1">
      <c r="A228" s="56" t="s">
        <v>1761</v>
      </c>
      <c r="B228" s="56" t="s">
        <v>1762</v>
      </c>
      <c r="C228" s="57" t="s">
        <v>1763</v>
      </c>
      <c r="D228" s="56" t="s">
        <v>1764</v>
      </c>
      <c r="E228" s="56" t="s">
        <v>361</v>
      </c>
      <c r="F228" s="56" t="s">
        <v>877</v>
      </c>
      <c r="G228" s="56" t="s">
        <v>1353</v>
      </c>
      <c r="H228" s="56" t="s">
        <v>379</v>
      </c>
      <c r="I228" s="56" t="s">
        <v>365</v>
      </c>
      <c r="J228" s="56" t="s">
        <v>513</v>
      </c>
      <c r="K228" s="56" t="s">
        <v>381</v>
      </c>
      <c r="L228" s="56" t="s">
        <v>368</v>
      </c>
      <c r="M228" s="59"/>
      <c r="N228" s="59"/>
      <c r="O228" s="56" t="s">
        <v>382</v>
      </c>
      <c r="P228" s="60">
        <v>46025.0</v>
      </c>
      <c r="Q228" s="56" t="s">
        <v>1765</v>
      </c>
      <c r="R228" s="56" t="s">
        <v>1766</v>
      </c>
      <c r="S228" s="59"/>
      <c r="T228" s="56" t="s">
        <v>385</v>
      </c>
      <c r="U228" s="61" t="s">
        <v>373</v>
      </c>
      <c r="V228" s="58" t="s">
        <v>1767</v>
      </c>
      <c r="X228" s="55" t="b">
        <f t="shared" si="1"/>
        <v>1</v>
      </c>
    </row>
    <row r="229" ht="15.0" customHeight="1">
      <c r="A229" s="56" t="s">
        <v>1768</v>
      </c>
      <c r="B229" s="56" t="s">
        <v>1769</v>
      </c>
      <c r="C229" s="57" t="s">
        <v>1770</v>
      </c>
      <c r="D229" s="56" t="s">
        <v>1771</v>
      </c>
      <c r="E229" s="56" t="s">
        <v>1135</v>
      </c>
      <c r="F229" s="56" t="s">
        <v>452</v>
      </c>
      <c r="G229" s="56" t="s">
        <v>702</v>
      </c>
      <c r="H229" s="56" t="s">
        <v>379</v>
      </c>
      <c r="I229" s="56" t="s">
        <v>365</v>
      </c>
      <c r="J229" s="56" t="s">
        <v>413</v>
      </c>
      <c r="K229" s="56" t="s">
        <v>381</v>
      </c>
      <c r="L229" s="56" t="s">
        <v>368</v>
      </c>
      <c r="M229" s="58">
        <v>0.0</v>
      </c>
      <c r="N229" s="59"/>
      <c r="O229" s="56" t="s">
        <v>949</v>
      </c>
      <c r="P229" s="58">
        <v>0.0</v>
      </c>
      <c r="Q229" s="56" t="s">
        <v>1772</v>
      </c>
      <c r="R229" s="56" t="s">
        <v>1773</v>
      </c>
      <c r="S229" s="59"/>
      <c r="T229" s="56" t="s">
        <v>372</v>
      </c>
      <c r="U229" s="61" t="s">
        <v>373</v>
      </c>
      <c r="V229" s="58" t="s">
        <v>1774</v>
      </c>
      <c r="X229" s="55" t="b">
        <f t="shared" si="1"/>
        <v>0</v>
      </c>
    </row>
    <row r="230" ht="15.0" customHeight="1">
      <c r="A230" s="56" t="s">
        <v>225</v>
      </c>
      <c r="B230" s="56" t="s">
        <v>1775</v>
      </c>
      <c r="C230" s="57" t="s">
        <v>1776</v>
      </c>
      <c r="D230" s="58">
        <v>5.049125965E9</v>
      </c>
      <c r="E230" s="56" t="s">
        <v>361</v>
      </c>
      <c r="F230" s="56" t="s">
        <v>377</v>
      </c>
      <c r="G230" s="56" t="s">
        <v>1777</v>
      </c>
      <c r="H230" s="56" t="s">
        <v>364</v>
      </c>
      <c r="I230" s="56" t="s">
        <v>380</v>
      </c>
      <c r="J230" s="56" t="s">
        <v>413</v>
      </c>
      <c r="K230" s="56" t="s">
        <v>483</v>
      </c>
      <c r="L230" s="56" t="s">
        <v>368</v>
      </c>
      <c r="M230" s="59"/>
      <c r="N230" s="59"/>
      <c r="O230" s="56" t="s">
        <v>382</v>
      </c>
      <c r="P230" s="60">
        <v>46025.0</v>
      </c>
      <c r="Q230" s="59"/>
      <c r="R230" s="56" t="s">
        <v>1778</v>
      </c>
      <c r="S230" s="59"/>
      <c r="T230" s="56" t="s">
        <v>385</v>
      </c>
      <c r="U230" s="61" t="s">
        <v>373</v>
      </c>
      <c r="V230" s="58" t="s">
        <v>516</v>
      </c>
      <c r="X230" s="55" t="b">
        <f t="shared" si="1"/>
        <v>0</v>
      </c>
    </row>
    <row r="231" ht="15.0" customHeight="1">
      <c r="A231" s="56" t="s">
        <v>1779</v>
      </c>
      <c r="B231" s="56" t="s">
        <v>1780</v>
      </c>
      <c r="C231" s="57" t="s">
        <v>1781</v>
      </c>
      <c r="D231" s="56" t="s">
        <v>1782</v>
      </c>
      <c r="E231" s="56" t="s">
        <v>1135</v>
      </c>
      <c r="F231" s="56" t="s">
        <v>452</v>
      </c>
      <c r="G231" s="56" t="s">
        <v>1783</v>
      </c>
      <c r="H231" s="56" t="s">
        <v>379</v>
      </c>
      <c r="I231" s="56" t="s">
        <v>365</v>
      </c>
      <c r="J231" s="56" t="s">
        <v>413</v>
      </c>
      <c r="K231" s="56" t="s">
        <v>561</v>
      </c>
      <c r="L231" s="56" t="s">
        <v>368</v>
      </c>
      <c r="M231" s="59"/>
      <c r="N231" s="59"/>
      <c r="O231" s="56" t="s">
        <v>949</v>
      </c>
      <c r="P231" s="60">
        <v>46025.0</v>
      </c>
      <c r="Q231" s="56" t="s">
        <v>1784</v>
      </c>
      <c r="R231" s="56" t="s">
        <v>1785</v>
      </c>
      <c r="S231" s="59"/>
      <c r="T231" s="56" t="s">
        <v>372</v>
      </c>
      <c r="U231" s="61" t="s">
        <v>373</v>
      </c>
      <c r="V231" s="58" t="s">
        <v>1786</v>
      </c>
      <c r="X231" s="55" t="b">
        <f t="shared" si="1"/>
        <v>0</v>
      </c>
    </row>
    <row r="232" ht="15.0" customHeight="1">
      <c r="A232" s="56" t="s">
        <v>334</v>
      </c>
      <c r="B232" s="56" t="s">
        <v>1787</v>
      </c>
      <c r="C232" s="57" t="s">
        <v>1788</v>
      </c>
      <c r="D232" s="58">
        <v>8.329222137E9</v>
      </c>
      <c r="E232" s="56" t="s">
        <v>552</v>
      </c>
      <c r="F232" s="56" t="s">
        <v>1789</v>
      </c>
      <c r="G232" s="56" t="s">
        <v>1790</v>
      </c>
      <c r="H232" s="56" t="s">
        <v>399</v>
      </c>
      <c r="I232" s="56" t="s">
        <v>1791</v>
      </c>
      <c r="J232" s="56" t="s">
        <v>366</v>
      </c>
      <c r="K232" s="56" t="s">
        <v>400</v>
      </c>
      <c r="L232" s="56" t="s">
        <v>368</v>
      </c>
      <c r="M232" s="59"/>
      <c r="N232" s="59"/>
      <c r="O232" s="56" t="s">
        <v>382</v>
      </c>
      <c r="P232" s="60">
        <v>46025.0</v>
      </c>
      <c r="Q232" s="59"/>
      <c r="R232" s="56" t="s">
        <v>1792</v>
      </c>
      <c r="S232" s="59"/>
      <c r="T232" s="56" t="s">
        <v>393</v>
      </c>
      <c r="U232" s="61" t="s">
        <v>373</v>
      </c>
      <c r="V232" s="58" t="s">
        <v>1793</v>
      </c>
      <c r="X232" s="55" t="b">
        <f t="shared" si="1"/>
        <v>0</v>
      </c>
    </row>
    <row r="233" ht="15.0" customHeight="1">
      <c r="A233" s="56" t="s">
        <v>1794</v>
      </c>
      <c r="B233" s="56" t="s">
        <v>1795</v>
      </c>
      <c r="C233" s="57" t="s">
        <v>1796</v>
      </c>
      <c r="D233" s="58">
        <v>9.366618378E9</v>
      </c>
      <c r="E233" s="56" t="s">
        <v>579</v>
      </c>
      <c r="F233" s="56" t="s">
        <v>1553</v>
      </c>
      <c r="G233" s="56" t="s">
        <v>1797</v>
      </c>
      <c r="H233" s="56" t="s">
        <v>364</v>
      </c>
      <c r="I233" s="56" t="s">
        <v>405</v>
      </c>
      <c r="J233" s="56" t="s">
        <v>413</v>
      </c>
      <c r="K233" s="56" t="s">
        <v>400</v>
      </c>
      <c r="L233" s="56" t="s">
        <v>368</v>
      </c>
      <c r="M233" s="59"/>
      <c r="N233" s="59"/>
      <c r="O233" s="56" t="s">
        <v>414</v>
      </c>
      <c r="P233" s="60">
        <v>46025.0</v>
      </c>
      <c r="Q233" s="59"/>
      <c r="R233" s="56" t="s">
        <v>1798</v>
      </c>
      <c r="S233" s="59"/>
      <c r="T233" s="56" t="s">
        <v>393</v>
      </c>
      <c r="U233" s="61" t="s">
        <v>373</v>
      </c>
      <c r="V233" s="58" t="s">
        <v>1799</v>
      </c>
      <c r="X233" s="55" t="b">
        <f t="shared" si="1"/>
        <v>0</v>
      </c>
    </row>
    <row r="234" ht="15.0" customHeight="1">
      <c r="A234" s="56" t="s">
        <v>227</v>
      </c>
      <c r="B234" s="56" t="s">
        <v>1800</v>
      </c>
      <c r="C234" s="57" t="s">
        <v>1801</v>
      </c>
      <c r="D234" s="58">
        <v>9.795333906E9</v>
      </c>
      <c r="E234" s="56" t="s">
        <v>361</v>
      </c>
      <c r="F234" s="56" t="s">
        <v>377</v>
      </c>
      <c r="G234" s="56" t="s">
        <v>1802</v>
      </c>
      <c r="H234" s="56" t="s">
        <v>379</v>
      </c>
      <c r="I234" s="56" t="s">
        <v>365</v>
      </c>
      <c r="J234" s="56" t="s">
        <v>366</v>
      </c>
      <c r="K234" s="56" t="s">
        <v>381</v>
      </c>
      <c r="L234" s="56" t="s">
        <v>368</v>
      </c>
      <c r="M234" s="59"/>
      <c r="N234" s="59"/>
      <c r="O234" s="56" t="s">
        <v>382</v>
      </c>
      <c r="P234" s="60">
        <v>46025.0</v>
      </c>
      <c r="Q234" s="56" t="s">
        <v>1800</v>
      </c>
      <c r="R234" s="56" t="s">
        <v>1803</v>
      </c>
      <c r="S234" s="59"/>
      <c r="T234" s="56" t="s">
        <v>385</v>
      </c>
      <c r="U234" s="61" t="s">
        <v>373</v>
      </c>
      <c r="V234" s="58" t="s">
        <v>769</v>
      </c>
      <c r="X234" s="55" t="b">
        <f t="shared" si="1"/>
        <v>0</v>
      </c>
    </row>
    <row r="235" ht="15.0" customHeight="1">
      <c r="A235" s="56" t="s">
        <v>1804</v>
      </c>
      <c r="B235" s="56" t="s">
        <v>1805</v>
      </c>
      <c r="C235" s="57" t="s">
        <v>1806</v>
      </c>
      <c r="D235" s="56" t="s">
        <v>1807</v>
      </c>
      <c r="E235" s="56" t="s">
        <v>1061</v>
      </c>
      <c r="F235" s="56" t="s">
        <v>421</v>
      </c>
      <c r="G235" s="56" t="s">
        <v>1808</v>
      </c>
      <c r="H235" s="56" t="s">
        <v>399</v>
      </c>
      <c r="I235" s="56" t="s">
        <v>380</v>
      </c>
      <c r="J235" s="56" t="s">
        <v>413</v>
      </c>
      <c r="K235" s="56" t="s">
        <v>381</v>
      </c>
      <c r="L235" s="56" t="s">
        <v>368</v>
      </c>
      <c r="M235" s="59"/>
      <c r="N235" s="59"/>
      <c r="O235" s="56" t="s">
        <v>382</v>
      </c>
      <c r="P235" s="60">
        <v>46025.0</v>
      </c>
      <c r="Q235" s="56" t="s">
        <v>1809</v>
      </c>
      <c r="R235" s="56" t="s">
        <v>1810</v>
      </c>
      <c r="S235" s="59"/>
      <c r="T235" s="56" t="s">
        <v>385</v>
      </c>
      <c r="U235" s="61" t="s">
        <v>373</v>
      </c>
      <c r="V235" s="58" t="s">
        <v>1811</v>
      </c>
      <c r="X235" s="55" t="b">
        <f t="shared" si="1"/>
        <v>0</v>
      </c>
    </row>
    <row r="236" ht="15.0" customHeight="1">
      <c r="A236" s="56" t="s">
        <v>230</v>
      </c>
      <c r="B236" s="56" t="s">
        <v>1812</v>
      </c>
      <c r="C236" s="57" t="s">
        <v>1813</v>
      </c>
      <c r="D236" s="56" t="s">
        <v>1814</v>
      </c>
      <c r="E236" s="56" t="s">
        <v>1815</v>
      </c>
      <c r="F236" s="56" t="s">
        <v>452</v>
      </c>
      <c r="G236" s="56" t="s">
        <v>1816</v>
      </c>
      <c r="H236" s="56" t="s">
        <v>364</v>
      </c>
      <c r="I236" s="56" t="s">
        <v>822</v>
      </c>
      <c r="J236" s="56" t="s">
        <v>413</v>
      </c>
      <c r="K236" s="56" t="s">
        <v>367</v>
      </c>
      <c r="L236" s="56" t="s">
        <v>368</v>
      </c>
      <c r="M236" s="59"/>
      <c r="N236" s="58">
        <v>2.0</v>
      </c>
      <c r="O236" s="56" t="s">
        <v>382</v>
      </c>
      <c r="P236" s="58">
        <v>0.0</v>
      </c>
      <c r="Q236" s="59"/>
      <c r="R236" s="56" t="s">
        <v>1817</v>
      </c>
      <c r="S236" s="59"/>
      <c r="T236" s="56" t="s">
        <v>372</v>
      </c>
      <c r="U236" s="61" t="s">
        <v>373</v>
      </c>
      <c r="V236" s="58" t="s">
        <v>1361</v>
      </c>
      <c r="X236" s="55" t="b">
        <f t="shared" si="1"/>
        <v>0</v>
      </c>
    </row>
    <row r="237" ht="15.0" customHeight="1">
      <c r="A237" s="56" t="s">
        <v>1818</v>
      </c>
      <c r="B237" s="56" t="s">
        <v>1819</v>
      </c>
      <c r="C237" s="57" t="s">
        <v>1820</v>
      </c>
      <c r="D237" s="58">
        <v>7.654800489E9</v>
      </c>
      <c r="E237" s="56" t="s">
        <v>525</v>
      </c>
      <c r="F237" s="56" t="s">
        <v>377</v>
      </c>
      <c r="G237" s="56" t="s">
        <v>1821</v>
      </c>
      <c r="H237" s="56" t="s">
        <v>399</v>
      </c>
      <c r="I237" s="56" t="s">
        <v>365</v>
      </c>
      <c r="J237" s="56" t="s">
        <v>1822</v>
      </c>
      <c r="K237" s="56" t="s">
        <v>367</v>
      </c>
      <c r="L237" s="56" t="s">
        <v>423</v>
      </c>
      <c r="M237" s="59"/>
      <c r="N237" s="59"/>
      <c r="O237" s="56" t="s">
        <v>1823</v>
      </c>
      <c r="P237" s="60">
        <v>46025.0</v>
      </c>
      <c r="Q237" s="56" t="s">
        <v>1824</v>
      </c>
      <c r="R237" s="56" t="s">
        <v>618</v>
      </c>
      <c r="S237" s="59"/>
      <c r="T237" s="56" t="s">
        <v>372</v>
      </c>
      <c r="U237" s="61" t="s">
        <v>373</v>
      </c>
      <c r="V237" s="58" t="s">
        <v>1825</v>
      </c>
      <c r="X237" s="55" t="b">
        <f t="shared" si="1"/>
        <v>0</v>
      </c>
    </row>
    <row r="238" ht="15.0" customHeight="1">
      <c r="A238" s="56" t="s">
        <v>316</v>
      </c>
      <c r="B238" s="56" t="s">
        <v>1826</v>
      </c>
      <c r="C238" s="57" t="s">
        <v>1827</v>
      </c>
      <c r="D238" s="58">
        <v>4.016421721E9</v>
      </c>
      <c r="E238" s="56" t="s">
        <v>1828</v>
      </c>
      <c r="F238" s="56" t="s">
        <v>459</v>
      </c>
      <c r="G238" s="56" t="s">
        <v>1829</v>
      </c>
      <c r="H238" s="56" t="s">
        <v>364</v>
      </c>
      <c r="I238" s="56" t="s">
        <v>380</v>
      </c>
      <c r="J238" s="56" t="s">
        <v>413</v>
      </c>
      <c r="K238" s="56" t="s">
        <v>392</v>
      </c>
      <c r="L238" s="56" t="s">
        <v>368</v>
      </c>
      <c r="M238" s="58">
        <v>2.0</v>
      </c>
      <c r="N238" s="59"/>
      <c r="O238" s="56" t="s">
        <v>382</v>
      </c>
      <c r="P238" s="56" t="s">
        <v>1206</v>
      </c>
      <c r="Q238" s="59"/>
      <c r="R238" s="56" t="s">
        <v>1830</v>
      </c>
      <c r="S238" s="59"/>
      <c r="T238" s="56" t="s">
        <v>393</v>
      </c>
      <c r="U238" s="61" t="s">
        <v>373</v>
      </c>
      <c r="V238" s="58" t="s">
        <v>1831</v>
      </c>
      <c r="X238" s="55" t="b">
        <f t="shared" si="1"/>
        <v>0</v>
      </c>
    </row>
    <row r="239" ht="15.0" customHeight="1">
      <c r="A239" s="56" t="s">
        <v>231</v>
      </c>
      <c r="B239" s="56" t="s">
        <v>1832</v>
      </c>
      <c r="C239" s="57" t="s">
        <v>1833</v>
      </c>
      <c r="D239" s="56" t="s">
        <v>1834</v>
      </c>
      <c r="E239" s="56" t="s">
        <v>511</v>
      </c>
      <c r="F239" s="56" t="s">
        <v>390</v>
      </c>
      <c r="G239" s="56" t="s">
        <v>1835</v>
      </c>
      <c r="H239" s="56" t="s">
        <v>399</v>
      </c>
      <c r="I239" s="56" t="s">
        <v>365</v>
      </c>
      <c r="J239" s="56" t="s">
        <v>413</v>
      </c>
      <c r="K239" s="56" t="s">
        <v>392</v>
      </c>
      <c r="L239" s="56" t="s">
        <v>368</v>
      </c>
      <c r="M239" s="59"/>
      <c r="N239" s="59"/>
      <c r="O239" s="56" t="s">
        <v>382</v>
      </c>
      <c r="P239" s="60">
        <v>46118.0</v>
      </c>
      <c r="Q239" s="56" t="s">
        <v>1836</v>
      </c>
      <c r="R239" s="56" t="s">
        <v>1837</v>
      </c>
      <c r="S239" s="59"/>
      <c r="T239" s="56" t="s">
        <v>393</v>
      </c>
      <c r="U239" s="61" t="s">
        <v>373</v>
      </c>
      <c r="V239" s="58" t="s">
        <v>1838</v>
      </c>
      <c r="X239" s="55" t="b">
        <f t="shared" si="1"/>
        <v>0</v>
      </c>
    </row>
    <row r="240" ht="15.0" customHeight="1">
      <c r="A240" s="56" t="s">
        <v>1839</v>
      </c>
      <c r="B240" s="56" t="s">
        <v>1840</v>
      </c>
      <c r="C240" s="57" t="s">
        <v>1841</v>
      </c>
      <c r="D240" s="58">
        <v>6.022928995E9</v>
      </c>
      <c r="E240" s="56" t="s">
        <v>525</v>
      </c>
      <c r="F240" s="56" t="s">
        <v>452</v>
      </c>
      <c r="G240" s="56" t="s">
        <v>1842</v>
      </c>
      <c r="H240" s="56" t="s">
        <v>364</v>
      </c>
      <c r="I240" s="56" t="s">
        <v>365</v>
      </c>
      <c r="J240" s="56" t="s">
        <v>413</v>
      </c>
      <c r="K240" s="56" t="s">
        <v>381</v>
      </c>
      <c r="L240" s="56" t="s">
        <v>368</v>
      </c>
      <c r="M240" s="58">
        <v>0.0</v>
      </c>
      <c r="N240" s="59"/>
      <c r="O240" s="56" t="s">
        <v>382</v>
      </c>
      <c r="P240" s="58">
        <v>0.0</v>
      </c>
      <c r="Q240" s="59"/>
      <c r="R240" s="56" t="s">
        <v>1843</v>
      </c>
      <c r="S240" s="59"/>
      <c r="T240" s="56" t="s">
        <v>385</v>
      </c>
      <c r="U240" s="61" t="s">
        <v>373</v>
      </c>
      <c r="V240" s="58" t="s">
        <v>1844</v>
      </c>
      <c r="X240" s="55" t="b">
        <f t="shared" si="1"/>
        <v>0</v>
      </c>
    </row>
    <row r="241" ht="15.0" customHeight="1">
      <c r="A241" s="56" t="s">
        <v>317</v>
      </c>
      <c r="B241" s="56" t="s">
        <v>1845</v>
      </c>
      <c r="C241" s="57" t="s">
        <v>1846</v>
      </c>
      <c r="D241" s="58">
        <v>7.138183511E9</v>
      </c>
      <c r="E241" s="56" t="s">
        <v>389</v>
      </c>
      <c r="F241" s="56" t="s">
        <v>390</v>
      </c>
      <c r="G241" s="56" t="s">
        <v>1847</v>
      </c>
      <c r="H241" s="56" t="s">
        <v>379</v>
      </c>
      <c r="I241" s="56" t="s">
        <v>412</v>
      </c>
      <c r="J241" s="56" t="s">
        <v>413</v>
      </c>
      <c r="K241" s="56" t="s">
        <v>400</v>
      </c>
      <c r="L241" s="56" t="s">
        <v>368</v>
      </c>
      <c r="M241" s="58">
        <v>0.0</v>
      </c>
      <c r="N241" s="59"/>
      <c r="O241" s="56" t="s">
        <v>414</v>
      </c>
      <c r="P241" s="60">
        <v>46025.0</v>
      </c>
      <c r="Q241" s="56" t="s">
        <v>1848</v>
      </c>
      <c r="R241" s="56" t="s">
        <v>1849</v>
      </c>
      <c r="S241" s="59"/>
      <c r="T241" s="56" t="s">
        <v>393</v>
      </c>
      <c r="U241" s="61" t="s">
        <v>373</v>
      </c>
      <c r="V241" s="58" t="s">
        <v>1850</v>
      </c>
      <c r="X241" s="55" t="b">
        <f t="shared" si="1"/>
        <v>0</v>
      </c>
    </row>
    <row r="242" ht="15.0" customHeight="1">
      <c r="A242" s="56" t="s">
        <v>1851</v>
      </c>
      <c r="B242" s="56" t="s">
        <v>1852</v>
      </c>
      <c r="C242" s="57" t="s">
        <v>1853</v>
      </c>
      <c r="D242" s="56" t="s">
        <v>1854</v>
      </c>
      <c r="E242" s="56" t="s">
        <v>389</v>
      </c>
      <c r="F242" s="56" t="s">
        <v>390</v>
      </c>
      <c r="G242" s="56" t="s">
        <v>1855</v>
      </c>
      <c r="H242" s="56" t="s">
        <v>364</v>
      </c>
      <c r="I242" s="56" t="s">
        <v>380</v>
      </c>
      <c r="J242" s="56" t="s">
        <v>413</v>
      </c>
      <c r="K242" s="56" t="s">
        <v>381</v>
      </c>
      <c r="L242" s="56" t="s">
        <v>423</v>
      </c>
      <c r="M242" s="58">
        <v>0.0</v>
      </c>
      <c r="N242" s="59"/>
      <c r="O242" s="56" t="s">
        <v>382</v>
      </c>
      <c r="P242" s="60">
        <v>46025.0</v>
      </c>
      <c r="Q242" s="56" t="s">
        <v>1856</v>
      </c>
      <c r="R242" s="56" t="s">
        <v>1857</v>
      </c>
      <c r="S242" s="59"/>
      <c r="T242" s="56" t="s">
        <v>385</v>
      </c>
      <c r="U242" s="61" t="s">
        <v>373</v>
      </c>
      <c r="V242" s="58" t="s">
        <v>1858</v>
      </c>
      <c r="X242" s="55" t="b">
        <f t="shared" si="1"/>
        <v>0</v>
      </c>
    </row>
    <row r="243" ht="15.0" customHeight="1">
      <c r="A243" s="56" t="s">
        <v>235</v>
      </c>
      <c r="B243" s="56" t="s">
        <v>1859</v>
      </c>
      <c r="C243" s="57" t="s">
        <v>1860</v>
      </c>
      <c r="D243" s="56" t="s">
        <v>1861</v>
      </c>
      <c r="E243" s="56" t="s">
        <v>361</v>
      </c>
      <c r="F243" s="56" t="s">
        <v>377</v>
      </c>
      <c r="G243" s="56" t="s">
        <v>1300</v>
      </c>
      <c r="H243" s="56" t="s">
        <v>364</v>
      </c>
      <c r="I243" s="56" t="s">
        <v>412</v>
      </c>
      <c r="J243" s="56" t="s">
        <v>366</v>
      </c>
      <c r="K243" s="56" t="s">
        <v>367</v>
      </c>
      <c r="L243" s="56" t="s">
        <v>368</v>
      </c>
      <c r="M243" s="59"/>
      <c r="N243" s="59"/>
      <c r="O243" s="56" t="s">
        <v>382</v>
      </c>
      <c r="P243" s="60">
        <v>46025.0</v>
      </c>
      <c r="Q243" s="56" t="s">
        <v>1862</v>
      </c>
      <c r="R243" s="56" t="s">
        <v>1863</v>
      </c>
      <c r="S243" s="59"/>
      <c r="T243" s="56" t="s">
        <v>372</v>
      </c>
      <c r="U243" s="61" t="s">
        <v>373</v>
      </c>
      <c r="V243" s="58" t="s">
        <v>1864</v>
      </c>
      <c r="X243" s="55" t="b">
        <f t="shared" si="1"/>
        <v>0</v>
      </c>
    </row>
    <row r="244" ht="15.0" customHeight="1">
      <c r="A244" s="56" t="s">
        <v>236</v>
      </c>
      <c r="B244" s="56" t="s">
        <v>1865</v>
      </c>
      <c r="C244" s="57" t="s">
        <v>1866</v>
      </c>
      <c r="D244" s="56" t="s">
        <v>1867</v>
      </c>
      <c r="E244" s="56" t="s">
        <v>361</v>
      </c>
      <c r="F244" s="56" t="s">
        <v>377</v>
      </c>
      <c r="G244" s="56" t="s">
        <v>377</v>
      </c>
      <c r="H244" s="56" t="s">
        <v>364</v>
      </c>
      <c r="I244" s="56" t="s">
        <v>365</v>
      </c>
      <c r="J244" s="56" t="s">
        <v>513</v>
      </c>
      <c r="K244" s="56" t="s">
        <v>400</v>
      </c>
      <c r="L244" s="56" t="s">
        <v>368</v>
      </c>
      <c r="M244" s="58">
        <v>0.0</v>
      </c>
      <c r="N244" s="58">
        <v>0.0</v>
      </c>
      <c r="O244" s="56" t="s">
        <v>382</v>
      </c>
      <c r="P244" s="58">
        <v>0.0</v>
      </c>
      <c r="Q244" s="56" t="s">
        <v>1868</v>
      </c>
      <c r="R244" s="56" t="s">
        <v>1869</v>
      </c>
      <c r="S244" s="59"/>
      <c r="T244" s="56" t="s">
        <v>393</v>
      </c>
      <c r="U244" s="61" t="s">
        <v>373</v>
      </c>
      <c r="V244" s="58" t="s">
        <v>1870</v>
      </c>
      <c r="X244" s="55" t="b">
        <f t="shared" si="1"/>
        <v>1</v>
      </c>
    </row>
    <row r="245" ht="15.0" customHeight="1">
      <c r="A245" s="56" t="s">
        <v>237</v>
      </c>
      <c r="B245" s="56" t="s">
        <v>1871</v>
      </c>
      <c r="C245" s="57" t="s">
        <v>1872</v>
      </c>
      <c r="D245" s="58">
        <v>5.095531739E9</v>
      </c>
      <c r="E245" s="56" t="s">
        <v>361</v>
      </c>
      <c r="F245" s="56" t="s">
        <v>452</v>
      </c>
      <c r="G245" s="56" t="s">
        <v>1315</v>
      </c>
      <c r="H245" s="56" t="s">
        <v>364</v>
      </c>
      <c r="I245" s="56" t="s">
        <v>365</v>
      </c>
      <c r="J245" s="56" t="s">
        <v>513</v>
      </c>
      <c r="K245" s="56" t="s">
        <v>400</v>
      </c>
      <c r="L245" s="56" t="s">
        <v>368</v>
      </c>
      <c r="M245" s="59"/>
      <c r="N245" s="59"/>
      <c r="O245" s="56" t="s">
        <v>382</v>
      </c>
      <c r="P245" s="60">
        <v>46025.0</v>
      </c>
      <c r="Q245" s="56" t="s">
        <v>1873</v>
      </c>
      <c r="R245" s="56" t="s">
        <v>1874</v>
      </c>
      <c r="S245" s="59"/>
      <c r="T245" s="56" t="s">
        <v>393</v>
      </c>
      <c r="U245" s="61" t="s">
        <v>373</v>
      </c>
      <c r="V245" s="58" t="s">
        <v>1875</v>
      </c>
      <c r="X245" s="55" t="b">
        <f t="shared" si="1"/>
        <v>1</v>
      </c>
    </row>
    <row r="246" ht="15.0" customHeight="1">
      <c r="A246" s="56" t="s">
        <v>238</v>
      </c>
      <c r="B246" s="56" t="s">
        <v>1876</v>
      </c>
      <c r="C246" s="57" t="s">
        <v>1877</v>
      </c>
      <c r="D246" s="56" t="s">
        <v>1878</v>
      </c>
      <c r="E246" s="56" t="s">
        <v>1061</v>
      </c>
      <c r="F246" s="56" t="s">
        <v>459</v>
      </c>
      <c r="G246" s="56" t="s">
        <v>1879</v>
      </c>
      <c r="H246" s="56" t="s">
        <v>379</v>
      </c>
      <c r="I246" s="56" t="s">
        <v>1791</v>
      </c>
      <c r="J246" s="56" t="s">
        <v>413</v>
      </c>
      <c r="K246" s="56" t="s">
        <v>381</v>
      </c>
      <c r="L246" s="56" t="s">
        <v>368</v>
      </c>
      <c r="M246" s="58">
        <v>1.0</v>
      </c>
      <c r="N246" s="58">
        <v>1.0</v>
      </c>
      <c r="O246" s="56" t="s">
        <v>382</v>
      </c>
      <c r="P246" s="60">
        <v>46025.0</v>
      </c>
      <c r="Q246" s="59"/>
      <c r="R246" s="56" t="s">
        <v>1880</v>
      </c>
      <c r="S246" s="59"/>
      <c r="T246" s="56" t="s">
        <v>385</v>
      </c>
      <c r="U246" s="61" t="s">
        <v>394</v>
      </c>
      <c r="V246" s="58" t="s">
        <v>1881</v>
      </c>
      <c r="X246" s="55" t="b">
        <f t="shared" si="1"/>
        <v>0</v>
      </c>
    </row>
    <row r="247" ht="15.0" customHeight="1">
      <c r="A247" s="56" t="s">
        <v>1882</v>
      </c>
      <c r="B247" s="56" t="s">
        <v>1883</v>
      </c>
      <c r="C247" s="57" t="s">
        <v>1884</v>
      </c>
      <c r="D247" s="56" t="s">
        <v>1885</v>
      </c>
      <c r="E247" s="56" t="s">
        <v>1886</v>
      </c>
      <c r="F247" s="56" t="s">
        <v>421</v>
      </c>
      <c r="G247" s="56" t="s">
        <v>1887</v>
      </c>
      <c r="H247" s="56" t="s">
        <v>399</v>
      </c>
      <c r="I247" s="56" t="s">
        <v>380</v>
      </c>
      <c r="J247" s="56" t="s">
        <v>513</v>
      </c>
      <c r="K247" s="56" t="s">
        <v>1888</v>
      </c>
      <c r="L247" s="56" t="s">
        <v>368</v>
      </c>
      <c r="M247" s="58">
        <v>0.0</v>
      </c>
      <c r="N247" s="58">
        <v>0.0</v>
      </c>
      <c r="O247" s="56" t="s">
        <v>1889</v>
      </c>
      <c r="P247" s="60">
        <v>46025.0</v>
      </c>
      <c r="Q247" s="56" t="s">
        <v>1890</v>
      </c>
      <c r="R247" s="59"/>
      <c r="S247" s="59"/>
      <c r="T247" s="56" t="s">
        <v>372</v>
      </c>
      <c r="U247" s="61" t="s">
        <v>373</v>
      </c>
      <c r="V247" s="58" t="s">
        <v>1891</v>
      </c>
      <c r="X247" s="55" t="b">
        <f t="shared" si="1"/>
        <v>1</v>
      </c>
    </row>
    <row r="248" ht="15.0" customHeight="1">
      <c r="A248" s="56" t="s">
        <v>1892</v>
      </c>
      <c r="B248" s="56" t="s">
        <v>1893</v>
      </c>
      <c r="C248" s="57" t="s">
        <v>1894</v>
      </c>
      <c r="D248" s="58">
        <v>7.134498967E9</v>
      </c>
      <c r="E248" s="56" t="s">
        <v>1895</v>
      </c>
      <c r="F248" s="56" t="s">
        <v>390</v>
      </c>
      <c r="G248" s="56" t="s">
        <v>1896</v>
      </c>
      <c r="H248" s="56" t="s">
        <v>379</v>
      </c>
      <c r="I248" s="56" t="s">
        <v>365</v>
      </c>
      <c r="J248" s="56" t="s">
        <v>366</v>
      </c>
      <c r="K248" s="56" t="s">
        <v>367</v>
      </c>
      <c r="L248" s="56" t="s">
        <v>368</v>
      </c>
      <c r="M248" s="58">
        <v>2.0</v>
      </c>
      <c r="N248" s="59"/>
      <c r="O248" s="56" t="s">
        <v>382</v>
      </c>
      <c r="P248" s="60">
        <v>46025.0</v>
      </c>
      <c r="Q248" s="56" t="s">
        <v>1897</v>
      </c>
      <c r="R248" s="56" t="s">
        <v>1898</v>
      </c>
      <c r="S248" s="59"/>
      <c r="T248" s="56" t="s">
        <v>372</v>
      </c>
      <c r="U248" s="61" t="s">
        <v>373</v>
      </c>
      <c r="V248" s="58" t="s">
        <v>1899</v>
      </c>
      <c r="X248" s="55" t="b">
        <f t="shared" si="1"/>
        <v>0</v>
      </c>
    </row>
    <row r="249" ht="15.0" customHeight="1">
      <c r="A249" s="56" t="s">
        <v>240</v>
      </c>
      <c r="B249" s="56" t="s">
        <v>1900</v>
      </c>
      <c r="C249" s="57" t="s">
        <v>1901</v>
      </c>
      <c r="D249" s="56" t="s">
        <v>1902</v>
      </c>
      <c r="E249" s="56" t="s">
        <v>361</v>
      </c>
      <c r="F249" s="56" t="s">
        <v>390</v>
      </c>
      <c r="G249" s="56" t="s">
        <v>676</v>
      </c>
      <c r="H249" s="56" t="s">
        <v>379</v>
      </c>
      <c r="I249" s="56" t="s">
        <v>365</v>
      </c>
      <c r="J249" s="56" t="s">
        <v>366</v>
      </c>
      <c r="K249" s="56" t="s">
        <v>483</v>
      </c>
      <c r="L249" s="56" t="s">
        <v>368</v>
      </c>
      <c r="M249" s="59"/>
      <c r="N249" s="59"/>
      <c r="O249" s="56" t="s">
        <v>382</v>
      </c>
      <c r="P249" s="60">
        <v>46025.0</v>
      </c>
      <c r="Q249" s="56" t="s">
        <v>1903</v>
      </c>
      <c r="R249" s="56" t="s">
        <v>1904</v>
      </c>
      <c r="S249" s="59"/>
      <c r="T249" s="56" t="s">
        <v>385</v>
      </c>
      <c r="U249" s="61" t="s">
        <v>373</v>
      </c>
      <c r="V249" s="58" t="s">
        <v>1905</v>
      </c>
      <c r="X249" s="55" t="b">
        <f t="shared" si="1"/>
        <v>0</v>
      </c>
    </row>
    <row r="250" ht="15.0" customHeight="1">
      <c r="A250" s="56" t="s">
        <v>1906</v>
      </c>
      <c r="B250" s="56" t="s">
        <v>1907</v>
      </c>
      <c r="C250" s="57" t="s">
        <v>1908</v>
      </c>
      <c r="D250" s="58">
        <v>4.0759081E9</v>
      </c>
      <c r="E250" s="56" t="s">
        <v>361</v>
      </c>
      <c r="F250" s="56" t="s">
        <v>452</v>
      </c>
      <c r="G250" s="56" t="s">
        <v>452</v>
      </c>
      <c r="H250" s="56" t="s">
        <v>364</v>
      </c>
      <c r="I250" s="56" t="s">
        <v>365</v>
      </c>
      <c r="J250" s="56" t="s">
        <v>366</v>
      </c>
      <c r="K250" s="56" t="s">
        <v>367</v>
      </c>
      <c r="L250" s="56" t="s">
        <v>423</v>
      </c>
      <c r="M250" s="59"/>
      <c r="N250" s="58">
        <v>1.0</v>
      </c>
      <c r="O250" s="56" t="s">
        <v>382</v>
      </c>
      <c r="P250" s="60">
        <v>46025.0</v>
      </c>
      <c r="Q250" s="56" t="s">
        <v>1909</v>
      </c>
      <c r="R250" s="56" t="s">
        <v>636</v>
      </c>
      <c r="S250" s="59"/>
      <c r="T250" s="56" t="s">
        <v>372</v>
      </c>
      <c r="U250" s="61" t="s">
        <v>373</v>
      </c>
      <c r="V250" s="58" t="s">
        <v>1910</v>
      </c>
      <c r="X250" s="55" t="b">
        <f t="shared" si="1"/>
        <v>0</v>
      </c>
    </row>
    <row r="251" ht="15.0" customHeight="1">
      <c r="A251" s="63" t="s">
        <v>1911</v>
      </c>
      <c r="B251" s="63" t="s">
        <v>1912</v>
      </c>
      <c r="C251" s="53" t="s">
        <v>1913</v>
      </c>
      <c r="D251" s="64">
        <v>4.325597698E9</v>
      </c>
      <c r="E251" s="63" t="s">
        <v>361</v>
      </c>
      <c r="F251" s="63" t="s">
        <v>377</v>
      </c>
      <c r="G251" s="63" t="s">
        <v>1914</v>
      </c>
      <c r="H251" s="63" t="s">
        <v>379</v>
      </c>
      <c r="I251" s="63" t="s">
        <v>365</v>
      </c>
      <c r="J251" s="63" t="s">
        <v>366</v>
      </c>
      <c r="K251" s="63" t="s">
        <v>381</v>
      </c>
      <c r="L251" s="63" t="s">
        <v>368</v>
      </c>
      <c r="M251" s="65"/>
      <c r="N251" s="65"/>
      <c r="O251" s="63" t="s">
        <v>382</v>
      </c>
      <c r="P251" s="66">
        <v>46025.0</v>
      </c>
      <c r="Q251" s="63" t="s">
        <v>1915</v>
      </c>
      <c r="R251" s="63" t="s">
        <v>1916</v>
      </c>
      <c r="S251" s="65"/>
      <c r="T251" s="63" t="s">
        <v>385</v>
      </c>
      <c r="U251" s="67" t="s">
        <v>373</v>
      </c>
      <c r="V251" s="64" t="s">
        <v>977</v>
      </c>
      <c r="X251" s="55" t="b">
        <f t="shared" si="1"/>
        <v>0</v>
      </c>
    </row>
    <row r="252" ht="15.0" customHeight="1">
      <c r="A252" s="56" t="s">
        <v>1917</v>
      </c>
      <c r="B252" s="56" t="s">
        <v>1918</v>
      </c>
      <c r="C252" s="57" t="s">
        <v>1919</v>
      </c>
      <c r="D252" s="58">
        <v>4.233641905E9</v>
      </c>
      <c r="E252" s="56" t="s">
        <v>1920</v>
      </c>
      <c r="F252" s="56" t="s">
        <v>377</v>
      </c>
      <c r="G252" s="56" t="s">
        <v>702</v>
      </c>
      <c r="H252" s="56" t="s">
        <v>379</v>
      </c>
      <c r="I252" s="56" t="s">
        <v>365</v>
      </c>
      <c r="J252" s="56" t="s">
        <v>366</v>
      </c>
      <c r="K252" s="56" t="s">
        <v>561</v>
      </c>
      <c r="L252" s="56" t="s">
        <v>368</v>
      </c>
      <c r="M252" s="59"/>
      <c r="N252" s="59"/>
      <c r="O252" s="56" t="s">
        <v>382</v>
      </c>
      <c r="P252" s="58">
        <v>0.0</v>
      </c>
      <c r="Q252" s="59"/>
      <c r="R252" s="56" t="s">
        <v>1263</v>
      </c>
      <c r="S252" s="59"/>
      <c r="T252" s="56" t="s">
        <v>372</v>
      </c>
      <c r="U252" s="61" t="s">
        <v>373</v>
      </c>
      <c r="V252" s="58" t="s">
        <v>1921</v>
      </c>
      <c r="X252" s="55" t="b">
        <f t="shared" si="1"/>
        <v>0</v>
      </c>
    </row>
    <row r="253" ht="15.0" customHeight="1">
      <c r="A253" s="56" t="s">
        <v>1316</v>
      </c>
      <c r="B253" s="56" t="s">
        <v>1922</v>
      </c>
      <c r="C253" s="57" t="s">
        <v>1923</v>
      </c>
      <c r="D253" s="58">
        <v>6.513070127E9</v>
      </c>
      <c r="E253" s="56" t="s">
        <v>587</v>
      </c>
      <c r="F253" s="56" t="s">
        <v>410</v>
      </c>
      <c r="G253" s="56" t="s">
        <v>1924</v>
      </c>
      <c r="H253" s="56" t="s">
        <v>399</v>
      </c>
      <c r="I253" s="56" t="s">
        <v>365</v>
      </c>
      <c r="J253" s="56" t="s">
        <v>366</v>
      </c>
      <c r="K253" s="56" t="s">
        <v>367</v>
      </c>
      <c r="L253" s="56" t="s">
        <v>368</v>
      </c>
      <c r="M253" s="59"/>
      <c r="N253" s="59"/>
      <c r="O253" s="56" t="s">
        <v>382</v>
      </c>
      <c r="P253" s="60">
        <v>46118.0</v>
      </c>
      <c r="Q253" s="56" t="s">
        <v>1922</v>
      </c>
      <c r="R253" s="56" t="s">
        <v>1001</v>
      </c>
      <c r="S253" s="59"/>
      <c r="T253" s="56" t="s">
        <v>372</v>
      </c>
      <c r="U253" s="61" t="s">
        <v>373</v>
      </c>
      <c r="V253" s="58" t="s">
        <v>1925</v>
      </c>
      <c r="X253" s="55" t="b">
        <f t="shared" si="1"/>
        <v>0</v>
      </c>
    </row>
    <row r="254" ht="15.0" customHeight="1">
      <c r="A254" s="56" t="s">
        <v>1926</v>
      </c>
      <c r="B254" s="56" t="s">
        <v>1927</v>
      </c>
      <c r="C254" s="57" t="s">
        <v>1928</v>
      </c>
      <c r="D254" s="58">
        <v>8.325796222E9</v>
      </c>
      <c r="E254" s="56" t="s">
        <v>552</v>
      </c>
      <c r="F254" s="56" t="s">
        <v>410</v>
      </c>
      <c r="G254" s="56" t="s">
        <v>1080</v>
      </c>
      <c r="H254" s="56" t="s">
        <v>364</v>
      </c>
      <c r="I254" s="56" t="s">
        <v>520</v>
      </c>
      <c r="J254" s="56" t="s">
        <v>513</v>
      </c>
      <c r="K254" s="56" t="s">
        <v>381</v>
      </c>
      <c r="L254" s="56" t="s">
        <v>423</v>
      </c>
      <c r="M254" s="59"/>
      <c r="N254" s="59"/>
      <c r="O254" s="56" t="s">
        <v>382</v>
      </c>
      <c r="P254" s="60">
        <v>46025.0</v>
      </c>
      <c r="Q254" s="56" t="s">
        <v>1929</v>
      </c>
      <c r="R254" s="56" t="s">
        <v>1930</v>
      </c>
      <c r="S254" s="59"/>
      <c r="T254" s="56" t="s">
        <v>385</v>
      </c>
      <c r="U254" s="61" t="s">
        <v>373</v>
      </c>
      <c r="V254" s="58" t="s">
        <v>1931</v>
      </c>
      <c r="X254" s="55" t="b">
        <f t="shared" si="1"/>
        <v>1</v>
      </c>
    </row>
    <row r="255" ht="15.0" customHeight="1">
      <c r="A255" s="56" t="s">
        <v>1932</v>
      </c>
      <c r="B255" s="56" t="s">
        <v>1933</v>
      </c>
      <c r="C255" s="57" t="s">
        <v>1934</v>
      </c>
      <c r="D255" s="58">
        <v>4.696703398E9</v>
      </c>
      <c r="E255" s="56" t="s">
        <v>511</v>
      </c>
      <c r="F255" s="56" t="s">
        <v>390</v>
      </c>
      <c r="G255" s="56" t="s">
        <v>391</v>
      </c>
      <c r="H255" s="56" t="s">
        <v>379</v>
      </c>
      <c r="I255" s="56" t="s">
        <v>380</v>
      </c>
      <c r="J255" s="56" t="s">
        <v>366</v>
      </c>
      <c r="K255" s="56" t="s">
        <v>381</v>
      </c>
      <c r="L255" s="56" t="s">
        <v>368</v>
      </c>
      <c r="M255" s="58">
        <v>2.0</v>
      </c>
      <c r="N255" s="58">
        <v>2.0</v>
      </c>
      <c r="O255" s="56" t="s">
        <v>382</v>
      </c>
      <c r="P255" s="60">
        <v>46025.0</v>
      </c>
      <c r="Q255" s="56" t="s">
        <v>1935</v>
      </c>
      <c r="R255" s="56" t="s">
        <v>1936</v>
      </c>
      <c r="S255" s="59"/>
      <c r="T255" s="56" t="s">
        <v>385</v>
      </c>
      <c r="U255" s="61" t="s">
        <v>373</v>
      </c>
      <c r="V255" s="58" t="s">
        <v>1937</v>
      </c>
      <c r="X255" s="55" t="b">
        <f t="shared" si="1"/>
        <v>0</v>
      </c>
    </row>
    <row r="256" ht="15.0" customHeight="1">
      <c r="A256" s="56" t="s">
        <v>243</v>
      </c>
      <c r="B256" s="56" t="s">
        <v>1938</v>
      </c>
      <c r="C256" s="57" t="s">
        <v>1939</v>
      </c>
      <c r="D256" s="58">
        <v>4.704187994E9</v>
      </c>
      <c r="E256" s="56" t="s">
        <v>361</v>
      </c>
      <c r="F256" s="56" t="s">
        <v>377</v>
      </c>
      <c r="G256" s="56" t="s">
        <v>377</v>
      </c>
      <c r="H256" s="56" t="s">
        <v>364</v>
      </c>
      <c r="I256" s="56" t="s">
        <v>365</v>
      </c>
      <c r="J256" s="56" t="s">
        <v>513</v>
      </c>
      <c r="K256" s="56" t="s">
        <v>400</v>
      </c>
      <c r="L256" s="56" t="s">
        <v>368</v>
      </c>
      <c r="M256" s="59"/>
      <c r="N256" s="59"/>
      <c r="O256" s="56" t="s">
        <v>368</v>
      </c>
      <c r="P256" s="60">
        <v>46025.0</v>
      </c>
      <c r="Q256" s="59"/>
      <c r="R256" s="56" t="s">
        <v>803</v>
      </c>
      <c r="S256" s="59"/>
      <c r="T256" s="56" t="s">
        <v>393</v>
      </c>
      <c r="U256" s="61" t="s">
        <v>373</v>
      </c>
      <c r="V256" s="58" t="s">
        <v>996</v>
      </c>
      <c r="X256" s="55" t="b">
        <f t="shared" si="1"/>
        <v>1</v>
      </c>
    </row>
    <row r="257" ht="15.0" customHeight="1">
      <c r="A257" s="56" t="s">
        <v>244</v>
      </c>
      <c r="B257" s="56" t="s">
        <v>1940</v>
      </c>
      <c r="C257" s="57" t="s">
        <v>1941</v>
      </c>
      <c r="D257" s="58">
        <v>2.105224791E9</v>
      </c>
      <c r="E257" s="56" t="s">
        <v>1942</v>
      </c>
      <c r="F257" s="56" t="s">
        <v>452</v>
      </c>
      <c r="G257" s="56" t="s">
        <v>1943</v>
      </c>
      <c r="H257" s="56" t="s">
        <v>399</v>
      </c>
      <c r="I257" s="56" t="s">
        <v>365</v>
      </c>
      <c r="J257" s="56" t="s">
        <v>366</v>
      </c>
      <c r="K257" s="56" t="s">
        <v>400</v>
      </c>
      <c r="L257" s="56" t="s">
        <v>368</v>
      </c>
      <c r="M257" s="58">
        <v>1.0</v>
      </c>
      <c r="N257" s="59"/>
      <c r="O257" s="56" t="s">
        <v>382</v>
      </c>
      <c r="P257" s="60">
        <v>46118.0</v>
      </c>
      <c r="Q257" s="59"/>
      <c r="R257" s="56" t="s">
        <v>1569</v>
      </c>
      <c r="S257" s="59"/>
      <c r="T257" s="56" t="s">
        <v>393</v>
      </c>
      <c r="U257" s="61" t="s">
        <v>373</v>
      </c>
      <c r="V257" s="58" t="s">
        <v>1944</v>
      </c>
      <c r="X257" s="55" t="b">
        <f t="shared" si="1"/>
        <v>0</v>
      </c>
    </row>
    <row r="258" ht="15.0" customHeight="1">
      <c r="A258" s="56" t="s">
        <v>1945</v>
      </c>
      <c r="B258" s="56" t="s">
        <v>1946</v>
      </c>
      <c r="C258" s="57" t="s">
        <v>1947</v>
      </c>
      <c r="D258" s="58">
        <v>6.164018532E9</v>
      </c>
      <c r="E258" s="56" t="s">
        <v>1948</v>
      </c>
      <c r="F258" s="56" t="s">
        <v>634</v>
      </c>
      <c r="G258" s="56" t="s">
        <v>436</v>
      </c>
      <c r="H258" s="56" t="s">
        <v>379</v>
      </c>
      <c r="I258" s="56" t="s">
        <v>405</v>
      </c>
      <c r="J258" s="56" t="s">
        <v>413</v>
      </c>
      <c r="K258" s="56" t="s">
        <v>381</v>
      </c>
      <c r="L258" s="56" t="s">
        <v>423</v>
      </c>
      <c r="M258" s="58">
        <v>1.0</v>
      </c>
      <c r="N258" s="58">
        <v>1.0</v>
      </c>
      <c r="O258" s="56" t="s">
        <v>382</v>
      </c>
      <c r="P258" s="60">
        <v>46025.0</v>
      </c>
      <c r="Q258" s="62" t="s">
        <v>1949</v>
      </c>
      <c r="R258" s="59"/>
      <c r="S258" s="59"/>
      <c r="T258" s="56" t="s">
        <v>385</v>
      </c>
      <c r="U258" s="61" t="s">
        <v>394</v>
      </c>
      <c r="V258" s="58" t="s">
        <v>1950</v>
      </c>
      <c r="X258" s="55" t="b">
        <f t="shared" si="1"/>
        <v>0</v>
      </c>
    </row>
    <row r="259" ht="15.0" customHeight="1">
      <c r="A259" s="56" t="s">
        <v>245</v>
      </c>
      <c r="B259" s="56" t="s">
        <v>1951</v>
      </c>
      <c r="C259" s="57" t="s">
        <v>1952</v>
      </c>
      <c r="D259" s="58">
        <v>2.146904261E9</v>
      </c>
      <c r="E259" s="56" t="s">
        <v>361</v>
      </c>
      <c r="F259" s="56" t="s">
        <v>377</v>
      </c>
      <c r="G259" s="56" t="s">
        <v>377</v>
      </c>
      <c r="H259" s="56" t="s">
        <v>364</v>
      </c>
      <c r="I259" s="56" t="s">
        <v>365</v>
      </c>
      <c r="J259" s="56" t="s">
        <v>366</v>
      </c>
      <c r="K259" s="56" t="s">
        <v>367</v>
      </c>
      <c r="L259" s="56" t="s">
        <v>368</v>
      </c>
      <c r="M259" s="59"/>
      <c r="N259" s="59"/>
      <c r="O259" s="56" t="s">
        <v>382</v>
      </c>
      <c r="P259" s="58">
        <v>0.0</v>
      </c>
      <c r="Q259" s="56" t="s">
        <v>1953</v>
      </c>
      <c r="R259" s="56" t="s">
        <v>1898</v>
      </c>
      <c r="S259" s="59"/>
      <c r="T259" s="56" t="s">
        <v>372</v>
      </c>
      <c r="U259" s="61" t="s">
        <v>394</v>
      </c>
      <c r="V259" s="58" t="s">
        <v>1954</v>
      </c>
      <c r="X259" s="55" t="b">
        <f t="shared" si="1"/>
        <v>0</v>
      </c>
    </row>
    <row r="260" ht="15.0" customHeight="1">
      <c r="A260" s="56" t="s">
        <v>321</v>
      </c>
      <c r="B260" s="56" t="s">
        <v>1955</v>
      </c>
      <c r="C260" s="57" t="s">
        <v>1956</v>
      </c>
      <c r="D260" s="58">
        <v>7.138182653E9</v>
      </c>
      <c r="E260" s="56" t="s">
        <v>1957</v>
      </c>
      <c r="F260" s="56" t="s">
        <v>390</v>
      </c>
      <c r="G260" s="56" t="s">
        <v>1958</v>
      </c>
      <c r="H260" s="56" t="s">
        <v>399</v>
      </c>
      <c r="I260" s="56" t="s">
        <v>667</v>
      </c>
      <c r="J260" s="56" t="s">
        <v>413</v>
      </c>
      <c r="K260" s="56" t="s">
        <v>483</v>
      </c>
      <c r="L260" s="56" t="s">
        <v>423</v>
      </c>
      <c r="M260" s="58">
        <v>1.0</v>
      </c>
      <c r="N260" s="58">
        <v>2.0</v>
      </c>
      <c r="O260" s="56" t="s">
        <v>382</v>
      </c>
      <c r="P260" s="60">
        <v>46025.0</v>
      </c>
      <c r="Q260" s="56" t="s">
        <v>1959</v>
      </c>
      <c r="R260" s="56" t="s">
        <v>1960</v>
      </c>
      <c r="S260" s="59"/>
      <c r="T260" s="56" t="s">
        <v>385</v>
      </c>
      <c r="U260" s="61" t="s">
        <v>373</v>
      </c>
      <c r="V260" s="58" t="s">
        <v>1961</v>
      </c>
      <c r="X260" s="55" t="b">
        <f t="shared" si="1"/>
        <v>0</v>
      </c>
    </row>
    <row r="261" ht="15.0" customHeight="1">
      <c r="A261" s="56" t="s">
        <v>1962</v>
      </c>
      <c r="B261" s="56" t="s">
        <v>1963</v>
      </c>
      <c r="C261" s="57" t="s">
        <v>1964</v>
      </c>
      <c r="D261" s="56" t="s">
        <v>1965</v>
      </c>
      <c r="E261" s="56" t="s">
        <v>835</v>
      </c>
      <c r="F261" s="56" t="s">
        <v>377</v>
      </c>
      <c r="G261" s="56" t="s">
        <v>377</v>
      </c>
      <c r="H261" s="56" t="s">
        <v>379</v>
      </c>
      <c r="I261" s="56" t="s">
        <v>412</v>
      </c>
      <c r="J261" s="56" t="s">
        <v>413</v>
      </c>
      <c r="K261" s="56" t="s">
        <v>381</v>
      </c>
      <c r="L261" s="56" t="s">
        <v>368</v>
      </c>
      <c r="M261" s="59"/>
      <c r="N261" s="59"/>
      <c r="O261" s="56" t="s">
        <v>414</v>
      </c>
      <c r="P261" s="58">
        <v>0.0</v>
      </c>
      <c r="Q261" s="56" t="s">
        <v>1966</v>
      </c>
      <c r="R261" s="56" t="s">
        <v>1967</v>
      </c>
      <c r="S261" s="59"/>
      <c r="T261" s="56" t="s">
        <v>385</v>
      </c>
      <c r="U261" s="61" t="s">
        <v>373</v>
      </c>
      <c r="V261" s="58" t="s">
        <v>1968</v>
      </c>
      <c r="X261" s="55" t="b">
        <f t="shared" si="1"/>
        <v>0</v>
      </c>
    </row>
    <row r="262" ht="15.0" customHeight="1">
      <c r="A262" s="56" t="s">
        <v>250</v>
      </c>
      <c r="B262" s="56" t="s">
        <v>1969</v>
      </c>
      <c r="C262" s="57" t="s">
        <v>1970</v>
      </c>
      <c r="D262" s="56" t="s">
        <v>1971</v>
      </c>
      <c r="E262" s="56" t="s">
        <v>511</v>
      </c>
      <c r="F262" s="56" t="s">
        <v>377</v>
      </c>
      <c r="G262" s="56" t="s">
        <v>1370</v>
      </c>
      <c r="H262" s="56" t="s">
        <v>364</v>
      </c>
      <c r="I262" s="56" t="s">
        <v>365</v>
      </c>
      <c r="J262" s="56" t="s">
        <v>413</v>
      </c>
      <c r="K262" s="56" t="s">
        <v>400</v>
      </c>
      <c r="L262" s="56" t="s">
        <v>423</v>
      </c>
      <c r="M262" s="58">
        <v>0.0</v>
      </c>
      <c r="N262" s="59"/>
      <c r="O262" s="56" t="s">
        <v>414</v>
      </c>
      <c r="P262" s="58">
        <v>0.0</v>
      </c>
      <c r="Q262" s="59"/>
      <c r="R262" s="56" t="s">
        <v>1972</v>
      </c>
      <c r="S262" s="59"/>
      <c r="T262" s="56" t="s">
        <v>393</v>
      </c>
      <c r="U262" s="61" t="s">
        <v>373</v>
      </c>
      <c r="V262" s="58" t="s">
        <v>1973</v>
      </c>
      <c r="X262" s="55" t="b">
        <f t="shared" si="1"/>
        <v>0</v>
      </c>
    </row>
    <row r="263" ht="15.0" customHeight="1">
      <c r="A263" s="56" t="s">
        <v>251</v>
      </c>
      <c r="B263" s="56" t="s">
        <v>1974</v>
      </c>
      <c r="C263" s="57" t="s">
        <v>1975</v>
      </c>
      <c r="D263" s="58">
        <v>3.466029089E9</v>
      </c>
      <c r="E263" s="56" t="s">
        <v>458</v>
      </c>
      <c r="F263" s="56" t="s">
        <v>459</v>
      </c>
      <c r="G263" s="56" t="s">
        <v>1976</v>
      </c>
      <c r="H263" s="56" t="s">
        <v>379</v>
      </c>
      <c r="I263" s="56" t="s">
        <v>365</v>
      </c>
      <c r="J263" s="56" t="s">
        <v>413</v>
      </c>
      <c r="K263" s="56" t="s">
        <v>497</v>
      </c>
      <c r="L263" s="56" t="s">
        <v>423</v>
      </c>
      <c r="M263" s="59"/>
      <c r="N263" s="59"/>
      <c r="O263" s="56" t="s">
        <v>382</v>
      </c>
      <c r="P263" s="60">
        <v>46025.0</v>
      </c>
      <c r="Q263" s="56" t="s">
        <v>1977</v>
      </c>
      <c r="R263" s="56" t="s">
        <v>1978</v>
      </c>
      <c r="S263" s="59"/>
      <c r="T263" s="56" t="s">
        <v>385</v>
      </c>
      <c r="U263" s="61" t="s">
        <v>373</v>
      </c>
      <c r="V263" s="58" t="s">
        <v>1979</v>
      </c>
      <c r="X263" s="55" t="b">
        <f t="shared" si="1"/>
        <v>0</v>
      </c>
    </row>
    <row r="264" ht="15.0" customHeight="1">
      <c r="A264" s="56" t="s">
        <v>252</v>
      </c>
      <c r="B264" s="56" t="s">
        <v>1980</v>
      </c>
      <c r="C264" s="57" t="s">
        <v>1981</v>
      </c>
      <c r="D264" s="58">
        <v>8.329633209E9</v>
      </c>
      <c r="E264" s="56" t="s">
        <v>1639</v>
      </c>
      <c r="F264" s="56" t="s">
        <v>390</v>
      </c>
      <c r="G264" s="56" t="s">
        <v>1982</v>
      </c>
      <c r="H264" s="56" t="s">
        <v>364</v>
      </c>
      <c r="I264" s="56" t="s">
        <v>365</v>
      </c>
      <c r="J264" s="56" t="s">
        <v>413</v>
      </c>
      <c r="K264" s="56" t="s">
        <v>400</v>
      </c>
      <c r="L264" s="56" t="s">
        <v>368</v>
      </c>
      <c r="M264" s="59"/>
      <c r="N264" s="59"/>
      <c r="O264" s="56" t="s">
        <v>1983</v>
      </c>
      <c r="P264" s="60">
        <v>46025.0</v>
      </c>
      <c r="Q264" s="56" t="s">
        <v>1980</v>
      </c>
      <c r="R264" s="56" t="s">
        <v>1984</v>
      </c>
      <c r="S264" s="59"/>
      <c r="T264" s="56" t="s">
        <v>393</v>
      </c>
      <c r="U264" s="61" t="s">
        <v>373</v>
      </c>
      <c r="V264" s="58" t="s">
        <v>1985</v>
      </c>
      <c r="X264" s="55" t="b">
        <f t="shared" si="1"/>
        <v>0</v>
      </c>
    </row>
    <row r="265" ht="15.0" customHeight="1">
      <c r="A265" s="56" t="s">
        <v>1986</v>
      </c>
      <c r="B265" s="56" t="s">
        <v>1987</v>
      </c>
      <c r="C265" s="57" t="s">
        <v>1988</v>
      </c>
      <c r="D265" s="58">
        <v>2.14707476E9</v>
      </c>
      <c r="E265" s="56" t="s">
        <v>361</v>
      </c>
      <c r="F265" s="56" t="s">
        <v>452</v>
      </c>
      <c r="G265" s="56" t="s">
        <v>453</v>
      </c>
      <c r="H265" s="56" t="s">
        <v>364</v>
      </c>
      <c r="I265" s="56" t="s">
        <v>365</v>
      </c>
      <c r="J265" s="56" t="s">
        <v>513</v>
      </c>
      <c r="K265" s="56" t="s">
        <v>367</v>
      </c>
      <c r="L265" s="56" t="s">
        <v>368</v>
      </c>
      <c r="M265" s="59"/>
      <c r="N265" s="59"/>
      <c r="O265" s="56" t="s">
        <v>382</v>
      </c>
      <c r="P265" s="60">
        <v>46025.0</v>
      </c>
      <c r="Q265" s="56" t="s">
        <v>1989</v>
      </c>
      <c r="R265" s="56" t="s">
        <v>1117</v>
      </c>
      <c r="S265" s="59"/>
      <c r="T265" s="56" t="s">
        <v>372</v>
      </c>
      <c r="U265" s="61" t="s">
        <v>373</v>
      </c>
      <c r="V265" s="58" t="s">
        <v>1990</v>
      </c>
      <c r="X265" s="55" t="b">
        <f t="shared" si="1"/>
        <v>1</v>
      </c>
    </row>
    <row r="266" ht="15.0" customHeight="1">
      <c r="A266" s="56" t="s">
        <v>253</v>
      </c>
      <c r="B266" s="56" t="s">
        <v>1991</v>
      </c>
      <c r="C266" s="57" t="s">
        <v>1992</v>
      </c>
      <c r="D266" s="58">
        <v>9.799770471E9</v>
      </c>
      <c r="E266" s="56" t="s">
        <v>361</v>
      </c>
      <c r="F266" s="56" t="s">
        <v>452</v>
      </c>
      <c r="G266" s="56" t="s">
        <v>452</v>
      </c>
      <c r="H266" s="56" t="s">
        <v>364</v>
      </c>
      <c r="I266" s="56" t="s">
        <v>365</v>
      </c>
      <c r="J266" s="56" t="s">
        <v>513</v>
      </c>
      <c r="K266" s="56" t="s">
        <v>381</v>
      </c>
      <c r="L266" s="56" t="s">
        <v>423</v>
      </c>
      <c r="M266" s="59"/>
      <c r="N266" s="59"/>
      <c r="O266" s="56" t="s">
        <v>1993</v>
      </c>
      <c r="P266" s="58">
        <v>0.0</v>
      </c>
      <c r="Q266" s="56" t="s">
        <v>1994</v>
      </c>
      <c r="R266" s="56" t="s">
        <v>1995</v>
      </c>
      <c r="S266" s="59"/>
      <c r="T266" s="56" t="s">
        <v>385</v>
      </c>
      <c r="U266" s="61" t="s">
        <v>373</v>
      </c>
      <c r="V266" s="58" t="s">
        <v>1996</v>
      </c>
      <c r="X266" s="55" t="b">
        <f t="shared" si="1"/>
        <v>1</v>
      </c>
    </row>
    <row r="267" ht="15.0" customHeight="1">
      <c r="A267" s="56" t="s">
        <v>1997</v>
      </c>
      <c r="B267" s="56" t="s">
        <v>1998</v>
      </c>
      <c r="C267" s="57" t="s">
        <v>1999</v>
      </c>
      <c r="D267" s="56" t="s">
        <v>2000</v>
      </c>
      <c r="E267" s="56" t="s">
        <v>361</v>
      </c>
      <c r="F267" s="56" t="s">
        <v>675</v>
      </c>
      <c r="G267" s="56" t="s">
        <v>2001</v>
      </c>
      <c r="H267" s="56" t="s">
        <v>379</v>
      </c>
      <c r="I267" s="56" t="s">
        <v>365</v>
      </c>
      <c r="J267" s="56" t="s">
        <v>366</v>
      </c>
      <c r="K267" s="56" t="s">
        <v>367</v>
      </c>
      <c r="L267" s="56" t="s">
        <v>368</v>
      </c>
      <c r="M267" s="59"/>
      <c r="N267" s="59"/>
      <c r="O267" s="56" t="s">
        <v>382</v>
      </c>
      <c r="P267" s="60">
        <v>46025.0</v>
      </c>
      <c r="Q267" s="59"/>
      <c r="R267" s="56" t="s">
        <v>1628</v>
      </c>
      <c r="S267" s="59"/>
      <c r="T267" s="56" t="s">
        <v>372</v>
      </c>
      <c r="U267" s="61" t="s">
        <v>394</v>
      </c>
      <c r="V267" s="58" t="s">
        <v>2002</v>
      </c>
      <c r="X267" s="55" t="b">
        <f t="shared" si="1"/>
        <v>0</v>
      </c>
    </row>
    <row r="268" ht="15.0" customHeight="1">
      <c r="A268" s="56" t="s">
        <v>2003</v>
      </c>
      <c r="B268" s="56" t="s">
        <v>2004</v>
      </c>
      <c r="C268" s="57" t="s">
        <v>2005</v>
      </c>
      <c r="D268" s="58">
        <v>8.17266401E9</v>
      </c>
      <c r="E268" s="56" t="s">
        <v>2006</v>
      </c>
      <c r="F268" s="56" t="s">
        <v>390</v>
      </c>
      <c r="G268" s="56" t="s">
        <v>2007</v>
      </c>
      <c r="H268" s="56" t="s">
        <v>379</v>
      </c>
      <c r="I268" s="56" t="s">
        <v>412</v>
      </c>
      <c r="J268" s="56" t="s">
        <v>413</v>
      </c>
      <c r="K268" s="56" t="s">
        <v>367</v>
      </c>
      <c r="L268" s="56" t="s">
        <v>368</v>
      </c>
      <c r="M268" s="58">
        <v>0.0</v>
      </c>
      <c r="N268" s="58">
        <v>0.0</v>
      </c>
      <c r="O268" s="56" t="s">
        <v>382</v>
      </c>
      <c r="P268" s="60">
        <v>46025.0</v>
      </c>
      <c r="Q268" s="56" t="s">
        <v>2008</v>
      </c>
      <c r="R268" s="56" t="s">
        <v>2009</v>
      </c>
      <c r="S268" s="59"/>
      <c r="T268" s="56" t="s">
        <v>372</v>
      </c>
      <c r="U268" s="61" t="s">
        <v>373</v>
      </c>
      <c r="V268" s="58" t="s">
        <v>2010</v>
      </c>
      <c r="X268" s="55" t="b">
        <f t="shared" si="1"/>
        <v>0</v>
      </c>
    </row>
    <row r="269" ht="15.0" customHeight="1">
      <c r="A269" s="56" t="s">
        <v>2011</v>
      </c>
      <c r="B269" s="56" t="s">
        <v>2012</v>
      </c>
      <c r="C269" s="57" t="s">
        <v>2013</v>
      </c>
      <c r="D269" s="58">
        <v>347.0</v>
      </c>
      <c r="E269" s="56" t="s">
        <v>2014</v>
      </c>
      <c r="F269" s="56" t="s">
        <v>362</v>
      </c>
      <c r="G269" s="56" t="s">
        <v>2015</v>
      </c>
      <c r="H269" s="56" t="s">
        <v>364</v>
      </c>
      <c r="I269" s="56" t="s">
        <v>365</v>
      </c>
      <c r="J269" s="56" t="s">
        <v>366</v>
      </c>
      <c r="K269" s="56" t="s">
        <v>400</v>
      </c>
      <c r="L269" s="56" t="s">
        <v>423</v>
      </c>
      <c r="M269" s="58">
        <v>0.0</v>
      </c>
      <c r="N269" s="58">
        <v>0.0</v>
      </c>
      <c r="O269" s="56" t="s">
        <v>382</v>
      </c>
      <c r="P269" s="60">
        <v>46025.0</v>
      </c>
      <c r="Q269" s="59"/>
      <c r="R269" s="56" t="s">
        <v>2016</v>
      </c>
      <c r="S269" s="59"/>
      <c r="T269" s="56" t="s">
        <v>393</v>
      </c>
      <c r="U269" s="61" t="s">
        <v>394</v>
      </c>
      <c r="V269" s="58" t="s">
        <v>2017</v>
      </c>
      <c r="X269" s="55" t="b">
        <f t="shared" si="1"/>
        <v>0</v>
      </c>
    </row>
    <row r="270" ht="15.0" customHeight="1">
      <c r="A270" s="56" t="s">
        <v>255</v>
      </c>
      <c r="B270" s="56" t="s">
        <v>2018</v>
      </c>
      <c r="C270" s="57" t="s">
        <v>2019</v>
      </c>
      <c r="D270" s="56" t="s">
        <v>2020</v>
      </c>
      <c r="E270" s="56" t="s">
        <v>361</v>
      </c>
      <c r="F270" s="56" t="s">
        <v>390</v>
      </c>
      <c r="G270" s="56" t="s">
        <v>391</v>
      </c>
      <c r="H270" s="56" t="s">
        <v>379</v>
      </c>
      <c r="I270" s="56" t="s">
        <v>380</v>
      </c>
      <c r="J270" s="56" t="s">
        <v>413</v>
      </c>
      <c r="K270" s="56" t="s">
        <v>723</v>
      </c>
      <c r="L270" s="56" t="s">
        <v>368</v>
      </c>
      <c r="M270" s="58">
        <v>0.0</v>
      </c>
      <c r="N270" s="58">
        <v>0.0</v>
      </c>
      <c r="O270" s="56" t="s">
        <v>382</v>
      </c>
      <c r="P270" s="60">
        <v>46025.0</v>
      </c>
      <c r="Q270" s="56" t="s">
        <v>2021</v>
      </c>
      <c r="R270" s="56" t="s">
        <v>2022</v>
      </c>
      <c r="S270" s="59"/>
      <c r="T270" s="56" t="s">
        <v>393</v>
      </c>
      <c r="U270" s="61" t="s">
        <v>373</v>
      </c>
      <c r="V270" s="58" t="s">
        <v>2023</v>
      </c>
      <c r="X270" s="55" t="b">
        <f t="shared" si="1"/>
        <v>0</v>
      </c>
    </row>
    <row r="271" ht="15.0" customHeight="1">
      <c r="A271" s="56" t="s">
        <v>256</v>
      </c>
      <c r="B271" s="56" t="s">
        <v>256</v>
      </c>
      <c r="C271" s="57" t="s">
        <v>2024</v>
      </c>
      <c r="D271" s="58">
        <v>8.323296501E9</v>
      </c>
      <c r="E271" s="56" t="s">
        <v>2025</v>
      </c>
      <c r="F271" s="56" t="s">
        <v>390</v>
      </c>
      <c r="G271" s="56" t="s">
        <v>2026</v>
      </c>
      <c r="H271" s="56" t="s">
        <v>364</v>
      </c>
      <c r="I271" s="56" t="s">
        <v>380</v>
      </c>
      <c r="J271" s="56" t="s">
        <v>366</v>
      </c>
      <c r="K271" s="56" t="s">
        <v>497</v>
      </c>
      <c r="L271" s="56" t="s">
        <v>368</v>
      </c>
      <c r="M271" s="59"/>
      <c r="N271" s="59"/>
      <c r="O271" s="56" t="s">
        <v>382</v>
      </c>
      <c r="P271" s="60">
        <v>46118.0</v>
      </c>
      <c r="Q271" s="59"/>
      <c r="R271" s="56" t="s">
        <v>2027</v>
      </c>
      <c r="S271" s="59"/>
      <c r="T271" s="56" t="s">
        <v>385</v>
      </c>
      <c r="U271" s="61" t="s">
        <v>373</v>
      </c>
      <c r="V271" s="58" t="s">
        <v>1864</v>
      </c>
      <c r="X271" s="55" t="b">
        <f t="shared" si="1"/>
        <v>0</v>
      </c>
    </row>
    <row r="272" ht="15.0" customHeight="1">
      <c r="A272" s="56" t="s">
        <v>257</v>
      </c>
      <c r="B272" s="56" t="s">
        <v>2028</v>
      </c>
      <c r="C272" s="57" t="s">
        <v>2029</v>
      </c>
      <c r="D272" s="56" t="s">
        <v>2030</v>
      </c>
      <c r="E272" s="56" t="s">
        <v>361</v>
      </c>
      <c r="F272" s="56" t="s">
        <v>377</v>
      </c>
      <c r="G272" s="56" t="s">
        <v>2031</v>
      </c>
      <c r="H272" s="56" t="s">
        <v>364</v>
      </c>
      <c r="I272" s="56" t="s">
        <v>365</v>
      </c>
      <c r="J272" s="56" t="s">
        <v>366</v>
      </c>
      <c r="K272" s="56" t="s">
        <v>367</v>
      </c>
      <c r="L272" s="56" t="s">
        <v>368</v>
      </c>
      <c r="M272" s="58">
        <v>0.0</v>
      </c>
      <c r="N272" s="59"/>
      <c r="O272" s="56" t="s">
        <v>382</v>
      </c>
      <c r="P272" s="60">
        <v>46025.0</v>
      </c>
      <c r="Q272" s="59"/>
      <c r="R272" s="56" t="s">
        <v>606</v>
      </c>
      <c r="S272" s="59"/>
      <c r="T272" s="56" t="s">
        <v>372</v>
      </c>
      <c r="U272" s="61" t="s">
        <v>373</v>
      </c>
      <c r="V272" s="58" t="s">
        <v>2032</v>
      </c>
      <c r="X272" s="55" t="b">
        <f t="shared" si="1"/>
        <v>0</v>
      </c>
    </row>
    <row r="273" ht="15.0" customHeight="1">
      <c r="A273" s="56" t="s">
        <v>2033</v>
      </c>
      <c r="B273" s="56" t="s">
        <v>2034</v>
      </c>
      <c r="C273" s="57" t="s">
        <v>2035</v>
      </c>
      <c r="D273" s="58">
        <v>1.4166666316E10</v>
      </c>
      <c r="E273" s="56" t="s">
        <v>579</v>
      </c>
      <c r="F273" s="56" t="s">
        <v>709</v>
      </c>
      <c r="G273" s="56" t="s">
        <v>2036</v>
      </c>
      <c r="H273" s="56" t="s">
        <v>399</v>
      </c>
      <c r="I273" s="56" t="s">
        <v>380</v>
      </c>
      <c r="J273" s="56" t="s">
        <v>413</v>
      </c>
      <c r="K273" s="56" t="s">
        <v>392</v>
      </c>
      <c r="L273" s="56" t="s">
        <v>423</v>
      </c>
      <c r="M273" s="59"/>
      <c r="N273" s="59"/>
      <c r="O273" s="56" t="s">
        <v>382</v>
      </c>
      <c r="P273" s="60">
        <v>46025.0</v>
      </c>
      <c r="Q273" s="56" t="s">
        <v>2037</v>
      </c>
      <c r="R273" s="56" t="s">
        <v>2038</v>
      </c>
      <c r="S273" s="59"/>
      <c r="T273" s="56" t="s">
        <v>393</v>
      </c>
      <c r="U273" s="61" t="s">
        <v>373</v>
      </c>
      <c r="V273" s="58" t="s">
        <v>2039</v>
      </c>
      <c r="X273" s="55" t="b">
        <f t="shared" si="1"/>
        <v>0</v>
      </c>
    </row>
    <row r="274" ht="15.0" customHeight="1">
      <c r="A274" s="56" t="s">
        <v>258</v>
      </c>
      <c r="B274" s="56" t="s">
        <v>2040</v>
      </c>
      <c r="C274" s="57" t="s">
        <v>2041</v>
      </c>
      <c r="D274" s="56" t="s">
        <v>2042</v>
      </c>
      <c r="E274" s="56" t="s">
        <v>2043</v>
      </c>
      <c r="F274" s="56" t="s">
        <v>580</v>
      </c>
      <c r="G274" s="56" t="s">
        <v>436</v>
      </c>
      <c r="H274" s="56" t="s">
        <v>379</v>
      </c>
      <c r="I274" s="56" t="s">
        <v>412</v>
      </c>
      <c r="J274" s="56" t="s">
        <v>513</v>
      </c>
      <c r="K274" s="56" t="s">
        <v>367</v>
      </c>
      <c r="L274" s="56" t="s">
        <v>368</v>
      </c>
      <c r="M274" s="59"/>
      <c r="N274" s="59"/>
      <c r="O274" s="56" t="s">
        <v>382</v>
      </c>
      <c r="P274" s="60">
        <v>46025.0</v>
      </c>
      <c r="Q274" s="56" t="s">
        <v>2040</v>
      </c>
      <c r="R274" s="56" t="s">
        <v>2044</v>
      </c>
      <c r="S274" s="59"/>
      <c r="T274" s="56" t="s">
        <v>372</v>
      </c>
      <c r="U274" s="61" t="s">
        <v>373</v>
      </c>
      <c r="V274" s="58" t="s">
        <v>2045</v>
      </c>
      <c r="X274" s="55" t="b">
        <f t="shared" si="1"/>
        <v>1</v>
      </c>
    </row>
    <row r="275" ht="15.0" customHeight="1">
      <c r="A275" s="56" t="s">
        <v>2046</v>
      </c>
      <c r="B275" s="56" t="s">
        <v>2047</v>
      </c>
      <c r="C275" s="57" t="s">
        <v>2048</v>
      </c>
      <c r="D275" s="58">
        <v>8.309920959E9</v>
      </c>
      <c r="E275" s="56" t="s">
        <v>2049</v>
      </c>
      <c r="F275" s="56" t="s">
        <v>443</v>
      </c>
      <c r="G275" s="56" t="s">
        <v>436</v>
      </c>
      <c r="H275" s="56" t="s">
        <v>379</v>
      </c>
      <c r="I275" s="56" t="s">
        <v>412</v>
      </c>
      <c r="J275" s="56" t="s">
        <v>413</v>
      </c>
      <c r="K275" s="56" t="s">
        <v>400</v>
      </c>
      <c r="L275" s="56" t="s">
        <v>368</v>
      </c>
      <c r="M275" s="59"/>
      <c r="N275" s="59"/>
      <c r="O275" s="56" t="s">
        <v>369</v>
      </c>
      <c r="P275" s="60">
        <v>46025.0</v>
      </c>
      <c r="Q275" s="59"/>
      <c r="R275" s="56" t="s">
        <v>2044</v>
      </c>
      <c r="S275" s="59"/>
      <c r="T275" s="56" t="s">
        <v>393</v>
      </c>
      <c r="U275" s="61" t="s">
        <v>373</v>
      </c>
      <c r="V275" s="58" t="s">
        <v>485</v>
      </c>
      <c r="X275" s="55" t="b">
        <f t="shared" si="1"/>
        <v>0</v>
      </c>
    </row>
    <row r="276" ht="15.0" customHeight="1">
      <c r="A276" s="56" t="s">
        <v>2050</v>
      </c>
      <c r="B276" s="56" t="s">
        <v>2051</v>
      </c>
      <c r="C276" s="57" t="s">
        <v>2052</v>
      </c>
      <c r="D276" s="56" t="s">
        <v>2053</v>
      </c>
      <c r="E276" s="56" t="s">
        <v>2054</v>
      </c>
      <c r="F276" s="56" t="s">
        <v>443</v>
      </c>
      <c r="G276" s="56" t="s">
        <v>2055</v>
      </c>
      <c r="H276" s="56" t="s">
        <v>364</v>
      </c>
      <c r="I276" s="56" t="s">
        <v>412</v>
      </c>
      <c r="J276" s="56" t="s">
        <v>413</v>
      </c>
      <c r="K276" s="56" t="s">
        <v>400</v>
      </c>
      <c r="L276" s="56" t="s">
        <v>368</v>
      </c>
      <c r="M276" s="59"/>
      <c r="N276" s="59"/>
      <c r="O276" s="56" t="s">
        <v>2056</v>
      </c>
      <c r="P276" s="60">
        <v>46025.0</v>
      </c>
      <c r="Q276" s="56" t="s">
        <v>2057</v>
      </c>
      <c r="R276" s="56" t="s">
        <v>1443</v>
      </c>
      <c r="S276" s="59"/>
      <c r="T276" s="56" t="s">
        <v>393</v>
      </c>
      <c r="U276" s="61" t="s">
        <v>373</v>
      </c>
      <c r="V276" s="58" t="s">
        <v>2058</v>
      </c>
      <c r="X276" s="55" t="b">
        <f t="shared" si="1"/>
        <v>0</v>
      </c>
    </row>
    <row r="277" ht="15.0" customHeight="1">
      <c r="A277" s="56" t="s">
        <v>261</v>
      </c>
      <c r="B277" s="56" t="s">
        <v>2059</v>
      </c>
      <c r="C277" s="57" t="s">
        <v>2060</v>
      </c>
      <c r="D277" s="58">
        <v>5.124164979E9</v>
      </c>
      <c r="E277" s="56" t="s">
        <v>361</v>
      </c>
      <c r="F277" s="56" t="s">
        <v>377</v>
      </c>
      <c r="G277" s="56" t="s">
        <v>2061</v>
      </c>
      <c r="H277" s="56" t="s">
        <v>399</v>
      </c>
      <c r="I277" s="56" t="s">
        <v>365</v>
      </c>
      <c r="J277" s="56" t="s">
        <v>366</v>
      </c>
      <c r="K277" s="56" t="s">
        <v>497</v>
      </c>
      <c r="L277" s="56" t="s">
        <v>368</v>
      </c>
      <c r="M277" s="58">
        <v>2.0</v>
      </c>
      <c r="N277" s="59"/>
      <c r="O277" s="56" t="s">
        <v>2062</v>
      </c>
      <c r="P277" s="60">
        <v>46025.0</v>
      </c>
      <c r="Q277" s="59"/>
      <c r="R277" s="56" t="s">
        <v>2063</v>
      </c>
      <c r="S277" s="59"/>
      <c r="T277" s="56" t="s">
        <v>385</v>
      </c>
      <c r="U277" s="61" t="s">
        <v>373</v>
      </c>
      <c r="V277" s="58" t="s">
        <v>1416</v>
      </c>
      <c r="X277" s="55" t="b">
        <f t="shared" si="1"/>
        <v>0</v>
      </c>
    </row>
    <row r="278" ht="15.0" customHeight="1">
      <c r="A278" s="56" t="s">
        <v>262</v>
      </c>
      <c r="B278" s="56" t="s">
        <v>2064</v>
      </c>
      <c r="C278" s="57" t="s">
        <v>2065</v>
      </c>
      <c r="D278" s="56" t="s">
        <v>2066</v>
      </c>
      <c r="E278" s="56" t="s">
        <v>559</v>
      </c>
      <c r="F278" s="56" t="s">
        <v>452</v>
      </c>
      <c r="G278" s="56" t="s">
        <v>1712</v>
      </c>
      <c r="H278" s="56" t="s">
        <v>364</v>
      </c>
      <c r="I278" s="56" t="s">
        <v>365</v>
      </c>
      <c r="J278" s="56" t="s">
        <v>413</v>
      </c>
      <c r="K278" s="56" t="s">
        <v>497</v>
      </c>
      <c r="L278" s="56" t="s">
        <v>368</v>
      </c>
      <c r="M278" s="58">
        <v>2.0</v>
      </c>
      <c r="N278" s="58">
        <v>2.0</v>
      </c>
      <c r="O278" s="56" t="s">
        <v>382</v>
      </c>
      <c r="P278" s="60">
        <v>46213.0</v>
      </c>
      <c r="Q278" s="59"/>
      <c r="R278" s="56" t="s">
        <v>2067</v>
      </c>
      <c r="S278" s="59"/>
      <c r="T278" s="56" t="s">
        <v>385</v>
      </c>
      <c r="U278" s="61" t="s">
        <v>373</v>
      </c>
      <c r="V278" s="58" t="s">
        <v>2068</v>
      </c>
      <c r="X278" s="55" t="b">
        <f t="shared" si="1"/>
        <v>0</v>
      </c>
    </row>
    <row r="279" ht="15.0" customHeight="1">
      <c r="A279" s="56" t="s">
        <v>2069</v>
      </c>
      <c r="B279" s="56" t="s">
        <v>2070</v>
      </c>
      <c r="C279" s="57" t="s">
        <v>2071</v>
      </c>
      <c r="D279" s="56" t="s">
        <v>2072</v>
      </c>
      <c r="E279" s="56" t="s">
        <v>525</v>
      </c>
      <c r="F279" s="56" t="s">
        <v>452</v>
      </c>
      <c r="G279" s="56" t="s">
        <v>2073</v>
      </c>
      <c r="H279" s="56" t="s">
        <v>364</v>
      </c>
      <c r="I279" s="56" t="s">
        <v>365</v>
      </c>
      <c r="J279" s="56" t="s">
        <v>513</v>
      </c>
      <c r="K279" s="56" t="s">
        <v>400</v>
      </c>
      <c r="L279" s="56" t="s">
        <v>368</v>
      </c>
      <c r="M279" s="58">
        <v>2.0</v>
      </c>
      <c r="N279" s="59"/>
      <c r="O279" s="56" t="s">
        <v>414</v>
      </c>
      <c r="P279" s="58">
        <v>0.0</v>
      </c>
      <c r="Q279" s="59"/>
      <c r="R279" s="56" t="s">
        <v>2074</v>
      </c>
      <c r="S279" s="59"/>
      <c r="T279" s="56" t="s">
        <v>393</v>
      </c>
      <c r="U279" s="61" t="s">
        <v>373</v>
      </c>
      <c r="V279" s="58" t="s">
        <v>2075</v>
      </c>
      <c r="X279" s="55" t="b">
        <f t="shared" si="1"/>
        <v>1</v>
      </c>
    </row>
    <row r="280" ht="15.0" customHeight="1">
      <c r="A280" s="56" t="s">
        <v>2076</v>
      </c>
      <c r="B280" s="56" t="s">
        <v>650</v>
      </c>
      <c r="C280" s="57" t="s">
        <v>2077</v>
      </c>
      <c r="D280" s="58">
        <v>8.643820377E9</v>
      </c>
      <c r="E280" s="56" t="s">
        <v>1224</v>
      </c>
      <c r="F280" s="56" t="s">
        <v>377</v>
      </c>
      <c r="G280" s="56" t="s">
        <v>2078</v>
      </c>
      <c r="H280" s="56" t="s">
        <v>364</v>
      </c>
      <c r="I280" s="56" t="s">
        <v>380</v>
      </c>
      <c r="J280" s="56" t="s">
        <v>366</v>
      </c>
      <c r="K280" s="56" t="s">
        <v>400</v>
      </c>
      <c r="L280" s="56" t="s">
        <v>368</v>
      </c>
      <c r="M280" s="59"/>
      <c r="N280" s="59"/>
      <c r="O280" s="56" t="s">
        <v>1993</v>
      </c>
      <c r="P280" s="60">
        <v>46025.0</v>
      </c>
      <c r="Q280" s="59"/>
      <c r="R280" s="56" t="s">
        <v>2079</v>
      </c>
      <c r="S280" s="59"/>
      <c r="T280" s="56" t="s">
        <v>393</v>
      </c>
      <c r="U280" s="61" t="s">
        <v>373</v>
      </c>
      <c r="V280" s="58" t="s">
        <v>2080</v>
      </c>
      <c r="X280" s="55" t="b">
        <f t="shared" si="1"/>
        <v>0</v>
      </c>
    </row>
    <row r="281" ht="15.0" customHeight="1">
      <c r="A281" s="56" t="s">
        <v>2081</v>
      </c>
      <c r="B281" s="56" t="s">
        <v>2082</v>
      </c>
      <c r="C281" s="57" t="s">
        <v>2083</v>
      </c>
      <c r="D281" s="56" t="s">
        <v>2084</v>
      </c>
      <c r="E281" s="56" t="s">
        <v>361</v>
      </c>
      <c r="F281" s="56" t="s">
        <v>377</v>
      </c>
      <c r="G281" s="56" t="s">
        <v>378</v>
      </c>
      <c r="H281" s="56" t="s">
        <v>399</v>
      </c>
      <c r="I281" s="56" t="s">
        <v>365</v>
      </c>
      <c r="J281" s="56" t="s">
        <v>366</v>
      </c>
      <c r="K281" s="56" t="s">
        <v>2085</v>
      </c>
      <c r="L281" s="56" t="s">
        <v>368</v>
      </c>
      <c r="M281" s="59"/>
      <c r="N281" s="59"/>
      <c r="O281" s="56" t="s">
        <v>382</v>
      </c>
      <c r="P281" s="60">
        <v>46213.0</v>
      </c>
      <c r="Q281" s="56" t="s">
        <v>2086</v>
      </c>
      <c r="R281" s="62" t="s">
        <v>2087</v>
      </c>
      <c r="S281" s="59"/>
      <c r="T281" s="56" t="s">
        <v>393</v>
      </c>
      <c r="U281" s="61" t="s">
        <v>373</v>
      </c>
      <c r="V281" s="58" t="s">
        <v>2088</v>
      </c>
      <c r="X281" s="55" t="b">
        <f t="shared" si="1"/>
        <v>0</v>
      </c>
    </row>
    <row r="282" ht="15.0" customHeight="1">
      <c r="A282" s="56" t="s">
        <v>2089</v>
      </c>
      <c r="B282" s="56" t="s">
        <v>2090</v>
      </c>
      <c r="C282" s="57" t="s">
        <v>2091</v>
      </c>
      <c r="D282" s="56" t="s">
        <v>2092</v>
      </c>
      <c r="E282" s="56" t="s">
        <v>2093</v>
      </c>
      <c r="F282" s="56" t="s">
        <v>459</v>
      </c>
      <c r="G282" s="56" t="s">
        <v>2094</v>
      </c>
      <c r="H282" s="56" t="s">
        <v>399</v>
      </c>
      <c r="I282" s="56" t="s">
        <v>365</v>
      </c>
      <c r="J282" s="56" t="s">
        <v>413</v>
      </c>
      <c r="K282" s="56" t="s">
        <v>400</v>
      </c>
      <c r="L282" s="56" t="s">
        <v>423</v>
      </c>
      <c r="M282" s="58">
        <v>0.0</v>
      </c>
      <c r="N282" s="59"/>
      <c r="O282" s="56" t="s">
        <v>369</v>
      </c>
      <c r="P282" s="58">
        <v>0.0</v>
      </c>
      <c r="Q282" s="56" t="s">
        <v>2090</v>
      </c>
      <c r="R282" s="56" t="s">
        <v>2095</v>
      </c>
      <c r="S282" s="59"/>
      <c r="T282" s="56" t="s">
        <v>393</v>
      </c>
      <c r="U282" s="61" t="s">
        <v>394</v>
      </c>
      <c r="V282" s="58" t="s">
        <v>2096</v>
      </c>
      <c r="X282" s="55" t="b">
        <f t="shared" si="1"/>
        <v>0</v>
      </c>
    </row>
    <row r="283" ht="15.0" customHeight="1">
      <c r="A283" s="56" t="s">
        <v>2097</v>
      </c>
      <c r="B283" s="56" t="s">
        <v>2098</v>
      </c>
      <c r="C283" s="57" t="s">
        <v>2099</v>
      </c>
      <c r="D283" s="56" t="s">
        <v>2100</v>
      </c>
      <c r="E283" s="56" t="s">
        <v>389</v>
      </c>
      <c r="F283" s="56" t="s">
        <v>452</v>
      </c>
      <c r="G283" s="56" t="s">
        <v>841</v>
      </c>
      <c r="H283" s="56" t="s">
        <v>364</v>
      </c>
      <c r="I283" s="56" t="s">
        <v>365</v>
      </c>
      <c r="J283" s="56" t="s">
        <v>413</v>
      </c>
      <c r="K283" s="56" t="s">
        <v>381</v>
      </c>
      <c r="L283" s="56" t="s">
        <v>368</v>
      </c>
      <c r="M283" s="58">
        <v>1.0</v>
      </c>
      <c r="N283" s="58">
        <v>1.0</v>
      </c>
      <c r="O283" s="56" t="s">
        <v>414</v>
      </c>
      <c r="P283" s="60">
        <v>46025.0</v>
      </c>
      <c r="Q283" s="56" t="s">
        <v>2101</v>
      </c>
      <c r="R283" s="56" t="s">
        <v>2102</v>
      </c>
      <c r="S283" s="59"/>
      <c r="T283" s="56" t="s">
        <v>385</v>
      </c>
      <c r="U283" s="61" t="s">
        <v>373</v>
      </c>
      <c r="V283" s="58" t="s">
        <v>2103</v>
      </c>
      <c r="X283" s="55" t="b">
        <f t="shared" si="1"/>
        <v>0</v>
      </c>
    </row>
    <row r="284" ht="15.0" customHeight="1">
      <c r="A284" s="56" t="s">
        <v>2104</v>
      </c>
      <c r="B284" s="56" t="s">
        <v>2105</v>
      </c>
      <c r="C284" s="57" t="s">
        <v>2106</v>
      </c>
      <c r="D284" s="58">
        <v>9.405504523E9</v>
      </c>
      <c r="E284" s="56" t="s">
        <v>466</v>
      </c>
      <c r="F284" s="56" t="s">
        <v>421</v>
      </c>
      <c r="G284" s="56" t="s">
        <v>2107</v>
      </c>
      <c r="H284" s="56" t="s">
        <v>379</v>
      </c>
      <c r="I284" s="56" t="s">
        <v>380</v>
      </c>
      <c r="J284" s="56" t="s">
        <v>413</v>
      </c>
      <c r="K284" s="56" t="s">
        <v>367</v>
      </c>
      <c r="L284" s="56" t="s">
        <v>368</v>
      </c>
      <c r="M284" s="58">
        <v>0.0</v>
      </c>
      <c r="N284" s="58">
        <v>3.0</v>
      </c>
      <c r="O284" s="56" t="s">
        <v>382</v>
      </c>
      <c r="P284" s="60">
        <v>46025.0</v>
      </c>
      <c r="Q284" s="56" t="s">
        <v>2108</v>
      </c>
      <c r="R284" s="56" t="s">
        <v>1659</v>
      </c>
      <c r="S284" s="59"/>
      <c r="T284" s="56" t="s">
        <v>372</v>
      </c>
      <c r="U284" s="61" t="s">
        <v>373</v>
      </c>
      <c r="V284" s="58" t="s">
        <v>2109</v>
      </c>
      <c r="X284" s="55" t="b">
        <f t="shared" si="1"/>
        <v>0</v>
      </c>
    </row>
    <row r="285" ht="15.0" customHeight="1">
      <c r="A285" s="56" t="s">
        <v>269</v>
      </c>
      <c r="B285" s="56" t="s">
        <v>2110</v>
      </c>
      <c r="C285" s="57" t="s">
        <v>2111</v>
      </c>
      <c r="D285" s="58">
        <v>8.173710502E9</v>
      </c>
      <c r="E285" s="56" t="s">
        <v>466</v>
      </c>
      <c r="F285" s="56" t="s">
        <v>390</v>
      </c>
      <c r="G285" s="56" t="s">
        <v>2112</v>
      </c>
      <c r="H285" s="56" t="s">
        <v>364</v>
      </c>
      <c r="I285" s="56" t="s">
        <v>710</v>
      </c>
      <c r="J285" s="56" t="s">
        <v>366</v>
      </c>
      <c r="K285" s="56" t="s">
        <v>367</v>
      </c>
      <c r="L285" s="56" t="s">
        <v>368</v>
      </c>
      <c r="M285" s="58">
        <v>1.0</v>
      </c>
      <c r="N285" s="59"/>
      <c r="O285" s="56" t="s">
        <v>382</v>
      </c>
      <c r="P285" s="60">
        <v>46025.0</v>
      </c>
      <c r="Q285" s="59"/>
      <c r="R285" s="56" t="s">
        <v>2113</v>
      </c>
      <c r="S285" s="59"/>
      <c r="T285" s="56" t="s">
        <v>372</v>
      </c>
      <c r="U285" s="61" t="s">
        <v>373</v>
      </c>
      <c r="V285" s="58" t="s">
        <v>2114</v>
      </c>
      <c r="X285" s="55" t="b">
        <f t="shared" si="1"/>
        <v>0</v>
      </c>
    </row>
    <row r="286" ht="15.0" customHeight="1">
      <c r="A286" s="56" t="s">
        <v>2115</v>
      </c>
      <c r="B286" s="56" t="s">
        <v>2116</v>
      </c>
      <c r="C286" s="57" t="s">
        <v>2117</v>
      </c>
      <c r="D286" s="58">
        <v>9.565548543E9</v>
      </c>
      <c r="E286" s="56" t="s">
        <v>2118</v>
      </c>
      <c r="F286" s="56" t="s">
        <v>504</v>
      </c>
      <c r="G286" s="56" t="s">
        <v>2119</v>
      </c>
      <c r="H286" s="56" t="s">
        <v>379</v>
      </c>
      <c r="I286" s="56" t="s">
        <v>365</v>
      </c>
      <c r="J286" s="56" t="s">
        <v>413</v>
      </c>
      <c r="K286" s="56" t="s">
        <v>400</v>
      </c>
      <c r="L286" s="56" t="s">
        <v>368</v>
      </c>
      <c r="M286" s="59"/>
      <c r="N286" s="59"/>
      <c r="O286" s="56" t="s">
        <v>382</v>
      </c>
      <c r="P286" s="60">
        <v>46025.0</v>
      </c>
      <c r="Q286" s="56" t="s">
        <v>2120</v>
      </c>
      <c r="R286" s="56" t="s">
        <v>2121</v>
      </c>
      <c r="S286" s="59"/>
      <c r="T286" s="56" t="s">
        <v>393</v>
      </c>
      <c r="U286" s="61" t="s">
        <v>373</v>
      </c>
      <c r="V286" s="58" t="s">
        <v>2122</v>
      </c>
      <c r="X286" s="55" t="b">
        <f t="shared" si="1"/>
        <v>0</v>
      </c>
    </row>
    <row r="287" ht="15.0" customHeight="1">
      <c r="A287" s="56" t="s">
        <v>2123</v>
      </c>
      <c r="B287" s="56" t="s">
        <v>2124</v>
      </c>
      <c r="C287" s="57" t="s">
        <v>2125</v>
      </c>
      <c r="D287" s="56" t="s">
        <v>2126</v>
      </c>
      <c r="E287" s="56" t="s">
        <v>2127</v>
      </c>
      <c r="F287" s="56" t="s">
        <v>377</v>
      </c>
      <c r="G287" s="56" t="s">
        <v>378</v>
      </c>
      <c r="H287" s="56" t="s">
        <v>364</v>
      </c>
      <c r="I287" s="56" t="s">
        <v>365</v>
      </c>
      <c r="J287" s="56" t="s">
        <v>366</v>
      </c>
      <c r="K287" s="56" t="s">
        <v>400</v>
      </c>
      <c r="L287" s="56" t="s">
        <v>368</v>
      </c>
      <c r="M287" s="59"/>
      <c r="N287" s="59"/>
      <c r="O287" s="56" t="s">
        <v>414</v>
      </c>
      <c r="P287" s="60">
        <v>46025.0</v>
      </c>
      <c r="Q287" s="56" t="s">
        <v>2128</v>
      </c>
      <c r="R287" s="56" t="s">
        <v>1426</v>
      </c>
      <c r="S287" s="59"/>
      <c r="T287" s="56" t="s">
        <v>393</v>
      </c>
      <c r="U287" s="61" t="s">
        <v>373</v>
      </c>
      <c r="V287" s="58" t="s">
        <v>2129</v>
      </c>
      <c r="X287" s="55" t="b">
        <f t="shared" si="1"/>
        <v>0</v>
      </c>
    </row>
    <row r="288" ht="15.0" customHeight="1">
      <c r="A288" s="56" t="s">
        <v>2130</v>
      </c>
      <c r="B288" s="56" t="s">
        <v>2131</v>
      </c>
      <c r="C288" s="57" t="s">
        <v>2132</v>
      </c>
      <c r="D288" s="58">
        <v>7.138829557E9</v>
      </c>
      <c r="E288" s="56" t="s">
        <v>753</v>
      </c>
      <c r="F288" s="56" t="s">
        <v>362</v>
      </c>
      <c r="G288" s="56" t="s">
        <v>581</v>
      </c>
      <c r="H288" s="56" t="s">
        <v>379</v>
      </c>
      <c r="I288" s="56" t="s">
        <v>412</v>
      </c>
      <c r="J288" s="56" t="s">
        <v>366</v>
      </c>
      <c r="K288" s="56" t="s">
        <v>483</v>
      </c>
      <c r="L288" s="56" t="s">
        <v>368</v>
      </c>
      <c r="M288" s="58">
        <v>2.0</v>
      </c>
      <c r="N288" s="58">
        <v>2.0</v>
      </c>
      <c r="O288" s="56" t="s">
        <v>382</v>
      </c>
      <c r="P288" s="60">
        <v>46118.0</v>
      </c>
      <c r="Q288" s="56" t="s">
        <v>2133</v>
      </c>
      <c r="R288" s="56" t="s">
        <v>2134</v>
      </c>
      <c r="S288" s="59"/>
      <c r="T288" s="56" t="s">
        <v>385</v>
      </c>
      <c r="U288" s="61" t="s">
        <v>373</v>
      </c>
      <c r="V288" s="58" t="s">
        <v>2135</v>
      </c>
      <c r="X288" s="55" t="b">
        <f t="shared" si="1"/>
        <v>0</v>
      </c>
    </row>
    <row r="289" ht="15.0" customHeight="1">
      <c r="A289" s="56" t="s">
        <v>2136</v>
      </c>
      <c r="B289" s="56" t="s">
        <v>2137</v>
      </c>
      <c r="C289" s="57" t="s">
        <v>2138</v>
      </c>
      <c r="D289" s="58">
        <v>6.788945821E9</v>
      </c>
      <c r="E289" s="56" t="s">
        <v>361</v>
      </c>
      <c r="F289" s="56" t="s">
        <v>390</v>
      </c>
      <c r="G289" s="56" t="s">
        <v>2139</v>
      </c>
      <c r="H289" s="56" t="s">
        <v>379</v>
      </c>
      <c r="I289" s="56" t="s">
        <v>412</v>
      </c>
      <c r="J289" s="56" t="s">
        <v>413</v>
      </c>
      <c r="K289" s="56" t="s">
        <v>381</v>
      </c>
      <c r="L289" s="56" t="s">
        <v>368</v>
      </c>
      <c r="M289" s="59"/>
      <c r="N289" s="59"/>
      <c r="O289" s="56" t="s">
        <v>414</v>
      </c>
      <c r="P289" s="60">
        <v>46025.0</v>
      </c>
      <c r="Q289" s="56" t="s">
        <v>2140</v>
      </c>
      <c r="R289" s="56" t="s">
        <v>2141</v>
      </c>
      <c r="S289" s="59"/>
      <c r="T289" s="56" t="s">
        <v>385</v>
      </c>
      <c r="U289" s="61" t="s">
        <v>373</v>
      </c>
      <c r="V289" s="58" t="s">
        <v>2142</v>
      </c>
      <c r="X289" s="55" t="b">
        <f t="shared" si="1"/>
        <v>0</v>
      </c>
    </row>
    <row r="290" ht="15.0" customHeight="1">
      <c r="A290" s="56" t="s">
        <v>272</v>
      </c>
      <c r="B290" s="56" t="s">
        <v>2143</v>
      </c>
      <c r="C290" s="57" t="s">
        <v>2144</v>
      </c>
      <c r="D290" s="56" t="s">
        <v>2145</v>
      </c>
      <c r="E290" s="56" t="s">
        <v>1604</v>
      </c>
      <c r="F290" s="56" t="s">
        <v>1114</v>
      </c>
      <c r="G290" s="56" t="s">
        <v>2146</v>
      </c>
      <c r="H290" s="56" t="s">
        <v>364</v>
      </c>
      <c r="I290" s="56" t="s">
        <v>365</v>
      </c>
      <c r="J290" s="56" t="s">
        <v>413</v>
      </c>
      <c r="K290" s="56" t="s">
        <v>381</v>
      </c>
      <c r="L290" s="56" t="s">
        <v>368</v>
      </c>
      <c r="M290" s="59"/>
      <c r="N290" s="59"/>
      <c r="O290" s="56" t="s">
        <v>382</v>
      </c>
      <c r="P290" s="60">
        <v>46025.0</v>
      </c>
      <c r="Q290" s="56" t="s">
        <v>2147</v>
      </c>
      <c r="R290" s="56" t="s">
        <v>2148</v>
      </c>
      <c r="S290" s="59"/>
      <c r="T290" s="56" t="s">
        <v>385</v>
      </c>
      <c r="U290" s="61" t="s">
        <v>373</v>
      </c>
      <c r="V290" s="58" t="s">
        <v>2149</v>
      </c>
      <c r="X290" s="55" t="b">
        <f t="shared" si="1"/>
        <v>0</v>
      </c>
    </row>
    <row r="291" ht="15.0" customHeight="1">
      <c r="A291" s="56" t="s">
        <v>2150</v>
      </c>
      <c r="B291" s="56" t="s">
        <v>2151</v>
      </c>
      <c r="C291" s="57" t="s">
        <v>2152</v>
      </c>
      <c r="D291" s="58">
        <v>2.819174795E9</v>
      </c>
      <c r="E291" s="56" t="s">
        <v>579</v>
      </c>
      <c r="F291" s="56" t="s">
        <v>390</v>
      </c>
      <c r="G291" s="56" t="s">
        <v>2153</v>
      </c>
      <c r="H291" s="56" t="s">
        <v>379</v>
      </c>
      <c r="I291" s="56" t="s">
        <v>412</v>
      </c>
      <c r="J291" s="56" t="s">
        <v>413</v>
      </c>
      <c r="K291" s="56" t="s">
        <v>400</v>
      </c>
      <c r="L291" s="56" t="s">
        <v>368</v>
      </c>
      <c r="M291" s="59"/>
      <c r="N291" s="59"/>
      <c r="O291" s="56" t="s">
        <v>382</v>
      </c>
      <c r="P291" s="60">
        <v>46025.0</v>
      </c>
      <c r="Q291" s="56" t="s">
        <v>2154</v>
      </c>
      <c r="R291" s="56" t="s">
        <v>1785</v>
      </c>
      <c r="S291" s="59"/>
      <c r="T291" s="56" t="s">
        <v>393</v>
      </c>
      <c r="U291" s="61" t="s">
        <v>373</v>
      </c>
      <c r="V291" s="58" t="s">
        <v>2155</v>
      </c>
      <c r="X291" s="55" t="b">
        <f t="shared" si="1"/>
        <v>0</v>
      </c>
    </row>
    <row r="292" ht="15.0" customHeight="1">
      <c r="A292" s="56" t="s">
        <v>323</v>
      </c>
      <c r="B292" s="56" t="s">
        <v>2156</v>
      </c>
      <c r="C292" s="57" t="s">
        <v>2157</v>
      </c>
      <c r="D292" s="56" t="s">
        <v>2158</v>
      </c>
      <c r="E292" s="56" t="s">
        <v>587</v>
      </c>
      <c r="F292" s="56" t="s">
        <v>390</v>
      </c>
      <c r="G292" s="56" t="s">
        <v>2159</v>
      </c>
      <c r="H292" s="56" t="s">
        <v>399</v>
      </c>
      <c r="I292" s="56" t="s">
        <v>365</v>
      </c>
      <c r="J292" s="56" t="s">
        <v>366</v>
      </c>
      <c r="K292" s="56" t="s">
        <v>367</v>
      </c>
      <c r="L292" s="56" t="s">
        <v>368</v>
      </c>
      <c r="M292" s="59"/>
      <c r="N292" s="59"/>
      <c r="O292" s="56" t="s">
        <v>382</v>
      </c>
      <c r="P292" s="60">
        <v>46025.0</v>
      </c>
      <c r="Q292" s="56" t="s">
        <v>2160</v>
      </c>
      <c r="R292" s="56" t="s">
        <v>2161</v>
      </c>
      <c r="S292" s="59"/>
      <c r="T292" s="56" t="s">
        <v>372</v>
      </c>
      <c r="U292" s="61" t="s">
        <v>373</v>
      </c>
      <c r="V292" s="58" t="s">
        <v>2162</v>
      </c>
      <c r="X292" s="55" t="b">
        <f t="shared" si="1"/>
        <v>0</v>
      </c>
    </row>
    <row r="293" ht="15.0" customHeight="1">
      <c r="A293" s="56" t="s">
        <v>2163</v>
      </c>
      <c r="B293" s="56" t="s">
        <v>2164</v>
      </c>
      <c r="C293" s="57" t="s">
        <v>2165</v>
      </c>
      <c r="D293" s="58">
        <v>8.064205924E9</v>
      </c>
      <c r="E293" s="56" t="s">
        <v>2166</v>
      </c>
      <c r="F293" s="56" t="s">
        <v>377</v>
      </c>
      <c r="G293" s="56" t="s">
        <v>436</v>
      </c>
      <c r="H293" s="56" t="s">
        <v>399</v>
      </c>
      <c r="I293" s="56" t="s">
        <v>412</v>
      </c>
      <c r="J293" s="56" t="s">
        <v>413</v>
      </c>
      <c r="K293" s="56" t="s">
        <v>381</v>
      </c>
      <c r="L293" s="56" t="s">
        <v>368</v>
      </c>
      <c r="M293" s="58">
        <v>0.0</v>
      </c>
      <c r="N293" s="59"/>
      <c r="O293" s="56" t="s">
        <v>414</v>
      </c>
      <c r="P293" s="58">
        <v>0.0</v>
      </c>
      <c r="Q293" s="56" t="s">
        <v>2167</v>
      </c>
      <c r="R293" s="56" t="s">
        <v>2168</v>
      </c>
      <c r="S293" s="59"/>
      <c r="T293" s="56" t="s">
        <v>385</v>
      </c>
      <c r="U293" s="61" t="s">
        <v>373</v>
      </c>
      <c r="V293" s="58" t="s">
        <v>2169</v>
      </c>
      <c r="X293" s="55" t="b">
        <f t="shared" si="1"/>
        <v>0</v>
      </c>
    </row>
    <row r="294" ht="15.0" customHeight="1">
      <c r="A294" s="56" t="s">
        <v>2170</v>
      </c>
      <c r="B294" s="56" t="s">
        <v>2171</v>
      </c>
      <c r="C294" s="57" t="s">
        <v>2172</v>
      </c>
      <c r="D294" s="58">
        <v>4.046217535E9</v>
      </c>
      <c r="E294" s="56" t="s">
        <v>458</v>
      </c>
      <c r="F294" s="56" t="s">
        <v>459</v>
      </c>
      <c r="G294" s="56" t="s">
        <v>2173</v>
      </c>
      <c r="H294" s="56" t="s">
        <v>399</v>
      </c>
      <c r="I294" s="56" t="s">
        <v>365</v>
      </c>
      <c r="J294" s="56" t="s">
        <v>413</v>
      </c>
      <c r="K294" s="56" t="s">
        <v>381</v>
      </c>
      <c r="L294" s="56" t="s">
        <v>368</v>
      </c>
      <c r="M294" s="59"/>
      <c r="N294" s="59"/>
      <c r="O294" s="56" t="s">
        <v>382</v>
      </c>
      <c r="P294" s="60">
        <v>46025.0</v>
      </c>
      <c r="Q294" s="56" t="s">
        <v>2171</v>
      </c>
      <c r="R294" s="56" t="s">
        <v>2174</v>
      </c>
      <c r="S294" s="59"/>
      <c r="T294" s="56" t="s">
        <v>385</v>
      </c>
      <c r="U294" s="61" t="s">
        <v>373</v>
      </c>
      <c r="V294" s="58" t="s">
        <v>2175</v>
      </c>
      <c r="X294" s="55" t="b">
        <f t="shared" si="1"/>
        <v>0</v>
      </c>
    </row>
    <row r="295" ht="15.0" customHeight="1">
      <c r="A295" s="56" t="s">
        <v>2176</v>
      </c>
      <c r="B295" s="56" t="s">
        <v>2177</v>
      </c>
      <c r="C295" s="57" t="s">
        <v>2178</v>
      </c>
      <c r="D295" s="56" t="s">
        <v>2179</v>
      </c>
      <c r="E295" s="56" t="s">
        <v>579</v>
      </c>
      <c r="F295" s="56" t="s">
        <v>410</v>
      </c>
      <c r="G295" s="56" t="s">
        <v>2180</v>
      </c>
      <c r="H295" s="56" t="s">
        <v>364</v>
      </c>
      <c r="I295" s="56" t="s">
        <v>412</v>
      </c>
      <c r="J295" s="56" t="s">
        <v>366</v>
      </c>
      <c r="K295" s="56" t="s">
        <v>483</v>
      </c>
      <c r="L295" s="56" t="s">
        <v>368</v>
      </c>
      <c r="M295" s="59"/>
      <c r="N295" s="59"/>
      <c r="O295" s="56" t="s">
        <v>382</v>
      </c>
      <c r="P295" s="60">
        <v>46025.0</v>
      </c>
      <c r="Q295" s="56" t="s">
        <v>2181</v>
      </c>
      <c r="R295" s="56" t="s">
        <v>2182</v>
      </c>
      <c r="S295" s="59"/>
      <c r="T295" s="56" t="s">
        <v>385</v>
      </c>
      <c r="U295" s="61" t="s">
        <v>373</v>
      </c>
      <c r="V295" s="58" t="s">
        <v>2183</v>
      </c>
      <c r="X295" s="55" t="b">
        <f t="shared" si="1"/>
        <v>0</v>
      </c>
    </row>
    <row r="296" ht="15.0" customHeight="1">
      <c r="A296" s="56" t="s">
        <v>2184</v>
      </c>
      <c r="B296" s="56" t="s">
        <v>2185</v>
      </c>
      <c r="C296" s="57" t="s">
        <v>2186</v>
      </c>
      <c r="D296" s="56" t="s">
        <v>2187</v>
      </c>
      <c r="E296" s="56" t="s">
        <v>361</v>
      </c>
      <c r="F296" s="56" t="s">
        <v>410</v>
      </c>
      <c r="G296" s="56" t="s">
        <v>2188</v>
      </c>
      <c r="H296" s="56" t="s">
        <v>379</v>
      </c>
      <c r="I296" s="56" t="s">
        <v>412</v>
      </c>
      <c r="J296" s="56" t="s">
        <v>366</v>
      </c>
      <c r="K296" s="56" t="s">
        <v>367</v>
      </c>
      <c r="L296" s="56" t="s">
        <v>368</v>
      </c>
      <c r="M296" s="59"/>
      <c r="N296" s="59"/>
      <c r="O296" s="56" t="s">
        <v>382</v>
      </c>
      <c r="P296" s="60">
        <v>46025.0</v>
      </c>
      <c r="Q296" s="56" t="s">
        <v>2185</v>
      </c>
      <c r="R296" s="56" t="s">
        <v>2121</v>
      </c>
      <c r="S296" s="59"/>
      <c r="T296" s="56" t="s">
        <v>372</v>
      </c>
      <c r="U296" s="61" t="s">
        <v>394</v>
      </c>
      <c r="V296" s="58" t="s">
        <v>2189</v>
      </c>
      <c r="X296" s="55" t="b">
        <f t="shared" si="1"/>
        <v>0</v>
      </c>
    </row>
    <row r="297" ht="15.0" customHeight="1">
      <c r="A297" s="56" t="s">
        <v>325</v>
      </c>
      <c r="B297" s="56" t="s">
        <v>2190</v>
      </c>
      <c r="C297" s="57" t="s">
        <v>2191</v>
      </c>
      <c r="D297" s="58">
        <v>7.138991853E9</v>
      </c>
      <c r="E297" s="56" t="s">
        <v>2192</v>
      </c>
      <c r="F297" s="56" t="s">
        <v>452</v>
      </c>
      <c r="G297" s="56" t="s">
        <v>2193</v>
      </c>
      <c r="H297" s="56" t="s">
        <v>2194</v>
      </c>
      <c r="I297" s="56" t="s">
        <v>412</v>
      </c>
      <c r="J297" s="56" t="s">
        <v>513</v>
      </c>
      <c r="K297" s="56" t="s">
        <v>400</v>
      </c>
      <c r="L297" s="56" t="s">
        <v>368</v>
      </c>
      <c r="M297" s="58">
        <v>1.0</v>
      </c>
      <c r="N297" s="59"/>
      <c r="O297" s="56" t="s">
        <v>382</v>
      </c>
      <c r="P297" s="60">
        <v>46025.0</v>
      </c>
      <c r="Q297" s="56" t="s">
        <v>2195</v>
      </c>
      <c r="R297" s="56" t="s">
        <v>2009</v>
      </c>
      <c r="S297" s="59"/>
      <c r="T297" s="56" t="s">
        <v>393</v>
      </c>
      <c r="U297" s="61" t="s">
        <v>373</v>
      </c>
      <c r="V297" s="58" t="s">
        <v>2196</v>
      </c>
      <c r="X297" s="55" t="b">
        <f t="shared" si="1"/>
        <v>1</v>
      </c>
    </row>
    <row r="298" ht="15.0" customHeight="1">
      <c r="A298" s="56" t="s">
        <v>2197</v>
      </c>
      <c r="B298" s="56" t="s">
        <v>2198</v>
      </c>
      <c r="C298" s="57" t="s">
        <v>2199</v>
      </c>
      <c r="D298" s="56" t="s">
        <v>2200</v>
      </c>
      <c r="E298" s="56" t="s">
        <v>361</v>
      </c>
      <c r="F298" s="56" t="s">
        <v>377</v>
      </c>
      <c r="G298" s="56" t="s">
        <v>377</v>
      </c>
      <c r="H298" s="56" t="s">
        <v>364</v>
      </c>
      <c r="I298" s="56" t="s">
        <v>365</v>
      </c>
      <c r="J298" s="56" t="s">
        <v>366</v>
      </c>
      <c r="K298" s="56" t="s">
        <v>400</v>
      </c>
      <c r="L298" s="56" t="s">
        <v>368</v>
      </c>
      <c r="M298" s="58">
        <v>0.0</v>
      </c>
      <c r="N298" s="59"/>
      <c r="O298" s="56" t="s">
        <v>382</v>
      </c>
      <c r="P298" s="60">
        <v>46025.0</v>
      </c>
      <c r="Q298" s="56" t="s">
        <v>2201</v>
      </c>
      <c r="R298" s="56" t="s">
        <v>2202</v>
      </c>
      <c r="S298" s="59"/>
      <c r="T298" s="56" t="s">
        <v>393</v>
      </c>
      <c r="U298" s="61" t="s">
        <v>394</v>
      </c>
      <c r="V298" s="58" t="s">
        <v>2203</v>
      </c>
      <c r="X298" s="55" t="b">
        <f t="shared" si="1"/>
        <v>0</v>
      </c>
    </row>
    <row r="299" ht="15.0" customHeight="1">
      <c r="A299" s="56" t="s">
        <v>278</v>
      </c>
      <c r="B299" s="56" t="s">
        <v>2204</v>
      </c>
      <c r="C299" s="57" t="s">
        <v>2205</v>
      </c>
      <c r="D299" s="56" t="s">
        <v>2206</v>
      </c>
      <c r="E299" s="56" t="s">
        <v>361</v>
      </c>
      <c r="F299" s="56" t="s">
        <v>377</v>
      </c>
      <c r="G299" s="56" t="s">
        <v>378</v>
      </c>
      <c r="H299" s="56" t="s">
        <v>364</v>
      </c>
      <c r="I299" s="56" t="s">
        <v>365</v>
      </c>
      <c r="J299" s="56" t="s">
        <v>413</v>
      </c>
      <c r="K299" s="56" t="s">
        <v>400</v>
      </c>
      <c r="L299" s="56" t="s">
        <v>368</v>
      </c>
      <c r="M299" s="58">
        <v>0.0</v>
      </c>
      <c r="N299" s="59"/>
      <c r="O299" s="56" t="s">
        <v>382</v>
      </c>
      <c r="P299" s="60">
        <v>46025.0</v>
      </c>
      <c r="Q299" s="56" t="s">
        <v>2207</v>
      </c>
      <c r="R299" s="56" t="s">
        <v>1759</v>
      </c>
      <c r="S299" s="59"/>
      <c r="T299" s="56" t="s">
        <v>393</v>
      </c>
      <c r="U299" s="61" t="s">
        <v>373</v>
      </c>
      <c r="V299" s="58" t="s">
        <v>575</v>
      </c>
      <c r="X299" s="55" t="b">
        <f t="shared" si="1"/>
        <v>0</v>
      </c>
    </row>
    <row r="300" ht="15.0" customHeight="1">
      <c r="A300" s="56" t="s">
        <v>2208</v>
      </c>
      <c r="B300" s="56" t="s">
        <v>2209</v>
      </c>
      <c r="C300" s="57" t="s">
        <v>2210</v>
      </c>
      <c r="D300" s="58">
        <v>2.169540075E9</v>
      </c>
      <c r="E300" s="56" t="s">
        <v>361</v>
      </c>
      <c r="F300" s="56" t="s">
        <v>377</v>
      </c>
      <c r="G300" s="56" t="s">
        <v>2211</v>
      </c>
      <c r="H300" s="56" t="s">
        <v>364</v>
      </c>
      <c r="I300" s="56" t="s">
        <v>520</v>
      </c>
      <c r="J300" s="56" t="s">
        <v>366</v>
      </c>
      <c r="K300" s="56" t="s">
        <v>367</v>
      </c>
      <c r="L300" s="56" t="s">
        <v>368</v>
      </c>
      <c r="M300" s="59"/>
      <c r="N300" s="59"/>
      <c r="O300" s="56" t="s">
        <v>382</v>
      </c>
      <c r="P300" s="60">
        <v>46025.0</v>
      </c>
      <c r="Q300" s="56" t="s">
        <v>2212</v>
      </c>
      <c r="R300" s="56" t="s">
        <v>2079</v>
      </c>
      <c r="S300" s="59"/>
      <c r="T300" s="56" t="s">
        <v>372</v>
      </c>
      <c r="U300" s="61" t="s">
        <v>373</v>
      </c>
      <c r="V300" s="58" t="s">
        <v>2213</v>
      </c>
      <c r="X300" s="55" t="b">
        <f t="shared" si="1"/>
        <v>0</v>
      </c>
    </row>
    <row r="301" ht="15.0" customHeight="1">
      <c r="A301" s="56" t="s">
        <v>279</v>
      </c>
      <c r="B301" s="56" t="s">
        <v>2214</v>
      </c>
      <c r="C301" s="57" t="s">
        <v>2215</v>
      </c>
      <c r="D301" s="56" t="s">
        <v>2216</v>
      </c>
      <c r="E301" s="56" t="s">
        <v>361</v>
      </c>
      <c r="F301" s="56" t="s">
        <v>377</v>
      </c>
      <c r="G301" s="56" t="s">
        <v>378</v>
      </c>
      <c r="H301" s="56" t="s">
        <v>379</v>
      </c>
      <c r="I301" s="56" t="s">
        <v>365</v>
      </c>
      <c r="J301" s="56" t="s">
        <v>413</v>
      </c>
      <c r="K301" s="56" t="s">
        <v>367</v>
      </c>
      <c r="L301" s="56" t="s">
        <v>368</v>
      </c>
      <c r="M301" s="59"/>
      <c r="N301" s="59"/>
      <c r="O301" s="56" t="s">
        <v>382</v>
      </c>
      <c r="P301" s="60">
        <v>46025.0</v>
      </c>
      <c r="Q301" s="59"/>
      <c r="R301" s="56" t="s">
        <v>2202</v>
      </c>
      <c r="S301" s="59"/>
      <c r="T301" s="56" t="s">
        <v>372</v>
      </c>
      <c r="U301" s="61" t="s">
        <v>373</v>
      </c>
      <c r="V301" s="58" t="s">
        <v>2217</v>
      </c>
      <c r="X301" s="55" t="b">
        <f t="shared" si="1"/>
        <v>0</v>
      </c>
    </row>
    <row r="302" ht="15.0" customHeight="1">
      <c r="A302" s="56" t="s">
        <v>280</v>
      </c>
      <c r="B302" s="56" t="s">
        <v>2218</v>
      </c>
      <c r="C302" s="57" t="s">
        <v>2219</v>
      </c>
      <c r="D302" s="58">
        <v>8.323225299E9</v>
      </c>
      <c r="E302" s="56" t="s">
        <v>511</v>
      </c>
      <c r="F302" s="56" t="s">
        <v>377</v>
      </c>
      <c r="G302" s="56" t="s">
        <v>2220</v>
      </c>
      <c r="H302" s="56" t="s">
        <v>364</v>
      </c>
      <c r="I302" s="56" t="s">
        <v>365</v>
      </c>
      <c r="J302" s="56" t="s">
        <v>513</v>
      </c>
      <c r="K302" s="56" t="s">
        <v>497</v>
      </c>
      <c r="L302" s="56" t="s">
        <v>368</v>
      </c>
      <c r="M302" s="58">
        <v>5.0</v>
      </c>
      <c r="N302" s="58">
        <v>5.0</v>
      </c>
      <c r="O302" s="56" t="s">
        <v>1044</v>
      </c>
      <c r="P302" s="60">
        <v>46213.0</v>
      </c>
      <c r="Q302" s="59"/>
      <c r="R302" s="56" t="s">
        <v>2221</v>
      </c>
      <c r="S302" s="59"/>
      <c r="T302" s="56" t="s">
        <v>385</v>
      </c>
      <c r="U302" s="61" t="s">
        <v>373</v>
      </c>
      <c r="V302" s="58" t="s">
        <v>2222</v>
      </c>
      <c r="X302" s="55" t="b">
        <f t="shared" si="1"/>
        <v>1</v>
      </c>
    </row>
    <row r="303" ht="15.0" customHeight="1">
      <c r="A303" s="56" t="s">
        <v>335</v>
      </c>
      <c r="B303" s="56" t="s">
        <v>2223</v>
      </c>
      <c r="C303" s="57" t="s">
        <v>2224</v>
      </c>
      <c r="D303" s="56" t="s">
        <v>2225</v>
      </c>
      <c r="E303" s="56" t="s">
        <v>579</v>
      </c>
      <c r="F303" s="56" t="s">
        <v>709</v>
      </c>
      <c r="G303" s="56" t="s">
        <v>2226</v>
      </c>
      <c r="H303" s="56" t="s">
        <v>364</v>
      </c>
      <c r="I303" s="56" t="s">
        <v>365</v>
      </c>
      <c r="J303" s="56" t="s">
        <v>366</v>
      </c>
      <c r="K303" s="56" t="s">
        <v>381</v>
      </c>
      <c r="L303" s="56" t="s">
        <v>368</v>
      </c>
      <c r="M303" s="58">
        <v>2.0</v>
      </c>
      <c r="N303" s="58">
        <v>2.0</v>
      </c>
      <c r="O303" s="56" t="s">
        <v>2227</v>
      </c>
      <c r="P303" s="60">
        <v>46025.0</v>
      </c>
      <c r="Q303" s="59"/>
      <c r="R303" s="56" t="s">
        <v>2228</v>
      </c>
      <c r="S303" s="59"/>
      <c r="T303" s="56" t="s">
        <v>385</v>
      </c>
      <c r="U303" s="61" t="s">
        <v>373</v>
      </c>
      <c r="V303" s="58" t="s">
        <v>2229</v>
      </c>
      <c r="X303" s="55" t="b">
        <f t="shared" si="1"/>
        <v>0</v>
      </c>
    </row>
    <row r="304" ht="15.0" customHeight="1">
      <c r="A304" s="56" t="s">
        <v>2230</v>
      </c>
      <c r="B304" s="56" t="s">
        <v>2231</v>
      </c>
      <c r="C304" s="57" t="s">
        <v>2232</v>
      </c>
      <c r="D304" s="56" t="s">
        <v>2233</v>
      </c>
      <c r="E304" s="56" t="s">
        <v>361</v>
      </c>
      <c r="F304" s="56" t="s">
        <v>377</v>
      </c>
      <c r="G304" s="56" t="s">
        <v>2234</v>
      </c>
      <c r="H304" s="56" t="s">
        <v>364</v>
      </c>
      <c r="I304" s="56" t="s">
        <v>520</v>
      </c>
      <c r="J304" s="56" t="s">
        <v>366</v>
      </c>
      <c r="K304" s="56" t="s">
        <v>483</v>
      </c>
      <c r="L304" s="56" t="s">
        <v>368</v>
      </c>
      <c r="M304" s="59"/>
      <c r="N304" s="59"/>
      <c r="O304" s="56" t="s">
        <v>369</v>
      </c>
      <c r="P304" s="58">
        <v>0.0</v>
      </c>
      <c r="Q304" s="56" t="s">
        <v>2235</v>
      </c>
      <c r="R304" s="56" t="s">
        <v>2236</v>
      </c>
      <c r="S304" s="59"/>
      <c r="T304" s="56" t="s">
        <v>385</v>
      </c>
      <c r="U304" s="61" t="s">
        <v>373</v>
      </c>
      <c r="V304" s="58" t="s">
        <v>516</v>
      </c>
      <c r="X304" s="55" t="b">
        <f t="shared" si="1"/>
        <v>0</v>
      </c>
    </row>
    <row r="305" ht="15.0" customHeight="1">
      <c r="A305" s="56" t="s">
        <v>282</v>
      </c>
      <c r="B305" s="56" t="s">
        <v>2237</v>
      </c>
      <c r="C305" s="57" t="s">
        <v>2238</v>
      </c>
      <c r="D305" s="58">
        <v>8.176295806E9</v>
      </c>
      <c r="E305" s="56" t="s">
        <v>361</v>
      </c>
      <c r="F305" s="56" t="s">
        <v>377</v>
      </c>
      <c r="G305" s="56" t="s">
        <v>378</v>
      </c>
      <c r="H305" s="56" t="s">
        <v>399</v>
      </c>
      <c r="I305" s="56" t="s">
        <v>520</v>
      </c>
      <c r="J305" s="56" t="s">
        <v>513</v>
      </c>
      <c r="K305" s="56" t="s">
        <v>497</v>
      </c>
      <c r="L305" s="56" t="s">
        <v>368</v>
      </c>
      <c r="M305" s="59"/>
      <c r="N305" s="59"/>
      <c r="O305" s="56" t="s">
        <v>382</v>
      </c>
      <c r="P305" s="60">
        <v>46025.0</v>
      </c>
      <c r="Q305" s="56" t="s">
        <v>2239</v>
      </c>
      <c r="R305" s="56" t="s">
        <v>2240</v>
      </c>
      <c r="S305" s="59"/>
      <c r="T305" s="56" t="s">
        <v>385</v>
      </c>
      <c r="U305" s="61" t="s">
        <v>373</v>
      </c>
      <c r="V305" s="58" t="s">
        <v>2241</v>
      </c>
      <c r="X305" s="55" t="b">
        <f t="shared" si="1"/>
        <v>1</v>
      </c>
    </row>
    <row r="306" ht="15.0" customHeight="1">
      <c r="A306" s="56" t="s">
        <v>2242</v>
      </c>
      <c r="B306" s="56" t="s">
        <v>2243</v>
      </c>
      <c r="C306" s="57" t="s">
        <v>2244</v>
      </c>
      <c r="D306" s="56" t="s">
        <v>2245</v>
      </c>
      <c r="E306" s="56" t="s">
        <v>2246</v>
      </c>
      <c r="F306" s="56" t="s">
        <v>390</v>
      </c>
      <c r="G306" s="56" t="s">
        <v>2247</v>
      </c>
      <c r="H306" s="56" t="s">
        <v>364</v>
      </c>
      <c r="I306" s="56" t="s">
        <v>830</v>
      </c>
      <c r="J306" s="56" t="s">
        <v>413</v>
      </c>
      <c r="K306" s="56" t="s">
        <v>367</v>
      </c>
      <c r="L306" s="56" t="s">
        <v>368</v>
      </c>
      <c r="M306" s="59"/>
      <c r="N306" s="59"/>
      <c r="O306" s="56" t="s">
        <v>382</v>
      </c>
      <c r="P306" s="58">
        <v>0.0</v>
      </c>
      <c r="Q306" s="56" t="s">
        <v>2248</v>
      </c>
      <c r="R306" s="56" t="s">
        <v>2249</v>
      </c>
      <c r="S306" s="59"/>
      <c r="T306" s="56" t="s">
        <v>372</v>
      </c>
      <c r="U306" s="61" t="s">
        <v>373</v>
      </c>
      <c r="V306" s="58" t="s">
        <v>2250</v>
      </c>
      <c r="X306" s="55" t="b">
        <f t="shared" si="1"/>
        <v>0</v>
      </c>
    </row>
    <row r="307" ht="15.0" customHeight="1">
      <c r="A307" s="56" t="s">
        <v>326</v>
      </c>
      <c r="B307" s="56" t="s">
        <v>2251</v>
      </c>
      <c r="C307" s="57" t="s">
        <v>2252</v>
      </c>
      <c r="D307" s="58">
        <v>4.43224154E9</v>
      </c>
      <c r="E307" s="56" t="s">
        <v>511</v>
      </c>
      <c r="F307" s="56" t="s">
        <v>377</v>
      </c>
      <c r="G307" s="56" t="s">
        <v>1281</v>
      </c>
      <c r="H307" s="56" t="s">
        <v>379</v>
      </c>
      <c r="I307" s="56" t="s">
        <v>365</v>
      </c>
      <c r="J307" s="56" t="s">
        <v>413</v>
      </c>
      <c r="K307" s="56" t="s">
        <v>400</v>
      </c>
      <c r="L307" s="56" t="s">
        <v>368</v>
      </c>
      <c r="M307" s="59"/>
      <c r="N307" s="59"/>
      <c r="O307" s="56" t="s">
        <v>382</v>
      </c>
      <c r="P307" s="60">
        <v>46025.0</v>
      </c>
      <c r="Q307" s="59"/>
      <c r="R307" s="56" t="s">
        <v>1689</v>
      </c>
      <c r="S307" s="59"/>
      <c r="T307" s="56" t="s">
        <v>393</v>
      </c>
      <c r="U307" s="61" t="s">
        <v>373</v>
      </c>
      <c r="V307" s="58" t="s">
        <v>712</v>
      </c>
      <c r="X307" s="55" t="b">
        <f t="shared" si="1"/>
        <v>0</v>
      </c>
    </row>
    <row r="308" ht="15.0" customHeight="1">
      <c r="A308" s="56" t="s">
        <v>284</v>
      </c>
      <c r="B308" s="56" t="s">
        <v>2253</v>
      </c>
      <c r="C308" s="57" t="s">
        <v>2254</v>
      </c>
      <c r="D308" s="58">
        <v>8.327244086E9</v>
      </c>
      <c r="E308" s="56" t="s">
        <v>552</v>
      </c>
      <c r="F308" s="56" t="s">
        <v>390</v>
      </c>
      <c r="G308" s="56" t="s">
        <v>2255</v>
      </c>
      <c r="H308" s="56" t="s">
        <v>364</v>
      </c>
      <c r="I308" s="56" t="s">
        <v>365</v>
      </c>
      <c r="J308" s="56" t="s">
        <v>366</v>
      </c>
      <c r="K308" s="56" t="s">
        <v>392</v>
      </c>
      <c r="L308" s="56" t="s">
        <v>368</v>
      </c>
      <c r="M308" s="59"/>
      <c r="N308" s="59"/>
      <c r="O308" s="56" t="s">
        <v>382</v>
      </c>
      <c r="P308" s="60">
        <v>46025.0</v>
      </c>
      <c r="Q308" s="56" t="s">
        <v>2256</v>
      </c>
      <c r="R308" s="56" t="s">
        <v>2257</v>
      </c>
      <c r="S308" s="59"/>
      <c r="T308" s="56" t="s">
        <v>393</v>
      </c>
      <c r="U308" s="61" t="s">
        <v>373</v>
      </c>
      <c r="V308" s="58" t="s">
        <v>2258</v>
      </c>
      <c r="X308" s="55" t="b">
        <f t="shared" si="1"/>
        <v>0</v>
      </c>
    </row>
    <row r="309" ht="15.0" customHeight="1">
      <c r="A309" s="56" t="s">
        <v>285</v>
      </c>
      <c r="B309" s="56" t="s">
        <v>2259</v>
      </c>
      <c r="C309" s="57" t="s">
        <v>2260</v>
      </c>
      <c r="D309" s="56" t="s">
        <v>2261</v>
      </c>
      <c r="E309" s="56" t="s">
        <v>1135</v>
      </c>
      <c r="F309" s="56" t="s">
        <v>377</v>
      </c>
      <c r="G309" s="56" t="s">
        <v>2262</v>
      </c>
      <c r="H309" s="56" t="s">
        <v>364</v>
      </c>
      <c r="I309" s="56" t="s">
        <v>365</v>
      </c>
      <c r="J309" s="56" t="s">
        <v>366</v>
      </c>
      <c r="K309" s="56" t="s">
        <v>392</v>
      </c>
      <c r="L309" s="56" t="s">
        <v>368</v>
      </c>
      <c r="M309" s="59"/>
      <c r="N309" s="59"/>
      <c r="O309" s="56" t="s">
        <v>382</v>
      </c>
      <c r="P309" s="60">
        <v>46025.0</v>
      </c>
      <c r="Q309" s="59"/>
      <c r="R309" s="59"/>
      <c r="S309" s="59"/>
      <c r="T309" s="56" t="s">
        <v>393</v>
      </c>
      <c r="U309" s="61" t="s">
        <v>394</v>
      </c>
      <c r="V309" s="58" t="s">
        <v>2263</v>
      </c>
      <c r="X309" s="55" t="b">
        <f t="shared" si="1"/>
        <v>0</v>
      </c>
    </row>
    <row r="310" ht="15.0" customHeight="1">
      <c r="A310" s="56" t="s">
        <v>2264</v>
      </c>
      <c r="B310" s="56" t="s">
        <v>2265</v>
      </c>
      <c r="C310" s="57" t="s">
        <v>2266</v>
      </c>
      <c r="D310" s="58">
        <v>9.499237796E9</v>
      </c>
      <c r="E310" s="56" t="s">
        <v>361</v>
      </c>
      <c r="F310" s="56" t="s">
        <v>377</v>
      </c>
      <c r="G310" s="56" t="s">
        <v>532</v>
      </c>
      <c r="H310" s="56" t="s">
        <v>379</v>
      </c>
      <c r="I310" s="56" t="s">
        <v>365</v>
      </c>
      <c r="J310" s="56" t="s">
        <v>366</v>
      </c>
      <c r="K310" s="56" t="s">
        <v>381</v>
      </c>
      <c r="L310" s="56" t="s">
        <v>368</v>
      </c>
      <c r="M310" s="58">
        <v>2.0</v>
      </c>
      <c r="N310" s="58">
        <v>2.0</v>
      </c>
      <c r="O310" s="56" t="s">
        <v>382</v>
      </c>
      <c r="P310" s="60">
        <v>46118.0</v>
      </c>
      <c r="Q310" s="56" t="s">
        <v>2267</v>
      </c>
      <c r="R310" s="56" t="s">
        <v>2268</v>
      </c>
      <c r="S310" s="59"/>
      <c r="T310" s="56" t="s">
        <v>385</v>
      </c>
      <c r="U310" s="61" t="s">
        <v>373</v>
      </c>
      <c r="V310" s="58" t="s">
        <v>2269</v>
      </c>
      <c r="X310" s="55" t="b">
        <f t="shared" si="1"/>
        <v>0</v>
      </c>
    </row>
    <row r="311" ht="15.0" customHeight="1">
      <c r="A311" s="56" t="s">
        <v>287</v>
      </c>
      <c r="B311" s="56" t="s">
        <v>2270</v>
      </c>
      <c r="C311" s="57" t="s">
        <v>2271</v>
      </c>
      <c r="D311" s="58">
        <v>2.813521278E9</v>
      </c>
      <c r="E311" s="56" t="s">
        <v>361</v>
      </c>
      <c r="F311" s="56" t="s">
        <v>675</v>
      </c>
      <c r="G311" s="56" t="s">
        <v>676</v>
      </c>
      <c r="H311" s="56" t="s">
        <v>364</v>
      </c>
      <c r="I311" s="56" t="s">
        <v>380</v>
      </c>
      <c r="J311" s="56" t="s">
        <v>366</v>
      </c>
      <c r="K311" s="56" t="s">
        <v>400</v>
      </c>
      <c r="L311" s="56" t="s">
        <v>368</v>
      </c>
      <c r="M311" s="59"/>
      <c r="N311" s="59"/>
      <c r="O311" s="56" t="s">
        <v>382</v>
      </c>
      <c r="P311" s="60">
        <v>46025.0</v>
      </c>
      <c r="Q311" s="56" t="s">
        <v>2272</v>
      </c>
      <c r="R311" s="56" t="s">
        <v>2273</v>
      </c>
      <c r="S311" s="59"/>
      <c r="T311" s="56" t="s">
        <v>393</v>
      </c>
      <c r="U311" s="61" t="s">
        <v>373</v>
      </c>
      <c r="V311" s="58" t="s">
        <v>2274</v>
      </c>
      <c r="X311" s="55" t="b">
        <f t="shared" si="1"/>
        <v>0</v>
      </c>
    </row>
    <row r="312" ht="15.0" customHeight="1">
      <c r="A312" s="63" t="s">
        <v>2275</v>
      </c>
      <c r="B312" s="63" t="s">
        <v>2276</v>
      </c>
      <c r="C312" s="53" t="s">
        <v>2277</v>
      </c>
      <c r="D312" s="63" t="s">
        <v>2278</v>
      </c>
      <c r="E312" s="63" t="s">
        <v>511</v>
      </c>
      <c r="F312" s="63" t="s">
        <v>377</v>
      </c>
      <c r="G312" s="63" t="s">
        <v>2279</v>
      </c>
      <c r="H312" s="63" t="s">
        <v>379</v>
      </c>
      <c r="I312" s="63" t="s">
        <v>365</v>
      </c>
      <c r="J312" s="63" t="s">
        <v>413</v>
      </c>
      <c r="K312" s="63" t="s">
        <v>381</v>
      </c>
      <c r="L312" s="63" t="s">
        <v>423</v>
      </c>
      <c r="M312" s="65"/>
      <c r="N312" s="65"/>
      <c r="O312" s="63" t="s">
        <v>382</v>
      </c>
      <c r="P312" s="64">
        <v>0.0</v>
      </c>
      <c r="Q312" s="63" t="s">
        <v>2280</v>
      </c>
      <c r="R312" s="63" t="s">
        <v>2281</v>
      </c>
      <c r="S312" s="65"/>
      <c r="T312" s="63" t="s">
        <v>385</v>
      </c>
      <c r="U312" s="67" t="s">
        <v>373</v>
      </c>
      <c r="V312" s="64" t="s">
        <v>1336</v>
      </c>
      <c r="X312" s="55" t="b">
        <f t="shared" si="1"/>
        <v>0</v>
      </c>
    </row>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A$312"/>
  <hyperlinks>
    <hyperlink r:id="rId1" ref="A1"/>
    <hyperlink r:id="rId2" ref="B1"/>
    <hyperlink r:id="rId3" ref="D1"/>
    <hyperlink r:id="rId4" ref="L1"/>
    <hyperlink r:id="rId5" ref="M1"/>
    <hyperlink r:id="rId6" ref="N1"/>
    <hyperlink r:id="rId7" ref="O1"/>
    <hyperlink r:id="rId8" ref="R1"/>
    <hyperlink r:id="rId9" ref="S1"/>
    <hyperlink r:id="rId10" ref="V1"/>
    <hyperlink r:id="rId11" ref="C2"/>
    <hyperlink r:id="rId12" ref="C3"/>
    <hyperlink r:id="rId13" ref="C4"/>
    <hyperlink r:id="rId14" ref="C5"/>
    <hyperlink r:id="rId15" ref="C6"/>
    <hyperlink r:id="rId16" ref="C7"/>
    <hyperlink r:id="rId17" ref="C8"/>
    <hyperlink r:id="rId18" ref="C9"/>
    <hyperlink r:id="rId19" ref="C10"/>
    <hyperlink r:id="rId20" ref="C11"/>
    <hyperlink r:id="rId21" ref="C12"/>
    <hyperlink r:id="rId22" ref="C13"/>
    <hyperlink r:id="rId23" ref="C14"/>
    <hyperlink r:id="rId24" ref="C15"/>
    <hyperlink r:id="rId25" ref="C16"/>
    <hyperlink r:id="rId26" ref="C17"/>
    <hyperlink r:id="rId27" ref="C18"/>
    <hyperlink r:id="rId28" ref="C19"/>
    <hyperlink r:id="rId29" ref="C20"/>
    <hyperlink r:id="rId30" ref="C21"/>
    <hyperlink r:id="rId31" ref="C22"/>
    <hyperlink r:id="rId32" ref="C23"/>
    <hyperlink r:id="rId33" ref="C24"/>
    <hyperlink r:id="rId34" ref="C25"/>
    <hyperlink r:id="rId35" ref="C26"/>
    <hyperlink r:id="rId36" ref="C27"/>
    <hyperlink r:id="rId37" ref="C28"/>
    <hyperlink r:id="rId38" ref="C29"/>
    <hyperlink r:id="rId39" ref="C30"/>
    <hyperlink r:id="rId40" ref="C31"/>
    <hyperlink r:id="rId41" ref="C32"/>
    <hyperlink r:id="rId42" ref="C33"/>
    <hyperlink r:id="rId43" ref="C34"/>
    <hyperlink r:id="rId44" ref="C35"/>
    <hyperlink r:id="rId45" ref="C36"/>
    <hyperlink r:id="rId46" ref="C37"/>
    <hyperlink r:id="rId47" ref="C38"/>
    <hyperlink r:id="rId48" ref="C39"/>
    <hyperlink r:id="rId49" ref="C40"/>
    <hyperlink r:id="rId50" ref="C41"/>
    <hyperlink r:id="rId51" ref="C42"/>
    <hyperlink r:id="rId52" ref="C43"/>
    <hyperlink r:id="rId53" ref="C44"/>
    <hyperlink r:id="rId54" ref="C45"/>
    <hyperlink r:id="rId55" ref="C46"/>
    <hyperlink r:id="rId56" ref="C47"/>
    <hyperlink r:id="rId57" ref="C48"/>
    <hyperlink r:id="rId58" ref="C49"/>
    <hyperlink r:id="rId59" ref="C50"/>
    <hyperlink r:id="rId60" ref="C51"/>
    <hyperlink r:id="rId61" ref="C52"/>
    <hyperlink r:id="rId62" ref="C53"/>
    <hyperlink r:id="rId63" ref="C54"/>
    <hyperlink r:id="rId64" ref="C55"/>
    <hyperlink r:id="rId65" ref="C56"/>
    <hyperlink r:id="rId66" ref="C57"/>
    <hyperlink r:id="rId67" ref="C58"/>
    <hyperlink r:id="rId68" ref="C59"/>
    <hyperlink r:id="rId69" ref="C60"/>
    <hyperlink r:id="rId70" ref="C61"/>
    <hyperlink r:id="rId71" ref="C62"/>
    <hyperlink r:id="rId72" ref="C63"/>
    <hyperlink r:id="rId73" ref="C64"/>
    <hyperlink r:id="rId74" ref="C65"/>
    <hyperlink r:id="rId75" ref="C66"/>
    <hyperlink r:id="rId76" ref="C67"/>
    <hyperlink r:id="rId77" ref="C68"/>
    <hyperlink r:id="rId78" ref="C69"/>
    <hyperlink r:id="rId79" ref="C70"/>
    <hyperlink r:id="rId80" ref="C71"/>
    <hyperlink r:id="rId81" ref="C72"/>
    <hyperlink r:id="rId82" ref="C73"/>
    <hyperlink r:id="rId83" ref="C74"/>
    <hyperlink r:id="rId84" ref="C75"/>
    <hyperlink r:id="rId85" ref="C76"/>
    <hyperlink r:id="rId86" ref="C77"/>
    <hyperlink r:id="rId87" ref="C78"/>
    <hyperlink r:id="rId88" ref="C79"/>
    <hyperlink r:id="rId89" ref="C80"/>
    <hyperlink r:id="rId90" ref="C81"/>
    <hyperlink r:id="rId91" ref="C82"/>
    <hyperlink r:id="rId92" ref="C83"/>
    <hyperlink r:id="rId93" ref="C84"/>
    <hyperlink r:id="rId94" ref="C85"/>
    <hyperlink r:id="rId95" ref="C86"/>
    <hyperlink r:id="rId96" ref="C87"/>
    <hyperlink r:id="rId97" ref="C88"/>
    <hyperlink r:id="rId98" ref="C89"/>
    <hyperlink r:id="rId99" ref="C90"/>
    <hyperlink r:id="rId100" ref="C91"/>
    <hyperlink r:id="rId101" ref="C92"/>
    <hyperlink r:id="rId102" ref="C93"/>
    <hyperlink r:id="rId103" ref="C94"/>
    <hyperlink r:id="rId104" ref="C95"/>
    <hyperlink r:id="rId105" ref="C96"/>
    <hyperlink r:id="rId106" ref="C97"/>
    <hyperlink r:id="rId107" ref="C98"/>
    <hyperlink r:id="rId108" ref="C99"/>
    <hyperlink r:id="rId109" ref="C100"/>
    <hyperlink r:id="rId110" ref="C101"/>
    <hyperlink r:id="rId111" ref="C102"/>
    <hyperlink r:id="rId112" ref="C103"/>
    <hyperlink r:id="rId113" ref="C104"/>
    <hyperlink r:id="rId114" ref="C105"/>
    <hyperlink r:id="rId115" ref="C106"/>
    <hyperlink r:id="rId116" ref="C107"/>
    <hyperlink r:id="rId117" ref="C108"/>
    <hyperlink r:id="rId118" ref="C109"/>
    <hyperlink r:id="rId119" ref="C110"/>
    <hyperlink r:id="rId120" ref="C111"/>
    <hyperlink r:id="rId121" ref="C112"/>
    <hyperlink r:id="rId122" ref="C113"/>
    <hyperlink r:id="rId123" ref="C114"/>
    <hyperlink r:id="rId124" ref="C115"/>
    <hyperlink r:id="rId125" ref="C116"/>
    <hyperlink r:id="rId126" ref="C117"/>
    <hyperlink r:id="rId127" ref="C118"/>
    <hyperlink r:id="rId128" ref="C119"/>
    <hyperlink r:id="rId129" ref="C120"/>
    <hyperlink r:id="rId130" ref="C121"/>
    <hyperlink r:id="rId131" ref="C122"/>
    <hyperlink r:id="rId132" ref="C123"/>
    <hyperlink r:id="rId133" ref="C124"/>
    <hyperlink r:id="rId134" ref="C125"/>
    <hyperlink r:id="rId135" ref="C126"/>
    <hyperlink r:id="rId136" ref="C127"/>
    <hyperlink r:id="rId137" ref="C128"/>
    <hyperlink r:id="rId138" ref="C129"/>
    <hyperlink r:id="rId139" ref="C130"/>
    <hyperlink r:id="rId140" ref="C131"/>
    <hyperlink r:id="rId141" ref="C132"/>
    <hyperlink r:id="rId142" ref="C133"/>
    <hyperlink r:id="rId143" ref="C134"/>
    <hyperlink r:id="rId144" ref="C135"/>
    <hyperlink r:id="rId145" ref="C136"/>
    <hyperlink r:id="rId146" ref="C137"/>
    <hyperlink r:id="rId147" ref="C138"/>
    <hyperlink r:id="rId148" ref="C139"/>
    <hyperlink r:id="rId149" ref="C140"/>
    <hyperlink r:id="rId150" ref="C141"/>
    <hyperlink r:id="rId151" ref="C142"/>
    <hyperlink r:id="rId152" ref="C143"/>
    <hyperlink r:id="rId153" ref="C144"/>
    <hyperlink r:id="rId154" ref="C145"/>
    <hyperlink r:id="rId155" ref="C146"/>
    <hyperlink r:id="rId156" ref="C147"/>
    <hyperlink r:id="rId157" ref="C148"/>
    <hyperlink r:id="rId158" ref="C149"/>
    <hyperlink r:id="rId159" ref="C150"/>
    <hyperlink r:id="rId160" ref="C151"/>
    <hyperlink r:id="rId161" ref="C152"/>
    <hyperlink r:id="rId162" ref="C153"/>
    <hyperlink r:id="rId163" ref="C154"/>
    <hyperlink r:id="rId164" ref="C155"/>
    <hyperlink r:id="rId165" ref="C156"/>
    <hyperlink r:id="rId166" ref="C157"/>
    <hyperlink r:id="rId167" ref="C158"/>
    <hyperlink r:id="rId168" ref="C159"/>
    <hyperlink r:id="rId169" ref="C160"/>
    <hyperlink r:id="rId170" ref="C161"/>
    <hyperlink r:id="rId171" ref="C162"/>
    <hyperlink r:id="rId172" ref="C163"/>
    <hyperlink r:id="rId173" ref="C164"/>
    <hyperlink r:id="rId174" ref="C165"/>
    <hyperlink r:id="rId175" ref="C166"/>
    <hyperlink r:id="rId176" ref="C167"/>
    <hyperlink r:id="rId177" ref="C168"/>
    <hyperlink r:id="rId178" ref="C169"/>
    <hyperlink r:id="rId179" ref="C170"/>
    <hyperlink r:id="rId180" ref="C171"/>
    <hyperlink r:id="rId181" ref="C172"/>
    <hyperlink r:id="rId182" ref="C173"/>
    <hyperlink r:id="rId183" ref="C174"/>
    <hyperlink r:id="rId184" ref="C175"/>
    <hyperlink r:id="rId185" ref="C176"/>
    <hyperlink r:id="rId186" ref="C177"/>
    <hyperlink r:id="rId187" ref="C178"/>
    <hyperlink r:id="rId188" ref="C179"/>
    <hyperlink r:id="rId189" ref="C180"/>
    <hyperlink r:id="rId190" ref="C181"/>
    <hyperlink r:id="rId191" ref="C182"/>
    <hyperlink r:id="rId192" ref="C183"/>
    <hyperlink r:id="rId193" ref="C184"/>
    <hyperlink r:id="rId194" ref="C185"/>
    <hyperlink r:id="rId195" ref="C186"/>
    <hyperlink r:id="rId196" ref="C187"/>
    <hyperlink r:id="rId197" ref="C188"/>
    <hyperlink r:id="rId198" ref="C189"/>
    <hyperlink r:id="rId199" ref="C190"/>
    <hyperlink r:id="rId200" ref="C191"/>
    <hyperlink r:id="rId201" ref="C192"/>
    <hyperlink r:id="rId202" ref="C193"/>
    <hyperlink r:id="rId203" ref="C194"/>
    <hyperlink r:id="rId204" ref="C195"/>
    <hyperlink r:id="rId205" ref="C196"/>
    <hyperlink r:id="rId206" ref="C197"/>
    <hyperlink r:id="rId207" ref="C198"/>
    <hyperlink r:id="rId208" ref="C199"/>
    <hyperlink r:id="rId209" ref="C200"/>
    <hyperlink r:id="rId210" ref="C201"/>
    <hyperlink r:id="rId211" ref="C202"/>
    <hyperlink r:id="rId212" ref="C203"/>
    <hyperlink r:id="rId213" ref="C204"/>
    <hyperlink r:id="rId214" ref="C205"/>
    <hyperlink r:id="rId215" ref="C206"/>
    <hyperlink r:id="rId216" ref="C207"/>
    <hyperlink r:id="rId217" ref="C208"/>
    <hyperlink r:id="rId218" ref="C209"/>
    <hyperlink r:id="rId219" ref="C210"/>
    <hyperlink r:id="rId220" ref="C211"/>
    <hyperlink r:id="rId221" ref="C212"/>
    <hyperlink r:id="rId222" ref="C213"/>
    <hyperlink r:id="rId223" ref="C214"/>
    <hyperlink r:id="rId224" ref="C215"/>
    <hyperlink r:id="rId225" ref="C216"/>
    <hyperlink r:id="rId226" ref="C217"/>
    <hyperlink r:id="rId227" ref="C218"/>
    <hyperlink r:id="rId228" ref="C219"/>
    <hyperlink r:id="rId229" ref="C220"/>
    <hyperlink r:id="rId230" ref="C221"/>
    <hyperlink r:id="rId231" ref="C222"/>
    <hyperlink r:id="rId232" ref="C223"/>
    <hyperlink r:id="rId233" ref="C224"/>
    <hyperlink r:id="rId234" ref="C225"/>
    <hyperlink r:id="rId235" ref="C226"/>
    <hyperlink r:id="rId236" ref="C227"/>
    <hyperlink r:id="rId237" ref="C228"/>
    <hyperlink r:id="rId238" ref="C229"/>
    <hyperlink r:id="rId239" ref="C230"/>
    <hyperlink r:id="rId240" ref="C231"/>
    <hyperlink r:id="rId241" ref="C232"/>
    <hyperlink r:id="rId242" ref="C233"/>
    <hyperlink r:id="rId243" ref="C234"/>
    <hyperlink r:id="rId244" ref="C235"/>
    <hyperlink r:id="rId245" ref="C236"/>
    <hyperlink r:id="rId246" ref="C237"/>
    <hyperlink r:id="rId247" ref="C238"/>
    <hyperlink r:id="rId248" ref="C239"/>
    <hyperlink r:id="rId249" ref="C240"/>
    <hyperlink r:id="rId250" ref="C241"/>
    <hyperlink r:id="rId251" ref="C242"/>
    <hyperlink r:id="rId252" ref="C243"/>
    <hyperlink r:id="rId253" ref="C244"/>
    <hyperlink r:id="rId254" ref="C245"/>
    <hyperlink r:id="rId255" ref="C246"/>
    <hyperlink r:id="rId256" ref="C247"/>
    <hyperlink r:id="rId257" ref="C248"/>
    <hyperlink r:id="rId258" ref="C249"/>
    <hyperlink r:id="rId259" ref="C250"/>
    <hyperlink r:id="rId260" ref="C251"/>
    <hyperlink r:id="rId261" ref="C252"/>
    <hyperlink r:id="rId262" ref="C253"/>
    <hyperlink r:id="rId263" ref="C254"/>
    <hyperlink r:id="rId264" ref="C255"/>
    <hyperlink r:id="rId265" ref="C256"/>
    <hyperlink r:id="rId266" ref="C257"/>
    <hyperlink r:id="rId267" ref="C258"/>
    <hyperlink r:id="rId268" ref="C259"/>
    <hyperlink r:id="rId269" ref="C260"/>
    <hyperlink r:id="rId270" ref="C261"/>
    <hyperlink r:id="rId271" ref="C262"/>
    <hyperlink r:id="rId272" ref="C263"/>
    <hyperlink r:id="rId273" ref="C264"/>
    <hyperlink r:id="rId274" ref="C265"/>
    <hyperlink r:id="rId275" ref="C266"/>
    <hyperlink r:id="rId276" ref="C267"/>
    <hyperlink r:id="rId277" ref="C268"/>
    <hyperlink r:id="rId278" ref="C269"/>
    <hyperlink r:id="rId279" ref="C270"/>
    <hyperlink r:id="rId280" ref="C271"/>
    <hyperlink r:id="rId281" ref="C272"/>
    <hyperlink r:id="rId282" ref="C273"/>
    <hyperlink r:id="rId283" ref="C274"/>
    <hyperlink r:id="rId284" ref="C275"/>
    <hyperlink r:id="rId285" ref="C276"/>
    <hyperlink r:id="rId286" ref="C277"/>
    <hyperlink r:id="rId287" ref="C278"/>
    <hyperlink r:id="rId288" ref="C279"/>
    <hyperlink r:id="rId289" ref="C280"/>
    <hyperlink r:id="rId290" ref="C281"/>
    <hyperlink r:id="rId291" ref="C282"/>
    <hyperlink r:id="rId292" ref="C283"/>
    <hyperlink r:id="rId293" ref="C284"/>
    <hyperlink r:id="rId294" ref="C285"/>
    <hyperlink r:id="rId295" ref="C286"/>
    <hyperlink r:id="rId296" ref="C287"/>
    <hyperlink r:id="rId297" ref="C288"/>
    <hyperlink r:id="rId298" ref="C289"/>
    <hyperlink r:id="rId299" ref="C290"/>
    <hyperlink r:id="rId300" ref="C291"/>
    <hyperlink r:id="rId301" ref="C292"/>
    <hyperlink r:id="rId302" ref="C293"/>
    <hyperlink r:id="rId303" ref="C294"/>
    <hyperlink r:id="rId304" ref="C295"/>
    <hyperlink r:id="rId305" ref="C296"/>
    <hyperlink r:id="rId306" ref="C297"/>
    <hyperlink r:id="rId307" ref="C298"/>
    <hyperlink r:id="rId308" ref="C299"/>
    <hyperlink r:id="rId309" ref="C300"/>
    <hyperlink r:id="rId310" ref="C301"/>
    <hyperlink r:id="rId311" ref="C302"/>
    <hyperlink r:id="rId312" ref="C303"/>
    <hyperlink r:id="rId313" ref="C304"/>
    <hyperlink r:id="rId314" ref="C305"/>
    <hyperlink r:id="rId315" ref="C306"/>
    <hyperlink r:id="rId316" ref="C307"/>
    <hyperlink r:id="rId317" ref="C308"/>
    <hyperlink r:id="rId318" ref="C309"/>
    <hyperlink r:id="rId319" ref="C310"/>
    <hyperlink r:id="rId320" ref="C311"/>
    <hyperlink r:id="rId321" ref="C312"/>
  </hyperlinks>
  <printOptions/>
  <pageMargins bottom="0.75" footer="0.0" header="0.0" left="0.7" right="0.7" top="0.75"/>
  <pageSetup orientation="landscape"/>
  <drawing r:id="rId3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26" width="15.75"/>
  </cols>
  <sheetData>
    <row r="1" ht="15.0" customHeight="1">
      <c r="A1" s="53" t="s">
        <v>336</v>
      </c>
      <c r="B1" s="53" t="s">
        <v>337</v>
      </c>
      <c r="C1" s="54" t="s">
        <v>338</v>
      </c>
      <c r="D1" s="53" t="s">
        <v>339</v>
      </c>
      <c r="E1" s="54" t="s">
        <v>341</v>
      </c>
      <c r="F1" s="54" t="s">
        <v>342</v>
      </c>
      <c r="G1" s="54" t="s">
        <v>343</v>
      </c>
      <c r="H1" s="54" t="s">
        <v>345</v>
      </c>
      <c r="I1" s="54" t="s">
        <v>24</v>
      </c>
      <c r="J1" s="53" t="s">
        <v>352</v>
      </c>
      <c r="K1" s="53" t="s">
        <v>353</v>
      </c>
      <c r="L1" s="54" t="s">
        <v>354</v>
      </c>
      <c r="M1" s="54" t="s">
        <v>355</v>
      </c>
      <c r="N1" s="53" t="s">
        <v>356</v>
      </c>
      <c r="P1" s="55" t="s">
        <v>357</v>
      </c>
    </row>
    <row r="2" ht="15.0" customHeight="1">
      <c r="A2" s="56" t="s">
        <v>358</v>
      </c>
      <c r="B2" s="56" t="s">
        <v>359</v>
      </c>
      <c r="C2" s="57" t="s">
        <v>360</v>
      </c>
      <c r="D2" s="58">
        <v>9.722026317E9</v>
      </c>
      <c r="E2" s="56" t="s">
        <v>362</v>
      </c>
      <c r="F2" s="56" t="s">
        <v>2282</v>
      </c>
      <c r="G2" s="56" t="s">
        <v>364</v>
      </c>
      <c r="H2" s="56" t="s">
        <v>413</v>
      </c>
      <c r="I2" s="56" t="s">
        <v>2283</v>
      </c>
      <c r="J2" s="56" t="s">
        <v>785</v>
      </c>
      <c r="K2" s="59"/>
      <c r="L2" s="56" t="s">
        <v>2284</v>
      </c>
      <c r="M2" s="61" t="s">
        <v>373</v>
      </c>
      <c r="N2" s="58" t="s">
        <v>2285</v>
      </c>
      <c r="P2" s="55" t="b">
        <f t="shared" ref="P2:P522" si="1">IF(H2="US Citizen or US National, Legally authorized to work in US (Permanent US Resident, Political Asylee, Refugee or DACA), Will now or in the future require visa sponsorship",TRUE,FALSE)</f>
        <v>0</v>
      </c>
    </row>
    <row r="3" ht="15.0" customHeight="1">
      <c r="A3" s="56" t="s">
        <v>1</v>
      </c>
      <c r="B3" s="56" t="s">
        <v>375</v>
      </c>
      <c r="C3" s="57" t="s">
        <v>376</v>
      </c>
      <c r="D3" s="58">
        <v>7.1394227E9</v>
      </c>
      <c r="E3" s="56" t="s">
        <v>2286</v>
      </c>
      <c r="F3" s="56" t="s">
        <v>2287</v>
      </c>
      <c r="G3" s="56" t="s">
        <v>379</v>
      </c>
      <c r="H3" s="56" t="s">
        <v>413</v>
      </c>
      <c r="I3" s="56" t="s">
        <v>2288</v>
      </c>
      <c r="J3" s="56" t="s">
        <v>2174</v>
      </c>
      <c r="K3" s="59"/>
      <c r="L3" s="56" t="s">
        <v>2289</v>
      </c>
      <c r="M3" s="61" t="s">
        <v>373</v>
      </c>
      <c r="N3" s="58" t="s">
        <v>2290</v>
      </c>
      <c r="P3" s="55" t="b">
        <f t="shared" si="1"/>
        <v>0</v>
      </c>
    </row>
    <row r="4" ht="15.0" customHeight="1">
      <c r="A4" s="56" t="s">
        <v>53</v>
      </c>
      <c r="B4" s="56" t="s">
        <v>387</v>
      </c>
      <c r="C4" s="57" t="s">
        <v>388</v>
      </c>
      <c r="D4" s="58">
        <v>2.164103573E9</v>
      </c>
      <c r="E4" s="56" t="s">
        <v>2291</v>
      </c>
      <c r="F4" s="56" t="s">
        <v>2292</v>
      </c>
      <c r="G4" s="56" t="s">
        <v>379</v>
      </c>
      <c r="H4" s="56" t="s">
        <v>366</v>
      </c>
      <c r="I4" s="56" t="s">
        <v>2293</v>
      </c>
      <c r="J4" s="56" t="s">
        <v>768</v>
      </c>
      <c r="K4" s="59"/>
      <c r="L4" s="56" t="s">
        <v>2284</v>
      </c>
      <c r="M4" s="61" t="s">
        <v>373</v>
      </c>
      <c r="N4" s="58" t="s">
        <v>2294</v>
      </c>
      <c r="P4" s="55" t="b">
        <f t="shared" si="1"/>
        <v>0</v>
      </c>
    </row>
    <row r="5" ht="15.0" customHeight="1">
      <c r="A5" s="56" t="s">
        <v>2295</v>
      </c>
      <c r="B5" s="56" t="s">
        <v>2296</v>
      </c>
      <c r="C5" s="57" t="s">
        <v>2297</v>
      </c>
      <c r="D5" s="58">
        <v>4.012917603E9</v>
      </c>
      <c r="E5" s="56" t="s">
        <v>410</v>
      </c>
      <c r="F5" s="56" t="s">
        <v>2298</v>
      </c>
      <c r="G5" s="56" t="s">
        <v>399</v>
      </c>
      <c r="H5" s="56" t="s">
        <v>413</v>
      </c>
      <c r="I5" s="56" t="s">
        <v>2283</v>
      </c>
      <c r="J5" s="56" t="s">
        <v>2299</v>
      </c>
      <c r="K5" s="59"/>
      <c r="L5" s="56" t="s">
        <v>2284</v>
      </c>
      <c r="M5" s="61" t="s">
        <v>373</v>
      </c>
      <c r="N5" s="58" t="s">
        <v>2300</v>
      </c>
      <c r="P5" s="55" t="b">
        <f t="shared" si="1"/>
        <v>0</v>
      </c>
    </row>
    <row r="6" ht="15.0" customHeight="1">
      <c r="A6" s="56" t="s">
        <v>2301</v>
      </c>
      <c r="B6" s="56" t="s">
        <v>2302</v>
      </c>
      <c r="C6" s="57" t="s">
        <v>2303</v>
      </c>
      <c r="D6" s="58">
        <v>8.322466655E9</v>
      </c>
      <c r="E6" s="56" t="s">
        <v>877</v>
      </c>
      <c r="F6" s="56" t="s">
        <v>2304</v>
      </c>
      <c r="G6" s="56" t="s">
        <v>364</v>
      </c>
      <c r="H6" s="56" t="s">
        <v>413</v>
      </c>
      <c r="I6" s="56" t="s">
        <v>381</v>
      </c>
      <c r="J6" s="56" t="s">
        <v>469</v>
      </c>
      <c r="K6" s="59"/>
      <c r="L6" s="56" t="s">
        <v>2305</v>
      </c>
      <c r="M6" s="61" t="s">
        <v>373</v>
      </c>
      <c r="N6" s="58" t="s">
        <v>2306</v>
      </c>
      <c r="P6" s="55" t="b">
        <f t="shared" si="1"/>
        <v>0</v>
      </c>
    </row>
    <row r="7" ht="15.0" customHeight="1">
      <c r="A7" s="56" t="s">
        <v>2307</v>
      </c>
      <c r="B7" s="56" t="s">
        <v>2308</v>
      </c>
      <c r="C7" s="57" t="s">
        <v>2309</v>
      </c>
      <c r="D7" s="58">
        <v>6.46468601E9</v>
      </c>
      <c r="E7" s="56" t="s">
        <v>2286</v>
      </c>
      <c r="F7" s="56" t="s">
        <v>2310</v>
      </c>
      <c r="G7" s="56" t="s">
        <v>379</v>
      </c>
      <c r="H7" s="56" t="s">
        <v>366</v>
      </c>
      <c r="I7" s="56" t="s">
        <v>2283</v>
      </c>
      <c r="J7" s="56" t="s">
        <v>2311</v>
      </c>
      <c r="K7" s="59"/>
      <c r="L7" s="56" t="s">
        <v>2284</v>
      </c>
      <c r="M7" s="61" t="s">
        <v>373</v>
      </c>
      <c r="N7" s="58" t="s">
        <v>2312</v>
      </c>
      <c r="P7" s="55" t="b">
        <f t="shared" si="1"/>
        <v>0</v>
      </c>
    </row>
    <row r="8" ht="15.0" customHeight="1">
      <c r="A8" s="56" t="s">
        <v>2313</v>
      </c>
      <c r="B8" s="56" t="s">
        <v>2314</v>
      </c>
      <c r="C8" s="57" t="s">
        <v>2315</v>
      </c>
      <c r="D8" s="58">
        <v>4.056180776E9</v>
      </c>
      <c r="E8" s="56" t="s">
        <v>421</v>
      </c>
      <c r="F8" s="56" t="s">
        <v>2316</v>
      </c>
      <c r="G8" s="56" t="s">
        <v>379</v>
      </c>
      <c r="H8" s="56" t="s">
        <v>413</v>
      </c>
      <c r="I8" s="56" t="s">
        <v>381</v>
      </c>
      <c r="J8" s="56" t="s">
        <v>2317</v>
      </c>
      <c r="K8" s="59"/>
      <c r="L8" s="56" t="s">
        <v>2305</v>
      </c>
      <c r="M8" s="61" t="s">
        <v>373</v>
      </c>
      <c r="N8" s="58" t="s">
        <v>2318</v>
      </c>
      <c r="P8" s="55" t="b">
        <f t="shared" si="1"/>
        <v>0</v>
      </c>
    </row>
    <row r="9" ht="15.0" customHeight="1">
      <c r="A9" s="56" t="s">
        <v>2319</v>
      </c>
      <c r="B9" s="56" t="s">
        <v>2320</v>
      </c>
      <c r="C9" s="57" t="s">
        <v>2321</v>
      </c>
      <c r="D9" s="58">
        <v>4.096920592E9</v>
      </c>
      <c r="E9" s="56" t="s">
        <v>459</v>
      </c>
      <c r="F9" s="56" t="s">
        <v>2322</v>
      </c>
      <c r="G9" s="56" t="s">
        <v>364</v>
      </c>
      <c r="H9" s="56" t="s">
        <v>366</v>
      </c>
      <c r="I9" s="56" t="s">
        <v>2283</v>
      </c>
      <c r="J9" s="56" t="s">
        <v>2323</v>
      </c>
      <c r="K9" s="59"/>
      <c r="L9" s="56" t="s">
        <v>2284</v>
      </c>
      <c r="M9" s="61" t="s">
        <v>373</v>
      </c>
      <c r="N9" s="58" t="s">
        <v>2324</v>
      </c>
      <c r="P9" s="55" t="b">
        <f t="shared" si="1"/>
        <v>0</v>
      </c>
    </row>
    <row r="10" ht="15.0" customHeight="1">
      <c r="A10" s="56" t="s">
        <v>2325</v>
      </c>
      <c r="B10" s="56" t="s">
        <v>2326</v>
      </c>
      <c r="C10" s="57" t="s">
        <v>2327</v>
      </c>
      <c r="D10" s="56" t="s">
        <v>2328</v>
      </c>
      <c r="E10" s="56" t="s">
        <v>390</v>
      </c>
      <c r="F10" s="56" t="s">
        <v>676</v>
      </c>
      <c r="G10" s="56" t="s">
        <v>364</v>
      </c>
      <c r="H10" s="56" t="s">
        <v>513</v>
      </c>
      <c r="I10" s="56" t="s">
        <v>2283</v>
      </c>
      <c r="J10" s="56" t="s">
        <v>2329</v>
      </c>
      <c r="K10" s="59"/>
      <c r="L10" s="56" t="s">
        <v>2284</v>
      </c>
      <c r="M10" s="61" t="s">
        <v>373</v>
      </c>
      <c r="N10" s="58" t="s">
        <v>2330</v>
      </c>
      <c r="P10" s="55" t="b">
        <f t="shared" si="1"/>
        <v>1</v>
      </c>
    </row>
    <row r="11" ht="15.0" customHeight="1">
      <c r="A11" s="56" t="s">
        <v>57</v>
      </c>
      <c r="B11" s="56" t="s">
        <v>407</v>
      </c>
      <c r="C11" s="57" t="s">
        <v>408</v>
      </c>
      <c r="D11" s="58">
        <v>4.016421728E9</v>
      </c>
      <c r="E11" s="56" t="s">
        <v>410</v>
      </c>
      <c r="F11" s="56" t="s">
        <v>411</v>
      </c>
      <c r="G11" s="56" t="s">
        <v>364</v>
      </c>
      <c r="H11" s="56" t="s">
        <v>413</v>
      </c>
      <c r="I11" s="56" t="s">
        <v>2283</v>
      </c>
      <c r="J11" s="56" t="s">
        <v>2331</v>
      </c>
      <c r="K11" s="59"/>
      <c r="L11" s="56" t="s">
        <v>2284</v>
      </c>
      <c r="M11" s="61" t="s">
        <v>373</v>
      </c>
      <c r="N11" s="58" t="s">
        <v>2332</v>
      </c>
      <c r="P11" s="55" t="b">
        <f t="shared" si="1"/>
        <v>0</v>
      </c>
    </row>
    <row r="12" ht="15.0" customHeight="1">
      <c r="A12" s="56" t="s">
        <v>2333</v>
      </c>
      <c r="B12" s="56" t="s">
        <v>2334</v>
      </c>
      <c r="C12" s="57" t="s">
        <v>2335</v>
      </c>
      <c r="D12" s="58">
        <v>9.802281527E9</v>
      </c>
      <c r="E12" s="56" t="s">
        <v>410</v>
      </c>
      <c r="F12" s="56" t="s">
        <v>411</v>
      </c>
      <c r="G12" s="56" t="s">
        <v>379</v>
      </c>
      <c r="H12" s="56" t="s">
        <v>413</v>
      </c>
      <c r="I12" s="56" t="s">
        <v>2283</v>
      </c>
      <c r="J12" s="56" t="s">
        <v>2249</v>
      </c>
      <c r="K12" s="59"/>
      <c r="L12" s="56" t="s">
        <v>2284</v>
      </c>
      <c r="M12" s="61" t="s">
        <v>373</v>
      </c>
      <c r="N12" s="58" t="s">
        <v>2336</v>
      </c>
      <c r="P12" s="55" t="b">
        <f t="shared" si="1"/>
        <v>0</v>
      </c>
    </row>
    <row r="13" ht="15.0" customHeight="1">
      <c r="A13" s="56" t="s">
        <v>58</v>
      </c>
      <c r="B13" s="56" t="s">
        <v>2337</v>
      </c>
      <c r="C13" s="57" t="s">
        <v>2338</v>
      </c>
      <c r="D13" s="58">
        <v>9.729989507E9</v>
      </c>
      <c r="E13" s="56" t="s">
        <v>459</v>
      </c>
      <c r="F13" s="56" t="s">
        <v>2339</v>
      </c>
      <c r="G13" s="56" t="s">
        <v>364</v>
      </c>
      <c r="H13" s="56" t="s">
        <v>413</v>
      </c>
      <c r="I13" s="56" t="s">
        <v>381</v>
      </c>
      <c r="J13" s="56" t="s">
        <v>2340</v>
      </c>
      <c r="K13" s="59"/>
      <c r="L13" s="56" t="s">
        <v>2305</v>
      </c>
      <c r="M13" s="61" t="s">
        <v>373</v>
      </c>
      <c r="N13" s="58" t="s">
        <v>2341</v>
      </c>
      <c r="P13" s="55" t="b">
        <f t="shared" si="1"/>
        <v>0</v>
      </c>
    </row>
    <row r="14" ht="15.0" customHeight="1">
      <c r="A14" s="56" t="s">
        <v>2342</v>
      </c>
      <c r="B14" s="56" t="s">
        <v>2343</v>
      </c>
      <c r="C14" s="57" t="s">
        <v>2344</v>
      </c>
      <c r="D14" s="56" t="s">
        <v>2345</v>
      </c>
      <c r="E14" s="56" t="s">
        <v>362</v>
      </c>
      <c r="F14" s="56" t="s">
        <v>2346</v>
      </c>
      <c r="G14" s="56" t="s">
        <v>399</v>
      </c>
      <c r="H14" s="56" t="s">
        <v>513</v>
      </c>
      <c r="I14" s="56" t="s">
        <v>2283</v>
      </c>
      <c r="J14" s="56" t="s">
        <v>2347</v>
      </c>
      <c r="K14" s="59"/>
      <c r="L14" s="56" t="s">
        <v>2284</v>
      </c>
      <c r="M14" s="61" t="s">
        <v>373</v>
      </c>
      <c r="N14" s="58" t="s">
        <v>2348</v>
      </c>
      <c r="P14" s="55" t="b">
        <f t="shared" si="1"/>
        <v>1</v>
      </c>
    </row>
    <row r="15" ht="15.0" customHeight="1">
      <c r="A15" s="56" t="s">
        <v>289</v>
      </c>
      <c r="B15" s="56" t="s">
        <v>434</v>
      </c>
      <c r="C15" s="57" t="s">
        <v>435</v>
      </c>
      <c r="D15" s="58">
        <v>2.817814017E9</v>
      </c>
      <c r="E15" s="56" t="s">
        <v>390</v>
      </c>
      <c r="F15" s="56" t="s">
        <v>2349</v>
      </c>
      <c r="G15" s="56" t="s">
        <v>364</v>
      </c>
      <c r="H15" s="56" t="s">
        <v>366</v>
      </c>
      <c r="I15" s="56" t="s">
        <v>2288</v>
      </c>
      <c r="J15" s="56" t="s">
        <v>2350</v>
      </c>
      <c r="K15" s="59"/>
      <c r="L15" s="56" t="s">
        <v>2289</v>
      </c>
      <c r="M15" s="61" t="s">
        <v>373</v>
      </c>
      <c r="N15" s="58" t="s">
        <v>2351</v>
      </c>
      <c r="P15" s="55" t="b">
        <f t="shared" si="1"/>
        <v>0</v>
      </c>
    </row>
    <row r="16" ht="15.0" customHeight="1">
      <c r="A16" s="56" t="s">
        <v>2352</v>
      </c>
      <c r="B16" s="56" t="s">
        <v>2353</v>
      </c>
      <c r="C16" s="57" t="s">
        <v>2354</v>
      </c>
      <c r="D16" s="58">
        <v>6.176200261E9</v>
      </c>
      <c r="E16" s="56" t="s">
        <v>452</v>
      </c>
      <c r="F16" s="56" t="s">
        <v>2355</v>
      </c>
      <c r="G16" s="56" t="s">
        <v>399</v>
      </c>
      <c r="H16" s="56" t="s">
        <v>513</v>
      </c>
      <c r="I16" s="56" t="s">
        <v>2288</v>
      </c>
      <c r="J16" s="56" t="s">
        <v>1288</v>
      </c>
      <c r="K16" s="59"/>
      <c r="L16" s="56" t="s">
        <v>2289</v>
      </c>
      <c r="M16" s="61" t="s">
        <v>373</v>
      </c>
      <c r="N16" s="58" t="s">
        <v>2356</v>
      </c>
      <c r="P16" s="55" t="b">
        <f t="shared" si="1"/>
        <v>1</v>
      </c>
    </row>
    <row r="17" ht="15.0" customHeight="1">
      <c r="A17" s="56" t="s">
        <v>2357</v>
      </c>
      <c r="B17" s="56" t="s">
        <v>2358</v>
      </c>
      <c r="C17" s="57" t="s">
        <v>2359</v>
      </c>
      <c r="D17" s="56" t="s">
        <v>2360</v>
      </c>
      <c r="E17" s="56" t="s">
        <v>390</v>
      </c>
      <c r="F17" s="56" t="s">
        <v>2361</v>
      </c>
      <c r="G17" s="56" t="s">
        <v>399</v>
      </c>
      <c r="H17" s="56" t="s">
        <v>366</v>
      </c>
      <c r="I17" s="62" t="s">
        <v>381</v>
      </c>
      <c r="J17" s="59"/>
      <c r="K17" s="59"/>
      <c r="L17" s="56" t="s">
        <v>2305</v>
      </c>
      <c r="M17" s="61" t="s">
        <v>2362</v>
      </c>
      <c r="N17" s="58" t="s">
        <v>2363</v>
      </c>
      <c r="P17" s="55" t="b">
        <f t="shared" si="1"/>
        <v>0</v>
      </c>
    </row>
    <row r="18" ht="15.0" customHeight="1">
      <c r="A18" s="56" t="s">
        <v>2364</v>
      </c>
      <c r="B18" s="56" t="s">
        <v>2365</v>
      </c>
      <c r="C18" s="57" t="s">
        <v>2366</v>
      </c>
      <c r="D18" s="58">
        <v>2.813891826E9</v>
      </c>
      <c r="E18" s="56" t="s">
        <v>410</v>
      </c>
      <c r="F18" s="56" t="s">
        <v>2367</v>
      </c>
      <c r="G18" s="56" t="s">
        <v>364</v>
      </c>
      <c r="H18" s="56" t="s">
        <v>413</v>
      </c>
      <c r="I18" s="56" t="s">
        <v>2288</v>
      </c>
      <c r="J18" s="56" t="s">
        <v>2331</v>
      </c>
      <c r="K18" s="59"/>
      <c r="L18" s="56" t="s">
        <v>2289</v>
      </c>
      <c r="M18" s="61" t="s">
        <v>373</v>
      </c>
      <c r="N18" s="58" t="s">
        <v>2368</v>
      </c>
      <c r="P18" s="55" t="b">
        <f t="shared" si="1"/>
        <v>0</v>
      </c>
    </row>
    <row r="19" ht="15.0" customHeight="1">
      <c r="A19" s="56" t="s">
        <v>2369</v>
      </c>
      <c r="B19" s="56" t="s">
        <v>2370</v>
      </c>
      <c r="C19" s="57" t="s">
        <v>2371</v>
      </c>
      <c r="D19" s="58">
        <v>2.15803726E9</v>
      </c>
      <c r="E19" s="56" t="s">
        <v>2286</v>
      </c>
      <c r="F19" s="56" t="s">
        <v>2372</v>
      </c>
      <c r="G19" s="56" t="s">
        <v>364</v>
      </c>
      <c r="H19" s="56" t="s">
        <v>513</v>
      </c>
      <c r="I19" s="56" t="s">
        <v>381</v>
      </c>
      <c r="J19" s="56" t="s">
        <v>2373</v>
      </c>
      <c r="K19" s="59"/>
      <c r="L19" s="56" t="s">
        <v>2305</v>
      </c>
      <c r="M19" s="61" t="s">
        <v>373</v>
      </c>
      <c r="N19" s="58" t="s">
        <v>2374</v>
      </c>
      <c r="P19" s="55" t="b">
        <f t="shared" si="1"/>
        <v>1</v>
      </c>
    </row>
    <row r="20" ht="15.0" customHeight="1">
      <c r="A20" s="56" t="s">
        <v>327</v>
      </c>
      <c r="B20" s="56" t="s">
        <v>456</v>
      </c>
      <c r="C20" s="57" t="s">
        <v>457</v>
      </c>
      <c r="D20" s="56" t="s">
        <v>2375</v>
      </c>
      <c r="E20" s="56" t="s">
        <v>459</v>
      </c>
      <c r="F20" s="56" t="s">
        <v>2376</v>
      </c>
      <c r="G20" s="56" t="s">
        <v>399</v>
      </c>
      <c r="H20" s="56" t="s">
        <v>413</v>
      </c>
      <c r="I20" s="56" t="s">
        <v>2288</v>
      </c>
      <c r="J20" s="56" t="s">
        <v>2377</v>
      </c>
      <c r="K20" s="59"/>
      <c r="L20" s="56" t="s">
        <v>2289</v>
      </c>
      <c r="M20" s="61" t="s">
        <v>373</v>
      </c>
      <c r="N20" s="58" t="s">
        <v>2378</v>
      </c>
      <c r="P20" s="55" t="b">
        <f t="shared" si="1"/>
        <v>0</v>
      </c>
    </row>
    <row r="21" ht="15.0" customHeight="1">
      <c r="A21" s="56" t="s">
        <v>2379</v>
      </c>
      <c r="B21" s="56" t="s">
        <v>2380</v>
      </c>
      <c r="C21" s="57" t="s">
        <v>2381</v>
      </c>
      <c r="D21" s="56" t="s">
        <v>2382</v>
      </c>
      <c r="E21" s="56" t="s">
        <v>459</v>
      </c>
      <c r="F21" s="56" t="s">
        <v>2383</v>
      </c>
      <c r="G21" s="56" t="s">
        <v>379</v>
      </c>
      <c r="H21" s="56" t="s">
        <v>366</v>
      </c>
      <c r="I21" s="56" t="s">
        <v>2293</v>
      </c>
      <c r="J21" s="56" t="s">
        <v>2384</v>
      </c>
      <c r="K21" s="59"/>
      <c r="L21" s="56" t="s">
        <v>2284</v>
      </c>
      <c r="M21" s="61" t="s">
        <v>373</v>
      </c>
      <c r="N21" s="58" t="s">
        <v>2385</v>
      </c>
      <c r="P21" s="55" t="b">
        <f t="shared" si="1"/>
        <v>0</v>
      </c>
    </row>
    <row r="22" ht="15.0" customHeight="1">
      <c r="A22" s="56" t="s">
        <v>463</v>
      </c>
      <c r="B22" s="56" t="s">
        <v>468</v>
      </c>
      <c r="C22" s="57" t="s">
        <v>2386</v>
      </c>
      <c r="D22" s="58">
        <v>2.053810223E9</v>
      </c>
      <c r="E22" s="56" t="s">
        <v>390</v>
      </c>
      <c r="F22" s="56" t="s">
        <v>2387</v>
      </c>
      <c r="G22" s="56" t="s">
        <v>364</v>
      </c>
      <c r="H22" s="56" t="s">
        <v>413</v>
      </c>
      <c r="I22" s="56" t="s">
        <v>2288</v>
      </c>
      <c r="J22" s="56" t="s">
        <v>2388</v>
      </c>
      <c r="K22" s="59"/>
      <c r="L22" s="56" t="s">
        <v>2289</v>
      </c>
      <c r="M22" s="61" t="s">
        <v>373</v>
      </c>
      <c r="N22" s="58" t="s">
        <v>2389</v>
      </c>
      <c r="P22" s="55" t="b">
        <f t="shared" si="1"/>
        <v>0</v>
      </c>
    </row>
    <row r="23" ht="15.0" customHeight="1">
      <c r="A23" s="56" t="s">
        <v>471</v>
      </c>
      <c r="B23" s="56" t="s">
        <v>472</v>
      </c>
      <c r="C23" s="57" t="s">
        <v>473</v>
      </c>
      <c r="D23" s="58">
        <v>5.804215925E9</v>
      </c>
      <c r="E23" s="56" t="s">
        <v>452</v>
      </c>
      <c r="F23" s="56" t="s">
        <v>2390</v>
      </c>
      <c r="G23" s="56" t="s">
        <v>379</v>
      </c>
      <c r="H23" s="56" t="s">
        <v>413</v>
      </c>
      <c r="I23" s="56" t="s">
        <v>2283</v>
      </c>
      <c r="J23" s="56" t="s">
        <v>2273</v>
      </c>
      <c r="K23" s="59"/>
      <c r="L23" s="56" t="s">
        <v>2284</v>
      </c>
      <c r="M23" s="61" t="s">
        <v>373</v>
      </c>
      <c r="N23" s="58" t="s">
        <v>2391</v>
      </c>
      <c r="P23" s="55" t="b">
        <f t="shared" si="1"/>
        <v>0</v>
      </c>
    </row>
    <row r="24" ht="15.0" customHeight="1">
      <c r="A24" s="56" t="s">
        <v>2392</v>
      </c>
      <c r="B24" s="56" t="s">
        <v>2393</v>
      </c>
      <c r="C24" s="57" t="s">
        <v>2394</v>
      </c>
      <c r="D24" s="58">
        <v>7.733977828E9</v>
      </c>
      <c r="E24" s="56" t="s">
        <v>2286</v>
      </c>
      <c r="F24" s="56" t="s">
        <v>2395</v>
      </c>
      <c r="G24" s="56" t="s">
        <v>379</v>
      </c>
      <c r="H24" s="56" t="s">
        <v>413</v>
      </c>
      <c r="I24" s="56" t="s">
        <v>2288</v>
      </c>
      <c r="J24" s="56" t="s">
        <v>851</v>
      </c>
      <c r="K24" s="59"/>
      <c r="L24" s="56" t="s">
        <v>2289</v>
      </c>
      <c r="M24" s="61" t="s">
        <v>373</v>
      </c>
      <c r="N24" s="58" t="s">
        <v>2396</v>
      </c>
      <c r="P24" s="55" t="b">
        <f t="shared" si="1"/>
        <v>0</v>
      </c>
    </row>
    <row r="25" ht="15.0" customHeight="1">
      <c r="A25" s="56" t="s">
        <v>62</v>
      </c>
      <c r="B25" s="56" t="s">
        <v>479</v>
      </c>
      <c r="C25" s="57" t="s">
        <v>480</v>
      </c>
      <c r="D25" s="56" t="s">
        <v>2397</v>
      </c>
      <c r="E25" s="56" t="s">
        <v>390</v>
      </c>
      <c r="F25" s="56" t="s">
        <v>2398</v>
      </c>
      <c r="G25" s="56" t="s">
        <v>379</v>
      </c>
      <c r="H25" s="56" t="s">
        <v>513</v>
      </c>
      <c r="I25" s="56" t="s">
        <v>483</v>
      </c>
      <c r="J25" s="56" t="s">
        <v>2399</v>
      </c>
      <c r="K25" s="59"/>
      <c r="L25" s="56" t="s">
        <v>2305</v>
      </c>
      <c r="M25" s="61" t="s">
        <v>373</v>
      </c>
      <c r="N25" s="58" t="s">
        <v>2400</v>
      </c>
      <c r="P25" s="55" t="b">
        <f t="shared" si="1"/>
        <v>1</v>
      </c>
    </row>
    <row r="26" ht="15.0" customHeight="1">
      <c r="A26" s="56" t="s">
        <v>2401</v>
      </c>
      <c r="B26" s="56" t="s">
        <v>2402</v>
      </c>
      <c r="C26" s="57" t="s">
        <v>2403</v>
      </c>
      <c r="D26" s="56" t="s">
        <v>2404</v>
      </c>
      <c r="E26" s="56" t="s">
        <v>390</v>
      </c>
      <c r="F26" s="56" t="s">
        <v>2405</v>
      </c>
      <c r="G26" s="56" t="s">
        <v>379</v>
      </c>
      <c r="H26" s="56" t="s">
        <v>413</v>
      </c>
      <c r="I26" s="56" t="s">
        <v>2288</v>
      </c>
      <c r="J26" s="56" t="s">
        <v>2406</v>
      </c>
      <c r="K26" s="59"/>
      <c r="L26" s="56" t="s">
        <v>2289</v>
      </c>
      <c r="M26" s="61" t="s">
        <v>373</v>
      </c>
      <c r="N26" s="58" t="s">
        <v>2407</v>
      </c>
      <c r="P26" s="55" t="b">
        <f t="shared" si="1"/>
        <v>0</v>
      </c>
    </row>
    <row r="27" ht="15.0" customHeight="1">
      <c r="A27" s="56" t="s">
        <v>2408</v>
      </c>
      <c r="B27" s="56" t="s">
        <v>2409</v>
      </c>
      <c r="C27" s="57" t="s">
        <v>2410</v>
      </c>
      <c r="D27" s="56" t="s">
        <v>2411</v>
      </c>
      <c r="E27" s="56" t="s">
        <v>390</v>
      </c>
      <c r="F27" s="56" t="s">
        <v>2412</v>
      </c>
      <c r="G27" s="56" t="s">
        <v>399</v>
      </c>
      <c r="H27" s="56" t="s">
        <v>513</v>
      </c>
      <c r="I27" s="56" t="s">
        <v>1301</v>
      </c>
      <c r="J27" s="62" t="s">
        <v>2413</v>
      </c>
      <c r="K27" s="59"/>
      <c r="L27" s="56" t="s">
        <v>2305</v>
      </c>
      <c r="M27" s="61" t="s">
        <v>373</v>
      </c>
      <c r="N27" s="58" t="s">
        <v>2414</v>
      </c>
      <c r="P27" s="55" t="b">
        <f t="shared" si="1"/>
        <v>1</v>
      </c>
    </row>
    <row r="28" ht="15.0" customHeight="1">
      <c r="A28" s="56" t="s">
        <v>2415</v>
      </c>
      <c r="B28" s="56" t="s">
        <v>2416</v>
      </c>
      <c r="C28" s="57" t="s">
        <v>2417</v>
      </c>
      <c r="D28" s="58">
        <v>5.059777476E9</v>
      </c>
      <c r="E28" s="56" t="s">
        <v>390</v>
      </c>
      <c r="F28" s="56" t="s">
        <v>2418</v>
      </c>
      <c r="G28" s="56" t="s">
        <v>399</v>
      </c>
      <c r="H28" s="56" t="s">
        <v>413</v>
      </c>
      <c r="I28" s="56" t="s">
        <v>2288</v>
      </c>
      <c r="J28" s="56" t="s">
        <v>2419</v>
      </c>
      <c r="K28" s="59"/>
      <c r="L28" s="56" t="s">
        <v>2289</v>
      </c>
      <c r="M28" s="61" t="s">
        <v>373</v>
      </c>
      <c r="N28" s="58" t="s">
        <v>2420</v>
      </c>
      <c r="P28" s="55" t="b">
        <f t="shared" si="1"/>
        <v>0</v>
      </c>
    </row>
    <row r="29" ht="15.0" customHeight="1">
      <c r="A29" s="56" t="s">
        <v>63</v>
      </c>
      <c r="B29" s="56" t="s">
        <v>493</v>
      </c>
      <c r="C29" s="57" t="s">
        <v>494</v>
      </c>
      <c r="D29" s="58">
        <v>5.125893232E9</v>
      </c>
      <c r="E29" s="56" t="s">
        <v>452</v>
      </c>
      <c r="F29" s="56" t="s">
        <v>2421</v>
      </c>
      <c r="G29" s="56" t="s">
        <v>399</v>
      </c>
      <c r="H29" s="56" t="s">
        <v>413</v>
      </c>
      <c r="I29" s="56" t="s">
        <v>497</v>
      </c>
      <c r="J29" s="56" t="s">
        <v>2422</v>
      </c>
      <c r="K29" s="59"/>
      <c r="L29" s="56" t="s">
        <v>2305</v>
      </c>
      <c r="M29" s="61" t="s">
        <v>373</v>
      </c>
      <c r="N29" s="58" t="s">
        <v>2423</v>
      </c>
      <c r="P29" s="55" t="b">
        <f t="shared" si="1"/>
        <v>0</v>
      </c>
    </row>
    <row r="30" ht="15.0" customHeight="1">
      <c r="A30" s="56" t="s">
        <v>2424</v>
      </c>
      <c r="B30" s="56" t="s">
        <v>2425</v>
      </c>
      <c r="C30" s="57" t="s">
        <v>2426</v>
      </c>
      <c r="D30" s="56" t="s">
        <v>2427</v>
      </c>
      <c r="E30" s="56" t="s">
        <v>1553</v>
      </c>
      <c r="F30" s="56" t="s">
        <v>2428</v>
      </c>
      <c r="G30" s="56" t="s">
        <v>379</v>
      </c>
      <c r="H30" s="56" t="s">
        <v>513</v>
      </c>
      <c r="I30" s="56" t="s">
        <v>2288</v>
      </c>
      <c r="J30" s="56" t="s">
        <v>2429</v>
      </c>
      <c r="K30" s="59"/>
      <c r="L30" s="56" t="s">
        <v>2289</v>
      </c>
      <c r="M30" s="61" t="s">
        <v>373</v>
      </c>
      <c r="N30" s="58" t="s">
        <v>2430</v>
      </c>
      <c r="P30" s="55" t="b">
        <f t="shared" si="1"/>
        <v>1</v>
      </c>
    </row>
    <row r="31" ht="15.0" customHeight="1">
      <c r="A31" s="56" t="s">
        <v>66</v>
      </c>
      <c r="B31" s="56" t="s">
        <v>508</v>
      </c>
      <c r="C31" s="57" t="s">
        <v>509</v>
      </c>
      <c r="D31" s="58">
        <v>2.102192049E9</v>
      </c>
      <c r="E31" s="56" t="s">
        <v>390</v>
      </c>
      <c r="F31" s="56" t="s">
        <v>2431</v>
      </c>
      <c r="G31" s="56" t="s">
        <v>364</v>
      </c>
      <c r="H31" s="56" t="s">
        <v>366</v>
      </c>
      <c r="I31" s="56" t="s">
        <v>381</v>
      </c>
      <c r="J31" s="56" t="s">
        <v>2432</v>
      </c>
      <c r="K31" s="59"/>
      <c r="L31" s="56" t="s">
        <v>2305</v>
      </c>
      <c r="M31" s="61" t="s">
        <v>373</v>
      </c>
      <c r="N31" s="58" t="s">
        <v>2433</v>
      </c>
      <c r="P31" s="55" t="b">
        <f t="shared" si="1"/>
        <v>0</v>
      </c>
    </row>
    <row r="32" ht="15.0" customHeight="1">
      <c r="A32" s="56" t="s">
        <v>2434</v>
      </c>
      <c r="B32" s="56" t="s">
        <v>2435</v>
      </c>
      <c r="C32" s="57" t="s">
        <v>2436</v>
      </c>
      <c r="D32" s="56" t="s">
        <v>2437</v>
      </c>
      <c r="E32" s="56" t="s">
        <v>709</v>
      </c>
      <c r="F32" s="56" t="s">
        <v>709</v>
      </c>
      <c r="G32" s="56" t="s">
        <v>399</v>
      </c>
      <c r="H32" s="56" t="s">
        <v>366</v>
      </c>
      <c r="I32" s="56" t="s">
        <v>2283</v>
      </c>
      <c r="J32" s="56" t="s">
        <v>2438</v>
      </c>
      <c r="K32" s="59"/>
      <c r="L32" s="56" t="s">
        <v>2284</v>
      </c>
      <c r="M32" s="61" t="s">
        <v>373</v>
      </c>
      <c r="N32" s="58" t="s">
        <v>2439</v>
      </c>
      <c r="P32" s="55" t="b">
        <f t="shared" si="1"/>
        <v>0</v>
      </c>
    </row>
    <row r="33" ht="15.0" customHeight="1">
      <c r="A33" s="56" t="s">
        <v>68</v>
      </c>
      <c r="B33" s="56" t="s">
        <v>2440</v>
      </c>
      <c r="C33" s="57" t="s">
        <v>524</v>
      </c>
      <c r="D33" s="58">
        <v>8.32814742E9</v>
      </c>
      <c r="E33" s="56" t="s">
        <v>390</v>
      </c>
      <c r="F33" s="56" t="s">
        <v>2441</v>
      </c>
      <c r="G33" s="56" t="s">
        <v>379</v>
      </c>
      <c r="H33" s="56" t="s">
        <v>366</v>
      </c>
      <c r="I33" s="56" t="s">
        <v>2283</v>
      </c>
      <c r="J33" s="56" t="s">
        <v>2442</v>
      </c>
      <c r="K33" s="59"/>
      <c r="L33" s="56" t="s">
        <v>2284</v>
      </c>
      <c r="M33" s="61" t="s">
        <v>373</v>
      </c>
      <c r="N33" s="58" t="s">
        <v>2443</v>
      </c>
      <c r="P33" s="55" t="b">
        <f t="shared" si="1"/>
        <v>0</v>
      </c>
    </row>
    <row r="34" ht="15.0" customHeight="1">
      <c r="A34" s="56" t="s">
        <v>2444</v>
      </c>
      <c r="B34" s="56" t="s">
        <v>2445</v>
      </c>
      <c r="C34" s="57" t="s">
        <v>2446</v>
      </c>
      <c r="D34" s="58">
        <v>4.47826111176E11</v>
      </c>
      <c r="E34" s="56" t="s">
        <v>362</v>
      </c>
      <c r="F34" s="56" t="s">
        <v>2447</v>
      </c>
      <c r="G34" s="56" t="s">
        <v>399</v>
      </c>
      <c r="H34" s="56" t="s">
        <v>513</v>
      </c>
      <c r="I34" s="56" t="s">
        <v>2283</v>
      </c>
      <c r="J34" s="56" t="s">
        <v>2448</v>
      </c>
      <c r="K34" s="59"/>
      <c r="L34" s="56" t="s">
        <v>2284</v>
      </c>
      <c r="M34" s="61" t="s">
        <v>373</v>
      </c>
      <c r="N34" s="58" t="s">
        <v>2449</v>
      </c>
      <c r="P34" s="55" t="b">
        <f t="shared" si="1"/>
        <v>1</v>
      </c>
    </row>
    <row r="35" ht="15.0" customHeight="1">
      <c r="A35" s="56" t="s">
        <v>2450</v>
      </c>
      <c r="B35" s="56" t="s">
        <v>2451</v>
      </c>
      <c r="C35" s="57" t="s">
        <v>2452</v>
      </c>
      <c r="D35" s="56" t="s">
        <v>2453</v>
      </c>
      <c r="E35" s="56" t="s">
        <v>410</v>
      </c>
      <c r="F35" s="56" t="s">
        <v>411</v>
      </c>
      <c r="G35" s="56" t="s">
        <v>379</v>
      </c>
      <c r="H35" s="56" t="s">
        <v>413</v>
      </c>
      <c r="I35" s="56" t="s">
        <v>2288</v>
      </c>
      <c r="J35" s="56" t="s">
        <v>2454</v>
      </c>
      <c r="K35" s="59"/>
      <c r="L35" s="56" t="s">
        <v>2289</v>
      </c>
      <c r="M35" s="61" t="s">
        <v>373</v>
      </c>
      <c r="N35" s="58" t="s">
        <v>2455</v>
      </c>
      <c r="P35" s="55" t="b">
        <f t="shared" si="1"/>
        <v>0</v>
      </c>
    </row>
    <row r="36" ht="15.0" customHeight="1">
      <c r="A36" s="56" t="s">
        <v>69</v>
      </c>
      <c r="B36" s="56" t="s">
        <v>530</v>
      </c>
      <c r="C36" s="57" t="s">
        <v>531</v>
      </c>
      <c r="D36" s="58">
        <v>8.324543214E9</v>
      </c>
      <c r="E36" s="56" t="s">
        <v>2286</v>
      </c>
      <c r="F36" s="56" t="s">
        <v>2456</v>
      </c>
      <c r="G36" s="56" t="s">
        <v>379</v>
      </c>
      <c r="H36" s="56" t="s">
        <v>869</v>
      </c>
      <c r="I36" s="56" t="s">
        <v>2283</v>
      </c>
      <c r="J36" s="56" t="s">
        <v>725</v>
      </c>
      <c r="K36" s="59"/>
      <c r="L36" s="56" t="s">
        <v>2284</v>
      </c>
      <c r="M36" s="61" t="s">
        <v>373</v>
      </c>
      <c r="N36" s="58" t="s">
        <v>2457</v>
      </c>
      <c r="P36" s="55" t="b">
        <f t="shared" si="1"/>
        <v>0</v>
      </c>
    </row>
    <row r="37" ht="15.0" customHeight="1">
      <c r="A37" s="56" t="s">
        <v>70</v>
      </c>
      <c r="B37" s="56" t="s">
        <v>536</v>
      </c>
      <c r="C37" s="57" t="s">
        <v>537</v>
      </c>
      <c r="D37" s="58">
        <v>5.125416445E9</v>
      </c>
      <c r="E37" s="56" t="s">
        <v>2291</v>
      </c>
      <c r="F37" s="56" t="s">
        <v>2458</v>
      </c>
      <c r="G37" s="56" t="s">
        <v>399</v>
      </c>
      <c r="H37" s="56" t="s">
        <v>413</v>
      </c>
      <c r="I37" s="56" t="s">
        <v>2288</v>
      </c>
      <c r="J37" s="56" t="s">
        <v>1360</v>
      </c>
      <c r="K37" s="59"/>
      <c r="L37" s="56" t="s">
        <v>2289</v>
      </c>
      <c r="M37" s="61" t="s">
        <v>373</v>
      </c>
      <c r="N37" s="58" t="s">
        <v>2459</v>
      </c>
      <c r="P37" s="55" t="b">
        <f t="shared" si="1"/>
        <v>0</v>
      </c>
    </row>
    <row r="38" ht="15.0" customHeight="1">
      <c r="A38" s="56" t="s">
        <v>71</v>
      </c>
      <c r="B38" s="56" t="s">
        <v>2460</v>
      </c>
      <c r="C38" s="57" t="s">
        <v>2461</v>
      </c>
      <c r="D38" s="56" t="s">
        <v>2462</v>
      </c>
      <c r="E38" s="56" t="s">
        <v>390</v>
      </c>
      <c r="F38" s="56" t="s">
        <v>2463</v>
      </c>
      <c r="G38" s="56" t="s">
        <v>364</v>
      </c>
      <c r="H38" s="56" t="s">
        <v>366</v>
      </c>
      <c r="I38" s="56" t="s">
        <v>483</v>
      </c>
      <c r="J38" s="56" t="s">
        <v>2464</v>
      </c>
      <c r="K38" s="59"/>
      <c r="L38" s="56" t="s">
        <v>2305</v>
      </c>
      <c r="M38" s="61" t="s">
        <v>373</v>
      </c>
      <c r="N38" s="58" t="s">
        <v>2465</v>
      </c>
      <c r="P38" s="55" t="b">
        <f t="shared" si="1"/>
        <v>0</v>
      </c>
    </row>
    <row r="39" ht="15.0" customHeight="1">
      <c r="A39" s="56" t="s">
        <v>2466</v>
      </c>
      <c r="B39" s="56" t="s">
        <v>2467</v>
      </c>
      <c r="C39" s="57" t="s">
        <v>2468</v>
      </c>
      <c r="D39" s="56" t="s">
        <v>2469</v>
      </c>
      <c r="E39" s="56" t="s">
        <v>2286</v>
      </c>
      <c r="F39" s="56" t="s">
        <v>2286</v>
      </c>
      <c r="G39" s="56" t="s">
        <v>379</v>
      </c>
      <c r="H39" s="56" t="s">
        <v>869</v>
      </c>
      <c r="I39" s="56" t="s">
        <v>2288</v>
      </c>
      <c r="J39" s="56" t="s">
        <v>2470</v>
      </c>
      <c r="K39" s="59"/>
      <c r="L39" s="56" t="s">
        <v>2289</v>
      </c>
      <c r="M39" s="61" t="s">
        <v>373</v>
      </c>
      <c r="N39" s="58" t="s">
        <v>2471</v>
      </c>
      <c r="P39" s="55" t="b">
        <f t="shared" si="1"/>
        <v>0</v>
      </c>
    </row>
    <row r="40" ht="15.0" customHeight="1">
      <c r="A40" s="56" t="s">
        <v>72</v>
      </c>
      <c r="B40" s="56" t="s">
        <v>549</v>
      </c>
      <c r="C40" s="57" t="s">
        <v>550</v>
      </c>
      <c r="D40" s="56" t="s">
        <v>551</v>
      </c>
      <c r="E40" s="56" t="s">
        <v>390</v>
      </c>
      <c r="F40" s="56" t="s">
        <v>2472</v>
      </c>
      <c r="G40" s="56" t="s">
        <v>379</v>
      </c>
      <c r="H40" s="56" t="s">
        <v>869</v>
      </c>
      <c r="I40" s="62" t="s">
        <v>2473</v>
      </c>
      <c r="J40" s="59"/>
      <c r="K40" s="59"/>
      <c r="L40" s="56" t="s">
        <v>2284</v>
      </c>
      <c r="M40" s="61" t="s">
        <v>394</v>
      </c>
      <c r="N40" s="58" t="s">
        <v>2474</v>
      </c>
      <c r="P40" s="55" t="b">
        <f t="shared" si="1"/>
        <v>0</v>
      </c>
    </row>
    <row r="41" ht="15.0" customHeight="1">
      <c r="A41" s="56" t="s">
        <v>73</v>
      </c>
      <c r="B41" s="56" t="s">
        <v>564</v>
      </c>
      <c r="C41" s="57" t="s">
        <v>565</v>
      </c>
      <c r="D41" s="58">
        <v>5.04390835E9</v>
      </c>
      <c r="E41" s="56" t="s">
        <v>410</v>
      </c>
      <c r="F41" s="56" t="s">
        <v>2463</v>
      </c>
      <c r="G41" s="56" t="s">
        <v>364</v>
      </c>
      <c r="H41" s="56" t="s">
        <v>366</v>
      </c>
      <c r="I41" s="56" t="s">
        <v>2283</v>
      </c>
      <c r="J41" s="56" t="s">
        <v>2475</v>
      </c>
      <c r="K41" s="59"/>
      <c r="L41" s="56" t="s">
        <v>2284</v>
      </c>
      <c r="M41" s="61" t="s">
        <v>373</v>
      </c>
      <c r="N41" s="58" t="s">
        <v>2476</v>
      </c>
      <c r="P41" s="55" t="b">
        <f t="shared" si="1"/>
        <v>0</v>
      </c>
    </row>
    <row r="42" ht="15.0" customHeight="1">
      <c r="A42" s="56" t="s">
        <v>74</v>
      </c>
      <c r="B42" s="56" t="s">
        <v>2477</v>
      </c>
      <c r="C42" s="57" t="s">
        <v>2478</v>
      </c>
      <c r="D42" s="58">
        <v>9.726799428E9</v>
      </c>
      <c r="E42" s="56" t="s">
        <v>2286</v>
      </c>
      <c r="F42" s="56" t="s">
        <v>2286</v>
      </c>
      <c r="G42" s="56" t="s">
        <v>379</v>
      </c>
      <c r="H42" s="56" t="s">
        <v>413</v>
      </c>
      <c r="I42" s="56" t="s">
        <v>2288</v>
      </c>
      <c r="J42" s="56" t="s">
        <v>528</v>
      </c>
      <c r="K42" s="59"/>
      <c r="L42" s="56" t="s">
        <v>2289</v>
      </c>
      <c r="M42" s="61" t="s">
        <v>373</v>
      </c>
      <c r="N42" s="58" t="s">
        <v>2479</v>
      </c>
      <c r="P42" s="55" t="b">
        <f t="shared" si="1"/>
        <v>0</v>
      </c>
    </row>
    <row r="43" ht="15.0" customHeight="1">
      <c r="A43" s="56" t="s">
        <v>2480</v>
      </c>
      <c r="B43" s="56" t="s">
        <v>2481</v>
      </c>
      <c r="C43" s="57" t="s">
        <v>2482</v>
      </c>
      <c r="D43" s="58">
        <v>2.816872047E9</v>
      </c>
      <c r="E43" s="56" t="s">
        <v>390</v>
      </c>
      <c r="F43" s="56" t="s">
        <v>2483</v>
      </c>
      <c r="G43" s="56" t="s">
        <v>364</v>
      </c>
      <c r="H43" s="56" t="s">
        <v>366</v>
      </c>
      <c r="I43" s="56" t="s">
        <v>483</v>
      </c>
      <c r="J43" s="56" t="s">
        <v>2484</v>
      </c>
      <c r="K43" s="59"/>
      <c r="L43" s="56" t="s">
        <v>2305</v>
      </c>
      <c r="M43" s="61" t="s">
        <v>373</v>
      </c>
      <c r="N43" s="58" t="s">
        <v>2336</v>
      </c>
      <c r="P43" s="55" t="b">
        <f t="shared" si="1"/>
        <v>0</v>
      </c>
    </row>
    <row r="44" ht="15.0" customHeight="1">
      <c r="A44" s="56" t="s">
        <v>2485</v>
      </c>
      <c r="B44" s="56" t="s">
        <v>2486</v>
      </c>
      <c r="C44" s="57" t="s">
        <v>2487</v>
      </c>
      <c r="D44" s="58">
        <v>4.79926834E9</v>
      </c>
      <c r="E44" s="56" t="s">
        <v>421</v>
      </c>
      <c r="F44" s="56" t="s">
        <v>2488</v>
      </c>
      <c r="G44" s="56" t="s">
        <v>364</v>
      </c>
      <c r="H44" s="56" t="s">
        <v>366</v>
      </c>
      <c r="I44" s="62" t="s">
        <v>2283</v>
      </c>
      <c r="J44" s="59"/>
      <c r="K44" s="59"/>
      <c r="L44" s="56" t="s">
        <v>2284</v>
      </c>
      <c r="M44" s="61" t="s">
        <v>394</v>
      </c>
      <c r="N44" s="58" t="s">
        <v>2489</v>
      </c>
      <c r="P44" s="55" t="b">
        <f t="shared" si="1"/>
        <v>0</v>
      </c>
    </row>
    <row r="45" ht="15.0" customHeight="1">
      <c r="A45" s="56" t="s">
        <v>75</v>
      </c>
      <c r="B45" s="56" t="s">
        <v>2490</v>
      </c>
      <c r="C45" s="57" t="s">
        <v>599</v>
      </c>
      <c r="D45" s="58">
        <v>4.095408511E9</v>
      </c>
      <c r="E45" s="56" t="s">
        <v>390</v>
      </c>
      <c r="F45" s="56" t="s">
        <v>2491</v>
      </c>
      <c r="G45" s="56" t="s">
        <v>379</v>
      </c>
      <c r="H45" s="56" t="s">
        <v>366</v>
      </c>
      <c r="I45" s="56" t="s">
        <v>2283</v>
      </c>
      <c r="J45" s="56" t="s">
        <v>2492</v>
      </c>
      <c r="K45" s="59"/>
      <c r="L45" s="56" t="s">
        <v>2284</v>
      </c>
      <c r="M45" s="61" t="s">
        <v>373</v>
      </c>
      <c r="N45" s="58" t="s">
        <v>2493</v>
      </c>
      <c r="P45" s="55" t="b">
        <f t="shared" si="1"/>
        <v>0</v>
      </c>
    </row>
    <row r="46" ht="15.0" customHeight="1">
      <c r="A46" s="56" t="s">
        <v>2494</v>
      </c>
      <c r="B46" s="56" t="s">
        <v>2495</v>
      </c>
      <c r="C46" s="57" t="s">
        <v>2496</v>
      </c>
      <c r="D46" s="58">
        <v>8.32744202E9</v>
      </c>
      <c r="E46" s="56" t="s">
        <v>390</v>
      </c>
      <c r="F46" s="56" t="s">
        <v>2497</v>
      </c>
      <c r="G46" s="56" t="s">
        <v>399</v>
      </c>
      <c r="H46" s="56" t="s">
        <v>413</v>
      </c>
      <c r="I46" s="56" t="s">
        <v>483</v>
      </c>
      <c r="J46" s="56" t="s">
        <v>2498</v>
      </c>
      <c r="K46" s="59"/>
      <c r="L46" s="56" t="s">
        <v>2305</v>
      </c>
      <c r="M46" s="61" t="s">
        <v>373</v>
      </c>
      <c r="N46" s="58" t="s">
        <v>2499</v>
      </c>
      <c r="P46" s="55" t="b">
        <f t="shared" si="1"/>
        <v>0</v>
      </c>
    </row>
    <row r="47" ht="15.0" customHeight="1">
      <c r="A47" s="56" t="s">
        <v>77</v>
      </c>
      <c r="B47" s="56" t="s">
        <v>608</v>
      </c>
      <c r="C47" s="57" t="s">
        <v>609</v>
      </c>
      <c r="D47" s="58">
        <v>8.32682805E9</v>
      </c>
      <c r="E47" s="56" t="s">
        <v>390</v>
      </c>
      <c r="F47" s="56" t="s">
        <v>2500</v>
      </c>
      <c r="G47" s="56" t="s">
        <v>364</v>
      </c>
      <c r="H47" s="56" t="s">
        <v>366</v>
      </c>
      <c r="I47" s="56" t="s">
        <v>2293</v>
      </c>
      <c r="J47" s="56" t="s">
        <v>2501</v>
      </c>
      <c r="K47" s="59"/>
      <c r="L47" s="56" t="s">
        <v>2284</v>
      </c>
      <c r="M47" s="61" t="s">
        <v>373</v>
      </c>
      <c r="N47" s="58" t="s">
        <v>2502</v>
      </c>
      <c r="P47" s="55" t="b">
        <f t="shared" si="1"/>
        <v>0</v>
      </c>
    </row>
    <row r="48" ht="15.0" customHeight="1">
      <c r="A48" s="56" t="s">
        <v>328</v>
      </c>
      <c r="B48" s="56" t="s">
        <v>2503</v>
      </c>
      <c r="C48" s="57" t="s">
        <v>616</v>
      </c>
      <c r="D48" s="58">
        <v>9.792365426E9</v>
      </c>
      <c r="E48" s="56" t="s">
        <v>390</v>
      </c>
      <c r="F48" s="56" t="s">
        <v>2504</v>
      </c>
      <c r="G48" s="56" t="s">
        <v>364</v>
      </c>
      <c r="H48" s="56" t="s">
        <v>413</v>
      </c>
      <c r="I48" s="56" t="s">
        <v>2288</v>
      </c>
      <c r="J48" s="56" t="s">
        <v>2505</v>
      </c>
      <c r="K48" s="59"/>
      <c r="L48" s="56" t="s">
        <v>2289</v>
      </c>
      <c r="M48" s="61" t="s">
        <v>373</v>
      </c>
      <c r="N48" s="58" t="s">
        <v>2506</v>
      </c>
      <c r="P48" s="55" t="b">
        <f t="shared" si="1"/>
        <v>0</v>
      </c>
    </row>
    <row r="49" ht="15.0" customHeight="1">
      <c r="A49" s="56" t="s">
        <v>2507</v>
      </c>
      <c r="B49" s="56" t="s">
        <v>2508</v>
      </c>
      <c r="C49" s="57" t="s">
        <v>2509</v>
      </c>
      <c r="D49" s="58">
        <v>9.792364823E9</v>
      </c>
      <c r="E49" s="56" t="s">
        <v>410</v>
      </c>
      <c r="F49" s="56" t="s">
        <v>411</v>
      </c>
      <c r="G49" s="56" t="s">
        <v>379</v>
      </c>
      <c r="H49" s="56" t="s">
        <v>366</v>
      </c>
      <c r="I49" s="56" t="s">
        <v>2510</v>
      </c>
      <c r="J49" s="56" t="s">
        <v>2511</v>
      </c>
      <c r="K49" s="59"/>
      <c r="L49" s="56" t="s">
        <v>2289</v>
      </c>
      <c r="M49" s="61" t="s">
        <v>373</v>
      </c>
      <c r="N49" s="58" t="s">
        <v>2512</v>
      </c>
      <c r="P49" s="55" t="b">
        <f t="shared" si="1"/>
        <v>0</v>
      </c>
    </row>
    <row r="50" ht="15.0" customHeight="1">
      <c r="A50" s="56" t="s">
        <v>2513</v>
      </c>
      <c r="B50" s="56" t="s">
        <v>2514</v>
      </c>
      <c r="C50" s="57" t="s">
        <v>2515</v>
      </c>
      <c r="D50" s="58">
        <v>9.372040494E9</v>
      </c>
      <c r="E50" s="56" t="s">
        <v>2286</v>
      </c>
      <c r="F50" s="56" t="s">
        <v>2286</v>
      </c>
      <c r="G50" s="56" t="s">
        <v>399</v>
      </c>
      <c r="H50" s="56" t="s">
        <v>366</v>
      </c>
      <c r="I50" s="56" t="s">
        <v>2288</v>
      </c>
      <c r="J50" s="56" t="s">
        <v>2516</v>
      </c>
      <c r="K50" s="59"/>
      <c r="L50" s="56" t="s">
        <v>2289</v>
      </c>
      <c r="M50" s="61" t="s">
        <v>373</v>
      </c>
      <c r="N50" s="58" t="s">
        <v>2517</v>
      </c>
      <c r="P50" s="55" t="b">
        <f t="shared" si="1"/>
        <v>0</v>
      </c>
    </row>
    <row r="51" ht="15.0" customHeight="1">
      <c r="A51" s="56" t="s">
        <v>2518</v>
      </c>
      <c r="B51" s="56" t="s">
        <v>2519</v>
      </c>
      <c r="C51" s="57" t="s">
        <v>2520</v>
      </c>
      <c r="D51" s="58">
        <v>8.154205656E9</v>
      </c>
      <c r="E51" s="56" t="s">
        <v>2286</v>
      </c>
      <c r="F51" s="56" t="s">
        <v>2521</v>
      </c>
      <c r="G51" s="56" t="s">
        <v>364</v>
      </c>
      <c r="H51" s="56" t="s">
        <v>413</v>
      </c>
      <c r="I51" s="56" t="s">
        <v>2288</v>
      </c>
      <c r="J51" s="56" t="s">
        <v>2522</v>
      </c>
      <c r="K51" s="59"/>
      <c r="L51" s="56" t="s">
        <v>2289</v>
      </c>
      <c r="M51" s="61" t="s">
        <v>373</v>
      </c>
      <c r="N51" s="58" t="s">
        <v>2523</v>
      </c>
      <c r="P51" s="55" t="b">
        <f t="shared" si="1"/>
        <v>0</v>
      </c>
    </row>
    <row r="52" ht="15.0" customHeight="1">
      <c r="A52" s="56" t="s">
        <v>2524</v>
      </c>
      <c r="B52" s="56" t="s">
        <v>2525</v>
      </c>
      <c r="C52" s="57" t="s">
        <v>2526</v>
      </c>
      <c r="D52" s="56" t="s">
        <v>2527</v>
      </c>
      <c r="E52" s="56" t="s">
        <v>459</v>
      </c>
      <c r="F52" s="56" t="s">
        <v>2528</v>
      </c>
      <c r="G52" s="56" t="s">
        <v>364</v>
      </c>
      <c r="H52" s="56" t="s">
        <v>413</v>
      </c>
      <c r="I52" s="56" t="s">
        <v>2283</v>
      </c>
      <c r="J52" s="56" t="s">
        <v>554</v>
      </c>
      <c r="K52" s="59"/>
      <c r="L52" s="56" t="s">
        <v>2284</v>
      </c>
      <c r="M52" s="61" t="s">
        <v>373</v>
      </c>
      <c r="N52" s="58" t="s">
        <v>2529</v>
      </c>
      <c r="P52" s="55" t="b">
        <f t="shared" si="1"/>
        <v>0</v>
      </c>
    </row>
    <row r="53" ht="15.0" customHeight="1">
      <c r="A53" s="56" t="s">
        <v>2530</v>
      </c>
      <c r="B53" s="56" t="s">
        <v>2531</v>
      </c>
      <c r="C53" s="57" t="s">
        <v>2532</v>
      </c>
      <c r="D53" s="58">
        <v>2.812299614E9</v>
      </c>
      <c r="E53" s="56" t="s">
        <v>390</v>
      </c>
      <c r="F53" s="56" t="s">
        <v>411</v>
      </c>
      <c r="G53" s="56" t="s">
        <v>379</v>
      </c>
      <c r="H53" s="56" t="s">
        <v>413</v>
      </c>
      <c r="I53" s="56" t="s">
        <v>2288</v>
      </c>
      <c r="J53" s="56" t="s">
        <v>2533</v>
      </c>
      <c r="K53" s="59"/>
      <c r="L53" s="56" t="s">
        <v>2289</v>
      </c>
      <c r="M53" s="61" t="s">
        <v>373</v>
      </c>
      <c r="N53" s="58" t="s">
        <v>2534</v>
      </c>
      <c r="P53" s="55" t="b">
        <f t="shared" si="1"/>
        <v>0</v>
      </c>
    </row>
    <row r="54" ht="15.0" customHeight="1">
      <c r="A54" s="56" t="s">
        <v>78</v>
      </c>
      <c r="B54" s="56" t="s">
        <v>2535</v>
      </c>
      <c r="C54" s="57" t="s">
        <v>2536</v>
      </c>
      <c r="D54" s="58">
        <v>8.312624654E9</v>
      </c>
      <c r="E54" s="56" t="s">
        <v>716</v>
      </c>
      <c r="F54" s="56" t="s">
        <v>2537</v>
      </c>
      <c r="G54" s="56" t="s">
        <v>379</v>
      </c>
      <c r="H54" s="56" t="s">
        <v>413</v>
      </c>
      <c r="I54" s="56" t="s">
        <v>483</v>
      </c>
      <c r="J54" s="56" t="s">
        <v>1995</v>
      </c>
      <c r="K54" s="59"/>
      <c r="L54" s="56" t="s">
        <v>2305</v>
      </c>
      <c r="M54" s="61" t="s">
        <v>373</v>
      </c>
      <c r="N54" s="58" t="s">
        <v>2538</v>
      </c>
      <c r="P54" s="55" t="b">
        <f t="shared" si="1"/>
        <v>0</v>
      </c>
    </row>
    <row r="55" ht="15.0" customHeight="1">
      <c r="A55" s="56" t="s">
        <v>2539</v>
      </c>
      <c r="B55" s="56" t="s">
        <v>2540</v>
      </c>
      <c r="C55" s="57" t="s">
        <v>2541</v>
      </c>
      <c r="D55" s="58">
        <v>3.122160873E9</v>
      </c>
      <c r="E55" s="56" t="s">
        <v>2286</v>
      </c>
      <c r="F55" s="56" t="s">
        <v>2286</v>
      </c>
      <c r="G55" s="56" t="s">
        <v>399</v>
      </c>
      <c r="H55" s="56" t="s">
        <v>366</v>
      </c>
      <c r="I55" s="56" t="s">
        <v>2283</v>
      </c>
      <c r="J55" s="56" t="s">
        <v>2542</v>
      </c>
      <c r="K55" s="59"/>
      <c r="L55" s="56" t="s">
        <v>2284</v>
      </c>
      <c r="M55" s="61" t="s">
        <v>373</v>
      </c>
      <c r="N55" s="58" t="s">
        <v>2543</v>
      </c>
      <c r="P55" s="55" t="b">
        <f t="shared" si="1"/>
        <v>0</v>
      </c>
    </row>
    <row r="56" ht="15.0" customHeight="1">
      <c r="A56" s="56" t="s">
        <v>79</v>
      </c>
      <c r="B56" s="56" t="s">
        <v>991</v>
      </c>
      <c r="C56" s="57" t="s">
        <v>2544</v>
      </c>
      <c r="D56" s="58">
        <v>2.259393933E9</v>
      </c>
      <c r="E56" s="56" t="s">
        <v>390</v>
      </c>
      <c r="F56" s="56" t="s">
        <v>2545</v>
      </c>
      <c r="G56" s="56" t="s">
        <v>364</v>
      </c>
      <c r="H56" s="56" t="s">
        <v>413</v>
      </c>
      <c r="I56" s="56" t="s">
        <v>2288</v>
      </c>
      <c r="J56" s="56" t="s">
        <v>2546</v>
      </c>
      <c r="K56" s="59"/>
      <c r="L56" s="56" t="s">
        <v>2289</v>
      </c>
      <c r="M56" s="61" t="s">
        <v>373</v>
      </c>
      <c r="N56" s="58" t="s">
        <v>2547</v>
      </c>
      <c r="P56" s="55" t="b">
        <f t="shared" si="1"/>
        <v>0</v>
      </c>
    </row>
    <row r="57" ht="15.0" customHeight="1">
      <c r="A57" s="56" t="s">
        <v>80</v>
      </c>
      <c r="B57" s="56" t="s">
        <v>626</v>
      </c>
      <c r="C57" s="57" t="s">
        <v>2548</v>
      </c>
      <c r="D57" s="58">
        <v>7.134888274E9</v>
      </c>
      <c r="E57" s="56" t="s">
        <v>2286</v>
      </c>
      <c r="F57" s="56" t="s">
        <v>2287</v>
      </c>
      <c r="G57" s="56" t="s">
        <v>364</v>
      </c>
      <c r="H57" s="56" t="s">
        <v>366</v>
      </c>
      <c r="I57" s="56" t="s">
        <v>497</v>
      </c>
      <c r="J57" s="56" t="s">
        <v>2549</v>
      </c>
      <c r="K57" s="59"/>
      <c r="L57" s="56" t="s">
        <v>2305</v>
      </c>
      <c r="M57" s="61" t="s">
        <v>373</v>
      </c>
      <c r="N57" s="58" t="s">
        <v>2550</v>
      </c>
      <c r="P57" s="55" t="b">
        <f t="shared" si="1"/>
        <v>0</v>
      </c>
    </row>
    <row r="58" ht="15.0" customHeight="1">
      <c r="A58" s="56" t="s">
        <v>2551</v>
      </c>
      <c r="B58" s="56" t="s">
        <v>2552</v>
      </c>
      <c r="C58" s="57" t="s">
        <v>632</v>
      </c>
      <c r="D58" s="56" t="s">
        <v>2553</v>
      </c>
      <c r="E58" s="56" t="s">
        <v>2291</v>
      </c>
      <c r="F58" s="56" t="s">
        <v>2554</v>
      </c>
      <c r="G58" s="56" t="s">
        <v>364</v>
      </c>
      <c r="H58" s="56" t="s">
        <v>513</v>
      </c>
      <c r="I58" s="56" t="s">
        <v>381</v>
      </c>
      <c r="J58" s="56" t="s">
        <v>1536</v>
      </c>
      <c r="K58" s="59"/>
      <c r="L58" s="56" t="s">
        <v>2305</v>
      </c>
      <c r="M58" s="61" t="s">
        <v>373</v>
      </c>
      <c r="N58" s="58" t="s">
        <v>2555</v>
      </c>
      <c r="P58" s="55" t="b">
        <f t="shared" si="1"/>
        <v>1</v>
      </c>
    </row>
    <row r="59" ht="15.0" customHeight="1">
      <c r="A59" s="56" t="s">
        <v>2556</v>
      </c>
      <c r="B59" s="56" t="s">
        <v>2557</v>
      </c>
      <c r="C59" s="57" t="s">
        <v>2558</v>
      </c>
      <c r="D59" s="58">
        <v>5.125674363E9</v>
      </c>
      <c r="E59" s="56" t="s">
        <v>362</v>
      </c>
      <c r="F59" s="56" t="s">
        <v>2559</v>
      </c>
      <c r="G59" s="56" t="s">
        <v>379</v>
      </c>
      <c r="H59" s="56" t="s">
        <v>869</v>
      </c>
      <c r="I59" s="56" t="s">
        <v>2288</v>
      </c>
      <c r="J59" s="56" t="s">
        <v>995</v>
      </c>
      <c r="K59" s="59"/>
      <c r="L59" s="56" t="s">
        <v>2289</v>
      </c>
      <c r="M59" s="61" t="s">
        <v>373</v>
      </c>
      <c r="N59" s="58" t="s">
        <v>2560</v>
      </c>
      <c r="P59" s="55" t="b">
        <f t="shared" si="1"/>
        <v>0</v>
      </c>
    </row>
    <row r="60" ht="15.0" customHeight="1">
      <c r="A60" s="56" t="s">
        <v>81</v>
      </c>
      <c r="B60" s="56" t="s">
        <v>645</v>
      </c>
      <c r="C60" s="57" t="s">
        <v>2561</v>
      </c>
      <c r="D60" s="56" t="s">
        <v>2562</v>
      </c>
      <c r="E60" s="56" t="s">
        <v>2286</v>
      </c>
      <c r="F60" s="56" t="s">
        <v>2563</v>
      </c>
      <c r="G60" s="56" t="s">
        <v>364</v>
      </c>
      <c r="H60" s="56" t="s">
        <v>366</v>
      </c>
      <c r="I60" s="56" t="s">
        <v>2283</v>
      </c>
      <c r="J60" s="56" t="s">
        <v>2533</v>
      </c>
      <c r="K60" s="59"/>
      <c r="L60" s="56" t="s">
        <v>2284</v>
      </c>
      <c r="M60" s="61" t="s">
        <v>373</v>
      </c>
      <c r="N60" s="58" t="s">
        <v>2564</v>
      </c>
      <c r="P60" s="55" t="b">
        <f t="shared" si="1"/>
        <v>0</v>
      </c>
    </row>
    <row r="61" ht="15.0" customHeight="1">
      <c r="A61" s="56" t="s">
        <v>82</v>
      </c>
      <c r="B61" s="56" t="s">
        <v>650</v>
      </c>
      <c r="C61" s="57" t="s">
        <v>651</v>
      </c>
      <c r="D61" s="56" t="s">
        <v>652</v>
      </c>
      <c r="E61" s="56" t="s">
        <v>390</v>
      </c>
      <c r="F61" s="56" t="s">
        <v>2565</v>
      </c>
      <c r="G61" s="56" t="s">
        <v>364</v>
      </c>
      <c r="H61" s="56" t="s">
        <v>366</v>
      </c>
      <c r="I61" s="56" t="s">
        <v>381</v>
      </c>
      <c r="J61" s="56" t="s">
        <v>2566</v>
      </c>
      <c r="K61" s="59"/>
      <c r="L61" s="56" t="s">
        <v>2305</v>
      </c>
      <c r="M61" s="61" t="s">
        <v>373</v>
      </c>
      <c r="N61" s="58" t="s">
        <v>2567</v>
      </c>
      <c r="P61" s="55" t="b">
        <f t="shared" si="1"/>
        <v>0</v>
      </c>
    </row>
    <row r="62" ht="15.0" customHeight="1">
      <c r="A62" s="56" t="s">
        <v>657</v>
      </c>
      <c r="B62" s="56" t="s">
        <v>2568</v>
      </c>
      <c r="C62" s="57" t="s">
        <v>2569</v>
      </c>
      <c r="D62" s="56" t="s">
        <v>2570</v>
      </c>
      <c r="E62" s="56" t="s">
        <v>2286</v>
      </c>
      <c r="F62" s="56" t="s">
        <v>2504</v>
      </c>
      <c r="G62" s="56" t="s">
        <v>379</v>
      </c>
      <c r="H62" s="56" t="s">
        <v>366</v>
      </c>
      <c r="I62" s="56" t="s">
        <v>2288</v>
      </c>
      <c r="J62" s="56" t="s">
        <v>2571</v>
      </c>
      <c r="K62" s="59"/>
      <c r="L62" s="56" t="s">
        <v>2289</v>
      </c>
      <c r="M62" s="61" t="s">
        <v>373</v>
      </c>
      <c r="N62" s="58" t="s">
        <v>2572</v>
      </c>
      <c r="P62" s="55" t="b">
        <f t="shared" si="1"/>
        <v>0</v>
      </c>
    </row>
    <row r="63" ht="15.0" customHeight="1">
      <c r="A63" s="56" t="s">
        <v>2573</v>
      </c>
      <c r="B63" s="56" t="s">
        <v>2574</v>
      </c>
      <c r="C63" s="57" t="s">
        <v>2575</v>
      </c>
      <c r="D63" s="58">
        <v>2.694924683E9</v>
      </c>
      <c r="E63" s="56" t="s">
        <v>1598</v>
      </c>
      <c r="F63" s="56" t="s">
        <v>1598</v>
      </c>
      <c r="G63" s="56" t="s">
        <v>379</v>
      </c>
      <c r="H63" s="56" t="s">
        <v>366</v>
      </c>
      <c r="I63" s="56" t="s">
        <v>2283</v>
      </c>
      <c r="J63" s="56" t="s">
        <v>2511</v>
      </c>
      <c r="K63" s="59"/>
      <c r="L63" s="56" t="s">
        <v>2284</v>
      </c>
      <c r="M63" s="61" t="s">
        <v>373</v>
      </c>
      <c r="N63" s="58" t="s">
        <v>2576</v>
      </c>
      <c r="P63" s="55" t="b">
        <f t="shared" si="1"/>
        <v>0</v>
      </c>
    </row>
    <row r="64" ht="15.0" customHeight="1">
      <c r="A64" s="56" t="s">
        <v>291</v>
      </c>
      <c r="B64" s="56" t="s">
        <v>664</v>
      </c>
      <c r="C64" s="57" t="s">
        <v>2577</v>
      </c>
      <c r="D64" s="56" t="s">
        <v>2578</v>
      </c>
      <c r="E64" s="56" t="s">
        <v>2286</v>
      </c>
      <c r="F64" s="56" t="s">
        <v>2286</v>
      </c>
      <c r="G64" s="56" t="s">
        <v>379</v>
      </c>
      <c r="H64" s="56" t="s">
        <v>366</v>
      </c>
      <c r="I64" s="56" t="s">
        <v>2283</v>
      </c>
      <c r="J64" s="56" t="s">
        <v>528</v>
      </c>
      <c r="K64" s="59"/>
      <c r="L64" s="56" t="s">
        <v>2284</v>
      </c>
      <c r="M64" s="61" t="s">
        <v>373</v>
      </c>
      <c r="N64" s="58" t="s">
        <v>2579</v>
      </c>
      <c r="P64" s="55" t="b">
        <f t="shared" si="1"/>
        <v>0</v>
      </c>
    </row>
    <row r="65" ht="15.0" customHeight="1">
      <c r="A65" s="56" t="s">
        <v>84</v>
      </c>
      <c r="B65" s="56" t="s">
        <v>2580</v>
      </c>
      <c r="C65" s="57" t="s">
        <v>2581</v>
      </c>
      <c r="D65" s="58">
        <v>9.566051916E9</v>
      </c>
      <c r="E65" s="56" t="s">
        <v>2286</v>
      </c>
      <c r="F65" s="56" t="s">
        <v>2582</v>
      </c>
      <c r="G65" s="56" t="s">
        <v>364</v>
      </c>
      <c r="H65" s="56" t="s">
        <v>513</v>
      </c>
      <c r="I65" s="56" t="s">
        <v>2288</v>
      </c>
      <c r="J65" s="56" t="s">
        <v>1798</v>
      </c>
      <c r="K65" s="59"/>
      <c r="L65" s="56" t="s">
        <v>2289</v>
      </c>
      <c r="M65" s="61" t="s">
        <v>373</v>
      </c>
      <c r="N65" s="58" t="s">
        <v>2583</v>
      </c>
      <c r="P65" s="55" t="b">
        <f t="shared" si="1"/>
        <v>1</v>
      </c>
    </row>
    <row r="66" ht="15.0" customHeight="1">
      <c r="A66" s="56" t="s">
        <v>2584</v>
      </c>
      <c r="B66" s="56" t="s">
        <v>2585</v>
      </c>
      <c r="C66" s="57" t="s">
        <v>2586</v>
      </c>
      <c r="D66" s="56" t="s">
        <v>2587</v>
      </c>
      <c r="E66" s="56" t="s">
        <v>1553</v>
      </c>
      <c r="F66" s="56" t="s">
        <v>2588</v>
      </c>
      <c r="G66" s="56" t="s">
        <v>399</v>
      </c>
      <c r="H66" s="56" t="s">
        <v>366</v>
      </c>
      <c r="I66" s="56" t="s">
        <v>2589</v>
      </c>
      <c r="J66" s="62" t="s">
        <v>2590</v>
      </c>
      <c r="K66" s="59"/>
      <c r="L66" s="56" t="s">
        <v>2284</v>
      </c>
      <c r="M66" s="61" t="s">
        <v>373</v>
      </c>
      <c r="N66" s="58" t="s">
        <v>2591</v>
      </c>
      <c r="P66" s="55" t="b">
        <f t="shared" si="1"/>
        <v>0</v>
      </c>
    </row>
    <row r="67" ht="15.0" customHeight="1">
      <c r="A67" s="56" t="s">
        <v>86</v>
      </c>
      <c r="B67" s="56" t="s">
        <v>680</v>
      </c>
      <c r="C67" s="57" t="s">
        <v>681</v>
      </c>
      <c r="D67" s="58">
        <v>2.819321105E9</v>
      </c>
      <c r="E67" s="56" t="s">
        <v>390</v>
      </c>
      <c r="F67" s="56" t="s">
        <v>2592</v>
      </c>
      <c r="G67" s="56" t="s">
        <v>379</v>
      </c>
      <c r="H67" s="56" t="s">
        <v>366</v>
      </c>
      <c r="I67" s="56" t="s">
        <v>497</v>
      </c>
      <c r="J67" s="56" t="s">
        <v>2593</v>
      </c>
      <c r="K67" s="59"/>
      <c r="L67" s="56" t="s">
        <v>2305</v>
      </c>
      <c r="M67" s="61" t="s">
        <v>373</v>
      </c>
      <c r="N67" s="58" t="s">
        <v>2594</v>
      </c>
      <c r="P67" s="55" t="b">
        <f t="shared" si="1"/>
        <v>0</v>
      </c>
    </row>
    <row r="68" ht="15.0" customHeight="1">
      <c r="A68" s="56" t="s">
        <v>87</v>
      </c>
      <c r="B68" s="56" t="s">
        <v>2595</v>
      </c>
      <c r="C68" s="57" t="s">
        <v>2596</v>
      </c>
      <c r="D68" s="58">
        <v>9.153004016E9</v>
      </c>
      <c r="E68" s="56" t="s">
        <v>390</v>
      </c>
      <c r="F68" s="56" t="s">
        <v>2597</v>
      </c>
      <c r="G68" s="56" t="s">
        <v>364</v>
      </c>
      <c r="H68" s="56" t="s">
        <v>366</v>
      </c>
      <c r="I68" s="56" t="s">
        <v>2288</v>
      </c>
      <c r="J68" s="56" t="s">
        <v>2598</v>
      </c>
      <c r="K68" s="59"/>
      <c r="L68" s="56" t="s">
        <v>2289</v>
      </c>
      <c r="M68" s="61" t="s">
        <v>373</v>
      </c>
      <c r="N68" s="58" t="s">
        <v>2599</v>
      </c>
      <c r="P68" s="55" t="b">
        <f t="shared" si="1"/>
        <v>0</v>
      </c>
    </row>
    <row r="69" ht="15.0" customHeight="1">
      <c r="A69" s="56" t="s">
        <v>2600</v>
      </c>
      <c r="B69" s="56" t="s">
        <v>2601</v>
      </c>
      <c r="C69" s="57" t="s">
        <v>2602</v>
      </c>
      <c r="D69" s="58">
        <v>9.517503479E9</v>
      </c>
      <c r="E69" s="56" t="s">
        <v>390</v>
      </c>
      <c r="F69" s="56" t="s">
        <v>2603</v>
      </c>
      <c r="G69" s="56" t="s">
        <v>364</v>
      </c>
      <c r="H69" s="56" t="s">
        <v>366</v>
      </c>
      <c r="I69" s="56" t="s">
        <v>381</v>
      </c>
      <c r="J69" s="56" t="s">
        <v>1628</v>
      </c>
      <c r="K69" s="59"/>
      <c r="L69" s="56" t="s">
        <v>2305</v>
      </c>
      <c r="M69" s="61" t="s">
        <v>373</v>
      </c>
      <c r="N69" s="58" t="s">
        <v>2604</v>
      </c>
      <c r="P69" s="55" t="b">
        <f t="shared" si="1"/>
        <v>0</v>
      </c>
    </row>
    <row r="70" ht="15.0" customHeight="1">
      <c r="A70" s="56" t="s">
        <v>292</v>
      </c>
      <c r="B70" s="56" t="s">
        <v>2605</v>
      </c>
      <c r="C70" s="57" t="s">
        <v>687</v>
      </c>
      <c r="D70" s="56" t="s">
        <v>688</v>
      </c>
      <c r="E70" s="56" t="s">
        <v>452</v>
      </c>
      <c r="F70" s="56" t="s">
        <v>2606</v>
      </c>
      <c r="G70" s="56" t="s">
        <v>399</v>
      </c>
      <c r="H70" s="56" t="s">
        <v>413</v>
      </c>
      <c r="I70" s="56" t="s">
        <v>381</v>
      </c>
      <c r="J70" s="56" t="s">
        <v>1530</v>
      </c>
      <c r="K70" s="59"/>
      <c r="L70" s="56" t="s">
        <v>2305</v>
      </c>
      <c r="M70" s="61" t="s">
        <v>373</v>
      </c>
      <c r="N70" s="58" t="s">
        <v>2607</v>
      </c>
      <c r="P70" s="55" t="b">
        <f t="shared" si="1"/>
        <v>0</v>
      </c>
    </row>
    <row r="71" ht="15.0" customHeight="1">
      <c r="A71" s="56" t="s">
        <v>88</v>
      </c>
      <c r="B71" s="56" t="s">
        <v>693</v>
      </c>
      <c r="C71" s="57" t="s">
        <v>694</v>
      </c>
      <c r="D71" s="56" t="s">
        <v>2608</v>
      </c>
      <c r="E71" s="56" t="s">
        <v>410</v>
      </c>
      <c r="F71" s="56" t="s">
        <v>410</v>
      </c>
      <c r="G71" s="56" t="s">
        <v>399</v>
      </c>
      <c r="H71" s="56" t="s">
        <v>366</v>
      </c>
      <c r="I71" s="56" t="s">
        <v>2283</v>
      </c>
      <c r="J71" s="56" t="s">
        <v>541</v>
      </c>
      <c r="K71" s="59"/>
      <c r="L71" s="56" t="s">
        <v>2284</v>
      </c>
      <c r="M71" s="61" t="s">
        <v>373</v>
      </c>
      <c r="N71" s="58" t="s">
        <v>2609</v>
      </c>
      <c r="P71" s="55" t="b">
        <f t="shared" si="1"/>
        <v>0</v>
      </c>
    </row>
    <row r="72" ht="15.0" customHeight="1">
      <c r="A72" s="56" t="s">
        <v>2610</v>
      </c>
      <c r="B72" s="56" t="s">
        <v>2611</v>
      </c>
      <c r="C72" s="57" t="s">
        <v>2612</v>
      </c>
      <c r="D72" s="56" t="s">
        <v>2613</v>
      </c>
      <c r="E72" s="56" t="s">
        <v>2286</v>
      </c>
      <c r="F72" s="56" t="s">
        <v>2614</v>
      </c>
      <c r="G72" s="56" t="s">
        <v>399</v>
      </c>
      <c r="H72" s="56" t="s">
        <v>413</v>
      </c>
      <c r="I72" s="56" t="s">
        <v>2288</v>
      </c>
      <c r="J72" s="56" t="s">
        <v>2615</v>
      </c>
      <c r="K72" s="59"/>
      <c r="L72" s="56" t="s">
        <v>2289</v>
      </c>
      <c r="M72" s="61" t="s">
        <v>373</v>
      </c>
      <c r="N72" s="58" t="s">
        <v>2616</v>
      </c>
      <c r="P72" s="55" t="b">
        <f t="shared" si="1"/>
        <v>0</v>
      </c>
    </row>
    <row r="73" ht="15.0" customHeight="1">
      <c r="A73" s="56" t="s">
        <v>2617</v>
      </c>
      <c r="B73" s="56" t="s">
        <v>2618</v>
      </c>
      <c r="C73" s="57" t="s">
        <v>2619</v>
      </c>
      <c r="D73" s="58">
        <v>8.329048167E9</v>
      </c>
      <c r="E73" s="56" t="s">
        <v>390</v>
      </c>
      <c r="F73" s="56" t="s">
        <v>2620</v>
      </c>
      <c r="G73" s="56" t="s">
        <v>379</v>
      </c>
      <c r="H73" s="56" t="s">
        <v>366</v>
      </c>
      <c r="I73" s="56" t="s">
        <v>2288</v>
      </c>
      <c r="J73" s="56" t="s">
        <v>2621</v>
      </c>
      <c r="K73" s="59"/>
      <c r="L73" s="56" t="s">
        <v>2289</v>
      </c>
      <c r="M73" s="61" t="s">
        <v>373</v>
      </c>
      <c r="N73" s="58" t="s">
        <v>2622</v>
      </c>
      <c r="P73" s="55" t="b">
        <f t="shared" si="1"/>
        <v>0</v>
      </c>
    </row>
    <row r="74" ht="15.0" customHeight="1">
      <c r="A74" s="56" t="s">
        <v>2623</v>
      </c>
      <c r="B74" s="56" t="s">
        <v>2624</v>
      </c>
      <c r="C74" s="57" t="s">
        <v>2625</v>
      </c>
      <c r="D74" s="56" t="s">
        <v>2626</v>
      </c>
      <c r="E74" s="56" t="s">
        <v>2286</v>
      </c>
      <c r="F74" s="56" t="s">
        <v>2287</v>
      </c>
      <c r="G74" s="56" t="s">
        <v>399</v>
      </c>
      <c r="H74" s="56" t="s">
        <v>513</v>
      </c>
      <c r="I74" s="56" t="s">
        <v>2288</v>
      </c>
      <c r="J74" s="56" t="s">
        <v>2627</v>
      </c>
      <c r="K74" s="59"/>
      <c r="L74" s="56" t="s">
        <v>2289</v>
      </c>
      <c r="M74" s="61" t="s">
        <v>373</v>
      </c>
      <c r="N74" s="58" t="s">
        <v>2628</v>
      </c>
      <c r="P74" s="55" t="b">
        <f t="shared" si="1"/>
        <v>1</v>
      </c>
    </row>
    <row r="75" ht="15.0" customHeight="1">
      <c r="A75" s="56" t="s">
        <v>89</v>
      </c>
      <c r="B75" s="56" t="s">
        <v>2629</v>
      </c>
      <c r="C75" s="57" t="s">
        <v>2630</v>
      </c>
      <c r="D75" s="58">
        <v>8.162266151E9</v>
      </c>
      <c r="E75" s="56" t="s">
        <v>2286</v>
      </c>
      <c r="F75" s="56" t="s">
        <v>2395</v>
      </c>
      <c r="G75" s="56" t="s">
        <v>364</v>
      </c>
      <c r="H75" s="56" t="s">
        <v>413</v>
      </c>
      <c r="I75" s="56" t="s">
        <v>497</v>
      </c>
      <c r="J75" s="56" t="s">
        <v>2631</v>
      </c>
      <c r="K75" s="59"/>
      <c r="L75" s="56" t="s">
        <v>2305</v>
      </c>
      <c r="M75" s="61" t="s">
        <v>373</v>
      </c>
      <c r="N75" s="58" t="s">
        <v>2632</v>
      </c>
      <c r="P75" s="55" t="b">
        <f t="shared" si="1"/>
        <v>0</v>
      </c>
    </row>
    <row r="76" ht="15.0" customHeight="1">
      <c r="A76" s="56" t="s">
        <v>2633</v>
      </c>
      <c r="B76" s="56" t="s">
        <v>2634</v>
      </c>
      <c r="C76" s="57" t="s">
        <v>2635</v>
      </c>
      <c r="D76" s="58">
        <v>2.159061201E9</v>
      </c>
      <c r="E76" s="56" t="s">
        <v>452</v>
      </c>
      <c r="F76" s="56" t="s">
        <v>2636</v>
      </c>
      <c r="G76" s="56" t="s">
        <v>364</v>
      </c>
      <c r="H76" s="56" t="s">
        <v>366</v>
      </c>
      <c r="I76" s="56" t="s">
        <v>2283</v>
      </c>
      <c r="J76" s="56" t="s">
        <v>1409</v>
      </c>
      <c r="K76" s="59"/>
      <c r="L76" s="56" t="s">
        <v>2284</v>
      </c>
      <c r="M76" s="61" t="s">
        <v>373</v>
      </c>
      <c r="N76" s="58" t="s">
        <v>2637</v>
      </c>
      <c r="P76" s="55" t="b">
        <f t="shared" si="1"/>
        <v>0</v>
      </c>
    </row>
    <row r="77" ht="15.0" customHeight="1">
      <c r="A77" s="56" t="s">
        <v>293</v>
      </c>
      <c r="B77" s="56" t="s">
        <v>705</v>
      </c>
      <c r="C77" s="57" t="s">
        <v>706</v>
      </c>
      <c r="D77" s="56" t="s">
        <v>2638</v>
      </c>
      <c r="E77" s="56" t="s">
        <v>2286</v>
      </c>
      <c r="F77" s="56" t="s">
        <v>2528</v>
      </c>
      <c r="G77" s="56" t="s">
        <v>399</v>
      </c>
      <c r="H77" s="56" t="s">
        <v>366</v>
      </c>
      <c r="I77" s="56" t="s">
        <v>2288</v>
      </c>
      <c r="J77" s="56" t="s">
        <v>1233</v>
      </c>
      <c r="K77" s="59"/>
      <c r="L77" s="56" t="s">
        <v>2289</v>
      </c>
      <c r="M77" s="61" t="s">
        <v>373</v>
      </c>
      <c r="N77" s="58" t="s">
        <v>2639</v>
      </c>
      <c r="P77" s="55" t="b">
        <f t="shared" si="1"/>
        <v>0</v>
      </c>
    </row>
    <row r="78" ht="15.0" customHeight="1">
      <c r="A78" s="56" t="s">
        <v>329</v>
      </c>
      <c r="B78" s="56" t="s">
        <v>713</v>
      </c>
      <c r="C78" s="57" t="s">
        <v>714</v>
      </c>
      <c r="D78" s="56" t="s">
        <v>2640</v>
      </c>
      <c r="E78" s="56" t="s">
        <v>452</v>
      </c>
      <c r="F78" s="56" t="s">
        <v>2641</v>
      </c>
      <c r="G78" s="56" t="s">
        <v>379</v>
      </c>
      <c r="H78" s="56" t="s">
        <v>366</v>
      </c>
      <c r="I78" s="56" t="s">
        <v>2510</v>
      </c>
      <c r="J78" s="56" t="s">
        <v>2134</v>
      </c>
      <c r="K78" s="59"/>
      <c r="L78" s="56" t="s">
        <v>2289</v>
      </c>
      <c r="M78" s="61" t="s">
        <v>373</v>
      </c>
      <c r="N78" s="58" t="s">
        <v>2642</v>
      </c>
      <c r="P78" s="55" t="b">
        <f t="shared" si="1"/>
        <v>0</v>
      </c>
    </row>
    <row r="79" ht="15.0" customHeight="1">
      <c r="A79" s="56" t="s">
        <v>2643</v>
      </c>
      <c r="B79" s="56" t="s">
        <v>2644</v>
      </c>
      <c r="C79" s="57" t="s">
        <v>2645</v>
      </c>
      <c r="D79" s="56" t="s">
        <v>2646</v>
      </c>
      <c r="E79" s="56" t="s">
        <v>410</v>
      </c>
      <c r="F79" s="56" t="s">
        <v>2647</v>
      </c>
      <c r="G79" s="56" t="s">
        <v>364</v>
      </c>
      <c r="H79" s="56" t="s">
        <v>413</v>
      </c>
      <c r="I79" s="56" t="s">
        <v>2288</v>
      </c>
      <c r="J79" s="56" t="s">
        <v>2648</v>
      </c>
      <c r="K79" s="59"/>
      <c r="L79" s="56" t="s">
        <v>2289</v>
      </c>
      <c r="M79" s="61" t="s">
        <v>373</v>
      </c>
      <c r="N79" s="58" t="s">
        <v>2649</v>
      </c>
      <c r="P79" s="55" t="b">
        <f t="shared" si="1"/>
        <v>0</v>
      </c>
    </row>
    <row r="80" ht="15.0" customHeight="1">
      <c r="A80" s="56" t="s">
        <v>2650</v>
      </c>
      <c r="B80" s="56" t="s">
        <v>2651</v>
      </c>
      <c r="C80" s="57" t="s">
        <v>2652</v>
      </c>
      <c r="D80" s="56" t="s">
        <v>2653</v>
      </c>
      <c r="E80" s="56" t="s">
        <v>362</v>
      </c>
      <c r="F80" s="56" t="s">
        <v>2654</v>
      </c>
      <c r="G80" s="56" t="s">
        <v>2194</v>
      </c>
      <c r="H80" s="56" t="s">
        <v>413</v>
      </c>
      <c r="I80" s="56" t="s">
        <v>483</v>
      </c>
      <c r="J80" s="56" t="s">
        <v>2655</v>
      </c>
      <c r="K80" s="59"/>
      <c r="L80" s="56" t="s">
        <v>2305</v>
      </c>
      <c r="M80" s="61" t="s">
        <v>373</v>
      </c>
      <c r="N80" s="58" t="s">
        <v>2656</v>
      </c>
      <c r="P80" s="55" t="b">
        <f t="shared" si="1"/>
        <v>0</v>
      </c>
    </row>
    <row r="81" ht="15.0" customHeight="1">
      <c r="A81" s="56" t="s">
        <v>91</v>
      </c>
      <c r="B81" s="56" t="s">
        <v>2657</v>
      </c>
      <c r="C81" s="57" t="s">
        <v>2658</v>
      </c>
      <c r="D81" s="58">
        <v>2.813001399E9</v>
      </c>
      <c r="E81" s="56" t="s">
        <v>390</v>
      </c>
      <c r="F81" s="56" t="s">
        <v>2659</v>
      </c>
      <c r="G81" s="56" t="s">
        <v>364</v>
      </c>
      <c r="H81" s="56" t="s">
        <v>366</v>
      </c>
      <c r="I81" s="56" t="s">
        <v>2510</v>
      </c>
      <c r="J81" s="56" t="s">
        <v>2660</v>
      </c>
      <c r="K81" s="59"/>
      <c r="L81" s="56" t="s">
        <v>2289</v>
      </c>
      <c r="M81" s="61" t="s">
        <v>373</v>
      </c>
      <c r="N81" s="58" t="s">
        <v>2661</v>
      </c>
      <c r="P81" s="55" t="b">
        <f t="shared" si="1"/>
        <v>0</v>
      </c>
    </row>
    <row r="82" ht="15.0" customHeight="1">
      <c r="A82" s="56" t="s">
        <v>732</v>
      </c>
      <c r="B82" s="56" t="s">
        <v>733</v>
      </c>
      <c r="C82" s="57" t="s">
        <v>734</v>
      </c>
      <c r="D82" s="56" t="s">
        <v>735</v>
      </c>
      <c r="E82" s="56" t="s">
        <v>716</v>
      </c>
      <c r="F82" s="56" t="s">
        <v>2662</v>
      </c>
      <c r="G82" s="56" t="s">
        <v>364</v>
      </c>
      <c r="H82" s="56" t="s">
        <v>366</v>
      </c>
      <c r="I82" s="56" t="s">
        <v>381</v>
      </c>
      <c r="J82" s="56" t="s">
        <v>2663</v>
      </c>
      <c r="K82" s="59"/>
      <c r="L82" s="56" t="s">
        <v>2305</v>
      </c>
      <c r="M82" s="61" t="s">
        <v>373</v>
      </c>
      <c r="N82" s="58" t="s">
        <v>2664</v>
      </c>
      <c r="P82" s="55" t="b">
        <f t="shared" si="1"/>
        <v>0</v>
      </c>
    </row>
    <row r="83" ht="15.0" customHeight="1">
      <c r="A83" s="56" t="s">
        <v>92</v>
      </c>
      <c r="B83" s="56" t="s">
        <v>2665</v>
      </c>
      <c r="C83" s="57" t="s">
        <v>2666</v>
      </c>
      <c r="D83" s="58">
        <v>4.692613442E9</v>
      </c>
      <c r="E83" s="56" t="s">
        <v>362</v>
      </c>
      <c r="F83" s="56" t="s">
        <v>2667</v>
      </c>
      <c r="G83" s="56" t="s">
        <v>364</v>
      </c>
      <c r="H83" s="56" t="s">
        <v>366</v>
      </c>
      <c r="I83" s="56" t="s">
        <v>2283</v>
      </c>
      <c r="J83" s="56" t="s">
        <v>2377</v>
      </c>
      <c r="K83" s="59"/>
      <c r="L83" s="56" t="s">
        <v>2284</v>
      </c>
      <c r="M83" s="61" t="s">
        <v>373</v>
      </c>
      <c r="N83" s="58" t="s">
        <v>2668</v>
      </c>
      <c r="P83" s="55" t="b">
        <f t="shared" si="1"/>
        <v>0</v>
      </c>
    </row>
    <row r="84" ht="15.0" customHeight="1">
      <c r="A84" s="56" t="s">
        <v>2669</v>
      </c>
      <c r="B84" s="56" t="s">
        <v>2670</v>
      </c>
      <c r="C84" s="57" t="s">
        <v>2671</v>
      </c>
      <c r="D84" s="58">
        <v>4.057148778E9</v>
      </c>
      <c r="E84" s="56" t="s">
        <v>362</v>
      </c>
      <c r="F84" s="56" t="s">
        <v>2672</v>
      </c>
      <c r="G84" s="56" t="s">
        <v>379</v>
      </c>
      <c r="H84" s="56" t="s">
        <v>413</v>
      </c>
      <c r="I84" s="56" t="s">
        <v>2293</v>
      </c>
      <c r="J84" s="56" t="s">
        <v>1399</v>
      </c>
      <c r="K84" s="59"/>
      <c r="L84" s="56" t="s">
        <v>2284</v>
      </c>
      <c r="M84" s="61" t="s">
        <v>373</v>
      </c>
      <c r="N84" s="58" t="s">
        <v>2673</v>
      </c>
      <c r="P84" s="55" t="b">
        <f t="shared" si="1"/>
        <v>0</v>
      </c>
    </row>
    <row r="85" ht="15.0" customHeight="1">
      <c r="A85" s="56" t="s">
        <v>2674</v>
      </c>
      <c r="B85" s="56" t="s">
        <v>2675</v>
      </c>
      <c r="C85" s="57" t="s">
        <v>2676</v>
      </c>
      <c r="D85" s="56" t="s">
        <v>2677</v>
      </c>
      <c r="E85" s="56" t="s">
        <v>390</v>
      </c>
      <c r="F85" s="56" t="s">
        <v>2395</v>
      </c>
      <c r="G85" s="56" t="s">
        <v>379</v>
      </c>
      <c r="H85" s="56" t="s">
        <v>413</v>
      </c>
      <c r="I85" s="56" t="s">
        <v>2510</v>
      </c>
      <c r="J85" s="56" t="s">
        <v>2678</v>
      </c>
      <c r="K85" s="59"/>
      <c r="L85" s="56" t="s">
        <v>2289</v>
      </c>
      <c r="M85" s="61" t="s">
        <v>373</v>
      </c>
      <c r="N85" s="58" t="s">
        <v>2679</v>
      </c>
      <c r="P85" s="55" t="b">
        <f t="shared" si="1"/>
        <v>0</v>
      </c>
    </row>
    <row r="86" ht="15.0" customHeight="1">
      <c r="A86" s="56" t="s">
        <v>93</v>
      </c>
      <c r="B86" s="56" t="s">
        <v>751</v>
      </c>
      <c r="C86" s="57" t="s">
        <v>752</v>
      </c>
      <c r="D86" s="58">
        <v>2.817038822E9</v>
      </c>
      <c r="E86" s="56" t="s">
        <v>362</v>
      </c>
      <c r="F86" s="56" t="s">
        <v>362</v>
      </c>
      <c r="G86" s="56" t="s">
        <v>379</v>
      </c>
      <c r="H86" s="56" t="s">
        <v>366</v>
      </c>
      <c r="I86" s="56" t="s">
        <v>381</v>
      </c>
      <c r="J86" s="56" t="s">
        <v>2680</v>
      </c>
      <c r="K86" s="59"/>
      <c r="L86" s="56" t="s">
        <v>2305</v>
      </c>
      <c r="M86" s="61" t="s">
        <v>373</v>
      </c>
      <c r="N86" s="58" t="s">
        <v>2681</v>
      </c>
      <c r="P86" s="55" t="b">
        <f t="shared" si="1"/>
        <v>0</v>
      </c>
    </row>
    <row r="87" ht="15.0" customHeight="1">
      <c r="A87" s="56" t="s">
        <v>2682</v>
      </c>
      <c r="B87" s="56" t="s">
        <v>2683</v>
      </c>
      <c r="C87" s="57" t="s">
        <v>2684</v>
      </c>
      <c r="D87" s="56" t="s">
        <v>2685</v>
      </c>
      <c r="E87" s="56" t="s">
        <v>2291</v>
      </c>
      <c r="F87" s="56" t="s">
        <v>2686</v>
      </c>
      <c r="G87" s="56" t="s">
        <v>379</v>
      </c>
      <c r="H87" s="56" t="s">
        <v>513</v>
      </c>
      <c r="I87" s="56" t="s">
        <v>2283</v>
      </c>
      <c r="J87" s="56" t="s">
        <v>2687</v>
      </c>
      <c r="K87" s="59"/>
      <c r="L87" s="56" t="s">
        <v>2284</v>
      </c>
      <c r="M87" s="61" t="s">
        <v>373</v>
      </c>
      <c r="N87" s="58" t="s">
        <v>2688</v>
      </c>
      <c r="P87" s="55" t="b">
        <f t="shared" si="1"/>
        <v>1</v>
      </c>
    </row>
    <row r="88" ht="15.0" customHeight="1">
      <c r="A88" s="56" t="s">
        <v>94</v>
      </c>
      <c r="B88" s="56" t="s">
        <v>764</v>
      </c>
      <c r="C88" s="57" t="s">
        <v>765</v>
      </c>
      <c r="D88" s="56" t="s">
        <v>766</v>
      </c>
      <c r="E88" s="56" t="s">
        <v>390</v>
      </c>
      <c r="F88" s="56" t="s">
        <v>2689</v>
      </c>
      <c r="G88" s="56" t="s">
        <v>364</v>
      </c>
      <c r="H88" s="56" t="s">
        <v>413</v>
      </c>
      <c r="I88" s="56" t="s">
        <v>2293</v>
      </c>
      <c r="J88" s="56" t="s">
        <v>2690</v>
      </c>
      <c r="K88" s="59"/>
      <c r="L88" s="56" t="s">
        <v>2284</v>
      </c>
      <c r="M88" s="61" t="s">
        <v>373</v>
      </c>
      <c r="N88" s="58" t="s">
        <v>2691</v>
      </c>
      <c r="P88" s="55" t="b">
        <f t="shared" si="1"/>
        <v>0</v>
      </c>
    </row>
    <row r="89" ht="15.0" customHeight="1">
      <c r="A89" s="56" t="s">
        <v>330</v>
      </c>
      <c r="B89" s="56" t="s">
        <v>770</v>
      </c>
      <c r="C89" s="57" t="s">
        <v>771</v>
      </c>
      <c r="D89" s="56" t="s">
        <v>772</v>
      </c>
      <c r="E89" s="56" t="s">
        <v>2286</v>
      </c>
      <c r="F89" s="56" t="s">
        <v>2692</v>
      </c>
      <c r="G89" s="56" t="s">
        <v>399</v>
      </c>
      <c r="H89" s="56" t="s">
        <v>513</v>
      </c>
      <c r="I89" s="56" t="s">
        <v>2510</v>
      </c>
      <c r="J89" s="56" t="s">
        <v>1131</v>
      </c>
      <c r="K89" s="59"/>
      <c r="L89" s="56" t="s">
        <v>2289</v>
      </c>
      <c r="M89" s="61" t="s">
        <v>373</v>
      </c>
      <c r="N89" s="58" t="s">
        <v>2693</v>
      </c>
      <c r="P89" s="55" t="b">
        <f t="shared" si="1"/>
        <v>1</v>
      </c>
    </row>
    <row r="90" ht="15.0" customHeight="1">
      <c r="A90" s="56" t="s">
        <v>294</v>
      </c>
      <c r="B90" s="56" t="s">
        <v>777</v>
      </c>
      <c r="C90" s="57" t="s">
        <v>778</v>
      </c>
      <c r="D90" s="58">
        <v>3.096429176E9</v>
      </c>
      <c r="E90" s="56" t="s">
        <v>390</v>
      </c>
      <c r="F90" s="56" t="s">
        <v>2694</v>
      </c>
      <c r="G90" s="56" t="s">
        <v>364</v>
      </c>
      <c r="H90" s="56" t="s">
        <v>413</v>
      </c>
      <c r="I90" s="56" t="s">
        <v>497</v>
      </c>
      <c r="J90" s="56" t="s">
        <v>2695</v>
      </c>
      <c r="K90" s="59"/>
      <c r="L90" s="56" t="s">
        <v>2305</v>
      </c>
      <c r="M90" s="61" t="s">
        <v>373</v>
      </c>
      <c r="N90" s="58" t="s">
        <v>2696</v>
      </c>
      <c r="P90" s="55" t="b">
        <f t="shared" si="1"/>
        <v>0</v>
      </c>
    </row>
    <row r="91" ht="15.0" customHeight="1">
      <c r="A91" s="56" t="s">
        <v>95</v>
      </c>
      <c r="B91" s="56" t="s">
        <v>782</v>
      </c>
      <c r="C91" s="57" t="s">
        <v>783</v>
      </c>
      <c r="D91" s="58">
        <v>2.816850365E9</v>
      </c>
      <c r="E91" s="56" t="s">
        <v>2286</v>
      </c>
      <c r="F91" s="56" t="s">
        <v>2504</v>
      </c>
      <c r="G91" s="56" t="s">
        <v>364</v>
      </c>
      <c r="H91" s="56" t="s">
        <v>413</v>
      </c>
      <c r="I91" s="56" t="s">
        <v>2283</v>
      </c>
      <c r="J91" s="56" t="s">
        <v>2079</v>
      </c>
      <c r="K91" s="59"/>
      <c r="L91" s="56" t="s">
        <v>2284</v>
      </c>
      <c r="M91" s="61" t="s">
        <v>373</v>
      </c>
      <c r="N91" s="58" t="s">
        <v>2697</v>
      </c>
      <c r="P91" s="55" t="b">
        <f t="shared" si="1"/>
        <v>0</v>
      </c>
    </row>
    <row r="92" ht="15.0" customHeight="1">
      <c r="A92" s="56" t="s">
        <v>295</v>
      </c>
      <c r="B92" s="56" t="s">
        <v>793</v>
      </c>
      <c r="C92" s="57" t="s">
        <v>794</v>
      </c>
      <c r="D92" s="58">
        <v>8162.0</v>
      </c>
      <c r="E92" s="56" t="s">
        <v>2286</v>
      </c>
      <c r="F92" s="56" t="s">
        <v>2286</v>
      </c>
      <c r="G92" s="56" t="s">
        <v>399</v>
      </c>
      <c r="H92" s="56" t="s">
        <v>366</v>
      </c>
      <c r="I92" s="56" t="s">
        <v>2288</v>
      </c>
      <c r="J92" s="56" t="s">
        <v>2698</v>
      </c>
      <c r="K92" s="59"/>
      <c r="L92" s="56" t="s">
        <v>2289</v>
      </c>
      <c r="M92" s="61" t="s">
        <v>373</v>
      </c>
      <c r="N92" s="58" t="s">
        <v>2699</v>
      </c>
      <c r="P92" s="55" t="b">
        <f t="shared" si="1"/>
        <v>0</v>
      </c>
    </row>
    <row r="93" ht="15.0" customHeight="1">
      <c r="A93" s="56" t="s">
        <v>2700</v>
      </c>
      <c r="B93" s="56" t="s">
        <v>2701</v>
      </c>
      <c r="C93" s="57" t="s">
        <v>2702</v>
      </c>
      <c r="D93" s="58">
        <v>9.403674824E9</v>
      </c>
      <c r="E93" s="56" t="s">
        <v>410</v>
      </c>
      <c r="F93" s="56" t="s">
        <v>2703</v>
      </c>
      <c r="G93" s="56" t="s">
        <v>379</v>
      </c>
      <c r="H93" s="56" t="s">
        <v>413</v>
      </c>
      <c r="I93" s="56" t="s">
        <v>2283</v>
      </c>
      <c r="J93" s="56" t="s">
        <v>2704</v>
      </c>
      <c r="K93" s="59"/>
      <c r="L93" s="56" t="s">
        <v>2284</v>
      </c>
      <c r="M93" s="61" t="s">
        <v>373</v>
      </c>
      <c r="N93" s="58" t="s">
        <v>2705</v>
      </c>
      <c r="P93" s="55" t="b">
        <f t="shared" si="1"/>
        <v>0</v>
      </c>
    </row>
    <row r="94" ht="15.0" customHeight="1">
      <c r="A94" s="56" t="s">
        <v>96</v>
      </c>
      <c r="B94" s="56" t="s">
        <v>798</v>
      </c>
      <c r="C94" s="57" t="s">
        <v>799</v>
      </c>
      <c r="D94" s="56" t="s">
        <v>800</v>
      </c>
      <c r="E94" s="56" t="s">
        <v>390</v>
      </c>
      <c r="F94" s="56" t="s">
        <v>2706</v>
      </c>
      <c r="G94" s="56" t="s">
        <v>379</v>
      </c>
      <c r="H94" s="56" t="s">
        <v>413</v>
      </c>
      <c r="I94" s="56" t="s">
        <v>2473</v>
      </c>
      <c r="J94" s="56" t="s">
        <v>1268</v>
      </c>
      <c r="K94" s="59"/>
      <c r="L94" s="56" t="s">
        <v>2284</v>
      </c>
      <c r="M94" s="61" t="s">
        <v>373</v>
      </c>
      <c r="N94" s="58" t="s">
        <v>2697</v>
      </c>
      <c r="P94" s="55" t="b">
        <f t="shared" si="1"/>
        <v>0</v>
      </c>
    </row>
    <row r="95" ht="15.0" customHeight="1">
      <c r="A95" s="56" t="s">
        <v>2707</v>
      </c>
      <c r="B95" s="56" t="s">
        <v>2708</v>
      </c>
      <c r="C95" s="57" t="s">
        <v>2709</v>
      </c>
      <c r="D95" s="58">
        <v>9.134470394E9</v>
      </c>
      <c r="E95" s="56" t="s">
        <v>390</v>
      </c>
      <c r="F95" s="56" t="s">
        <v>676</v>
      </c>
      <c r="G95" s="56" t="s">
        <v>364</v>
      </c>
      <c r="H95" s="56" t="s">
        <v>366</v>
      </c>
      <c r="I95" s="62" t="s">
        <v>381</v>
      </c>
      <c r="J95" s="59"/>
      <c r="K95" s="59"/>
      <c r="L95" s="56" t="s">
        <v>2305</v>
      </c>
      <c r="M95" s="61" t="s">
        <v>394</v>
      </c>
      <c r="N95" s="58" t="s">
        <v>2710</v>
      </c>
      <c r="P95" s="55" t="b">
        <f t="shared" si="1"/>
        <v>0</v>
      </c>
    </row>
    <row r="96" ht="15.0" customHeight="1">
      <c r="A96" s="56" t="s">
        <v>97</v>
      </c>
      <c r="B96" s="56" t="s">
        <v>818</v>
      </c>
      <c r="C96" s="57" t="s">
        <v>819</v>
      </c>
      <c r="D96" s="56" t="s">
        <v>820</v>
      </c>
      <c r="E96" s="56" t="s">
        <v>452</v>
      </c>
      <c r="F96" s="56" t="s">
        <v>2711</v>
      </c>
      <c r="G96" s="56" t="s">
        <v>379</v>
      </c>
      <c r="H96" s="56" t="s">
        <v>413</v>
      </c>
      <c r="I96" s="56" t="s">
        <v>381</v>
      </c>
      <c r="J96" s="56" t="s">
        <v>2202</v>
      </c>
      <c r="K96" s="59"/>
      <c r="L96" s="56" t="s">
        <v>2305</v>
      </c>
      <c r="M96" s="61" t="s">
        <v>373</v>
      </c>
      <c r="N96" s="58" t="s">
        <v>2712</v>
      </c>
      <c r="P96" s="55" t="b">
        <f t="shared" si="1"/>
        <v>0</v>
      </c>
    </row>
    <row r="97" ht="15.0" customHeight="1">
      <c r="A97" s="56" t="s">
        <v>98</v>
      </c>
      <c r="B97" s="56" t="s">
        <v>826</v>
      </c>
      <c r="C97" s="57" t="s">
        <v>827</v>
      </c>
      <c r="D97" s="58">
        <v>2.8139681E9</v>
      </c>
      <c r="E97" s="56" t="s">
        <v>390</v>
      </c>
      <c r="F97" s="56" t="s">
        <v>2713</v>
      </c>
      <c r="G97" s="56" t="s">
        <v>364</v>
      </c>
      <c r="H97" s="56" t="s">
        <v>366</v>
      </c>
      <c r="I97" s="56" t="s">
        <v>2288</v>
      </c>
      <c r="J97" s="56" t="s">
        <v>743</v>
      </c>
      <c r="K97" s="59"/>
      <c r="L97" s="56" t="s">
        <v>2289</v>
      </c>
      <c r="M97" s="61" t="s">
        <v>373</v>
      </c>
      <c r="N97" s="58" t="s">
        <v>2714</v>
      </c>
      <c r="P97" s="55" t="b">
        <f t="shared" si="1"/>
        <v>0</v>
      </c>
    </row>
    <row r="98" ht="15.0" customHeight="1">
      <c r="A98" s="56" t="s">
        <v>2715</v>
      </c>
      <c r="B98" s="56" t="s">
        <v>2716</v>
      </c>
      <c r="C98" s="57" t="s">
        <v>2717</v>
      </c>
      <c r="D98" s="58">
        <v>2.567839191E9</v>
      </c>
      <c r="E98" s="56" t="s">
        <v>410</v>
      </c>
      <c r="F98" s="56" t="s">
        <v>2718</v>
      </c>
      <c r="G98" s="56" t="s">
        <v>379</v>
      </c>
      <c r="H98" s="56" t="s">
        <v>413</v>
      </c>
      <c r="I98" s="56" t="s">
        <v>2288</v>
      </c>
      <c r="J98" s="56" t="s">
        <v>2719</v>
      </c>
      <c r="K98" s="59"/>
      <c r="L98" s="56" t="s">
        <v>2289</v>
      </c>
      <c r="M98" s="61" t="s">
        <v>373</v>
      </c>
      <c r="N98" s="58" t="s">
        <v>2720</v>
      </c>
      <c r="P98" s="55" t="b">
        <f t="shared" si="1"/>
        <v>0</v>
      </c>
    </row>
    <row r="99" ht="15.0" customHeight="1">
      <c r="A99" s="56" t="s">
        <v>2721</v>
      </c>
      <c r="B99" s="56" t="s">
        <v>2722</v>
      </c>
      <c r="C99" s="57" t="s">
        <v>2723</v>
      </c>
      <c r="D99" s="56" t="s">
        <v>2724</v>
      </c>
      <c r="E99" s="56" t="s">
        <v>1553</v>
      </c>
      <c r="F99" s="56" t="s">
        <v>2725</v>
      </c>
      <c r="G99" s="56" t="s">
        <v>364</v>
      </c>
      <c r="H99" s="56" t="s">
        <v>413</v>
      </c>
      <c r="I99" s="56" t="s">
        <v>1464</v>
      </c>
      <c r="J99" s="56" t="s">
        <v>1465</v>
      </c>
      <c r="K99" s="59"/>
      <c r="L99" s="56" t="s">
        <v>2305</v>
      </c>
      <c r="M99" s="61" t="s">
        <v>373</v>
      </c>
      <c r="N99" s="58" t="s">
        <v>2726</v>
      </c>
      <c r="P99" s="55" t="b">
        <f t="shared" si="1"/>
        <v>0</v>
      </c>
    </row>
    <row r="100" ht="15.0" customHeight="1">
      <c r="A100" s="56" t="s">
        <v>2727</v>
      </c>
      <c r="B100" s="56" t="s">
        <v>2728</v>
      </c>
      <c r="C100" s="57" t="s">
        <v>2729</v>
      </c>
      <c r="D100" s="58">
        <v>4.09749939E9</v>
      </c>
      <c r="E100" s="56" t="s">
        <v>410</v>
      </c>
      <c r="F100" s="56" t="s">
        <v>2395</v>
      </c>
      <c r="G100" s="56" t="s">
        <v>364</v>
      </c>
      <c r="H100" s="56" t="s">
        <v>413</v>
      </c>
      <c r="I100" s="56" t="s">
        <v>497</v>
      </c>
      <c r="J100" s="56" t="s">
        <v>2730</v>
      </c>
      <c r="K100" s="59"/>
      <c r="L100" s="56" t="s">
        <v>2305</v>
      </c>
      <c r="M100" s="61" t="s">
        <v>373</v>
      </c>
      <c r="N100" s="58" t="s">
        <v>2731</v>
      </c>
      <c r="P100" s="55" t="b">
        <f t="shared" si="1"/>
        <v>0</v>
      </c>
    </row>
    <row r="101" ht="15.0" customHeight="1">
      <c r="A101" s="56" t="s">
        <v>2732</v>
      </c>
      <c r="B101" s="56" t="s">
        <v>2733</v>
      </c>
      <c r="C101" s="57" t="s">
        <v>2734</v>
      </c>
      <c r="D101" s="56" t="s">
        <v>2735</v>
      </c>
      <c r="E101" s="56" t="s">
        <v>410</v>
      </c>
      <c r="F101" s="56" t="s">
        <v>411</v>
      </c>
      <c r="G101" s="56" t="s">
        <v>379</v>
      </c>
      <c r="H101" s="56" t="s">
        <v>366</v>
      </c>
      <c r="I101" s="56" t="s">
        <v>1301</v>
      </c>
      <c r="J101" s="62" t="s">
        <v>2736</v>
      </c>
      <c r="K101" s="59"/>
      <c r="L101" s="56" t="s">
        <v>2305</v>
      </c>
      <c r="M101" s="61" t="s">
        <v>373</v>
      </c>
      <c r="N101" s="58" t="s">
        <v>2737</v>
      </c>
      <c r="P101" s="55" t="b">
        <f t="shared" si="1"/>
        <v>0</v>
      </c>
    </row>
    <row r="102" ht="15.0" customHeight="1">
      <c r="A102" s="56" t="s">
        <v>99</v>
      </c>
      <c r="B102" s="56" t="s">
        <v>833</v>
      </c>
      <c r="C102" s="57" t="s">
        <v>834</v>
      </c>
      <c r="D102" s="58">
        <v>4.124890232E9</v>
      </c>
      <c r="E102" s="56" t="s">
        <v>2286</v>
      </c>
      <c r="F102" s="56" t="s">
        <v>2287</v>
      </c>
      <c r="G102" s="56" t="s">
        <v>399</v>
      </c>
      <c r="H102" s="56" t="s">
        <v>513</v>
      </c>
      <c r="I102" s="56" t="s">
        <v>2288</v>
      </c>
      <c r="J102" s="56" t="s">
        <v>2438</v>
      </c>
      <c r="K102" s="59"/>
      <c r="L102" s="56" t="s">
        <v>2289</v>
      </c>
      <c r="M102" s="61" t="s">
        <v>373</v>
      </c>
      <c r="N102" s="58" t="s">
        <v>2738</v>
      </c>
      <c r="P102" s="55" t="b">
        <f t="shared" si="1"/>
        <v>1</v>
      </c>
    </row>
    <row r="103" ht="15.0" customHeight="1">
      <c r="A103" s="56" t="s">
        <v>2739</v>
      </c>
      <c r="B103" s="56" t="s">
        <v>2740</v>
      </c>
      <c r="C103" s="57" t="s">
        <v>2741</v>
      </c>
      <c r="D103" s="58">
        <v>8.324745132E9</v>
      </c>
      <c r="E103" s="56" t="s">
        <v>410</v>
      </c>
      <c r="F103" s="56" t="s">
        <v>2742</v>
      </c>
      <c r="G103" s="56" t="s">
        <v>379</v>
      </c>
      <c r="H103" s="56" t="s">
        <v>513</v>
      </c>
      <c r="I103" s="56" t="s">
        <v>381</v>
      </c>
      <c r="J103" s="56" t="s">
        <v>943</v>
      </c>
      <c r="K103" s="59"/>
      <c r="L103" s="56" t="s">
        <v>2305</v>
      </c>
      <c r="M103" s="61" t="s">
        <v>373</v>
      </c>
      <c r="N103" s="58" t="s">
        <v>2743</v>
      </c>
      <c r="P103" s="55" t="b">
        <f t="shared" si="1"/>
        <v>1</v>
      </c>
    </row>
    <row r="104" ht="15.0" customHeight="1">
      <c r="A104" s="56" t="s">
        <v>296</v>
      </c>
      <c r="B104" s="56" t="s">
        <v>2744</v>
      </c>
      <c r="C104" s="57" t="s">
        <v>2745</v>
      </c>
      <c r="D104" s="58">
        <v>2.183401964E9</v>
      </c>
      <c r="E104" s="56" t="s">
        <v>452</v>
      </c>
      <c r="F104" s="56" t="s">
        <v>676</v>
      </c>
      <c r="G104" s="56" t="s">
        <v>364</v>
      </c>
      <c r="H104" s="56" t="s">
        <v>413</v>
      </c>
      <c r="I104" s="56" t="s">
        <v>2283</v>
      </c>
      <c r="J104" s="56" t="s">
        <v>2746</v>
      </c>
      <c r="K104" s="59"/>
      <c r="L104" s="56" t="s">
        <v>2284</v>
      </c>
      <c r="M104" s="61" t="s">
        <v>373</v>
      </c>
      <c r="N104" s="58" t="s">
        <v>2747</v>
      </c>
      <c r="P104" s="55" t="b">
        <f t="shared" si="1"/>
        <v>0</v>
      </c>
    </row>
    <row r="105" ht="15.0" customHeight="1">
      <c r="A105" s="56" t="s">
        <v>2748</v>
      </c>
      <c r="B105" s="56" t="s">
        <v>2749</v>
      </c>
      <c r="C105" s="57" t="s">
        <v>2750</v>
      </c>
      <c r="D105" s="56" t="s">
        <v>2751</v>
      </c>
      <c r="E105" s="56" t="s">
        <v>421</v>
      </c>
      <c r="F105" s="56" t="s">
        <v>2752</v>
      </c>
      <c r="G105" s="56" t="s">
        <v>364</v>
      </c>
      <c r="H105" s="56" t="s">
        <v>413</v>
      </c>
      <c r="I105" s="62" t="s">
        <v>2288</v>
      </c>
      <c r="J105" s="59"/>
      <c r="K105" s="59"/>
      <c r="L105" s="56" t="s">
        <v>2289</v>
      </c>
      <c r="M105" s="61" t="s">
        <v>394</v>
      </c>
      <c r="N105" s="58" t="s">
        <v>2753</v>
      </c>
      <c r="P105" s="55" t="b">
        <f t="shared" si="1"/>
        <v>0</v>
      </c>
    </row>
    <row r="106" ht="15.0" customHeight="1">
      <c r="A106" s="56" t="s">
        <v>101</v>
      </c>
      <c r="B106" s="56" t="s">
        <v>844</v>
      </c>
      <c r="C106" s="57" t="s">
        <v>2754</v>
      </c>
      <c r="D106" s="58">
        <v>8.326305231E9</v>
      </c>
      <c r="E106" s="56" t="s">
        <v>2286</v>
      </c>
      <c r="F106" s="56" t="s">
        <v>2504</v>
      </c>
      <c r="G106" s="56" t="s">
        <v>399</v>
      </c>
      <c r="H106" s="56" t="s">
        <v>413</v>
      </c>
      <c r="I106" s="56" t="s">
        <v>381</v>
      </c>
      <c r="J106" s="56" t="s">
        <v>636</v>
      </c>
      <c r="K106" s="59"/>
      <c r="L106" s="56" t="s">
        <v>2305</v>
      </c>
      <c r="M106" s="61" t="s">
        <v>373</v>
      </c>
      <c r="N106" s="58" t="s">
        <v>2755</v>
      </c>
      <c r="P106" s="55" t="b">
        <f t="shared" si="1"/>
        <v>0</v>
      </c>
    </row>
    <row r="107" ht="15.0" customHeight="1">
      <c r="A107" s="56" t="s">
        <v>2756</v>
      </c>
      <c r="B107" s="56" t="s">
        <v>2757</v>
      </c>
      <c r="C107" s="57" t="s">
        <v>2758</v>
      </c>
      <c r="D107" s="58">
        <v>7.133929266E9</v>
      </c>
      <c r="E107" s="56" t="s">
        <v>452</v>
      </c>
      <c r="F107" s="56" t="s">
        <v>2606</v>
      </c>
      <c r="G107" s="56" t="s">
        <v>399</v>
      </c>
      <c r="H107" s="56" t="s">
        <v>366</v>
      </c>
      <c r="I107" s="56" t="s">
        <v>2288</v>
      </c>
      <c r="J107" s="56" t="s">
        <v>554</v>
      </c>
      <c r="K107" s="59"/>
      <c r="L107" s="56" t="s">
        <v>2289</v>
      </c>
      <c r="M107" s="61" t="s">
        <v>373</v>
      </c>
      <c r="N107" s="58" t="s">
        <v>2759</v>
      </c>
      <c r="P107" s="55" t="b">
        <f t="shared" si="1"/>
        <v>0</v>
      </c>
    </row>
    <row r="108" ht="15.0" customHeight="1">
      <c r="A108" s="56" t="s">
        <v>102</v>
      </c>
      <c r="B108" s="56" t="s">
        <v>847</v>
      </c>
      <c r="C108" s="57" t="s">
        <v>848</v>
      </c>
      <c r="D108" s="58">
        <v>7.173765833E9</v>
      </c>
      <c r="E108" s="56" t="s">
        <v>2286</v>
      </c>
      <c r="F108" s="56" t="s">
        <v>2582</v>
      </c>
      <c r="G108" s="56" t="s">
        <v>364</v>
      </c>
      <c r="H108" s="56" t="s">
        <v>513</v>
      </c>
      <c r="I108" s="56" t="s">
        <v>2283</v>
      </c>
      <c r="J108" s="56" t="s">
        <v>2174</v>
      </c>
      <c r="K108" s="59"/>
      <c r="L108" s="56" t="s">
        <v>2284</v>
      </c>
      <c r="M108" s="61" t="s">
        <v>373</v>
      </c>
      <c r="N108" s="58" t="s">
        <v>2760</v>
      </c>
      <c r="P108" s="55" t="b">
        <f t="shared" si="1"/>
        <v>1</v>
      </c>
    </row>
    <row r="109" ht="15.0" customHeight="1">
      <c r="A109" s="56" t="s">
        <v>2761</v>
      </c>
      <c r="B109" s="56" t="s">
        <v>2762</v>
      </c>
      <c r="C109" s="57" t="s">
        <v>2763</v>
      </c>
      <c r="D109" s="56" t="s">
        <v>2764</v>
      </c>
      <c r="E109" s="56" t="s">
        <v>410</v>
      </c>
      <c r="F109" s="56" t="s">
        <v>2765</v>
      </c>
      <c r="G109" s="56" t="s">
        <v>364</v>
      </c>
      <c r="H109" s="56" t="s">
        <v>366</v>
      </c>
      <c r="I109" s="62" t="s">
        <v>2293</v>
      </c>
      <c r="J109" s="59"/>
      <c r="K109" s="59"/>
      <c r="L109" s="56" t="s">
        <v>2284</v>
      </c>
      <c r="M109" s="61" t="s">
        <v>394</v>
      </c>
      <c r="N109" s="58" t="s">
        <v>2766</v>
      </c>
      <c r="P109" s="55" t="b">
        <f t="shared" si="1"/>
        <v>0</v>
      </c>
    </row>
    <row r="110" ht="15.0" customHeight="1">
      <c r="A110" s="56" t="s">
        <v>859</v>
      </c>
      <c r="B110" s="56" t="s">
        <v>2767</v>
      </c>
      <c r="C110" s="57" t="s">
        <v>2768</v>
      </c>
      <c r="D110" s="58">
        <v>5.03225901E9</v>
      </c>
      <c r="E110" s="56" t="s">
        <v>2286</v>
      </c>
      <c r="F110" s="56" t="s">
        <v>2286</v>
      </c>
      <c r="G110" s="56" t="s">
        <v>364</v>
      </c>
      <c r="H110" s="56" t="s">
        <v>366</v>
      </c>
      <c r="I110" s="62" t="s">
        <v>2283</v>
      </c>
      <c r="J110" s="59"/>
      <c r="K110" s="59"/>
      <c r="L110" s="56" t="s">
        <v>2284</v>
      </c>
      <c r="M110" s="61" t="s">
        <v>2362</v>
      </c>
      <c r="N110" s="58" t="s">
        <v>2769</v>
      </c>
      <c r="P110" s="55" t="b">
        <f t="shared" si="1"/>
        <v>0</v>
      </c>
    </row>
    <row r="111" ht="15.0" customHeight="1">
      <c r="A111" s="56" t="s">
        <v>103</v>
      </c>
      <c r="B111" s="56" t="s">
        <v>865</v>
      </c>
      <c r="C111" s="57" t="s">
        <v>866</v>
      </c>
      <c r="D111" s="58">
        <v>2.81471801E9</v>
      </c>
      <c r="E111" s="56" t="s">
        <v>410</v>
      </c>
      <c r="F111" s="56" t="s">
        <v>2770</v>
      </c>
      <c r="G111" s="56" t="s">
        <v>379</v>
      </c>
      <c r="H111" s="56" t="s">
        <v>869</v>
      </c>
      <c r="I111" s="56" t="s">
        <v>2288</v>
      </c>
      <c r="J111" s="56" t="s">
        <v>2771</v>
      </c>
      <c r="K111" s="59"/>
      <c r="L111" s="56" t="s">
        <v>2289</v>
      </c>
      <c r="M111" s="61" t="s">
        <v>373</v>
      </c>
      <c r="N111" s="58" t="s">
        <v>2772</v>
      </c>
      <c r="P111" s="55" t="b">
        <f t="shared" si="1"/>
        <v>0</v>
      </c>
    </row>
    <row r="112" ht="15.0" customHeight="1">
      <c r="A112" s="56" t="s">
        <v>2773</v>
      </c>
      <c r="B112" s="56" t="s">
        <v>2774</v>
      </c>
      <c r="C112" s="57" t="s">
        <v>2775</v>
      </c>
      <c r="D112" s="56" t="s">
        <v>2776</v>
      </c>
      <c r="E112" s="56" t="s">
        <v>1553</v>
      </c>
      <c r="F112" s="56" t="s">
        <v>2777</v>
      </c>
      <c r="G112" s="56" t="s">
        <v>364</v>
      </c>
      <c r="H112" s="56" t="s">
        <v>366</v>
      </c>
      <c r="I112" s="56" t="s">
        <v>381</v>
      </c>
      <c r="J112" s="56" t="s">
        <v>2778</v>
      </c>
      <c r="K112" s="59"/>
      <c r="L112" s="56" t="s">
        <v>2284</v>
      </c>
      <c r="M112" s="61" t="s">
        <v>373</v>
      </c>
      <c r="N112" s="58" t="s">
        <v>2779</v>
      </c>
      <c r="P112" s="55" t="b">
        <f t="shared" si="1"/>
        <v>0</v>
      </c>
    </row>
    <row r="113" ht="15.0" customHeight="1">
      <c r="A113" s="56" t="s">
        <v>2780</v>
      </c>
      <c r="B113" s="56" t="s">
        <v>2781</v>
      </c>
      <c r="C113" s="57" t="s">
        <v>2782</v>
      </c>
      <c r="D113" s="58">
        <v>9.193951016E9</v>
      </c>
      <c r="E113" s="56" t="s">
        <v>2291</v>
      </c>
      <c r="F113" s="56" t="s">
        <v>2783</v>
      </c>
      <c r="G113" s="56" t="s">
        <v>379</v>
      </c>
      <c r="H113" s="56" t="s">
        <v>413</v>
      </c>
      <c r="I113" s="56" t="s">
        <v>2288</v>
      </c>
      <c r="J113" s="56" t="s">
        <v>2784</v>
      </c>
      <c r="K113" s="59"/>
      <c r="L113" s="56" t="s">
        <v>2289</v>
      </c>
      <c r="M113" s="61" t="s">
        <v>373</v>
      </c>
      <c r="N113" s="58" t="s">
        <v>2785</v>
      </c>
      <c r="P113" s="55" t="b">
        <f t="shared" si="1"/>
        <v>0</v>
      </c>
    </row>
    <row r="114" ht="15.0" customHeight="1">
      <c r="A114" s="56" t="s">
        <v>2786</v>
      </c>
      <c r="B114" s="56" t="s">
        <v>2787</v>
      </c>
      <c r="C114" s="57" t="s">
        <v>2788</v>
      </c>
      <c r="D114" s="58">
        <v>4.124132334E9</v>
      </c>
      <c r="E114" s="56" t="s">
        <v>410</v>
      </c>
      <c r="F114" s="56" t="s">
        <v>2789</v>
      </c>
      <c r="G114" s="56" t="s">
        <v>364</v>
      </c>
      <c r="H114" s="56" t="s">
        <v>366</v>
      </c>
      <c r="I114" s="56" t="s">
        <v>2283</v>
      </c>
      <c r="J114" s="56" t="s">
        <v>2790</v>
      </c>
      <c r="K114" s="59"/>
      <c r="L114" s="56" t="s">
        <v>2284</v>
      </c>
      <c r="M114" s="61" t="s">
        <v>373</v>
      </c>
      <c r="N114" s="58" t="s">
        <v>2791</v>
      </c>
      <c r="P114" s="55" t="b">
        <f t="shared" si="1"/>
        <v>0</v>
      </c>
    </row>
    <row r="115" ht="15.0" customHeight="1">
      <c r="A115" s="56" t="s">
        <v>2792</v>
      </c>
      <c r="B115" s="56" t="s">
        <v>2793</v>
      </c>
      <c r="C115" s="57" t="s">
        <v>2794</v>
      </c>
      <c r="D115" s="58">
        <v>2.816861892E9</v>
      </c>
      <c r="E115" s="56" t="s">
        <v>390</v>
      </c>
      <c r="F115" s="56" t="s">
        <v>2795</v>
      </c>
      <c r="G115" s="56" t="s">
        <v>379</v>
      </c>
      <c r="H115" s="56" t="s">
        <v>413</v>
      </c>
      <c r="I115" s="56" t="s">
        <v>2288</v>
      </c>
      <c r="J115" s="56" t="s">
        <v>2796</v>
      </c>
      <c r="K115" s="59"/>
      <c r="L115" s="56" t="s">
        <v>2289</v>
      </c>
      <c r="M115" s="61" t="s">
        <v>373</v>
      </c>
      <c r="N115" s="58" t="s">
        <v>2797</v>
      </c>
      <c r="P115" s="55" t="b">
        <f t="shared" si="1"/>
        <v>0</v>
      </c>
    </row>
    <row r="116" ht="15.0" customHeight="1">
      <c r="A116" s="56" t="s">
        <v>2798</v>
      </c>
      <c r="B116" s="56" t="s">
        <v>2799</v>
      </c>
      <c r="C116" s="57" t="s">
        <v>2800</v>
      </c>
      <c r="D116" s="58">
        <v>8.3294895E9</v>
      </c>
      <c r="E116" s="56" t="s">
        <v>362</v>
      </c>
      <c r="F116" s="56" t="s">
        <v>2801</v>
      </c>
      <c r="G116" s="56" t="s">
        <v>379</v>
      </c>
      <c r="H116" s="56" t="s">
        <v>366</v>
      </c>
      <c r="I116" s="56" t="s">
        <v>2293</v>
      </c>
      <c r="J116" s="56" t="s">
        <v>2802</v>
      </c>
      <c r="K116" s="59"/>
      <c r="L116" s="56" t="s">
        <v>2284</v>
      </c>
      <c r="M116" s="61" t="s">
        <v>373</v>
      </c>
      <c r="N116" s="58" t="s">
        <v>2803</v>
      </c>
      <c r="P116" s="55" t="b">
        <f t="shared" si="1"/>
        <v>0</v>
      </c>
    </row>
    <row r="117" ht="15.0" customHeight="1">
      <c r="A117" s="56" t="s">
        <v>2804</v>
      </c>
      <c r="B117" s="56" t="s">
        <v>2805</v>
      </c>
      <c r="C117" s="57" t="s">
        <v>2806</v>
      </c>
      <c r="D117" s="58">
        <v>2.108573182E9</v>
      </c>
      <c r="E117" s="56" t="s">
        <v>2286</v>
      </c>
      <c r="F117" s="56" t="s">
        <v>2287</v>
      </c>
      <c r="G117" s="56" t="s">
        <v>379</v>
      </c>
      <c r="H117" s="56" t="s">
        <v>413</v>
      </c>
      <c r="I117" s="56" t="s">
        <v>2283</v>
      </c>
      <c r="J117" s="56" t="s">
        <v>2784</v>
      </c>
      <c r="K117" s="59"/>
      <c r="L117" s="56" t="s">
        <v>2284</v>
      </c>
      <c r="M117" s="61" t="s">
        <v>373</v>
      </c>
      <c r="N117" s="58" t="s">
        <v>2807</v>
      </c>
      <c r="P117" s="55" t="b">
        <f t="shared" si="1"/>
        <v>0</v>
      </c>
    </row>
    <row r="118" ht="15.0" customHeight="1">
      <c r="A118" s="56" t="s">
        <v>2808</v>
      </c>
      <c r="B118" s="56" t="s">
        <v>2809</v>
      </c>
      <c r="C118" s="57" t="s">
        <v>2810</v>
      </c>
      <c r="D118" s="58">
        <v>5.414202564E9</v>
      </c>
      <c r="E118" s="56" t="s">
        <v>2286</v>
      </c>
      <c r="F118" s="56" t="s">
        <v>2491</v>
      </c>
      <c r="G118" s="56" t="s">
        <v>364</v>
      </c>
      <c r="H118" s="56" t="s">
        <v>413</v>
      </c>
      <c r="I118" s="56" t="s">
        <v>2288</v>
      </c>
      <c r="J118" s="56" t="s">
        <v>1378</v>
      </c>
      <c r="K118" s="59"/>
      <c r="L118" s="56" t="s">
        <v>2289</v>
      </c>
      <c r="M118" s="61" t="s">
        <v>373</v>
      </c>
      <c r="N118" s="58" t="s">
        <v>2811</v>
      </c>
      <c r="P118" s="55" t="b">
        <f t="shared" si="1"/>
        <v>0</v>
      </c>
    </row>
    <row r="119" ht="15.0" customHeight="1">
      <c r="A119" s="56" t="s">
        <v>2812</v>
      </c>
      <c r="B119" s="56" t="s">
        <v>2813</v>
      </c>
      <c r="C119" s="57" t="s">
        <v>2814</v>
      </c>
      <c r="D119" s="58">
        <v>7.13202588E9</v>
      </c>
      <c r="E119" s="56" t="s">
        <v>390</v>
      </c>
      <c r="F119" s="56" t="s">
        <v>2815</v>
      </c>
      <c r="G119" s="56" t="s">
        <v>379</v>
      </c>
      <c r="H119" s="56" t="s">
        <v>366</v>
      </c>
      <c r="I119" s="56" t="s">
        <v>497</v>
      </c>
      <c r="J119" s="56" t="s">
        <v>2816</v>
      </c>
      <c r="K119" s="59"/>
      <c r="L119" s="56" t="s">
        <v>2305</v>
      </c>
      <c r="M119" s="61" t="s">
        <v>373</v>
      </c>
      <c r="N119" s="58" t="s">
        <v>2817</v>
      </c>
      <c r="P119" s="55" t="b">
        <f t="shared" si="1"/>
        <v>0</v>
      </c>
    </row>
    <row r="120" ht="15.0" customHeight="1">
      <c r="A120" s="56" t="s">
        <v>104</v>
      </c>
      <c r="B120" s="56" t="s">
        <v>894</v>
      </c>
      <c r="C120" s="57" t="s">
        <v>895</v>
      </c>
      <c r="D120" s="58">
        <v>7.139148428E9</v>
      </c>
      <c r="E120" s="56" t="s">
        <v>390</v>
      </c>
      <c r="F120" s="56" t="s">
        <v>390</v>
      </c>
      <c r="G120" s="56" t="s">
        <v>379</v>
      </c>
      <c r="H120" s="56" t="s">
        <v>366</v>
      </c>
      <c r="I120" s="56" t="s">
        <v>2288</v>
      </c>
      <c r="J120" s="56" t="s">
        <v>2818</v>
      </c>
      <c r="K120" s="59"/>
      <c r="L120" s="56" t="s">
        <v>2289</v>
      </c>
      <c r="M120" s="61" t="s">
        <v>373</v>
      </c>
      <c r="N120" s="58" t="s">
        <v>2819</v>
      </c>
      <c r="P120" s="55" t="b">
        <f t="shared" si="1"/>
        <v>0</v>
      </c>
    </row>
    <row r="121" ht="15.0" customHeight="1">
      <c r="A121" s="56" t="s">
        <v>105</v>
      </c>
      <c r="B121" s="56" t="s">
        <v>2820</v>
      </c>
      <c r="C121" s="57" t="s">
        <v>2821</v>
      </c>
      <c r="D121" s="56" t="s">
        <v>2822</v>
      </c>
      <c r="E121" s="56" t="s">
        <v>2286</v>
      </c>
      <c r="F121" s="56" t="s">
        <v>2286</v>
      </c>
      <c r="G121" s="56" t="s">
        <v>364</v>
      </c>
      <c r="H121" s="56" t="s">
        <v>513</v>
      </c>
      <c r="I121" s="56" t="s">
        <v>2473</v>
      </c>
      <c r="J121" s="56" t="s">
        <v>2823</v>
      </c>
      <c r="K121" s="59"/>
      <c r="L121" s="56" t="s">
        <v>2284</v>
      </c>
      <c r="M121" s="61" t="s">
        <v>373</v>
      </c>
      <c r="N121" s="58" t="s">
        <v>2824</v>
      </c>
      <c r="P121" s="55" t="b">
        <f t="shared" si="1"/>
        <v>1</v>
      </c>
    </row>
    <row r="122" ht="15.0" customHeight="1">
      <c r="A122" s="56" t="s">
        <v>106</v>
      </c>
      <c r="B122" s="56" t="s">
        <v>897</v>
      </c>
      <c r="C122" s="57" t="s">
        <v>898</v>
      </c>
      <c r="D122" s="58">
        <v>4.093705181E9</v>
      </c>
      <c r="E122" s="56" t="s">
        <v>452</v>
      </c>
      <c r="F122" s="56" t="s">
        <v>2825</v>
      </c>
      <c r="G122" s="56" t="s">
        <v>379</v>
      </c>
      <c r="H122" s="56" t="s">
        <v>413</v>
      </c>
      <c r="I122" s="56" t="s">
        <v>497</v>
      </c>
      <c r="J122" s="56" t="s">
        <v>2826</v>
      </c>
      <c r="K122" s="59"/>
      <c r="L122" s="56" t="s">
        <v>2305</v>
      </c>
      <c r="M122" s="61" t="s">
        <v>373</v>
      </c>
      <c r="N122" s="58" t="s">
        <v>2827</v>
      </c>
      <c r="P122" s="55" t="b">
        <f t="shared" si="1"/>
        <v>0</v>
      </c>
    </row>
    <row r="123" ht="15.0" customHeight="1">
      <c r="A123" s="56" t="s">
        <v>2828</v>
      </c>
      <c r="B123" s="56" t="s">
        <v>2829</v>
      </c>
      <c r="C123" s="57" t="s">
        <v>2830</v>
      </c>
      <c r="D123" s="58">
        <v>2.14621263E9</v>
      </c>
      <c r="E123" s="56" t="s">
        <v>2286</v>
      </c>
      <c r="F123" s="56" t="s">
        <v>2614</v>
      </c>
      <c r="G123" s="56" t="s">
        <v>364</v>
      </c>
      <c r="H123" s="56" t="s">
        <v>366</v>
      </c>
      <c r="I123" s="56" t="s">
        <v>381</v>
      </c>
      <c r="J123" s="56" t="s">
        <v>1984</v>
      </c>
      <c r="K123" s="59"/>
      <c r="L123" s="56" t="s">
        <v>2305</v>
      </c>
      <c r="M123" s="61" t="s">
        <v>373</v>
      </c>
      <c r="N123" s="58" t="s">
        <v>2831</v>
      </c>
      <c r="P123" s="55" t="b">
        <f t="shared" si="1"/>
        <v>0</v>
      </c>
    </row>
    <row r="124" ht="15.0" customHeight="1">
      <c r="A124" s="56" t="s">
        <v>2832</v>
      </c>
      <c r="B124" s="56" t="s">
        <v>2833</v>
      </c>
      <c r="C124" s="57" t="s">
        <v>2834</v>
      </c>
      <c r="D124" s="58">
        <v>9.722149678E9</v>
      </c>
      <c r="E124" s="56" t="s">
        <v>2286</v>
      </c>
      <c r="F124" s="56" t="s">
        <v>2286</v>
      </c>
      <c r="G124" s="56" t="s">
        <v>364</v>
      </c>
      <c r="H124" s="56" t="s">
        <v>366</v>
      </c>
      <c r="I124" s="56" t="s">
        <v>2283</v>
      </c>
      <c r="J124" s="56" t="s">
        <v>1390</v>
      </c>
      <c r="K124" s="59"/>
      <c r="L124" s="56" t="s">
        <v>2284</v>
      </c>
      <c r="M124" s="61" t="s">
        <v>373</v>
      </c>
      <c r="N124" s="58" t="s">
        <v>2835</v>
      </c>
      <c r="P124" s="55" t="b">
        <f t="shared" si="1"/>
        <v>0</v>
      </c>
    </row>
    <row r="125" ht="15.0" customHeight="1">
      <c r="A125" s="56" t="s">
        <v>2836</v>
      </c>
      <c r="B125" s="56" t="s">
        <v>2837</v>
      </c>
      <c r="C125" s="57" t="s">
        <v>2838</v>
      </c>
      <c r="D125" s="56" t="s">
        <v>2839</v>
      </c>
      <c r="E125" s="56" t="s">
        <v>390</v>
      </c>
      <c r="F125" s="56" t="s">
        <v>2840</v>
      </c>
      <c r="G125" s="56" t="s">
        <v>364</v>
      </c>
      <c r="H125" s="56" t="s">
        <v>513</v>
      </c>
      <c r="I125" s="56" t="s">
        <v>2283</v>
      </c>
      <c r="J125" s="56" t="s">
        <v>547</v>
      </c>
      <c r="K125" s="59"/>
      <c r="L125" s="56" t="s">
        <v>2284</v>
      </c>
      <c r="M125" s="61" t="s">
        <v>373</v>
      </c>
      <c r="N125" s="58" t="s">
        <v>2841</v>
      </c>
      <c r="P125" s="55" t="b">
        <f t="shared" si="1"/>
        <v>1</v>
      </c>
    </row>
    <row r="126" ht="15.0" customHeight="1">
      <c r="A126" s="56" t="s">
        <v>2842</v>
      </c>
      <c r="B126" s="56" t="s">
        <v>2843</v>
      </c>
      <c r="C126" s="57" t="s">
        <v>2844</v>
      </c>
      <c r="D126" s="56" t="s">
        <v>2845</v>
      </c>
      <c r="E126" s="56" t="s">
        <v>421</v>
      </c>
      <c r="F126" s="56" t="s">
        <v>2846</v>
      </c>
      <c r="G126" s="56" t="s">
        <v>364</v>
      </c>
      <c r="H126" s="56" t="s">
        <v>413</v>
      </c>
      <c r="I126" s="56" t="s">
        <v>2283</v>
      </c>
      <c r="J126" s="56" t="s">
        <v>484</v>
      </c>
      <c r="K126" s="59"/>
      <c r="L126" s="56" t="s">
        <v>2284</v>
      </c>
      <c r="M126" s="61" t="s">
        <v>373</v>
      </c>
      <c r="N126" s="58" t="s">
        <v>2847</v>
      </c>
      <c r="P126" s="55" t="b">
        <f t="shared" si="1"/>
        <v>0</v>
      </c>
    </row>
    <row r="127" ht="15.0" customHeight="1">
      <c r="A127" s="56" t="s">
        <v>916</v>
      </c>
      <c r="B127" s="56" t="s">
        <v>2848</v>
      </c>
      <c r="C127" s="57" t="s">
        <v>918</v>
      </c>
      <c r="D127" s="56" t="s">
        <v>2849</v>
      </c>
      <c r="E127" s="56" t="s">
        <v>2850</v>
      </c>
      <c r="F127" s="56" t="s">
        <v>2851</v>
      </c>
      <c r="G127" s="56" t="s">
        <v>364</v>
      </c>
      <c r="H127" s="56" t="s">
        <v>366</v>
      </c>
      <c r="I127" s="56" t="s">
        <v>2293</v>
      </c>
      <c r="J127" s="56" t="s">
        <v>2852</v>
      </c>
      <c r="K127" s="59"/>
      <c r="L127" s="56" t="s">
        <v>2284</v>
      </c>
      <c r="M127" s="61" t="s">
        <v>373</v>
      </c>
      <c r="N127" s="58" t="s">
        <v>2499</v>
      </c>
      <c r="P127" s="55" t="b">
        <f t="shared" si="1"/>
        <v>0</v>
      </c>
    </row>
    <row r="128" ht="15.0" customHeight="1">
      <c r="A128" s="56" t="s">
        <v>2853</v>
      </c>
      <c r="B128" s="56" t="s">
        <v>2854</v>
      </c>
      <c r="C128" s="57" t="s">
        <v>2855</v>
      </c>
      <c r="D128" s="58">
        <v>4.049843161E9</v>
      </c>
      <c r="E128" s="56" t="s">
        <v>459</v>
      </c>
      <c r="F128" s="56" t="s">
        <v>2856</v>
      </c>
      <c r="G128" s="56" t="s">
        <v>379</v>
      </c>
      <c r="H128" s="56" t="s">
        <v>366</v>
      </c>
      <c r="I128" s="56" t="s">
        <v>2293</v>
      </c>
      <c r="J128" s="56" t="s">
        <v>2857</v>
      </c>
      <c r="K128" s="59"/>
      <c r="L128" s="56" t="s">
        <v>2284</v>
      </c>
      <c r="M128" s="61" t="s">
        <v>373</v>
      </c>
      <c r="N128" s="58" t="s">
        <v>2858</v>
      </c>
      <c r="P128" s="55" t="b">
        <f t="shared" si="1"/>
        <v>0</v>
      </c>
    </row>
    <row r="129" ht="15.0" customHeight="1">
      <c r="A129" s="56" t="s">
        <v>109</v>
      </c>
      <c r="B129" s="56" t="s">
        <v>2859</v>
      </c>
      <c r="C129" s="57" t="s">
        <v>2860</v>
      </c>
      <c r="D129" s="58">
        <v>8.328299042E9</v>
      </c>
      <c r="E129" s="56" t="s">
        <v>390</v>
      </c>
      <c r="F129" s="56" t="s">
        <v>2861</v>
      </c>
      <c r="G129" s="56" t="s">
        <v>379</v>
      </c>
      <c r="H129" s="56" t="s">
        <v>413</v>
      </c>
      <c r="I129" s="56" t="s">
        <v>2288</v>
      </c>
      <c r="J129" s="56" t="s">
        <v>2862</v>
      </c>
      <c r="K129" s="59"/>
      <c r="L129" s="56" t="s">
        <v>2289</v>
      </c>
      <c r="M129" s="61" t="s">
        <v>373</v>
      </c>
      <c r="N129" s="58" t="s">
        <v>2863</v>
      </c>
      <c r="P129" s="55" t="b">
        <f t="shared" si="1"/>
        <v>0</v>
      </c>
    </row>
    <row r="130" ht="15.0" customHeight="1">
      <c r="A130" s="56" t="s">
        <v>297</v>
      </c>
      <c r="B130" s="56" t="s">
        <v>2864</v>
      </c>
      <c r="C130" s="57" t="s">
        <v>2865</v>
      </c>
      <c r="D130" s="58">
        <v>3.128720072E9</v>
      </c>
      <c r="E130" s="56" t="s">
        <v>390</v>
      </c>
      <c r="F130" s="56" t="s">
        <v>2866</v>
      </c>
      <c r="G130" s="56" t="s">
        <v>364</v>
      </c>
      <c r="H130" s="56" t="s">
        <v>366</v>
      </c>
      <c r="I130" s="56" t="s">
        <v>2283</v>
      </c>
      <c r="J130" s="56" t="s">
        <v>2796</v>
      </c>
      <c r="K130" s="59"/>
      <c r="L130" s="56" t="s">
        <v>2284</v>
      </c>
      <c r="M130" s="61" t="s">
        <v>373</v>
      </c>
      <c r="N130" s="58" t="s">
        <v>2867</v>
      </c>
      <c r="P130" s="55" t="b">
        <f t="shared" si="1"/>
        <v>0</v>
      </c>
    </row>
    <row r="131" ht="15.0" customHeight="1">
      <c r="A131" s="56" t="s">
        <v>2868</v>
      </c>
      <c r="B131" s="56" t="s">
        <v>2869</v>
      </c>
      <c r="C131" s="57" t="s">
        <v>2870</v>
      </c>
      <c r="D131" s="58">
        <v>2.103169696E9</v>
      </c>
      <c r="E131" s="56" t="s">
        <v>410</v>
      </c>
      <c r="F131" s="56" t="s">
        <v>2871</v>
      </c>
      <c r="G131" s="56" t="s">
        <v>364</v>
      </c>
      <c r="H131" s="56" t="s">
        <v>366</v>
      </c>
      <c r="I131" s="56" t="s">
        <v>2473</v>
      </c>
      <c r="J131" s="56" t="s">
        <v>2872</v>
      </c>
      <c r="K131" s="59"/>
      <c r="L131" s="56" t="s">
        <v>2284</v>
      </c>
      <c r="M131" s="61" t="s">
        <v>373</v>
      </c>
      <c r="N131" s="58" t="s">
        <v>2873</v>
      </c>
      <c r="P131" s="55" t="b">
        <f t="shared" si="1"/>
        <v>0</v>
      </c>
    </row>
    <row r="132" ht="15.0" customHeight="1">
      <c r="A132" s="56" t="s">
        <v>2874</v>
      </c>
      <c r="B132" s="56" t="s">
        <v>2875</v>
      </c>
      <c r="C132" s="57" t="s">
        <v>2876</v>
      </c>
      <c r="D132" s="58">
        <v>6.178178949E9</v>
      </c>
      <c r="E132" s="56" t="s">
        <v>390</v>
      </c>
      <c r="F132" s="56" t="s">
        <v>2877</v>
      </c>
      <c r="G132" s="56" t="s">
        <v>399</v>
      </c>
      <c r="H132" s="56" t="s">
        <v>413</v>
      </c>
      <c r="I132" s="56" t="s">
        <v>2288</v>
      </c>
      <c r="J132" s="56" t="s">
        <v>2878</v>
      </c>
      <c r="K132" s="59"/>
      <c r="L132" s="56" t="s">
        <v>2289</v>
      </c>
      <c r="M132" s="61" t="s">
        <v>373</v>
      </c>
      <c r="N132" s="58" t="s">
        <v>2879</v>
      </c>
      <c r="P132" s="55" t="b">
        <f t="shared" si="1"/>
        <v>0</v>
      </c>
    </row>
    <row r="133" ht="15.0" customHeight="1">
      <c r="A133" s="56" t="s">
        <v>110</v>
      </c>
      <c r="B133" s="56" t="s">
        <v>940</v>
      </c>
      <c r="C133" s="57" t="s">
        <v>941</v>
      </c>
      <c r="D133" s="58">
        <v>7.13677404E9</v>
      </c>
      <c r="E133" s="56" t="s">
        <v>2286</v>
      </c>
      <c r="F133" s="56" t="s">
        <v>2880</v>
      </c>
      <c r="G133" s="56" t="s">
        <v>364</v>
      </c>
      <c r="H133" s="56" t="s">
        <v>366</v>
      </c>
      <c r="I133" s="62" t="s">
        <v>2283</v>
      </c>
      <c r="J133" s="59"/>
      <c r="K133" s="59"/>
      <c r="L133" s="56" t="s">
        <v>2284</v>
      </c>
      <c r="M133" s="61" t="s">
        <v>394</v>
      </c>
      <c r="N133" s="58" t="s">
        <v>2465</v>
      </c>
      <c r="P133" s="55" t="b">
        <f t="shared" si="1"/>
        <v>0</v>
      </c>
    </row>
    <row r="134" ht="15.0" customHeight="1">
      <c r="A134" s="56" t="s">
        <v>111</v>
      </c>
      <c r="B134" s="56" t="s">
        <v>2881</v>
      </c>
      <c r="C134" s="57" t="s">
        <v>2882</v>
      </c>
      <c r="D134" s="56" t="s">
        <v>2883</v>
      </c>
      <c r="E134" s="56" t="s">
        <v>2286</v>
      </c>
      <c r="F134" s="56" t="s">
        <v>2286</v>
      </c>
      <c r="G134" s="56" t="s">
        <v>364</v>
      </c>
      <c r="H134" s="56" t="s">
        <v>413</v>
      </c>
      <c r="I134" s="56" t="s">
        <v>2510</v>
      </c>
      <c r="J134" s="56" t="s">
        <v>2884</v>
      </c>
      <c r="K134" s="59"/>
      <c r="L134" s="56" t="s">
        <v>2289</v>
      </c>
      <c r="M134" s="61" t="s">
        <v>373</v>
      </c>
      <c r="N134" s="58" t="s">
        <v>2885</v>
      </c>
      <c r="P134" s="55" t="b">
        <f t="shared" si="1"/>
        <v>0</v>
      </c>
    </row>
    <row r="135" ht="15.0" customHeight="1">
      <c r="A135" s="56" t="s">
        <v>112</v>
      </c>
      <c r="B135" s="56" t="s">
        <v>946</v>
      </c>
      <c r="C135" s="57" t="s">
        <v>947</v>
      </c>
      <c r="D135" s="58">
        <v>5.127091973E9</v>
      </c>
      <c r="E135" s="56" t="s">
        <v>390</v>
      </c>
      <c r="F135" s="56" t="s">
        <v>2886</v>
      </c>
      <c r="G135" s="56" t="s">
        <v>379</v>
      </c>
      <c r="H135" s="56" t="s">
        <v>366</v>
      </c>
      <c r="I135" s="56" t="s">
        <v>483</v>
      </c>
      <c r="J135" s="56" t="s">
        <v>2887</v>
      </c>
      <c r="K135" s="59"/>
      <c r="L135" s="56" t="s">
        <v>2305</v>
      </c>
      <c r="M135" s="61" t="s">
        <v>373</v>
      </c>
      <c r="N135" s="58" t="s">
        <v>2888</v>
      </c>
      <c r="P135" s="55" t="b">
        <f t="shared" si="1"/>
        <v>0</v>
      </c>
    </row>
    <row r="136" ht="15.0" customHeight="1">
      <c r="A136" s="56" t="s">
        <v>298</v>
      </c>
      <c r="B136" s="56" t="s">
        <v>2889</v>
      </c>
      <c r="C136" s="57" t="s">
        <v>2890</v>
      </c>
      <c r="D136" s="56" t="s">
        <v>2891</v>
      </c>
      <c r="E136" s="56" t="s">
        <v>410</v>
      </c>
      <c r="F136" s="56" t="s">
        <v>2463</v>
      </c>
      <c r="G136" s="56" t="s">
        <v>364</v>
      </c>
      <c r="H136" s="56" t="s">
        <v>366</v>
      </c>
      <c r="I136" s="56" t="s">
        <v>497</v>
      </c>
      <c r="J136" s="56" t="s">
        <v>2892</v>
      </c>
      <c r="K136" s="59"/>
      <c r="L136" s="56" t="s">
        <v>2305</v>
      </c>
      <c r="M136" s="61" t="s">
        <v>373</v>
      </c>
      <c r="N136" s="58" t="s">
        <v>2893</v>
      </c>
      <c r="P136" s="55" t="b">
        <f t="shared" si="1"/>
        <v>0</v>
      </c>
    </row>
    <row r="137" ht="15.0" customHeight="1">
      <c r="A137" s="56" t="s">
        <v>2894</v>
      </c>
      <c r="B137" s="56" t="s">
        <v>2895</v>
      </c>
      <c r="C137" s="57" t="s">
        <v>2896</v>
      </c>
      <c r="D137" s="56" t="s">
        <v>2897</v>
      </c>
      <c r="E137" s="56" t="s">
        <v>410</v>
      </c>
      <c r="F137" s="56" t="s">
        <v>2898</v>
      </c>
      <c r="G137" s="56" t="s">
        <v>379</v>
      </c>
      <c r="H137" s="56" t="s">
        <v>413</v>
      </c>
      <c r="I137" s="56" t="s">
        <v>2293</v>
      </c>
      <c r="J137" s="56" t="s">
        <v>2899</v>
      </c>
      <c r="K137" s="59"/>
      <c r="L137" s="56" t="s">
        <v>2284</v>
      </c>
      <c r="M137" s="61" t="s">
        <v>373</v>
      </c>
      <c r="N137" s="58" t="s">
        <v>2900</v>
      </c>
      <c r="P137" s="55" t="b">
        <f t="shared" si="1"/>
        <v>0</v>
      </c>
    </row>
    <row r="138" ht="15.0" customHeight="1">
      <c r="A138" s="56" t="s">
        <v>952</v>
      </c>
      <c r="B138" s="56" t="s">
        <v>953</v>
      </c>
      <c r="C138" s="57" t="s">
        <v>954</v>
      </c>
      <c r="D138" s="58">
        <v>5.124136373E9</v>
      </c>
      <c r="E138" s="56" t="s">
        <v>390</v>
      </c>
      <c r="F138" s="56" t="s">
        <v>2901</v>
      </c>
      <c r="G138" s="56" t="s">
        <v>364</v>
      </c>
      <c r="H138" s="56" t="s">
        <v>413</v>
      </c>
      <c r="I138" s="62" t="s">
        <v>2473</v>
      </c>
      <c r="J138" s="59"/>
      <c r="K138" s="59"/>
      <c r="L138" s="56" t="s">
        <v>2284</v>
      </c>
      <c r="M138" s="61" t="s">
        <v>2362</v>
      </c>
      <c r="N138" s="58" t="s">
        <v>2902</v>
      </c>
      <c r="P138" s="55" t="b">
        <f t="shared" si="1"/>
        <v>0</v>
      </c>
    </row>
    <row r="139" ht="15.0" customHeight="1">
      <c r="A139" s="56" t="s">
        <v>2903</v>
      </c>
      <c r="B139" s="56" t="s">
        <v>2904</v>
      </c>
      <c r="C139" s="57" t="s">
        <v>2905</v>
      </c>
      <c r="D139" s="58">
        <v>3.463482346E9</v>
      </c>
      <c r="E139" s="56" t="s">
        <v>2286</v>
      </c>
      <c r="F139" s="56" t="s">
        <v>2504</v>
      </c>
      <c r="G139" s="56" t="s">
        <v>364</v>
      </c>
      <c r="H139" s="56" t="s">
        <v>366</v>
      </c>
      <c r="I139" s="56" t="s">
        <v>2288</v>
      </c>
      <c r="J139" s="56" t="s">
        <v>2906</v>
      </c>
      <c r="K139" s="59"/>
      <c r="L139" s="56" t="s">
        <v>2289</v>
      </c>
      <c r="M139" s="61" t="s">
        <v>373</v>
      </c>
      <c r="N139" s="58" t="s">
        <v>2907</v>
      </c>
      <c r="P139" s="55" t="b">
        <f t="shared" si="1"/>
        <v>0</v>
      </c>
    </row>
    <row r="140" ht="15.0" customHeight="1">
      <c r="A140" s="56" t="s">
        <v>2908</v>
      </c>
      <c r="B140" s="56" t="s">
        <v>2909</v>
      </c>
      <c r="C140" s="57" t="s">
        <v>2910</v>
      </c>
      <c r="D140" s="56" t="s">
        <v>2911</v>
      </c>
      <c r="E140" s="56" t="s">
        <v>459</v>
      </c>
      <c r="F140" s="56" t="s">
        <v>2912</v>
      </c>
      <c r="G140" s="56" t="s">
        <v>399</v>
      </c>
      <c r="H140" s="56" t="s">
        <v>413</v>
      </c>
      <c r="I140" s="56" t="s">
        <v>2293</v>
      </c>
      <c r="J140" s="56" t="s">
        <v>2913</v>
      </c>
      <c r="K140" s="59"/>
      <c r="L140" s="56" t="s">
        <v>2284</v>
      </c>
      <c r="M140" s="61" t="s">
        <v>373</v>
      </c>
      <c r="N140" s="58" t="s">
        <v>2914</v>
      </c>
      <c r="P140" s="55" t="b">
        <f t="shared" si="1"/>
        <v>0</v>
      </c>
    </row>
    <row r="141" ht="15.0" customHeight="1">
      <c r="A141" s="56" t="s">
        <v>114</v>
      </c>
      <c r="B141" s="56" t="s">
        <v>960</v>
      </c>
      <c r="C141" s="57" t="s">
        <v>961</v>
      </c>
      <c r="D141" s="56" t="s">
        <v>962</v>
      </c>
      <c r="E141" s="56" t="s">
        <v>452</v>
      </c>
      <c r="F141" s="56" t="s">
        <v>2915</v>
      </c>
      <c r="G141" s="56" t="s">
        <v>399</v>
      </c>
      <c r="H141" s="56" t="s">
        <v>366</v>
      </c>
      <c r="I141" s="56" t="s">
        <v>2283</v>
      </c>
      <c r="J141" s="56" t="s">
        <v>2916</v>
      </c>
      <c r="K141" s="59"/>
      <c r="L141" s="56" t="s">
        <v>2284</v>
      </c>
      <c r="M141" s="61" t="s">
        <v>373</v>
      </c>
      <c r="N141" s="58" t="s">
        <v>2917</v>
      </c>
      <c r="P141" s="55" t="b">
        <f t="shared" si="1"/>
        <v>0</v>
      </c>
    </row>
    <row r="142" ht="15.0" customHeight="1">
      <c r="A142" s="56" t="s">
        <v>2918</v>
      </c>
      <c r="B142" s="56" t="s">
        <v>2919</v>
      </c>
      <c r="C142" s="57" t="s">
        <v>2920</v>
      </c>
      <c r="D142" s="58">
        <v>9.194265577E9</v>
      </c>
      <c r="E142" s="56" t="s">
        <v>443</v>
      </c>
      <c r="F142" s="56" t="s">
        <v>2921</v>
      </c>
      <c r="G142" s="56" t="s">
        <v>379</v>
      </c>
      <c r="H142" s="56" t="s">
        <v>366</v>
      </c>
      <c r="I142" s="56" t="s">
        <v>483</v>
      </c>
      <c r="J142" s="56" t="s">
        <v>2922</v>
      </c>
      <c r="K142" s="59"/>
      <c r="L142" s="56" t="s">
        <v>2305</v>
      </c>
      <c r="M142" s="61" t="s">
        <v>373</v>
      </c>
      <c r="N142" s="58" t="s">
        <v>2923</v>
      </c>
      <c r="P142" s="55" t="b">
        <f t="shared" si="1"/>
        <v>0</v>
      </c>
    </row>
    <row r="143" ht="15.0" customHeight="1">
      <c r="A143" s="56" t="s">
        <v>2924</v>
      </c>
      <c r="B143" s="56" t="s">
        <v>2925</v>
      </c>
      <c r="C143" s="57" t="s">
        <v>2926</v>
      </c>
      <c r="D143" s="58">
        <v>5.632106753E9</v>
      </c>
      <c r="E143" s="56" t="s">
        <v>452</v>
      </c>
      <c r="F143" s="56" t="s">
        <v>2636</v>
      </c>
      <c r="G143" s="56" t="s">
        <v>364</v>
      </c>
      <c r="H143" s="56" t="s">
        <v>366</v>
      </c>
      <c r="I143" s="56" t="s">
        <v>2288</v>
      </c>
      <c r="J143" s="56" t="s">
        <v>477</v>
      </c>
      <c r="K143" s="59"/>
      <c r="L143" s="56" t="s">
        <v>2289</v>
      </c>
      <c r="M143" s="61" t="s">
        <v>373</v>
      </c>
      <c r="N143" s="58" t="s">
        <v>2927</v>
      </c>
      <c r="P143" s="55" t="b">
        <f t="shared" si="1"/>
        <v>0</v>
      </c>
    </row>
    <row r="144" ht="15.0" customHeight="1">
      <c r="A144" s="56" t="s">
        <v>2928</v>
      </c>
      <c r="B144" s="56" t="s">
        <v>2929</v>
      </c>
      <c r="C144" s="57" t="s">
        <v>2930</v>
      </c>
      <c r="D144" s="58">
        <v>3.14755423E9</v>
      </c>
      <c r="E144" s="56" t="s">
        <v>2931</v>
      </c>
      <c r="F144" s="56" t="s">
        <v>2932</v>
      </c>
      <c r="G144" s="56" t="s">
        <v>364</v>
      </c>
      <c r="H144" s="56" t="s">
        <v>366</v>
      </c>
      <c r="I144" s="62" t="s">
        <v>2293</v>
      </c>
      <c r="J144" s="59"/>
      <c r="K144" s="59"/>
      <c r="L144" s="56" t="s">
        <v>2284</v>
      </c>
      <c r="M144" s="61" t="s">
        <v>394</v>
      </c>
      <c r="N144" s="58" t="s">
        <v>2933</v>
      </c>
      <c r="P144" s="55" t="b">
        <f t="shared" si="1"/>
        <v>0</v>
      </c>
    </row>
    <row r="145" ht="15.0" customHeight="1">
      <c r="A145" s="56" t="s">
        <v>299</v>
      </c>
      <c r="B145" s="56" t="s">
        <v>983</v>
      </c>
      <c r="C145" s="57" t="s">
        <v>2934</v>
      </c>
      <c r="D145" s="58">
        <v>5.123381101E9</v>
      </c>
      <c r="E145" s="56" t="s">
        <v>390</v>
      </c>
      <c r="F145" s="56" t="s">
        <v>452</v>
      </c>
      <c r="G145" s="56" t="s">
        <v>379</v>
      </c>
      <c r="H145" s="56" t="s">
        <v>413</v>
      </c>
      <c r="I145" s="56" t="s">
        <v>2288</v>
      </c>
      <c r="J145" s="56" t="s">
        <v>2935</v>
      </c>
      <c r="K145" s="59"/>
      <c r="L145" s="56" t="s">
        <v>2289</v>
      </c>
      <c r="M145" s="61" t="s">
        <v>373</v>
      </c>
      <c r="N145" s="58" t="s">
        <v>2936</v>
      </c>
      <c r="P145" s="55" t="b">
        <f t="shared" si="1"/>
        <v>0</v>
      </c>
    </row>
    <row r="146" ht="15.0" customHeight="1">
      <c r="A146" s="56" t="s">
        <v>118</v>
      </c>
      <c r="B146" s="56" t="s">
        <v>2937</v>
      </c>
      <c r="C146" s="57" t="s">
        <v>987</v>
      </c>
      <c r="D146" s="58">
        <v>6.787635161E9</v>
      </c>
      <c r="E146" s="56" t="s">
        <v>452</v>
      </c>
      <c r="F146" s="56" t="s">
        <v>2938</v>
      </c>
      <c r="G146" s="56" t="s">
        <v>364</v>
      </c>
      <c r="H146" s="56" t="s">
        <v>413</v>
      </c>
      <c r="I146" s="56" t="s">
        <v>2283</v>
      </c>
      <c r="J146" s="56" t="s">
        <v>1426</v>
      </c>
      <c r="K146" s="59"/>
      <c r="L146" s="56" t="s">
        <v>2284</v>
      </c>
      <c r="M146" s="61" t="s">
        <v>373</v>
      </c>
      <c r="N146" s="58" t="s">
        <v>2939</v>
      </c>
      <c r="P146" s="55" t="b">
        <f t="shared" si="1"/>
        <v>0</v>
      </c>
    </row>
    <row r="147" ht="15.0" customHeight="1">
      <c r="A147" s="56" t="s">
        <v>2940</v>
      </c>
      <c r="B147" s="56" t="s">
        <v>2941</v>
      </c>
      <c r="C147" s="57" t="s">
        <v>2942</v>
      </c>
      <c r="D147" s="58">
        <v>2.817875313E9</v>
      </c>
      <c r="E147" s="56" t="s">
        <v>410</v>
      </c>
      <c r="F147" s="56" t="s">
        <v>2943</v>
      </c>
      <c r="G147" s="56" t="s">
        <v>379</v>
      </c>
      <c r="H147" s="56" t="s">
        <v>366</v>
      </c>
      <c r="I147" s="56" t="s">
        <v>2288</v>
      </c>
      <c r="J147" s="56" t="s">
        <v>2944</v>
      </c>
      <c r="K147" s="59"/>
      <c r="L147" s="56" t="s">
        <v>2289</v>
      </c>
      <c r="M147" s="61" t="s">
        <v>373</v>
      </c>
      <c r="N147" s="58" t="s">
        <v>2945</v>
      </c>
      <c r="P147" s="55" t="b">
        <f t="shared" si="1"/>
        <v>0</v>
      </c>
    </row>
    <row r="148" ht="15.0" customHeight="1">
      <c r="A148" s="56" t="s">
        <v>300</v>
      </c>
      <c r="B148" s="56" t="s">
        <v>2946</v>
      </c>
      <c r="C148" s="57" t="s">
        <v>2947</v>
      </c>
      <c r="D148" s="58">
        <v>2.146086262E9</v>
      </c>
      <c r="E148" s="56" t="s">
        <v>410</v>
      </c>
      <c r="F148" s="56" t="s">
        <v>2948</v>
      </c>
      <c r="G148" s="56" t="s">
        <v>364</v>
      </c>
      <c r="H148" s="56" t="s">
        <v>413</v>
      </c>
      <c r="I148" s="56" t="s">
        <v>2293</v>
      </c>
      <c r="J148" s="56" t="s">
        <v>2949</v>
      </c>
      <c r="K148" s="59"/>
      <c r="L148" s="56" t="s">
        <v>2284</v>
      </c>
      <c r="M148" s="61" t="s">
        <v>373</v>
      </c>
      <c r="N148" s="58" t="s">
        <v>2950</v>
      </c>
      <c r="P148" s="55" t="b">
        <f t="shared" si="1"/>
        <v>0</v>
      </c>
    </row>
    <row r="149" ht="15.0" customHeight="1">
      <c r="A149" s="56" t="s">
        <v>119</v>
      </c>
      <c r="B149" s="56" t="s">
        <v>2951</v>
      </c>
      <c r="C149" s="57" t="s">
        <v>998</v>
      </c>
      <c r="D149" s="56" t="s">
        <v>2952</v>
      </c>
      <c r="E149" s="56" t="s">
        <v>2286</v>
      </c>
      <c r="F149" s="56" t="s">
        <v>2614</v>
      </c>
      <c r="G149" s="56" t="s">
        <v>364</v>
      </c>
      <c r="H149" s="56" t="s">
        <v>366</v>
      </c>
      <c r="I149" s="56" t="s">
        <v>2283</v>
      </c>
      <c r="J149" s="56" t="s">
        <v>2953</v>
      </c>
      <c r="K149" s="59"/>
      <c r="L149" s="56" t="s">
        <v>2284</v>
      </c>
      <c r="M149" s="61" t="s">
        <v>373</v>
      </c>
      <c r="N149" s="58" t="s">
        <v>2954</v>
      </c>
      <c r="P149" s="55" t="b">
        <f t="shared" si="1"/>
        <v>0</v>
      </c>
    </row>
    <row r="150" ht="15.0" customHeight="1">
      <c r="A150" s="56" t="s">
        <v>121</v>
      </c>
      <c r="B150" s="56" t="s">
        <v>1002</v>
      </c>
      <c r="C150" s="57" t="s">
        <v>1003</v>
      </c>
      <c r="D150" s="58">
        <v>6.302545522E9</v>
      </c>
      <c r="E150" s="56" t="s">
        <v>2286</v>
      </c>
      <c r="F150" s="56" t="s">
        <v>2955</v>
      </c>
      <c r="G150" s="56" t="s">
        <v>379</v>
      </c>
      <c r="H150" s="56" t="s">
        <v>366</v>
      </c>
      <c r="I150" s="56" t="s">
        <v>483</v>
      </c>
      <c r="J150" s="56" t="s">
        <v>1759</v>
      </c>
      <c r="K150" s="59"/>
      <c r="L150" s="56" t="s">
        <v>2305</v>
      </c>
      <c r="M150" s="61" t="s">
        <v>373</v>
      </c>
      <c r="N150" s="58" t="s">
        <v>2956</v>
      </c>
      <c r="P150" s="55" t="b">
        <f t="shared" si="1"/>
        <v>0</v>
      </c>
    </row>
    <row r="151" ht="15.0" customHeight="1">
      <c r="A151" s="56" t="s">
        <v>1009</v>
      </c>
      <c r="B151" s="56" t="s">
        <v>1010</v>
      </c>
      <c r="C151" s="57" t="s">
        <v>1011</v>
      </c>
      <c r="D151" s="58">
        <v>6.039210876E9</v>
      </c>
      <c r="E151" s="56" t="s">
        <v>410</v>
      </c>
      <c r="F151" s="56" t="s">
        <v>2957</v>
      </c>
      <c r="G151" s="56" t="s">
        <v>364</v>
      </c>
      <c r="H151" s="56" t="s">
        <v>413</v>
      </c>
      <c r="I151" s="56" t="s">
        <v>381</v>
      </c>
      <c r="J151" s="56" t="s">
        <v>2095</v>
      </c>
      <c r="K151" s="59"/>
      <c r="L151" s="56" t="s">
        <v>2305</v>
      </c>
      <c r="M151" s="61" t="s">
        <v>373</v>
      </c>
      <c r="N151" s="58" t="s">
        <v>2958</v>
      </c>
      <c r="P151" s="55" t="b">
        <f t="shared" si="1"/>
        <v>0</v>
      </c>
    </row>
    <row r="152" ht="15.0" customHeight="1">
      <c r="A152" s="56" t="s">
        <v>1015</v>
      </c>
      <c r="B152" s="56" t="s">
        <v>1016</v>
      </c>
      <c r="C152" s="57" t="s">
        <v>1017</v>
      </c>
      <c r="D152" s="56" t="s">
        <v>1018</v>
      </c>
      <c r="E152" s="56" t="s">
        <v>452</v>
      </c>
      <c r="F152" s="56" t="s">
        <v>2959</v>
      </c>
      <c r="G152" s="56" t="s">
        <v>364</v>
      </c>
      <c r="H152" s="56" t="s">
        <v>413</v>
      </c>
      <c r="I152" s="56" t="s">
        <v>2589</v>
      </c>
      <c r="J152" s="62" t="s">
        <v>2960</v>
      </c>
      <c r="K152" s="59"/>
      <c r="L152" s="56" t="s">
        <v>2284</v>
      </c>
      <c r="M152" s="61" t="s">
        <v>373</v>
      </c>
      <c r="N152" s="58" t="s">
        <v>2961</v>
      </c>
      <c r="P152" s="55" t="b">
        <f t="shared" si="1"/>
        <v>0</v>
      </c>
    </row>
    <row r="153" ht="15.0" customHeight="1">
      <c r="A153" s="56" t="s">
        <v>123</v>
      </c>
      <c r="B153" s="56" t="s">
        <v>1023</v>
      </c>
      <c r="C153" s="57" t="s">
        <v>1024</v>
      </c>
      <c r="D153" s="58">
        <v>8.322707202E9</v>
      </c>
      <c r="E153" s="56" t="s">
        <v>410</v>
      </c>
      <c r="F153" s="56" t="s">
        <v>2395</v>
      </c>
      <c r="G153" s="56" t="s">
        <v>379</v>
      </c>
      <c r="H153" s="56" t="s">
        <v>413</v>
      </c>
      <c r="I153" s="56" t="s">
        <v>2293</v>
      </c>
      <c r="J153" s="56" t="s">
        <v>2962</v>
      </c>
      <c r="K153" s="59"/>
      <c r="L153" s="56" t="s">
        <v>2284</v>
      </c>
      <c r="M153" s="61" t="s">
        <v>373</v>
      </c>
      <c r="N153" s="58" t="s">
        <v>2963</v>
      </c>
      <c r="P153" s="55" t="b">
        <f t="shared" si="1"/>
        <v>0</v>
      </c>
    </row>
    <row r="154" ht="15.0" customHeight="1">
      <c r="A154" s="56" t="s">
        <v>124</v>
      </c>
      <c r="B154" s="56" t="s">
        <v>1028</v>
      </c>
      <c r="C154" s="57" t="s">
        <v>1029</v>
      </c>
      <c r="D154" s="56" t="s">
        <v>2964</v>
      </c>
      <c r="E154" s="56" t="s">
        <v>362</v>
      </c>
      <c r="F154" s="56" t="s">
        <v>2528</v>
      </c>
      <c r="G154" s="56" t="s">
        <v>364</v>
      </c>
      <c r="H154" s="56" t="s">
        <v>869</v>
      </c>
      <c r="I154" s="56" t="s">
        <v>381</v>
      </c>
      <c r="J154" s="56" t="s">
        <v>2965</v>
      </c>
      <c r="K154" s="59"/>
      <c r="L154" s="56" t="s">
        <v>2305</v>
      </c>
      <c r="M154" s="61" t="s">
        <v>373</v>
      </c>
      <c r="N154" s="58" t="s">
        <v>2966</v>
      </c>
      <c r="P154" s="55" t="b">
        <f t="shared" si="1"/>
        <v>0</v>
      </c>
    </row>
    <row r="155" ht="15.0" customHeight="1">
      <c r="A155" s="56" t="s">
        <v>2967</v>
      </c>
      <c r="B155" s="56" t="s">
        <v>2968</v>
      </c>
      <c r="C155" s="57" t="s">
        <v>2969</v>
      </c>
      <c r="D155" s="58">
        <v>2.142442727E9</v>
      </c>
      <c r="E155" s="56" t="s">
        <v>2291</v>
      </c>
      <c r="F155" s="56" t="s">
        <v>2970</v>
      </c>
      <c r="G155" s="56" t="s">
        <v>364</v>
      </c>
      <c r="H155" s="56" t="s">
        <v>413</v>
      </c>
      <c r="I155" s="56" t="s">
        <v>2283</v>
      </c>
      <c r="J155" s="56" t="s">
        <v>1443</v>
      </c>
      <c r="K155" s="59"/>
      <c r="L155" s="56" t="s">
        <v>2284</v>
      </c>
      <c r="M155" s="61" t="s">
        <v>373</v>
      </c>
      <c r="N155" s="58" t="s">
        <v>2971</v>
      </c>
      <c r="P155" s="55" t="b">
        <f t="shared" si="1"/>
        <v>0</v>
      </c>
    </row>
    <row r="156" ht="15.0" customHeight="1">
      <c r="A156" s="56" t="s">
        <v>2972</v>
      </c>
      <c r="B156" s="56" t="s">
        <v>2973</v>
      </c>
      <c r="C156" s="57" t="s">
        <v>2974</v>
      </c>
      <c r="D156" s="58">
        <v>5.056701764E9</v>
      </c>
      <c r="E156" s="56" t="s">
        <v>362</v>
      </c>
      <c r="F156" s="56" t="s">
        <v>2975</v>
      </c>
      <c r="G156" s="56" t="s">
        <v>379</v>
      </c>
      <c r="H156" s="56" t="s">
        <v>366</v>
      </c>
      <c r="I156" s="56" t="s">
        <v>2283</v>
      </c>
      <c r="J156" s="56" t="s">
        <v>1792</v>
      </c>
      <c r="K156" s="59"/>
      <c r="L156" s="56" t="s">
        <v>2284</v>
      </c>
      <c r="M156" s="61" t="s">
        <v>373</v>
      </c>
      <c r="N156" s="58" t="s">
        <v>2976</v>
      </c>
      <c r="P156" s="55" t="b">
        <f t="shared" si="1"/>
        <v>0</v>
      </c>
    </row>
    <row r="157" ht="15.0" customHeight="1">
      <c r="A157" s="56" t="s">
        <v>2977</v>
      </c>
      <c r="B157" s="56" t="s">
        <v>2978</v>
      </c>
      <c r="C157" s="57" t="s">
        <v>2979</v>
      </c>
      <c r="D157" s="58">
        <v>8.048954476E9</v>
      </c>
      <c r="E157" s="56" t="s">
        <v>410</v>
      </c>
      <c r="F157" s="56" t="s">
        <v>1080</v>
      </c>
      <c r="G157" s="56" t="s">
        <v>399</v>
      </c>
      <c r="H157" s="56" t="s">
        <v>366</v>
      </c>
      <c r="I157" s="56" t="s">
        <v>497</v>
      </c>
      <c r="J157" s="56" t="s">
        <v>2980</v>
      </c>
      <c r="K157" s="59"/>
      <c r="L157" s="56" t="s">
        <v>2305</v>
      </c>
      <c r="M157" s="61" t="s">
        <v>373</v>
      </c>
      <c r="N157" s="58" t="s">
        <v>2981</v>
      </c>
      <c r="P157" s="55" t="b">
        <f t="shared" si="1"/>
        <v>0</v>
      </c>
    </row>
    <row r="158" ht="15.0" customHeight="1">
      <c r="A158" s="56" t="s">
        <v>2982</v>
      </c>
      <c r="B158" s="56" t="s">
        <v>2983</v>
      </c>
      <c r="C158" s="57" t="s">
        <v>2984</v>
      </c>
      <c r="D158" s="58">
        <v>2.819082099E9</v>
      </c>
      <c r="E158" s="56" t="s">
        <v>877</v>
      </c>
      <c r="F158" s="56" t="s">
        <v>2985</v>
      </c>
      <c r="G158" s="56" t="s">
        <v>364</v>
      </c>
      <c r="H158" s="56" t="s">
        <v>513</v>
      </c>
      <c r="I158" s="56" t="s">
        <v>2283</v>
      </c>
      <c r="J158" s="56" t="s">
        <v>1378</v>
      </c>
      <c r="K158" s="59"/>
      <c r="L158" s="56" t="s">
        <v>2284</v>
      </c>
      <c r="M158" s="61" t="s">
        <v>373</v>
      </c>
      <c r="N158" s="58" t="s">
        <v>2986</v>
      </c>
      <c r="P158" s="55" t="b">
        <f t="shared" si="1"/>
        <v>1</v>
      </c>
    </row>
    <row r="159" ht="15.0" customHeight="1">
      <c r="A159" s="56" t="s">
        <v>2987</v>
      </c>
      <c r="B159" s="56" t="s">
        <v>2988</v>
      </c>
      <c r="C159" s="57" t="s">
        <v>2989</v>
      </c>
      <c r="D159" s="56" t="s">
        <v>2990</v>
      </c>
      <c r="E159" s="56" t="s">
        <v>410</v>
      </c>
      <c r="F159" s="56" t="s">
        <v>2991</v>
      </c>
      <c r="G159" s="56" t="s">
        <v>399</v>
      </c>
      <c r="H159" s="56" t="s">
        <v>413</v>
      </c>
      <c r="I159" s="56" t="s">
        <v>1464</v>
      </c>
      <c r="J159" s="56" t="s">
        <v>2992</v>
      </c>
      <c r="K159" s="59"/>
      <c r="L159" s="56" t="s">
        <v>2305</v>
      </c>
      <c r="M159" s="61" t="s">
        <v>373</v>
      </c>
      <c r="N159" s="58" t="s">
        <v>2993</v>
      </c>
      <c r="P159" s="55" t="b">
        <f t="shared" si="1"/>
        <v>0</v>
      </c>
    </row>
    <row r="160" ht="15.0" customHeight="1">
      <c r="A160" s="56" t="s">
        <v>125</v>
      </c>
      <c r="B160" s="56" t="s">
        <v>1033</v>
      </c>
      <c r="C160" s="57" t="s">
        <v>1034</v>
      </c>
      <c r="D160" s="58">
        <v>3.125051203E9</v>
      </c>
      <c r="E160" s="56" t="s">
        <v>2286</v>
      </c>
      <c r="F160" s="56" t="s">
        <v>2286</v>
      </c>
      <c r="G160" s="56" t="s">
        <v>379</v>
      </c>
      <c r="H160" s="56" t="s">
        <v>413</v>
      </c>
      <c r="I160" s="56" t="s">
        <v>2288</v>
      </c>
      <c r="J160" s="56" t="s">
        <v>2994</v>
      </c>
      <c r="K160" s="59"/>
      <c r="L160" s="56" t="s">
        <v>2289</v>
      </c>
      <c r="M160" s="61" t="s">
        <v>373</v>
      </c>
      <c r="N160" s="58" t="s">
        <v>2995</v>
      </c>
      <c r="P160" s="55" t="b">
        <f t="shared" si="1"/>
        <v>0</v>
      </c>
    </row>
    <row r="161" ht="15.0" customHeight="1">
      <c r="A161" s="56" t="s">
        <v>2996</v>
      </c>
      <c r="B161" s="56" t="s">
        <v>2997</v>
      </c>
      <c r="C161" s="57" t="s">
        <v>2998</v>
      </c>
      <c r="D161" s="56" t="s">
        <v>2999</v>
      </c>
      <c r="E161" s="56" t="s">
        <v>452</v>
      </c>
      <c r="F161" s="56" t="s">
        <v>453</v>
      </c>
      <c r="G161" s="56" t="s">
        <v>379</v>
      </c>
      <c r="H161" s="56" t="s">
        <v>413</v>
      </c>
      <c r="I161" s="56" t="s">
        <v>2510</v>
      </c>
      <c r="J161" s="56" t="s">
        <v>3000</v>
      </c>
      <c r="K161" s="59"/>
      <c r="L161" s="56" t="s">
        <v>2289</v>
      </c>
      <c r="M161" s="61" t="s">
        <v>373</v>
      </c>
      <c r="N161" s="58" t="s">
        <v>3001</v>
      </c>
      <c r="P161" s="55" t="b">
        <f t="shared" si="1"/>
        <v>0</v>
      </c>
    </row>
    <row r="162" ht="15.0" customHeight="1">
      <c r="A162" s="56" t="s">
        <v>1038</v>
      </c>
      <c r="B162" s="56" t="s">
        <v>1039</v>
      </c>
      <c r="C162" s="57" t="s">
        <v>1040</v>
      </c>
      <c r="D162" s="56" t="s">
        <v>1041</v>
      </c>
      <c r="E162" s="56" t="s">
        <v>390</v>
      </c>
      <c r="F162" s="56" t="s">
        <v>453</v>
      </c>
      <c r="G162" s="56" t="s">
        <v>379</v>
      </c>
      <c r="H162" s="56" t="s">
        <v>413</v>
      </c>
      <c r="I162" s="56" t="s">
        <v>2510</v>
      </c>
      <c r="J162" s="56" t="s">
        <v>3002</v>
      </c>
      <c r="K162" s="59"/>
      <c r="L162" s="56" t="s">
        <v>2289</v>
      </c>
      <c r="M162" s="61" t="s">
        <v>373</v>
      </c>
      <c r="N162" s="58" t="s">
        <v>3003</v>
      </c>
      <c r="P162" s="55" t="b">
        <f t="shared" si="1"/>
        <v>0</v>
      </c>
    </row>
    <row r="163" ht="15.0" customHeight="1">
      <c r="A163" s="56" t="s">
        <v>126</v>
      </c>
      <c r="B163" s="56" t="s">
        <v>3004</v>
      </c>
      <c r="C163" s="57" t="s">
        <v>3005</v>
      </c>
      <c r="D163" s="56" t="s">
        <v>3006</v>
      </c>
      <c r="E163" s="56" t="s">
        <v>2286</v>
      </c>
      <c r="F163" s="56" t="s">
        <v>2938</v>
      </c>
      <c r="G163" s="56" t="s">
        <v>379</v>
      </c>
      <c r="H163" s="56" t="s">
        <v>366</v>
      </c>
      <c r="I163" s="56" t="s">
        <v>497</v>
      </c>
      <c r="J163" s="56" t="s">
        <v>3007</v>
      </c>
      <c r="K163" s="59"/>
      <c r="L163" s="56" t="s">
        <v>2305</v>
      </c>
      <c r="M163" s="61" t="s">
        <v>373</v>
      </c>
      <c r="N163" s="58" t="s">
        <v>3008</v>
      </c>
      <c r="P163" s="55" t="b">
        <f t="shared" si="1"/>
        <v>0</v>
      </c>
    </row>
    <row r="164" ht="15.0" customHeight="1">
      <c r="A164" s="56" t="s">
        <v>3009</v>
      </c>
      <c r="B164" s="56" t="s">
        <v>1538</v>
      </c>
      <c r="C164" s="57" t="s">
        <v>3010</v>
      </c>
      <c r="D164" s="56" t="s">
        <v>3011</v>
      </c>
      <c r="E164" s="56" t="s">
        <v>2286</v>
      </c>
      <c r="F164" s="56" t="s">
        <v>2287</v>
      </c>
      <c r="G164" s="56" t="s">
        <v>399</v>
      </c>
      <c r="H164" s="56" t="s">
        <v>513</v>
      </c>
      <c r="I164" s="62" t="s">
        <v>2283</v>
      </c>
      <c r="J164" s="59"/>
      <c r="K164" s="59"/>
      <c r="L164" s="56" t="s">
        <v>2284</v>
      </c>
      <c r="M164" s="61" t="s">
        <v>2362</v>
      </c>
      <c r="N164" s="58" t="s">
        <v>3012</v>
      </c>
      <c r="P164" s="55" t="b">
        <f t="shared" si="1"/>
        <v>1</v>
      </c>
    </row>
    <row r="165" ht="15.0" customHeight="1">
      <c r="A165" s="56" t="s">
        <v>3013</v>
      </c>
      <c r="B165" s="56" t="s">
        <v>3014</v>
      </c>
      <c r="C165" s="57" t="s">
        <v>3015</v>
      </c>
      <c r="D165" s="56" t="s">
        <v>3016</v>
      </c>
      <c r="E165" s="56" t="s">
        <v>2286</v>
      </c>
      <c r="F165" s="56" t="s">
        <v>3017</v>
      </c>
      <c r="G165" s="56" t="s">
        <v>379</v>
      </c>
      <c r="H165" s="56" t="s">
        <v>366</v>
      </c>
      <c r="I165" s="56" t="s">
        <v>2288</v>
      </c>
      <c r="J165" s="56" t="s">
        <v>3018</v>
      </c>
      <c r="K165" s="59"/>
      <c r="L165" s="56" t="s">
        <v>2289</v>
      </c>
      <c r="M165" s="61" t="s">
        <v>373</v>
      </c>
      <c r="N165" s="58" t="s">
        <v>3019</v>
      </c>
      <c r="P165" s="55" t="b">
        <f t="shared" si="1"/>
        <v>0</v>
      </c>
    </row>
    <row r="166" ht="15.0" customHeight="1">
      <c r="A166" s="56" t="s">
        <v>1044</v>
      </c>
      <c r="B166" s="56" t="s">
        <v>3020</v>
      </c>
      <c r="C166" s="57" t="s">
        <v>3021</v>
      </c>
      <c r="D166" s="58">
        <v>6.66628005E8</v>
      </c>
      <c r="E166" s="56" t="s">
        <v>2286</v>
      </c>
      <c r="F166" s="56" t="s">
        <v>3022</v>
      </c>
      <c r="G166" s="56" t="s">
        <v>364</v>
      </c>
      <c r="H166" s="56" t="s">
        <v>366</v>
      </c>
      <c r="I166" s="56" t="s">
        <v>497</v>
      </c>
      <c r="J166" s="56" t="s">
        <v>3023</v>
      </c>
      <c r="K166" s="59"/>
      <c r="L166" s="56" t="s">
        <v>2305</v>
      </c>
      <c r="M166" s="61" t="s">
        <v>373</v>
      </c>
      <c r="N166" s="58" t="s">
        <v>3024</v>
      </c>
      <c r="P166" s="55" t="b">
        <f t="shared" si="1"/>
        <v>0</v>
      </c>
    </row>
    <row r="167" ht="15.0" customHeight="1">
      <c r="A167" s="56" t="s">
        <v>1044</v>
      </c>
      <c r="B167" s="56" t="s">
        <v>3025</v>
      </c>
      <c r="C167" s="57" t="s">
        <v>3026</v>
      </c>
      <c r="D167" s="58">
        <v>6.66628005E8</v>
      </c>
      <c r="E167" s="56" t="s">
        <v>2286</v>
      </c>
      <c r="F167" s="56" t="s">
        <v>3027</v>
      </c>
      <c r="G167" s="56" t="s">
        <v>364</v>
      </c>
      <c r="H167" s="56" t="s">
        <v>366</v>
      </c>
      <c r="I167" s="62" t="s">
        <v>2293</v>
      </c>
      <c r="J167" s="59"/>
      <c r="K167" s="59"/>
      <c r="L167" s="56" t="s">
        <v>2284</v>
      </c>
      <c r="M167" s="61" t="s">
        <v>2362</v>
      </c>
      <c r="N167" s="58" t="s">
        <v>3028</v>
      </c>
      <c r="P167" s="55" t="b">
        <f t="shared" si="1"/>
        <v>0</v>
      </c>
    </row>
    <row r="168" ht="15.0" customHeight="1">
      <c r="A168" s="56" t="s">
        <v>3029</v>
      </c>
      <c r="B168" s="56" t="s">
        <v>3030</v>
      </c>
      <c r="C168" s="57" t="s">
        <v>3031</v>
      </c>
      <c r="D168" s="58">
        <v>2.143956409E9</v>
      </c>
      <c r="E168" s="56" t="s">
        <v>1553</v>
      </c>
      <c r="F168" s="56" t="s">
        <v>3032</v>
      </c>
      <c r="G168" s="56" t="s">
        <v>399</v>
      </c>
      <c r="H168" s="56" t="s">
        <v>513</v>
      </c>
      <c r="I168" s="56" t="s">
        <v>2283</v>
      </c>
      <c r="J168" s="56" t="s">
        <v>491</v>
      </c>
      <c r="K168" s="59"/>
      <c r="L168" s="56" t="s">
        <v>2284</v>
      </c>
      <c r="M168" s="61" t="s">
        <v>373</v>
      </c>
      <c r="N168" s="58" t="s">
        <v>2995</v>
      </c>
      <c r="P168" s="55" t="b">
        <f t="shared" si="1"/>
        <v>1</v>
      </c>
    </row>
    <row r="169" ht="15.0" customHeight="1">
      <c r="A169" s="56" t="s">
        <v>3033</v>
      </c>
      <c r="B169" s="56" t="s">
        <v>3034</v>
      </c>
      <c r="C169" s="57" t="s">
        <v>3035</v>
      </c>
      <c r="D169" s="56" t="s">
        <v>3036</v>
      </c>
      <c r="E169" s="56" t="s">
        <v>421</v>
      </c>
      <c r="F169" s="56" t="s">
        <v>2349</v>
      </c>
      <c r="G169" s="56" t="s">
        <v>399</v>
      </c>
      <c r="H169" s="56" t="s">
        <v>366</v>
      </c>
      <c r="I169" s="56" t="s">
        <v>2283</v>
      </c>
      <c r="J169" s="56" t="s">
        <v>2615</v>
      </c>
      <c r="K169" s="59"/>
      <c r="L169" s="56" t="s">
        <v>2284</v>
      </c>
      <c r="M169" s="61" t="s">
        <v>373</v>
      </c>
      <c r="N169" s="58" t="s">
        <v>3037</v>
      </c>
      <c r="P169" s="55" t="b">
        <f t="shared" si="1"/>
        <v>0</v>
      </c>
    </row>
    <row r="170" ht="15.0" customHeight="1">
      <c r="A170" s="56" t="s">
        <v>3038</v>
      </c>
      <c r="B170" s="56" t="s">
        <v>3039</v>
      </c>
      <c r="C170" s="57" t="s">
        <v>3040</v>
      </c>
      <c r="D170" s="58">
        <v>2.81723084E9</v>
      </c>
      <c r="E170" s="56" t="s">
        <v>390</v>
      </c>
      <c r="F170" s="56" t="s">
        <v>453</v>
      </c>
      <c r="G170" s="56" t="s">
        <v>379</v>
      </c>
      <c r="H170" s="56" t="s">
        <v>366</v>
      </c>
      <c r="I170" s="56" t="s">
        <v>2283</v>
      </c>
      <c r="J170" s="56" t="s">
        <v>3041</v>
      </c>
      <c r="K170" s="59"/>
      <c r="L170" s="56" t="s">
        <v>2284</v>
      </c>
      <c r="M170" s="61" t="s">
        <v>373</v>
      </c>
      <c r="N170" s="58" t="s">
        <v>3042</v>
      </c>
      <c r="P170" s="55" t="b">
        <f t="shared" si="1"/>
        <v>0</v>
      </c>
    </row>
    <row r="171" ht="15.0" customHeight="1">
      <c r="A171" s="56" t="s">
        <v>1058</v>
      </c>
      <c r="B171" s="56" t="s">
        <v>3043</v>
      </c>
      <c r="C171" s="57" t="s">
        <v>3044</v>
      </c>
      <c r="D171" s="58">
        <v>5.419055625E9</v>
      </c>
      <c r="E171" s="56" t="s">
        <v>459</v>
      </c>
      <c r="F171" s="56" t="s">
        <v>3045</v>
      </c>
      <c r="G171" s="56" t="s">
        <v>399</v>
      </c>
      <c r="H171" s="56" t="s">
        <v>413</v>
      </c>
      <c r="I171" s="56" t="s">
        <v>381</v>
      </c>
      <c r="J171" s="56" t="s">
        <v>3046</v>
      </c>
      <c r="K171" s="59"/>
      <c r="L171" s="56" t="s">
        <v>2305</v>
      </c>
      <c r="M171" s="61" t="s">
        <v>373</v>
      </c>
      <c r="N171" s="58" t="s">
        <v>3047</v>
      </c>
      <c r="P171" s="55" t="b">
        <f t="shared" si="1"/>
        <v>0</v>
      </c>
    </row>
    <row r="172" ht="15.0" customHeight="1">
      <c r="A172" s="56" t="s">
        <v>3048</v>
      </c>
      <c r="B172" s="56" t="s">
        <v>3049</v>
      </c>
      <c r="C172" s="57" t="s">
        <v>3050</v>
      </c>
      <c r="D172" s="58">
        <v>7.132499361E9</v>
      </c>
      <c r="E172" s="56" t="s">
        <v>421</v>
      </c>
      <c r="F172" s="56" t="s">
        <v>3051</v>
      </c>
      <c r="G172" s="56" t="s">
        <v>379</v>
      </c>
      <c r="H172" s="56" t="s">
        <v>413</v>
      </c>
      <c r="I172" s="56" t="s">
        <v>2288</v>
      </c>
      <c r="J172" s="56" t="s">
        <v>3052</v>
      </c>
      <c r="K172" s="59"/>
      <c r="L172" s="56" t="s">
        <v>2289</v>
      </c>
      <c r="M172" s="61" t="s">
        <v>373</v>
      </c>
      <c r="N172" s="58" t="s">
        <v>3053</v>
      </c>
      <c r="P172" s="55" t="b">
        <f t="shared" si="1"/>
        <v>0</v>
      </c>
    </row>
    <row r="173" ht="15.0" customHeight="1">
      <c r="A173" s="56" t="s">
        <v>3054</v>
      </c>
      <c r="B173" s="56" t="s">
        <v>3055</v>
      </c>
      <c r="C173" s="57" t="s">
        <v>3056</v>
      </c>
      <c r="D173" s="56" t="s">
        <v>3057</v>
      </c>
      <c r="E173" s="56" t="s">
        <v>2286</v>
      </c>
      <c r="F173" s="56" t="s">
        <v>2286</v>
      </c>
      <c r="G173" s="56" t="s">
        <v>379</v>
      </c>
      <c r="H173" s="56" t="s">
        <v>366</v>
      </c>
      <c r="I173" s="56" t="s">
        <v>2473</v>
      </c>
      <c r="J173" s="56" t="s">
        <v>1349</v>
      </c>
      <c r="K173" s="59"/>
      <c r="L173" s="56" t="s">
        <v>2284</v>
      </c>
      <c r="M173" s="61" t="s">
        <v>373</v>
      </c>
      <c r="N173" s="58" t="s">
        <v>3058</v>
      </c>
      <c r="P173" s="55" t="b">
        <f t="shared" si="1"/>
        <v>0</v>
      </c>
    </row>
    <row r="174" ht="15.0" customHeight="1">
      <c r="A174" s="56" t="s">
        <v>3059</v>
      </c>
      <c r="B174" s="56" t="s">
        <v>3060</v>
      </c>
      <c r="C174" s="57" t="s">
        <v>3061</v>
      </c>
      <c r="D174" s="56" t="s">
        <v>3062</v>
      </c>
      <c r="E174" s="56" t="s">
        <v>421</v>
      </c>
      <c r="F174" s="56" t="s">
        <v>3063</v>
      </c>
      <c r="G174" s="56" t="s">
        <v>379</v>
      </c>
      <c r="H174" s="56" t="s">
        <v>366</v>
      </c>
      <c r="I174" s="56" t="s">
        <v>381</v>
      </c>
      <c r="J174" s="56" t="s">
        <v>3064</v>
      </c>
      <c r="K174" s="59"/>
      <c r="L174" s="56" t="s">
        <v>2305</v>
      </c>
      <c r="M174" s="61" t="s">
        <v>373</v>
      </c>
      <c r="N174" s="58" t="s">
        <v>3065</v>
      </c>
      <c r="P174" s="55" t="b">
        <f t="shared" si="1"/>
        <v>0</v>
      </c>
    </row>
    <row r="175" ht="15.0" customHeight="1">
      <c r="A175" s="56" t="s">
        <v>128</v>
      </c>
      <c r="B175" s="56" t="s">
        <v>1067</v>
      </c>
      <c r="C175" s="57" t="s">
        <v>1068</v>
      </c>
      <c r="D175" s="58">
        <v>9.725858766E9</v>
      </c>
      <c r="E175" s="56" t="s">
        <v>390</v>
      </c>
      <c r="F175" s="56" t="s">
        <v>3066</v>
      </c>
      <c r="G175" s="56" t="s">
        <v>379</v>
      </c>
      <c r="H175" s="56" t="s">
        <v>413</v>
      </c>
      <c r="I175" s="56" t="s">
        <v>3067</v>
      </c>
      <c r="J175" s="56" t="s">
        <v>3068</v>
      </c>
      <c r="K175" s="59"/>
      <c r="L175" s="56" t="s">
        <v>2289</v>
      </c>
      <c r="M175" s="61" t="s">
        <v>373</v>
      </c>
      <c r="N175" s="58" t="s">
        <v>3069</v>
      </c>
      <c r="P175" s="55" t="b">
        <f t="shared" si="1"/>
        <v>0</v>
      </c>
    </row>
    <row r="176" ht="15.0" customHeight="1">
      <c r="A176" s="56" t="s">
        <v>129</v>
      </c>
      <c r="B176" s="56" t="s">
        <v>1072</v>
      </c>
      <c r="C176" s="57" t="s">
        <v>1073</v>
      </c>
      <c r="D176" s="56" t="s">
        <v>1074</v>
      </c>
      <c r="E176" s="56" t="s">
        <v>410</v>
      </c>
      <c r="F176" s="56" t="s">
        <v>3070</v>
      </c>
      <c r="G176" s="56" t="s">
        <v>364</v>
      </c>
      <c r="H176" s="56" t="s">
        <v>513</v>
      </c>
      <c r="I176" s="56" t="s">
        <v>483</v>
      </c>
      <c r="J176" s="56" t="s">
        <v>3071</v>
      </c>
      <c r="K176" s="59"/>
      <c r="L176" s="56" t="s">
        <v>2305</v>
      </c>
      <c r="M176" s="61" t="s">
        <v>373</v>
      </c>
      <c r="N176" s="58" t="s">
        <v>3072</v>
      </c>
      <c r="P176" s="55" t="b">
        <f t="shared" si="1"/>
        <v>1</v>
      </c>
    </row>
    <row r="177" ht="15.0" customHeight="1">
      <c r="A177" s="56" t="s">
        <v>3073</v>
      </c>
      <c r="B177" s="56" t="s">
        <v>3074</v>
      </c>
      <c r="C177" s="57" t="s">
        <v>3075</v>
      </c>
      <c r="D177" s="56" t="s">
        <v>3076</v>
      </c>
      <c r="E177" s="56" t="s">
        <v>390</v>
      </c>
      <c r="F177" s="56" t="s">
        <v>3077</v>
      </c>
      <c r="G177" s="56" t="s">
        <v>379</v>
      </c>
      <c r="H177" s="56" t="s">
        <v>413</v>
      </c>
      <c r="I177" s="56" t="s">
        <v>2473</v>
      </c>
      <c r="J177" s="56" t="s">
        <v>2598</v>
      </c>
      <c r="K177" s="59"/>
      <c r="L177" s="56" t="s">
        <v>2284</v>
      </c>
      <c r="M177" s="61" t="s">
        <v>373</v>
      </c>
      <c r="N177" s="58" t="s">
        <v>3078</v>
      </c>
      <c r="P177" s="55" t="b">
        <f t="shared" si="1"/>
        <v>0</v>
      </c>
    </row>
    <row r="178" ht="15.0" customHeight="1">
      <c r="A178" s="56" t="s">
        <v>130</v>
      </c>
      <c r="B178" s="56" t="s">
        <v>1077</v>
      </c>
      <c r="C178" s="57" t="s">
        <v>1078</v>
      </c>
      <c r="D178" s="56" t="s">
        <v>3079</v>
      </c>
      <c r="E178" s="56" t="s">
        <v>410</v>
      </c>
      <c r="F178" s="56" t="s">
        <v>411</v>
      </c>
      <c r="G178" s="56" t="s">
        <v>379</v>
      </c>
      <c r="H178" s="56" t="s">
        <v>366</v>
      </c>
      <c r="I178" s="56" t="s">
        <v>2288</v>
      </c>
      <c r="J178" s="56" t="s">
        <v>491</v>
      </c>
      <c r="K178" s="59"/>
      <c r="L178" s="56" t="s">
        <v>2289</v>
      </c>
      <c r="M178" s="61" t="s">
        <v>373</v>
      </c>
      <c r="N178" s="58" t="s">
        <v>3080</v>
      </c>
      <c r="P178" s="55" t="b">
        <f t="shared" si="1"/>
        <v>0</v>
      </c>
    </row>
    <row r="179" ht="15.0" customHeight="1">
      <c r="A179" s="56" t="s">
        <v>3081</v>
      </c>
      <c r="B179" s="56" t="s">
        <v>3082</v>
      </c>
      <c r="C179" s="57" t="s">
        <v>3083</v>
      </c>
      <c r="D179" s="56" t="s">
        <v>414</v>
      </c>
      <c r="E179" s="56" t="s">
        <v>709</v>
      </c>
      <c r="F179" s="56" t="s">
        <v>3084</v>
      </c>
      <c r="G179" s="56" t="s">
        <v>399</v>
      </c>
      <c r="H179" s="56" t="s">
        <v>366</v>
      </c>
      <c r="I179" s="56" t="s">
        <v>2283</v>
      </c>
      <c r="J179" s="56" t="s">
        <v>2648</v>
      </c>
      <c r="K179" s="59"/>
      <c r="L179" s="56" t="s">
        <v>2284</v>
      </c>
      <c r="M179" s="61" t="s">
        <v>373</v>
      </c>
      <c r="N179" s="58" t="s">
        <v>3085</v>
      </c>
      <c r="P179" s="55" t="b">
        <f t="shared" si="1"/>
        <v>0</v>
      </c>
    </row>
    <row r="180" ht="15.0" customHeight="1">
      <c r="A180" s="56" t="s">
        <v>3086</v>
      </c>
      <c r="B180" s="56" t="s">
        <v>3087</v>
      </c>
      <c r="C180" s="57" t="s">
        <v>3088</v>
      </c>
      <c r="D180" s="58">
        <v>7.20466001E9</v>
      </c>
      <c r="E180" s="56" t="s">
        <v>675</v>
      </c>
      <c r="F180" s="56" t="s">
        <v>675</v>
      </c>
      <c r="G180" s="56" t="s">
        <v>364</v>
      </c>
      <c r="H180" s="56" t="s">
        <v>413</v>
      </c>
      <c r="I180" s="62" t="s">
        <v>2283</v>
      </c>
      <c r="J180" s="59"/>
      <c r="K180" s="59"/>
      <c r="L180" s="56" t="s">
        <v>2284</v>
      </c>
      <c r="M180" s="61" t="s">
        <v>2362</v>
      </c>
      <c r="N180" s="58" t="s">
        <v>3089</v>
      </c>
      <c r="P180" s="55" t="b">
        <f t="shared" si="1"/>
        <v>0</v>
      </c>
    </row>
    <row r="181" ht="15.0" customHeight="1">
      <c r="A181" s="56" t="s">
        <v>131</v>
      </c>
      <c r="B181" s="56" t="s">
        <v>3090</v>
      </c>
      <c r="C181" s="57" t="s">
        <v>3091</v>
      </c>
      <c r="D181" s="58">
        <v>8.178972962E9</v>
      </c>
      <c r="E181" s="56" t="s">
        <v>2286</v>
      </c>
      <c r="F181" s="56" t="s">
        <v>3092</v>
      </c>
      <c r="G181" s="56" t="s">
        <v>364</v>
      </c>
      <c r="H181" s="56" t="s">
        <v>513</v>
      </c>
      <c r="I181" s="56" t="s">
        <v>497</v>
      </c>
      <c r="J181" s="56" t="s">
        <v>3093</v>
      </c>
      <c r="K181" s="59"/>
      <c r="L181" s="56" t="s">
        <v>2305</v>
      </c>
      <c r="M181" s="61" t="s">
        <v>373</v>
      </c>
      <c r="N181" s="58" t="s">
        <v>3094</v>
      </c>
      <c r="P181" s="55" t="b">
        <f t="shared" si="1"/>
        <v>1</v>
      </c>
    </row>
    <row r="182" ht="15.0" customHeight="1">
      <c r="A182" s="56" t="s">
        <v>3095</v>
      </c>
      <c r="B182" s="56" t="s">
        <v>3096</v>
      </c>
      <c r="C182" s="57" t="s">
        <v>3097</v>
      </c>
      <c r="D182" s="56" t="s">
        <v>3098</v>
      </c>
      <c r="E182" s="56" t="s">
        <v>390</v>
      </c>
      <c r="F182" s="56" t="s">
        <v>3099</v>
      </c>
      <c r="G182" s="56" t="s">
        <v>399</v>
      </c>
      <c r="H182" s="56" t="s">
        <v>513</v>
      </c>
      <c r="I182" s="56" t="s">
        <v>2510</v>
      </c>
      <c r="J182" s="56" t="s">
        <v>738</v>
      </c>
      <c r="K182" s="59"/>
      <c r="L182" s="56" t="s">
        <v>2289</v>
      </c>
      <c r="M182" s="61" t="s">
        <v>373</v>
      </c>
      <c r="N182" s="58" t="s">
        <v>3100</v>
      </c>
      <c r="P182" s="55" t="b">
        <f t="shared" si="1"/>
        <v>1</v>
      </c>
    </row>
    <row r="183" ht="15.0" customHeight="1">
      <c r="A183" s="56" t="s">
        <v>132</v>
      </c>
      <c r="B183" s="56" t="s">
        <v>3101</v>
      </c>
      <c r="C183" s="57" t="s">
        <v>3102</v>
      </c>
      <c r="D183" s="58">
        <v>5.865650801E9</v>
      </c>
      <c r="E183" s="56" t="s">
        <v>2286</v>
      </c>
      <c r="F183" s="56" t="s">
        <v>3103</v>
      </c>
      <c r="G183" s="56" t="s">
        <v>379</v>
      </c>
      <c r="H183" s="56" t="s">
        <v>366</v>
      </c>
      <c r="I183" s="56" t="s">
        <v>2288</v>
      </c>
      <c r="J183" s="56" t="s">
        <v>2953</v>
      </c>
      <c r="K183" s="59"/>
      <c r="L183" s="56" t="s">
        <v>2289</v>
      </c>
      <c r="M183" s="61" t="s">
        <v>373</v>
      </c>
      <c r="N183" s="58" t="s">
        <v>3104</v>
      </c>
      <c r="P183" s="55" t="b">
        <f t="shared" si="1"/>
        <v>0</v>
      </c>
    </row>
    <row r="184" ht="15.0" customHeight="1">
      <c r="A184" s="56" t="s">
        <v>3105</v>
      </c>
      <c r="B184" s="56" t="s">
        <v>3106</v>
      </c>
      <c r="C184" s="57" t="s">
        <v>3107</v>
      </c>
      <c r="D184" s="58">
        <v>2.069636931E9</v>
      </c>
      <c r="E184" s="56" t="s">
        <v>410</v>
      </c>
      <c r="F184" s="56" t="s">
        <v>3108</v>
      </c>
      <c r="G184" s="56" t="s">
        <v>399</v>
      </c>
      <c r="H184" s="56" t="s">
        <v>513</v>
      </c>
      <c r="I184" s="56" t="s">
        <v>381</v>
      </c>
      <c r="J184" s="56" t="s">
        <v>3109</v>
      </c>
      <c r="K184" s="59"/>
      <c r="L184" s="56" t="s">
        <v>2305</v>
      </c>
      <c r="M184" s="61" t="s">
        <v>373</v>
      </c>
      <c r="N184" s="58" t="s">
        <v>3110</v>
      </c>
      <c r="P184" s="55" t="b">
        <f t="shared" si="1"/>
        <v>1</v>
      </c>
    </row>
    <row r="185" ht="15.0" customHeight="1">
      <c r="A185" s="56" t="s">
        <v>133</v>
      </c>
      <c r="B185" s="56" t="s">
        <v>1105</v>
      </c>
      <c r="C185" s="57" t="s">
        <v>1106</v>
      </c>
      <c r="D185" s="56" t="s">
        <v>1107</v>
      </c>
      <c r="E185" s="56" t="s">
        <v>390</v>
      </c>
      <c r="F185" s="56" t="s">
        <v>3111</v>
      </c>
      <c r="G185" s="56" t="s">
        <v>379</v>
      </c>
      <c r="H185" s="56" t="s">
        <v>366</v>
      </c>
      <c r="I185" s="56" t="s">
        <v>381</v>
      </c>
      <c r="J185" s="56" t="s">
        <v>3112</v>
      </c>
      <c r="K185" s="59"/>
      <c r="L185" s="56" t="s">
        <v>2305</v>
      </c>
      <c r="M185" s="61" t="s">
        <v>373</v>
      </c>
      <c r="N185" s="58" t="s">
        <v>3113</v>
      </c>
      <c r="P185" s="55" t="b">
        <f t="shared" si="1"/>
        <v>0</v>
      </c>
    </row>
    <row r="186" ht="15.0" customHeight="1">
      <c r="A186" s="56" t="s">
        <v>3114</v>
      </c>
      <c r="B186" s="56" t="s">
        <v>3115</v>
      </c>
      <c r="C186" s="57" t="s">
        <v>3116</v>
      </c>
      <c r="D186" s="58">
        <v>9.13216611E9</v>
      </c>
      <c r="E186" s="56" t="s">
        <v>2850</v>
      </c>
      <c r="F186" s="56" t="s">
        <v>496</v>
      </c>
      <c r="G186" s="56" t="s">
        <v>364</v>
      </c>
      <c r="H186" s="56" t="s">
        <v>366</v>
      </c>
      <c r="I186" s="56" t="s">
        <v>2293</v>
      </c>
      <c r="J186" s="56" t="s">
        <v>3117</v>
      </c>
      <c r="K186" s="59"/>
      <c r="L186" s="56" t="s">
        <v>2284</v>
      </c>
      <c r="M186" s="61" t="s">
        <v>373</v>
      </c>
      <c r="N186" s="58" t="s">
        <v>3118</v>
      </c>
      <c r="P186" s="55" t="b">
        <f t="shared" si="1"/>
        <v>0</v>
      </c>
    </row>
    <row r="187" ht="15.0" customHeight="1">
      <c r="A187" s="56" t="s">
        <v>3119</v>
      </c>
      <c r="B187" s="56" t="s">
        <v>3120</v>
      </c>
      <c r="C187" s="57" t="s">
        <v>3121</v>
      </c>
      <c r="D187" s="56" t="s">
        <v>3122</v>
      </c>
      <c r="E187" s="56" t="s">
        <v>2286</v>
      </c>
      <c r="F187" s="56" t="s">
        <v>3123</v>
      </c>
      <c r="G187" s="56" t="s">
        <v>399</v>
      </c>
      <c r="H187" s="56" t="s">
        <v>513</v>
      </c>
      <c r="I187" s="56" t="s">
        <v>2510</v>
      </c>
      <c r="J187" s="56" t="s">
        <v>3124</v>
      </c>
      <c r="K187" s="59"/>
      <c r="L187" s="56" t="s">
        <v>2289</v>
      </c>
      <c r="M187" s="61" t="s">
        <v>373</v>
      </c>
      <c r="N187" s="58" t="s">
        <v>3125</v>
      </c>
      <c r="P187" s="55" t="b">
        <f t="shared" si="1"/>
        <v>1</v>
      </c>
    </row>
    <row r="188" ht="15.0" customHeight="1">
      <c r="A188" s="56" t="s">
        <v>134</v>
      </c>
      <c r="B188" s="56" t="s">
        <v>1120</v>
      </c>
      <c r="C188" s="57" t="s">
        <v>1121</v>
      </c>
      <c r="D188" s="58">
        <v>9.132078997E9</v>
      </c>
      <c r="E188" s="56" t="s">
        <v>452</v>
      </c>
      <c r="F188" s="56" t="s">
        <v>3126</v>
      </c>
      <c r="G188" s="56" t="s">
        <v>364</v>
      </c>
      <c r="H188" s="56" t="s">
        <v>413</v>
      </c>
      <c r="I188" s="56" t="s">
        <v>2288</v>
      </c>
      <c r="J188" s="56" t="s">
        <v>2916</v>
      </c>
      <c r="K188" s="59"/>
      <c r="L188" s="56" t="s">
        <v>2289</v>
      </c>
      <c r="M188" s="61" t="s">
        <v>373</v>
      </c>
      <c r="N188" s="58" t="s">
        <v>3127</v>
      </c>
      <c r="P188" s="55" t="b">
        <f t="shared" si="1"/>
        <v>0</v>
      </c>
    </row>
    <row r="189" ht="15.0" customHeight="1">
      <c r="A189" s="56" t="s">
        <v>1127</v>
      </c>
      <c r="B189" s="56" t="s">
        <v>3128</v>
      </c>
      <c r="C189" s="57" t="s">
        <v>3129</v>
      </c>
      <c r="D189" s="58">
        <v>8.649601262E9</v>
      </c>
      <c r="E189" s="56" t="s">
        <v>390</v>
      </c>
      <c r="F189" s="56" t="s">
        <v>3130</v>
      </c>
      <c r="G189" s="56" t="s">
        <v>364</v>
      </c>
      <c r="H189" s="56" t="s">
        <v>366</v>
      </c>
      <c r="I189" s="56" t="s">
        <v>2288</v>
      </c>
      <c r="J189" s="56" t="s">
        <v>3131</v>
      </c>
      <c r="K189" s="59"/>
      <c r="L189" s="56" t="s">
        <v>2289</v>
      </c>
      <c r="M189" s="61" t="s">
        <v>373</v>
      </c>
      <c r="N189" s="58" t="s">
        <v>3132</v>
      </c>
      <c r="P189" s="55" t="b">
        <f t="shared" si="1"/>
        <v>0</v>
      </c>
    </row>
    <row r="190" ht="15.0" customHeight="1">
      <c r="A190" s="56" t="s">
        <v>1132</v>
      </c>
      <c r="B190" s="56" t="s">
        <v>1133</v>
      </c>
      <c r="C190" s="57" t="s">
        <v>1134</v>
      </c>
      <c r="D190" s="58">
        <v>8.605598793E9</v>
      </c>
      <c r="E190" s="56" t="s">
        <v>390</v>
      </c>
      <c r="F190" s="56" t="s">
        <v>3133</v>
      </c>
      <c r="G190" s="56" t="s">
        <v>364</v>
      </c>
      <c r="H190" s="56" t="s">
        <v>366</v>
      </c>
      <c r="I190" s="62" t="s">
        <v>2283</v>
      </c>
      <c r="J190" s="59"/>
      <c r="K190" s="59"/>
      <c r="L190" s="56" t="s">
        <v>2284</v>
      </c>
      <c r="M190" s="61" t="s">
        <v>2362</v>
      </c>
      <c r="N190" s="58" t="s">
        <v>3134</v>
      </c>
      <c r="P190" s="55" t="b">
        <f t="shared" si="1"/>
        <v>0</v>
      </c>
    </row>
    <row r="191" ht="15.0" customHeight="1">
      <c r="A191" s="56" t="s">
        <v>135</v>
      </c>
      <c r="B191" s="56" t="s">
        <v>1139</v>
      </c>
      <c r="C191" s="57" t="s">
        <v>1140</v>
      </c>
      <c r="D191" s="56" t="s">
        <v>3135</v>
      </c>
      <c r="E191" s="56" t="s">
        <v>390</v>
      </c>
      <c r="F191" s="56" t="s">
        <v>3136</v>
      </c>
      <c r="G191" s="56" t="s">
        <v>364</v>
      </c>
      <c r="H191" s="56" t="s">
        <v>413</v>
      </c>
      <c r="I191" s="56" t="s">
        <v>2283</v>
      </c>
      <c r="J191" s="56" t="s">
        <v>2878</v>
      </c>
      <c r="K191" s="59"/>
      <c r="L191" s="56" t="s">
        <v>2284</v>
      </c>
      <c r="M191" s="61" t="s">
        <v>373</v>
      </c>
      <c r="N191" s="58" t="s">
        <v>3137</v>
      </c>
      <c r="P191" s="55" t="b">
        <f t="shared" si="1"/>
        <v>0</v>
      </c>
    </row>
    <row r="192" ht="15.0" customHeight="1">
      <c r="A192" s="56" t="s">
        <v>3138</v>
      </c>
      <c r="B192" s="56" t="s">
        <v>3139</v>
      </c>
      <c r="C192" s="57" t="s">
        <v>3140</v>
      </c>
      <c r="D192" s="56" t="s">
        <v>3141</v>
      </c>
      <c r="E192" s="56" t="s">
        <v>2850</v>
      </c>
      <c r="F192" s="56" t="s">
        <v>3142</v>
      </c>
      <c r="G192" s="56" t="s">
        <v>364</v>
      </c>
      <c r="H192" s="56" t="s">
        <v>413</v>
      </c>
      <c r="I192" s="56" t="s">
        <v>2283</v>
      </c>
      <c r="J192" s="56" t="s">
        <v>1157</v>
      </c>
      <c r="K192" s="59"/>
      <c r="L192" s="56" t="s">
        <v>2284</v>
      </c>
      <c r="M192" s="61" t="s">
        <v>373</v>
      </c>
      <c r="N192" s="58" t="s">
        <v>3143</v>
      </c>
      <c r="P192" s="55" t="b">
        <f t="shared" si="1"/>
        <v>0</v>
      </c>
    </row>
    <row r="193" ht="15.0" customHeight="1">
      <c r="A193" s="56" t="s">
        <v>3144</v>
      </c>
      <c r="B193" s="56" t="s">
        <v>3145</v>
      </c>
      <c r="C193" s="57" t="s">
        <v>3146</v>
      </c>
      <c r="D193" s="58">
        <v>9.406540172E9</v>
      </c>
      <c r="E193" s="56" t="s">
        <v>459</v>
      </c>
      <c r="F193" s="56" t="s">
        <v>3147</v>
      </c>
      <c r="G193" s="56" t="s">
        <v>364</v>
      </c>
      <c r="H193" s="56" t="s">
        <v>366</v>
      </c>
      <c r="I193" s="56" t="s">
        <v>2283</v>
      </c>
      <c r="J193" s="56" t="s">
        <v>3148</v>
      </c>
      <c r="K193" s="59"/>
      <c r="L193" s="56" t="s">
        <v>2284</v>
      </c>
      <c r="M193" s="61" t="s">
        <v>373</v>
      </c>
      <c r="N193" s="58" t="s">
        <v>3149</v>
      </c>
      <c r="P193" s="55" t="b">
        <f t="shared" si="1"/>
        <v>0</v>
      </c>
    </row>
    <row r="194" ht="15.0" customHeight="1">
      <c r="A194" s="56" t="s">
        <v>3150</v>
      </c>
      <c r="B194" s="56" t="s">
        <v>3151</v>
      </c>
      <c r="C194" s="57" t="s">
        <v>3152</v>
      </c>
      <c r="D194" s="56" t="s">
        <v>3153</v>
      </c>
      <c r="E194" s="56" t="s">
        <v>421</v>
      </c>
      <c r="F194" s="56" t="s">
        <v>3154</v>
      </c>
      <c r="G194" s="56" t="s">
        <v>379</v>
      </c>
      <c r="H194" s="56" t="s">
        <v>366</v>
      </c>
      <c r="I194" s="56" t="s">
        <v>381</v>
      </c>
      <c r="J194" s="56" t="s">
        <v>3155</v>
      </c>
      <c r="K194" s="59"/>
      <c r="L194" s="56" t="s">
        <v>2305</v>
      </c>
      <c r="M194" s="61" t="s">
        <v>373</v>
      </c>
      <c r="N194" s="58" t="s">
        <v>3156</v>
      </c>
      <c r="P194" s="55" t="b">
        <f t="shared" si="1"/>
        <v>0</v>
      </c>
    </row>
    <row r="195" ht="15.0" customHeight="1">
      <c r="A195" s="56" t="s">
        <v>3157</v>
      </c>
      <c r="B195" s="56" t="s">
        <v>3158</v>
      </c>
      <c r="C195" s="57" t="s">
        <v>3159</v>
      </c>
      <c r="D195" s="56" t="s">
        <v>3160</v>
      </c>
      <c r="E195" s="56" t="s">
        <v>390</v>
      </c>
      <c r="F195" s="56" t="s">
        <v>3032</v>
      </c>
      <c r="G195" s="56" t="s">
        <v>364</v>
      </c>
      <c r="H195" s="56" t="s">
        <v>366</v>
      </c>
      <c r="I195" s="56" t="s">
        <v>2288</v>
      </c>
      <c r="J195" s="56" t="s">
        <v>3161</v>
      </c>
      <c r="K195" s="59"/>
      <c r="L195" s="56" t="s">
        <v>2289</v>
      </c>
      <c r="M195" s="61" t="s">
        <v>373</v>
      </c>
      <c r="N195" s="58" t="s">
        <v>3162</v>
      </c>
      <c r="P195" s="55" t="b">
        <f t="shared" si="1"/>
        <v>0</v>
      </c>
    </row>
    <row r="196" ht="15.0" customHeight="1">
      <c r="A196" s="56" t="s">
        <v>3163</v>
      </c>
      <c r="B196" s="56" t="s">
        <v>3164</v>
      </c>
      <c r="C196" s="57" t="s">
        <v>3165</v>
      </c>
      <c r="D196" s="56" t="s">
        <v>3166</v>
      </c>
      <c r="E196" s="56" t="s">
        <v>452</v>
      </c>
      <c r="F196" s="56" t="s">
        <v>2851</v>
      </c>
      <c r="G196" s="56" t="s">
        <v>399</v>
      </c>
      <c r="H196" s="56" t="s">
        <v>513</v>
      </c>
      <c r="I196" s="56" t="s">
        <v>2288</v>
      </c>
      <c r="J196" s="56" t="s">
        <v>583</v>
      </c>
      <c r="K196" s="59"/>
      <c r="L196" s="56" t="s">
        <v>2289</v>
      </c>
      <c r="M196" s="61" t="s">
        <v>373</v>
      </c>
      <c r="N196" s="58" t="s">
        <v>3167</v>
      </c>
      <c r="P196" s="55" t="b">
        <f t="shared" si="1"/>
        <v>1</v>
      </c>
    </row>
    <row r="197" ht="15.0" customHeight="1">
      <c r="A197" s="56" t="s">
        <v>3168</v>
      </c>
      <c r="B197" s="56" t="s">
        <v>3169</v>
      </c>
      <c r="C197" s="57" t="s">
        <v>3170</v>
      </c>
      <c r="D197" s="56" t="s">
        <v>3171</v>
      </c>
      <c r="E197" s="56" t="s">
        <v>452</v>
      </c>
      <c r="F197" s="56" t="s">
        <v>3172</v>
      </c>
      <c r="G197" s="56" t="s">
        <v>399</v>
      </c>
      <c r="H197" s="56" t="s">
        <v>366</v>
      </c>
      <c r="I197" s="56" t="s">
        <v>381</v>
      </c>
      <c r="J197" s="56" t="s">
        <v>3173</v>
      </c>
      <c r="K197" s="59"/>
      <c r="L197" s="56" t="s">
        <v>2305</v>
      </c>
      <c r="M197" s="61" t="s">
        <v>373</v>
      </c>
      <c r="N197" s="58" t="s">
        <v>3174</v>
      </c>
      <c r="P197" s="55" t="b">
        <f t="shared" si="1"/>
        <v>0</v>
      </c>
    </row>
    <row r="198" ht="15.0" customHeight="1">
      <c r="A198" s="56" t="s">
        <v>136</v>
      </c>
      <c r="B198" s="56" t="s">
        <v>1149</v>
      </c>
      <c r="C198" s="57" t="s">
        <v>1150</v>
      </c>
      <c r="D198" s="58">
        <v>8.17714064E9</v>
      </c>
      <c r="E198" s="56" t="s">
        <v>2286</v>
      </c>
      <c r="F198" s="56" t="s">
        <v>3175</v>
      </c>
      <c r="G198" s="56" t="s">
        <v>379</v>
      </c>
      <c r="H198" s="56" t="s">
        <v>413</v>
      </c>
      <c r="I198" s="56" t="s">
        <v>2510</v>
      </c>
      <c r="J198" s="56" t="s">
        <v>3176</v>
      </c>
      <c r="K198" s="59"/>
      <c r="L198" s="56" t="s">
        <v>2289</v>
      </c>
      <c r="M198" s="61" t="s">
        <v>373</v>
      </c>
      <c r="N198" s="58" t="s">
        <v>3177</v>
      </c>
      <c r="P198" s="55" t="b">
        <f t="shared" si="1"/>
        <v>0</v>
      </c>
    </row>
    <row r="199" ht="15.0" customHeight="1">
      <c r="A199" s="56" t="s">
        <v>3178</v>
      </c>
      <c r="B199" s="56" t="s">
        <v>3179</v>
      </c>
      <c r="C199" s="57" t="s">
        <v>3180</v>
      </c>
      <c r="D199" s="58">
        <v>3.307967927E9</v>
      </c>
      <c r="E199" s="56" t="s">
        <v>390</v>
      </c>
      <c r="F199" s="56" t="s">
        <v>2846</v>
      </c>
      <c r="G199" s="56" t="s">
        <v>379</v>
      </c>
      <c r="H199" s="56" t="s">
        <v>869</v>
      </c>
      <c r="I199" s="56" t="s">
        <v>2283</v>
      </c>
      <c r="J199" s="56" t="s">
        <v>3052</v>
      </c>
      <c r="K199" s="59"/>
      <c r="L199" s="56" t="s">
        <v>2284</v>
      </c>
      <c r="M199" s="61" t="s">
        <v>373</v>
      </c>
      <c r="N199" s="58" t="s">
        <v>3181</v>
      </c>
      <c r="P199" s="55" t="b">
        <f t="shared" si="1"/>
        <v>0</v>
      </c>
    </row>
    <row r="200" ht="15.0" customHeight="1">
      <c r="A200" s="56" t="s">
        <v>3182</v>
      </c>
      <c r="B200" s="56" t="s">
        <v>3183</v>
      </c>
      <c r="C200" s="57" t="s">
        <v>3184</v>
      </c>
      <c r="D200" s="56" t="s">
        <v>3185</v>
      </c>
      <c r="E200" s="56" t="s">
        <v>2286</v>
      </c>
      <c r="F200" s="56" t="s">
        <v>2286</v>
      </c>
      <c r="G200" s="56" t="s">
        <v>399</v>
      </c>
      <c r="H200" s="56" t="s">
        <v>366</v>
      </c>
      <c r="I200" s="56" t="s">
        <v>2283</v>
      </c>
      <c r="J200" s="56" t="s">
        <v>3186</v>
      </c>
      <c r="K200" s="59"/>
      <c r="L200" s="56" t="s">
        <v>2284</v>
      </c>
      <c r="M200" s="61" t="s">
        <v>373</v>
      </c>
      <c r="N200" s="58" t="s">
        <v>3187</v>
      </c>
      <c r="P200" s="55" t="b">
        <f t="shared" si="1"/>
        <v>0</v>
      </c>
    </row>
    <row r="201" ht="15.0" customHeight="1">
      <c r="A201" s="56" t="s">
        <v>3188</v>
      </c>
      <c r="B201" s="56" t="s">
        <v>3189</v>
      </c>
      <c r="C201" s="57" t="s">
        <v>3190</v>
      </c>
      <c r="D201" s="56" t="s">
        <v>3191</v>
      </c>
      <c r="E201" s="56" t="s">
        <v>2286</v>
      </c>
      <c r="F201" s="56" t="s">
        <v>2287</v>
      </c>
      <c r="G201" s="56" t="s">
        <v>364</v>
      </c>
      <c r="H201" s="56" t="s">
        <v>413</v>
      </c>
      <c r="I201" s="56" t="s">
        <v>381</v>
      </c>
      <c r="J201" s="56" t="s">
        <v>1117</v>
      </c>
      <c r="K201" s="59"/>
      <c r="L201" s="56" t="s">
        <v>2305</v>
      </c>
      <c r="M201" s="61" t="s">
        <v>373</v>
      </c>
      <c r="N201" s="58" t="s">
        <v>3192</v>
      </c>
      <c r="P201" s="55" t="b">
        <f t="shared" si="1"/>
        <v>0</v>
      </c>
    </row>
    <row r="202" ht="15.0" customHeight="1">
      <c r="A202" s="56" t="s">
        <v>3193</v>
      </c>
      <c r="B202" s="56" t="s">
        <v>1154</v>
      </c>
      <c r="C202" s="57" t="s">
        <v>1155</v>
      </c>
      <c r="D202" s="58">
        <v>5.127747917E9</v>
      </c>
      <c r="E202" s="56" t="s">
        <v>2286</v>
      </c>
      <c r="F202" s="56" t="s">
        <v>2287</v>
      </c>
      <c r="G202" s="56" t="s">
        <v>379</v>
      </c>
      <c r="H202" s="56" t="s">
        <v>413</v>
      </c>
      <c r="I202" s="56" t="s">
        <v>2510</v>
      </c>
      <c r="J202" s="56" t="s">
        <v>1863</v>
      </c>
      <c r="K202" s="59"/>
      <c r="L202" s="56" t="s">
        <v>2289</v>
      </c>
      <c r="M202" s="61" t="s">
        <v>373</v>
      </c>
      <c r="N202" s="58" t="s">
        <v>3194</v>
      </c>
      <c r="P202" s="55" t="b">
        <f t="shared" si="1"/>
        <v>0</v>
      </c>
    </row>
    <row r="203" ht="15.0" customHeight="1">
      <c r="A203" s="56" t="s">
        <v>137</v>
      </c>
      <c r="B203" s="56" t="s">
        <v>3195</v>
      </c>
      <c r="C203" s="57" t="s">
        <v>3196</v>
      </c>
      <c r="D203" s="56" t="s">
        <v>1161</v>
      </c>
      <c r="E203" s="56" t="s">
        <v>2286</v>
      </c>
      <c r="F203" s="56" t="s">
        <v>3197</v>
      </c>
      <c r="G203" s="56" t="s">
        <v>399</v>
      </c>
      <c r="H203" s="56" t="s">
        <v>366</v>
      </c>
      <c r="I203" s="56" t="s">
        <v>381</v>
      </c>
      <c r="J203" s="56" t="s">
        <v>761</v>
      </c>
      <c r="K203" s="59"/>
      <c r="L203" s="56" t="s">
        <v>2305</v>
      </c>
      <c r="M203" s="61" t="s">
        <v>373</v>
      </c>
      <c r="N203" s="58" t="s">
        <v>3198</v>
      </c>
      <c r="P203" s="55" t="b">
        <f t="shared" si="1"/>
        <v>0</v>
      </c>
    </row>
    <row r="204" ht="15.0" customHeight="1">
      <c r="A204" s="56" t="s">
        <v>137</v>
      </c>
      <c r="B204" s="56" t="s">
        <v>3195</v>
      </c>
      <c r="C204" s="57" t="s">
        <v>3196</v>
      </c>
      <c r="D204" s="58">
        <v>6.305742994E9</v>
      </c>
      <c r="E204" s="56" t="s">
        <v>390</v>
      </c>
      <c r="F204" s="56" t="s">
        <v>3199</v>
      </c>
      <c r="G204" s="56" t="s">
        <v>399</v>
      </c>
      <c r="H204" s="56" t="s">
        <v>413</v>
      </c>
      <c r="I204" s="62" t="s">
        <v>2288</v>
      </c>
      <c r="J204" s="59"/>
      <c r="K204" s="59"/>
      <c r="L204" s="56" t="s">
        <v>2305</v>
      </c>
      <c r="M204" s="61" t="s">
        <v>2362</v>
      </c>
      <c r="N204" s="58" t="s">
        <v>3200</v>
      </c>
      <c r="P204" s="55" t="b">
        <f t="shared" si="1"/>
        <v>0</v>
      </c>
    </row>
    <row r="205" ht="15.0" customHeight="1">
      <c r="A205" s="56" t="s">
        <v>302</v>
      </c>
      <c r="B205" s="56" t="s">
        <v>1166</v>
      </c>
      <c r="C205" s="57" t="s">
        <v>1167</v>
      </c>
      <c r="D205" s="56" t="s">
        <v>1168</v>
      </c>
      <c r="E205" s="56" t="s">
        <v>390</v>
      </c>
      <c r="F205" s="56" t="s">
        <v>3201</v>
      </c>
      <c r="G205" s="56" t="s">
        <v>364</v>
      </c>
      <c r="H205" s="56" t="s">
        <v>366</v>
      </c>
      <c r="I205" s="56" t="s">
        <v>381</v>
      </c>
      <c r="J205" s="56" t="s">
        <v>3202</v>
      </c>
      <c r="K205" s="59"/>
      <c r="L205" s="56" t="s">
        <v>2305</v>
      </c>
      <c r="M205" s="61" t="s">
        <v>373</v>
      </c>
      <c r="N205" s="58" t="s">
        <v>3203</v>
      </c>
      <c r="P205" s="55" t="b">
        <f t="shared" si="1"/>
        <v>0</v>
      </c>
    </row>
    <row r="206" ht="15.0" customHeight="1">
      <c r="A206" s="56" t="s">
        <v>138</v>
      </c>
      <c r="B206" s="56" t="s">
        <v>1174</v>
      </c>
      <c r="C206" s="57" t="s">
        <v>1175</v>
      </c>
      <c r="D206" s="56" t="s">
        <v>1176</v>
      </c>
      <c r="E206" s="56" t="s">
        <v>390</v>
      </c>
      <c r="F206" s="56" t="s">
        <v>2938</v>
      </c>
      <c r="G206" s="56" t="s">
        <v>364</v>
      </c>
      <c r="H206" s="56" t="s">
        <v>366</v>
      </c>
      <c r="I206" s="56" t="s">
        <v>2283</v>
      </c>
      <c r="J206" s="56" t="s">
        <v>1436</v>
      </c>
      <c r="K206" s="59"/>
      <c r="L206" s="56" t="s">
        <v>2284</v>
      </c>
      <c r="M206" s="61" t="s">
        <v>373</v>
      </c>
      <c r="N206" s="58" t="s">
        <v>3204</v>
      </c>
      <c r="P206" s="55" t="b">
        <f t="shared" si="1"/>
        <v>0</v>
      </c>
    </row>
    <row r="207" ht="15.0" customHeight="1">
      <c r="A207" s="56" t="s">
        <v>3205</v>
      </c>
      <c r="B207" s="56" t="s">
        <v>3206</v>
      </c>
      <c r="C207" s="57" t="s">
        <v>3207</v>
      </c>
      <c r="D207" s="56" t="s">
        <v>3208</v>
      </c>
      <c r="E207" s="56" t="s">
        <v>459</v>
      </c>
      <c r="F207" s="56" t="s">
        <v>3209</v>
      </c>
      <c r="G207" s="56" t="s">
        <v>399</v>
      </c>
      <c r="H207" s="56" t="s">
        <v>366</v>
      </c>
      <c r="I207" s="56" t="s">
        <v>2510</v>
      </c>
      <c r="J207" s="56" t="s">
        <v>2746</v>
      </c>
      <c r="K207" s="59"/>
      <c r="L207" s="56" t="s">
        <v>2289</v>
      </c>
      <c r="M207" s="61" t="s">
        <v>373</v>
      </c>
      <c r="N207" s="58" t="s">
        <v>3210</v>
      </c>
      <c r="P207" s="55" t="b">
        <f t="shared" si="1"/>
        <v>0</v>
      </c>
    </row>
    <row r="208" ht="15.0" customHeight="1">
      <c r="A208" s="56" t="s">
        <v>303</v>
      </c>
      <c r="B208" s="56" t="s">
        <v>1180</v>
      </c>
      <c r="C208" s="57" t="s">
        <v>1181</v>
      </c>
      <c r="D208" s="58">
        <v>2.817722655E9</v>
      </c>
      <c r="E208" s="56" t="s">
        <v>390</v>
      </c>
      <c r="F208" s="56" t="s">
        <v>2463</v>
      </c>
      <c r="G208" s="56" t="s">
        <v>364</v>
      </c>
      <c r="H208" s="56" t="s">
        <v>366</v>
      </c>
      <c r="I208" s="56" t="s">
        <v>381</v>
      </c>
      <c r="J208" s="56" t="s">
        <v>3211</v>
      </c>
      <c r="K208" s="59"/>
      <c r="L208" s="56" t="s">
        <v>2305</v>
      </c>
      <c r="M208" s="61" t="s">
        <v>373</v>
      </c>
      <c r="N208" s="58" t="s">
        <v>3212</v>
      </c>
      <c r="P208" s="55" t="b">
        <f t="shared" si="1"/>
        <v>0</v>
      </c>
    </row>
    <row r="209" ht="15.0" customHeight="1">
      <c r="A209" s="56" t="s">
        <v>1184</v>
      </c>
      <c r="B209" s="56" t="s">
        <v>1185</v>
      </c>
      <c r="C209" s="57" t="s">
        <v>1186</v>
      </c>
      <c r="D209" s="56" t="s">
        <v>3213</v>
      </c>
      <c r="E209" s="56" t="s">
        <v>634</v>
      </c>
      <c r="F209" s="56" t="s">
        <v>3214</v>
      </c>
      <c r="G209" s="56" t="s">
        <v>364</v>
      </c>
      <c r="H209" s="56" t="s">
        <v>413</v>
      </c>
      <c r="I209" s="56" t="s">
        <v>2283</v>
      </c>
      <c r="J209" s="56" t="s">
        <v>401</v>
      </c>
      <c r="K209" s="59"/>
      <c r="L209" s="56" t="s">
        <v>2284</v>
      </c>
      <c r="M209" s="61" t="s">
        <v>373</v>
      </c>
      <c r="N209" s="58" t="s">
        <v>3215</v>
      </c>
      <c r="P209" s="55" t="b">
        <f t="shared" si="1"/>
        <v>0</v>
      </c>
    </row>
    <row r="210" ht="15.0" customHeight="1">
      <c r="A210" s="56" t="s">
        <v>1196</v>
      </c>
      <c r="B210" s="56" t="s">
        <v>3216</v>
      </c>
      <c r="C210" s="57" t="s">
        <v>3217</v>
      </c>
      <c r="D210" s="56" t="s">
        <v>3218</v>
      </c>
      <c r="E210" s="56" t="s">
        <v>2286</v>
      </c>
      <c r="F210" s="56" t="s">
        <v>2287</v>
      </c>
      <c r="G210" s="56" t="s">
        <v>364</v>
      </c>
      <c r="H210" s="56" t="s">
        <v>366</v>
      </c>
      <c r="I210" s="56" t="s">
        <v>483</v>
      </c>
      <c r="J210" s="56" t="s">
        <v>606</v>
      </c>
      <c r="K210" s="59"/>
      <c r="L210" s="56" t="s">
        <v>2305</v>
      </c>
      <c r="M210" s="61" t="s">
        <v>373</v>
      </c>
      <c r="N210" s="58" t="s">
        <v>3219</v>
      </c>
      <c r="P210" s="55" t="b">
        <f t="shared" si="1"/>
        <v>0</v>
      </c>
    </row>
    <row r="211" ht="15.0" customHeight="1">
      <c r="A211" s="56" t="s">
        <v>1202</v>
      </c>
      <c r="B211" s="56" t="s">
        <v>3220</v>
      </c>
      <c r="C211" s="57" t="s">
        <v>3221</v>
      </c>
      <c r="D211" s="56" t="s">
        <v>3222</v>
      </c>
      <c r="E211" s="56" t="s">
        <v>390</v>
      </c>
      <c r="F211" s="56" t="s">
        <v>3223</v>
      </c>
      <c r="G211" s="56" t="s">
        <v>399</v>
      </c>
      <c r="H211" s="56" t="s">
        <v>513</v>
      </c>
      <c r="I211" s="56" t="s">
        <v>497</v>
      </c>
      <c r="J211" s="56" t="s">
        <v>3224</v>
      </c>
      <c r="K211" s="59"/>
      <c r="L211" s="56" t="s">
        <v>2305</v>
      </c>
      <c r="M211" s="61" t="s">
        <v>373</v>
      </c>
      <c r="N211" s="58" t="s">
        <v>2639</v>
      </c>
      <c r="P211" s="55" t="b">
        <f t="shared" si="1"/>
        <v>1</v>
      </c>
    </row>
    <row r="212" ht="15.0" customHeight="1">
      <c r="A212" s="56" t="s">
        <v>3225</v>
      </c>
      <c r="B212" s="56" t="s">
        <v>3226</v>
      </c>
      <c r="C212" s="57" t="s">
        <v>3227</v>
      </c>
      <c r="D212" s="58">
        <v>2.173061224E9</v>
      </c>
      <c r="E212" s="56" t="s">
        <v>2286</v>
      </c>
      <c r="F212" s="56" t="s">
        <v>3199</v>
      </c>
      <c r="G212" s="56" t="s">
        <v>399</v>
      </c>
      <c r="H212" s="56" t="s">
        <v>413</v>
      </c>
      <c r="I212" s="56" t="s">
        <v>2293</v>
      </c>
      <c r="J212" s="56" t="s">
        <v>3228</v>
      </c>
      <c r="K212" s="59"/>
      <c r="L212" s="56" t="s">
        <v>2284</v>
      </c>
      <c r="M212" s="61" t="s">
        <v>373</v>
      </c>
      <c r="N212" s="58" t="s">
        <v>3229</v>
      </c>
      <c r="P212" s="55" t="b">
        <f t="shared" si="1"/>
        <v>0</v>
      </c>
    </row>
    <row r="213" ht="15.0" customHeight="1">
      <c r="A213" s="56" t="s">
        <v>3230</v>
      </c>
      <c r="B213" s="56" t="s">
        <v>3231</v>
      </c>
      <c r="C213" s="57" t="s">
        <v>3232</v>
      </c>
      <c r="D213" s="58">
        <v>8.322902217E9</v>
      </c>
      <c r="E213" s="56" t="s">
        <v>410</v>
      </c>
      <c r="F213" s="56" t="s">
        <v>3233</v>
      </c>
      <c r="G213" s="56" t="s">
        <v>379</v>
      </c>
      <c r="H213" s="56" t="s">
        <v>413</v>
      </c>
      <c r="I213" s="56" t="s">
        <v>483</v>
      </c>
      <c r="J213" s="56" t="s">
        <v>574</v>
      </c>
      <c r="K213" s="59"/>
      <c r="L213" s="56" t="s">
        <v>2305</v>
      </c>
      <c r="M213" s="61" t="s">
        <v>373</v>
      </c>
      <c r="N213" s="58" t="s">
        <v>3234</v>
      </c>
      <c r="P213" s="55" t="b">
        <f t="shared" si="1"/>
        <v>0</v>
      </c>
    </row>
    <row r="214" ht="15.0" customHeight="1">
      <c r="A214" s="56" t="s">
        <v>305</v>
      </c>
      <c r="B214" s="56" t="s">
        <v>1221</v>
      </c>
      <c r="C214" s="57" t="s">
        <v>1222</v>
      </c>
      <c r="D214" s="56" t="s">
        <v>1223</v>
      </c>
      <c r="E214" s="56" t="s">
        <v>2286</v>
      </c>
      <c r="F214" s="56" t="s">
        <v>3235</v>
      </c>
      <c r="G214" s="56" t="s">
        <v>364</v>
      </c>
      <c r="H214" s="56" t="s">
        <v>366</v>
      </c>
      <c r="I214" s="56" t="s">
        <v>483</v>
      </c>
      <c r="J214" s="56" t="s">
        <v>3236</v>
      </c>
      <c r="K214" s="59"/>
      <c r="L214" s="56" t="s">
        <v>2305</v>
      </c>
      <c r="M214" s="61" t="s">
        <v>373</v>
      </c>
      <c r="N214" s="58" t="s">
        <v>3237</v>
      </c>
      <c r="P214" s="55" t="b">
        <f t="shared" si="1"/>
        <v>0</v>
      </c>
    </row>
    <row r="215" ht="15.0" customHeight="1">
      <c r="A215" s="56" t="s">
        <v>144</v>
      </c>
      <c r="B215" s="56" t="s">
        <v>3238</v>
      </c>
      <c r="C215" s="57" t="s">
        <v>3239</v>
      </c>
      <c r="D215" s="58">
        <v>6.105136843E9</v>
      </c>
      <c r="E215" s="56" t="s">
        <v>390</v>
      </c>
      <c r="F215" s="56" t="s">
        <v>2463</v>
      </c>
      <c r="G215" s="56" t="s">
        <v>364</v>
      </c>
      <c r="H215" s="56" t="s">
        <v>413</v>
      </c>
      <c r="I215" s="56" t="s">
        <v>2288</v>
      </c>
      <c r="J215" s="56" t="s">
        <v>3240</v>
      </c>
      <c r="K215" s="59"/>
      <c r="L215" s="56" t="s">
        <v>2289</v>
      </c>
      <c r="M215" s="61" t="s">
        <v>373</v>
      </c>
      <c r="N215" s="58" t="s">
        <v>3241</v>
      </c>
      <c r="P215" s="55" t="b">
        <f t="shared" si="1"/>
        <v>0</v>
      </c>
    </row>
    <row r="216" ht="15.0" customHeight="1">
      <c r="A216" s="56" t="s">
        <v>3242</v>
      </c>
      <c r="B216" s="56" t="s">
        <v>3243</v>
      </c>
      <c r="C216" s="57" t="s">
        <v>3244</v>
      </c>
      <c r="D216" s="56" t="s">
        <v>3245</v>
      </c>
      <c r="E216" s="56" t="s">
        <v>2931</v>
      </c>
      <c r="F216" s="56" t="s">
        <v>3246</v>
      </c>
      <c r="G216" s="56" t="s">
        <v>2194</v>
      </c>
      <c r="H216" s="56" t="s">
        <v>513</v>
      </c>
      <c r="I216" s="56" t="s">
        <v>2288</v>
      </c>
      <c r="J216" s="56" t="s">
        <v>1409</v>
      </c>
      <c r="K216" s="59"/>
      <c r="L216" s="56" t="s">
        <v>2289</v>
      </c>
      <c r="M216" s="61" t="s">
        <v>373</v>
      </c>
      <c r="N216" s="58" t="s">
        <v>3247</v>
      </c>
      <c r="P216" s="55" t="b">
        <f t="shared" si="1"/>
        <v>1</v>
      </c>
    </row>
    <row r="217" ht="15.0" customHeight="1">
      <c r="A217" s="56" t="s">
        <v>3248</v>
      </c>
      <c r="B217" s="56" t="s">
        <v>3249</v>
      </c>
      <c r="C217" s="57" t="s">
        <v>3250</v>
      </c>
      <c r="D217" s="56" t="s">
        <v>3251</v>
      </c>
      <c r="E217" s="56" t="s">
        <v>452</v>
      </c>
      <c r="F217" s="56" t="s">
        <v>3252</v>
      </c>
      <c r="G217" s="56" t="s">
        <v>364</v>
      </c>
      <c r="H217" s="56" t="s">
        <v>366</v>
      </c>
      <c r="I217" s="56" t="s">
        <v>2288</v>
      </c>
      <c r="J217" s="56" t="s">
        <v>534</v>
      </c>
      <c r="K217" s="59"/>
      <c r="L217" s="56" t="s">
        <v>2289</v>
      </c>
      <c r="M217" s="61" t="s">
        <v>373</v>
      </c>
      <c r="N217" s="58" t="s">
        <v>3253</v>
      </c>
      <c r="P217" s="55" t="b">
        <f t="shared" si="1"/>
        <v>0</v>
      </c>
    </row>
    <row r="218" ht="15.0" customHeight="1">
      <c r="A218" s="56" t="s">
        <v>3254</v>
      </c>
      <c r="B218" s="56" t="s">
        <v>3255</v>
      </c>
      <c r="C218" s="57" t="s">
        <v>3256</v>
      </c>
      <c r="D218" s="56" t="s">
        <v>3257</v>
      </c>
      <c r="E218" s="56" t="s">
        <v>452</v>
      </c>
      <c r="F218" s="56" t="s">
        <v>3258</v>
      </c>
      <c r="G218" s="56" t="s">
        <v>364</v>
      </c>
      <c r="H218" s="56" t="s">
        <v>366</v>
      </c>
      <c r="I218" s="56" t="s">
        <v>2283</v>
      </c>
      <c r="J218" s="56" t="s">
        <v>1817</v>
      </c>
      <c r="K218" s="59"/>
      <c r="L218" s="56" t="s">
        <v>2284</v>
      </c>
      <c r="M218" s="61" t="s">
        <v>373</v>
      </c>
      <c r="N218" s="58" t="s">
        <v>3259</v>
      </c>
      <c r="P218" s="55" t="b">
        <f t="shared" si="1"/>
        <v>0</v>
      </c>
    </row>
    <row r="219" ht="15.0" customHeight="1">
      <c r="A219" s="56" t="s">
        <v>145</v>
      </c>
      <c r="B219" s="56" t="s">
        <v>3260</v>
      </c>
      <c r="C219" s="57" t="s">
        <v>3261</v>
      </c>
      <c r="D219" s="56" t="s">
        <v>3262</v>
      </c>
      <c r="E219" s="56" t="s">
        <v>2286</v>
      </c>
      <c r="F219" s="56" t="s">
        <v>2880</v>
      </c>
      <c r="G219" s="56" t="s">
        <v>364</v>
      </c>
      <c r="H219" s="56" t="s">
        <v>366</v>
      </c>
      <c r="I219" s="56" t="s">
        <v>497</v>
      </c>
      <c r="J219" s="56" t="s">
        <v>3263</v>
      </c>
      <c r="K219" s="59"/>
      <c r="L219" s="56" t="s">
        <v>2305</v>
      </c>
      <c r="M219" s="61" t="s">
        <v>373</v>
      </c>
      <c r="N219" s="58" t="s">
        <v>3264</v>
      </c>
      <c r="P219" s="55" t="b">
        <f t="shared" si="1"/>
        <v>0</v>
      </c>
    </row>
    <row r="220" ht="15.0" customHeight="1">
      <c r="A220" s="56" t="s">
        <v>3265</v>
      </c>
      <c r="B220" s="56" t="s">
        <v>3266</v>
      </c>
      <c r="C220" s="57" t="s">
        <v>3267</v>
      </c>
      <c r="D220" s="56" t="s">
        <v>3268</v>
      </c>
      <c r="E220" s="56" t="s">
        <v>390</v>
      </c>
      <c r="F220" s="56" t="s">
        <v>3269</v>
      </c>
      <c r="G220" s="56" t="s">
        <v>379</v>
      </c>
      <c r="H220" s="56" t="s">
        <v>366</v>
      </c>
      <c r="I220" s="56" t="s">
        <v>2510</v>
      </c>
      <c r="J220" s="56" t="s">
        <v>3270</v>
      </c>
      <c r="K220" s="59"/>
      <c r="L220" s="56" t="s">
        <v>2289</v>
      </c>
      <c r="M220" s="61" t="s">
        <v>373</v>
      </c>
      <c r="N220" s="58" t="s">
        <v>3271</v>
      </c>
      <c r="P220" s="55" t="b">
        <f t="shared" si="1"/>
        <v>0</v>
      </c>
    </row>
    <row r="221" ht="15.0" customHeight="1">
      <c r="A221" s="56" t="s">
        <v>306</v>
      </c>
      <c r="B221" s="56" t="s">
        <v>3272</v>
      </c>
      <c r="C221" s="57" t="s">
        <v>3273</v>
      </c>
      <c r="D221" s="56" t="s">
        <v>3274</v>
      </c>
      <c r="E221" s="56" t="s">
        <v>390</v>
      </c>
      <c r="F221" s="56" t="s">
        <v>3275</v>
      </c>
      <c r="G221" s="56" t="s">
        <v>364</v>
      </c>
      <c r="H221" s="56" t="s">
        <v>413</v>
      </c>
      <c r="I221" s="56" t="s">
        <v>2283</v>
      </c>
      <c r="J221" s="56" t="s">
        <v>3131</v>
      </c>
      <c r="K221" s="59"/>
      <c r="L221" s="56" t="s">
        <v>2284</v>
      </c>
      <c r="M221" s="61" t="s">
        <v>373</v>
      </c>
      <c r="N221" s="58" t="s">
        <v>3276</v>
      </c>
      <c r="P221" s="55" t="b">
        <f t="shared" si="1"/>
        <v>0</v>
      </c>
    </row>
    <row r="222" ht="15.0" customHeight="1">
      <c r="A222" s="56" t="s">
        <v>3277</v>
      </c>
      <c r="B222" s="56" t="s">
        <v>3278</v>
      </c>
      <c r="C222" s="57" t="s">
        <v>3279</v>
      </c>
      <c r="D222" s="58">
        <v>3.169251333E9</v>
      </c>
      <c r="E222" s="56" t="s">
        <v>452</v>
      </c>
      <c r="F222" s="56" t="s">
        <v>676</v>
      </c>
      <c r="G222" s="56" t="s">
        <v>399</v>
      </c>
      <c r="H222" s="56" t="s">
        <v>366</v>
      </c>
      <c r="I222" s="56" t="s">
        <v>381</v>
      </c>
      <c r="J222" s="56" t="s">
        <v>371</v>
      </c>
      <c r="K222" s="59"/>
      <c r="L222" s="56" t="s">
        <v>2305</v>
      </c>
      <c r="M222" s="61" t="s">
        <v>373</v>
      </c>
      <c r="N222" s="58" t="s">
        <v>3280</v>
      </c>
      <c r="P222" s="55" t="b">
        <f t="shared" si="1"/>
        <v>0</v>
      </c>
    </row>
    <row r="223" ht="15.0" customHeight="1">
      <c r="A223" s="56" t="s">
        <v>3281</v>
      </c>
      <c r="B223" s="56" t="s">
        <v>3282</v>
      </c>
      <c r="C223" s="57" t="s">
        <v>3283</v>
      </c>
      <c r="D223" s="56" t="s">
        <v>3284</v>
      </c>
      <c r="E223" s="56" t="s">
        <v>410</v>
      </c>
      <c r="F223" s="56" t="s">
        <v>1554</v>
      </c>
      <c r="G223" s="56" t="s">
        <v>399</v>
      </c>
      <c r="H223" s="56" t="s">
        <v>366</v>
      </c>
      <c r="I223" s="62" t="s">
        <v>381</v>
      </c>
      <c r="J223" s="59"/>
      <c r="K223" s="59"/>
      <c r="L223" s="56" t="s">
        <v>2305</v>
      </c>
      <c r="M223" s="61" t="s">
        <v>394</v>
      </c>
      <c r="N223" s="58" t="s">
        <v>3285</v>
      </c>
      <c r="P223" s="55" t="b">
        <f t="shared" si="1"/>
        <v>0</v>
      </c>
    </row>
    <row r="224" ht="15.0" customHeight="1">
      <c r="A224" s="56" t="s">
        <v>307</v>
      </c>
      <c r="B224" s="56" t="s">
        <v>1242</v>
      </c>
      <c r="C224" s="57" t="s">
        <v>1243</v>
      </c>
      <c r="D224" s="58">
        <v>4.016421733E9</v>
      </c>
      <c r="E224" s="56" t="s">
        <v>2850</v>
      </c>
      <c r="F224" s="56" t="s">
        <v>2975</v>
      </c>
      <c r="G224" s="56" t="s">
        <v>379</v>
      </c>
      <c r="H224" s="56" t="s">
        <v>366</v>
      </c>
      <c r="I224" s="56" t="s">
        <v>3286</v>
      </c>
      <c r="J224" s="56" t="s">
        <v>3287</v>
      </c>
      <c r="K224" s="59"/>
      <c r="L224" s="56" t="s">
        <v>2284</v>
      </c>
      <c r="M224" s="61" t="s">
        <v>373</v>
      </c>
      <c r="N224" s="58" t="s">
        <v>2697</v>
      </c>
      <c r="P224" s="55" t="b">
        <f t="shared" si="1"/>
        <v>0</v>
      </c>
    </row>
    <row r="225" ht="15.0" customHeight="1">
      <c r="A225" s="56" t="s">
        <v>3288</v>
      </c>
      <c r="B225" s="56" t="s">
        <v>3289</v>
      </c>
      <c r="C225" s="57" t="s">
        <v>3290</v>
      </c>
      <c r="D225" s="56" t="s">
        <v>3291</v>
      </c>
      <c r="E225" s="56" t="s">
        <v>2850</v>
      </c>
      <c r="F225" s="56" t="s">
        <v>362</v>
      </c>
      <c r="G225" s="56" t="s">
        <v>399</v>
      </c>
      <c r="H225" s="56" t="s">
        <v>413</v>
      </c>
      <c r="I225" s="56" t="s">
        <v>381</v>
      </c>
      <c r="J225" s="56" t="s">
        <v>424</v>
      </c>
      <c r="K225" s="59"/>
      <c r="L225" s="56" t="s">
        <v>2305</v>
      </c>
      <c r="M225" s="61" t="s">
        <v>373</v>
      </c>
      <c r="N225" s="58" t="s">
        <v>3292</v>
      </c>
      <c r="P225" s="55" t="b">
        <f t="shared" si="1"/>
        <v>0</v>
      </c>
    </row>
    <row r="226" ht="15.0" customHeight="1">
      <c r="A226" s="56" t="s">
        <v>1248</v>
      </c>
      <c r="B226" s="56" t="s">
        <v>1249</v>
      </c>
      <c r="C226" s="57" t="s">
        <v>1250</v>
      </c>
      <c r="D226" s="56" t="s">
        <v>3293</v>
      </c>
      <c r="E226" s="56" t="s">
        <v>452</v>
      </c>
      <c r="F226" s="56" t="s">
        <v>2491</v>
      </c>
      <c r="G226" s="56" t="s">
        <v>364</v>
      </c>
      <c r="H226" s="56" t="s">
        <v>366</v>
      </c>
      <c r="I226" s="56" t="s">
        <v>2288</v>
      </c>
      <c r="J226" s="56" t="s">
        <v>1619</v>
      </c>
      <c r="K226" s="59"/>
      <c r="L226" s="56" t="s">
        <v>2289</v>
      </c>
      <c r="M226" s="61" t="s">
        <v>373</v>
      </c>
      <c r="N226" s="58" t="s">
        <v>3294</v>
      </c>
      <c r="P226" s="55" t="b">
        <f t="shared" si="1"/>
        <v>0</v>
      </c>
    </row>
    <row r="227" ht="15.0" customHeight="1">
      <c r="A227" s="56" t="s">
        <v>3295</v>
      </c>
      <c r="B227" s="56" t="s">
        <v>3296</v>
      </c>
      <c r="C227" s="57" t="s">
        <v>3297</v>
      </c>
      <c r="D227" s="58">
        <v>2.817063262E9</v>
      </c>
      <c r="E227" s="56" t="s">
        <v>390</v>
      </c>
      <c r="F227" s="56" t="s">
        <v>3298</v>
      </c>
      <c r="G227" s="56" t="s">
        <v>364</v>
      </c>
      <c r="H227" s="56" t="s">
        <v>366</v>
      </c>
      <c r="I227" s="56" t="s">
        <v>2283</v>
      </c>
      <c r="J227" s="56" t="s">
        <v>3299</v>
      </c>
      <c r="K227" s="59"/>
      <c r="L227" s="56" t="s">
        <v>2284</v>
      </c>
      <c r="M227" s="61" t="s">
        <v>373</v>
      </c>
      <c r="N227" s="58" t="s">
        <v>2564</v>
      </c>
      <c r="P227" s="55" t="b">
        <f t="shared" si="1"/>
        <v>0</v>
      </c>
    </row>
    <row r="228" ht="15.0" customHeight="1">
      <c r="A228" s="56" t="s">
        <v>147</v>
      </c>
      <c r="B228" s="56" t="s">
        <v>1254</v>
      </c>
      <c r="C228" s="57" t="s">
        <v>1255</v>
      </c>
      <c r="D228" s="58">
        <v>8.306249247E9</v>
      </c>
      <c r="E228" s="56" t="s">
        <v>2286</v>
      </c>
      <c r="F228" s="56" t="s">
        <v>2286</v>
      </c>
      <c r="G228" s="56" t="s">
        <v>399</v>
      </c>
      <c r="H228" s="56" t="s">
        <v>413</v>
      </c>
      <c r="I228" s="56" t="s">
        <v>2288</v>
      </c>
      <c r="J228" s="56" t="s">
        <v>3300</v>
      </c>
      <c r="K228" s="59"/>
      <c r="L228" s="56" t="s">
        <v>2289</v>
      </c>
      <c r="M228" s="61" t="s">
        <v>373</v>
      </c>
      <c r="N228" s="58" t="s">
        <v>3301</v>
      </c>
      <c r="P228" s="55" t="b">
        <f t="shared" si="1"/>
        <v>0</v>
      </c>
    </row>
    <row r="229" ht="15.0" customHeight="1">
      <c r="A229" s="56" t="s">
        <v>3302</v>
      </c>
      <c r="B229" s="56" t="s">
        <v>3303</v>
      </c>
      <c r="C229" s="57" t="s">
        <v>3304</v>
      </c>
      <c r="D229" s="56" t="s">
        <v>3305</v>
      </c>
      <c r="E229" s="56" t="s">
        <v>390</v>
      </c>
      <c r="F229" s="56" t="s">
        <v>390</v>
      </c>
      <c r="G229" s="56" t="s">
        <v>379</v>
      </c>
      <c r="H229" s="56" t="s">
        <v>366</v>
      </c>
      <c r="I229" s="56" t="s">
        <v>2288</v>
      </c>
      <c r="J229" s="56" t="s">
        <v>3306</v>
      </c>
      <c r="K229" s="59"/>
      <c r="L229" s="56" t="s">
        <v>2289</v>
      </c>
      <c r="M229" s="61" t="s">
        <v>373</v>
      </c>
      <c r="N229" s="58" t="s">
        <v>3307</v>
      </c>
      <c r="P229" s="55" t="b">
        <f t="shared" si="1"/>
        <v>0</v>
      </c>
    </row>
    <row r="230" ht="15.0" customHeight="1">
      <c r="A230" s="56" t="s">
        <v>3308</v>
      </c>
      <c r="B230" s="56" t="s">
        <v>3309</v>
      </c>
      <c r="C230" s="57" t="s">
        <v>3310</v>
      </c>
      <c r="D230" s="58">
        <v>9.714707562E9</v>
      </c>
      <c r="E230" s="56" t="s">
        <v>390</v>
      </c>
      <c r="F230" s="56" t="s">
        <v>3311</v>
      </c>
      <c r="G230" s="56" t="s">
        <v>379</v>
      </c>
      <c r="H230" s="56" t="s">
        <v>366</v>
      </c>
      <c r="I230" s="56" t="s">
        <v>2283</v>
      </c>
      <c r="J230" s="56" t="s">
        <v>3124</v>
      </c>
      <c r="K230" s="59"/>
      <c r="L230" s="56" t="s">
        <v>2284</v>
      </c>
      <c r="M230" s="61" t="s">
        <v>373</v>
      </c>
      <c r="N230" s="58" t="s">
        <v>3312</v>
      </c>
      <c r="P230" s="55" t="b">
        <f t="shared" si="1"/>
        <v>0</v>
      </c>
    </row>
    <row r="231" ht="15.0" customHeight="1">
      <c r="A231" s="56" t="s">
        <v>3313</v>
      </c>
      <c r="B231" s="56" t="s">
        <v>3314</v>
      </c>
      <c r="C231" s="57" t="s">
        <v>3315</v>
      </c>
      <c r="D231" s="56" t="s">
        <v>3316</v>
      </c>
      <c r="E231" s="56" t="s">
        <v>390</v>
      </c>
      <c r="F231" s="56" t="s">
        <v>3317</v>
      </c>
      <c r="G231" s="56" t="s">
        <v>379</v>
      </c>
      <c r="H231" s="56" t="s">
        <v>366</v>
      </c>
      <c r="I231" s="56" t="s">
        <v>497</v>
      </c>
      <c r="J231" s="56" t="s">
        <v>3318</v>
      </c>
      <c r="K231" s="59"/>
      <c r="L231" s="56" t="s">
        <v>2305</v>
      </c>
      <c r="M231" s="61" t="s">
        <v>373</v>
      </c>
      <c r="N231" s="58" t="s">
        <v>3319</v>
      </c>
      <c r="P231" s="55" t="b">
        <f t="shared" si="1"/>
        <v>0</v>
      </c>
    </row>
    <row r="232" ht="15.0" customHeight="1">
      <c r="A232" s="56" t="s">
        <v>3320</v>
      </c>
      <c r="B232" s="56" t="s">
        <v>3321</v>
      </c>
      <c r="C232" s="57" t="s">
        <v>3322</v>
      </c>
      <c r="D232" s="58">
        <v>2.162584345E9</v>
      </c>
      <c r="E232" s="56" t="s">
        <v>1598</v>
      </c>
      <c r="F232" s="56" t="s">
        <v>3323</v>
      </c>
      <c r="G232" s="56" t="s">
        <v>364</v>
      </c>
      <c r="H232" s="56" t="s">
        <v>413</v>
      </c>
      <c r="I232" s="56" t="s">
        <v>381</v>
      </c>
      <c r="J232" s="56" t="s">
        <v>3324</v>
      </c>
      <c r="K232" s="59"/>
      <c r="L232" s="56" t="s">
        <v>2305</v>
      </c>
      <c r="M232" s="61" t="s">
        <v>373</v>
      </c>
      <c r="N232" s="58" t="s">
        <v>3325</v>
      </c>
      <c r="P232" s="55" t="b">
        <f t="shared" si="1"/>
        <v>0</v>
      </c>
    </row>
    <row r="233" ht="15.0" customHeight="1">
      <c r="A233" s="56" t="s">
        <v>150</v>
      </c>
      <c r="B233" s="56" t="s">
        <v>1270</v>
      </c>
      <c r="C233" s="57" t="s">
        <v>3326</v>
      </c>
      <c r="D233" s="58">
        <v>7.133388058E9</v>
      </c>
      <c r="E233" s="56" t="s">
        <v>2286</v>
      </c>
      <c r="F233" s="56" t="s">
        <v>2286</v>
      </c>
      <c r="G233" s="56" t="s">
        <v>364</v>
      </c>
      <c r="H233" s="56" t="s">
        <v>513</v>
      </c>
      <c r="I233" s="56" t="s">
        <v>2283</v>
      </c>
      <c r="J233" s="56" t="s">
        <v>718</v>
      </c>
      <c r="K233" s="59"/>
      <c r="L233" s="56" t="s">
        <v>2284</v>
      </c>
      <c r="M233" s="61" t="s">
        <v>373</v>
      </c>
      <c r="N233" s="58" t="s">
        <v>3327</v>
      </c>
      <c r="P233" s="55" t="b">
        <f t="shared" si="1"/>
        <v>1</v>
      </c>
    </row>
    <row r="234" ht="15.0" customHeight="1">
      <c r="A234" s="56" t="s">
        <v>151</v>
      </c>
      <c r="B234" s="56" t="s">
        <v>1274</v>
      </c>
      <c r="C234" s="57" t="s">
        <v>1275</v>
      </c>
      <c r="D234" s="58">
        <v>7.133035697E9</v>
      </c>
      <c r="E234" s="56" t="s">
        <v>390</v>
      </c>
      <c r="F234" s="56" t="s">
        <v>3328</v>
      </c>
      <c r="G234" s="56" t="s">
        <v>379</v>
      </c>
      <c r="H234" s="56" t="s">
        <v>366</v>
      </c>
      <c r="I234" s="56" t="s">
        <v>497</v>
      </c>
      <c r="J234" s="56" t="s">
        <v>3329</v>
      </c>
      <c r="K234" s="59"/>
      <c r="L234" s="56" t="s">
        <v>2305</v>
      </c>
      <c r="M234" s="61" t="s">
        <v>373</v>
      </c>
      <c r="N234" s="58" t="s">
        <v>3330</v>
      </c>
      <c r="P234" s="55" t="b">
        <f t="shared" si="1"/>
        <v>0</v>
      </c>
    </row>
    <row r="235" ht="15.0" customHeight="1">
      <c r="A235" s="56" t="s">
        <v>152</v>
      </c>
      <c r="B235" s="56" t="s">
        <v>3331</v>
      </c>
      <c r="C235" s="57" t="s">
        <v>3332</v>
      </c>
      <c r="D235" s="58">
        <v>2.148713311E9</v>
      </c>
      <c r="E235" s="56" t="s">
        <v>2286</v>
      </c>
      <c r="F235" s="56" t="s">
        <v>3333</v>
      </c>
      <c r="G235" s="56" t="s">
        <v>364</v>
      </c>
      <c r="H235" s="56" t="s">
        <v>413</v>
      </c>
      <c r="I235" s="56" t="s">
        <v>2288</v>
      </c>
      <c r="J235" s="56" t="s">
        <v>601</v>
      </c>
      <c r="K235" s="59"/>
      <c r="L235" s="56" t="s">
        <v>2289</v>
      </c>
      <c r="M235" s="61" t="s">
        <v>373</v>
      </c>
      <c r="N235" s="58" t="s">
        <v>3334</v>
      </c>
      <c r="P235" s="55" t="b">
        <f t="shared" si="1"/>
        <v>0</v>
      </c>
    </row>
    <row r="236" ht="15.0" customHeight="1">
      <c r="A236" s="56" t="s">
        <v>3335</v>
      </c>
      <c r="B236" s="56" t="s">
        <v>3336</v>
      </c>
      <c r="C236" s="57" t="s">
        <v>3337</v>
      </c>
      <c r="D236" s="58">
        <v>3.463864963E9</v>
      </c>
      <c r="E236" s="56" t="s">
        <v>410</v>
      </c>
      <c r="F236" s="56" t="s">
        <v>3338</v>
      </c>
      <c r="G236" s="56" t="s">
        <v>364</v>
      </c>
      <c r="H236" s="56" t="s">
        <v>513</v>
      </c>
      <c r="I236" s="56" t="s">
        <v>2293</v>
      </c>
      <c r="J236" s="56" t="s">
        <v>3339</v>
      </c>
      <c r="K236" s="59"/>
      <c r="L236" s="56" t="s">
        <v>2284</v>
      </c>
      <c r="M236" s="61" t="s">
        <v>373</v>
      </c>
      <c r="N236" s="58" t="s">
        <v>3340</v>
      </c>
      <c r="P236" s="55" t="b">
        <f t="shared" si="1"/>
        <v>1</v>
      </c>
    </row>
    <row r="237" ht="15.0" customHeight="1">
      <c r="A237" s="56" t="s">
        <v>153</v>
      </c>
      <c r="B237" s="56" t="s">
        <v>3341</v>
      </c>
      <c r="C237" s="57" t="s">
        <v>3342</v>
      </c>
      <c r="D237" s="58">
        <v>5.129095594E9</v>
      </c>
      <c r="E237" s="56" t="s">
        <v>452</v>
      </c>
      <c r="F237" s="56" t="s">
        <v>2447</v>
      </c>
      <c r="G237" s="56" t="s">
        <v>364</v>
      </c>
      <c r="H237" s="56" t="s">
        <v>366</v>
      </c>
      <c r="I237" s="56" t="s">
        <v>483</v>
      </c>
      <c r="J237" s="56" t="s">
        <v>880</v>
      </c>
      <c r="K237" s="59"/>
      <c r="L237" s="56" t="s">
        <v>2305</v>
      </c>
      <c r="M237" s="61" t="s">
        <v>373</v>
      </c>
      <c r="N237" s="58" t="s">
        <v>3343</v>
      </c>
      <c r="P237" s="55" t="b">
        <f t="shared" si="1"/>
        <v>0</v>
      </c>
    </row>
    <row r="238" ht="15.0" customHeight="1">
      <c r="A238" s="56" t="s">
        <v>3344</v>
      </c>
      <c r="B238" s="56" t="s">
        <v>3345</v>
      </c>
      <c r="C238" s="57" t="s">
        <v>3346</v>
      </c>
      <c r="D238" s="56" t="s">
        <v>3347</v>
      </c>
      <c r="E238" s="56" t="s">
        <v>709</v>
      </c>
      <c r="F238" s="56" t="s">
        <v>3348</v>
      </c>
      <c r="G238" s="56" t="s">
        <v>399</v>
      </c>
      <c r="H238" s="56" t="s">
        <v>513</v>
      </c>
      <c r="I238" s="56" t="s">
        <v>2283</v>
      </c>
      <c r="J238" s="56" t="s">
        <v>3349</v>
      </c>
      <c r="K238" s="59"/>
      <c r="L238" s="56" t="s">
        <v>2284</v>
      </c>
      <c r="M238" s="61" t="s">
        <v>373</v>
      </c>
      <c r="N238" s="58" t="s">
        <v>3350</v>
      </c>
      <c r="P238" s="55" t="b">
        <f t="shared" si="1"/>
        <v>1</v>
      </c>
    </row>
    <row r="239" ht="15.0" customHeight="1">
      <c r="A239" s="56" t="s">
        <v>155</v>
      </c>
      <c r="B239" s="56" t="s">
        <v>1297</v>
      </c>
      <c r="C239" s="57" t="s">
        <v>1298</v>
      </c>
      <c r="D239" s="56" t="s">
        <v>1299</v>
      </c>
      <c r="E239" s="56" t="s">
        <v>2286</v>
      </c>
      <c r="F239" s="56" t="s">
        <v>3351</v>
      </c>
      <c r="G239" s="56" t="s">
        <v>364</v>
      </c>
      <c r="H239" s="56" t="s">
        <v>366</v>
      </c>
      <c r="I239" s="56" t="s">
        <v>1301</v>
      </c>
      <c r="J239" s="56" t="s">
        <v>3352</v>
      </c>
      <c r="K239" s="59"/>
      <c r="L239" s="56" t="s">
        <v>2305</v>
      </c>
      <c r="M239" s="61" t="s">
        <v>373</v>
      </c>
      <c r="N239" s="58" t="s">
        <v>3353</v>
      </c>
      <c r="P239" s="55" t="b">
        <f t="shared" si="1"/>
        <v>0</v>
      </c>
    </row>
    <row r="240" ht="15.0" customHeight="1">
      <c r="A240" s="56" t="s">
        <v>156</v>
      </c>
      <c r="B240" s="56" t="s">
        <v>1304</v>
      </c>
      <c r="C240" s="57" t="s">
        <v>1305</v>
      </c>
      <c r="D240" s="58">
        <v>9.132262828E9</v>
      </c>
      <c r="E240" s="56" t="s">
        <v>2286</v>
      </c>
      <c r="F240" s="56" t="s">
        <v>2286</v>
      </c>
      <c r="G240" s="56" t="s">
        <v>399</v>
      </c>
      <c r="H240" s="56" t="s">
        <v>513</v>
      </c>
      <c r="I240" s="56" t="s">
        <v>2283</v>
      </c>
      <c r="J240" s="56" t="s">
        <v>1594</v>
      </c>
      <c r="K240" s="59"/>
      <c r="L240" s="56" t="s">
        <v>2284</v>
      </c>
      <c r="M240" s="61" t="s">
        <v>373</v>
      </c>
      <c r="N240" s="58" t="s">
        <v>3354</v>
      </c>
      <c r="P240" s="55" t="b">
        <f t="shared" si="1"/>
        <v>1</v>
      </c>
    </row>
    <row r="241" ht="15.0" customHeight="1">
      <c r="A241" s="56" t="s">
        <v>1307</v>
      </c>
      <c r="B241" s="56" t="s">
        <v>3355</v>
      </c>
      <c r="C241" s="57" t="s">
        <v>1309</v>
      </c>
      <c r="D241" s="58">
        <v>2.175245315E9</v>
      </c>
      <c r="E241" s="56" t="s">
        <v>2286</v>
      </c>
      <c r="F241" s="56" t="s">
        <v>3356</v>
      </c>
      <c r="G241" s="56" t="s">
        <v>379</v>
      </c>
      <c r="H241" s="56" t="s">
        <v>366</v>
      </c>
      <c r="I241" s="56" t="s">
        <v>2283</v>
      </c>
      <c r="J241" s="56" t="s">
        <v>3357</v>
      </c>
      <c r="K241" s="59"/>
      <c r="L241" s="56" t="s">
        <v>2305</v>
      </c>
      <c r="M241" s="61" t="s">
        <v>373</v>
      </c>
      <c r="N241" s="58" t="s">
        <v>3358</v>
      </c>
      <c r="P241" s="55" t="b">
        <f t="shared" si="1"/>
        <v>0</v>
      </c>
    </row>
    <row r="242" ht="15.0" customHeight="1">
      <c r="A242" s="56" t="s">
        <v>3359</v>
      </c>
      <c r="B242" s="56" t="s">
        <v>3360</v>
      </c>
      <c r="C242" s="57" t="s">
        <v>3361</v>
      </c>
      <c r="D242" s="58">
        <v>3.094306564E9</v>
      </c>
      <c r="E242" s="56" t="s">
        <v>2286</v>
      </c>
      <c r="F242" s="56" t="s">
        <v>2938</v>
      </c>
      <c r="G242" s="56" t="s">
        <v>379</v>
      </c>
      <c r="H242" s="56" t="s">
        <v>413</v>
      </c>
      <c r="I242" s="62" t="s">
        <v>2283</v>
      </c>
      <c r="J242" s="59"/>
      <c r="K242" s="59"/>
      <c r="L242" s="56" t="s">
        <v>2284</v>
      </c>
      <c r="M242" s="61" t="s">
        <v>394</v>
      </c>
      <c r="N242" s="58" t="s">
        <v>3362</v>
      </c>
      <c r="P242" s="55" t="b">
        <f t="shared" si="1"/>
        <v>0</v>
      </c>
    </row>
    <row r="243" ht="15.0" customHeight="1">
      <c r="A243" s="56" t="s">
        <v>309</v>
      </c>
      <c r="B243" s="56" t="s">
        <v>3363</v>
      </c>
      <c r="C243" s="57" t="s">
        <v>3364</v>
      </c>
      <c r="D243" s="58">
        <v>3.462240832E9</v>
      </c>
      <c r="E243" s="56" t="s">
        <v>410</v>
      </c>
      <c r="F243" s="56" t="s">
        <v>3365</v>
      </c>
      <c r="G243" s="56" t="s">
        <v>379</v>
      </c>
      <c r="H243" s="56" t="s">
        <v>366</v>
      </c>
      <c r="I243" s="56" t="s">
        <v>2283</v>
      </c>
      <c r="J243" s="56" t="s">
        <v>3366</v>
      </c>
      <c r="K243" s="59"/>
      <c r="L243" s="56" t="s">
        <v>2284</v>
      </c>
      <c r="M243" s="61" t="s">
        <v>373</v>
      </c>
      <c r="N243" s="58" t="s">
        <v>3367</v>
      </c>
      <c r="P243" s="55" t="b">
        <f t="shared" si="1"/>
        <v>0</v>
      </c>
    </row>
    <row r="244" ht="15.0" customHeight="1">
      <c r="A244" s="56" t="s">
        <v>3368</v>
      </c>
      <c r="B244" s="56" t="s">
        <v>3369</v>
      </c>
      <c r="C244" s="57" t="s">
        <v>3370</v>
      </c>
      <c r="D244" s="58">
        <v>5.126791957E9</v>
      </c>
      <c r="E244" s="56" t="s">
        <v>2286</v>
      </c>
      <c r="F244" s="56" t="s">
        <v>2286</v>
      </c>
      <c r="G244" s="56" t="s">
        <v>379</v>
      </c>
      <c r="H244" s="56" t="s">
        <v>366</v>
      </c>
      <c r="I244" s="56" t="s">
        <v>2510</v>
      </c>
      <c r="J244" s="56" t="s">
        <v>3371</v>
      </c>
      <c r="K244" s="59"/>
      <c r="L244" s="56" t="s">
        <v>2289</v>
      </c>
      <c r="M244" s="61" t="s">
        <v>373</v>
      </c>
      <c r="N244" s="58" t="s">
        <v>3372</v>
      </c>
      <c r="P244" s="55" t="b">
        <f t="shared" si="1"/>
        <v>0</v>
      </c>
    </row>
    <row r="245" ht="15.0" customHeight="1">
      <c r="A245" s="56" t="s">
        <v>157</v>
      </c>
      <c r="B245" s="56" t="s">
        <v>3373</v>
      </c>
      <c r="C245" s="57" t="s">
        <v>3374</v>
      </c>
      <c r="D245" s="56" t="s">
        <v>3375</v>
      </c>
      <c r="E245" s="56" t="s">
        <v>410</v>
      </c>
      <c r="F245" s="56" t="s">
        <v>411</v>
      </c>
      <c r="G245" s="56" t="s">
        <v>379</v>
      </c>
      <c r="H245" s="56" t="s">
        <v>366</v>
      </c>
      <c r="I245" s="56" t="s">
        <v>2288</v>
      </c>
      <c r="J245" s="56" t="s">
        <v>3376</v>
      </c>
      <c r="K245" s="59"/>
      <c r="L245" s="56" t="s">
        <v>2289</v>
      </c>
      <c r="M245" s="61" t="s">
        <v>373</v>
      </c>
      <c r="N245" s="58" t="s">
        <v>3377</v>
      </c>
      <c r="P245" s="55" t="b">
        <f t="shared" si="1"/>
        <v>0</v>
      </c>
    </row>
    <row r="246" ht="15.0" customHeight="1">
      <c r="A246" s="56" t="s">
        <v>310</v>
      </c>
      <c r="B246" s="56" t="s">
        <v>1313</v>
      </c>
      <c r="C246" s="57" t="s">
        <v>1314</v>
      </c>
      <c r="D246" s="56" t="s">
        <v>3378</v>
      </c>
      <c r="E246" s="56" t="s">
        <v>452</v>
      </c>
      <c r="F246" s="56" t="s">
        <v>2355</v>
      </c>
      <c r="G246" s="56" t="s">
        <v>364</v>
      </c>
      <c r="H246" s="56" t="s">
        <v>413</v>
      </c>
      <c r="I246" s="56" t="s">
        <v>2288</v>
      </c>
      <c r="J246" s="56" t="s">
        <v>384</v>
      </c>
      <c r="K246" s="59"/>
      <c r="L246" s="56" t="s">
        <v>2289</v>
      </c>
      <c r="M246" s="61" t="s">
        <v>373</v>
      </c>
      <c r="N246" s="58" t="s">
        <v>3379</v>
      </c>
      <c r="P246" s="55" t="b">
        <f t="shared" si="1"/>
        <v>0</v>
      </c>
    </row>
    <row r="247" ht="15.0" customHeight="1">
      <c r="A247" s="56" t="s">
        <v>3380</v>
      </c>
      <c r="B247" s="56" t="s">
        <v>3381</v>
      </c>
      <c r="C247" s="57" t="s">
        <v>3382</v>
      </c>
      <c r="D247" s="56" t="s">
        <v>3383</v>
      </c>
      <c r="E247" s="56" t="s">
        <v>410</v>
      </c>
      <c r="F247" s="56" t="s">
        <v>3384</v>
      </c>
      <c r="G247" s="56" t="s">
        <v>399</v>
      </c>
      <c r="H247" s="56" t="s">
        <v>366</v>
      </c>
      <c r="I247" s="56" t="s">
        <v>2288</v>
      </c>
      <c r="J247" s="56" t="s">
        <v>3385</v>
      </c>
      <c r="K247" s="59"/>
      <c r="L247" s="56" t="s">
        <v>2289</v>
      </c>
      <c r="M247" s="61" t="s">
        <v>373</v>
      </c>
      <c r="N247" s="58" t="s">
        <v>3386</v>
      </c>
      <c r="P247" s="55" t="b">
        <f t="shared" si="1"/>
        <v>0</v>
      </c>
    </row>
    <row r="248" ht="15.0" customHeight="1">
      <c r="A248" s="56" t="s">
        <v>3387</v>
      </c>
      <c r="B248" s="56" t="s">
        <v>3388</v>
      </c>
      <c r="C248" s="57" t="s">
        <v>3389</v>
      </c>
      <c r="D248" s="56" t="s">
        <v>3390</v>
      </c>
      <c r="E248" s="56" t="s">
        <v>390</v>
      </c>
      <c r="F248" s="56" t="s">
        <v>3391</v>
      </c>
      <c r="G248" s="56" t="s">
        <v>379</v>
      </c>
      <c r="H248" s="56" t="s">
        <v>413</v>
      </c>
      <c r="I248" s="56" t="s">
        <v>2288</v>
      </c>
      <c r="J248" s="56" t="s">
        <v>3392</v>
      </c>
      <c r="K248" s="59"/>
      <c r="L248" s="56" t="s">
        <v>2289</v>
      </c>
      <c r="M248" s="61" t="s">
        <v>373</v>
      </c>
      <c r="N248" s="58" t="s">
        <v>3393</v>
      </c>
      <c r="P248" s="55" t="b">
        <f t="shared" si="1"/>
        <v>0</v>
      </c>
    </row>
    <row r="249" ht="15.0" customHeight="1">
      <c r="A249" s="56" t="s">
        <v>3394</v>
      </c>
      <c r="B249" s="56" t="s">
        <v>3395</v>
      </c>
      <c r="C249" s="57" t="s">
        <v>3396</v>
      </c>
      <c r="D249" s="58">
        <v>8.645269511E9</v>
      </c>
      <c r="E249" s="56" t="s">
        <v>452</v>
      </c>
      <c r="F249" s="56" t="s">
        <v>3397</v>
      </c>
      <c r="G249" s="56" t="s">
        <v>399</v>
      </c>
      <c r="H249" s="56" t="s">
        <v>513</v>
      </c>
      <c r="I249" s="56" t="s">
        <v>2288</v>
      </c>
      <c r="J249" s="56" t="s">
        <v>1083</v>
      </c>
      <c r="K249" s="59"/>
      <c r="L249" s="56" t="s">
        <v>2289</v>
      </c>
      <c r="M249" s="61" t="s">
        <v>373</v>
      </c>
      <c r="N249" s="58" t="s">
        <v>3398</v>
      </c>
      <c r="P249" s="55" t="b">
        <f t="shared" si="1"/>
        <v>1</v>
      </c>
    </row>
    <row r="250" ht="15.0" customHeight="1">
      <c r="A250" s="56" t="s">
        <v>158</v>
      </c>
      <c r="B250" s="56" t="s">
        <v>1332</v>
      </c>
      <c r="C250" s="57" t="s">
        <v>1333</v>
      </c>
      <c r="D250" s="56" t="s">
        <v>3399</v>
      </c>
      <c r="E250" s="56" t="s">
        <v>675</v>
      </c>
      <c r="F250" s="56" t="s">
        <v>2614</v>
      </c>
      <c r="G250" s="56" t="s">
        <v>399</v>
      </c>
      <c r="H250" s="56" t="s">
        <v>366</v>
      </c>
      <c r="I250" s="56" t="s">
        <v>381</v>
      </c>
      <c r="J250" s="56" t="s">
        <v>1365</v>
      </c>
      <c r="K250" s="59"/>
      <c r="L250" s="56" t="s">
        <v>2305</v>
      </c>
      <c r="M250" s="61" t="s">
        <v>373</v>
      </c>
      <c r="N250" s="58" t="s">
        <v>2697</v>
      </c>
      <c r="P250" s="55" t="b">
        <f t="shared" si="1"/>
        <v>0</v>
      </c>
    </row>
    <row r="251" ht="15.0" customHeight="1">
      <c r="A251" s="63" t="s">
        <v>3400</v>
      </c>
      <c r="B251" s="63" t="s">
        <v>3401</v>
      </c>
      <c r="C251" s="53" t="s">
        <v>3402</v>
      </c>
      <c r="D251" s="64">
        <v>9.794222702E9</v>
      </c>
      <c r="E251" s="63" t="s">
        <v>390</v>
      </c>
      <c r="F251" s="63" t="s">
        <v>3403</v>
      </c>
      <c r="G251" s="63" t="s">
        <v>364</v>
      </c>
      <c r="H251" s="63" t="s">
        <v>366</v>
      </c>
      <c r="I251" s="63" t="s">
        <v>2283</v>
      </c>
      <c r="J251" s="63" t="s">
        <v>3018</v>
      </c>
      <c r="K251" s="65"/>
      <c r="L251" s="63" t="s">
        <v>2284</v>
      </c>
      <c r="M251" s="67" t="s">
        <v>373</v>
      </c>
      <c r="N251" s="64" t="s">
        <v>3404</v>
      </c>
      <c r="P251" s="55" t="b">
        <f t="shared" si="1"/>
        <v>0</v>
      </c>
    </row>
    <row r="252" ht="15.0" customHeight="1">
      <c r="A252" s="56" t="s">
        <v>3405</v>
      </c>
      <c r="B252" s="56" t="s">
        <v>3406</v>
      </c>
      <c r="C252" s="57" t="s">
        <v>3407</v>
      </c>
      <c r="D252" s="56" t="s">
        <v>3408</v>
      </c>
      <c r="E252" s="56" t="s">
        <v>410</v>
      </c>
      <c r="F252" s="56" t="s">
        <v>3409</v>
      </c>
      <c r="G252" s="56" t="s">
        <v>399</v>
      </c>
      <c r="H252" s="56" t="s">
        <v>366</v>
      </c>
      <c r="I252" s="62" t="s">
        <v>381</v>
      </c>
      <c r="J252" s="59"/>
      <c r="K252" s="59"/>
      <c r="L252" s="56" t="s">
        <v>2305</v>
      </c>
      <c r="M252" s="61" t="s">
        <v>2362</v>
      </c>
      <c r="N252" s="58" t="s">
        <v>3410</v>
      </c>
      <c r="P252" s="55" t="b">
        <f t="shared" si="1"/>
        <v>0</v>
      </c>
    </row>
    <row r="253" ht="15.0" customHeight="1">
      <c r="A253" s="56" t="s">
        <v>3411</v>
      </c>
      <c r="B253" s="56" t="s">
        <v>3412</v>
      </c>
      <c r="C253" s="57" t="s">
        <v>3413</v>
      </c>
      <c r="D253" s="58">
        <v>9.014909848E9</v>
      </c>
      <c r="E253" s="56" t="s">
        <v>2850</v>
      </c>
      <c r="F253" s="56" t="s">
        <v>3414</v>
      </c>
      <c r="G253" s="56" t="s">
        <v>399</v>
      </c>
      <c r="H253" s="56" t="s">
        <v>366</v>
      </c>
      <c r="I253" s="56" t="s">
        <v>2288</v>
      </c>
      <c r="J253" s="56" t="s">
        <v>662</v>
      </c>
      <c r="K253" s="59"/>
      <c r="L253" s="56" t="s">
        <v>2289</v>
      </c>
      <c r="M253" s="61" t="s">
        <v>373</v>
      </c>
      <c r="N253" s="58" t="s">
        <v>3415</v>
      </c>
      <c r="P253" s="55" t="b">
        <f t="shared" si="1"/>
        <v>0</v>
      </c>
    </row>
    <row r="254" ht="15.0" customHeight="1">
      <c r="A254" s="56" t="s">
        <v>3416</v>
      </c>
      <c r="B254" s="56" t="s">
        <v>3417</v>
      </c>
      <c r="C254" s="57" t="s">
        <v>3418</v>
      </c>
      <c r="D254" s="58">
        <v>9.492709674E9</v>
      </c>
      <c r="E254" s="56" t="s">
        <v>2286</v>
      </c>
      <c r="F254" s="56" t="s">
        <v>3419</v>
      </c>
      <c r="G254" s="56" t="s">
        <v>399</v>
      </c>
      <c r="H254" s="56" t="s">
        <v>413</v>
      </c>
      <c r="I254" s="56" t="s">
        <v>2288</v>
      </c>
      <c r="J254" s="56" t="s">
        <v>2442</v>
      </c>
      <c r="K254" s="59"/>
      <c r="L254" s="56" t="s">
        <v>2289</v>
      </c>
      <c r="M254" s="61" t="s">
        <v>373</v>
      </c>
      <c r="N254" s="58" t="s">
        <v>3420</v>
      </c>
      <c r="P254" s="55" t="b">
        <f t="shared" si="1"/>
        <v>0</v>
      </c>
    </row>
    <row r="255" ht="15.0" customHeight="1">
      <c r="A255" s="56" t="s">
        <v>159</v>
      </c>
      <c r="B255" s="56" t="s">
        <v>3421</v>
      </c>
      <c r="C255" s="57" t="s">
        <v>1338</v>
      </c>
      <c r="D255" s="58">
        <v>2.485068991E9</v>
      </c>
      <c r="E255" s="56" t="s">
        <v>2286</v>
      </c>
      <c r="F255" s="56" t="s">
        <v>2395</v>
      </c>
      <c r="G255" s="56" t="s">
        <v>364</v>
      </c>
      <c r="H255" s="56" t="s">
        <v>413</v>
      </c>
      <c r="I255" s="56" t="s">
        <v>2283</v>
      </c>
      <c r="J255" s="56" t="s">
        <v>3422</v>
      </c>
      <c r="K255" s="59"/>
      <c r="L255" s="56" t="s">
        <v>2284</v>
      </c>
      <c r="M255" s="61" t="s">
        <v>373</v>
      </c>
      <c r="N255" s="58" t="s">
        <v>3423</v>
      </c>
      <c r="P255" s="55" t="b">
        <f t="shared" si="1"/>
        <v>0</v>
      </c>
    </row>
    <row r="256" ht="15.0" customHeight="1">
      <c r="A256" s="56" t="s">
        <v>3424</v>
      </c>
      <c r="B256" s="56" t="s">
        <v>1354</v>
      </c>
      <c r="C256" s="57" t="s">
        <v>3425</v>
      </c>
      <c r="D256" s="58">
        <v>6.178426771E9</v>
      </c>
      <c r="E256" s="56" t="s">
        <v>877</v>
      </c>
      <c r="F256" s="56" t="s">
        <v>3426</v>
      </c>
      <c r="G256" s="56" t="s">
        <v>379</v>
      </c>
      <c r="H256" s="56" t="s">
        <v>413</v>
      </c>
      <c r="I256" s="62" t="s">
        <v>483</v>
      </c>
      <c r="J256" s="59"/>
      <c r="K256" s="59"/>
      <c r="L256" s="56" t="s">
        <v>2305</v>
      </c>
      <c r="M256" s="61" t="s">
        <v>2362</v>
      </c>
      <c r="N256" s="58" t="s">
        <v>3427</v>
      </c>
      <c r="P256" s="55" t="b">
        <f t="shared" si="1"/>
        <v>0</v>
      </c>
    </row>
    <row r="257" ht="15.0" customHeight="1">
      <c r="A257" s="56" t="s">
        <v>160</v>
      </c>
      <c r="B257" s="56" t="s">
        <v>1351</v>
      </c>
      <c r="C257" s="57" t="s">
        <v>1352</v>
      </c>
      <c r="D257" s="58">
        <v>3.39933089E9</v>
      </c>
      <c r="E257" s="56" t="s">
        <v>877</v>
      </c>
      <c r="F257" s="56" t="s">
        <v>3197</v>
      </c>
      <c r="G257" s="56" t="s">
        <v>379</v>
      </c>
      <c r="H257" s="56" t="s">
        <v>413</v>
      </c>
      <c r="I257" s="62" t="s">
        <v>381</v>
      </c>
      <c r="J257" s="59"/>
      <c r="K257" s="59"/>
      <c r="L257" s="56" t="s">
        <v>2305</v>
      </c>
      <c r="M257" s="61" t="s">
        <v>2362</v>
      </c>
      <c r="N257" s="58" t="s">
        <v>3428</v>
      </c>
      <c r="P257" s="55" t="b">
        <f t="shared" si="1"/>
        <v>0</v>
      </c>
    </row>
    <row r="258" ht="15.0" customHeight="1">
      <c r="A258" s="56" t="s">
        <v>161</v>
      </c>
      <c r="B258" s="56" t="s">
        <v>3429</v>
      </c>
      <c r="C258" s="57" t="s">
        <v>3430</v>
      </c>
      <c r="D258" s="58">
        <v>8.162928639E9</v>
      </c>
      <c r="E258" s="56" t="s">
        <v>390</v>
      </c>
      <c r="F258" s="56" t="s">
        <v>3431</v>
      </c>
      <c r="G258" s="56" t="s">
        <v>379</v>
      </c>
      <c r="H258" s="56" t="s">
        <v>366</v>
      </c>
      <c r="I258" s="56" t="s">
        <v>2283</v>
      </c>
      <c r="J258" s="56" t="s">
        <v>3432</v>
      </c>
      <c r="K258" s="59"/>
      <c r="L258" s="56" t="s">
        <v>2284</v>
      </c>
      <c r="M258" s="61" t="s">
        <v>373</v>
      </c>
      <c r="N258" s="58" t="s">
        <v>2639</v>
      </c>
      <c r="P258" s="55" t="b">
        <f t="shared" si="1"/>
        <v>0</v>
      </c>
    </row>
    <row r="259" ht="15.0" customHeight="1">
      <c r="A259" s="56" t="s">
        <v>3433</v>
      </c>
      <c r="B259" s="56" t="s">
        <v>3434</v>
      </c>
      <c r="C259" s="57" t="s">
        <v>3435</v>
      </c>
      <c r="D259" s="56" t="s">
        <v>3436</v>
      </c>
      <c r="E259" s="56" t="s">
        <v>452</v>
      </c>
      <c r="F259" s="56" t="s">
        <v>3437</v>
      </c>
      <c r="G259" s="56" t="s">
        <v>379</v>
      </c>
      <c r="H259" s="56" t="s">
        <v>366</v>
      </c>
      <c r="I259" s="56" t="s">
        <v>2510</v>
      </c>
      <c r="J259" s="56" t="s">
        <v>2790</v>
      </c>
      <c r="K259" s="59"/>
      <c r="L259" s="56" t="s">
        <v>2289</v>
      </c>
      <c r="M259" s="61" t="s">
        <v>373</v>
      </c>
      <c r="N259" s="58" t="s">
        <v>3438</v>
      </c>
      <c r="P259" s="55" t="b">
        <f t="shared" si="1"/>
        <v>0</v>
      </c>
    </row>
    <row r="260" ht="15.0" customHeight="1">
      <c r="A260" s="56" t="s">
        <v>1357</v>
      </c>
      <c r="B260" s="56" t="s">
        <v>1358</v>
      </c>
      <c r="C260" s="57" t="s">
        <v>1359</v>
      </c>
      <c r="D260" s="58">
        <v>5.128642833E9</v>
      </c>
      <c r="E260" s="56" t="s">
        <v>2286</v>
      </c>
      <c r="F260" s="56" t="s">
        <v>2286</v>
      </c>
      <c r="G260" s="56" t="s">
        <v>399</v>
      </c>
      <c r="H260" s="56" t="s">
        <v>366</v>
      </c>
      <c r="I260" s="56" t="s">
        <v>2288</v>
      </c>
      <c r="J260" s="56" t="s">
        <v>3439</v>
      </c>
      <c r="K260" s="59"/>
      <c r="L260" s="56" t="s">
        <v>2289</v>
      </c>
      <c r="M260" s="61" t="s">
        <v>373</v>
      </c>
      <c r="N260" s="58" t="s">
        <v>3440</v>
      </c>
      <c r="P260" s="55" t="b">
        <f t="shared" si="1"/>
        <v>0</v>
      </c>
    </row>
    <row r="261" ht="15.0" customHeight="1">
      <c r="A261" s="56" t="s">
        <v>3441</v>
      </c>
      <c r="B261" s="56" t="s">
        <v>3442</v>
      </c>
      <c r="C261" s="57" t="s">
        <v>3443</v>
      </c>
      <c r="D261" s="58">
        <v>4.437666998E9</v>
      </c>
      <c r="E261" s="56" t="s">
        <v>362</v>
      </c>
      <c r="F261" s="56" t="s">
        <v>3444</v>
      </c>
      <c r="G261" s="56" t="s">
        <v>2194</v>
      </c>
      <c r="H261" s="56" t="s">
        <v>513</v>
      </c>
      <c r="I261" s="56" t="s">
        <v>2288</v>
      </c>
      <c r="J261" s="56" t="s">
        <v>3445</v>
      </c>
      <c r="K261" s="59"/>
      <c r="L261" s="56" t="s">
        <v>2289</v>
      </c>
      <c r="M261" s="61" t="s">
        <v>373</v>
      </c>
      <c r="N261" s="58" t="s">
        <v>3446</v>
      </c>
      <c r="P261" s="55" t="b">
        <f t="shared" si="1"/>
        <v>1</v>
      </c>
    </row>
    <row r="262" ht="15.0" customHeight="1">
      <c r="A262" s="56" t="s">
        <v>162</v>
      </c>
      <c r="B262" s="56" t="s">
        <v>1362</v>
      </c>
      <c r="C262" s="57" t="s">
        <v>1363</v>
      </c>
      <c r="D262" s="58">
        <v>4.018634246E9</v>
      </c>
      <c r="E262" s="56" t="s">
        <v>410</v>
      </c>
      <c r="F262" s="56" t="s">
        <v>3447</v>
      </c>
      <c r="G262" s="56" t="s">
        <v>379</v>
      </c>
      <c r="H262" s="56" t="s">
        <v>366</v>
      </c>
      <c r="I262" s="56" t="s">
        <v>381</v>
      </c>
      <c r="J262" s="56" t="s">
        <v>3448</v>
      </c>
      <c r="K262" s="59"/>
      <c r="L262" s="56" t="s">
        <v>2305</v>
      </c>
      <c r="M262" s="61" t="s">
        <v>373</v>
      </c>
      <c r="N262" s="58" t="s">
        <v>3449</v>
      </c>
      <c r="P262" s="55" t="b">
        <f t="shared" si="1"/>
        <v>0</v>
      </c>
    </row>
    <row r="263" ht="15.0" customHeight="1">
      <c r="A263" s="56" t="s">
        <v>1367</v>
      </c>
      <c r="B263" s="56" t="s">
        <v>1368</v>
      </c>
      <c r="C263" s="57" t="s">
        <v>1369</v>
      </c>
      <c r="D263" s="58">
        <v>8.323822873E9</v>
      </c>
      <c r="E263" s="56" t="s">
        <v>2286</v>
      </c>
      <c r="F263" s="56" t="s">
        <v>3351</v>
      </c>
      <c r="G263" s="56" t="s">
        <v>364</v>
      </c>
      <c r="H263" s="56" t="s">
        <v>366</v>
      </c>
      <c r="I263" s="62" t="s">
        <v>2293</v>
      </c>
      <c r="J263" s="59"/>
      <c r="K263" s="59"/>
      <c r="L263" s="56" t="s">
        <v>2284</v>
      </c>
      <c r="M263" s="61" t="s">
        <v>394</v>
      </c>
      <c r="N263" s="58" t="s">
        <v>3450</v>
      </c>
      <c r="P263" s="55" t="b">
        <f t="shared" si="1"/>
        <v>0</v>
      </c>
    </row>
    <row r="264" ht="15.0" customHeight="1">
      <c r="A264" s="56" t="s">
        <v>3451</v>
      </c>
      <c r="B264" s="56" t="s">
        <v>3452</v>
      </c>
      <c r="C264" s="57" t="s">
        <v>3453</v>
      </c>
      <c r="D264" s="56" t="s">
        <v>3454</v>
      </c>
      <c r="E264" s="56" t="s">
        <v>390</v>
      </c>
      <c r="F264" s="56" t="s">
        <v>3455</v>
      </c>
      <c r="G264" s="56" t="s">
        <v>399</v>
      </c>
      <c r="H264" s="56" t="s">
        <v>366</v>
      </c>
      <c r="I264" s="56" t="s">
        <v>2283</v>
      </c>
      <c r="J264" s="56" t="s">
        <v>2719</v>
      </c>
      <c r="K264" s="59"/>
      <c r="L264" s="56" t="s">
        <v>2284</v>
      </c>
      <c r="M264" s="61" t="s">
        <v>373</v>
      </c>
      <c r="N264" s="58" t="s">
        <v>3456</v>
      </c>
      <c r="P264" s="55" t="b">
        <f t="shared" si="1"/>
        <v>0</v>
      </c>
    </row>
    <row r="265" ht="15.0" customHeight="1">
      <c r="A265" s="56" t="s">
        <v>3457</v>
      </c>
      <c r="B265" s="56" t="s">
        <v>3458</v>
      </c>
      <c r="C265" s="57" t="s">
        <v>3459</v>
      </c>
      <c r="D265" s="58">
        <v>8.328013514E9</v>
      </c>
      <c r="E265" s="56" t="s">
        <v>410</v>
      </c>
      <c r="F265" s="56" t="s">
        <v>1080</v>
      </c>
      <c r="G265" s="56" t="s">
        <v>379</v>
      </c>
      <c r="H265" s="56" t="s">
        <v>366</v>
      </c>
      <c r="I265" s="56" t="s">
        <v>381</v>
      </c>
      <c r="J265" s="56" t="s">
        <v>3460</v>
      </c>
      <c r="K265" s="59"/>
      <c r="L265" s="56" t="s">
        <v>2305</v>
      </c>
      <c r="M265" s="61" t="s">
        <v>373</v>
      </c>
      <c r="N265" s="58" t="s">
        <v>3461</v>
      </c>
      <c r="P265" s="55" t="b">
        <f t="shared" si="1"/>
        <v>0</v>
      </c>
    </row>
    <row r="266" ht="15.0" customHeight="1">
      <c r="A266" s="56" t="s">
        <v>1380</v>
      </c>
      <c r="B266" s="56" t="s">
        <v>1381</v>
      </c>
      <c r="C266" s="57" t="s">
        <v>3462</v>
      </c>
      <c r="D266" s="58">
        <v>3.6193522887E10</v>
      </c>
      <c r="E266" s="56" t="s">
        <v>421</v>
      </c>
      <c r="F266" s="56" t="s">
        <v>3463</v>
      </c>
      <c r="G266" s="56" t="s">
        <v>399</v>
      </c>
      <c r="H266" s="56" t="s">
        <v>413</v>
      </c>
      <c r="I266" s="56" t="s">
        <v>2288</v>
      </c>
      <c r="J266" s="56" t="s">
        <v>3464</v>
      </c>
      <c r="K266" s="59"/>
      <c r="L266" s="56" t="s">
        <v>2289</v>
      </c>
      <c r="M266" s="61" t="s">
        <v>373</v>
      </c>
      <c r="N266" s="58" t="s">
        <v>3465</v>
      </c>
      <c r="P266" s="55" t="b">
        <f t="shared" si="1"/>
        <v>0</v>
      </c>
    </row>
    <row r="267" ht="15.0" customHeight="1">
      <c r="A267" s="56" t="s">
        <v>3466</v>
      </c>
      <c r="B267" s="56" t="s">
        <v>3467</v>
      </c>
      <c r="C267" s="57" t="s">
        <v>3468</v>
      </c>
      <c r="D267" s="56" t="s">
        <v>3469</v>
      </c>
      <c r="E267" s="56" t="s">
        <v>410</v>
      </c>
      <c r="F267" s="56" t="s">
        <v>411</v>
      </c>
      <c r="G267" s="56" t="s">
        <v>364</v>
      </c>
      <c r="H267" s="56" t="s">
        <v>413</v>
      </c>
      <c r="I267" s="56" t="s">
        <v>2473</v>
      </c>
      <c r="J267" s="56" t="s">
        <v>1695</v>
      </c>
      <c r="K267" s="59"/>
      <c r="L267" s="56" t="s">
        <v>2284</v>
      </c>
      <c r="M267" s="61" t="s">
        <v>373</v>
      </c>
      <c r="N267" s="58" t="s">
        <v>3470</v>
      </c>
      <c r="P267" s="55" t="b">
        <f t="shared" si="1"/>
        <v>0</v>
      </c>
    </row>
    <row r="268" ht="15.0" customHeight="1">
      <c r="A268" s="56" t="s">
        <v>1392</v>
      </c>
      <c r="B268" s="56" t="s">
        <v>3471</v>
      </c>
      <c r="C268" s="57" t="s">
        <v>3472</v>
      </c>
      <c r="D268" s="58">
        <v>2.107016464E9</v>
      </c>
      <c r="E268" s="56" t="s">
        <v>390</v>
      </c>
      <c r="F268" s="56" t="s">
        <v>3473</v>
      </c>
      <c r="G268" s="56" t="s">
        <v>379</v>
      </c>
      <c r="H268" s="56" t="s">
        <v>413</v>
      </c>
      <c r="I268" s="56" t="s">
        <v>2283</v>
      </c>
      <c r="J268" s="56" t="s">
        <v>3474</v>
      </c>
      <c r="K268" s="59"/>
      <c r="L268" s="56" t="s">
        <v>2284</v>
      </c>
      <c r="M268" s="61" t="s">
        <v>373</v>
      </c>
      <c r="N268" s="58" t="s">
        <v>3475</v>
      </c>
      <c r="P268" s="55" t="b">
        <f t="shared" si="1"/>
        <v>0</v>
      </c>
    </row>
    <row r="269" ht="15.0" customHeight="1">
      <c r="A269" s="56" t="s">
        <v>3476</v>
      </c>
      <c r="B269" s="56" t="s">
        <v>3477</v>
      </c>
      <c r="C269" s="57" t="s">
        <v>3478</v>
      </c>
      <c r="D269" s="58">
        <v>2.817361389E9</v>
      </c>
      <c r="E269" s="56" t="s">
        <v>675</v>
      </c>
      <c r="F269" s="56" t="s">
        <v>3479</v>
      </c>
      <c r="G269" s="56" t="s">
        <v>379</v>
      </c>
      <c r="H269" s="56" t="s">
        <v>366</v>
      </c>
      <c r="I269" s="56" t="s">
        <v>381</v>
      </c>
      <c r="J269" s="56" t="s">
        <v>3480</v>
      </c>
      <c r="K269" s="59"/>
      <c r="L269" s="56" t="s">
        <v>2305</v>
      </c>
      <c r="M269" s="61" t="s">
        <v>373</v>
      </c>
      <c r="N269" s="58" t="s">
        <v>3481</v>
      </c>
      <c r="P269" s="55" t="b">
        <f t="shared" si="1"/>
        <v>0</v>
      </c>
    </row>
    <row r="270" ht="15.0" customHeight="1">
      <c r="A270" s="56" t="s">
        <v>164</v>
      </c>
      <c r="B270" s="56" t="s">
        <v>1401</v>
      </c>
      <c r="C270" s="57" t="s">
        <v>1402</v>
      </c>
      <c r="D270" s="58">
        <v>2.254851119E9</v>
      </c>
      <c r="E270" s="56" t="s">
        <v>452</v>
      </c>
      <c r="F270" s="56" t="s">
        <v>2463</v>
      </c>
      <c r="G270" s="56" t="s">
        <v>379</v>
      </c>
      <c r="H270" s="56" t="s">
        <v>413</v>
      </c>
      <c r="I270" s="56" t="s">
        <v>2283</v>
      </c>
      <c r="J270" s="56" t="s">
        <v>754</v>
      </c>
      <c r="K270" s="59"/>
      <c r="L270" s="56" t="s">
        <v>2284</v>
      </c>
      <c r="M270" s="61" t="s">
        <v>373</v>
      </c>
      <c r="N270" s="58" t="s">
        <v>3482</v>
      </c>
      <c r="P270" s="55" t="b">
        <f t="shared" si="1"/>
        <v>0</v>
      </c>
    </row>
    <row r="271" ht="15.0" customHeight="1">
      <c r="A271" s="56" t="s">
        <v>165</v>
      </c>
      <c r="B271" s="56" t="s">
        <v>3483</v>
      </c>
      <c r="C271" s="57" t="s">
        <v>3484</v>
      </c>
      <c r="D271" s="58">
        <v>5.129474225E9</v>
      </c>
      <c r="E271" s="56" t="s">
        <v>2286</v>
      </c>
      <c r="F271" s="56" t="s">
        <v>2286</v>
      </c>
      <c r="G271" s="56" t="s">
        <v>379</v>
      </c>
      <c r="H271" s="56" t="s">
        <v>513</v>
      </c>
      <c r="I271" s="56" t="s">
        <v>2283</v>
      </c>
      <c r="J271" s="56" t="s">
        <v>3385</v>
      </c>
      <c r="K271" s="59"/>
      <c r="L271" s="56" t="s">
        <v>2284</v>
      </c>
      <c r="M271" s="61" t="s">
        <v>373</v>
      </c>
      <c r="N271" s="58" t="s">
        <v>3485</v>
      </c>
      <c r="P271" s="55" t="b">
        <f t="shared" si="1"/>
        <v>1</v>
      </c>
    </row>
    <row r="272" ht="15.0" customHeight="1">
      <c r="A272" s="56" t="s">
        <v>166</v>
      </c>
      <c r="B272" s="56" t="s">
        <v>1411</v>
      </c>
      <c r="C272" s="57" t="s">
        <v>1412</v>
      </c>
      <c r="D272" s="58">
        <v>4.02650022E9</v>
      </c>
      <c r="E272" s="56" t="s">
        <v>2286</v>
      </c>
      <c r="F272" s="56" t="s">
        <v>3486</v>
      </c>
      <c r="G272" s="56" t="s">
        <v>379</v>
      </c>
      <c r="H272" s="56" t="s">
        <v>413</v>
      </c>
      <c r="I272" s="56" t="s">
        <v>497</v>
      </c>
      <c r="J272" s="56" t="s">
        <v>3487</v>
      </c>
      <c r="K272" s="59"/>
      <c r="L272" s="56" t="s">
        <v>2305</v>
      </c>
      <c r="M272" s="61" t="s">
        <v>373</v>
      </c>
      <c r="N272" s="58" t="s">
        <v>3488</v>
      </c>
      <c r="P272" s="55" t="b">
        <f t="shared" si="1"/>
        <v>0</v>
      </c>
    </row>
    <row r="273" ht="15.0" customHeight="1">
      <c r="A273" s="56" t="s">
        <v>167</v>
      </c>
      <c r="B273" s="56" t="s">
        <v>3489</v>
      </c>
      <c r="C273" s="57" t="s">
        <v>3490</v>
      </c>
      <c r="D273" s="58">
        <v>6.619005374E9</v>
      </c>
      <c r="E273" s="56" t="s">
        <v>452</v>
      </c>
      <c r="F273" s="56" t="s">
        <v>3491</v>
      </c>
      <c r="G273" s="56" t="s">
        <v>379</v>
      </c>
      <c r="H273" s="56" t="s">
        <v>413</v>
      </c>
      <c r="I273" s="56" t="s">
        <v>497</v>
      </c>
      <c r="J273" s="56" t="s">
        <v>3492</v>
      </c>
      <c r="K273" s="59"/>
      <c r="L273" s="56" t="s">
        <v>2305</v>
      </c>
      <c r="M273" s="61" t="s">
        <v>373</v>
      </c>
      <c r="N273" s="58" t="s">
        <v>3493</v>
      </c>
      <c r="P273" s="55" t="b">
        <f t="shared" si="1"/>
        <v>0</v>
      </c>
    </row>
    <row r="274" ht="15.0" customHeight="1">
      <c r="A274" s="56" t="s">
        <v>1417</v>
      </c>
      <c r="B274" s="56" t="s">
        <v>3494</v>
      </c>
      <c r="C274" s="57" t="s">
        <v>3495</v>
      </c>
      <c r="D274" s="56" t="s">
        <v>3496</v>
      </c>
      <c r="E274" s="56" t="s">
        <v>2286</v>
      </c>
      <c r="F274" s="56" t="s">
        <v>3351</v>
      </c>
      <c r="G274" s="56" t="s">
        <v>364</v>
      </c>
      <c r="H274" s="56" t="s">
        <v>366</v>
      </c>
      <c r="I274" s="56" t="s">
        <v>497</v>
      </c>
      <c r="J274" s="56" t="s">
        <v>3497</v>
      </c>
      <c r="K274" s="59"/>
      <c r="L274" s="56" t="s">
        <v>2305</v>
      </c>
      <c r="M274" s="61" t="s">
        <v>373</v>
      </c>
      <c r="N274" s="58" t="s">
        <v>3498</v>
      </c>
      <c r="P274" s="55" t="b">
        <f t="shared" si="1"/>
        <v>0</v>
      </c>
    </row>
    <row r="275" ht="15.0" customHeight="1">
      <c r="A275" s="56" t="s">
        <v>3499</v>
      </c>
      <c r="B275" s="56" t="s">
        <v>3500</v>
      </c>
      <c r="C275" s="57" t="s">
        <v>3501</v>
      </c>
      <c r="D275" s="58">
        <v>7.134203143E9</v>
      </c>
      <c r="E275" s="56" t="s">
        <v>390</v>
      </c>
      <c r="F275" s="56" t="s">
        <v>3502</v>
      </c>
      <c r="G275" s="56" t="s">
        <v>399</v>
      </c>
      <c r="H275" s="56" t="s">
        <v>413</v>
      </c>
      <c r="I275" s="56" t="s">
        <v>2293</v>
      </c>
      <c r="J275" s="56" t="s">
        <v>3503</v>
      </c>
      <c r="K275" s="59"/>
      <c r="L275" s="56" t="s">
        <v>2284</v>
      </c>
      <c r="M275" s="61" t="s">
        <v>373</v>
      </c>
      <c r="N275" s="58" t="s">
        <v>3504</v>
      </c>
      <c r="P275" s="55" t="b">
        <f t="shared" si="1"/>
        <v>0</v>
      </c>
    </row>
    <row r="276" ht="15.0" customHeight="1">
      <c r="A276" s="56" t="s">
        <v>311</v>
      </c>
      <c r="B276" s="56" t="s">
        <v>1428</v>
      </c>
      <c r="C276" s="57" t="s">
        <v>1429</v>
      </c>
      <c r="D276" s="58">
        <v>6.30712102E9</v>
      </c>
      <c r="E276" s="56" t="s">
        <v>452</v>
      </c>
      <c r="F276" s="56" t="s">
        <v>452</v>
      </c>
      <c r="G276" s="56" t="s">
        <v>364</v>
      </c>
      <c r="H276" s="56" t="s">
        <v>366</v>
      </c>
      <c r="I276" s="56" t="s">
        <v>2283</v>
      </c>
      <c r="J276" s="56" t="s">
        <v>1930</v>
      </c>
      <c r="K276" s="59"/>
      <c r="L276" s="56" t="s">
        <v>2284</v>
      </c>
      <c r="M276" s="61" t="s">
        <v>373</v>
      </c>
      <c r="N276" s="58" t="s">
        <v>3505</v>
      </c>
      <c r="P276" s="55" t="b">
        <f t="shared" si="1"/>
        <v>0</v>
      </c>
    </row>
    <row r="277" ht="15.0" customHeight="1">
      <c r="A277" s="56" t="s">
        <v>169</v>
      </c>
      <c r="B277" s="56" t="s">
        <v>1433</v>
      </c>
      <c r="C277" s="57" t="s">
        <v>1434</v>
      </c>
      <c r="D277" s="58">
        <v>8.176375374E9</v>
      </c>
      <c r="E277" s="56" t="s">
        <v>2286</v>
      </c>
      <c r="F277" s="56" t="s">
        <v>2286</v>
      </c>
      <c r="G277" s="56" t="s">
        <v>379</v>
      </c>
      <c r="H277" s="56" t="s">
        <v>413</v>
      </c>
      <c r="I277" s="56" t="s">
        <v>2288</v>
      </c>
      <c r="J277" s="56" t="s">
        <v>1843</v>
      </c>
      <c r="K277" s="59"/>
      <c r="L277" s="56" t="s">
        <v>2289</v>
      </c>
      <c r="M277" s="61" t="s">
        <v>373</v>
      </c>
      <c r="N277" s="58" t="s">
        <v>2831</v>
      </c>
      <c r="P277" s="55" t="b">
        <f t="shared" si="1"/>
        <v>0</v>
      </c>
    </row>
    <row r="278" ht="15.0" customHeight="1">
      <c r="A278" s="56" t="s">
        <v>1438</v>
      </c>
      <c r="B278" s="56" t="s">
        <v>1439</v>
      </c>
      <c r="C278" s="57" t="s">
        <v>1440</v>
      </c>
      <c r="D278" s="58">
        <v>8.159543291E9</v>
      </c>
      <c r="E278" s="56" t="s">
        <v>390</v>
      </c>
      <c r="F278" s="56" t="s">
        <v>3506</v>
      </c>
      <c r="G278" s="56" t="s">
        <v>379</v>
      </c>
      <c r="H278" s="56" t="s">
        <v>413</v>
      </c>
      <c r="I278" s="56" t="s">
        <v>381</v>
      </c>
      <c r="J278" s="56" t="s">
        <v>3507</v>
      </c>
      <c r="K278" s="59"/>
      <c r="L278" s="56" t="s">
        <v>2305</v>
      </c>
      <c r="M278" s="61" t="s">
        <v>373</v>
      </c>
      <c r="N278" s="58" t="s">
        <v>3508</v>
      </c>
      <c r="P278" s="55" t="b">
        <f t="shared" si="1"/>
        <v>0</v>
      </c>
    </row>
    <row r="279" ht="15.0" customHeight="1">
      <c r="A279" s="56" t="s">
        <v>3509</v>
      </c>
      <c r="B279" s="56" t="s">
        <v>3510</v>
      </c>
      <c r="C279" s="57" t="s">
        <v>3511</v>
      </c>
      <c r="D279" s="56" t="s">
        <v>3512</v>
      </c>
      <c r="E279" s="56" t="s">
        <v>390</v>
      </c>
      <c r="F279" s="56" t="s">
        <v>411</v>
      </c>
      <c r="G279" s="56" t="s">
        <v>379</v>
      </c>
      <c r="H279" s="56" t="s">
        <v>366</v>
      </c>
      <c r="I279" s="56" t="s">
        <v>483</v>
      </c>
      <c r="J279" s="56" t="s">
        <v>3513</v>
      </c>
      <c r="K279" s="59"/>
      <c r="L279" s="56" t="s">
        <v>2305</v>
      </c>
      <c r="M279" s="61" t="s">
        <v>373</v>
      </c>
      <c r="N279" s="58" t="s">
        <v>3514</v>
      </c>
      <c r="P279" s="55" t="b">
        <f t="shared" si="1"/>
        <v>0</v>
      </c>
    </row>
    <row r="280" ht="15.0" customHeight="1">
      <c r="A280" s="56" t="s">
        <v>171</v>
      </c>
      <c r="B280" s="56" t="s">
        <v>1450</v>
      </c>
      <c r="C280" s="57" t="s">
        <v>1451</v>
      </c>
      <c r="D280" s="58">
        <v>9.032611819E9</v>
      </c>
      <c r="E280" s="56" t="s">
        <v>452</v>
      </c>
      <c r="F280" s="56" t="s">
        <v>2483</v>
      </c>
      <c r="G280" s="56" t="s">
        <v>364</v>
      </c>
      <c r="H280" s="56" t="s">
        <v>413</v>
      </c>
      <c r="I280" s="56" t="s">
        <v>2288</v>
      </c>
      <c r="J280" s="56" t="s">
        <v>3515</v>
      </c>
      <c r="K280" s="59"/>
      <c r="L280" s="56" t="s">
        <v>2289</v>
      </c>
      <c r="M280" s="61" t="s">
        <v>373</v>
      </c>
      <c r="N280" s="58" t="s">
        <v>3516</v>
      </c>
      <c r="P280" s="55" t="b">
        <f t="shared" si="1"/>
        <v>0</v>
      </c>
    </row>
    <row r="281" ht="15.0" customHeight="1">
      <c r="A281" s="56" t="s">
        <v>3517</v>
      </c>
      <c r="B281" s="56" t="s">
        <v>3518</v>
      </c>
      <c r="C281" s="57" t="s">
        <v>3519</v>
      </c>
      <c r="D281" s="56" t="s">
        <v>3520</v>
      </c>
      <c r="E281" s="56" t="s">
        <v>390</v>
      </c>
      <c r="F281" s="56" t="s">
        <v>3521</v>
      </c>
      <c r="G281" s="56" t="s">
        <v>379</v>
      </c>
      <c r="H281" s="56" t="s">
        <v>366</v>
      </c>
      <c r="I281" s="56" t="s">
        <v>2283</v>
      </c>
      <c r="J281" s="56" t="s">
        <v>662</v>
      </c>
      <c r="K281" s="59"/>
      <c r="L281" s="56" t="s">
        <v>2284</v>
      </c>
      <c r="M281" s="61" t="s">
        <v>373</v>
      </c>
      <c r="N281" s="58" t="s">
        <v>3522</v>
      </c>
      <c r="P281" s="55" t="b">
        <f t="shared" si="1"/>
        <v>0</v>
      </c>
    </row>
    <row r="282" ht="15.0" customHeight="1">
      <c r="A282" s="56" t="s">
        <v>172</v>
      </c>
      <c r="B282" s="56" t="s">
        <v>1455</v>
      </c>
      <c r="C282" s="57" t="s">
        <v>1456</v>
      </c>
      <c r="D282" s="58">
        <v>5.128103022E9</v>
      </c>
      <c r="E282" s="56" t="s">
        <v>2286</v>
      </c>
      <c r="F282" s="56" t="s">
        <v>2286</v>
      </c>
      <c r="G282" s="56" t="s">
        <v>364</v>
      </c>
      <c r="H282" s="56" t="s">
        <v>413</v>
      </c>
      <c r="I282" s="56" t="s">
        <v>497</v>
      </c>
      <c r="J282" s="56" t="s">
        <v>3523</v>
      </c>
      <c r="K282" s="59"/>
      <c r="L282" s="56" t="s">
        <v>2305</v>
      </c>
      <c r="M282" s="61" t="s">
        <v>373</v>
      </c>
      <c r="N282" s="58" t="s">
        <v>3524</v>
      </c>
      <c r="P282" s="55" t="b">
        <f t="shared" si="1"/>
        <v>0</v>
      </c>
    </row>
    <row r="283" ht="15.0" customHeight="1">
      <c r="A283" s="56" t="s">
        <v>1459</v>
      </c>
      <c r="B283" s="56" t="s">
        <v>1460</v>
      </c>
      <c r="C283" s="57" t="s">
        <v>1461</v>
      </c>
      <c r="D283" s="58">
        <v>4.016421711E9</v>
      </c>
      <c r="E283" s="56" t="s">
        <v>459</v>
      </c>
      <c r="F283" s="56" t="s">
        <v>3525</v>
      </c>
      <c r="G283" s="56" t="s">
        <v>364</v>
      </c>
      <c r="H283" s="56" t="s">
        <v>413</v>
      </c>
      <c r="I283" s="56" t="s">
        <v>1301</v>
      </c>
      <c r="J283" s="62" t="s">
        <v>3526</v>
      </c>
      <c r="K283" s="59"/>
      <c r="L283" s="56" t="s">
        <v>2305</v>
      </c>
      <c r="M283" s="61" t="s">
        <v>373</v>
      </c>
      <c r="N283" s="58" t="s">
        <v>3527</v>
      </c>
      <c r="P283" s="55" t="b">
        <f t="shared" si="1"/>
        <v>0</v>
      </c>
    </row>
    <row r="284" ht="15.0" customHeight="1">
      <c r="A284" s="56" t="s">
        <v>173</v>
      </c>
      <c r="B284" s="56" t="s">
        <v>1467</v>
      </c>
      <c r="C284" s="57" t="s">
        <v>3528</v>
      </c>
      <c r="D284" s="58">
        <v>2.105428315E9</v>
      </c>
      <c r="E284" s="56" t="s">
        <v>362</v>
      </c>
      <c r="F284" s="56" t="s">
        <v>3529</v>
      </c>
      <c r="G284" s="56" t="s">
        <v>379</v>
      </c>
      <c r="H284" s="56" t="s">
        <v>366</v>
      </c>
      <c r="I284" s="56" t="s">
        <v>2283</v>
      </c>
      <c r="J284" s="56" t="s">
        <v>3530</v>
      </c>
      <c r="K284" s="59"/>
      <c r="L284" s="56" t="s">
        <v>2284</v>
      </c>
      <c r="M284" s="61" t="s">
        <v>373</v>
      </c>
      <c r="N284" s="58" t="s">
        <v>3531</v>
      </c>
      <c r="P284" s="55" t="b">
        <f t="shared" si="1"/>
        <v>0</v>
      </c>
    </row>
    <row r="285" ht="15.0" customHeight="1">
      <c r="A285" s="56" t="s">
        <v>174</v>
      </c>
      <c r="B285" s="56" t="s">
        <v>3532</v>
      </c>
      <c r="C285" s="57" t="s">
        <v>3533</v>
      </c>
      <c r="D285" s="58">
        <v>5.127456065E9</v>
      </c>
      <c r="E285" s="56" t="s">
        <v>390</v>
      </c>
      <c r="F285" s="56" t="s">
        <v>3534</v>
      </c>
      <c r="G285" s="56" t="s">
        <v>364</v>
      </c>
      <c r="H285" s="56" t="s">
        <v>366</v>
      </c>
      <c r="I285" s="56" t="s">
        <v>2283</v>
      </c>
      <c r="J285" s="56" t="s">
        <v>3535</v>
      </c>
      <c r="K285" s="59"/>
      <c r="L285" s="56" t="s">
        <v>2284</v>
      </c>
      <c r="M285" s="61" t="s">
        <v>373</v>
      </c>
      <c r="N285" s="58" t="s">
        <v>3536</v>
      </c>
      <c r="P285" s="55" t="b">
        <f t="shared" si="1"/>
        <v>0</v>
      </c>
    </row>
    <row r="286" ht="15.0" customHeight="1">
      <c r="A286" s="56" t="s">
        <v>3537</v>
      </c>
      <c r="B286" s="56" t="s">
        <v>3538</v>
      </c>
      <c r="C286" s="57" t="s">
        <v>3539</v>
      </c>
      <c r="D286" s="58">
        <v>8.643536462E9</v>
      </c>
      <c r="E286" s="56" t="s">
        <v>390</v>
      </c>
      <c r="F286" s="56" t="s">
        <v>3540</v>
      </c>
      <c r="G286" s="56" t="s">
        <v>399</v>
      </c>
      <c r="H286" s="56" t="s">
        <v>366</v>
      </c>
      <c r="I286" s="56" t="s">
        <v>2288</v>
      </c>
      <c r="J286" s="56" t="s">
        <v>3541</v>
      </c>
      <c r="K286" s="59"/>
      <c r="L286" s="56" t="s">
        <v>2289</v>
      </c>
      <c r="M286" s="61" t="s">
        <v>373</v>
      </c>
      <c r="N286" s="58" t="s">
        <v>3542</v>
      </c>
      <c r="P286" s="55" t="b">
        <f t="shared" si="1"/>
        <v>0</v>
      </c>
    </row>
    <row r="287" ht="15.0" customHeight="1">
      <c r="A287" s="56" t="s">
        <v>176</v>
      </c>
      <c r="B287" s="56" t="s">
        <v>3543</v>
      </c>
      <c r="C287" s="57" t="s">
        <v>3544</v>
      </c>
      <c r="D287" s="58">
        <v>8.30624601E9</v>
      </c>
      <c r="E287" s="56" t="s">
        <v>390</v>
      </c>
      <c r="F287" s="56" t="s">
        <v>3545</v>
      </c>
      <c r="G287" s="56" t="s">
        <v>364</v>
      </c>
      <c r="H287" s="56" t="s">
        <v>366</v>
      </c>
      <c r="I287" s="56" t="s">
        <v>2473</v>
      </c>
      <c r="J287" s="56" t="s">
        <v>3546</v>
      </c>
      <c r="K287" s="59"/>
      <c r="L287" s="56" t="s">
        <v>2284</v>
      </c>
      <c r="M287" s="61" t="s">
        <v>373</v>
      </c>
      <c r="N287" s="58" t="s">
        <v>3547</v>
      </c>
      <c r="P287" s="55" t="b">
        <f t="shared" si="1"/>
        <v>0</v>
      </c>
    </row>
    <row r="288" ht="15.0" customHeight="1">
      <c r="A288" s="56" t="s">
        <v>177</v>
      </c>
      <c r="B288" s="56" t="s">
        <v>3548</v>
      </c>
      <c r="C288" s="57" t="s">
        <v>3549</v>
      </c>
      <c r="D288" s="56" t="s">
        <v>3550</v>
      </c>
      <c r="E288" s="56" t="s">
        <v>2286</v>
      </c>
      <c r="F288" s="56" t="s">
        <v>2286</v>
      </c>
      <c r="G288" s="56" t="s">
        <v>364</v>
      </c>
      <c r="H288" s="56" t="s">
        <v>413</v>
      </c>
      <c r="I288" s="56" t="s">
        <v>2288</v>
      </c>
      <c r="J288" s="56" t="s">
        <v>3551</v>
      </c>
      <c r="K288" s="59"/>
      <c r="L288" s="56" t="s">
        <v>2289</v>
      </c>
      <c r="M288" s="61" t="s">
        <v>373</v>
      </c>
      <c r="N288" s="58" t="s">
        <v>3552</v>
      </c>
      <c r="P288" s="55" t="b">
        <f t="shared" si="1"/>
        <v>0</v>
      </c>
    </row>
    <row r="289" ht="15.0" customHeight="1">
      <c r="A289" s="56" t="s">
        <v>178</v>
      </c>
      <c r="B289" s="56" t="s">
        <v>3553</v>
      </c>
      <c r="C289" s="57" t="s">
        <v>3554</v>
      </c>
      <c r="D289" s="58">
        <v>9.795838149E9</v>
      </c>
      <c r="E289" s="56" t="s">
        <v>390</v>
      </c>
      <c r="F289" s="56" t="s">
        <v>411</v>
      </c>
      <c r="G289" s="56" t="s">
        <v>364</v>
      </c>
      <c r="H289" s="56" t="s">
        <v>366</v>
      </c>
      <c r="I289" s="56" t="s">
        <v>2510</v>
      </c>
      <c r="J289" s="56" t="s">
        <v>3555</v>
      </c>
      <c r="K289" s="59"/>
      <c r="L289" s="56" t="s">
        <v>2289</v>
      </c>
      <c r="M289" s="61" t="s">
        <v>373</v>
      </c>
      <c r="N289" s="58" t="s">
        <v>3556</v>
      </c>
      <c r="P289" s="55" t="b">
        <f t="shared" si="1"/>
        <v>0</v>
      </c>
    </row>
    <row r="290" ht="15.0" customHeight="1">
      <c r="A290" s="56" t="s">
        <v>179</v>
      </c>
      <c r="B290" s="56" t="s">
        <v>3557</v>
      </c>
      <c r="C290" s="57" t="s">
        <v>3558</v>
      </c>
      <c r="D290" s="58">
        <v>8.32434409E9</v>
      </c>
      <c r="E290" s="56" t="s">
        <v>2286</v>
      </c>
      <c r="F290" s="56" t="s">
        <v>3351</v>
      </c>
      <c r="G290" s="56" t="s">
        <v>364</v>
      </c>
      <c r="H290" s="56" t="s">
        <v>413</v>
      </c>
      <c r="I290" s="56" t="s">
        <v>3067</v>
      </c>
      <c r="J290" s="56" t="s">
        <v>1208</v>
      </c>
      <c r="K290" s="59"/>
      <c r="L290" s="56" t="s">
        <v>2289</v>
      </c>
      <c r="M290" s="61" t="s">
        <v>373</v>
      </c>
      <c r="N290" s="58" t="s">
        <v>3559</v>
      </c>
      <c r="P290" s="55" t="b">
        <f t="shared" si="1"/>
        <v>0</v>
      </c>
    </row>
    <row r="291" ht="15.0" customHeight="1">
      <c r="A291" s="56" t="s">
        <v>3560</v>
      </c>
      <c r="B291" s="56" t="s">
        <v>3561</v>
      </c>
      <c r="C291" s="57" t="s">
        <v>3562</v>
      </c>
      <c r="D291" s="58">
        <v>9.372595008E9</v>
      </c>
      <c r="E291" s="56" t="s">
        <v>2286</v>
      </c>
      <c r="F291" s="56" t="s">
        <v>2286</v>
      </c>
      <c r="G291" s="56" t="s">
        <v>399</v>
      </c>
      <c r="H291" s="56" t="s">
        <v>366</v>
      </c>
      <c r="I291" s="56" t="s">
        <v>2283</v>
      </c>
      <c r="J291" s="56" t="s">
        <v>3551</v>
      </c>
      <c r="K291" s="59"/>
      <c r="L291" s="56" t="s">
        <v>2284</v>
      </c>
      <c r="M291" s="61" t="s">
        <v>373</v>
      </c>
      <c r="N291" s="58" t="s">
        <v>3058</v>
      </c>
      <c r="P291" s="55" t="b">
        <f t="shared" si="1"/>
        <v>0</v>
      </c>
    </row>
    <row r="292" ht="15.0" customHeight="1">
      <c r="A292" s="56" t="s">
        <v>1490</v>
      </c>
      <c r="B292" s="56" t="s">
        <v>3563</v>
      </c>
      <c r="C292" s="57" t="s">
        <v>3564</v>
      </c>
      <c r="D292" s="58">
        <v>8.327226713E9</v>
      </c>
      <c r="E292" s="56" t="s">
        <v>2286</v>
      </c>
      <c r="F292" s="56" t="s">
        <v>2286</v>
      </c>
      <c r="G292" s="56" t="s">
        <v>364</v>
      </c>
      <c r="H292" s="56" t="s">
        <v>366</v>
      </c>
      <c r="I292" s="62" t="s">
        <v>2473</v>
      </c>
      <c r="J292" s="59"/>
      <c r="K292" s="59"/>
      <c r="L292" s="56" t="s">
        <v>2284</v>
      </c>
      <c r="M292" s="61" t="s">
        <v>2362</v>
      </c>
      <c r="N292" s="58" t="s">
        <v>3565</v>
      </c>
      <c r="P292" s="55" t="b">
        <f t="shared" si="1"/>
        <v>0</v>
      </c>
    </row>
    <row r="293" ht="15.0" customHeight="1">
      <c r="A293" s="56" t="s">
        <v>3566</v>
      </c>
      <c r="B293" s="56" t="s">
        <v>3567</v>
      </c>
      <c r="C293" s="57" t="s">
        <v>3568</v>
      </c>
      <c r="D293" s="58">
        <v>4.018634248E9</v>
      </c>
      <c r="E293" s="56" t="s">
        <v>459</v>
      </c>
      <c r="F293" s="56" t="s">
        <v>3209</v>
      </c>
      <c r="G293" s="56" t="s">
        <v>364</v>
      </c>
      <c r="H293" s="56" t="s">
        <v>413</v>
      </c>
      <c r="I293" s="56" t="s">
        <v>2293</v>
      </c>
      <c r="J293" s="56" t="s">
        <v>3569</v>
      </c>
      <c r="K293" s="59"/>
      <c r="L293" s="56" t="s">
        <v>2284</v>
      </c>
      <c r="M293" s="61" t="s">
        <v>373</v>
      </c>
      <c r="N293" s="58" t="s">
        <v>3570</v>
      </c>
      <c r="P293" s="55" t="b">
        <f t="shared" si="1"/>
        <v>0</v>
      </c>
    </row>
    <row r="294" ht="15.0" customHeight="1">
      <c r="A294" s="56" t="s">
        <v>180</v>
      </c>
      <c r="B294" s="56" t="s">
        <v>3571</v>
      </c>
      <c r="C294" s="57" t="s">
        <v>3572</v>
      </c>
      <c r="D294" s="56" t="s">
        <v>3573</v>
      </c>
      <c r="E294" s="56" t="s">
        <v>2286</v>
      </c>
      <c r="F294" s="56" t="s">
        <v>3574</v>
      </c>
      <c r="G294" s="56" t="s">
        <v>399</v>
      </c>
      <c r="H294" s="56" t="s">
        <v>366</v>
      </c>
      <c r="I294" s="56" t="s">
        <v>381</v>
      </c>
      <c r="J294" s="56" t="s">
        <v>3575</v>
      </c>
      <c r="K294" s="59"/>
      <c r="L294" s="56" t="s">
        <v>2305</v>
      </c>
      <c r="M294" s="61" t="s">
        <v>373</v>
      </c>
      <c r="N294" s="58" t="s">
        <v>3576</v>
      </c>
      <c r="P294" s="55" t="b">
        <f t="shared" si="1"/>
        <v>0</v>
      </c>
    </row>
    <row r="295" ht="15.0" customHeight="1">
      <c r="A295" s="56" t="s">
        <v>1507</v>
      </c>
      <c r="B295" s="56" t="s">
        <v>3577</v>
      </c>
      <c r="C295" s="57" t="s">
        <v>1509</v>
      </c>
      <c r="D295" s="56" t="s">
        <v>3578</v>
      </c>
      <c r="E295" s="56" t="s">
        <v>390</v>
      </c>
      <c r="F295" s="56" t="s">
        <v>3579</v>
      </c>
      <c r="G295" s="56" t="s">
        <v>364</v>
      </c>
      <c r="H295" s="56" t="s">
        <v>513</v>
      </c>
      <c r="I295" s="56" t="s">
        <v>2283</v>
      </c>
      <c r="J295" s="56" t="s">
        <v>2660</v>
      </c>
      <c r="K295" s="59"/>
      <c r="L295" s="56" t="s">
        <v>2284</v>
      </c>
      <c r="M295" s="61" t="s">
        <v>373</v>
      </c>
      <c r="N295" s="58" t="s">
        <v>3580</v>
      </c>
      <c r="P295" s="55" t="b">
        <f t="shared" si="1"/>
        <v>1</v>
      </c>
    </row>
    <row r="296" ht="15.0" customHeight="1">
      <c r="A296" s="56" t="s">
        <v>3581</v>
      </c>
      <c r="B296" s="56" t="s">
        <v>3582</v>
      </c>
      <c r="C296" s="57" t="s">
        <v>3583</v>
      </c>
      <c r="D296" s="58">
        <v>9.72400213E9</v>
      </c>
      <c r="E296" s="56" t="s">
        <v>362</v>
      </c>
      <c r="F296" s="56" t="s">
        <v>3584</v>
      </c>
      <c r="G296" s="56" t="s">
        <v>364</v>
      </c>
      <c r="H296" s="56" t="s">
        <v>366</v>
      </c>
      <c r="I296" s="56" t="s">
        <v>381</v>
      </c>
      <c r="J296" s="56" t="s">
        <v>1076</v>
      </c>
      <c r="K296" s="59"/>
      <c r="L296" s="56" t="s">
        <v>2305</v>
      </c>
      <c r="M296" s="61" t="s">
        <v>373</v>
      </c>
      <c r="N296" s="58" t="s">
        <v>3585</v>
      </c>
      <c r="P296" s="55" t="b">
        <f t="shared" si="1"/>
        <v>0</v>
      </c>
    </row>
    <row r="297" ht="15.0" customHeight="1">
      <c r="A297" s="56" t="s">
        <v>3586</v>
      </c>
      <c r="B297" s="56" t="s">
        <v>3587</v>
      </c>
      <c r="C297" s="57" t="s">
        <v>3588</v>
      </c>
      <c r="D297" s="56" t="s">
        <v>3589</v>
      </c>
      <c r="E297" s="56" t="s">
        <v>390</v>
      </c>
      <c r="F297" s="56" t="s">
        <v>453</v>
      </c>
      <c r="G297" s="56" t="s">
        <v>379</v>
      </c>
      <c r="H297" s="56" t="s">
        <v>413</v>
      </c>
      <c r="I297" s="62" t="s">
        <v>2288</v>
      </c>
      <c r="J297" s="59"/>
      <c r="K297" s="59"/>
      <c r="L297" s="56" t="s">
        <v>2289</v>
      </c>
      <c r="M297" s="61" t="s">
        <v>373</v>
      </c>
      <c r="N297" s="58" t="s">
        <v>3590</v>
      </c>
      <c r="P297" s="55" t="b">
        <f t="shared" si="1"/>
        <v>0</v>
      </c>
    </row>
    <row r="298" ht="15.0" customHeight="1">
      <c r="A298" s="56" t="s">
        <v>3586</v>
      </c>
      <c r="B298" s="56" t="s">
        <v>3591</v>
      </c>
      <c r="C298" s="57" t="s">
        <v>3592</v>
      </c>
      <c r="D298" s="56" t="s">
        <v>3593</v>
      </c>
      <c r="E298" s="56" t="s">
        <v>452</v>
      </c>
      <c r="F298" s="56" t="s">
        <v>3594</v>
      </c>
      <c r="G298" s="56" t="s">
        <v>379</v>
      </c>
      <c r="H298" s="56" t="s">
        <v>366</v>
      </c>
      <c r="I298" s="62" t="s">
        <v>2288</v>
      </c>
      <c r="J298" s="59"/>
      <c r="K298" s="59"/>
      <c r="L298" s="56" t="s">
        <v>2289</v>
      </c>
      <c r="M298" s="61" t="s">
        <v>373</v>
      </c>
      <c r="N298" s="58" t="s">
        <v>3595</v>
      </c>
      <c r="P298" s="55" t="b">
        <f t="shared" si="1"/>
        <v>0</v>
      </c>
    </row>
    <row r="299" ht="15.0" customHeight="1">
      <c r="A299" s="56" t="s">
        <v>3596</v>
      </c>
      <c r="B299" s="56" t="s">
        <v>3597</v>
      </c>
      <c r="C299" s="57" t="s">
        <v>3598</v>
      </c>
      <c r="D299" s="58">
        <v>3.037483984E9</v>
      </c>
      <c r="E299" s="56" t="s">
        <v>1598</v>
      </c>
      <c r="F299" s="56" t="s">
        <v>2528</v>
      </c>
      <c r="G299" s="56" t="s">
        <v>399</v>
      </c>
      <c r="H299" s="56" t="s">
        <v>513</v>
      </c>
      <c r="I299" s="56" t="s">
        <v>381</v>
      </c>
      <c r="J299" s="56" t="s">
        <v>1335</v>
      </c>
      <c r="K299" s="59"/>
      <c r="L299" s="56" t="s">
        <v>2305</v>
      </c>
      <c r="M299" s="61" t="s">
        <v>373</v>
      </c>
      <c r="N299" s="58" t="s">
        <v>3599</v>
      </c>
      <c r="P299" s="55" t="b">
        <f t="shared" si="1"/>
        <v>1</v>
      </c>
    </row>
    <row r="300" ht="15.0" customHeight="1">
      <c r="A300" s="56" t="s">
        <v>182</v>
      </c>
      <c r="B300" s="56" t="s">
        <v>1519</v>
      </c>
      <c r="C300" s="57" t="s">
        <v>3600</v>
      </c>
      <c r="D300" s="58">
        <v>9.72523053E9</v>
      </c>
      <c r="E300" s="56" t="s">
        <v>390</v>
      </c>
      <c r="F300" s="56" t="s">
        <v>676</v>
      </c>
      <c r="G300" s="56" t="s">
        <v>364</v>
      </c>
      <c r="H300" s="56" t="s">
        <v>366</v>
      </c>
      <c r="I300" s="56" t="s">
        <v>381</v>
      </c>
      <c r="J300" s="56" t="s">
        <v>3601</v>
      </c>
      <c r="K300" s="59"/>
      <c r="L300" s="56" t="s">
        <v>2305</v>
      </c>
      <c r="M300" s="61" t="s">
        <v>373</v>
      </c>
      <c r="N300" s="58" t="s">
        <v>3602</v>
      </c>
      <c r="P300" s="55" t="b">
        <f t="shared" si="1"/>
        <v>0</v>
      </c>
    </row>
    <row r="301" ht="15.0" customHeight="1">
      <c r="A301" s="56" t="s">
        <v>3603</v>
      </c>
      <c r="B301" s="56" t="s">
        <v>3604</v>
      </c>
      <c r="C301" s="57" t="s">
        <v>3605</v>
      </c>
      <c r="D301" s="58">
        <v>4.195642645E9</v>
      </c>
      <c r="E301" s="56" t="s">
        <v>410</v>
      </c>
      <c r="F301" s="56" t="s">
        <v>3606</v>
      </c>
      <c r="G301" s="56" t="s">
        <v>379</v>
      </c>
      <c r="H301" s="56" t="s">
        <v>413</v>
      </c>
      <c r="I301" s="56" t="s">
        <v>2283</v>
      </c>
      <c r="J301" s="56" t="s">
        <v>3607</v>
      </c>
      <c r="K301" s="59"/>
      <c r="L301" s="56" t="s">
        <v>2284</v>
      </c>
      <c r="M301" s="61" t="s">
        <v>373</v>
      </c>
      <c r="N301" s="58" t="s">
        <v>3608</v>
      </c>
      <c r="P301" s="55" t="b">
        <f t="shared" si="1"/>
        <v>0</v>
      </c>
    </row>
    <row r="302" ht="15.0" customHeight="1">
      <c r="A302" s="56" t="s">
        <v>3609</v>
      </c>
      <c r="B302" s="56" t="s">
        <v>3610</v>
      </c>
      <c r="C302" s="57" t="s">
        <v>3611</v>
      </c>
      <c r="D302" s="58">
        <v>3.612294073E9</v>
      </c>
      <c r="E302" s="56" t="s">
        <v>2286</v>
      </c>
      <c r="F302" s="56" t="s">
        <v>2286</v>
      </c>
      <c r="G302" s="56" t="s">
        <v>364</v>
      </c>
      <c r="H302" s="56" t="s">
        <v>366</v>
      </c>
      <c r="I302" s="56" t="s">
        <v>2288</v>
      </c>
      <c r="J302" s="56" t="s">
        <v>1349</v>
      </c>
      <c r="K302" s="59"/>
      <c r="L302" s="56" t="s">
        <v>2289</v>
      </c>
      <c r="M302" s="61" t="s">
        <v>373</v>
      </c>
      <c r="N302" s="58" t="s">
        <v>3612</v>
      </c>
      <c r="P302" s="55" t="b">
        <f t="shared" si="1"/>
        <v>0</v>
      </c>
    </row>
    <row r="303" ht="15.0" customHeight="1">
      <c r="A303" s="56" t="s">
        <v>184</v>
      </c>
      <c r="B303" s="56" t="s">
        <v>3613</v>
      </c>
      <c r="C303" s="57" t="s">
        <v>3614</v>
      </c>
      <c r="D303" s="58">
        <v>2.815430357E9</v>
      </c>
      <c r="E303" s="56" t="s">
        <v>410</v>
      </c>
      <c r="F303" s="56" t="s">
        <v>3365</v>
      </c>
      <c r="G303" s="56" t="s">
        <v>364</v>
      </c>
      <c r="H303" s="56" t="s">
        <v>413</v>
      </c>
      <c r="I303" s="56" t="s">
        <v>497</v>
      </c>
      <c r="J303" s="56" t="s">
        <v>3615</v>
      </c>
      <c r="K303" s="59"/>
      <c r="L303" s="56" t="s">
        <v>2305</v>
      </c>
      <c r="M303" s="61" t="s">
        <v>373</v>
      </c>
      <c r="N303" s="58" t="s">
        <v>3616</v>
      </c>
      <c r="P303" s="55" t="b">
        <f t="shared" si="1"/>
        <v>0</v>
      </c>
    </row>
    <row r="304" ht="15.0" customHeight="1">
      <c r="A304" s="56" t="s">
        <v>185</v>
      </c>
      <c r="B304" s="56" t="s">
        <v>3617</v>
      </c>
      <c r="C304" s="57" t="s">
        <v>3618</v>
      </c>
      <c r="D304" s="56" t="s">
        <v>3619</v>
      </c>
      <c r="E304" s="56" t="s">
        <v>452</v>
      </c>
      <c r="F304" s="56" t="s">
        <v>2938</v>
      </c>
      <c r="G304" s="56" t="s">
        <v>379</v>
      </c>
      <c r="H304" s="56" t="s">
        <v>366</v>
      </c>
      <c r="I304" s="56" t="s">
        <v>483</v>
      </c>
      <c r="J304" s="56" t="s">
        <v>3620</v>
      </c>
      <c r="K304" s="59"/>
      <c r="L304" s="56" t="s">
        <v>2305</v>
      </c>
      <c r="M304" s="61" t="s">
        <v>373</v>
      </c>
      <c r="N304" s="58" t="s">
        <v>3621</v>
      </c>
      <c r="P304" s="55" t="b">
        <f t="shared" si="1"/>
        <v>0</v>
      </c>
    </row>
    <row r="305" ht="15.0" customHeight="1">
      <c r="A305" s="56" t="s">
        <v>186</v>
      </c>
      <c r="B305" s="56" t="s">
        <v>3622</v>
      </c>
      <c r="C305" s="57" t="s">
        <v>3623</v>
      </c>
      <c r="D305" s="56" t="s">
        <v>3624</v>
      </c>
      <c r="E305" s="56" t="s">
        <v>2286</v>
      </c>
      <c r="F305" s="56" t="s">
        <v>2287</v>
      </c>
      <c r="G305" s="56" t="s">
        <v>379</v>
      </c>
      <c r="H305" s="56" t="s">
        <v>366</v>
      </c>
      <c r="I305" s="56" t="s">
        <v>2283</v>
      </c>
      <c r="J305" s="56" t="s">
        <v>3625</v>
      </c>
      <c r="K305" s="59"/>
      <c r="L305" s="56" t="s">
        <v>2284</v>
      </c>
      <c r="M305" s="61" t="s">
        <v>373</v>
      </c>
      <c r="N305" s="58" t="s">
        <v>3626</v>
      </c>
      <c r="P305" s="55" t="b">
        <f t="shared" si="1"/>
        <v>0</v>
      </c>
    </row>
    <row r="306" ht="15.0" customHeight="1">
      <c r="A306" s="56" t="s">
        <v>187</v>
      </c>
      <c r="B306" s="56" t="s">
        <v>1528</v>
      </c>
      <c r="C306" s="57" t="s">
        <v>1529</v>
      </c>
      <c r="D306" s="58">
        <v>9.792155078E9</v>
      </c>
      <c r="E306" s="56" t="s">
        <v>390</v>
      </c>
      <c r="F306" s="56" t="s">
        <v>3627</v>
      </c>
      <c r="G306" s="56" t="s">
        <v>364</v>
      </c>
      <c r="H306" s="56" t="s">
        <v>413</v>
      </c>
      <c r="I306" s="56" t="s">
        <v>2288</v>
      </c>
      <c r="J306" s="56" t="s">
        <v>3474</v>
      </c>
      <c r="K306" s="59"/>
      <c r="L306" s="56" t="s">
        <v>2289</v>
      </c>
      <c r="M306" s="61" t="s">
        <v>373</v>
      </c>
      <c r="N306" s="58" t="s">
        <v>2312</v>
      </c>
      <c r="P306" s="55" t="b">
        <f t="shared" si="1"/>
        <v>0</v>
      </c>
    </row>
    <row r="307" ht="15.0" customHeight="1">
      <c r="A307" s="56" t="s">
        <v>188</v>
      </c>
      <c r="B307" s="56" t="s">
        <v>3628</v>
      </c>
      <c r="C307" s="57" t="s">
        <v>3629</v>
      </c>
      <c r="D307" s="58">
        <v>3.195415201E9</v>
      </c>
      <c r="E307" s="56" t="s">
        <v>2286</v>
      </c>
      <c r="F307" s="56" t="s">
        <v>2286</v>
      </c>
      <c r="G307" s="56" t="s">
        <v>364</v>
      </c>
      <c r="H307" s="56" t="s">
        <v>366</v>
      </c>
      <c r="I307" s="56" t="s">
        <v>381</v>
      </c>
      <c r="J307" s="56" t="s">
        <v>1001</v>
      </c>
      <c r="K307" s="59"/>
      <c r="L307" s="56" t="s">
        <v>2305</v>
      </c>
      <c r="M307" s="61" t="s">
        <v>373</v>
      </c>
      <c r="N307" s="58" t="s">
        <v>3630</v>
      </c>
      <c r="P307" s="55" t="b">
        <f t="shared" si="1"/>
        <v>0</v>
      </c>
    </row>
    <row r="308" ht="15.0" customHeight="1">
      <c r="A308" s="56" t="s">
        <v>189</v>
      </c>
      <c r="B308" s="56" t="s">
        <v>1532</v>
      </c>
      <c r="C308" s="57" t="s">
        <v>1533</v>
      </c>
      <c r="D308" s="58">
        <v>4.705370406E9</v>
      </c>
      <c r="E308" s="56" t="s">
        <v>2291</v>
      </c>
      <c r="F308" s="56" t="s">
        <v>3631</v>
      </c>
      <c r="G308" s="56" t="s">
        <v>379</v>
      </c>
      <c r="H308" s="56" t="s">
        <v>366</v>
      </c>
      <c r="I308" s="56" t="s">
        <v>2473</v>
      </c>
      <c r="J308" s="56" t="s">
        <v>454</v>
      </c>
      <c r="K308" s="59"/>
      <c r="L308" s="56" t="s">
        <v>2284</v>
      </c>
      <c r="M308" s="61" t="s">
        <v>373</v>
      </c>
      <c r="N308" s="58" t="s">
        <v>3632</v>
      </c>
      <c r="P308" s="55" t="b">
        <f t="shared" si="1"/>
        <v>0</v>
      </c>
    </row>
    <row r="309" ht="15.0" customHeight="1">
      <c r="A309" s="56" t="s">
        <v>190</v>
      </c>
      <c r="B309" s="56" t="s">
        <v>1538</v>
      </c>
      <c r="C309" s="57" t="s">
        <v>1539</v>
      </c>
      <c r="D309" s="56" t="s">
        <v>1540</v>
      </c>
      <c r="E309" s="56" t="s">
        <v>2286</v>
      </c>
      <c r="F309" s="56" t="s">
        <v>3197</v>
      </c>
      <c r="G309" s="56" t="s">
        <v>364</v>
      </c>
      <c r="H309" s="56" t="s">
        <v>366</v>
      </c>
      <c r="I309" s="56" t="s">
        <v>381</v>
      </c>
      <c r="J309" s="56" t="s">
        <v>3633</v>
      </c>
      <c r="K309" s="59"/>
      <c r="L309" s="56" t="s">
        <v>2305</v>
      </c>
      <c r="M309" s="61" t="s">
        <v>373</v>
      </c>
      <c r="N309" s="58" t="s">
        <v>3634</v>
      </c>
      <c r="P309" s="55" t="b">
        <f t="shared" si="1"/>
        <v>0</v>
      </c>
    </row>
    <row r="310" ht="15.0" customHeight="1">
      <c r="A310" s="56" t="s">
        <v>3635</v>
      </c>
      <c r="B310" s="56" t="s">
        <v>3636</v>
      </c>
      <c r="C310" s="57" t="s">
        <v>3637</v>
      </c>
      <c r="D310" s="58">
        <v>2.106267452E9</v>
      </c>
      <c r="E310" s="56" t="s">
        <v>410</v>
      </c>
      <c r="F310" s="56" t="s">
        <v>411</v>
      </c>
      <c r="G310" s="56" t="s">
        <v>379</v>
      </c>
      <c r="H310" s="56" t="s">
        <v>366</v>
      </c>
      <c r="I310" s="56" t="s">
        <v>497</v>
      </c>
      <c r="J310" s="56" t="s">
        <v>3638</v>
      </c>
      <c r="K310" s="59"/>
      <c r="L310" s="56" t="s">
        <v>2305</v>
      </c>
      <c r="M310" s="61" t="s">
        <v>373</v>
      </c>
      <c r="N310" s="58" t="s">
        <v>3639</v>
      </c>
      <c r="P310" s="55" t="b">
        <f t="shared" si="1"/>
        <v>0</v>
      </c>
    </row>
    <row r="311" ht="15.0" customHeight="1">
      <c r="A311" s="56" t="s">
        <v>3640</v>
      </c>
      <c r="B311" s="56" t="s">
        <v>3641</v>
      </c>
      <c r="C311" s="57" t="s">
        <v>3642</v>
      </c>
      <c r="D311" s="56" t="s">
        <v>3643</v>
      </c>
      <c r="E311" s="56" t="s">
        <v>1598</v>
      </c>
      <c r="F311" s="56" t="s">
        <v>3644</v>
      </c>
      <c r="G311" s="56" t="s">
        <v>364</v>
      </c>
      <c r="H311" s="56" t="s">
        <v>413</v>
      </c>
      <c r="I311" s="56" t="s">
        <v>2283</v>
      </c>
      <c r="J311" s="56" t="s">
        <v>3645</v>
      </c>
      <c r="K311" s="59"/>
      <c r="L311" s="56" t="s">
        <v>2284</v>
      </c>
      <c r="M311" s="61" t="s">
        <v>2362</v>
      </c>
      <c r="N311" s="58" t="s">
        <v>3646</v>
      </c>
      <c r="P311" s="55" t="b">
        <f t="shared" si="1"/>
        <v>0</v>
      </c>
    </row>
    <row r="312" ht="15.0" customHeight="1">
      <c r="A312" s="56" t="s">
        <v>192</v>
      </c>
      <c r="B312" s="56" t="s">
        <v>1545</v>
      </c>
      <c r="C312" s="57" t="s">
        <v>1546</v>
      </c>
      <c r="D312" s="58">
        <v>9.132939738E9</v>
      </c>
      <c r="E312" s="56" t="s">
        <v>2286</v>
      </c>
      <c r="F312" s="56" t="s">
        <v>3647</v>
      </c>
      <c r="G312" s="56" t="s">
        <v>379</v>
      </c>
      <c r="H312" s="56" t="s">
        <v>366</v>
      </c>
      <c r="I312" s="56" t="s">
        <v>2283</v>
      </c>
      <c r="J312" s="56" t="s">
        <v>601</v>
      </c>
      <c r="K312" s="59"/>
      <c r="L312" s="56" t="s">
        <v>2284</v>
      </c>
      <c r="M312" s="61" t="s">
        <v>373</v>
      </c>
      <c r="N312" s="58" t="s">
        <v>3648</v>
      </c>
      <c r="P312" s="55" t="b">
        <f t="shared" si="1"/>
        <v>0</v>
      </c>
    </row>
    <row r="313" ht="15.0" customHeight="1">
      <c r="A313" s="56" t="s">
        <v>193</v>
      </c>
      <c r="B313" s="56" t="s">
        <v>1550</v>
      </c>
      <c r="C313" s="57" t="s">
        <v>1551</v>
      </c>
      <c r="D313" s="56" t="s">
        <v>1552</v>
      </c>
      <c r="E313" s="56" t="s">
        <v>1553</v>
      </c>
      <c r="F313" s="56" t="s">
        <v>3649</v>
      </c>
      <c r="G313" s="56" t="s">
        <v>364</v>
      </c>
      <c r="H313" s="56" t="s">
        <v>413</v>
      </c>
      <c r="I313" s="56" t="s">
        <v>497</v>
      </c>
      <c r="J313" s="56" t="s">
        <v>3650</v>
      </c>
      <c r="K313" s="59"/>
      <c r="L313" s="56" t="s">
        <v>2305</v>
      </c>
      <c r="M313" s="61" t="s">
        <v>373</v>
      </c>
      <c r="N313" s="58" t="s">
        <v>3651</v>
      </c>
      <c r="P313" s="55" t="b">
        <f t="shared" si="1"/>
        <v>0</v>
      </c>
    </row>
    <row r="314" ht="15.0" customHeight="1">
      <c r="A314" s="56" t="s">
        <v>194</v>
      </c>
      <c r="B314" s="56" t="s">
        <v>1557</v>
      </c>
      <c r="C314" s="57" t="s">
        <v>1558</v>
      </c>
      <c r="D314" s="58">
        <v>3.613624222E9</v>
      </c>
      <c r="E314" s="56" t="s">
        <v>2286</v>
      </c>
      <c r="F314" s="56" t="s">
        <v>2286</v>
      </c>
      <c r="G314" s="56" t="s">
        <v>399</v>
      </c>
      <c r="H314" s="56" t="s">
        <v>413</v>
      </c>
      <c r="I314" s="56" t="s">
        <v>2288</v>
      </c>
      <c r="J314" s="56" t="s">
        <v>643</v>
      </c>
      <c r="K314" s="59"/>
      <c r="L314" s="56" t="s">
        <v>2289</v>
      </c>
      <c r="M314" s="61" t="s">
        <v>373</v>
      </c>
      <c r="N314" s="58" t="s">
        <v>3652</v>
      </c>
      <c r="P314" s="55" t="b">
        <f t="shared" si="1"/>
        <v>0</v>
      </c>
    </row>
    <row r="315" ht="15.0" customHeight="1">
      <c r="A315" s="56" t="s">
        <v>313</v>
      </c>
      <c r="B315" s="56" t="s">
        <v>3653</v>
      </c>
      <c r="C315" s="57" t="s">
        <v>3654</v>
      </c>
      <c r="D315" s="58">
        <v>2.102732455E9</v>
      </c>
      <c r="E315" s="56" t="s">
        <v>634</v>
      </c>
      <c r="F315" s="56" t="s">
        <v>3655</v>
      </c>
      <c r="G315" s="56" t="s">
        <v>379</v>
      </c>
      <c r="H315" s="56" t="s">
        <v>413</v>
      </c>
      <c r="I315" s="56" t="s">
        <v>2288</v>
      </c>
      <c r="J315" s="56" t="s">
        <v>1426</v>
      </c>
      <c r="K315" s="59"/>
      <c r="L315" s="56" t="s">
        <v>2289</v>
      </c>
      <c r="M315" s="61" t="s">
        <v>373</v>
      </c>
      <c r="N315" s="58" t="s">
        <v>3656</v>
      </c>
      <c r="P315" s="55" t="b">
        <f t="shared" si="1"/>
        <v>0</v>
      </c>
    </row>
    <row r="316" ht="15.0" customHeight="1">
      <c r="A316" s="56" t="s">
        <v>3657</v>
      </c>
      <c r="B316" s="56" t="s">
        <v>594</v>
      </c>
      <c r="C316" s="57" t="s">
        <v>3658</v>
      </c>
      <c r="D316" s="58">
        <v>8.329484173E9</v>
      </c>
      <c r="E316" s="56" t="s">
        <v>452</v>
      </c>
      <c r="F316" s="56" t="s">
        <v>2528</v>
      </c>
      <c r="G316" s="56" t="s">
        <v>379</v>
      </c>
      <c r="H316" s="56" t="s">
        <v>513</v>
      </c>
      <c r="I316" s="56" t="s">
        <v>2288</v>
      </c>
      <c r="J316" s="56" t="s">
        <v>3659</v>
      </c>
      <c r="K316" s="59"/>
      <c r="L316" s="56" t="s">
        <v>2289</v>
      </c>
      <c r="M316" s="61" t="s">
        <v>373</v>
      </c>
      <c r="N316" s="58" t="s">
        <v>3660</v>
      </c>
      <c r="P316" s="55" t="b">
        <f t="shared" si="1"/>
        <v>1</v>
      </c>
    </row>
    <row r="317" ht="15.0" customHeight="1">
      <c r="A317" s="56" t="s">
        <v>196</v>
      </c>
      <c r="B317" s="56" t="s">
        <v>1571</v>
      </c>
      <c r="C317" s="57" t="s">
        <v>1572</v>
      </c>
      <c r="D317" s="56" t="s">
        <v>3661</v>
      </c>
      <c r="E317" s="56" t="s">
        <v>2286</v>
      </c>
      <c r="F317" s="56" t="s">
        <v>3647</v>
      </c>
      <c r="G317" s="56" t="s">
        <v>364</v>
      </c>
      <c r="H317" s="56" t="s">
        <v>366</v>
      </c>
      <c r="I317" s="56" t="s">
        <v>483</v>
      </c>
      <c r="J317" s="56" t="s">
        <v>3662</v>
      </c>
      <c r="K317" s="59"/>
      <c r="L317" s="56" t="s">
        <v>2305</v>
      </c>
      <c r="M317" s="61" t="s">
        <v>373</v>
      </c>
      <c r="N317" s="58" t="s">
        <v>3663</v>
      </c>
      <c r="P317" s="55" t="b">
        <f t="shared" si="1"/>
        <v>0</v>
      </c>
    </row>
    <row r="318" ht="15.0" customHeight="1">
      <c r="A318" s="56" t="s">
        <v>3664</v>
      </c>
      <c r="B318" s="56" t="s">
        <v>3665</v>
      </c>
      <c r="C318" s="57" t="s">
        <v>3666</v>
      </c>
      <c r="D318" s="58">
        <v>2.068328254E9</v>
      </c>
      <c r="E318" s="56" t="s">
        <v>390</v>
      </c>
      <c r="F318" s="56" t="s">
        <v>3667</v>
      </c>
      <c r="G318" s="56" t="s">
        <v>399</v>
      </c>
      <c r="H318" s="56" t="s">
        <v>869</v>
      </c>
      <c r="I318" s="56" t="s">
        <v>2473</v>
      </c>
      <c r="J318" s="56" t="s">
        <v>3668</v>
      </c>
      <c r="K318" s="59"/>
      <c r="L318" s="56" t="s">
        <v>2284</v>
      </c>
      <c r="M318" s="61" t="s">
        <v>373</v>
      </c>
      <c r="N318" s="58" t="s">
        <v>3669</v>
      </c>
      <c r="P318" s="55" t="b">
        <f t="shared" si="1"/>
        <v>0</v>
      </c>
    </row>
    <row r="319" ht="15.0" customHeight="1">
      <c r="A319" s="56" t="s">
        <v>197</v>
      </c>
      <c r="B319" s="56" t="s">
        <v>1580</v>
      </c>
      <c r="C319" s="57" t="s">
        <v>1581</v>
      </c>
      <c r="D319" s="56" t="s">
        <v>1582</v>
      </c>
      <c r="E319" s="56" t="s">
        <v>410</v>
      </c>
      <c r="F319" s="56" t="s">
        <v>411</v>
      </c>
      <c r="G319" s="56" t="s">
        <v>379</v>
      </c>
      <c r="H319" s="56" t="s">
        <v>413</v>
      </c>
      <c r="I319" s="56" t="s">
        <v>2510</v>
      </c>
      <c r="J319" s="56" t="s">
        <v>3670</v>
      </c>
      <c r="K319" s="59"/>
      <c r="L319" s="56" t="s">
        <v>2289</v>
      </c>
      <c r="M319" s="61" t="s">
        <v>373</v>
      </c>
      <c r="N319" s="58" t="s">
        <v>3671</v>
      </c>
      <c r="P319" s="55" t="b">
        <f t="shared" si="1"/>
        <v>0</v>
      </c>
    </row>
    <row r="320" ht="15.0" customHeight="1">
      <c r="A320" s="56" t="s">
        <v>3672</v>
      </c>
      <c r="B320" s="56" t="s">
        <v>3673</v>
      </c>
      <c r="C320" s="57" t="s">
        <v>3674</v>
      </c>
      <c r="D320" s="56" t="s">
        <v>3675</v>
      </c>
      <c r="E320" s="56" t="s">
        <v>452</v>
      </c>
      <c r="F320" s="56" t="s">
        <v>3676</v>
      </c>
      <c r="G320" s="56" t="s">
        <v>3677</v>
      </c>
      <c r="H320" s="56" t="s">
        <v>366</v>
      </c>
      <c r="I320" s="56" t="s">
        <v>2288</v>
      </c>
      <c r="J320" s="56" t="s">
        <v>591</v>
      </c>
      <c r="K320" s="59"/>
      <c r="L320" s="56" t="s">
        <v>2289</v>
      </c>
      <c r="M320" s="61" t="s">
        <v>373</v>
      </c>
      <c r="N320" s="58" t="s">
        <v>3678</v>
      </c>
      <c r="P320" s="55" t="b">
        <f t="shared" si="1"/>
        <v>0</v>
      </c>
    </row>
    <row r="321" ht="15.0" customHeight="1">
      <c r="A321" s="56" t="s">
        <v>314</v>
      </c>
      <c r="B321" s="56" t="s">
        <v>1586</v>
      </c>
      <c r="C321" s="57" t="s">
        <v>1587</v>
      </c>
      <c r="D321" s="56" t="s">
        <v>3679</v>
      </c>
      <c r="E321" s="56" t="s">
        <v>390</v>
      </c>
      <c r="F321" s="56" t="s">
        <v>3680</v>
      </c>
      <c r="G321" s="56" t="s">
        <v>364</v>
      </c>
      <c r="H321" s="56" t="s">
        <v>513</v>
      </c>
      <c r="I321" s="56" t="s">
        <v>2283</v>
      </c>
      <c r="J321" s="56" t="s">
        <v>3681</v>
      </c>
      <c r="K321" s="59"/>
      <c r="L321" s="56" t="s">
        <v>2284</v>
      </c>
      <c r="M321" s="61" t="s">
        <v>373</v>
      </c>
      <c r="N321" s="58" t="s">
        <v>3682</v>
      </c>
      <c r="P321" s="55" t="b">
        <f t="shared" si="1"/>
        <v>1</v>
      </c>
    </row>
    <row r="322" ht="15.0" customHeight="1">
      <c r="A322" s="56" t="s">
        <v>3683</v>
      </c>
      <c r="B322" s="56" t="s">
        <v>3684</v>
      </c>
      <c r="C322" s="57" t="s">
        <v>3685</v>
      </c>
      <c r="D322" s="58">
        <v>9.037464615E9</v>
      </c>
      <c r="E322" s="56" t="s">
        <v>2286</v>
      </c>
      <c r="F322" s="56" t="s">
        <v>2286</v>
      </c>
      <c r="G322" s="56" t="s">
        <v>364</v>
      </c>
      <c r="H322" s="56" t="s">
        <v>413</v>
      </c>
      <c r="I322" s="56" t="s">
        <v>2288</v>
      </c>
      <c r="J322" s="56" t="s">
        <v>1573</v>
      </c>
      <c r="K322" s="59"/>
      <c r="L322" s="56" t="s">
        <v>2289</v>
      </c>
      <c r="M322" s="61" t="s">
        <v>373</v>
      </c>
      <c r="N322" s="58" t="s">
        <v>3686</v>
      </c>
      <c r="P322" s="55" t="b">
        <f t="shared" si="1"/>
        <v>0</v>
      </c>
    </row>
    <row r="323" ht="15.0" customHeight="1">
      <c r="A323" s="56" t="s">
        <v>3687</v>
      </c>
      <c r="B323" s="56" t="s">
        <v>3688</v>
      </c>
      <c r="C323" s="57" t="s">
        <v>3689</v>
      </c>
      <c r="D323" s="56" t="s">
        <v>3690</v>
      </c>
      <c r="E323" s="56" t="s">
        <v>452</v>
      </c>
      <c r="F323" s="56" t="s">
        <v>3691</v>
      </c>
      <c r="G323" s="56" t="s">
        <v>399</v>
      </c>
      <c r="H323" s="56" t="s">
        <v>413</v>
      </c>
      <c r="I323" s="56" t="s">
        <v>497</v>
      </c>
      <c r="J323" s="56" t="s">
        <v>1147</v>
      </c>
      <c r="K323" s="59"/>
      <c r="L323" s="56" t="s">
        <v>2305</v>
      </c>
      <c r="M323" s="61" t="s">
        <v>373</v>
      </c>
      <c r="N323" s="58" t="s">
        <v>3692</v>
      </c>
      <c r="P323" s="55" t="b">
        <f t="shared" si="1"/>
        <v>0</v>
      </c>
    </row>
    <row r="324" ht="15.0" customHeight="1">
      <c r="A324" s="56" t="s">
        <v>198</v>
      </c>
      <c r="B324" s="56" t="s">
        <v>3693</v>
      </c>
      <c r="C324" s="57" t="s">
        <v>3694</v>
      </c>
      <c r="D324" s="58">
        <v>4.144910115E9</v>
      </c>
      <c r="E324" s="56" t="s">
        <v>390</v>
      </c>
      <c r="F324" s="56" t="s">
        <v>3695</v>
      </c>
      <c r="G324" s="56" t="s">
        <v>379</v>
      </c>
      <c r="H324" s="56" t="s">
        <v>366</v>
      </c>
      <c r="I324" s="56" t="s">
        <v>2473</v>
      </c>
      <c r="J324" s="56" t="s">
        <v>2627</v>
      </c>
      <c r="K324" s="59"/>
      <c r="L324" s="56" t="s">
        <v>2284</v>
      </c>
      <c r="M324" s="61" t="s">
        <v>373</v>
      </c>
      <c r="N324" s="58" t="s">
        <v>3696</v>
      </c>
      <c r="P324" s="55" t="b">
        <f t="shared" si="1"/>
        <v>0</v>
      </c>
    </row>
    <row r="325" ht="15.0" customHeight="1">
      <c r="A325" s="56" t="s">
        <v>199</v>
      </c>
      <c r="B325" s="56" t="s">
        <v>3697</v>
      </c>
      <c r="C325" s="57" t="s">
        <v>3698</v>
      </c>
      <c r="D325" s="58">
        <v>9.406423864E9</v>
      </c>
      <c r="E325" s="56" t="s">
        <v>2286</v>
      </c>
      <c r="F325" s="56" t="s">
        <v>2286</v>
      </c>
      <c r="G325" s="56" t="s">
        <v>379</v>
      </c>
      <c r="H325" s="56" t="s">
        <v>413</v>
      </c>
      <c r="I325" s="56" t="s">
        <v>2288</v>
      </c>
      <c r="J325" s="56" t="s">
        <v>3699</v>
      </c>
      <c r="K325" s="59"/>
      <c r="L325" s="56" t="s">
        <v>2289</v>
      </c>
      <c r="M325" s="61" t="s">
        <v>373</v>
      </c>
      <c r="N325" s="58" t="s">
        <v>3700</v>
      </c>
      <c r="P325" s="55" t="b">
        <f t="shared" si="1"/>
        <v>0</v>
      </c>
    </row>
    <row r="326" ht="15.0" customHeight="1">
      <c r="A326" s="56" t="s">
        <v>200</v>
      </c>
      <c r="B326" s="56" t="s">
        <v>1590</v>
      </c>
      <c r="C326" s="57" t="s">
        <v>1591</v>
      </c>
      <c r="D326" s="58">
        <v>7.633372349E9</v>
      </c>
      <c r="E326" s="56" t="s">
        <v>2286</v>
      </c>
      <c r="F326" s="56" t="s">
        <v>2938</v>
      </c>
      <c r="G326" s="56" t="s">
        <v>364</v>
      </c>
      <c r="H326" s="56" t="s">
        <v>413</v>
      </c>
      <c r="I326" s="56" t="s">
        <v>483</v>
      </c>
      <c r="J326" s="56" t="s">
        <v>1659</v>
      </c>
      <c r="K326" s="59"/>
      <c r="L326" s="56" t="s">
        <v>2305</v>
      </c>
      <c r="M326" s="61" t="s">
        <v>373</v>
      </c>
      <c r="N326" s="58" t="s">
        <v>2547</v>
      </c>
      <c r="P326" s="55" t="b">
        <f t="shared" si="1"/>
        <v>0</v>
      </c>
    </row>
    <row r="327" ht="15.0" customHeight="1">
      <c r="A327" s="56" t="s">
        <v>3701</v>
      </c>
      <c r="B327" s="56" t="s">
        <v>3702</v>
      </c>
      <c r="C327" s="57" t="s">
        <v>3703</v>
      </c>
      <c r="D327" s="58">
        <v>3.616486634E9</v>
      </c>
      <c r="E327" s="56" t="s">
        <v>410</v>
      </c>
      <c r="F327" s="56" t="s">
        <v>3704</v>
      </c>
      <c r="G327" s="56" t="s">
        <v>364</v>
      </c>
      <c r="H327" s="56" t="s">
        <v>413</v>
      </c>
      <c r="I327" s="56" t="s">
        <v>497</v>
      </c>
      <c r="J327" s="56" t="s">
        <v>3705</v>
      </c>
      <c r="K327" s="59"/>
      <c r="L327" s="56" t="s">
        <v>2305</v>
      </c>
      <c r="M327" s="61" t="s">
        <v>373</v>
      </c>
      <c r="N327" s="58" t="s">
        <v>3706</v>
      </c>
      <c r="P327" s="55" t="b">
        <f t="shared" si="1"/>
        <v>0</v>
      </c>
    </row>
    <row r="328" ht="15.0" customHeight="1">
      <c r="A328" s="56" t="s">
        <v>3707</v>
      </c>
      <c r="B328" s="56" t="s">
        <v>3708</v>
      </c>
      <c r="C328" s="57" t="s">
        <v>3709</v>
      </c>
      <c r="D328" s="58">
        <v>7.32239123E9</v>
      </c>
      <c r="E328" s="56" t="s">
        <v>2286</v>
      </c>
      <c r="F328" s="56" t="s">
        <v>3710</v>
      </c>
      <c r="G328" s="56" t="s">
        <v>364</v>
      </c>
      <c r="H328" s="56" t="s">
        <v>366</v>
      </c>
      <c r="I328" s="56" t="s">
        <v>2283</v>
      </c>
      <c r="J328" s="56" t="s">
        <v>1843</v>
      </c>
      <c r="K328" s="59"/>
      <c r="L328" s="56" t="s">
        <v>2284</v>
      </c>
      <c r="M328" s="61" t="s">
        <v>373</v>
      </c>
      <c r="N328" s="58" t="s">
        <v>3711</v>
      </c>
      <c r="P328" s="55" t="b">
        <f t="shared" si="1"/>
        <v>0</v>
      </c>
    </row>
    <row r="329" ht="15.0" customHeight="1">
      <c r="A329" s="56" t="s">
        <v>201</v>
      </c>
      <c r="B329" s="56" t="s">
        <v>3712</v>
      </c>
      <c r="C329" s="57" t="s">
        <v>1596</v>
      </c>
      <c r="D329" s="56" t="s">
        <v>1597</v>
      </c>
      <c r="E329" s="56" t="s">
        <v>1598</v>
      </c>
      <c r="F329" s="56" t="s">
        <v>3713</v>
      </c>
      <c r="G329" s="56" t="s">
        <v>399</v>
      </c>
      <c r="H329" s="56" t="s">
        <v>513</v>
      </c>
      <c r="I329" s="56" t="s">
        <v>2283</v>
      </c>
      <c r="J329" s="56" t="s">
        <v>1131</v>
      </c>
      <c r="K329" s="59"/>
      <c r="L329" s="56" t="s">
        <v>2284</v>
      </c>
      <c r="M329" s="61" t="s">
        <v>373</v>
      </c>
      <c r="N329" s="58" t="s">
        <v>3714</v>
      </c>
      <c r="P329" s="55" t="b">
        <f t="shared" si="1"/>
        <v>1</v>
      </c>
    </row>
    <row r="330" ht="15.0" customHeight="1">
      <c r="A330" s="56" t="s">
        <v>3715</v>
      </c>
      <c r="B330" s="56" t="s">
        <v>3716</v>
      </c>
      <c r="C330" s="57" t="s">
        <v>3717</v>
      </c>
      <c r="D330" s="58">
        <v>2.542919027E9</v>
      </c>
      <c r="E330" s="56" t="s">
        <v>2286</v>
      </c>
      <c r="F330" s="56" t="s">
        <v>2614</v>
      </c>
      <c r="G330" s="56" t="s">
        <v>399</v>
      </c>
      <c r="H330" s="56" t="s">
        <v>413</v>
      </c>
      <c r="I330" s="56" t="s">
        <v>2288</v>
      </c>
      <c r="J330" s="56" t="s">
        <v>3718</v>
      </c>
      <c r="K330" s="59"/>
      <c r="L330" s="56" t="s">
        <v>2289</v>
      </c>
      <c r="M330" s="61" t="s">
        <v>373</v>
      </c>
      <c r="N330" s="58" t="s">
        <v>3719</v>
      </c>
      <c r="P330" s="55" t="b">
        <f t="shared" si="1"/>
        <v>0</v>
      </c>
    </row>
    <row r="331" ht="15.0" customHeight="1">
      <c r="A331" s="56" t="s">
        <v>202</v>
      </c>
      <c r="B331" s="56" t="s">
        <v>3720</v>
      </c>
      <c r="C331" s="57" t="s">
        <v>3721</v>
      </c>
      <c r="D331" s="58">
        <v>7.135944029E9</v>
      </c>
      <c r="E331" s="56" t="s">
        <v>410</v>
      </c>
      <c r="F331" s="56" t="s">
        <v>3722</v>
      </c>
      <c r="G331" s="56" t="s">
        <v>379</v>
      </c>
      <c r="H331" s="56" t="s">
        <v>366</v>
      </c>
      <c r="I331" s="56" t="s">
        <v>2293</v>
      </c>
      <c r="J331" s="56" t="s">
        <v>900</v>
      </c>
      <c r="K331" s="59"/>
      <c r="L331" s="56" t="s">
        <v>2284</v>
      </c>
      <c r="M331" s="61" t="s">
        <v>373</v>
      </c>
      <c r="N331" s="58" t="s">
        <v>3723</v>
      </c>
      <c r="P331" s="55" t="b">
        <f t="shared" si="1"/>
        <v>0</v>
      </c>
    </row>
    <row r="332" ht="15.0" customHeight="1">
      <c r="A332" s="56" t="s">
        <v>202</v>
      </c>
      <c r="B332" s="56" t="s">
        <v>3724</v>
      </c>
      <c r="C332" s="57" t="s">
        <v>3725</v>
      </c>
      <c r="D332" s="58">
        <v>2.812565039E9</v>
      </c>
      <c r="E332" s="56" t="s">
        <v>2850</v>
      </c>
      <c r="F332" s="56" t="s">
        <v>3726</v>
      </c>
      <c r="G332" s="56" t="s">
        <v>399</v>
      </c>
      <c r="H332" s="56" t="s">
        <v>413</v>
      </c>
      <c r="I332" s="62" t="s">
        <v>2293</v>
      </c>
      <c r="J332" s="59"/>
      <c r="K332" s="59"/>
      <c r="L332" s="56" t="s">
        <v>2284</v>
      </c>
      <c r="M332" s="61" t="s">
        <v>2362</v>
      </c>
      <c r="N332" s="58" t="s">
        <v>3727</v>
      </c>
      <c r="P332" s="55" t="b">
        <f t="shared" si="1"/>
        <v>0</v>
      </c>
    </row>
    <row r="333" ht="15.0" customHeight="1">
      <c r="A333" s="56" t="s">
        <v>3728</v>
      </c>
      <c r="B333" s="56" t="s">
        <v>1602</v>
      </c>
      <c r="C333" s="57" t="s">
        <v>3729</v>
      </c>
      <c r="D333" s="58">
        <v>5.402199758E9</v>
      </c>
      <c r="E333" s="56" t="s">
        <v>3730</v>
      </c>
      <c r="F333" s="56" t="s">
        <v>3731</v>
      </c>
      <c r="G333" s="56" t="s">
        <v>399</v>
      </c>
      <c r="H333" s="56" t="s">
        <v>869</v>
      </c>
      <c r="I333" s="56" t="s">
        <v>381</v>
      </c>
      <c r="J333" s="56" t="s">
        <v>678</v>
      </c>
      <c r="K333" s="59"/>
      <c r="L333" s="56" t="s">
        <v>2305</v>
      </c>
      <c r="M333" s="61" t="s">
        <v>373</v>
      </c>
      <c r="N333" s="58" t="s">
        <v>3732</v>
      </c>
      <c r="P333" s="55" t="b">
        <f t="shared" si="1"/>
        <v>0</v>
      </c>
    </row>
    <row r="334" ht="15.0" customHeight="1">
      <c r="A334" s="56" t="s">
        <v>204</v>
      </c>
      <c r="B334" s="56" t="s">
        <v>1607</v>
      </c>
      <c r="C334" s="57" t="s">
        <v>1608</v>
      </c>
      <c r="D334" s="56" t="s">
        <v>1609</v>
      </c>
      <c r="E334" s="56" t="s">
        <v>709</v>
      </c>
      <c r="F334" s="56" t="s">
        <v>3733</v>
      </c>
      <c r="G334" s="56" t="s">
        <v>399</v>
      </c>
      <c r="H334" s="56" t="s">
        <v>413</v>
      </c>
      <c r="I334" s="56" t="s">
        <v>483</v>
      </c>
      <c r="J334" s="56" t="s">
        <v>3734</v>
      </c>
      <c r="K334" s="59"/>
      <c r="L334" s="56" t="s">
        <v>2305</v>
      </c>
      <c r="M334" s="61" t="s">
        <v>373</v>
      </c>
      <c r="N334" s="58" t="s">
        <v>3735</v>
      </c>
      <c r="P334" s="55" t="b">
        <f t="shared" si="1"/>
        <v>0</v>
      </c>
    </row>
    <row r="335" ht="15.0" customHeight="1">
      <c r="A335" s="56" t="s">
        <v>206</v>
      </c>
      <c r="B335" s="56" t="s">
        <v>3736</v>
      </c>
      <c r="C335" s="57" t="s">
        <v>3737</v>
      </c>
      <c r="D335" s="58">
        <v>4.787475111E9</v>
      </c>
      <c r="E335" s="56" t="s">
        <v>362</v>
      </c>
      <c r="F335" s="56" t="s">
        <v>3738</v>
      </c>
      <c r="G335" s="56" t="s">
        <v>379</v>
      </c>
      <c r="H335" s="56" t="s">
        <v>366</v>
      </c>
      <c r="I335" s="56" t="s">
        <v>2288</v>
      </c>
      <c r="J335" s="56" t="s">
        <v>3739</v>
      </c>
      <c r="K335" s="59"/>
      <c r="L335" s="56" t="s">
        <v>2289</v>
      </c>
      <c r="M335" s="61" t="s">
        <v>373</v>
      </c>
      <c r="N335" s="58" t="s">
        <v>3740</v>
      </c>
      <c r="P335" s="55" t="b">
        <f t="shared" si="1"/>
        <v>0</v>
      </c>
    </row>
    <row r="336" ht="15.0" customHeight="1">
      <c r="A336" s="56" t="s">
        <v>1615</v>
      </c>
      <c r="B336" s="56" t="s">
        <v>1616</v>
      </c>
      <c r="C336" s="57" t="s">
        <v>1617</v>
      </c>
      <c r="D336" s="58">
        <v>6.014625555E9</v>
      </c>
      <c r="E336" s="56" t="s">
        <v>2286</v>
      </c>
      <c r="F336" s="56" t="s">
        <v>2287</v>
      </c>
      <c r="G336" s="56" t="s">
        <v>399</v>
      </c>
      <c r="H336" s="56" t="s">
        <v>366</v>
      </c>
      <c r="I336" s="56" t="s">
        <v>2283</v>
      </c>
      <c r="J336" s="56" t="s">
        <v>2113</v>
      </c>
      <c r="K336" s="59"/>
      <c r="L336" s="56" t="s">
        <v>2284</v>
      </c>
      <c r="M336" s="61" t="s">
        <v>373</v>
      </c>
      <c r="N336" s="58" t="s">
        <v>3741</v>
      </c>
      <c r="P336" s="55" t="b">
        <f t="shared" si="1"/>
        <v>0</v>
      </c>
    </row>
    <row r="337" ht="15.0" customHeight="1">
      <c r="A337" s="56" t="s">
        <v>3742</v>
      </c>
      <c r="B337" s="56" t="s">
        <v>3743</v>
      </c>
      <c r="C337" s="57" t="s">
        <v>3744</v>
      </c>
      <c r="D337" s="58">
        <v>5.613087818E9</v>
      </c>
      <c r="E337" s="56" t="s">
        <v>452</v>
      </c>
      <c r="F337" s="56" t="s">
        <v>3745</v>
      </c>
      <c r="G337" s="56" t="s">
        <v>364</v>
      </c>
      <c r="H337" s="56" t="s">
        <v>366</v>
      </c>
      <c r="I337" s="56" t="s">
        <v>2283</v>
      </c>
      <c r="J337" s="56" t="s">
        <v>1295</v>
      </c>
      <c r="K337" s="59"/>
      <c r="L337" s="56" t="s">
        <v>2284</v>
      </c>
      <c r="M337" s="61" t="s">
        <v>373</v>
      </c>
      <c r="N337" s="58" t="s">
        <v>3746</v>
      </c>
      <c r="P337" s="55" t="b">
        <f t="shared" si="1"/>
        <v>0</v>
      </c>
    </row>
    <row r="338" ht="15.0" customHeight="1">
      <c r="A338" s="56" t="s">
        <v>331</v>
      </c>
      <c r="B338" s="56" t="s">
        <v>1621</v>
      </c>
      <c r="C338" s="57" t="s">
        <v>1622</v>
      </c>
      <c r="D338" s="58">
        <v>7.022664773E9</v>
      </c>
      <c r="E338" s="56" t="s">
        <v>390</v>
      </c>
      <c r="F338" s="56" t="s">
        <v>3747</v>
      </c>
      <c r="G338" s="56" t="s">
        <v>399</v>
      </c>
      <c r="H338" s="56" t="s">
        <v>366</v>
      </c>
      <c r="I338" s="56" t="s">
        <v>497</v>
      </c>
      <c r="J338" s="56" t="s">
        <v>3748</v>
      </c>
      <c r="K338" s="59"/>
      <c r="L338" s="56" t="s">
        <v>2305</v>
      </c>
      <c r="M338" s="61" t="s">
        <v>373</v>
      </c>
      <c r="N338" s="58" t="s">
        <v>3749</v>
      </c>
      <c r="P338" s="55" t="b">
        <f t="shared" si="1"/>
        <v>0</v>
      </c>
    </row>
    <row r="339" ht="15.0" customHeight="1">
      <c r="A339" s="56" t="s">
        <v>207</v>
      </c>
      <c r="B339" s="56" t="s">
        <v>1625</v>
      </c>
      <c r="C339" s="57" t="s">
        <v>1626</v>
      </c>
      <c r="D339" s="56" t="s">
        <v>3750</v>
      </c>
      <c r="E339" s="56" t="s">
        <v>390</v>
      </c>
      <c r="F339" s="56" t="s">
        <v>3751</v>
      </c>
      <c r="G339" s="56" t="s">
        <v>399</v>
      </c>
      <c r="H339" s="56" t="s">
        <v>413</v>
      </c>
      <c r="I339" s="56" t="s">
        <v>381</v>
      </c>
      <c r="J339" s="56" t="s">
        <v>1226</v>
      </c>
      <c r="K339" s="59"/>
      <c r="L339" s="56" t="s">
        <v>2305</v>
      </c>
      <c r="M339" s="61" t="s">
        <v>373</v>
      </c>
      <c r="N339" s="58" t="s">
        <v>3752</v>
      </c>
      <c r="P339" s="55" t="b">
        <f t="shared" si="1"/>
        <v>0</v>
      </c>
    </row>
    <row r="340" ht="15.0" customHeight="1">
      <c r="A340" s="56" t="s">
        <v>3753</v>
      </c>
      <c r="B340" s="56" t="s">
        <v>3754</v>
      </c>
      <c r="C340" s="57" t="s">
        <v>3755</v>
      </c>
      <c r="D340" s="58">
        <v>7.710708183E9</v>
      </c>
      <c r="E340" s="56" t="s">
        <v>362</v>
      </c>
      <c r="F340" s="56" t="s">
        <v>2975</v>
      </c>
      <c r="G340" s="56" t="s">
        <v>364</v>
      </c>
      <c r="H340" s="56" t="s">
        <v>413</v>
      </c>
      <c r="I340" s="56" t="s">
        <v>2473</v>
      </c>
      <c r="J340" s="56" t="s">
        <v>3756</v>
      </c>
      <c r="K340" s="59"/>
      <c r="L340" s="56" t="s">
        <v>2284</v>
      </c>
      <c r="M340" s="61" t="s">
        <v>373</v>
      </c>
      <c r="N340" s="58" t="s">
        <v>3757</v>
      </c>
      <c r="P340" s="55" t="b">
        <f t="shared" si="1"/>
        <v>0</v>
      </c>
    </row>
    <row r="341" ht="15.0" customHeight="1">
      <c r="A341" s="56" t="s">
        <v>315</v>
      </c>
      <c r="B341" s="56" t="s">
        <v>3758</v>
      </c>
      <c r="C341" s="57" t="s">
        <v>3759</v>
      </c>
      <c r="D341" s="56" t="s">
        <v>3760</v>
      </c>
      <c r="E341" s="56" t="s">
        <v>410</v>
      </c>
      <c r="F341" s="56" t="s">
        <v>3761</v>
      </c>
      <c r="G341" s="56" t="s">
        <v>379</v>
      </c>
      <c r="H341" s="56" t="s">
        <v>366</v>
      </c>
      <c r="I341" s="56" t="s">
        <v>2473</v>
      </c>
      <c r="J341" s="56" t="s">
        <v>2935</v>
      </c>
      <c r="K341" s="59"/>
      <c r="L341" s="56" t="s">
        <v>2284</v>
      </c>
      <c r="M341" s="61" t="s">
        <v>373</v>
      </c>
      <c r="N341" s="58" t="s">
        <v>3762</v>
      </c>
      <c r="P341" s="55" t="b">
        <f t="shared" si="1"/>
        <v>0</v>
      </c>
    </row>
    <row r="342" ht="15.0" customHeight="1">
      <c r="A342" s="56" t="s">
        <v>3763</v>
      </c>
      <c r="B342" s="56" t="s">
        <v>3764</v>
      </c>
      <c r="C342" s="57" t="s">
        <v>1631</v>
      </c>
      <c r="D342" s="58">
        <v>7.134193778E9</v>
      </c>
      <c r="E342" s="56" t="s">
        <v>390</v>
      </c>
      <c r="F342" s="56" t="s">
        <v>3765</v>
      </c>
      <c r="G342" s="56" t="s">
        <v>364</v>
      </c>
      <c r="H342" s="56" t="s">
        <v>366</v>
      </c>
      <c r="I342" s="56" t="s">
        <v>497</v>
      </c>
      <c r="J342" s="56" t="s">
        <v>3766</v>
      </c>
      <c r="K342" s="59"/>
      <c r="L342" s="56" t="s">
        <v>2305</v>
      </c>
      <c r="M342" s="61" t="s">
        <v>373</v>
      </c>
      <c r="N342" s="58" t="s">
        <v>3767</v>
      </c>
      <c r="P342" s="55" t="b">
        <f t="shared" si="1"/>
        <v>0</v>
      </c>
    </row>
    <row r="343" ht="15.0" customHeight="1">
      <c r="A343" s="56" t="s">
        <v>3768</v>
      </c>
      <c r="B343" s="56" t="s">
        <v>3769</v>
      </c>
      <c r="C343" s="57" t="s">
        <v>3770</v>
      </c>
      <c r="D343" s="58">
        <v>2.818006033E9</v>
      </c>
      <c r="E343" s="56" t="s">
        <v>452</v>
      </c>
      <c r="F343" s="56" t="s">
        <v>3771</v>
      </c>
      <c r="G343" s="56" t="s">
        <v>379</v>
      </c>
      <c r="H343" s="56" t="s">
        <v>366</v>
      </c>
      <c r="I343" s="56" t="s">
        <v>2473</v>
      </c>
      <c r="J343" s="56" t="s">
        <v>1689</v>
      </c>
      <c r="K343" s="59"/>
      <c r="L343" s="56" t="s">
        <v>2284</v>
      </c>
      <c r="M343" s="61" t="s">
        <v>373</v>
      </c>
      <c r="N343" s="58" t="s">
        <v>3772</v>
      </c>
      <c r="P343" s="55" t="b">
        <f t="shared" si="1"/>
        <v>0</v>
      </c>
    </row>
    <row r="344" ht="15.0" customHeight="1">
      <c r="A344" s="56" t="s">
        <v>1635</v>
      </c>
      <c r="B344" s="56" t="s">
        <v>1636</v>
      </c>
      <c r="C344" s="57" t="s">
        <v>1637</v>
      </c>
      <c r="D344" s="56" t="s">
        <v>3773</v>
      </c>
      <c r="E344" s="56" t="s">
        <v>390</v>
      </c>
      <c r="F344" s="56" t="s">
        <v>3774</v>
      </c>
      <c r="G344" s="56" t="s">
        <v>379</v>
      </c>
      <c r="H344" s="56" t="s">
        <v>413</v>
      </c>
      <c r="I344" s="56" t="s">
        <v>2510</v>
      </c>
      <c r="J344" s="56" t="s">
        <v>2475</v>
      </c>
      <c r="K344" s="59"/>
      <c r="L344" s="56" t="s">
        <v>2289</v>
      </c>
      <c r="M344" s="61" t="s">
        <v>373</v>
      </c>
      <c r="N344" s="58" t="s">
        <v>3775</v>
      </c>
      <c r="P344" s="55" t="b">
        <f t="shared" si="1"/>
        <v>0</v>
      </c>
    </row>
    <row r="345" ht="15.0" customHeight="1">
      <c r="A345" s="56" t="s">
        <v>332</v>
      </c>
      <c r="B345" s="56" t="s">
        <v>1644</v>
      </c>
      <c r="C345" s="57" t="s">
        <v>1645</v>
      </c>
      <c r="D345" s="58">
        <v>9.033884525E9</v>
      </c>
      <c r="E345" s="56" t="s">
        <v>390</v>
      </c>
      <c r="F345" s="56" t="s">
        <v>3776</v>
      </c>
      <c r="G345" s="56" t="s">
        <v>379</v>
      </c>
      <c r="H345" s="56" t="s">
        <v>366</v>
      </c>
      <c r="I345" s="56" t="s">
        <v>483</v>
      </c>
      <c r="J345" s="56" t="s">
        <v>3777</v>
      </c>
      <c r="K345" s="59"/>
      <c r="L345" s="56" t="s">
        <v>2305</v>
      </c>
      <c r="M345" s="61" t="s">
        <v>373</v>
      </c>
      <c r="N345" s="58" t="s">
        <v>3778</v>
      </c>
      <c r="P345" s="55" t="b">
        <f t="shared" si="1"/>
        <v>0</v>
      </c>
    </row>
    <row r="346" ht="15.0" customHeight="1">
      <c r="A346" s="56" t="s">
        <v>210</v>
      </c>
      <c r="B346" s="56" t="s">
        <v>1648</v>
      </c>
      <c r="C346" s="57" t="s">
        <v>1649</v>
      </c>
      <c r="D346" s="58">
        <v>5.12965828E9</v>
      </c>
      <c r="E346" s="56" t="s">
        <v>452</v>
      </c>
      <c r="F346" s="56" t="s">
        <v>3779</v>
      </c>
      <c r="G346" s="56" t="s">
        <v>399</v>
      </c>
      <c r="H346" s="56" t="s">
        <v>513</v>
      </c>
      <c r="I346" s="56" t="s">
        <v>2293</v>
      </c>
      <c r="J346" s="56" t="s">
        <v>3780</v>
      </c>
      <c r="K346" s="59"/>
      <c r="L346" s="56" t="s">
        <v>2284</v>
      </c>
      <c r="M346" s="61" t="s">
        <v>373</v>
      </c>
      <c r="N346" s="58" t="s">
        <v>3781</v>
      </c>
      <c r="P346" s="55" t="b">
        <f t="shared" si="1"/>
        <v>1</v>
      </c>
    </row>
    <row r="347" ht="15.0" customHeight="1">
      <c r="A347" s="56" t="s">
        <v>213</v>
      </c>
      <c r="B347" s="56" t="s">
        <v>1665</v>
      </c>
      <c r="C347" s="57" t="s">
        <v>1666</v>
      </c>
      <c r="D347" s="58">
        <v>2.817852444E9</v>
      </c>
      <c r="E347" s="56" t="s">
        <v>459</v>
      </c>
      <c r="F347" s="56" t="s">
        <v>3782</v>
      </c>
      <c r="G347" s="56" t="s">
        <v>399</v>
      </c>
      <c r="H347" s="56" t="s">
        <v>366</v>
      </c>
      <c r="I347" s="56" t="s">
        <v>381</v>
      </c>
      <c r="J347" s="56" t="s">
        <v>3783</v>
      </c>
      <c r="K347" s="59"/>
      <c r="L347" s="56" t="s">
        <v>2305</v>
      </c>
      <c r="M347" s="61" t="s">
        <v>373</v>
      </c>
      <c r="N347" s="58" t="s">
        <v>3784</v>
      </c>
      <c r="P347" s="55" t="b">
        <f t="shared" si="1"/>
        <v>0</v>
      </c>
    </row>
    <row r="348" ht="15.0" customHeight="1">
      <c r="A348" s="56" t="s">
        <v>3785</v>
      </c>
      <c r="B348" s="56" t="s">
        <v>3786</v>
      </c>
      <c r="C348" s="57" t="s">
        <v>3787</v>
      </c>
      <c r="D348" s="56" t="s">
        <v>3788</v>
      </c>
      <c r="E348" s="56" t="s">
        <v>410</v>
      </c>
      <c r="F348" s="56" t="s">
        <v>411</v>
      </c>
      <c r="G348" s="56" t="s">
        <v>379</v>
      </c>
      <c r="H348" s="56" t="s">
        <v>366</v>
      </c>
      <c r="I348" s="56" t="s">
        <v>3286</v>
      </c>
      <c r="J348" s="56" t="s">
        <v>3789</v>
      </c>
      <c r="K348" s="59"/>
      <c r="L348" s="56" t="s">
        <v>2305</v>
      </c>
      <c r="M348" s="61" t="s">
        <v>373</v>
      </c>
      <c r="N348" s="58" t="s">
        <v>3790</v>
      </c>
      <c r="P348" s="55" t="b">
        <f t="shared" si="1"/>
        <v>0</v>
      </c>
    </row>
    <row r="349" ht="15.0" customHeight="1">
      <c r="A349" s="56" t="s">
        <v>214</v>
      </c>
      <c r="B349" s="56" t="s">
        <v>1673</v>
      </c>
      <c r="C349" s="57" t="s">
        <v>1674</v>
      </c>
      <c r="D349" s="58">
        <v>4.024403751E9</v>
      </c>
      <c r="E349" s="56" t="s">
        <v>2286</v>
      </c>
      <c r="F349" s="56" t="s">
        <v>3333</v>
      </c>
      <c r="G349" s="56" t="s">
        <v>379</v>
      </c>
      <c r="H349" s="56" t="s">
        <v>413</v>
      </c>
      <c r="I349" s="56" t="s">
        <v>2288</v>
      </c>
      <c r="J349" s="56" t="s">
        <v>3791</v>
      </c>
      <c r="K349" s="59"/>
      <c r="L349" s="56" t="s">
        <v>2289</v>
      </c>
      <c r="M349" s="61" t="s">
        <v>373</v>
      </c>
      <c r="N349" s="58" t="s">
        <v>3792</v>
      </c>
      <c r="P349" s="55" t="b">
        <f t="shared" si="1"/>
        <v>0</v>
      </c>
    </row>
    <row r="350" ht="15.0" customHeight="1">
      <c r="A350" s="56" t="s">
        <v>215</v>
      </c>
      <c r="B350" s="56" t="s">
        <v>1678</v>
      </c>
      <c r="C350" s="57" t="s">
        <v>1679</v>
      </c>
      <c r="D350" s="58">
        <v>8.177891233E9</v>
      </c>
      <c r="E350" s="56" t="s">
        <v>452</v>
      </c>
      <c r="F350" s="56" t="s">
        <v>3793</v>
      </c>
      <c r="G350" s="56" t="s">
        <v>364</v>
      </c>
      <c r="H350" s="56" t="s">
        <v>366</v>
      </c>
      <c r="I350" s="56" t="s">
        <v>497</v>
      </c>
      <c r="J350" s="56" t="s">
        <v>3794</v>
      </c>
      <c r="K350" s="59"/>
      <c r="L350" s="56" t="s">
        <v>2305</v>
      </c>
      <c r="M350" s="61" t="s">
        <v>373</v>
      </c>
      <c r="N350" s="58" t="s">
        <v>3795</v>
      </c>
      <c r="P350" s="55" t="b">
        <f t="shared" si="1"/>
        <v>0</v>
      </c>
    </row>
    <row r="351" ht="15.0" customHeight="1">
      <c r="A351" s="56" t="s">
        <v>3796</v>
      </c>
      <c r="B351" s="56" t="s">
        <v>3797</v>
      </c>
      <c r="C351" s="57" t="s">
        <v>3798</v>
      </c>
      <c r="D351" s="58">
        <v>2.817954029E9</v>
      </c>
      <c r="E351" s="56" t="s">
        <v>634</v>
      </c>
      <c r="F351" s="56" t="s">
        <v>3799</v>
      </c>
      <c r="G351" s="56" t="s">
        <v>364</v>
      </c>
      <c r="H351" s="56" t="s">
        <v>413</v>
      </c>
      <c r="I351" s="56" t="s">
        <v>381</v>
      </c>
      <c r="J351" s="56" t="s">
        <v>1569</v>
      </c>
      <c r="K351" s="59"/>
      <c r="L351" s="56" t="s">
        <v>2305</v>
      </c>
      <c r="M351" s="61" t="s">
        <v>373</v>
      </c>
      <c r="N351" s="58" t="s">
        <v>3800</v>
      </c>
      <c r="P351" s="55" t="b">
        <f t="shared" si="1"/>
        <v>0</v>
      </c>
    </row>
    <row r="352" ht="15.0" customHeight="1">
      <c r="A352" s="56" t="s">
        <v>1691</v>
      </c>
      <c r="B352" s="56" t="s">
        <v>1692</v>
      </c>
      <c r="C352" s="57" t="s">
        <v>1693</v>
      </c>
      <c r="D352" s="58">
        <v>8.328776735E9</v>
      </c>
      <c r="E352" s="56" t="s">
        <v>2286</v>
      </c>
      <c r="F352" s="56" t="s">
        <v>675</v>
      </c>
      <c r="G352" s="56" t="s">
        <v>364</v>
      </c>
      <c r="H352" s="56" t="s">
        <v>366</v>
      </c>
      <c r="I352" s="56" t="s">
        <v>2288</v>
      </c>
      <c r="J352" s="56" t="s">
        <v>1936</v>
      </c>
      <c r="K352" s="59"/>
      <c r="L352" s="56" t="s">
        <v>2289</v>
      </c>
      <c r="M352" s="61" t="s">
        <v>373</v>
      </c>
      <c r="N352" s="58" t="s">
        <v>3801</v>
      </c>
      <c r="P352" s="55" t="b">
        <f t="shared" si="1"/>
        <v>0</v>
      </c>
    </row>
    <row r="353" ht="15.0" customHeight="1">
      <c r="A353" s="56" t="s">
        <v>216</v>
      </c>
      <c r="B353" s="56" t="s">
        <v>1697</v>
      </c>
      <c r="C353" s="57" t="s">
        <v>1698</v>
      </c>
      <c r="D353" s="56" t="s">
        <v>3802</v>
      </c>
      <c r="E353" s="56" t="s">
        <v>2286</v>
      </c>
      <c r="F353" s="56" t="s">
        <v>2614</v>
      </c>
      <c r="G353" s="56" t="s">
        <v>379</v>
      </c>
      <c r="H353" s="56" t="s">
        <v>366</v>
      </c>
      <c r="I353" s="56" t="s">
        <v>381</v>
      </c>
      <c r="J353" s="56" t="s">
        <v>1026</v>
      </c>
      <c r="K353" s="59"/>
      <c r="L353" s="56" t="s">
        <v>2305</v>
      </c>
      <c r="M353" s="61" t="s">
        <v>373</v>
      </c>
      <c r="N353" s="58" t="s">
        <v>3803</v>
      </c>
      <c r="P353" s="55" t="b">
        <f t="shared" si="1"/>
        <v>0</v>
      </c>
    </row>
    <row r="354" ht="15.0" customHeight="1">
      <c r="A354" s="56" t="s">
        <v>3804</v>
      </c>
      <c r="B354" s="56" t="s">
        <v>3805</v>
      </c>
      <c r="C354" s="57" t="s">
        <v>3806</v>
      </c>
      <c r="D354" s="56" t="s">
        <v>3807</v>
      </c>
      <c r="E354" s="56" t="s">
        <v>1553</v>
      </c>
      <c r="F354" s="56" t="s">
        <v>3808</v>
      </c>
      <c r="G354" s="56" t="s">
        <v>399</v>
      </c>
      <c r="H354" s="56" t="s">
        <v>413</v>
      </c>
      <c r="I354" s="56" t="s">
        <v>2288</v>
      </c>
      <c r="J354" s="56" t="s">
        <v>2182</v>
      </c>
      <c r="K354" s="59"/>
      <c r="L354" s="56" t="s">
        <v>2289</v>
      </c>
      <c r="M354" s="61" t="s">
        <v>373</v>
      </c>
      <c r="N354" s="58" t="s">
        <v>3809</v>
      </c>
      <c r="P354" s="55" t="b">
        <f t="shared" si="1"/>
        <v>0</v>
      </c>
    </row>
    <row r="355" ht="15.0" customHeight="1">
      <c r="A355" s="56" t="s">
        <v>3810</v>
      </c>
      <c r="B355" s="56" t="s">
        <v>764</v>
      </c>
      <c r="C355" s="57" t="s">
        <v>3811</v>
      </c>
      <c r="D355" s="56" t="s">
        <v>766</v>
      </c>
      <c r="E355" s="56" t="s">
        <v>410</v>
      </c>
      <c r="F355" s="56" t="s">
        <v>3812</v>
      </c>
      <c r="G355" s="56" t="s">
        <v>379</v>
      </c>
      <c r="H355" s="56" t="s">
        <v>413</v>
      </c>
      <c r="I355" s="56" t="s">
        <v>2473</v>
      </c>
      <c r="J355" s="56" t="s">
        <v>3813</v>
      </c>
      <c r="K355" s="59"/>
      <c r="L355" s="56" t="s">
        <v>2284</v>
      </c>
      <c r="M355" s="61" t="s">
        <v>373</v>
      </c>
      <c r="N355" s="58" t="s">
        <v>2547</v>
      </c>
      <c r="P355" s="55" t="b">
        <f t="shared" si="1"/>
        <v>0</v>
      </c>
    </row>
    <row r="356" ht="15.0" customHeight="1">
      <c r="A356" s="56" t="s">
        <v>3814</v>
      </c>
      <c r="B356" s="56" t="s">
        <v>3815</v>
      </c>
      <c r="C356" s="57" t="s">
        <v>3816</v>
      </c>
      <c r="D356" s="56" t="s">
        <v>3817</v>
      </c>
      <c r="E356" s="56" t="s">
        <v>1553</v>
      </c>
      <c r="F356" s="56" t="s">
        <v>3818</v>
      </c>
      <c r="G356" s="56" t="s">
        <v>399</v>
      </c>
      <c r="H356" s="56" t="s">
        <v>366</v>
      </c>
      <c r="I356" s="56" t="s">
        <v>497</v>
      </c>
      <c r="J356" s="56" t="s">
        <v>3819</v>
      </c>
      <c r="K356" s="59"/>
      <c r="L356" s="56" t="s">
        <v>2305</v>
      </c>
      <c r="M356" s="61" t="s">
        <v>373</v>
      </c>
      <c r="N356" s="58" t="s">
        <v>3820</v>
      </c>
      <c r="P356" s="55" t="b">
        <f t="shared" si="1"/>
        <v>0</v>
      </c>
    </row>
    <row r="357" ht="15.0" customHeight="1">
      <c r="A357" s="56" t="s">
        <v>3821</v>
      </c>
      <c r="B357" s="56" t="s">
        <v>3822</v>
      </c>
      <c r="C357" s="57" t="s">
        <v>3823</v>
      </c>
      <c r="D357" s="58">
        <v>7.138551849E9</v>
      </c>
      <c r="E357" s="56" t="s">
        <v>390</v>
      </c>
      <c r="F357" s="56" t="s">
        <v>2528</v>
      </c>
      <c r="G357" s="56" t="s">
        <v>399</v>
      </c>
      <c r="H357" s="56" t="s">
        <v>366</v>
      </c>
      <c r="I357" s="56" t="s">
        <v>497</v>
      </c>
      <c r="J357" s="56" t="s">
        <v>3824</v>
      </c>
      <c r="K357" s="59"/>
      <c r="L357" s="56" t="s">
        <v>2305</v>
      </c>
      <c r="M357" s="61" t="s">
        <v>373</v>
      </c>
      <c r="N357" s="58" t="s">
        <v>3825</v>
      </c>
      <c r="P357" s="55" t="b">
        <f t="shared" si="1"/>
        <v>0</v>
      </c>
    </row>
    <row r="358" ht="15.0" customHeight="1">
      <c r="A358" s="56" t="s">
        <v>3826</v>
      </c>
      <c r="B358" s="56" t="s">
        <v>3827</v>
      </c>
      <c r="C358" s="57" t="s">
        <v>3828</v>
      </c>
      <c r="D358" s="58">
        <v>7.199649145E9</v>
      </c>
      <c r="E358" s="56" t="s">
        <v>459</v>
      </c>
      <c r="F358" s="56" t="s">
        <v>2322</v>
      </c>
      <c r="G358" s="56" t="s">
        <v>364</v>
      </c>
      <c r="H358" s="56" t="s">
        <v>413</v>
      </c>
      <c r="I358" s="56" t="s">
        <v>2288</v>
      </c>
      <c r="J358" s="56" t="s">
        <v>3041</v>
      </c>
      <c r="K358" s="59"/>
      <c r="L358" s="56" t="s">
        <v>2289</v>
      </c>
      <c r="M358" s="61" t="s">
        <v>373</v>
      </c>
      <c r="N358" s="58" t="s">
        <v>3829</v>
      </c>
      <c r="P358" s="55" t="b">
        <f t="shared" si="1"/>
        <v>0</v>
      </c>
    </row>
    <row r="359" ht="15.0" customHeight="1">
      <c r="A359" s="56" t="s">
        <v>333</v>
      </c>
      <c r="B359" s="56" t="s">
        <v>3830</v>
      </c>
      <c r="C359" s="57" t="s">
        <v>3831</v>
      </c>
      <c r="D359" s="56" t="s">
        <v>3832</v>
      </c>
      <c r="E359" s="56" t="s">
        <v>390</v>
      </c>
      <c r="F359" s="56" t="s">
        <v>3833</v>
      </c>
      <c r="G359" s="56" t="s">
        <v>399</v>
      </c>
      <c r="H359" s="56" t="s">
        <v>413</v>
      </c>
      <c r="I359" s="56" t="s">
        <v>1464</v>
      </c>
      <c r="J359" s="56" t="s">
        <v>3834</v>
      </c>
      <c r="K359" s="59"/>
      <c r="L359" s="56" t="s">
        <v>2305</v>
      </c>
      <c r="M359" s="61" t="s">
        <v>373</v>
      </c>
      <c r="N359" s="58" t="s">
        <v>3835</v>
      </c>
      <c r="P359" s="55" t="b">
        <f t="shared" si="1"/>
        <v>0</v>
      </c>
    </row>
    <row r="360" ht="15.0" customHeight="1">
      <c r="A360" s="56" t="s">
        <v>1716</v>
      </c>
      <c r="B360" s="56" t="s">
        <v>1717</v>
      </c>
      <c r="C360" s="57" t="s">
        <v>1718</v>
      </c>
      <c r="D360" s="56" t="s">
        <v>3836</v>
      </c>
      <c r="E360" s="56" t="s">
        <v>2286</v>
      </c>
      <c r="F360" s="56" t="s">
        <v>3351</v>
      </c>
      <c r="G360" s="56" t="s">
        <v>399</v>
      </c>
      <c r="H360" s="56" t="s">
        <v>513</v>
      </c>
      <c r="I360" s="56" t="s">
        <v>1301</v>
      </c>
      <c r="J360" s="62" t="s">
        <v>3837</v>
      </c>
      <c r="K360" s="59"/>
      <c r="L360" s="56" t="s">
        <v>2305</v>
      </c>
      <c r="M360" s="61" t="s">
        <v>373</v>
      </c>
      <c r="N360" s="58" t="s">
        <v>3838</v>
      </c>
      <c r="P360" s="55" t="b">
        <f t="shared" si="1"/>
        <v>1</v>
      </c>
    </row>
    <row r="361" ht="15.0" customHeight="1">
      <c r="A361" s="56" t="s">
        <v>3839</v>
      </c>
      <c r="B361" s="56" t="s">
        <v>3840</v>
      </c>
      <c r="C361" s="57" t="s">
        <v>3841</v>
      </c>
      <c r="D361" s="58">
        <v>6.189758699E9</v>
      </c>
      <c r="E361" s="56" t="s">
        <v>390</v>
      </c>
      <c r="F361" s="56" t="s">
        <v>3842</v>
      </c>
      <c r="G361" s="56" t="s">
        <v>379</v>
      </c>
      <c r="H361" s="56" t="s">
        <v>366</v>
      </c>
      <c r="I361" s="56" t="s">
        <v>2283</v>
      </c>
      <c r="J361" s="56" t="s">
        <v>3843</v>
      </c>
      <c r="K361" s="59"/>
      <c r="L361" s="56" t="s">
        <v>2284</v>
      </c>
      <c r="M361" s="61" t="s">
        <v>373</v>
      </c>
      <c r="N361" s="58" t="s">
        <v>3844</v>
      </c>
      <c r="P361" s="55" t="b">
        <f t="shared" si="1"/>
        <v>0</v>
      </c>
    </row>
    <row r="362" ht="15.0" customHeight="1">
      <c r="A362" s="56" t="s">
        <v>3845</v>
      </c>
      <c r="B362" s="56" t="s">
        <v>3846</v>
      </c>
      <c r="C362" s="57" t="s">
        <v>3847</v>
      </c>
      <c r="D362" s="58">
        <v>4.325534411E9</v>
      </c>
      <c r="E362" s="56" t="s">
        <v>362</v>
      </c>
      <c r="F362" s="56" t="s">
        <v>3848</v>
      </c>
      <c r="G362" s="56" t="s">
        <v>379</v>
      </c>
      <c r="H362" s="56" t="s">
        <v>413</v>
      </c>
      <c r="I362" s="56" t="s">
        <v>2288</v>
      </c>
      <c r="J362" s="56" t="s">
        <v>1904</v>
      </c>
      <c r="K362" s="59"/>
      <c r="L362" s="56" t="s">
        <v>2289</v>
      </c>
      <c r="M362" s="61" t="s">
        <v>373</v>
      </c>
      <c r="N362" s="58" t="s">
        <v>3849</v>
      </c>
      <c r="P362" s="55" t="b">
        <f t="shared" si="1"/>
        <v>0</v>
      </c>
    </row>
    <row r="363" ht="15.0" customHeight="1">
      <c r="A363" s="56" t="s">
        <v>3850</v>
      </c>
      <c r="B363" s="56" t="s">
        <v>3851</v>
      </c>
      <c r="C363" s="57" t="s">
        <v>3852</v>
      </c>
      <c r="D363" s="58">
        <v>2.162466806E9</v>
      </c>
      <c r="E363" s="56" t="s">
        <v>390</v>
      </c>
      <c r="F363" s="56" t="s">
        <v>3853</v>
      </c>
      <c r="G363" s="56" t="s">
        <v>379</v>
      </c>
      <c r="H363" s="56" t="s">
        <v>413</v>
      </c>
      <c r="I363" s="56" t="s">
        <v>2293</v>
      </c>
      <c r="J363" s="56" t="s">
        <v>3854</v>
      </c>
      <c r="K363" s="59"/>
      <c r="L363" s="56" t="s">
        <v>2284</v>
      </c>
      <c r="M363" s="61" t="s">
        <v>373</v>
      </c>
      <c r="N363" s="58" t="s">
        <v>3855</v>
      </c>
      <c r="P363" s="55" t="b">
        <f t="shared" si="1"/>
        <v>0</v>
      </c>
    </row>
    <row r="364" ht="15.0" customHeight="1">
      <c r="A364" s="56" t="s">
        <v>3856</v>
      </c>
      <c r="B364" s="56" t="s">
        <v>1723</v>
      </c>
      <c r="C364" s="57" t="s">
        <v>3857</v>
      </c>
      <c r="D364" s="56" t="s">
        <v>1725</v>
      </c>
      <c r="E364" s="56" t="s">
        <v>390</v>
      </c>
      <c r="F364" s="56" t="s">
        <v>3858</v>
      </c>
      <c r="G364" s="56" t="s">
        <v>364</v>
      </c>
      <c r="H364" s="56" t="s">
        <v>413</v>
      </c>
      <c r="I364" s="56" t="s">
        <v>1464</v>
      </c>
      <c r="J364" s="56" t="s">
        <v>3859</v>
      </c>
      <c r="K364" s="59"/>
      <c r="L364" s="56" t="s">
        <v>2305</v>
      </c>
      <c r="M364" s="61" t="s">
        <v>373</v>
      </c>
      <c r="N364" s="58" t="s">
        <v>3860</v>
      </c>
      <c r="P364" s="55" t="b">
        <f t="shared" si="1"/>
        <v>0</v>
      </c>
    </row>
    <row r="365" ht="15.0" customHeight="1">
      <c r="A365" s="56" t="s">
        <v>3861</v>
      </c>
      <c r="B365" s="56" t="s">
        <v>3862</v>
      </c>
      <c r="C365" s="57" t="s">
        <v>3863</v>
      </c>
      <c r="D365" s="56" t="s">
        <v>3864</v>
      </c>
      <c r="E365" s="56" t="s">
        <v>452</v>
      </c>
      <c r="F365" s="56" t="s">
        <v>3865</v>
      </c>
      <c r="G365" s="56" t="s">
        <v>379</v>
      </c>
      <c r="H365" s="56" t="s">
        <v>366</v>
      </c>
      <c r="I365" s="56" t="s">
        <v>2283</v>
      </c>
      <c r="J365" s="56" t="s">
        <v>1967</v>
      </c>
      <c r="K365" s="59"/>
      <c r="L365" s="56" t="s">
        <v>2284</v>
      </c>
      <c r="M365" s="61" t="s">
        <v>373</v>
      </c>
      <c r="N365" s="58" t="s">
        <v>3866</v>
      </c>
      <c r="P365" s="55" t="b">
        <f t="shared" si="1"/>
        <v>0</v>
      </c>
    </row>
    <row r="366" ht="15.0" customHeight="1">
      <c r="A366" s="56" t="s">
        <v>218</v>
      </c>
      <c r="B366" s="56" t="s">
        <v>3867</v>
      </c>
      <c r="C366" s="57" t="s">
        <v>3868</v>
      </c>
      <c r="D366" s="58">
        <v>6.825519543E9</v>
      </c>
      <c r="E366" s="56" t="s">
        <v>362</v>
      </c>
      <c r="F366" s="56" t="s">
        <v>2801</v>
      </c>
      <c r="G366" s="56" t="s">
        <v>364</v>
      </c>
      <c r="H366" s="56" t="s">
        <v>366</v>
      </c>
      <c r="I366" s="56" t="s">
        <v>381</v>
      </c>
      <c r="J366" s="56" t="s">
        <v>2102</v>
      </c>
      <c r="K366" s="59"/>
      <c r="L366" s="56" t="s">
        <v>2305</v>
      </c>
      <c r="M366" s="61" t="s">
        <v>373</v>
      </c>
      <c r="N366" s="58" t="s">
        <v>2591</v>
      </c>
      <c r="P366" s="55" t="b">
        <f t="shared" si="1"/>
        <v>0</v>
      </c>
    </row>
    <row r="367" ht="15.0" customHeight="1">
      <c r="A367" s="56" t="s">
        <v>3869</v>
      </c>
      <c r="B367" s="56" t="s">
        <v>3870</v>
      </c>
      <c r="C367" s="57" t="s">
        <v>3871</v>
      </c>
      <c r="D367" s="58">
        <v>8.327320812E9</v>
      </c>
      <c r="E367" s="56" t="s">
        <v>2286</v>
      </c>
      <c r="F367" s="56" t="s">
        <v>3872</v>
      </c>
      <c r="G367" s="56" t="s">
        <v>379</v>
      </c>
      <c r="H367" s="56" t="s">
        <v>366</v>
      </c>
      <c r="I367" s="56" t="s">
        <v>2283</v>
      </c>
      <c r="J367" s="56" t="s">
        <v>3873</v>
      </c>
      <c r="K367" s="59"/>
      <c r="L367" s="56" t="s">
        <v>2284</v>
      </c>
      <c r="M367" s="61" t="s">
        <v>373</v>
      </c>
      <c r="N367" s="58" t="s">
        <v>3874</v>
      </c>
      <c r="P367" s="55" t="b">
        <f t="shared" si="1"/>
        <v>0</v>
      </c>
    </row>
    <row r="368" ht="15.0" customHeight="1">
      <c r="A368" s="56" t="s">
        <v>219</v>
      </c>
      <c r="B368" s="56" t="s">
        <v>1739</v>
      </c>
      <c r="C368" s="57" t="s">
        <v>1740</v>
      </c>
      <c r="D368" s="58">
        <v>2.819280124E9</v>
      </c>
      <c r="E368" s="56" t="s">
        <v>1553</v>
      </c>
      <c r="F368" s="56" t="s">
        <v>1553</v>
      </c>
      <c r="G368" s="56" t="s">
        <v>379</v>
      </c>
      <c r="H368" s="56" t="s">
        <v>413</v>
      </c>
      <c r="I368" s="56" t="s">
        <v>2283</v>
      </c>
      <c r="J368" s="56" t="s">
        <v>3875</v>
      </c>
      <c r="K368" s="59"/>
      <c r="L368" s="56" t="s">
        <v>2284</v>
      </c>
      <c r="M368" s="61" t="s">
        <v>373</v>
      </c>
      <c r="N368" s="58" t="s">
        <v>3876</v>
      </c>
      <c r="P368" s="55" t="b">
        <f t="shared" si="1"/>
        <v>0</v>
      </c>
    </row>
    <row r="369" ht="15.0" customHeight="1">
      <c r="A369" s="56" t="s">
        <v>220</v>
      </c>
      <c r="B369" s="56" t="s">
        <v>3877</v>
      </c>
      <c r="C369" s="57" t="s">
        <v>3878</v>
      </c>
      <c r="D369" s="58">
        <v>4.016421715E9</v>
      </c>
      <c r="E369" s="56" t="s">
        <v>390</v>
      </c>
      <c r="F369" s="56" t="s">
        <v>3879</v>
      </c>
      <c r="G369" s="56" t="s">
        <v>379</v>
      </c>
      <c r="H369" s="56" t="s">
        <v>366</v>
      </c>
      <c r="I369" s="56" t="s">
        <v>1301</v>
      </c>
      <c r="J369" s="62" t="s">
        <v>3880</v>
      </c>
      <c r="K369" s="59"/>
      <c r="L369" s="56" t="s">
        <v>2305</v>
      </c>
      <c r="M369" s="61" t="s">
        <v>373</v>
      </c>
      <c r="N369" s="58" t="s">
        <v>3881</v>
      </c>
      <c r="P369" s="55" t="b">
        <f t="shared" si="1"/>
        <v>0</v>
      </c>
    </row>
    <row r="370" ht="15.0" customHeight="1">
      <c r="A370" s="56" t="s">
        <v>3882</v>
      </c>
      <c r="B370" s="56" t="s">
        <v>3883</v>
      </c>
      <c r="C370" s="57" t="s">
        <v>3884</v>
      </c>
      <c r="D370" s="56" t="s">
        <v>3885</v>
      </c>
      <c r="E370" s="56" t="s">
        <v>390</v>
      </c>
      <c r="F370" s="56" t="s">
        <v>2463</v>
      </c>
      <c r="G370" s="56" t="s">
        <v>379</v>
      </c>
      <c r="H370" s="56" t="s">
        <v>366</v>
      </c>
      <c r="I370" s="56" t="s">
        <v>2288</v>
      </c>
      <c r="J370" s="56" t="s">
        <v>3886</v>
      </c>
      <c r="K370" s="59"/>
      <c r="L370" s="56" t="s">
        <v>2289</v>
      </c>
      <c r="M370" s="61" t="s">
        <v>373</v>
      </c>
      <c r="N370" s="58" t="s">
        <v>3887</v>
      </c>
      <c r="P370" s="55" t="b">
        <f t="shared" si="1"/>
        <v>0</v>
      </c>
    </row>
    <row r="371" ht="15.0" customHeight="1">
      <c r="A371" s="56" t="s">
        <v>3888</v>
      </c>
      <c r="B371" s="56" t="s">
        <v>3889</v>
      </c>
      <c r="C371" s="57" t="s">
        <v>3890</v>
      </c>
      <c r="D371" s="56" t="s">
        <v>3891</v>
      </c>
      <c r="E371" s="56" t="s">
        <v>410</v>
      </c>
      <c r="F371" s="56" t="s">
        <v>3879</v>
      </c>
      <c r="G371" s="56" t="s">
        <v>364</v>
      </c>
      <c r="H371" s="56" t="s">
        <v>366</v>
      </c>
      <c r="I371" s="56" t="s">
        <v>2293</v>
      </c>
      <c r="J371" s="56" t="s">
        <v>3892</v>
      </c>
      <c r="K371" s="59"/>
      <c r="L371" s="56" t="s">
        <v>2284</v>
      </c>
      <c r="M371" s="61" t="s">
        <v>373</v>
      </c>
      <c r="N371" s="58" t="s">
        <v>3893</v>
      </c>
      <c r="P371" s="55" t="b">
        <f t="shared" si="1"/>
        <v>0</v>
      </c>
    </row>
    <row r="372" ht="15.0" customHeight="1">
      <c r="A372" s="56" t="s">
        <v>3894</v>
      </c>
      <c r="B372" s="56" t="s">
        <v>3895</v>
      </c>
      <c r="C372" s="57" t="s">
        <v>3896</v>
      </c>
      <c r="D372" s="56" t="s">
        <v>3897</v>
      </c>
      <c r="E372" s="56" t="s">
        <v>452</v>
      </c>
      <c r="F372" s="56" t="s">
        <v>3898</v>
      </c>
      <c r="G372" s="56" t="s">
        <v>379</v>
      </c>
      <c r="H372" s="56" t="s">
        <v>366</v>
      </c>
      <c r="I372" s="56" t="s">
        <v>483</v>
      </c>
      <c r="J372" s="56" t="s">
        <v>1404</v>
      </c>
      <c r="K372" s="59"/>
      <c r="L372" s="56" t="s">
        <v>2305</v>
      </c>
      <c r="M372" s="61" t="s">
        <v>373</v>
      </c>
      <c r="N372" s="58" t="s">
        <v>3899</v>
      </c>
      <c r="P372" s="55" t="b">
        <f t="shared" si="1"/>
        <v>0</v>
      </c>
    </row>
    <row r="373" ht="15.0" customHeight="1">
      <c r="A373" s="56" t="s">
        <v>3900</v>
      </c>
      <c r="B373" s="56" t="s">
        <v>3901</v>
      </c>
      <c r="C373" s="57" t="s">
        <v>3902</v>
      </c>
      <c r="D373" s="58">
        <v>8.325267333E9</v>
      </c>
      <c r="E373" s="56" t="s">
        <v>390</v>
      </c>
      <c r="F373" s="56" t="s">
        <v>3903</v>
      </c>
      <c r="G373" s="56" t="s">
        <v>379</v>
      </c>
      <c r="H373" s="56" t="s">
        <v>366</v>
      </c>
      <c r="I373" s="56" t="s">
        <v>381</v>
      </c>
      <c r="J373" s="56" t="s">
        <v>3904</v>
      </c>
      <c r="K373" s="59"/>
      <c r="L373" s="56" t="s">
        <v>2289</v>
      </c>
      <c r="M373" s="61" t="s">
        <v>373</v>
      </c>
      <c r="N373" s="58" t="s">
        <v>2936</v>
      </c>
      <c r="P373" s="55" t="b">
        <f t="shared" si="1"/>
        <v>0</v>
      </c>
    </row>
    <row r="374" ht="15.0" customHeight="1">
      <c r="A374" s="56" t="s">
        <v>221</v>
      </c>
      <c r="B374" s="56" t="s">
        <v>3905</v>
      </c>
      <c r="C374" s="57" t="s">
        <v>3906</v>
      </c>
      <c r="D374" s="56" t="s">
        <v>3907</v>
      </c>
      <c r="E374" s="56" t="s">
        <v>2286</v>
      </c>
      <c r="F374" s="56" t="s">
        <v>3908</v>
      </c>
      <c r="G374" s="56" t="s">
        <v>399</v>
      </c>
      <c r="H374" s="56" t="s">
        <v>869</v>
      </c>
      <c r="I374" s="56" t="s">
        <v>2283</v>
      </c>
      <c r="J374" s="56" t="s">
        <v>863</v>
      </c>
      <c r="K374" s="59"/>
      <c r="L374" s="56" t="s">
        <v>2284</v>
      </c>
      <c r="M374" s="61" t="s">
        <v>373</v>
      </c>
      <c r="N374" s="58" t="s">
        <v>3909</v>
      </c>
      <c r="P374" s="55" t="b">
        <f t="shared" si="1"/>
        <v>0</v>
      </c>
    </row>
    <row r="375" ht="15.0" customHeight="1">
      <c r="A375" s="56" t="s">
        <v>3910</v>
      </c>
      <c r="B375" s="56" t="s">
        <v>3911</v>
      </c>
      <c r="C375" s="57" t="s">
        <v>3912</v>
      </c>
      <c r="D375" s="58">
        <v>8.328374777E9</v>
      </c>
      <c r="E375" s="56" t="s">
        <v>452</v>
      </c>
      <c r="F375" s="56" t="s">
        <v>3913</v>
      </c>
      <c r="G375" s="56" t="s">
        <v>399</v>
      </c>
      <c r="H375" s="56" t="s">
        <v>366</v>
      </c>
      <c r="I375" s="56" t="s">
        <v>2283</v>
      </c>
      <c r="J375" s="56" t="s">
        <v>2818</v>
      </c>
      <c r="K375" s="59"/>
      <c r="L375" s="56" t="s">
        <v>2284</v>
      </c>
      <c r="M375" s="61" t="s">
        <v>373</v>
      </c>
      <c r="N375" s="58" t="s">
        <v>3914</v>
      </c>
      <c r="P375" s="55" t="b">
        <f t="shared" si="1"/>
        <v>0</v>
      </c>
    </row>
    <row r="376" ht="15.0" customHeight="1">
      <c r="A376" s="56" t="s">
        <v>223</v>
      </c>
      <c r="B376" s="56" t="s">
        <v>1756</v>
      </c>
      <c r="C376" s="57" t="s">
        <v>1757</v>
      </c>
      <c r="D376" s="58">
        <v>2.255863651E9</v>
      </c>
      <c r="E376" s="56" t="s">
        <v>390</v>
      </c>
      <c r="F376" s="56" t="s">
        <v>3233</v>
      </c>
      <c r="G376" s="56" t="s">
        <v>379</v>
      </c>
      <c r="H376" s="56" t="s">
        <v>413</v>
      </c>
      <c r="I376" s="56" t="s">
        <v>2288</v>
      </c>
      <c r="J376" s="56" t="s">
        <v>3915</v>
      </c>
      <c r="K376" s="59"/>
      <c r="L376" s="56" t="s">
        <v>2289</v>
      </c>
      <c r="M376" s="61" t="s">
        <v>373</v>
      </c>
      <c r="N376" s="58" t="s">
        <v>3916</v>
      </c>
      <c r="P376" s="55" t="b">
        <f t="shared" si="1"/>
        <v>0</v>
      </c>
    </row>
    <row r="377" ht="15.0" customHeight="1">
      <c r="A377" s="56" t="s">
        <v>3917</v>
      </c>
      <c r="B377" s="56" t="s">
        <v>3918</v>
      </c>
      <c r="C377" s="57" t="s">
        <v>3919</v>
      </c>
      <c r="D377" s="58">
        <v>9.089073378E9</v>
      </c>
      <c r="E377" s="56" t="s">
        <v>2291</v>
      </c>
      <c r="F377" s="56" t="s">
        <v>3920</v>
      </c>
      <c r="G377" s="56" t="s">
        <v>379</v>
      </c>
      <c r="H377" s="56" t="s">
        <v>413</v>
      </c>
      <c r="I377" s="56" t="s">
        <v>2288</v>
      </c>
      <c r="J377" s="56" t="s">
        <v>785</v>
      </c>
      <c r="K377" s="59"/>
      <c r="L377" s="56" t="s">
        <v>2289</v>
      </c>
      <c r="M377" s="61" t="s">
        <v>373</v>
      </c>
      <c r="N377" s="58" t="s">
        <v>3921</v>
      </c>
      <c r="P377" s="55" t="b">
        <f t="shared" si="1"/>
        <v>0</v>
      </c>
    </row>
    <row r="378" ht="15.0" customHeight="1">
      <c r="A378" s="56" t="s">
        <v>3922</v>
      </c>
      <c r="B378" s="56" t="s">
        <v>3923</v>
      </c>
      <c r="C378" s="57" t="s">
        <v>3924</v>
      </c>
      <c r="D378" s="56" t="s">
        <v>3925</v>
      </c>
      <c r="E378" s="56" t="s">
        <v>452</v>
      </c>
      <c r="F378" s="56" t="s">
        <v>3926</v>
      </c>
      <c r="G378" s="56" t="s">
        <v>364</v>
      </c>
      <c r="H378" s="56" t="s">
        <v>413</v>
      </c>
      <c r="I378" s="56" t="s">
        <v>2283</v>
      </c>
      <c r="J378" s="56" t="s">
        <v>1152</v>
      </c>
      <c r="K378" s="59"/>
      <c r="L378" s="56" t="s">
        <v>2284</v>
      </c>
      <c r="M378" s="61" t="s">
        <v>373</v>
      </c>
      <c r="N378" s="58" t="s">
        <v>3927</v>
      </c>
      <c r="P378" s="55" t="b">
        <f t="shared" si="1"/>
        <v>0</v>
      </c>
    </row>
    <row r="379" ht="15.0" customHeight="1">
      <c r="A379" s="56" t="s">
        <v>224</v>
      </c>
      <c r="B379" s="56" t="s">
        <v>3928</v>
      </c>
      <c r="C379" s="57" t="s">
        <v>3929</v>
      </c>
      <c r="D379" s="56" t="s">
        <v>3930</v>
      </c>
      <c r="E379" s="56" t="s">
        <v>675</v>
      </c>
      <c r="F379" s="56" t="s">
        <v>3931</v>
      </c>
      <c r="G379" s="56" t="s">
        <v>399</v>
      </c>
      <c r="H379" s="56" t="s">
        <v>413</v>
      </c>
      <c r="I379" s="56" t="s">
        <v>483</v>
      </c>
      <c r="J379" s="56" t="s">
        <v>3932</v>
      </c>
      <c r="K379" s="59"/>
      <c r="L379" s="56" t="s">
        <v>2305</v>
      </c>
      <c r="M379" s="61" t="s">
        <v>373</v>
      </c>
      <c r="N379" s="58" t="s">
        <v>3933</v>
      </c>
      <c r="P379" s="55" t="b">
        <f t="shared" si="1"/>
        <v>0</v>
      </c>
    </row>
    <row r="380" ht="15.0" customHeight="1">
      <c r="A380" s="56" t="s">
        <v>1768</v>
      </c>
      <c r="B380" s="56" t="s">
        <v>3934</v>
      </c>
      <c r="C380" s="57" t="s">
        <v>1770</v>
      </c>
      <c r="D380" s="56" t="s">
        <v>1771</v>
      </c>
      <c r="E380" s="56" t="s">
        <v>2286</v>
      </c>
      <c r="F380" s="56" t="s">
        <v>3935</v>
      </c>
      <c r="G380" s="56" t="s">
        <v>364</v>
      </c>
      <c r="H380" s="56" t="s">
        <v>366</v>
      </c>
      <c r="I380" s="56" t="s">
        <v>381</v>
      </c>
      <c r="J380" s="56" t="s">
        <v>1748</v>
      </c>
      <c r="K380" s="59"/>
      <c r="L380" s="56" t="s">
        <v>2305</v>
      </c>
      <c r="M380" s="61" t="s">
        <v>373</v>
      </c>
      <c r="N380" s="58" t="s">
        <v>3936</v>
      </c>
      <c r="P380" s="55" t="b">
        <f t="shared" si="1"/>
        <v>0</v>
      </c>
    </row>
    <row r="381" ht="15.0" customHeight="1">
      <c r="A381" s="56" t="s">
        <v>949</v>
      </c>
      <c r="B381" s="56" t="s">
        <v>3937</v>
      </c>
      <c r="C381" s="57" t="s">
        <v>3938</v>
      </c>
      <c r="D381" s="58">
        <v>8.324921117E9</v>
      </c>
      <c r="E381" s="56" t="s">
        <v>452</v>
      </c>
      <c r="F381" s="56" t="s">
        <v>3939</v>
      </c>
      <c r="G381" s="56" t="s">
        <v>379</v>
      </c>
      <c r="H381" s="56" t="s">
        <v>366</v>
      </c>
      <c r="I381" s="56" t="s">
        <v>2288</v>
      </c>
      <c r="J381" s="56" t="s">
        <v>2141</v>
      </c>
      <c r="K381" s="59"/>
      <c r="L381" s="56" t="s">
        <v>2289</v>
      </c>
      <c r="M381" s="61" t="s">
        <v>373</v>
      </c>
      <c r="N381" s="58" t="s">
        <v>3940</v>
      </c>
      <c r="P381" s="55" t="b">
        <f t="shared" si="1"/>
        <v>0</v>
      </c>
    </row>
    <row r="382" ht="15.0" customHeight="1">
      <c r="A382" s="56" t="s">
        <v>225</v>
      </c>
      <c r="B382" s="56" t="s">
        <v>1775</v>
      </c>
      <c r="C382" s="57" t="s">
        <v>1776</v>
      </c>
      <c r="D382" s="58">
        <v>5.129486444E9</v>
      </c>
      <c r="E382" s="56" t="s">
        <v>2286</v>
      </c>
      <c r="F382" s="56" t="s">
        <v>2521</v>
      </c>
      <c r="G382" s="56" t="s">
        <v>364</v>
      </c>
      <c r="H382" s="56" t="s">
        <v>366</v>
      </c>
      <c r="I382" s="56" t="s">
        <v>483</v>
      </c>
      <c r="J382" s="56" t="s">
        <v>3941</v>
      </c>
      <c r="K382" s="59"/>
      <c r="L382" s="56" t="s">
        <v>2305</v>
      </c>
      <c r="M382" s="61" t="s">
        <v>373</v>
      </c>
      <c r="N382" s="58" t="s">
        <v>3559</v>
      </c>
      <c r="P382" s="55" t="b">
        <f t="shared" si="1"/>
        <v>0</v>
      </c>
    </row>
    <row r="383" ht="15.0" customHeight="1">
      <c r="A383" s="56" t="s">
        <v>226</v>
      </c>
      <c r="B383" s="56" t="s">
        <v>3942</v>
      </c>
      <c r="C383" s="57" t="s">
        <v>3943</v>
      </c>
      <c r="D383" s="58">
        <v>9.037676183E9</v>
      </c>
      <c r="E383" s="56" t="s">
        <v>2286</v>
      </c>
      <c r="F383" s="56" t="s">
        <v>3944</v>
      </c>
      <c r="G383" s="56" t="s">
        <v>379</v>
      </c>
      <c r="H383" s="56" t="s">
        <v>413</v>
      </c>
      <c r="I383" s="56" t="s">
        <v>2288</v>
      </c>
      <c r="J383" s="56" t="s">
        <v>3945</v>
      </c>
      <c r="K383" s="59"/>
      <c r="L383" s="56" t="s">
        <v>2289</v>
      </c>
      <c r="M383" s="61" t="s">
        <v>373</v>
      </c>
      <c r="N383" s="58" t="s">
        <v>3946</v>
      </c>
      <c r="P383" s="55" t="b">
        <f t="shared" si="1"/>
        <v>0</v>
      </c>
    </row>
    <row r="384" ht="15.0" customHeight="1">
      <c r="A384" s="56" t="s">
        <v>3947</v>
      </c>
      <c r="B384" s="56" t="s">
        <v>3948</v>
      </c>
      <c r="C384" s="57" t="s">
        <v>3949</v>
      </c>
      <c r="D384" s="56" t="s">
        <v>3950</v>
      </c>
      <c r="E384" s="56" t="s">
        <v>1553</v>
      </c>
      <c r="F384" s="56" t="s">
        <v>3951</v>
      </c>
      <c r="G384" s="56" t="s">
        <v>399</v>
      </c>
      <c r="H384" s="56" t="s">
        <v>366</v>
      </c>
      <c r="I384" s="56" t="s">
        <v>381</v>
      </c>
      <c r="J384" s="56" t="s">
        <v>3952</v>
      </c>
      <c r="K384" s="59"/>
      <c r="L384" s="56" t="s">
        <v>2305</v>
      </c>
      <c r="M384" s="61" t="s">
        <v>373</v>
      </c>
      <c r="N384" s="58" t="s">
        <v>3953</v>
      </c>
      <c r="P384" s="55" t="b">
        <f t="shared" si="1"/>
        <v>0</v>
      </c>
    </row>
    <row r="385" ht="15.0" customHeight="1">
      <c r="A385" s="56" t="s">
        <v>334</v>
      </c>
      <c r="B385" s="56" t="s">
        <v>3954</v>
      </c>
      <c r="C385" s="57" t="s">
        <v>1788</v>
      </c>
      <c r="D385" s="56" t="s">
        <v>3955</v>
      </c>
      <c r="E385" s="56" t="s">
        <v>1789</v>
      </c>
      <c r="F385" s="56" t="s">
        <v>3956</v>
      </c>
      <c r="G385" s="56" t="s">
        <v>399</v>
      </c>
      <c r="H385" s="56" t="s">
        <v>513</v>
      </c>
      <c r="I385" s="56" t="s">
        <v>2283</v>
      </c>
      <c r="J385" s="56" t="s">
        <v>2074</v>
      </c>
      <c r="K385" s="59"/>
      <c r="L385" s="56" t="s">
        <v>2284</v>
      </c>
      <c r="M385" s="61" t="s">
        <v>373</v>
      </c>
      <c r="N385" s="58" t="s">
        <v>3957</v>
      </c>
      <c r="P385" s="55" t="b">
        <f t="shared" si="1"/>
        <v>1</v>
      </c>
    </row>
    <row r="386" ht="15.0" customHeight="1">
      <c r="A386" s="56" t="s">
        <v>3958</v>
      </c>
      <c r="B386" s="56" t="s">
        <v>3959</v>
      </c>
      <c r="C386" s="57" t="s">
        <v>3960</v>
      </c>
      <c r="D386" s="58">
        <v>4.088868329E9</v>
      </c>
      <c r="E386" s="56" t="s">
        <v>2850</v>
      </c>
      <c r="F386" s="56" t="s">
        <v>2801</v>
      </c>
      <c r="G386" s="56" t="s">
        <v>399</v>
      </c>
      <c r="H386" s="56" t="s">
        <v>513</v>
      </c>
      <c r="I386" s="56" t="s">
        <v>2283</v>
      </c>
      <c r="J386" s="56" t="s">
        <v>1288</v>
      </c>
      <c r="K386" s="59"/>
      <c r="L386" s="56" t="s">
        <v>2284</v>
      </c>
      <c r="M386" s="61" t="s">
        <v>373</v>
      </c>
      <c r="N386" s="58" t="s">
        <v>3961</v>
      </c>
      <c r="P386" s="55" t="b">
        <f t="shared" si="1"/>
        <v>1</v>
      </c>
    </row>
    <row r="387" ht="15.0" customHeight="1">
      <c r="A387" s="56" t="s">
        <v>3962</v>
      </c>
      <c r="B387" s="56" t="s">
        <v>3963</v>
      </c>
      <c r="C387" s="57" t="s">
        <v>3964</v>
      </c>
      <c r="D387" s="58">
        <v>3.168214842E9</v>
      </c>
      <c r="E387" s="56" t="s">
        <v>390</v>
      </c>
      <c r="F387" s="56" t="s">
        <v>3154</v>
      </c>
      <c r="G387" s="56" t="s">
        <v>379</v>
      </c>
      <c r="H387" s="56" t="s">
        <v>366</v>
      </c>
      <c r="I387" s="56" t="s">
        <v>2288</v>
      </c>
      <c r="J387" s="56" t="s">
        <v>3965</v>
      </c>
      <c r="K387" s="59"/>
      <c r="L387" s="56" t="s">
        <v>2289</v>
      </c>
      <c r="M387" s="61" t="s">
        <v>373</v>
      </c>
      <c r="N387" s="58" t="s">
        <v>3966</v>
      </c>
      <c r="P387" s="55" t="b">
        <f t="shared" si="1"/>
        <v>0</v>
      </c>
    </row>
    <row r="388" ht="15.0" customHeight="1">
      <c r="A388" s="56" t="s">
        <v>227</v>
      </c>
      <c r="B388" s="56" t="s">
        <v>1800</v>
      </c>
      <c r="C388" s="57" t="s">
        <v>1801</v>
      </c>
      <c r="D388" s="56" t="s">
        <v>3967</v>
      </c>
      <c r="E388" s="56" t="s">
        <v>2286</v>
      </c>
      <c r="F388" s="56" t="s">
        <v>3968</v>
      </c>
      <c r="G388" s="56" t="s">
        <v>379</v>
      </c>
      <c r="H388" s="56" t="s">
        <v>413</v>
      </c>
      <c r="I388" s="56" t="s">
        <v>2288</v>
      </c>
      <c r="J388" s="56" t="s">
        <v>1584</v>
      </c>
      <c r="K388" s="59"/>
      <c r="L388" s="56" t="s">
        <v>2289</v>
      </c>
      <c r="M388" s="61" t="s">
        <v>373</v>
      </c>
      <c r="N388" s="58" t="s">
        <v>3969</v>
      </c>
      <c r="P388" s="55" t="b">
        <f t="shared" si="1"/>
        <v>0</v>
      </c>
    </row>
    <row r="389" ht="15.0" customHeight="1">
      <c r="A389" s="56" t="s">
        <v>3970</v>
      </c>
      <c r="B389" s="56" t="s">
        <v>3971</v>
      </c>
      <c r="C389" s="57" t="s">
        <v>3972</v>
      </c>
      <c r="D389" s="58">
        <v>5.129392058E9</v>
      </c>
      <c r="E389" s="56" t="s">
        <v>390</v>
      </c>
      <c r="F389" s="56" t="s">
        <v>3973</v>
      </c>
      <c r="G389" s="56" t="s">
        <v>399</v>
      </c>
      <c r="H389" s="56" t="s">
        <v>413</v>
      </c>
      <c r="I389" s="62" t="s">
        <v>2288</v>
      </c>
      <c r="J389" s="59"/>
      <c r="K389" s="59"/>
      <c r="L389" s="56" t="s">
        <v>2289</v>
      </c>
      <c r="M389" s="61" t="s">
        <v>394</v>
      </c>
      <c r="N389" s="58" t="s">
        <v>3974</v>
      </c>
      <c r="P389" s="55" t="b">
        <f t="shared" si="1"/>
        <v>0</v>
      </c>
    </row>
    <row r="390" ht="15.0" customHeight="1">
      <c r="A390" s="56" t="s">
        <v>3975</v>
      </c>
      <c r="B390" s="56" t="s">
        <v>3976</v>
      </c>
      <c r="C390" s="57" t="s">
        <v>3977</v>
      </c>
      <c r="D390" s="58">
        <v>4.094348808E9</v>
      </c>
      <c r="E390" s="56" t="s">
        <v>2286</v>
      </c>
      <c r="F390" s="56" t="s">
        <v>3978</v>
      </c>
      <c r="G390" s="56" t="s">
        <v>364</v>
      </c>
      <c r="H390" s="56" t="s">
        <v>413</v>
      </c>
      <c r="I390" s="56" t="s">
        <v>2288</v>
      </c>
      <c r="J390" s="56" t="s">
        <v>3979</v>
      </c>
      <c r="K390" s="59"/>
      <c r="L390" s="56" t="s">
        <v>2289</v>
      </c>
      <c r="M390" s="61" t="s">
        <v>373</v>
      </c>
      <c r="N390" s="58" t="s">
        <v>2499</v>
      </c>
      <c r="P390" s="55" t="b">
        <f t="shared" si="1"/>
        <v>0</v>
      </c>
    </row>
    <row r="391" ht="15.0" customHeight="1">
      <c r="A391" s="56" t="s">
        <v>3980</v>
      </c>
      <c r="B391" s="56" t="s">
        <v>3981</v>
      </c>
      <c r="C391" s="57" t="s">
        <v>3982</v>
      </c>
      <c r="D391" s="58">
        <v>9.725719499E9</v>
      </c>
      <c r="E391" s="56" t="s">
        <v>2286</v>
      </c>
      <c r="F391" s="56" t="s">
        <v>2286</v>
      </c>
      <c r="G391" s="56" t="s">
        <v>399</v>
      </c>
      <c r="H391" s="56" t="s">
        <v>413</v>
      </c>
      <c r="I391" s="56" t="s">
        <v>381</v>
      </c>
      <c r="J391" s="56" t="s">
        <v>1007</v>
      </c>
      <c r="K391" s="59"/>
      <c r="L391" s="56" t="s">
        <v>2305</v>
      </c>
      <c r="M391" s="61" t="s">
        <v>373</v>
      </c>
      <c r="N391" s="58" t="s">
        <v>3983</v>
      </c>
      <c r="P391" s="55" t="b">
        <f t="shared" si="1"/>
        <v>0</v>
      </c>
    </row>
    <row r="392" ht="15.0" customHeight="1">
      <c r="A392" s="56" t="s">
        <v>3984</v>
      </c>
      <c r="B392" s="56" t="s">
        <v>1313</v>
      </c>
      <c r="C392" s="57" t="s">
        <v>3985</v>
      </c>
      <c r="D392" s="56" t="s">
        <v>3378</v>
      </c>
      <c r="E392" s="56" t="s">
        <v>452</v>
      </c>
      <c r="F392" s="56" t="s">
        <v>3986</v>
      </c>
      <c r="G392" s="56" t="s">
        <v>364</v>
      </c>
      <c r="H392" s="56" t="s">
        <v>366</v>
      </c>
      <c r="I392" s="56" t="s">
        <v>2283</v>
      </c>
      <c r="J392" s="56" t="s">
        <v>3886</v>
      </c>
      <c r="K392" s="59"/>
      <c r="L392" s="56" t="s">
        <v>2284</v>
      </c>
      <c r="M392" s="61" t="s">
        <v>373</v>
      </c>
      <c r="N392" s="58" t="s">
        <v>3987</v>
      </c>
      <c r="P392" s="55" t="b">
        <f t="shared" si="1"/>
        <v>0</v>
      </c>
    </row>
    <row r="393" ht="15.0" customHeight="1">
      <c r="A393" s="56" t="s">
        <v>3988</v>
      </c>
      <c r="B393" s="56" t="s">
        <v>3989</v>
      </c>
      <c r="C393" s="57" t="s">
        <v>3990</v>
      </c>
      <c r="D393" s="58">
        <v>7.132815875E9</v>
      </c>
      <c r="E393" s="56" t="s">
        <v>421</v>
      </c>
      <c r="F393" s="56" t="s">
        <v>3991</v>
      </c>
      <c r="G393" s="56" t="s">
        <v>379</v>
      </c>
      <c r="H393" s="56" t="s">
        <v>366</v>
      </c>
      <c r="I393" s="56" t="s">
        <v>2288</v>
      </c>
      <c r="J393" s="56" t="s">
        <v>3992</v>
      </c>
      <c r="K393" s="59"/>
      <c r="L393" s="56" t="s">
        <v>2289</v>
      </c>
      <c r="M393" s="61" t="s">
        <v>373</v>
      </c>
      <c r="N393" s="58" t="s">
        <v>3993</v>
      </c>
      <c r="P393" s="55" t="b">
        <f t="shared" si="1"/>
        <v>0</v>
      </c>
    </row>
    <row r="394" ht="15.0" customHeight="1">
      <c r="A394" s="56" t="s">
        <v>3994</v>
      </c>
      <c r="B394" s="56" t="s">
        <v>3995</v>
      </c>
      <c r="C394" s="57" t="s">
        <v>3996</v>
      </c>
      <c r="D394" s="58">
        <v>8.327329224E9</v>
      </c>
      <c r="E394" s="56" t="s">
        <v>390</v>
      </c>
      <c r="F394" s="56" t="s">
        <v>3997</v>
      </c>
      <c r="G394" s="56" t="s">
        <v>379</v>
      </c>
      <c r="H394" s="56" t="s">
        <v>366</v>
      </c>
      <c r="I394" s="56" t="s">
        <v>381</v>
      </c>
      <c r="J394" s="56" t="s">
        <v>3998</v>
      </c>
      <c r="K394" s="59"/>
      <c r="L394" s="56" t="s">
        <v>2305</v>
      </c>
      <c r="M394" s="61" t="s">
        <v>373</v>
      </c>
      <c r="N394" s="58" t="s">
        <v>3999</v>
      </c>
      <c r="P394" s="55" t="b">
        <f t="shared" si="1"/>
        <v>0</v>
      </c>
    </row>
    <row r="395" ht="15.0" customHeight="1">
      <c r="A395" s="56" t="s">
        <v>4000</v>
      </c>
      <c r="B395" s="56" t="s">
        <v>4001</v>
      </c>
      <c r="C395" s="57" t="s">
        <v>4002</v>
      </c>
      <c r="D395" s="56" t="s">
        <v>4003</v>
      </c>
      <c r="E395" s="56" t="s">
        <v>452</v>
      </c>
      <c r="F395" s="56" t="s">
        <v>4004</v>
      </c>
      <c r="G395" s="56" t="s">
        <v>379</v>
      </c>
      <c r="H395" s="56" t="s">
        <v>366</v>
      </c>
      <c r="I395" s="56" t="s">
        <v>2283</v>
      </c>
      <c r="J395" s="56" t="s">
        <v>655</v>
      </c>
      <c r="K395" s="59"/>
      <c r="L395" s="56" t="s">
        <v>2284</v>
      </c>
      <c r="M395" s="61" t="s">
        <v>373</v>
      </c>
      <c r="N395" s="58" t="s">
        <v>4005</v>
      </c>
      <c r="P395" s="55" t="b">
        <f t="shared" si="1"/>
        <v>0</v>
      </c>
    </row>
    <row r="396" ht="15.0" customHeight="1">
      <c r="A396" s="56" t="s">
        <v>230</v>
      </c>
      <c r="B396" s="56" t="s">
        <v>4006</v>
      </c>
      <c r="C396" s="57" t="s">
        <v>1813</v>
      </c>
      <c r="D396" s="56" t="s">
        <v>4007</v>
      </c>
      <c r="E396" s="56" t="s">
        <v>452</v>
      </c>
      <c r="F396" s="56" t="s">
        <v>4008</v>
      </c>
      <c r="G396" s="56" t="s">
        <v>379</v>
      </c>
      <c r="H396" s="56" t="s">
        <v>366</v>
      </c>
      <c r="I396" s="56" t="s">
        <v>2288</v>
      </c>
      <c r="J396" s="56" t="s">
        <v>1960</v>
      </c>
      <c r="K396" s="59"/>
      <c r="L396" s="56" t="s">
        <v>2289</v>
      </c>
      <c r="M396" s="61" t="s">
        <v>373</v>
      </c>
      <c r="N396" s="58" t="s">
        <v>4009</v>
      </c>
      <c r="P396" s="55" t="b">
        <f t="shared" si="1"/>
        <v>0</v>
      </c>
    </row>
    <row r="397" ht="15.0" customHeight="1">
      <c r="A397" s="56" t="s">
        <v>4010</v>
      </c>
      <c r="B397" s="56" t="s">
        <v>4011</v>
      </c>
      <c r="C397" s="57" t="s">
        <v>4012</v>
      </c>
      <c r="D397" s="56" t="s">
        <v>4013</v>
      </c>
      <c r="E397" s="56" t="s">
        <v>452</v>
      </c>
      <c r="F397" s="56" t="s">
        <v>2938</v>
      </c>
      <c r="G397" s="56" t="s">
        <v>379</v>
      </c>
      <c r="H397" s="56" t="s">
        <v>413</v>
      </c>
      <c r="I397" s="56" t="s">
        <v>2288</v>
      </c>
      <c r="J397" s="56" t="s">
        <v>3422</v>
      </c>
      <c r="K397" s="59"/>
      <c r="L397" s="56" t="s">
        <v>2289</v>
      </c>
      <c r="M397" s="61" t="s">
        <v>373</v>
      </c>
      <c r="N397" s="58" t="s">
        <v>2632</v>
      </c>
      <c r="P397" s="55" t="b">
        <f t="shared" si="1"/>
        <v>0</v>
      </c>
    </row>
    <row r="398" ht="15.0" customHeight="1">
      <c r="A398" s="56" t="s">
        <v>316</v>
      </c>
      <c r="B398" s="56" t="s">
        <v>1826</v>
      </c>
      <c r="C398" s="57" t="s">
        <v>1827</v>
      </c>
      <c r="D398" s="58">
        <v>4.016421721E9</v>
      </c>
      <c r="E398" s="56" t="s">
        <v>459</v>
      </c>
      <c r="F398" s="56" t="s">
        <v>4014</v>
      </c>
      <c r="G398" s="56" t="s">
        <v>364</v>
      </c>
      <c r="H398" s="56" t="s">
        <v>366</v>
      </c>
      <c r="I398" s="56" t="s">
        <v>2293</v>
      </c>
      <c r="J398" s="56" t="s">
        <v>4015</v>
      </c>
      <c r="K398" s="59"/>
      <c r="L398" s="56" t="s">
        <v>2284</v>
      </c>
      <c r="M398" s="61" t="s">
        <v>373</v>
      </c>
      <c r="N398" s="58" t="s">
        <v>3177</v>
      </c>
      <c r="P398" s="55" t="b">
        <f t="shared" si="1"/>
        <v>0</v>
      </c>
    </row>
    <row r="399" ht="15.0" customHeight="1">
      <c r="A399" s="56" t="s">
        <v>4016</v>
      </c>
      <c r="B399" s="56" t="s">
        <v>4017</v>
      </c>
      <c r="C399" s="57" t="s">
        <v>4018</v>
      </c>
      <c r="D399" s="58">
        <v>2.819197902E9</v>
      </c>
      <c r="E399" s="56" t="s">
        <v>1553</v>
      </c>
      <c r="F399" s="56" t="s">
        <v>4019</v>
      </c>
      <c r="G399" s="56" t="s">
        <v>364</v>
      </c>
      <c r="H399" s="56" t="s">
        <v>413</v>
      </c>
      <c r="I399" s="56" t="s">
        <v>2283</v>
      </c>
      <c r="J399" s="56" t="s">
        <v>4020</v>
      </c>
      <c r="K399" s="59"/>
      <c r="L399" s="56" t="s">
        <v>2305</v>
      </c>
      <c r="M399" s="61" t="s">
        <v>373</v>
      </c>
      <c r="N399" s="58" t="s">
        <v>3820</v>
      </c>
      <c r="P399" s="55" t="b">
        <f t="shared" si="1"/>
        <v>0</v>
      </c>
    </row>
    <row r="400" ht="15.0" customHeight="1">
      <c r="A400" s="56" t="s">
        <v>231</v>
      </c>
      <c r="B400" s="56" t="s">
        <v>4021</v>
      </c>
      <c r="C400" s="57" t="s">
        <v>4022</v>
      </c>
      <c r="D400" s="58">
        <v>7.132035031E9</v>
      </c>
      <c r="E400" s="56" t="s">
        <v>390</v>
      </c>
      <c r="F400" s="56" t="s">
        <v>4023</v>
      </c>
      <c r="G400" s="56" t="s">
        <v>379</v>
      </c>
      <c r="H400" s="56" t="s">
        <v>413</v>
      </c>
      <c r="I400" s="56" t="s">
        <v>2293</v>
      </c>
      <c r="J400" s="56" t="s">
        <v>4024</v>
      </c>
      <c r="K400" s="59"/>
      <c r="L400" s="56" t="s">
        <v>2284</v>
      </c>
      <c r="M400" s="61" t="s">
        <v>373</v>
      </c>
      <c r="N400" s="58" t="s">
        <v>4025</v>
      </c>
      <c r="P400" s="55" t="b">
        <f t="shared" si="1"/>
        <v>0</v>
      </c>
    </row>
    <row r="401" ht="15.0" customHeight="1">
      <c r="A401" s="56" t="s">
        <v>232</v>
      </c>
      <c r="B401" s="56" t="s">
        <v>4026</v>
      </c>
      <c r="C401" s="57" t="s">
        <v>4027</v>
      </c>
      <c r="D401" s="58">
        <v>2.106065333E9</v>
      </c>
      <c r="E401" s="56" t="s">
        <v>452</v>
      </c>
      <c r="F401" s="56" t="s">
        <v>3935</v>
      </c>
      <c r="G401" s="56" t="s">
        <v>364</v>
      </c>
      <c r="H401" s="56" t="s">
        <v>413</v>
      </c>
      <c r="I401" s="56" t="s">
        <v>2283</v>
      </c>
      <c r="J401" s="56" t="s">
        <v>4028</v>
      </c>
      <c r="K401" s="59"/>
      <c r="L401" s="56" t="s">
        <v>2284</v>
      </c>
      <c r="M401" s="61" t="s">
        <v>373</v>
      </c>
      <c r="N401" s="58" t="s">
        <v>4029</v>
      </c>
      <c r="P401" s="55" t="b">
        <f t="shared" si="1"/>
        <v>0</v>
      </c>
    </row>
    <row r="402" ht="15.0" customHeight="1">
      <c r="A402" s="56" t="s">
        <v>1839</v>
      </c>
      <c r="B402" s="56" t="s">
        <v>4030</v>
      </c>
      <c r="C402" s="57" t="s">
        <v>4031</v>
      </c>
      <c r="D402" s="58">
        <v>4.802078709E9</v>
      </c>
      <c r="E402" s="56" t="s">
        <v>390</v>
      </c>
      <c r="F402" s="56" t="s">
        <v>2692</v>
      </c>
      <c r="G402" s="56" t="s">
        <v>379</v>
      </c>
      <c r="H402" s="56" t="s">
        <v>413</v>
      </c>
      <c r="I402" s="56" t="s">
        <v>1464</v>
      </c>
      <c r="J402" s="56" t="s">
        <v>4032</v>
      </c>
      <c r="K402" s="59"/>
      <c r="L402" s="56" t="s">
        <v>2305</v>
      </c>
      <c r="M402" s="61" t="s">
        <v>373</v>
      </c>
      <c r="N402" s="58" t="s">
        <v>4033</v>
      </c>
      <c r="P402" s="55" t="b">
        <f t="shared" si="1"/>
        <v>0</v>
      </c>
    </row>
    <row r="403" ht="15.0" customHeight="1">
      <c r="A403" s="56" t="s">
        <v>317</v>
      </c>
      <c r="B403" s="56" t="s">
        <v>1845</v>
      </c>
      <c r="C403" s="57" t="s">
        <v>1846</v>
      </c>
      <c r="D403" s="58">
        <v>7.138183511E9</v>
      </c>
      <c r="E403" s="56" t="s">
        <v>390</v>
      </c>
      <c r="F403" s="56" t="s">
        <v>3973</v>
      </c>
      <c r="G403" s="56" t="s">
        <v>379</v>
      </c>
      <c r="H403" s="56" t="s">
        <v>366</v>
      </c>
      <c r="I403" s="56" t="s">
        <v>2283</v>
      </c>
      <c r="J403" s="56" t="s">
        <v>3464</v>
      </c>
      <c r="K403" s="59"/>
      <c r="L403" s="56" t="s">
        <v>2284</v>
      </c>
      <c r="M403" s="61" t="s">
        <v>373</v>
      </c>
      <c r="N403" s="58" t="s">
        <v>4034</v>
      </c>
      <c r="P403" s="55" t="b">
        <f t="shared" si="1"/>
        <v>0</v>
      </c>
    </row>
    <row r="404" ht="15.0" customHeight="1">
      <c r="A404" s="56" t="s">
        <v>4035</v>
      </c>
      <c r="B404" s="56" t="s">
        <v>4036</v>
      </c>
      <c r="C404" s="57" t="s">
        <v>4037</v>
      </c>
      <c r="D404" s="56" t="s">
        <v>4038</v>
      </c>
      <c r="E404" s="56" t="s">
        <v>452</v>
      </c>
      <c r="F404" s="56" t="s">
        <v>4039</v>
      </c>
      <c r="G404" s="56" t="s">
        <v>364</v>
      </c>
      <c r="H404" s="56" t="s">
        <v>366</v>
      </c>
      <c r="I404" s="56" t="s">
        <v>1301</v>
      </c>
      <c r="J404" s="56" t="s">
        <v>4040</v>
      </c>
      <c r="K404" s="59"/>
      <c r="L404" s="56" t="s">
        <v>2305</v>
      </c>
      <c r="M404" s="61" t="s">
        <v>373</v>
      </c>
      <c r="N404" s="58" t="s">
        <v>4041</v>
      </c>
      <c r="P404" s="55" t="b">
        <f t="shared" si="1"/>
        <v>0</v>
      </c>
    </row>
    <row r="405" ht="15.0" customHeight="1">
      <c r="A405" s="56" t="s">
        <v>318</v>
      </c>
      <c r="B405" s="56" t="s">
        <v>4042</v>
      </c>
      <c r="C405" s="57" t="s">
        <v>4043</v>
      </c>
      <c r="D405" s="56" t="s">
        <v>4044</v>
      </c>
      <c r="E405" s="56" t="s">
        <v>2286</v>
      </c>
      <c r="F405" s="56" t="s">
        <v>4045</v>
      </c>
      <c r="G405" s="56" t="s">
        <v>379</v>
      </c>
      <c r="H405" s="56" t="s">
        <v>366</v>
      </c>
      <c r="I405" s="56" t="s">
        <v>2283</v>
      </c>
      <c r="J405" s="56" t="s">
        <v>4046</v>
      </c>
      <c r="K405" s="59"/>
      <c r="L405" s="56" t="s">
        <v>2284</v>
      </c>
      <c r="M405" s="61" t="s">
        <v>373</v>
      </c>
      <c r="N405" s="58" t="s">
        <v>4047</v>
      </c>
      <c r="P405" s="55" t="b">
        <f t="shared" si="1"/>
        <v>0</v>
      </c>
    </row>
    <row r="406" ht="15.0" customHeight="1">
      <c r="A406" s="56" t="s">
        <v>233</v>
      </c>
      <c r="B406" s="56" t="s">
        <v>4048</v>
      </c>
      <c r="C406" s="57" t="s">
        <v>4049</v>
      </c>
      <c r="D406" s="58">
        <v>5.052640876E9</v>
      </c>
      <c r="E406" s="56" t="s">
        <v>452</v>
      </c>
      <c r="F406" s="56" t="s">
        <v>4050</v>
      </c>
      <c r="G406" s="56" t="s">
        <v>399</v>
      </c>
      <c r="H406" s="56" t="s">
        <v>413</v>
      </c>
      <c r="I406" s="56" t="s">
        <v>2283</v>
      </c>
      <c r="J406" s="56" t="s">
        <v>4051</v>
      </c>
      <c r="K406" s="59"/>
      <c r="L406" s="56" t="s">
        <v>2284</v>
      </c>
      <c r="M406" s="61" t="s">
        <v>373</v>
      </c>
      <c r="N406" s="58" t="s">
        <v>3312</v>
      </c>
      <c r="P406" s="55" t="b">
        <f t="shared" si="1"/>
        <v>0</v>
      </c>
    </row>
    <row r="407" ht="15.0" customHeight="1">
      <c r="A407" s="56" t="s">
        <v>234</v>
      </c>
      <c r="B407" s="56" t="s">
        <v>4052</v>
      </c>
      <c r="C407" s="57" t="s">
        <v>4053</v>
      </c>
      <c r="D407" s="58">
        <v>8.035226903E9</v>
      </c>
      <c r="E407" s="56" t="s">
        <v>452</v>
      </c>
      <c r="F407" s="56" t="s">
        <v>4054</v>
      </c>
      <c r="G407" s="56" t="s">
        <v>364</v>
      </c>
      <c r="H407" s="56" t="s">
        <v>413</v>
      </c>
      <c r="I407" s="56" t="s">
        <v>2283</v>
      </c>
      <c r="J407" s="56" t="s">
        <v>3445</v>
      </c>
      <c r="K407" s="59"/>
      <c r="L407" s="56" t="s">
        <v>2284</v>
      </c>
      <c r="M407" s="61" t="s">
        <v>373</v>
      </c>
      <c r="N407" s="58" t="s">
        <v>4055</v>
      </c>
      <c r="P407" s="55" t="b">
        <f t="shared" si="1"/>
        <v>0</v>
      </c>
    </row>
    <row r="408" ht="15.0" customHeight="1">
      <c r="A408" s="56" t="s">
        <v>4056</v>
      </c>
      <c r="B408" s="56" t="s">
        <v>4057</v>
      </c>
      <c r="C408" s="57" t="s">
        <v>4058</v>
      </c>
      <c r="D408" s="58">
        <v>8.392990194E9</v>
      </c>
      <c r="E408" s="56" t="s">
        <v>390</v>
      </c>
      <c r="F408" s="56" t="s">
        <v>4059</v>
      </c>
      <c r="G408" s="56" t="s">
        <v>364</v>
      </c>
      <c r="H408" s="56" t="s">
        <v>413</v>
      </c>
      <c r="I408" s="56" t="s">
        <v>2288</v>
      </c>
      <c r="J408" s="56" t="s">
        <v>4060</v>
      </c>
      <c r="K408" s="59"/>
      <c r="L408" s="56" t="s">
        <v>2289</v>
      </c>
      <c r="M408" s="61" t="s">
        <v>373</v>
      </c>
      <c r="N408" s="58" t="s">
        <v>4061</v>
      </c>
      <c r="P408" s="55" t="b">
        <f t="shared" si="1"/>
        <v>0</v>
      </c>
    </row>
    <row r="409" ht="15.0" customHeight="1">
      <c r="A409" s="56" t="s">
        <v>235</v>
      </c>
      <c r="B409" s="56" t="s">
        <v>1859</v>
      </c>
      <c r="C409" s="57" t="s">
        <v>1860</v>
      </c>
      <c r="D409" s="56" t="s">
        <v>1861</v>
      </c>
      <c r="E409" s="56" t="s">
        <v>2286</v>
      </c>
      <c r="F409" s="56" t="s">
        <v>3968</v>
      </c>
      <c r="G409" s="56" t="s">
        <v>364</v>
      </c>
      <c r="H409" s="56" t="s">
        <v>413</v>
      </c>
      <c r="I409" s="56" t="s">
        <v>2288</v>
      </c>
      <c r="J409" s="56" t="s">
        <v>4062</v>
      </c>
      <c r="K409" s="59"/>
      <c r="L409" s="56" t="s">
        <v>2289</v>
      </c>
      <c r="M409" s="61" t="s">
        <v>373</v>
      </c>
      <c r="N409" s="58" t="s">
        <v>4063</v>
      </c>
      <c r="P409" s="55" t="b">
        <f t="shared" si="1"/>
        <v>0</v>
      </c>
    </row>
    <row r="410" ht="15.0" customHeight="1">
      <c r="A410" s="56" t="s">
        <v>4064</v>
      </c>
      <c r="B410" s="56" t="s">
        <v>4065</v>
      </c>
      <c r="C410" s="57" t="s">
        <v>4066</v>
      </c>
      <c r="D410" s="58">
        <v>5.406601064E9</v>
      </c>
      <c r="E410" s="56" t="s">
        <v>2286</v>
      </c>
      <c r="F410" s="56" t="s">
        <v>2286</v>
      </c>
      <c r="G410" s="56" t="s">
        <v>399</v>
      </c>
      <c r="H410" s="56" t="s">
        <v>366</v>
      </c>
      <c r="I410" s="56" t="s">
        <v>2473</v>
      </c>
      <c r="J410" s="56" t="s">
        <v>624</v>
      </c>
      <c r="K410" s="59"/>
      <c r="L410" s="56" t="s">
        <v>2284</v>
      </c>
      <c r="M410" s="61" t="s">
        <v>373</v>
      </c>
      <c r="N410" s="58" t="s">
        <v>2336</v>
      </c>
      <c r="P410" s="55" t="b">
        <f t="shared" si="1"/>
        <v>0</v>
      </c>
    </row>
    <row r="411" ht="15.0" customHeight="1">
      <c r="A411" s="56" t="s">
        <v>4067</v>
      </c>
      <c r="B411" s="56" t="s">
        <v>2051</v>
      </c>
      <c r="C411" s="57" t="s">
        <v>2052</v>
      </c>
      <c r="D411" s="58">
        <v>9.796761396E9</v>
      </c>
      <c r="E411" s="56" t="s">
        <v>443</v>
      </c>
      <c r="F411" s="56" t="s">
        <v>2528</v>
      </c>
      <c r="G411" s="56" t="s">
        <v>364</v>
      </c>
      <c r="H411" s="56" t="s">
        <v>413</v>
      </c>
      <c r="I411" s="56" t="s">
        <v>2288</v>
      </c>
      <c r="J411" s="56" t="s">
        <v>1849</v>
      </c>
      <c r="K411" s="59"/>
      <c r="L411" s="56" t="s">
        <v>2289</v>
      </c>
      <c r="M411" s="61" t="s">
        <v>373</v>
      </c>
      <c r="N411" s="58" t="s">
        <v>4068</v>
      </c>
      <c r="P411" s="55" t="b">
        <f t="shared" si="1"/>
        <v>0</v>
      </c>
    </row>
    <row r="412" ht="15.0" customHeight="1">
      <c r="A412" s="56" t="s">
        <v>238</v>
      </c>
      <c r="B412" s="56" t="s">
        <v>1876</v>
      </c>
      <c r="C412" s="57" t="s">
        <v>1877</v>
      </c>
      <c r="D412" s="56" t="s">
        <v>1878</v>
      </c>
      <c r="E412" s="56" t="s">
        <v>459</v>
      </c>
      <c r="F412" s="56" t="s">
        <v>4069</v>
      </c>
      <c r="G412" s="56" t="s">
        <v>364</v>
      </c>
      <c r="H412" s="56" t="s">
        <v>413</v>
      </c>
      <c r="I412" s="56" t="s">
        <v>381</v>
      </c>
      <c r="J412" s="56" t="s">
        <v>4070</v>
      </c>
      <c r="K412" s="59"/>
      <c r="L412" s="56" t="s">
        <v>2305</v>
      </c>
      <c r="M412" s="61" t="s">
        <v>373</v>
      </c>
      <c r="N412" s="58" t="s">
        <v>4071</v>
      </c>
      <c r="P412" s="55" t="b">
        <f t="shared" si="1"/>
        <v>0</v>
      </c>
    </row>
    <row r="413" ht="15.0" customHeight="1">
      <c r="A413" s="56" t="s">
        <v>1882</v>
      </c>
      <c r="B413" s="56" t="s">
        <v>1883</v>
      </c>
      <c r="C413" s="57" t="s">
        <v>1884</v>
      </c>
      <c r="D413" s="58">
        <v>9.798458567E9</v>
      </c>
      <c r="E413" s="56" t="s">
        <v>459</v>
      </c>
      <c r="F413" s="56" t="s">
        <v>4072</v>
      </c>
      <c r="G413" s="56" t="s">
        <v>379</v>
      </c>
      <c r="H413" s="56" t="s">
        <v>413</v>
      </c>
      <c r="I413" s="62" t="s">
        <v>483</v>
      </c>
      <c r="J413" s="59"/>
      <c r="K413" s="59"/>
      <c r="L413" s="56" t="s">
        <v>2305</v>
      </c>
      <c r="M413" s="61" t="s">
        <v>394</v>
      </c>
      <c r="N413" s="58" t="s">
        <v>4073</v>
      </c>
      <c r="P413" s="55" t="b">
        <f t="shared" si="1"/>
        <v>0</v>
      </c>
    </row>
    <row r="414" ht="15.0" customHeight="1">
      <c r="A414" s="56" t="s">
        <v>4074</v>
      </c>
      <c r="B414" s="56" t="s">
        <v>4075</v>
      </c>
      <c r="C414" s="57" t="s">
        <v>4076</v>
      </c>
      <c r="D414" s="58">
        <v>4.044027263E9</v>
      </c>
      <c r="E414" s="56" t="s">
        <v>390</v>
      </c>
      <c r="F414" s="56" t="s">
        <v>4077</v>
      </c>
      <c r="G414" s="56" t="s">
        <v>399</v>
      </c>
      <c r="H414" s="56" t="s">
        <v>366</v>
      </c>
      <c r="I414" s="56" t="s">
        <v>2283</v>
      </c>
      <c r="J414" s="56" t="s">
        <v>2994</v>
      </c>
      <c r="K414" s="59"/>
      <c r="L414" s="56" t="s">
        <v>2284</v>
      </c>
      <c r="M414" s="61" t="s">
        <v>373</v>
      </c>
      <c r="N414" s="58" t="s">
        <v>4078</v>
      </c>
      <c r="P414" s="55" t="b">
        <f t="shared" si="1"/>
        <v>0</v>
      </c>
    </row>
    <row r="415" ht="15.0" customHeight="1">
      <c r="A415" s="56" t="s">
        <v>319</v>
      </c>
      <c r="B415" s="56" t="s">
        <v>1893</v>
      </c>
      <c r="C415" s="57" t="s">
        <v>4079</v>
      </c>
      <c r="D415" s="56" t="s">
        <v>4080</v>
      </c>
      <c r="E415" s="56" t="s">
        <v>390</v>
      </c>
      <c r="F415" s="56" t="s">
        <v>4081</v>
      </c>
      <c r="G415" s="56" t="s">
        <v>364</v>
      </c>
      <c r="H415" s="56" t="s">
        <v>366</v>
      </c>
      <c r="I415" s="56" t="s">
        <v>2283</v>
      </c>
      <c r="J415" s="56" t="s">
        <v>4082</v>
      </c>
      <c r="K415" s="59"/>
      <c r="L415" s="56" t="s">
        <v>2284</v>
      </c>
      <c r="M415" s="61" t="s">
        <v>373</v>
      </c>
      <c r="N415" s="58" t="s">
        <v>4083</v>
      </c>
      <c r="P415" s="55" t="b">
        <f t="shared" si="1"/>
        <v>0</v>
      </c>
    </row>
    <row r="416" ht="15.0" customHeight="1">
      <c r="A416" s="56" t="s">
        <v>240</v>
      </c>
      <c r="B416" s="56" t="s">
        <v>1900</v>
      </c>
      <c r="C416" s="57" t="s">
        <v>1901</v>
      </c>
      <c r="D416" s="56" t="s">
        <v>1902</v>
      </c>
      <c r="E416" s="56" t="s">
        <v>390</v>
      </c>
      <c r="F416" s="56" t="s">
        <v>676</v>
      </c>
      <c r="G416" s="56" t="s">
        <v>379</v>
      </c>
      <c r="H416" s="56" t="s">
        <v>366</v>
      </c>
      <c r="I416" s="56" t="s">
        <v>483</v>
      </c>
      <c r="J416" s="56" t="s">
        <v>4084</v>
      </c>
      <c r="K416" s="59"/>
      <c r="L416" s="56" t="s">
        <v>2305</v>
      </c>
      <c r="M416" s="61" t="s">
        <v>373</v>
      </c>
      <c r="N416" s="58" t="s">
        <v>3621</v>
      </c>
      <c r="P416" s="55" t="b">
        <f t="shared" si="1"/>
        <v>0</v>
      </c>
    </row>
    <row r="417" ht="15.0" customHeight="1">
      <c r="A417" s="56" t="s">
        <v>4085</v>
      </c>
      <c r="B417" s="56" t="s">
        <v>4086</v>
      </c>
      <c r="C417" s="57" t="s">
        <v>4087</v>
      </c>
      <c r="D417" s="56" t="s">
        <v>4088</v>
      </c>
      <c r="E417" s="56" t="s">
        <v>410</v>
      </c>
      <c r="F417" s="56" t="s">
        <v>2528</v>
      </c>
      <c r="G417" s="56" t="s">
        <v>364</v>
      </c>
      <c r="H417" s="56" t="s">
        <v>366</v>
      </c>
      <c r="I417" s="56" t="s">
        <v>497</v>
      </c>
      <c r="J417" s="56" t="s">
        <v>4089</v>
      </c>
      <c r="K417" s="59"/>
      <c r="L417" s="56" t="s">
        <v>2305</v>
      </c>
      <c r="M417" s="61" t="s">
        <v>373</v>
      </c>
      <c r="N417" s="58" t="s">
        <v>4090</v>
      </c>
      <c r="P417" s="55" t="b">
        <f t="shared" si="1"/>
        <v>0</v>
      </c>
    </row>
    <row r="418" ht="15.0" customHeight="1">
      <c r="A418" s="56" t="s">
        <v>4085</v>
      </c>
      <c r="B418" s="56" t="s">
        <v>4091</v>
      </c>
      <c r="C418" s="57" t="s">
        <v>4092</v>
      </c>
      <c r="D418" s="58">
        <v>9.060585926E9</v>
      </c>
      <c r="E418" s="56" t="s">
        <v>410</v>
      </c>
      <c r="F418" s="56" t="s">
        <v>4093</v>
      </c>
      <c r="G418" s="56" t="s">
        <v>399</v>
      </c>
      <c r="H418" s="56" t="s">
        <v>413</v>
      </c>
      <c r="I418" s="62" t="s">
        <v>497</v>
      </c>
      <c r="J418" s="59"/>
      <c r="K418" s="59"/>
      <c r="L418" s="56" t="s">
        <v>2305</v>
      </c>
      <c r="M418" s="61" t="s">
        <v>2362</v>
      </c>
      <c r="N418" s="58" t="s">
        <v>4094</v>
      </c>
      <c r="P418" s="55" t="b">
        <f t="shared" si="1"/>
        <v>0</v>
      </c>
    </row>
    <row r="419" ht="15.0" customHeight="1">
      <c r="A419" s="56" t="s">
        <v>1906</v>
      </c>
      <c r="B419" s="56" t="s">
        <v>4095</v>
      </c>
      <c r="C419" s="57" t="s">
        <v>4096</v>
      </c>
      <c r="D419" s="58">
        <v>8.65250999E9</v>
      </c>
      <c r="E419" s="56" t="s">
        <v>452</v>
      </c>
      <c r="F419" s="56" t="s">
        <v>452</v>
      </c>
      <c r="G419" s="56" t="s">
        <v>379</v>
      </c>
      <c r="H419" s="56" t="s">
        <v>366</v>
      </c>
      <c r="I419" s="62" t="s">
        <v>2283</v>
      </c>
      <c r="J419" s="59"/>
      <c r="K419" s="59"/>
      <c r="L419" s="56" t="s">
        <v>2284</v>
      </c>
      <c r="M419" s="61" t="s">
        <v>394</v>
      </c>
      <c r="N419" s="58" t="s">
        <v>4097</v>
      </c>
      <c r="P419" s="55" t="b">
        <f t="shared" si="1"/>
        <v>0</v>
      </c>
    </row>
    <row r="420" ht="15.0" customHeight="1">
      <c r="A420" s="56" t="s">
        <v>1911</v>
      </c>
      <c r="B420" s="56" t="s">
        <v>1912</v>
      </c>
      <c r="C420" s="57" t="s">
        <v>1913</v>
      </c>
      <c r="D420" s="58">
        <v>4.325597698E9</v>
      </c>
      <c r="E420" s="56" t="s">
        <v>2286</v>
      </c>
      <c r="F420" s="56" t="s">
        <v>2287</v>
      </c>
      <c r="G420" s="56" t="s">
        <v>364</v>
      </c>
      <c r="H420" s="56" t="s">
        <v>413</v>
      </c>
      <c r="I420" s="56" t="s">
        <v>2288</v>
      </c>
      <c r="J420" s="56" t="s">
        <v>4098</v>
      </c>
      <c r="K420" s="59"/>
      <c r="L420" s="56" t="s">
        <v>2289</v>
      </c>
      <c r="M420" s="61" t="s">
        <v>373</v>
      </c>
      <c r="N420" s="58" t="s">
        <v>2831</v>
      </c>
      <c r="P420" s="55" t="b">
        <f t="shared" si="1"/>
        <v>0</v>
      </c>
    </row>
    <row r="421" ht="15.0" customHeight="1">
      <c r="A421" s="56" t="s">
        <v>4099</v>
      </c>
      <c r="B421" s="56" t="s">
        <v>4100</v>
      </c>
      <c r="C421" s="57" t="s">
        <v>4101</v>
      </c>
      <c r="D421" s="58">
        <v>9.014610355E9</v>
      </c>
      <c r="E421" s="56" t="s">
        <v>410</v>
      </c>
      <c r="F421" s="56" t="s">
        <v>4102</v>
      </c>
      <c r="G421" s="56" t="s">
        <v>399</v>
      </c>
      <c r="H421" s="56" t="s">
        <v>366</v>
      </c>
      <c r="I421" s="56" t="s">
        <v>2283</v>
      </c>
      <c r="J421" s="56" t="s">
        <v>3979</v>
      </c>
      <c r="K421" s="59"/>
      <c r="L421" s="56" t="s">
        <v>2284</v>
      </c>
      <c r="M421" s="61" t="s">
        <v>373</v>
      </c>
      <c r="N421" s="58" t="s">
        <v>4103</v>
      </c>
      <c r="P421" s="55" t="b">
        <f t="shared" si="1"/>
        <v>0</v>
      </c>
    </row>
    <row r="422" ht="15.0" customHeight="1">
      <c r="A422" s="56" t="s">
        <v>4104</v>
      </c>
      <c r="B422" s="56" t="s">
        <v>4105</v>
      </c>
      <c r="C422" s="57" t="s">
        <v>4106</v>
      </c>
      <c r="D422" s="56" t="s">
        <v>4107</v>
      </c>
      <c r="E422" s="56" t="s">
        <v>390</v>
      </c>
      <c r="F422" s="56" t="s">
        <v>3631</v>
      </c>
      <c r="G422" s="56" t="s">
        <v>364</v>
      </c>
      <c r="H422" s="56" t="s">
        <v>413</v>
      </c>
      <c r="I422" s="56" t="s">
        <v>2288</v>
      </c>
      <c r="J422" s="56" t="s">
        <v>2704</v>
      </c>
      <c r="K422" s="59"/>
      <c r="L422" s="56" t="s">
        <v>2289</v>
      </c>
      <c r="M422" s="61" t="s">
        <v>373</v>
      </c>
      <c r="N422" s="58" t="s">
        <v>4108</v>
      </c>
      <c r="P422" s="55" t="b">
        <f t="shared" si="1"/>
        <v>0</v>
      </c>
    </row>
    <row r="423" ht="15.0" customHeight="1">
      <c r="A423" s="56" t="s">
        <v>4109</v>
      </c>
      <c r="B423" s="56" t="s">
        <v>4110</v>
      </c>
      <c r="C423" s="57" t="s">
        <v>4111</v>
      </c>
      <c r="D423" s="58">
        <v>3.467736141E9</v>
      </c>
      <c r="E423" s="56" t="s">
        <v>390</v>
      </c>
      <c r="F423" s="56" t="s">
        <v>4112</v>
      </c>
      <c r="G423" s="56" t="s">
        <v>379</v>
      </c>
      <c r="H423" s="56" t="s">
        <v>366</v>
      </c>
      <c r="I423" s="56" t="s">
        <v>2283</v>
      </c>
      <c r="J423" s="56" t="s">
        <v>2419</v>
      </c>
      <c r="K423" s="59"/>
      <c r="L423" s="56" t="s">
        <v>2284</v>
      </c>
      <c r="M423" s="61" t="s">
        <v>373</v>
      </c>
      <c r="N423" s="58" t="s">
        <v>4113</v>
      </c>
      <c r="P423" s="55" t="b">
        <f t="shared" si="1"/>
        <v>0</v>
      </c>
    </row>
    <row r="424" ht="15.0" customHeight="1">
      <c r="A424" s="56" t="s">
        <v>1917</v>
      </c>
      <c r="B424" s="56" t="s">
        <v>1918</v>
      </c>
      <c r="C424" s="57" t="s">
        <v>1919</v>
      </c>
      <c r="D424" s="58">
        <v>4.233641905E9</v>
      </c>
      <c r="E424" s="56" t="s">
        <v>390</v>
      </c>
      <c r="F424" s="56" t="s">
        <v>2938</v>
      </c>
      <c r="G424" s="56" t="s">
        <v>379</v>
      </c>
      <c r="H424" s="56" t="s">
        <v>366</v>
      </c>
      <c r="I424" s="56" t="s">
        <v>2510</v>
      </c>
      <c r="J424" s="56" t="s">
        <v>4114</v>
      </c>
      <c r="K424" s="59"/>
      <c r="L424" s="56" t="s">
        <v>2289</v>
      </c>
      <c r="M424" s="61" t="s">
        <v>373</v>
      </c>
      <c r="N424" s="58" t="s">
        <v>4115</v>
      </c>
      <c r="P424" s="55" t="b">
        <f t="shared" si="1"/>
        <v>0</v>
      </c>
    </row>
    <row r="425" ht="15.0" customHeight="1">
      <c r="A425" s="56" t="s">
        <v>4116</v>
      </c>
      <c r="B425" s="56" t="s">
        <v>4117</v>
      </c>
      <c r="C425" s="57" t="s">
        <v>4118</v>
      </c>
      <c r="D425" s="56" t="s">
        <v>4119</v>
      </c>
      <c r="E425" s="56" t="s">
        <v>410</v>
      </c>
      <c r="F425" s="56" t="s">
        <v>4120</v>
      </c>
      <c r="G425" s="56" t="s">
        <v>379</v>
      </c>
      <c r="H425" s="56" t="s">
        <v>413</v>
      </c>
      <c r="I425" s="56" t="s">
        <v>2288</v>
      </c>
      <c r="J425" s="56" t="s">
        <v>4121</v>
      </c>
      <c r="K425" s="59"/>
      <c r="L425" s="56" t="s">
        <v>2289</v>
      </c>
      <c r="M425" s="61" t="s">
        <v>373</v>
      </c>
      <c r="N425" s="58" t="s">
        <v>4122</v>
      </c>
      <c r="P425" s="55" t="b">
        <f t="shared" si="1"/>
        <v>0</v>
      </c>
    </row>
    <row r="426" ht="15.0" customHeight="1">
      <c r="A426" s="56" t="s">
        <v>4123</v>
      </c>
      <c r="B426" s="56" t="s">
        <v>4124</v>
      </c>
      <c r="C426" s="57" t="s">
        <v>4125</v>
      </c>
      <c r="D426" s="58">
        <v>2.147634157E9</v>
      </c>
      <c r="E426" s="56" t="s">
        <v>2286</v>
      </c>
      <c r="F426" s="56" t="s">
        <v>2286</v>
      </c>
      <c r="G426" s="56" t="s">
        <v>379</v>
      </c>
      <c r="H426" s="56" t="s">
        <v>366</v>
      </c>
      <c r="I426" s="62" t="s">
        <v>2283</v>
      </c>
      <c r="J426" s="59"/>
      <c r="K426" s="59"/>
      <c r="L426" s="56" t="s">
        <v>2305</v>
      </c>
      <c r="M426" s="61" t="s">
        <v>2362</v>
      </c>
      <c r="N426" s="58" t="s">
        <v>4126</v>
      </c>
      <c r="P426" s="55" t="b">
        <f t="shared" si="1"/>
        <v>0</v>
      </c>
    </row>
    <row r="427" ht="15.0" customHeight="1">
      <c r="A427" s="56" t="s">
        <v>1316</v>
      </c>
      <c r="B427" s="56" t="s">
        <v>4127</v>
      </c>
      <c r="C427" s="57" t="s">
        <v>4128</v>
      </c>
      <c r="D427" s="58">
        <v>5.127846107E9</v>
      </c>
      <c r="E427" s="56" t="s">
        <v>390</v>
      </c>
      <c r="F427" s="56" t="s">
        <v>1599</v>
      </c>
      <c r="G427" s="56" t="s">
        <v>364</v>
      </c>
      <c r="H427" s="56" t="s">
        <v>413</v>
      </c>
      <c r="I427" s="56" t="s">
        <v>2288</v>
      </c>
      <c r="J427" s="56" t="s">
        <v>4129</v>
      </c>
      <c r="K427" s="59"/>
      <c r="L427" s="56" t="s">
        <v>2289</v>
      </c>
      <c r="M427" s="61" t="s">
        <v>373</v>
      </c>
      <c r="N427" s="58" t="s">
        <v>4130</v>
      </c>
      <c r="P427" s="55" t="b">
        <f t="shared" si="1"/>
        <v>0</v>
      </c>
    </row>
    <row r="428" ht="15.0" customHeight="1">
      <c r="A428" s="56" t="s">
        <v>4131</v>
      </c>
      <c r="B428" s="56" t="s">
        <v>4132</v>
      </c>
      <c r="C428" s="57" t="s">
        <v>4133</v>
      </c>
      <c r="D428" s="58">
        <v>9.493909924E9</v>
      </c>
      <c r="E428" s="56" t="s">
        <v>452</v>
      </c>
      <c r="F428" s="56" t="s">
        <v>452</v>
      </c>
      <c r="G428" s="56" t="s">
        <v>399</v>
      </c>
      <c r="H428" s="56" t="s">
        <v>513</v>
      </c>
      <c r="I428" s="56" t="s">
        <v>381</v>
      </c>
      <c r="J428" s="56" t="s">
        <v>4134</v>
      </c>
      <c r="K428" s="59"/>
      <c r="L428" s="56" t="s">
        <v>2305</v>
      </c>
      <c r="M428" s="61" t="s">
        <v>373</v>
      </c>
      <c r="N428" s="58" t="s">
        <v>4135</v>
      </c>
      <c r="P428" s="55" t="b">
        <f t="shared" si="1"/>
        <v>1</v>
      </c>
    </row>
    <row r="429" ht="15.0" customHeight="1">
      <c r="A429" s="56" t="s">
        <v>242</v>
      </c>
      <c r="B429" s="56" t="s">
        <v>1242</v>
      </c>
      <c r="C429" s="57" t="s">
        <v>4136</v>
      </c>
      <c r="D429" s="58">
        <v>4.016421733E9</v>
      </c>
      <c r="E429" s="56" t="s">
        <v>634</v>
      </c>
      <c r="F429" s="56" t="s">
        <v>4137</v>
      </c>
      <c r="G429" s="56" t="s">
        <v>364</v>
      </c>
      <c r="H429" s="56" t="s">
        <v>366</v>
      </c>
      <c r="I429" s="56" t="s">
        <v>2473</v>
      </c>
      <c r="J429" s="56" t="s">
        <v>591</v>
      </c>
      <c r="K429" s="59"/>
      <c r="L429" s="56" t="s">
        <v>2284</v>
      </c>
      <c r="M429" s="61" t="s">
        <v>373</v>
      </c>
      <c r="N429" s="58" t="s">
        <v>4138</v>
      </c>
      <c r="P429" s="55" t="b">
        <f t="shared" si="1"/>
        <v>0</v>
      </c>
    </row>
    <row r="430" ht="15.0" customHeight="1">
      <c r="A430" s="56" t="s">
        <v>4139</v>
      </c>
      <c r="B430" s="56" t="s">
        <v>4140</v>
      </c>
      <c r="C430" s="57" t="s">
        <v>4141</v>
      </c>
      <c r="D430" s="56" t="s">
        <v>4142</v>
      </c>
      <c r="E430" s="56" t="s">
        <v>1553</v>
      </c>
      <c r="F430" s="56" t="s">
        <v>1554</v>
      </c>
      <c r="G430" s="56" t="s">
        <v>379</v>
      </c>
      <c r="H430" s="56" t="s">
        <v>413</v>
      </c>
      <c r="I430" s="56" t="s">
        <v>381</v>
      </c>
      <c r="J430" s="56" t="s">
        <v>892</v>
      </c>
      <c r="K430" s="59"/>
      <c r="L430" s="56" t="s">
        <v>2305</v>
      </c>
      <c r="M430" s="61" t="s">
        <v>373</v>
      </c>
      <c r="N430" s="58" t="s">
        <v>4143</v>
      </c>
      <c r="P430" s="55" t="b">
        <f t="shared" si="1"/>
        <v>0</v>
      </c>
    </row>
    <row r="431" ht="15.0" customHeight="1">
      <c r="A431" s="56" t="s">
        <v>4144</v>
      </c>
      <c r="B431" s="56" t="s">
        <v>4145</v>
      </c>
      <c r="C431" s="57" t="s">
        <v>4146</v>
      </c>
      <c r="D431" s="58">
        <v>6.157087274E9</v>
      </c>
      <c r="E431" s="56" t="s">
        <v>675</v>
      </c>
      <c r="F431" s="56" t="s">
        <v>676</v>
      </c>
      <c r="G431" s="56" t="s">
        <v>379</v>
      </c>
      <c r="H431" s="56" t="s">
        <v>1822</v>
      </c>
      <c r="I431" s="62" t="s">
        <v>2283</v>
      </c>
      <c r="J431" s="59"/>
      <c r="K431" s="59"/>
      <c r="L431" s="56" t="s">
        <v>2284</v>
      </c>
      <c r="M431" s="61" t="s">
        <v>394</v>
      </c>
      <c r="N431" s="58" t="s">
        <v>4147</v>
      </c>
      <c r="P431" s="55" t="b">
        <f t="shared" si="1"/>
        <v>0</v>
      </c>
    </row>
    <row r="432" ht="15.0" customHeight="1">
      <c r="A432" s="56" t="s">
        <v>4148</v>
      </c>
      <c r="B432" s="56" t="s">
        <v>4149</v>
      </c>
      <c r="C432" s="57" t="s">
        <v>4150</v>
      </c>
      <c r="D432" s="58">
        <v>9.784766268E9</v>
      </c>
      <c r="E432" s="56" t="s">
        <v>443</v>
      </c>
      <c r="F432" s="56" t="s">
        <v>4151</v>
      </c>
      <c r="G432" s="56" t="s">
        <v>379</v>
      </c>
      <c r="H432" s="56" t="s">
        <v>413</v>
      </c>
      <c r="I432" s="56" t="s">
        <v>2288</v>
      </c>
      <c r="J432" s="56" t="s">
        <v>1390</v>
      </c>
      <c r="K432" s="59"/>
      <c r="L432" s="56" t="s">
        <v>2289</v>
      </c>
      <c r="M432" s="61" t="s">
        <v>373</v>
      </c>
      <c r="N432" s="58" t="s">
        <v>4152</v>
      </c>
      <c r="P432" s="55" t="b">
        <f t="shared" si="1"/>
        <v>0</v>
      </c>
    </row>
    <row r="433" ht="15.0" customHeight="1">
      <c r="A433" s="56" t="s">
        <v>4153</v>
      </c>
      <c r="B433" s="56" t="s">
        <v>4154</v>
      </c>
      <c r="C433" s="57" t="s">
        <v>4155</v>
      </c>
      <c r="D433" s="68" t="s">
        <v>4156</v>
      </c>
      <c r="E433" s="56" t="s">
        <v>452</v>
      </c>
      <c r="F433" s="56" t="s">
        <v>4157</v>
      </c>
      <c r="G433" s="56" t="s">
        <v>399</v>
      </c>
      <c r="H433" s="56" t="s">
        <v>366</v>
      </c>
      <c r="I433" s="56" t="s">
        <v>381</v>
      </c>
      <c r="J433" s="56" t="s">
        <v>1803</v>
      </c>
      <c r="K433" s="59"/>
      <c r="L433" s="56" t="s">
        <v>2305</v>
      </c>
      <c r="M433" s="61" t="s">
        <v>373</v>
      </c>
      <c r="N433" s="58" t="s">
        <v>4158</v>
      </c>
      <c r="P433" s="55" t="b">
        <f t="shared" si="1"/>
        <v>0</v>
      </c>
    </row>
    <row r="434" ht="15.0" customHeight="1">
      <c r="A434" s="56" t="s">
        <v>4159</v>
      </c>
      <c r="B434" s="56" t="s">
        <v>4160</v>
      </c>
      <c r="C434" s="57" t="s">
        <v>4161</v>
      </c>
      <c r="D434" s="58">
        <v>8.43309408E9</v>
      </c>
      <c r="E434" s="56" t="s">
        <v>390</v>
      </c>
      <c r="F434" s="56" t="s">
        <v>4162</v>
      </c>
      <c r="G434" s="56" t="s">
        <v>379</v>
      </c>
      <c r="H434" s="56" t="s">
        <v>413</v>
      </c>
      <c r="I434" s="56" t="s">
        <v>2288</v>
      </c>
      <c r="J434" s="56" t="s">
        <v>2323</v>
      </c>
      <c r="K434" s="59"/>
      <c r="L434" s="56" t="s">
        <v>2289</v>
      </c>
      <c r="M434" s="61" t="s">
        <v>373</v>
      </c>
      <c r="N434" s="58" t="s">
        <v>4163</v>
      </c>
      <c r="P434" s="55" t="b">
        <f t="shared" si="1"/>
        <v>0</v>
      </c>
    </row>
    <row r="435" ht="15.0" customHeight="1">
      <c r="A435" s="56" t="s">
        <v>243</v>
      </c>
      <c r="B435" s="56" t="s">
        <v>4164</v>
      </c>
      <c r="C435" s="57" t="s">
        <v>1939</v>
      </c>
      <c r="D435" s="58">
        <v>4.704187994E9</v>
      </c>
      <c r="E435" s="56" t="s">
        <v>2286</v>
      </c>
      <c r="F435" s="56" t="s">
        <v>2286</v>
      </c>
      <c r="G435" s="56" t="s">
        <v>399</v>
      </c>
      <c r="H435" s="56" t="s">
        <v>513</v>
      </c>
      <c r="I435" s="62" t="s">
        <v>2283</v>
      </c>
      <c r="J435" s="59"/>
      <c r="K435" s="59"/>
      <c r="L435" s="56" t="s">
        <v>2284</v>
      </c>
      <c r="M435" s="61" t="s">
        <v>394</v>
      </c>
      <c r="N435" s="58" t="s">
        <v>2885</v>
      </c>
      <c r="P435" s="55" t="b">
        <f t="shared" si="1"/>
        <v>1</v>
      </c>
    </row>
    <row r="436" ht="15.0" customHeight="1">
      <c r="A436" s="56" t="s">
        <v>244</v>
      </c>
      <c r="B436" s="56" t="s">
        <v>1940</v>
      </c>
      <c r="C436" s="57" t="s">
        <v>1941</v>
      </c>
      <c r="D436" s="58">
        <v>2.105224791E9</v>
      </c>
      <c r="E436" s="56" t="s">
        <v>2850</v>
      </c>
      <c r="F436" s="56" t="s">
        <v>2851</v>
      </c>
      <c r="G436" s="56" t="s">
        <v>399</v>
      </c>
      <c r="H436" s="56" t="s">
        <v>366</v>
      </c>
      <c r="I436" s="56" t="s">
        <v>2283</v>
      </c>
      <c r="J436" s="56" t="s">
        <v>461</v>
      </c>
      <c r="K436" s="59"/>
      <c r="L436" s="56" t="s">
        <v>2284</v>
      </c>
      <c r="M436" s="61" t="s">
        <v>373</v>
      </c>
      <c r="N436" s="58" t="s">
        <v>2499</v>
      </c>
      <c r="P436" s="55" t="b">
        <f t="shared" si="1"/>
        <v>0</v>
      </c>
    </row>
    <row r="437" ht="15.0" customHeight="1">
      <c r="A437" s="56" t="s">
        <v>4165</v>
      </c>
      <c r="B437" s="56" t="s">
        <v>4166</v>
      </c>
      <c r="C437" s="57" t="s">
        <v>4167</v>
      </c>
      <c r="D437" s="58">
        <v>7.139223198E9</v>
      </c>
      <c r="E437" s="56" t="s">
        <v>452</v>
      </c>
      <c r="F437" s="56" t="s">
        <v>3722</v>
      </c>
      <c r="G437" s="56" t="s">
        <v>379</v>
      </c>
      <c r="H437" s="56" t="s">
        <v>413</v>
      </c>
      <c r="I437" s="56" t="s">
        <v>2283</v>
      </c>
      <c r="J437" s="56" t="s">
        <v>1960</v>
      </c>
      <c r="K437" s="59"/>
      <c r="L437" s="56" t="s">
        <v>2284</v>
      </c>
      <c r="M437" s="61" t="s">
        <v>373</v>
      </c>
      <c r="N437" s="58" t="s">
        <v>4168</v>
      </c>
      <c r="P437" s="55" t="b">
        <f t="shared" si="1"/>
        <v>0</v>
      </c>
    </row>
    <row r="438" ht="15.0" customHeight="1">
      <c r="A438" s="56" t="s">
        <v>245</v>
      </c>
      <c r="B438" s="56" t="s">
        <v>4169</v>
      </c>
      <c r="C438" s="57" t="s">
        <v>4170</v>
      </c>
      <c r="D438" s="58">
        <v>2.147978805E9</v>
      </c>
      <c r="E438" s="56" t="s">
        <v>2286</v>
      </c>
      <c r="F438" s="56" t="s">
        <v>2582</v>
      </c>
      <c r="G438" s="56" t="s">
        <v>364</v>
      </c>
      <c r="H438" s="56" t="s">
        <v>366</v>
      </c>
      <c r="I438" s="56" t="s">
        <v>2473</v>
      </c>
      <c r="J438" s="56" t="s">
        <v>743</v>
      </c>
      <c r="K438" s="59"/>
      <c r="L438" s="56" t="s">
        <v>2284</v>
      </c>
      <c r="M438" s="61" t="s">
        <v>373</v>
      </c>
      <c r="N438" s="58" t="s">
        <v>3767</v>
      </c>
      <c r="P438" s="55" t="b">
        <f t="shared" si="1"/>
        <v>0</v>
      </c>
    </row>
    <row r="439" ht="15.0" customHeight="1">
      <c r="A439" s="56" t="s">
        <v>4171</v>
      </c>
      <c r="B439" s="56" t="s">
        <v>4172</v>
      </c>
      <c r="C439" s="57" t="s">
        <v>4173</v>
      </c>
      <c r="D439" s="58">
        <v>9.406002893E9</v>
      </c>
      <c r="E439" s="56" t="s">
        <v>362</v>
      </c>
      <c r="F439" s="56" t="s">
        <v>3848</v>
      </c>
      <c r="G439" s="56" t="s">
        <v>379</v>
      </c>
      <c r="H439" s="56" t="s">
        <v>413</v>
      </c>
      <c r="I439" s="56" t="s">
        <v>2473</v>
      </c>
      <c r="J439" s="56" t="s">
        <v>930</v>
      </c>
      <c r="K439" s="59"/>
      <c r="L439" s="56" t="s">
        <v>2284</v>
      </c>
      <c r="M439" s="61" t="s">
        <v>373</v>
      </c>
      <c r="N439" s="58" t="s">
        <v>4174</v>
      </c>
      <c r="P439" s="55" t="b">
        <f t="shared" si="1"/>
        <v>0</v>
      </c>
    </row>
    <row r="440" ht="15.0" customHeight="1">
      <c r="A440" s="56" t="s">
        <v>247</v>
      </c>
      <c r="B440" s="56" t="s">
        <v>4175</v>
      </c>
      <c r="C440" s="57" t="s">
        <v>4176</v>
      </c>
      <c r="D440" s="58">
        <v>5.129309412E9</v>
      </c>
      <c r="E440" s="56" t="s">
        <v>2286</v>
      </c>
      <c r="F440" s="56" t="s">
        <v>2938</v>
      </c>
      <c r="G440" s="56" t="s">
        <v>379</v>
      </c>
      <c r="H440" s="56" t="s">
        <v>413</v>
      </c>
      <c r="I440" s="56" t="s">
        <v>483</v>
      </c>
      <c r="J440" s="56" t="s">
        <v>2268</v>
      </c>
      <c r="K440" s="59"/>
      <c r="L440" s="56" t="s">
        <v>2305</v>
      </c>
      <c r="M440" s="61" t="s">
        <v>373</v>
      </c>
      <c r="N440" s="58" t="s">
        <v>4177</v>
      </c>
      <c r="P440" s="55" t="b">
        <f t="shared" si="1"/>
        <v>0</v>
      </c>
    </row>
    <row r="441" ht="15.0" customHeight="1">
      <c r="A441" s="56" t="s">
        <v>248</v>
      </c>
      <c r="B441" s="56" t="s">
        <v>4178</v>
      </c>
      <c r="C441" s="57" t="s">
        <v>4179</v>
      </c>
      <c r="D441" s="58">
        <v>8.325498879E9</v>
      </c>
      <c r="E441" s="56" t="s">
        <v>709</v>
      </c>
      <c r="F441" s="56" t="s">
        <v>4180</v>
      </c>
      <c r="G441" s="56" t="s">
        <v>379</v>
      </c>
      <c r="H441" s="56" t="s">
        <v>413</v>
      </c>
      <c r="I441" s="56" t="s">
        <v>2288</v>
      </c>
      <c r="J441" s="56" t="s">
        <v>4181</v>
      </c>
      <c r="K441" s="59"/>
      <c r="L441" s="56" t="s">
        <v>2289</v>
      </c>
      <c r="M441" s="61" t="s">
        <v>373</v>
      </c>
      <c r="N441" s="58" t="s">
        <v>4182</v>
      </c>
      <c r="P441" s="55" t="b">
        <f t="shared" si="1"/>
        <v>0</v>
      </c>
    </row>
    <row r="442" ht="15.0" customHeight="1">
      <c r="A442" s="56" t="s">
        <v>321</v>
      </c>
      <c r="B442" s="56" t="s">
        <v>4183</v>
      </c>
      <c r="C442" s="57" t="s">
        <v>4184</v>
      </c>
      <c r="D442" s="68" t="s">
        <v>4156</v>
      </c>
      <c r="E442" s="56" t="s">
        <v>452</v>
      </c>
      <c r="F442" s="56" t="s">
        <v>4185</v>
      </c>
      <c r="G442" s="56" t="s">
        <v>399</v>
      </c>
      <c r="H442" s="56" t="s">
        <v>513</v>
      </c>
      <c r="I442" s="56" t="s">
        <v>381</v>
      </c>
      <c r="J442" s="56" t="s">
        <v>2016</v>
      </c>
      <c r="K442" s="59"/>
      <c r="L442" s="56" t="s">
        <v>2305</v>
      </c>
      <c r="M442" s="61" t="s">
        <v>373</v>
      </c>
      <c r="N442" s="58" t="s">
        <v>4186</v>
      </c>
      <c r="P442" s="55" t="b">
        <f t="shared" si="1"/>
        <v>1</v>
      </c>
    </row>
    <row r="443" ht="15.0" customHeight="1">
      <c r="A443" s="56" t="s">
        <v>4187</v>
      </c>
      <c r="B443" s="56" t="s">
        <v>4188</v>
      </c>
      <c r="C443" s="57" t="s">
        <v>4189</v>
      </c>
      <c r="D443" s="58">
        <v>8.323721164E9</v>
      </c>
      <c r="E443" s="56" t="s">
        <v>877</v>
      </c>
      <c r="F443" s="56" t="s">
        <v>3647</v>
      </c>
      <c r="G443" s="56" t="s">
        <v>399</v>
      </c>
      <c r="H443" s="56" t="s">
        <v>413</v>
      </c>
      <c r="I443" s="56" t="s">
        <v>2283</v>
      </c>
      <c r="J443" s="56" t="s">
        <v>2182</v>
      </c>
      <c r="K443" s="59"/>
      <c r="L443" s="56" t="s">
        <v>2284</v>
      </c>
      <c r="M443" s="61" t="s">
        <v>373</v>
      </c>
      <c r="N443" s="58" t="s">
        <v>4190</v>
      </c>
      <c r="P443" s="55" t="b">
        <f t="shared" si="1"/>
        <v>0</v>
      </c>
    </row>
    <row r="444" ht="15.0" customHeight="1">
      <c r="A444" s="56" t="s">
        <v>251</v>
      </c>
      <c r="B444" s="56" t="s">
        <v>4191</v>
      </c>
      <c r="C444" s="57" t="s">
        <v>1975</v>
      </c>
      <c r="D444" s="58">
        <v>3.466029089E9</v>
      </c>
      <c r="E444" s="56" t="s">
        <v>390</v>
      </c>
      <c r="F444" s="56" t="s">
        <v>1976</v>
      </c>
      <c r="G444" s="56" t="s">
        <v>379</v>
      </c>
      <c r="H444" s="56" t="s">
        <v>366</v>
      </c>
      <c r="I444" s="56" t="s">
        <v>497</v>
      </c>
      <c r="J444" s="56" t="s">
        <v>4192</v>
      </c>
      <c r="K444" s="59"/>
      <c r="L444" s="56" t="s">
        <v>2305</v>
      </c>
      <c r="M444" s="61" t="s">
        <v>373</v>
      </c>
      <c r="N444" s="58" t="s">
        <v>2336</v>
      </c>
      <c r="P444" s="55" t="b">
        <f t="shared" si="1"/>
        <v>0</v>
      </c>
    </row>
    <row r="445" ht="15.0" customHeight="1">
      <c r="A445" s="56" t="s">
        <v>252</v>
      </c>
      <c r="B445" s="56" t="s">
        <v>1980</v>
      </c>
      <c r="C445" s="57" t="s">
        <v>1981</v>
      </c>
      <c r="D445" s="58">
        <v>8.329633209E9</v>
      </c>
      <c r="E445" s="56" t="s">
        <v>390</v>
      </c>
      <c r="F445" s="56" t="s">
        <v>4193</v>
      </c>
      <c r="G445" s="56" t="s">
        <v>379</v>
      </c>
      <c r="H445" s="56" t="s">
        <v>366</v>
      </c>
      <c r="I445" s="56" t="s">
        <v>2288</v>
      </c>
      <c r="J445" s="56" t="s">
        <v>3366</v>
      </c>
      <c r="K445" s="59"/>
      <c r="L445" s="56" t="s">
        <v>2289</v>
      </c>
      <c r="M445" s="61" t="s">
        <v>373</v>
      </c>
      <c r="N445" s="58" t="s">
        <v>4194</v>
      </c>
      <c r="P445" s="55" t="b">
        <f t="shared" si="1"/>
        <v>0</v>
      </c>
    </row>
    <row r="446" ht="15.0" customHeight="1">
      <c r="A446" s="56" t="s">
        <v>4195</v>
      </c>
      <c r="B446" s="56" t="s">
        <v>4196</v>
      </c>
      <c r="C446" s="57" t="s">
        <v>4197</v>
      </c>
      <c r="D446" s="58">
        <v>3.615428815E9</v>
      </c>
      <c r="E446" s="56" t="s">
        <v>410</v>
      </c>
      <c r="F446" s="56" t="s">
        <v>1080</v>
      </c>
      <c r="G446" s="56" t="s">
        <v>379</v>
      </c>
      <c r="H446" s="56" t="s">
        <v>413</v>
      </c>
      <c r="I446" s="56" t="s">
        <v>2288</v>
      </c>
      <c r="J446" s="56" t="s">
        <v>2492</v>
      </c>
      <c r="K446" s="59"/>
      <c r="L446" s="56" t="s">
        <v>2289</v>
      </c>
      <c r="M446" s="61" t="s">
        <v>373</v>
      </c>
      <c r="N446" s="58" t="s">
        <v>4198</v>
      </c>
      <c r="P446" s="55" t="b">
        <f t="shared" si="1"/>
        <v>0</v>
      </c>
    </row>
    <row r="447" ht="15.0" customHeight="1">
      <c r="A447" s="56" t="s">
        <v>253</v>
      </c>
      <c r="B447" s="56" t="s">
        <v>4199</v>
      </c>
      <c r="C447" s="57" t="s">
        <v>4200</v>
      </c>
      <c r="D447" s="58">
        <v>8.327976979E9</v>
      </c>
      <c r="E447" s="56" t="s">
        <v>452</v>
      </c>
      <c r="F447" s="56" t="s">
        <v>452</v>
      </c>
      <c r="G447" s="56" t="s">
        <v>399</v>
      </c>
      <c r="H447" s="56" t="s">
        <v>513</v>
      </c>
      <c r="I447" s="56" t="s">
        <v>483</v>
      </c>
      <c r="J447" s="56" t="s">
        <v>1037</v>
      </c>
      <c r="K447" s="59"/>
      <c r="L447" s="56" t="s">
        <v>2305</v>
      </c>
      <c r="M447" s="61" t="s">
        <v>373</v>
      </c>
      <c r="N447" s="58" t="s">
        <v>4201</v>
      </c>
      <c r="P447" s="55" t="b">
        <f t="shared" si="1"/>
        <v>1</v>
      </c>
    </row>
    <row r="448" ht="15.0" customHeight="1">
      <c r="A448" s="56" t="s">
        <v>4202</v>
      </c>
      <c r="B448" s="56" t="s">
        <v>4203</v>
      </c>
      <c r="C448" s="57" t="s">
        <v>4204</v>
      </c>
      <c r="D448" s="58">
        <v>2.14578235E9</v>
      </c>
      <c r="E448" s="56" t="s">
        <v>675</v>
      </c>
      <c r="F448" s="56" t="s">
        <v>3333</v>
      </c>
      <c r="G448" s="56" t="s">
        <v>379</v>
      </c>
      <c r="H448" s="56" t="s">
        <v>366</v>
      </c>
      <c r="I448" s="62" t="s">
        <v>2283</v>
      </c>
      <c r="J448" s="59"/>
      <c r="K448" s="59"/>
      <c r="L448" s="56" t="s">
        <v>2284</v>
      </c>
      <c r="M448" s="61" t="s">
        <v>394</v>
      </c>
      <c r="N448" s="58" t="s">
        <v>4205</v>
      </c>
      <c r="P448" s="55" t="b">
        <f t="shared" si="1"/>
        <v>0</v>
      </c>
    </row>
    <row r="449" ht="15.0" customHeight="1">
      <c r="A449" s="56" t="s">
        <v>4206</v>
      </c>
      <c r="B449" s="56" t="s">
        <v>4207</v>
      </c>
      <c r="C449" s="57" t="s">
        <v>4208</v>
      </c>
      <c r="D449" s="56" t="s">
        <v>4209</v>
      </c>
      <c r="E449" s="56" t="s">
        <v>390</v>
      </c>
      <c r="F449" s="56" t="s">
        <v>4210</v>
      </c>
      <c r="G449" s="56" t="s">
        <v>364</v>
      </c>
      <c r="H449" s="56" t="s">
        <v>366</v>
      </c>
      <c r="I449" s="56" t="s">
        <v>2288</v>
      </c>
      <c r="J449" s="56" t="s">
        <v>4211</v>
      </c>
      <c r="K449" s="59"/>
      <c r="L449" s="56" t="s">
        <v>2289</v>
      </c>
      <c r="M449" s="61" t="s">
        <v>373</v>
      </c>
      <c r="N449" s="58" t="s">
        <v>4212</v>
      </c>
      <c r="P449" s="55" t="b">
        <f t="shared" si="1"/>
        <v>0</v>
      </c>
    </row>
    <row r="450" ht="15.0" customHeight="1">
      <c r="A450" s="56" t="s">
        <v>2003</v>
      </c>
      <c r="B450" s="56" t="s">
        <v>2004</v>
      </c>
      <c r="C450" s="57" t="s">
        <v>2005</v>
      </c>
      <c r="D450" s="58">
        <v>8.17266401E9</v>
      </c>
      <c r="E450" s="56" t="s">
        <v>390</v>
      </c>
      <c r="F450" s="56" t="s">
        <v>4213</v>
      </c>
      <c r="G450" s="56" t="s">
        <v>379</v>
      </c>
      <c r="H450" s="56" t="s">
        <v>413</v>
      </c>
      <c r="I450" s="56" t="s">
        <v>2288</v>
      </c>
      <c r="J450" s="56" t="s">
        <v>3813</v>
      </c>
      <c r="K450" s="59"/>
      <c r="L450" s="56" t="s">
        <v>2289</v>
      </c>
      <c r="M450" s="61" t="s">
        <v>373</v>
      </c>
      <c r="N450" s="58" t="s">
        <v>4214</v>
      </c>
      <c r="P450" s="55" t="b">
        <f t="shared" si="1"/>
        <v>0</v>
      </c>
    </row>
    <row r="451" ht="15.0" customHeight="1">
      <c r="A451" s="56" t="s">
        <v>4215</v>
      </c>
      <c r="B451" s="56" t="s">
        <v>4216</v>
      </c>
      <c r="C451" s="57" t="s">
        <v>4217</v>
      </c>
      <c r="D451" s="58">
        <v>8.327829708E9</v>
      </c>
      <c r="E451" s="56" t="s">
        <v>1553</v>
      </c>
      <c r="F451" s="56" t="s">
        <v>4218</v>
      </c>
      <c r="G451" s="56" t="s">
        <v>379</v>
      </c>
      <c r="H451" s="56" t="s">
        <v>366</v>
      </c>
      <c r="I451" s="56" t="s">
        <v>2288</v>
      </c>
      <c r="J451" s="56" t="s">
        <v>3299</v>
      </c>
      <c r="K451" s="59"/>
      <c r="L451" s="56" t="s">
        <v>2289</v>
      </c>
      <c r="M451" s="61" t="s">
        <v>373</v>
      </c>
      <c r="N451" s="58" t="s">
        <v>4219</v>
      </c>
      <c r="P451" s="55" t="b">
        <f t="shared" si="1"/>
        <v>0</v>
      </c>
    </row>
    <row r="452" ht="15.0" customHeight="1">
      <c r="A452" s="56" t="s">
        <v>4220</v>
      </c>
      <c r="B452" s="56" t="s">
        <v>4221</v>
      </c>
      <c r="C452" s="57" t="s">
        <v>4222</v>
      </c>
      <c r="D452" s="58">
        <v>3.104029443E9</v>
      </c>
      <c r="E452" s="56" t="s">
        <v>2850</v>
      </c>
      <c r="F452" s="56" t="s">
        <v>362</v>
      </c>
      <c r="G452" s="56" t="s">
        <v>364</v>
      </c>
      <c r="H452" s="56" t="s">
        <v>366</v>
      </c>
      <c r="I452" s="56" t="s">
        <v>2283</v>
      </c>
      <c r="J452" s="56" t="s">
        <v>4223</v>
      </c>
      <c r="K452" s="59"/>
      <c r="L452" s="56" t="s">
        <v>2284</v>
      </c>
      <c r="M452" s="61" t="s">
        <v>373</v>
      </c>
      <c r="N452" s="58" t="s">
        <v>4224</v>
      </c>
      <c r="P452" s="55" t="b">
        <f t="shared" si="1"/>
        <v>0</v>
      </c>
    </row>
    <row r="453" ht="15.0" customHeight="1">
      <c r="A453" s="56" t="s">
        <v>4225</v>
      </c>
      <c r="B453" s="56" t="s">
        <v>1185</v>
      </c>
      <c r="C453" s="57" t="s">
        <v>4226</v>
      </c>
      <c r="D453" s="56" t="s">
        <v>4227</v>
      </c>
      <c r="E453" s="56" t="s">
        <v>452</v>
      </c>
      <c r="F453" s="56" t="s">
        <v>4228</v>
      </c>
      <c r="G453" s="56" t="s">
        <v>364</v>
      </c>
      <c r="H453" s="56" t="s">
        <v>413</v>
      </c>
      <c r="I453" s="56" t="s">
        <v>2293</v>
      </c>
      <c r="J453" s="56" t="s">
        <v>4229</v>
      </c>
      <c r="K453" s="59"/>
      <c r="L453" s="56" t="s">
        <v>2284</v>
      </c>
      <c r="M453" s="61" t="s">
        <v>373</v>
      </c>
      <c r="N453" s="58" t="s">
        <v>4230</v>
      </c>
      <c r="P453" s="55" t="b">
        <f t="shared" si="1"/>
        <v>0</v>
      </c>
    </row>
    <row r="454" ht="15.0" customHeight="1">
      <c r="A454" s="56" t="s">
        <v>4231</v>
      </c>
      <c r="B454" s="56" t="s">
        <v>4232</v>
      </c>
      <c r="C454" s="57" t="s">
        <v>4233</v>
      </c>
      <c r="D454" s="56" t="s">
        <v>4234</v>
      </c>
      <c r="E454" s="56" t="s">
        <v>390</v>
      </c>
      <c r="F454" s="56" t="s">
        <v>2528</v>
      </c>
      <c r="G454" s="56" t="s">
        <v>399</v>
      </c>
      <c r="H454" s="56" t="s">
        <v>366</v>
      </c>
      <c r="I454" s="56" t="s">
        <v>2473</v>
      </c>
      <c r="J454" s="56" t="s">
        <v>738</v>
      </c>
      <c r="K454" s="59"/>
      <c r="L454" s="56" t="s">
        <v>2284</v>
      </c>
      <c r="M454" s="61" t="s">
        <v>373</v>
      </c>
      <c r="N454" s="58" t="s">
        <v>4235</v>
      </c>
      <c r="P454" s="55" t="b">
        <f t="shared" si="1"/>
        <v>0</v>
      </c>
    </row>
    <row r="455" ht="15.0" customHeight="1">
      <c r="A455" s="56" t="s">
        <v>254</v>
      </c>
      <c r="B455" s="56" t="s">
        <v>4236</v>
      </c>
      <c r="C455" s="57" t="s">
        <v>4237</v>
      </c>
      <c r="D455" s="56" t="s">
        <v>4238</v>
      </c>
      <c r="E455" s="56" t="s">
        <v>390</v>
      </c>
      <c r="F455" s="56" t="s">
        <v>4239</v>
      </c>
      <c r="G455" s="56" t="s">
        <v>399</v>
      </c>
      <c r="H455" s="56" t="s">
        <v>366</v>
      </c>
      <c r="I455" s="56" t="s">
        <v>381</v>
      </c>
      <c r="J455" s="56" t="s">
        <v>4240</v>
      </c>
      <c r="K455" s="59"/>
      <c r="L455" s="56" t="s">
        <v>2305</v>
      </c>
      <c r="M455" s="61" t="s">
        <v>373</v>
      </c>
      <c r="N455" s="58" t="s">
        <v>4241</v>
      </c>
      <c r="P455" s="55" t="b">
        <f t="shared" si="1"/>
        <v>0</v>
      </c>
    </row>
    <row r="456" ht="15.0" customHeight="1">
      <c r="A456" s="56" t="s">
        <v>255</v>
      </c>
      <c r="B456" s="56" t="s">
        <v>4242</v>
      </c>
      <c r="C456" s="57" t="s">
        <v>4243</v>
      </c>
      <c r="D456" s="58">
        <v>8.322572929E9</v>
      </c>
      <c r="E456" s="56" t="s">
        <v>390</v>
      </c>
      <c r="F456" s="56" t="s">
        <v>4244</v>
      </c>
      <c r="G456" s="56" t="s">
        <v>379</v>
      </c>
      <c r="H456" s="56" t="s">
        <v>366</v>
      </c>
      <c r="I456" s="56" t="s">
        <v>483</v>
      </c>
      <c r="J456" s="56" t="s">
        <v>4245</v>
      </c>
      <c r="K456" s="59"/>
      <c r="L456" s="56" t="s">
        <v>2305</v>
      </c>
      <c r="M456" s="61" t="s">
        <v>373</v>
      </c>
      <c r="N456" s="58" t="s">
        <v>4246</v>
      </c>
      <c r="P456" s="55" t="b">
        <f t="shared" si="1"/>
        <v>0</v>
      </c>
    </row>
    <row r="457" ht="15.0" customHeight="1">
      <c r="A457" s="56" t="s">
        <v>4247</v>
      </c>
      <c r="B457" s="56" t="s">
        <v>4248</v>
      </c>
      <c r="C457" s="57" t="s">
        <v>4249</v>
      </c>
      <c r="D457" s="58">
        <v>8.17229726E9</v>
      </c>
      <c r="E457" s="56" t="s">
        <v>675</v>
      </c>
      <c r="F457" s="56" t="s">
        <v>676</v>
      </c>
      <c r="G457" s="56" t="s">
        <v>364</v>
      </c>
      <c r="H457" s="56" t="s">
        <v>366</v>
      </c>
      <c r="I457" s="56" t="s">
        <v>2473</v>
      </c>
      <c r="J457" s="56" t="s">
        <v>1863</v>
      </c>
      <c r="K457" s="59"/>
      <c r="L457" s="56" t="s">
        <v>2284</v>
      </c>
      <c r="M457" s="61" t="s">
        <v>373</v>
      </c>
      <c r="N457" s="58" t="s">
        <v>4250</v>
      </c>
      <c r="P457" s="55" t="b">
        <f t="shared" si="1"/>
        <v>0</v>
      </c>
    </row>
    <row r="458" ht="15.0" customHeight="1">
      <c r="A458" s="56" t="s">
        <v>256</v>
      </c>
      <c r="B458" s="56" t="s">
        <v>4251</v>
      </c>
      <c r="C458" s="57" t="s">
        <v>4252</v>
      </c>
      <c r="D458" s="58">
        <v>8.323296501E9</v>
      </c>
      <c r="E458" s="56" t="s">
        <v>390</v>
      </c>
      <c r="F458" s="56" t="s">
        <v>4253</v>
      </c>
      <c r="G458" s="56" t="s">
        <v>364</v>
      </c>
      <c r="H458" s="56" t="s">
        <v>366</v>
      </c>
      <c r="I458" s="56" t="s">
        <v>483</v>
      </c>
      <c r="J458" s="56" t="s">
        <v>4254</v>
      </c>
      <c r="K458" s="59"/>
      <c r="L458" s="56" t="s">
        <v>2305</v>
      </c>
      <c r="M458" s="61" t="s">
        <v>373</v>
      </c>
      <c r="N458" s="58" t="s">
        <v>4255</v>
      </c>
      <c r="P458" s="55" t="b">
        <f t="shared" si="1"/>
        <v>0</v>
      </c>
    </row>
    <row r="459" ht="15.0" customHeight="1">
      <c r="A459" s="57" t="s">
        <v>4256</v>
      </c>
      <c r="B459" s="56" t="s">
        <v>4257</v>
      </c>
      <c r="C459" s="57" t="s">
        <v>4258</v>
      </c>
      <c r="D459" s="58">
        <v>4.698678873E9</v>
      </c>
      <c r="E459" s="56" t="s">
        <v>2850</v>
      </c>
      <c r="F459" s="56" t="s">
        <v>2282</v>
      </c>
      <c r="G459" s="56" t="s">
        <v>399</v>
      </c>
      <c r="H459" s="56" t="s">
        <v>513</v>
      </c>
      <c r="I459" s="56" t="s">
        <v>2288</v>
      </c>
      <c r="J459" s="56" t="s">
        <v>2347</v>
      </c>
      <c r="K459" s="59"/>
      <c r="L459" s="56" t="s">
        <v>2289</v>
      </c>
      <c r="M459" s="61" t="s">
        <v>373</v>
      </c>
      <c r="N459" s="58" t="s">
        <v>4259</v>
      </c>
      <c r="P459" s="55" t="b">
        <f t="shared" si="1"/>
        <v>1</v>
      </c>
    </row>
    <row r="460" ht="15.0" customHeight="1">
      <c r="A460" s="56" t="s">
        <v>4260</v>
      </c>
      <c r="B460" s="56" t="s">
        <v>4261</v>
      </c>
      <c r="C460" s="57" t="s">
        <v>4262</v>
      </c>
      <c r="D460" s="56" t="s">
        <v>4263</v>
      </c>
      <c r="E460" s="56" t="s">
        <v>2286</v>
      </c>
      <c r="F460" s="56" t="s">
        <v>2582</v>
      </c>
      <c r="G460" s="56" t="s">
        <v>364</v>
      </c>
      <c r="H460" s="56" t="s">
        <v>513</v>
      </c>
      <c r="I460" s="56" t="s">
        <v>2473</v>
      </c>
      <c r="J460" s="56" t="s">
        <v>1849</v>
      </c>
      <c r="K460" s="59"/>
      <c r="L460" s="56" t="s">
        <v>2284</v>
      </c>
      <c r="M460" s="61" t="s">
        <v>373</v>
      </c>
      <c r="N460" s="58" t="s">
        <v>4264</v>
      </c>
      <c r="P460" s="55" t="b">
        <f t="shared" si="1"/>
        <v>1</v>
      </c>
    </row>
    <row r="461" ht="15.0" customHeight="1">
      <c r="A461" s="56" t="s">
        <v>2033</v>
      </c>
      <c r="B461" s="56" t="s">
        <v>2034</v>
      </c>
      <c r="C461" s="57" t="s">
        <v>2035</v>
      </c>
      <c r="D461" s="58">
        <v>1.4166666316E10</v>
      </c>
      <c r="E461" s="56" t="s">
        <v>709</v>
      </c>
      <c r="F461" s="56" t="s">
        <v>4265</v>
      </c>
      <c r="G461" s="56" t="s">
        <v>399</v>
      </c>
      <c r="H461" s="56" t="s">
        <v>413</v>
      </c>
      <c r="I461" s="56" t="s">
        <v>2510</v>
      </c>
      <c r="J461" s="56" t="s">
        <v>4266</v>
      </c>
      <c r="K461" s="59"/>
      <c r="L461" s="56" t="s">
        <v>2289</v>
      </c>
      <c r="M461" s="61" t="s">
        <v>373</v>
      </c>
      <c r="N461" s="58" t="s">
        <v>4267</v>
      </c>
      <c r="P461" s="55" t="b">
        <f t="shared" si="1"/>
        <v>0</v>
      </c>
    </row>
    <row r="462" ht="15.0" customHeight="1">
      <c r="A462" s="56" t="s">
        <v>258</v>
      </c>
      <c r="B462" s="56" t="s">
        <v>2040</v>
      </c>
      <c r="C462" s="57" t="s">
        <v>2041</v>
      </c>
      <c r="D462" s="58">
        <v>8.323352242E9</v>
      </c>
      <c r="E462" s="56" t="s">
        <v>362</v>
      </c>
      <c r="F462" s="56" t="s">
        <v>2528</v>
      </c>
      <c r="G462" s="56" t="s">
        <v>379</v>
      </c>
      <c r="H462" s="56" t="s">
        <v>366</v>
      </c>
      <c r="I462" s="56" t="s">
        <v>2288</v>
      </c>
      <c r="J462" s="56" t="s">
        <v>2121</v>
      </c>
      <c r="K462" s="59"/>
      <c r="L462" s="56" t="s">
        <v>2289</v>
      </c>
      <c r="M462" s="61" t="s">
        <v>373</v>
      </c>
      <c r="N462" s="58" t="s">
        <v>2697</v>
      </c>
      <c r="P462" s="55" t="b">
        <f t="shared" si="1"/>
        <v>0</v>
      </c>
    </row>
    <row r="463" ht="15.0" customHeight="1">
      <c r="A463" s="56" t="s">
        <v>2046</v>
      </c>
      <c r="B463" s="56" t="s">
        <v>2047</v>
      </c>
      <c r="C463" s="57" t="s">
        <v>2048</v>
      </c>
      <c r="D463" s="58">
        <v>8.309920959E9</v>
      </c>
      <c r="E463" s="56" t="s">
        <v>443</v>
      </c>
      <c r="F463" s="56" t="s">
        <v>2528</v>
      </c>
      <c r="G463" s="56" t="s">
        <v>379</v>
      </c>
      <c r="H463" s="56" t="s">
        <v>366</v>
      </c>
      <c r="I463" s="62" t="s">
        <v>381</v>
      </c>
      <c r="J463" s="59"/>
      <c r="K463" s="59"/>
      <c r="L463" s="56" t="s">
        <v>2305</v>
      </c>
      <c r="M463" s="61" t="s">
        <v>2362</v>
      </c>
      <c r="N463" s="58" t="s">
        <v>2400</v>
      </c>
      <c r="P463" s="55" t="b">
        <f t="shared" si="1"/>
        <v>0</v>
      </c>
    </row>
    <row r="464" ht="15.0" customHeight="1">
      <c r="A464" s="56" t="s">
        <v>260</v>
      </c>
      <c r="B464" s="56" t="s">
        <v>4268</v>
      </c>
      <c r="C464" s="57" t="s">
        <v>4269</v>
      </c>
      <c r="D464" s="58">
        <v>9.795958948E9</v>
      </c>
      <c r="E464" s="56" t="s">
        <v>2286</v>
      </c>
      <c r="F464" s="56" t="s">
        <v>3419</v>
      </c>
      <c r="G464" s="56" t="s">
        <v>399</v>
      </c>
      <c r="H464" s="56" t="s">
        <v>513</v>
      </c>
      <c r="I464" s="56" t="s">
        <v>2288</v>
      </c>
      <c r="J464" s="56" t="s">
        <v>1792</v>
      </c>
      <c r="K464" s="59"/>
      <c r="L464" s="56" t="s">
        <v>2289</v>
      </c>
      <c r="M464" s="61" t="s">
        <v>373</v>
      </c>
      <c r="N464" s="58" t="s">
        <v>4270</v>
      </c>
      <c r="P464" s="55" t="b">
        <f t="shared" si="1"/>
        <v>1</v>
      </c>
    </row>
    <row r="465" ht="15.0" customHeight="1">
      <c r="A465" s="56" t="s">
        <v>4271</v>
      </c>
      <c r="B465" s="56" t="s">
        <v>4272</v>
      </c>
      <c r="C465" s="57" t="s">
        <v>4273</v>
      </c>
      <c r="D465" s="58">
        <v>2.396770527E9</v>
      </c>
      <c r="E465" s="56" t="s">
        <v>443</v>
      </c>
      <c r="F465" s="56" t="s">
        <v>2528</v>
      </c>
      <c r="G465" s="56" t="s">
        <v>399</v>
      </c>
      <c r="H465" s="56" t="s">
        <v>366</v>
      </c>
      <c r="I465" s="56" t="s">
        <v>2288</v>
      </c>
      <c r="J465" s="56" t="s">
        <v>1930</v>
      </c>
      <c r="K465" s="59"/>
      <c r="L465" s="56" t="s">
        <v>2289</v>
      </c>
      <c r="M465" s="61" t="s">
        <v>373</v>
      </c>
      <c r="N465" s="58" t="s">
        <v>4274</v>
      </c>
      <c r="P465" s="55" t="b">
        <f t="shared" si="1"/>
        <v>0</v>
      </c>
    </row>
    <row r="466" ht="15.0" customHeight="1">
      <c r="A466" s="56" t="s">
        <v>261</v>
      </c>
      <c r="B466" s="56" t="s">
        <v>2059</v>
      </c>
      <c r="C466" s="57" t="s">
        <v>2060</v>
      </c>
      <c r="D466" s="58">
        <v>5.126573484E9</v>
      </c>
      <c r="E466" s="56" t="s">
        <v>2286</v>
      </c>
      <c r="F466" s="56" t="s">
        <v>4275</v>
      </c>
      <c r="G466" s="56" t="s">
        <v>399</v>
      </c>
      <c r="H466" s="56" t="s">
        <v>413</v>
      </c>
      <c r="I466" s="56" t="s">
        <v>497</v>
      </c>
      <c r="J466" s="56" t="s">
        <v>4276</v>
      </c>
      <c r="K466" s="59"/>
      <c r="L466" s="56" t="s">
        <v>2305</v>
      </c>
      <c r="M466" s="61" t="s">
        <v>373</v>
      </c>
      <c r="N466" s="58" t="s">
        <v>4277</v>
      </c>
      <c r="P466" s="55" t="b">
        <f t="shared" si="1"/>
        <v>0</v>
      </c>
    </row>
    <row r="467" ht="15.0" customHeight="1">
      <c r="A467" s="56" t="s">
        <v>262</v>
      </c>
      <c r="B467" s="56" t="s">
        <v>2064</v>
      </c>
      <c r="C467" s="57" t="s">
        <v>2065</v>
      </c>
      <c r="D467" s="58">
        <v>4.018956722E9</v>
      </c>
      <c r="E467" s="56" t="s">
        <v>2850</v>
      </c>
      <c r="F467" s="56" t="s">
        <v>4278</v>
      </c>
      <c r="G467" s="56" t="s">
        <v>399</v>
      </c>
      <c r="H467" s="56" t="s">
        <v>413</v>
      </c>
      <c r="I467" s="56" t="s">
        <v>1464</v>
      </c>
      <c r="J467" s="56" t="s">
        <v>4279</v>
      </c>
      <c r="K467" s="59"/>
      <c r="L467" s="56" t="s">
        <v>2305</v>
      </c>
      <c r="M467" s="61" t="s">
        <v>373</v>
      </c>
      <c r="N467" s="58" t="s">
        <v>4280</v>
      </c>
      <c r="P467" s="55" t="b">
        <f t="shared" si="1"/>
        <v>0</v>
      </c>
    </row>
    <row r="468" ht="15.0" customHeight="1">
      <c r="A468" s="56" t="s">
        <v>4281</v>
      </c>
      <c r="B468" s="56" t="s">
        <v>4282</v>
      </c>
      <c r="C468" s="57" t="s">
        <v>4283</v>
      </c>
      <c r="D468" s="56" t="s">
        <v>4284</v>
      </c>
      <c r="E468" s="56" t="s">
        <v>390</v>
      </c>
      <c r="F468" s="56" t="s">
        <v>4285</v>
      </c>
      <c r="G468" s="56" t="s">
        <v>379</v>
      </c>
      <c r="H468" s="56" t="s">
        <v>413</v>
      </c>
      <c r="I468" s="56" t="s">
        <v>2293</v>
      </c>
      <c r="J468" s="56" t="s">
        <v>4286</v>
      </c>
      <c r="K468" s="59"/>
      <c r="L468" s="56" t="s">
        <v>2284</v>
      </c>
      <c r="M468" s="61" t="s">
        <v>373</v>
      </c>
      <c r="N468" s="58" t="s">
        <v>4287</v>
      </c>
      <c r="P468" s="55" t="b">
        <f t="shared" si="1"/>
        <v>0</v>
      </c>
    </row>
    <row r="469" ht="15.0" customHeight="1">
      <c r="A469" s="56" t="s">
        <v>4288</v>
      </c>
      <c r="B469" s="56" t="s">
        <v>4289</v>
      </c>
      <c r="C469" s="57" t="s">
        <v>4290</v>
      </c>
      <c r="D469" s="58">
        <v>5.127993709E9</v>
      </c>
      <c r="E469" s="56" t="s">
        <v>459</v>
      </c>
      <c r="F469" s="56" t="s">
        <v>4291</v>
      </c>
      <c r="G469" s="56" t="s">
        <v>399</v>
      </c>
      <c r="H469" s="56" t="s">
        <v>366</v>
      </c>
      <c r="I469" s="56" t="s">
        <v>381</v>
      </c>
      <c r="J469" s="56" t="s">
        <v>4292</v>
      </c>
      <c r="K469" s="59"/>
      <c r="L469" s="56" t="s">
        <v>2305</v>
      </c>
      <c r="M469" s="61" t="s">
        <v>373</v>
      </c>
      <c r="N469" s="58" t="s">
        <v>4293</v>
      </c>
      <c r="P469" s="55" t="b">
        <f t="shared" si="1"/>
        <v>0</v>
      </c>
    </row>
    <row r="470" ht="15.0" customHeight="1">
      <c r="A470" s="56" t="s">
        <v>4294</v>
      </c>
      <c r="B470" s="56" t="s">
        <v>4295</v>
      </c>
      <c r="C470" s="57" t="s">
        <v>4296</v>
      </c>
      <c r="D470" s="58">
        <v>3.2121043E9</v>
      </c>
      <c r="E470" s="56" t="s">
        <v>452</v>
      </c>
      <c r="F470" s="56" t="s">
        <v>496</v>
      </c>
      <c r="G470" s="56" t="s">
        <v>399</v>
      </c>
      <c r="H470" s="56" t="s">
        <v>413</v>
      </c>
      <c r="I470" s="56" t="s">
        <v>2293</v>
      </c>
      <c r="J470" s="56" t="s">
        <v>4297</v>
      </c>
      <c r="K470" s="59"/>
      <c r="L470" s="56" t="s">
        <v>2284</v>
      </c>
      <c r="M470" s="61" t="s">
        <v>373</v>
      </c>
      <c r="N470" s="58" t="s">
        <v>4298</v>
      </c>
      <c r="P470" s="55" t="b">
        <f t="shared" si="1"/>
        <v>0</v>
      </c>
    </row>
    <row r="471" ht="15.0" customHeight="1">
      <c r="A471" s="56" t="s">
        <v>263</v>
      </c>
      <c r="B471" s="56" t="s">
        <v>4299</v>
      </c>
      <c r="C471" s="57" t="s">
        <v>4300</v>
      </c>
      <c r="D471" s="56" t="s">
        <v>4301</v>
      </c>
      <c r="E471" s="56" t="s">
        <v>390</v>
      </c>
      <c r="F471" s="56" t="s">
        <v>1746</v>
      </c>
      <c r="G471" s="56" t="s">
        <v>379</v>
      </c>
      <c r="H471" s="56" t="s">
        <v>366</v>
      </c>
      <c r="I471" s="56" t="s">
        <v>381</v>
      </c>
      <c r="J471" s="56" t="s">
        <v>4302</v>
      </c>
      <c r="K471" s="59"/>
      <c r="L471" s="56" t="s">
        <v>2305</v>
      </c>
      <c r="M471" s="61" t="s">
        <v>373</v>
      </c>
      <c r="N471" s="58" t="s">
        <v>4303</v>
      </c>
      <c r="P471" s="55" t="b">
        <f t="shared" si="1"/>
        <v>0</v>
      </c>
    </row>
    <row r="472" ht="15.0" customHeight="1">
      <c r="A472" s="56" t="s">
        <v>264</v>
      </c>
      <c r="B472" s="56" t="s">
        <v>4304</v>
      </c>
      <c r="C472" s="57" t="s">
        <v>4305</v>
      </c>
      <c r="D472" s="58">
        <v>3.308806128E9</v>
      </c>
      <c r="E472" s="56" t="s">
        <v>390</v>
      </c>
      <c r="F472" s="56" t="s">
        <v>4306</v>
      </c>
      <c r="G472" s="56" t="s">
        <v>379</v>
      </c>
      <c r="H472" s="56" t="s">
        <v>366</v>
      </c>
      <c r="I472" s="56" t="s">
        <v>2283</v>
      </c>
      <c r="J472" s="56" t="s">
        <v>4211</v>
      </c>
      <c r="K472" s="59"/>
      <c r="L472" s="56" t="s">
        <v>2284</v>
      </c>
      <c r="M472" s="61" t="s">
        <v>373</v>
      </c>
      <c r="N472" s="58" t="s">
        <v>4307</v>
      </c>
      <c r="P472" s="55" t="b">
        <f t="shared" si="1"/>
        <v>0</v>
      </c>
    </row>
    <row r="473" ht="15.0" customHeight="1">
      <c r="A473" s="56" t="s">
        <v>4308</v>
      </c>
      <c r="B473" s="56" t="s">
        <v>4309</v>
      </c>
      <c r="C473" s="57" t="s">
        <v>4310</v>
      </c>
      <c r="D473" s="58">
        <v>2.812163625E9</v>
      </c>
      <c r="E473" s="56" t="s">
        <v>452</v>
      </c>
      <c r="F473" s="56" t="s">
        <v>4311</v>
      </c>
      <c r="G473" s="56" t="s">
        <v>364</v>
      </c>
      <c r="H473" s="56" t="s">
        <v>413</v>
      </c>
      <c r="I473" s="56" t="s">
        <v>2293</v>
      </c>
      <c r="J473" s="56" t="s">
        <v>4312</v>
      </c>
      <c r="K473" s="59"/>
      <c r="L473" s="56" t="s">
        <v>2284</v>
      </c>
      <c r="M473" s="61" t="s">
        <v>373</v>
      </c>
      <c r="N473" s="58" t="s">
        <v>4313</v>
      </c>
      <c r="P473" s="55" t="b">
        <f t="shared" si="1"/>
        <v>0</v>
      </c>
    </row>
    <row r="474" ht="15.0" customHeight="1">
      <c r="A474" s="56" t="s">
        <v>267</v>
      </c>
      <c r="B474" s="56" t="s">
        <v>267</v>
      </c>
      <c r="C474" s="57" t="s">
        <v>4314</v>
      </c>
      <c r="D474" s="58">
        <v>8.174227087E9</v>
      </c>
      <c r="E474" s="56" t="s">
        <v>2286</v>
      </c>
      <c r="F474" s="56" t="s">
        <v>2286</v>
      </c>
      <c r="G474" s="56" t="s">
        <v>364</v>
      </c>
      <c r="H474" s="56" t="s">
        <v>413</v>
      </c>
      <c r="I474" s="56" t="s">
        <v>2293</v>
      </c>
      <c r="J474" s="56" t="s">
        <v>4315</v>
      </c>
      <c r="K474" s="59"/>
      <c r="L474" s="56" t="s">
        <v>2284</v>
      </c>
      <c r="M474" s="61" t="s">
        <v>373</v>
      </c>
      <c r="N474" s="58" t="s">
        <v>4316</v>
      </c>
      <c r="P474" s="55" t="b">
        <f t="shared" si="1"/>
        <v>0</v>
      </c>
    </row>
    <row r="475" ht="15.0" customHeight="1">
      <c r="A475" s="56" t="s">
        <v>4317</v>
      </c>
      <c r="B475" s="56" t="s">
        <v>4318</v>
      </c>
      <c r="C475" s="57" t="s">
        <v>4319</v>
      </c>
      <c r="D475" s="68" t="s">
        <v>4156</v>
      </c>
      <c r="E475" s="56" t="s">
        <v>421</v>
      </c>
      <c r="F475" s="56" t="s">
        <v>4320</v>
      </c>
      <c r="G475" s="56" t="s">
        <v>364</v>
      </c>
      <c r="H475" s="56" t="s">
        <v>413</v>
      </c>
      <c r="I475" s="56" t="s">
        <v>2288</v>
      </c>
      <c r="J475" s="56" t="s">
        <v>4082</v>
      </c>
      <c r="K475" s="59"/>
      <c r="L475" s="56" t="s">
        <v>2289</v>
      </c>
      <c r="M475" s="61" t="s">
        <v>373</v>
      </c>
      <c r="N475" s="58" t="s">
        <v>4321</v>
      </c>
      <c r="P475" s="55" t="b">
        <f t="shared" si="1"/>
        <v>0</v>
      </c>
    </row>
    <row r="476" ht="15.0" customHeight="1">
      <c r="A476" s="56" t="s">
        <v>2097</v>
      </c>
      <c r="B476" s="56" t="s">
        <v>2098</v>
      </c>
      <c r="C476" s="57" t="s">
        <v>2099</v>
      </c>
      <c r="D476" s="56" t="s">
        <v>2100</v>
      </c>
      <c r="E476" s="56" t="s">
        <v>452</v>
      </c>
      <c r="F476" s="56" t="s">
        <v>2846</v>
      </c>
      <c r="G476" s="56" t="s">
        <v>364</v>
      </c>
      <c r="H476" s="56" t="s">
        <v>413</v>
      </c>
      <c r="I476" s="56" t="s">
        <v>2293</v>
      </c>
      <c r="J476" s="56" t="s">
        <v>1240</v>
      </c>
      <c r="K476" s="59"/>
      <c r="L476" s="56" t="s">
        <v>2284</v>
      </c>
      <c r="M476" s="61" t="s">
        <v>373</v>
      </c>
      <c r="N476" s="58" t="s">
        <v>3192</v>
      </c>
      <c r="P476" s="55" t="b">
        <f t="shared" si="1"/>
        <v>0</v>
      </c>
    </row>
    <row r="477" ht="15.0" customHeight="1">
      <c r="A477" s="56" t="s">
        <v>4322</v>
      </c>
      <c r="B477" s="56" t="s">
        <v>4323</v>
      </c>
      <c r="C477" s="57" t="s">
        <v>4324</v>
      </c>
      <c r="D477" s="58">
        <v>8.328007194E9</v>
      </c>
      <c r="E477" s="56" t="s">
        <v>452</v>
      </c>
      <c r="F477" s="56" t="s">
        <v>411</v>
      </c>
      <c r="G477" s="56" t="s">
        <v>364</v>
      </c>
      <c r="H477" s="56" t="s">
        <v>413</v>
      </c>
      <c r="I477" s="56" t="s">
        <v>2288</v>
      </c>
      <c r="J477" s="56" t="s">
        <v>816</v>
      </c>
      <c r="K477" s="59"/>
      <c r="L477" s="56" t="s">
        <v>2289</v>
      </c>
      <c r="M477" s="61" t="s">
        <v>373</v>
      </c>
      <c r="N477" s="58" t="s">
        <v>4325</v>
      </c>
      <c r="P477" s="55" t="b">
        <f t="shared" si="1"/>
        <v>0</v>
      </c>
    </row>
    <row r="478" ht="15.0" customHeight="1">
      <c r="A478" s="56" t="s">
        <v>4326</v>
      </c>
      <c r="B478" s="56" t="s">
        <v>1242</v>
      </c>
      <c r="C478" s="57" t="s">
        <v>4327</v>
      </c>
      <c r="D478" s="58">
        <v>4.016421733E9</v>
      </c>
      <c r="E478" s="56" t="s">
        <v>362</v>
      </c>
      <c r="F478" s="56" t="s">
        <v>2975</v>
      </c>
      <c r="G478" s="56" t="s">
        <v>379</v>
      </c>
      <c r="H478" s="56" t="s">
        <v>366</v>
      </c>
      <c r="I478" s="56" t="s">
        <v>2473</v>
      </c>
      <c r="J478" s="56" t="s">
        <v>4328</v>
      </c>
      <c r="K478" s="59"/>
      <c r="L478" s="56" t="s">
        <v>2284</v>
      </c>
      <c r="M478" s="61" t="s">
        <v>373</v>
      </c>
      <c r="N478" s="58" t="s">
        <v>4329</v>
      </c>
      <c r="P478" s="55" t="b">
        <f t="shared" si="1"/>
        <v>0</v>
      </c>
    </row>
    <row r="479" ht="15.0" customHeight="1">
      <c r="A479" s="56" t="s">
        <v>269</v>
      </c>
      <c r="B479" s="56" t="s">
        <v>2110</v>
      </c>
      <c r="C479" s="57" t="s">
        <v>2111</v>
      </c>
      <c r="D479" s="58">
        <v>8.173710502E9</v>
      </c>
      <c r="E479" s="56" t="s">
        <v>390</v>
      </c>
      <c r="F479" s="56" t="s">
        <v>4330</v>
      </c>
      <c r="G479" s="56" t="s">
        <v>364</v>
      </c>
      <c r="H479" s="56" t="s">
        <v>366</v>
      </c>
      <c r="I479" s="56" t="s">
        <v>2288</v>
      </c>
      <c r="J479" s="56" t="s">
        <v>4331</v>
      </c>
      <c r="K479" s="59"/>
      <c r="L479" s="56" t="s">
        <v>2289</v>
      </c>
      <c r="M479" s="61" t="s">
        <v>373</v>
      </c>
      <c r="N479" s="58" t="s">
        <v>4332</v>
      </c>
      <c r="P479" s="55" t="b">
        <f t="shared" si="1"/>
        <v>0</v>
      </c>
    </row>
    <row r="480" ht="15.0" customHeight="1">
      <c r="A480" s="56" t="s">
        <v>4333</v>
      </c>
      <c r="B480" s="56" t="s">
        <v>4334</v>
      </c>
      <c r="C480" s="57" t="s">
        <v>4335</v>
      </c>
      <c r="D480" s="56" t="s">
        <v>4336</v>
      </c>
      <c r="E480" s="56" t="s">
        <v>2286</v>
      </c>
      <c r="F480" s="56" t="s">
        <v>3199</v>
      </c>
      <c r="G480" s="56" t="s">
        <v>364</v>
      </c>
      <c r="H480" s="56" t="s">
        <v>513</v>
      </c>
      <c r="I480" s="62" t="s">
        <v>2283</v>
      </c>
      <c r="J480" s="59"/>
      <c r="K480" s="59"/>
      <c r="L480" s="56" t="s">
        <v>2284</v>
      </c>
      <c r="M480" s="61" t="s">
        <v>2362</v>
      </c>
      <c r="N480" s="58" t="s">
        <v>4337</v>
      </c>
      <c r="P480" s="55" t="b">
        <f t="shared" si="1"/>
        <v>1</v>
      </c>
    </row>
    <row r="481" ht="15.0" customHeight="1">
      <c r="A481" s="56" t="s">
        <v>4338</v>
      </c>
      <c r="B481" s="56" t="s">
        <v>4334</v>
      </c>
      <c r="C481" s="57" t="s">
        <v>4335</v>
      </c>
      <c r="D481" s="68" t="s">
        <v>4156</v>
      </c>
      <c r="E481" s="56" t="s">
        <v>2286</v>
      </c>
      <c r="F481" s="56" t="s">
        <v>4339</v>
      </c>
      <c r="G481" s="56" t="s">
        <v>364</v>
      </c>
      <c r="H481" s="56" t="s">
        <v>513</v>
      </c>
      <c r="I481" s="56" t="s">
        <v>2283</v>
      </c>
      <c r="J481" s="56" t="s">
        <v>446</v>
      </c>
      <c r="K481" s="59"/>
      <c r="L481" s="56" t="s">
        <v>2284</v>
      </c>
      <c r="M481" s="61" t="s">
        <v>373</v>
      </c>
      <c r="N481" s="58" t="s">
        <v>4340</v>
      </c>
      <c r="P481" s="55" t="b">
        <f t="shared" si="1"/>
        <v>1</v>
      </c>
    </row>
    <row r="482" ht="15.0" customHeight="1">
      <c r="A482" s="56" t="s">
        <v>4341</v>
      </c>
      <c r="B482" s="56" t="s">
        <v>4342</v>
      </c>
      <c r="C482" s="57" t="s">
        <v>4343</v>
      </c>
      <c r="D482" s="58">
        <v>2.816507541E9</v>
      </c>
      <c r="E482" s="56" t="s">
        <v>390</v>
      </c>
      <c r="F482" s="56" t="s">
        <v>1746</v>
      </c>
      <c r="G482" s="56" t="s">
        <v>364</v>
      </c>
      <c r="H482" s="56" t="s">
        <v>413</v>
      </c>
      <c r="I482" s="56" t="s">
        <v>2288</v>
      </c>
      <c r="J482" s="56" t="s">
        <v>4344</v>
      </c>
      <c r="K482" s="59"/>
      <c r="L482" s="56" t="s">
        <v>2289</v>
      </c>
      <c r="M482" s="61" t="s">
        <v>373</v>
      </c>
      <c r="N482" s="58" t="s">
        <v>4345</v>
      </c>
      <c r="P482" s="55" t="b">
        <f t="shared" si="1"/>
        <v>0</v>
      </c>
    </row>
    <row r="483" ht="15.0" customHeight="1">
      <c r="A483" s="56" t="s">
        <v>2123</v>
      </c>
      <c r="B483" s="56" t="s">
        <v>4346</v>
      </c>
      <c r="C483" s="57" t="s">
        <v>4347</v>
      </c>
      <c r="D483" s="56" t="s">
        <v>4348</v>
      </c>
      <c r="E483" s="56" t="s">
        <v>2286</v>
      </c>
      <c r="F483" s="56" t="s">
        <v>2287</v>
      </c>
      <c r="G483" s="56" t="s">
        <v>364</v>
      </c>
      <c r="H483" s="56" t="s">
        <v>413</v>
      </c>
      <c r="I483" s="62" t="s">
        <v>2283</v>
      </c>
      <c r="J483" s="59"/>
      <c r="K483" s="59"/>
      <c r="L483" s="56" t="s">
        <v>2284</v>
      </c>
      <c r="M483" s="61" t="s">
        <v>2362</v>
      </c>
      <c r="N483" s="58" t="s">
        <v>3660</v>
      </c>
      <c r="P483" s="55" t="b">
        <f t="shared" si="1"/>
        <v>0</v>
      </c>
    </row>
    <row r="484" ht="15.0" customHeight="1">
      <c r="A484" s="56" t="s">
        <v>4349</v>
      </c>
      <c r="B484" s="56" t="s">
        <v>4350</v>
      </c>
      <c r="C484" s="57" t="s">
        <v>4351</v>
      </c>
      <c r="D484" s="58">
        <v>2.146046832E9</v>
      </c>
      <c r="E484" s="56" t="s">
        <v>410</v>
      </c>
      <c r="F484" s="56" t="s">
        <v>4352</v>
      </c>
      <c r="G484" s="56" t="s">
        <v>364</v>
      </c>
      <c r="H484" s="56" t="s">
        <v>366</v>
      </c>
      <c r="I484" s="56" t="s">
        <v>2283</v>
      </c>
      <c r="J484" s="56" t="s">
        <v>3945</v>
      </c>
      <c r="K484" s="59"/>
      <c r="L484" s="56" t="s">
        <v>2284</v>
      </c>
      <c r="M484" s="61" t="s">
        <v>373</v>
      </c>
      <c r="N484" s="58" t="s">
        <v>4353</v>
      </c>
      <c r="P484" s="55" t="b">
        <f t="shared" si="1"/>
        <v>0</v>
      </c>
    </row>
    <row r="485" ht="15.0" customHeight="1">
      <c r="A485" s="56" t="s">
        <v>4354</v>
      </c>
      <c r="B485" s="56" t="s">
        <v>4355</v>
      </c>
      <c r="C485" s="57" t="s">
        <v>4356</v>
      </c>
      <c r="D485" s="58">
        <v>4.806584612E9</v>
      </c>
      <c r="E485" s="56" t="s">
        <v>390</v>
      </c>
      <c r="F485" s="56" t="s">
        <v>4357</v>
      </c>
      <c r="G485" s="56" t="s">
        <v>399</v>
      </c>
      <c r="H485" s="56" t="s">
        <v>513</v>
      </c>
      <c r="I485" s="56" t="s">
        <v>483</v>
      </c>
      <c r="J485" s="56" t="s">
        <v>4358</v>
      </c>
      <c r="K485" s="59"/>
      <c r="L485" s="56" t="s">
        <v>2305</v>
      </c>
      <c r="M485" s="61" t="s">
        <v>373</v>
      </c>
      <c r="N485" s="58" t="s">
        <v>4359</v>
      </c>
      <c r="P485" s="55" t="b">
        <f t="shared" si="1"/>
        <v>1</v>
      </c>
    </row>
    <row r="486" ht="15.0" customHeight="1">
      <c r="A486" s="56" t="s">
        <v>4360</v>
      </c>
      <c r="B486" s="56" t="s">
        <v>4361</v>
      </c>
      <c r="C486" s="57" t="s">
        <v>4362</v>
      </c>
      <c r="D486" s="58">
        <v>4.699519716E9</v>
      </c>
      <c r="E486" s="56" t="s">
        <v>2286</v>
      </c>
      <c r="F486" s="56" t="s">
        <v>2286</v>
      </c>
      <c r="G486" s="56" t="s">
        <v>399</v>
      </c>
      <c r="H486" s="56" t="s">
        <v>513</v>
      </c>
      <c r="I486" s="56" t="s">
        <v>2288</v>
      </c>
      <c r="J486" s="56" t="s">
        <v>3875</v>
      </c>
      <c r="K486" s="59"/>
      <c r="L486" s="56" t="s">
        <v>2289</v>
      </c>
      <c r="M486" s="61" t="s">
        <v>373</v>
      </c>
      <c r="N486" s="58" t="s">
        <v>4363</v>
      </c>
      <c r="P486" s="55" t="b">
        <f t="shared" si="1"/>
        <v>1</v>
      </c>
    </row>
    <row r="487" ht="15.0" customHeight="1">
      <c r="A487" s="56" t="s">
        <v>4364</v>
      </c>
      <c r="B487" s="56" t="s">
        <v>4365</v>
      </c>
      <c r="C487" s="57" t="s">
        <v>4366</v>
      </c>
      <c r="D487" s="58">
        <v>7.012808654E9</v>
      </c>
      <c r="E487" s="56" t="s">
        <v>452</v>
      </c>
      <c r="F487" s="56" t="s">
        <v>3199</v>
      </c>
      <c r="G487" s="56" t="s">
        <v>364</v>
      </c>
      <c r="H487" s="56" t="s">
        <v>366</v>
      </c>
      <c r="I487" s="56" t="s">
        <v>2283</v>
      </c>
      <c r="J487" s="56" t="s">
        <v>1521</v>
      </c>
      <c r="K487" s="59"/>
      <c r="L487" s="56" t="s">
        <v>2284</v>
      </c>
      <c r="M487" s="61" t="s">
        <v>373</v>
      </c>
      <c r="N487" s="58" t="s">
        <v>4367</v>
      </c>
      <c r="P487" s="55" t="b">
        <f t="shared" si="1"/>
        <v>0</v>
      </c>
    </row>
    <row r="488" ht="15.0" customHeight="1">
      <c r="A488" s="56" t="s">
        <v>323</v>
      </c>
      <c r="B488" s="56" t="s">
        <v>4368</v>
      </c>
      <c r="C488" s="57" t="s">
        <v>4369</v>
      </c>
      <c r="D488" s="56" t="s">
        <v>4370</v>
      </c>
      <c r="E488" s="56" t="s">
        <v>390</v>
      </c>
      <c r="F488" s="56" t="s">
        <v>3506</v>
      </c>
      <c r="G488" s="56" t="s">
        <v>379</v>
      </c>
      <c r="H488" s="56" t="s">
        <v>366</v>
      </c>
      <c r="I488" s="56" t="s">
        <v>381</v>
      </c>
      <c r="J488" s="56" t="s">
        <v>4371</v>
      </c>
      <c r="K488" s="59"/>
      <c r="L488" s="56" t="s">
        <v>2305</v>
      </c>
      <c r="M488" s="61" t="s">
        <v>373</v>
      </c>
      <c r="N488" s="58" t="s">
        <v>4372</v>
      </c>
      <c r="P488" s="55" t="b">
        <f t="shared" si="1"/>
        <v>0</v>
      </c>
    </row>
    <row r="489" ht="15.0" customHeight="1">
      <c r="A489" s="56" t="s">
        <v>2163</v>
      </c>
      <c r="B489" s="56" t="s">
        <v>4373</v>
      </c>
      <c r="C489" s="57" t="s">
        <v>4374</v>
      </c>
      <c r="D489" s="56" t="s">
        <v>4375</v>
      </c>
      <c r="E489" s="56" t="s">
        <v>709</v>
      </c>
      <c r="F489" s="56" t="s">
        <v>2528</v>
      </c>
      <c r="G489" s="56" t="s">
        <v>399</v>
      </c>
      <c r="H489" s="56" t="s">
        <v>413</v>
      </c>
      <c r="I489" s="56" t="s">
        <v>381</v>
      </c>
      <c r="J489" s="56" t="s">
        <v>1064</v>
      </c>
      <c r="K489" s="59"/>
      <c r="L489" s="56" t="s">
        <v>2305</v>
      </c>
      <c r="M489" s="61" t="s">
        <v>373</v>
      </c>
      <c r="N489" s="58" t="s">
        <v>4376</v>
      </c>
      <c r="P489" s="55" t="b">
        <f t="shared" si="1"/>
        <v>0</v>
      </c>
    </row>
    <row r="490" ht="15.0" customHeight="1">
      <c r="A490" s="56" t="s">
        <v>274</v>
      </c>
      <c r="B490" s="56" t="s">
        <v>4377</v>
      </c>
      <c r="C490" s="57" t="s">
        <v>4378</v>
      </c>
      <c r="D490" s="58">
        <v>2.106389268E9</v>
      </c>
      <c r="E490" s="56" t="s">
        <v>3730</v>
      </c>
      <c r="F490" s="56" t="s">
        <v>4379</v>
      </c>
      <c r="G490" s="56" t="s">
        <v>364</v>
      </c>
      <c r="H490" s="56" t="s">
        <v>366</v>
      </c>
      <c r="I490" s="56" t="s">
        <v>381</v>
      </c>
      <c r="J490" s="56" t="s">
        <v>4380</v>
      </c>
      <c r="K490" s="59"/>
      <c r="L490" s="56" t="s">
        <v>2305</v>
      </c>
      <c r="M490" s="61" t="s">
        <v>373</v>
      </c>
      <c r="N490" s="58" t="s">
        <v>4381</v>
      </c>
      <c r="P490" s="55" t="b">
        <f t="shared" si="1"/>
        <v>0</v>
      </c>
    </row>
    <row r="491" ht="15.0" customHeight="1">
      <c r="A491" s="56" t="s">
        <v>275</v>
      </c>
      <c r="B491" s="56" t="s">
        <v>4382</v>
      </c>
      <c r="C491" s="57" t="s">
        <v>4383</v>
      </c>
      <c r="D491" s="58">
        <v>9.729985161E9</v>
      </c>
      <c r="E491" s="56" t="s">
        <v>362</v>
      </c>
      <c r="F491" s="56" t="s">
        <v>2975</v>
      </c>
      <c r="G491" s="56" t="s">
        <v>379</v>
      </c>
      <c r="H491" s="56" t="s">
        <v>413</v>
      </c>
      <c r="I491" s="56" t="s">
        <v>2283</v>
      </c>
      <c r="J491" s="56" t="s">
        <v>995</v>
      </c>
      <c r="K491" s="59"/>
      <c r="L491" s="56" t="s">
        <v>2284</v>
      </c>
      <c r="M491" s="61" t="s">
        <v>373</v>
      </c>
      <c r="N491" s="58" t="s">
        <v>4384</v>
      </c>
      <c r="P491" s="55" t="b">
        <f t="shared" si="1"/>
        <v>0</v>
      </c>
    </row>
    <row r="492" ht="15.0" customHeight="1">
      <c r="A492" s="56" t="s">
        <v>324</v>
      </c>
      <c r="B492" s="56" t="s">
        <v>4385</v>
      </c>
      <c r="C492" s="57" t="s">
        <v>4386</v>
      </c>
      <c r="D492" s="58">
        <v>8.306607936E9</v>
      </c>
      <c r="E492" s="56" t="s">
        <v>410</v>
      </c>
      <c r="F492" s="56" t="s">
        <v>411</v>
      </c>
      <c r="G492" s="56" t="s">
        <v>379</v>
      </c>
      <c r="H492" s="56" t="s">
        <v>366</v>
      </c>
      <c r="I492" s="56" t="s">
        <v>497</v>
      </c>
      <c r="J492" s="56" t="s">
        <v>4387</v>
      </c>
      <c r="K492" s="59"/>
      <c r="L492" s="56" t="s">
        <v>2305</v>
      </c>
      <c r="M492" s="61" t="s">
        <v>373</v>
      </c>
      <c r="N492" s="58" t="s">
        <v>4388</v>
      </c>
      <c r="P492" s="55" t="b">
        <f t="shared" si="1"/>
        <v>0</v>
      </c>
    </row>
    <row r="493" ht="15.0" customHeight="1">
      <c r="A493" s="56" t="s">
        <v>4389</v>
      </c>
      <c r="B493" s="56" t="s">
        <v>4390</v>
      </c>
      <c r="C493" s="57" t="s">
        <v>4391</v>
      </c>
      <c r="D493" s="58">
        <v>9.0938083466E10</v>
      </c>
      <c r="E493" s="56" t="s">
        <v>362</v>
      </c>
      <c r="F493" s="56" t="s">
        <v>2975</v>
      </c>
      <c r="G493" s="56" t="s">
        <v>364</v>
      </c>
      <c r="H493" s="56" t="s">
        <v>366</v>
      </c>
      <c r="I493" s="56" t="s">
        <v>2283</v>
      </c>
      <c r="J493" s="56" t="s">
        <v>1083</v>
      </c>
      <c r="K493" s="59"/>
      <c r="L493" s="56" t="s">
        <v>2284</v>
      </c>
      <c r="M493" s="61" t="s">
        <v>373</v>
      </c>
      <c r="N493" s="58" t="s">
        <v>4392</v>
      </c>
      <c r="P493" s="55" t="b">
        <f t="shared" si="1"/>
        <v>0</v>
      </c>
    </row>
    <row r="494" ht="15.0" customHeight="1">
      <c r="A494" s="56" t="s">
        <v>4393</v>
      </c>
      <c r="B494" s="56" t="s">
        <v>4394</v>
      </c>
      <c r="C494" s="57" t="s">
        <v>4395</v>
      </c>
      <c r="D494" s="58">
        <v>7.083511042E9</v>
      </c>
      <c r="E494" s="56" t="s">
        <v>2291</v>
      </c>
      <c r="F494" s="56" t="s">
        <v>4396</v>
      </c>
      <c r="G494" s="56" t="s">
        <v>364</v>
      </c>
      <c r="H494" s="56" t="s">
        <v>513</v>
      </c>
      <c r="I494" s="56" t="s">
        <v>2288</v>
      </c>
      <c r="J494" s="56" t="s">
        <v>484</v>
      </c>
      <c r="K494" s="59"/>
      <c r="L494" s="56" t="s">
        <v>2289</v>
      </c>
      <c r="M494" s="61" t="s">
        <v>373</v>
      </c>
      <c r="N494" s="58" t="s">
        <v>4397</v>
      </c>
      <c r="P494" s="55" t="b">
        <f t="shared" si="1"/>
        <v>1</v>
      </c>
    </row>
    <row r="495" ht="15.0" customHeight="1">
      <c r="A495" s="56" t="s">
        <v>276</v>
      </c>
      <c r="B495" s="56" t="s">
        <v>2177</v>
      </c>
      <c r="C495" s="57" t="s">
        <v>2178</v>
      </c>
      <c r="D495" s="58">
        <v>7.138991551E9</v>
      </c>
      <c r="E495" s="56" t="s">
        <v>410</v>
      </c>
      <c r="F495" s="56" t="s">
        <v>2390</v>
      </c>
      <c r="G495" s="56" t="s">
        <v>364</v>
      </c>
      <c r="H495" s="56" t="s">
        <v>366</v>
      </c>
      <c r="I495" s="56" t="s">
        <v>497</v>
      </c>
      <c r="J495" s="56" t="s">
        <v>4398</v>
      </c>
      <c r="K495" s="59"/>
      <c r="L495" s="56" t="s">
        <v>2305</v>
      </c>
      <c r="M495" s="61" t="s">
        <v>373</v>
      </c>
      <c r="N495" s="58" t="s">
        <v>4399</v>
      </c>
      <c r="P495" s="55" t="b">
        <f t="shared" si="1"/>
        <v>0</v>
      </c>
    </row>
    <row r="496" ht="15.0" customHeight="1">
      <c r="A496" s="56" t="s">
        <v>4400</v>
      </c>
      <c r="B496" s="56" t="s">
        <v>4401</v>
      </c>
      <c r="C496" s="57" t="s">
        <v>4402</v>
      </c>
      <c r="D496" s="58">
        <v>4.016421722E9</v>
      </c>
      <c r="E496" s="56" t="s">
        <v>452</v>
      </c>
      <c r="F496" s="56" t="s">
        <v>2528</v>
      </c>
      <c r="G496" s="56" t="s">
        <v>364</v>
      </c>
      <c r="H496" s="56" t="s">
        <v>366</v>
      </c>
      <c r="I496" s="56" t="s">
        <v>381</v>
      </c>
      <c r="J496" s="56" t="s">
        <v>4403</v>
      </c>
      <c r="K496" s="59"/>
      <c r="L496" s="56" t="s">
        <v>2305</v>
      </c>
      <c r="M496" s="61" t="s">
        <v>373</v>
      </c>
      <c r="N496" s="58" t="s">
        <v>4404</v>
      </c>
      <c r="P496" s="55" t="b">
        <f t="shared" si="1"/>
        <v>0</v>
      </c>
    </row>
    <row r="497" ht="15.0" customHeight="1">
      <c r="A497" s="56" t="s">
        <v>277</v>
      </c>
      <c r="B497" s="56" t="s">
        <v>4405</v>
      </c>
      <c r="C497" s="57" t="s">
        <v>4406</v>
      </c>
      <c r="D497" s="58">
        <v>2.487055641E9</v>
      </c>
      <c r="E497" s="56" t="s">
        <v>2850</v>
      </c>
      <c r="F497" s="56" t="s">
        <v>4407</v>
      </c>
      <c r="G497" s="56" t="s">
        <v>379</v>
      </c>
      <c r="H497" s="56" t="s">
        <v>366</v>
      </c>
      <c r="I497" s="56" t="s">
        <v>2283</v>
      </c>
      <c r="J497" s="56" t="s">
        <v>698</v>
      </c>
      <c r="K497" s="59"/>
      <c r="L497" s="56" t="s">
        <v>2284</v>
      </c>
      <c r="M497" s="61" t="s">
        <v>373</v>
      </c>
      <c r="N497" s="58" t="s">
        <v>2348</v>
      </c>
      <c r="P497" s="55" t="b">
        <f t="shared" si="1"/>
        <v>0</v>
      </c>
    </row>
    <row r="498" ht="15.0" customHeight="1">
      <c r="A498" s="56" t="s">
        <v>2184</v>
      </c>
      <c r="B498" s="56" t="s">
        <v>4408</v>
      </c>
      <c r="C498" s="57" t="s">
        <v>4409</v>
      </c>
      <c r="D498" s="56" t="s">
        <v>4410</v>
      </c>
      <c r="E498" s="56" t="s">
        <v>390</v>
      </c>
      <c r="F498" s="56" t="s">
        <v>4411</v>
      </c>
      <c r="G498" s="56" t="s">
        <v>379</v>
      </c>
      <c r="H498" s="56" t="s">
        <v>413</v>
      </c>
      <c r="I498" s="56" t="s">
        <v>2288</v>
      </c>
      <c r="J498" s="56" t="s">
        <v>3349</v>
      </c>
      <c r="K498" s="59"/>
      <c r="L498" s="56" t="s">
        <v>2289</v>
      </c>
      <c r="M498" s="61" t="s">
        <v>373</v>
      </c>
      <c r="N498" s="58" t="s">
        <v>4412</v>
      </c>
      <c r="P498" s="55" t="b">
        <f t="shared" si="1"/>
        <v>0</v>
      </c>
    </row>
    <row r="499" ht="15.0" customHeight="1">
      <c r="A499" s="56" t="s">
        <v>325</v>
      </c>
      <c r="B499" s="56" t="s">
        <v>4413</v>
      </c>
      <c r="C499" s="57" t="s">
        <v>4414</v>
      </c>
      <c r="D499" s="68" t="s">
        <v>4156</v>
      </c>
      <c r="E499" s="56" t="s">
        <v>452</v>
      </c>
      <c r="F499" s="56" t="s">
        <v>4415</v>
      </c>
      <c r="G499" s="56" t="s">
        <v>2194</v>
      </c>
      <c r="H499" s="56" t="s">
        <v>513</v>
      </c>
      <c r="I499" s="56" t="s">
        <v>2283</v>
      </c>
      <c r="J499" s="56" t="s">
        <v>2350</v>
      </c>
      <c r="K499" s="59"/>
      <c r="L499" s="56" t="s">
        <v>2284</v>
      </c>
      <c r="M499" s="61" t="s">
        <v>373</v>
      </c>
      <c r="N499" s="58" t="s">
        <v>4416</v>
      </c>
      <c r="P499" s="55" t="b">
        <f t="shared" si="1"/>
        <v>1</v>
      </c>
    </row>
    <row r="500" ht="15.0" customHeight="1">
      <c r="A500" s="56" t="s">
        <v>2197</v>
      </c>
      <c r="B500" s="56" t="s">
        <v>4417</v>
      </c>
      <c r="C500" s="57" t="s">
        <v>4418</v>
      </c>
      <c r="D500" s="58">
        <v>7.349472716E9</v>
      </c>
      <c r="E500" s="56" t="s">
        <v>2286</v>
      </c>
      <c r="F500" s="56" t="s">
        <v>4419</v>
      </c>
      <c r="G500" s="56" t="s">
        <v>399</v>
      </c>
      <c r="H500" s="56" t="s">
        <v>366</v>
      </c>
      <c r="I500" s="56" t="s">
        <v>2283</v>
      </c>
      <c r="J500" s="56" t="s">
        <v>4098</v>
      </c>
      <c r="K500" s="59"/>
      <c r="L500" s="56" t="s">
        <v>2284</v>
      </c>
      <c r="M500" s="61" t="s">
        <v>373</v>
      </c>
      <c r="N500" s="58" t="s">
        <v>4420</v>
      </c>
      <c r="P500" s="55" t="b">
        <f t="shared" si="1"/>
        <v>0</v>
      </c>
    </row>
    <row r="501" ht="15.0" customHeight="1">
      <c r="A501" s="63" t="s">
        <v>278</v>
      </c>
      <c r="B501" s="63" t="s">
        <v>2204</v>
      </c>
      <c r="C501" s="53" t="s">
        <v>2205</v>
      </c>
      <c r="D501" s="63" t="s">
        <v>2206</v>
      </c>
      <c r="E501" s="63" t="s">
        <v>2286</v>
      </c>
      <c r="F501" s="63" t="s">
        <v>2286</v>
      </c>
      <c r="G501" s="63" t="s">
        <v>364</v>
      </c>
      <c r="H501" s="63" t="s">
        <v>413</v>
      </c>
      <c r="I501" s="63" t="s">
        <v>381</v>
      </c>
      <c r="J501" s="63" t="s">
        <v>857</v>
      </c>
      <c r="K501" s="65"/>
      <c r="L501" s="63" t="s">
        <v>2305</v>
      </c>
      <c r="M501" s="67" t="s">
        <v>373</v>
      </c>
      <c r="N501" s="64" t="s">
        <v>4264</v>
      </c>
      <c r="P501" s="55" t="b">
        <f t="shared" si="1"/>
        <v>0</v>
      </c>
    </row>
    <row r="502" ht="15.0" customHeight="1">
      <c r="A502" s="56" t="s">
        <v>4421</v>
      </c>
      <c r="B502" s="56" t="s">
        <v>4422</v>
      </c>
      <c r="C502" s="57" t="s">
        <v>4423</v>
      </c>
      <c r="D502" s="58">
        <v>9.036381208E9</v>
      </c>
      <c r="E502" s="56" t="s">
        <v>2291</v>
      </c>
      <c r="F502" s="56" t="s">
        <v>4424</v>
      </c>
      <c r="G502" s="56" t="s">
        <v>364</v>
      </c>
      <c r="H502" s="56" t="s">
        <v>366</v>
      </c>
      <c r="I502" s="56" t="s">
        <v>2283</v>
      </c>
      <c r="J502" s="56" t="s">
        <v>3270</v>
      </c>
      <c r="K502" s="59"/>
      <c r="L502" s="56" t="s">
        <v>2284</v>
      </c>
      <c r="M502" s="61" t="s">
        <v>373</v>
      </c>
      <c r="N502" s="58" t="s">
        <v>3415</v>
      </c>
      <c r="P502" s="55" t="b">
        <f t="shared" si="1"/>
        <v>0</v>
      </c>
    </row>
    <row r="503" ht="15.0" customHeight="1">
      <c r="A503" s="56" t="s">
        <v>4425</v>
      </c>
      <c r="B503" s="56" t="s">
        <v>4426</v>
      </c>
      <c r="C503" s="57" t="s">
        <v>4427</v>
      </c>
      <c r="D503" s="58">
        <v>7.138241389E9</v>
      </c>
      <c r="E503" s="56" t="s">
        <v>390</v>
      </c>
      <c r="F503" s="56" t="s">
        <v>4428</v>
      </c>
      <c r="G503" s="56" t="s">
        <v>364</v>
      </c>
      <c r="H503" s="56" t="s">
        <v>413</v>
      </c>
      <c r="I503" s="56" t="s">
        <v>2283</v>
      </c>
      <c r="J503" s="56" t="s">
        <v>2388</v>
      </c>
      <c r="K503" s="59"/>
      <c r="L503" s="56" t="s">
        <v>2284</v>
      </c>
      <c r="M503" s="61" t="s">
        <v>373</v>
      </c>
      <c r="N503" s="58" t="s">
        <v>4429</v>
      </c>
      <c r="P503" s="55" t="b">
        <f t="shared" si="1"/>
        <v>0</v>
      </c>
    </row>
    <row r="504" ht="15.0" customHeight="1">
      <c r="A504" s="56" t="s">
        <v>4430</v>
      </c>
      <c r="B504" s="56" t="s">
        <v>4431</v>
      </c>
      <c r="C504" s="57" t="s">
        <v>4432</v>
      </c>
      <c r="D504" s="58">
        <v>8.323267074E9</v>
      </c>
      <c r="E504" s="56" t="s">
        <v>410</v>
      </c>
      <c r="F504" s="56" t="s">
        <v>410</v>
      </c>
      <c r="G504" s="56" t="s">
        <v>364</v>
      </c>
      <c r="H504" s="56" t="s">
        <v>413</v>
      </c>
      <c r="I504" s="62" t="s">
        <v>2283</v>
      </c>
      <c r="J504" s="59"/>
      <c r="K504" s="59"/>
      <c r="L504" s="56" t="s">
        <v>2284</v>
      </c>
      <c r="M504" s="61" t="s">
        <v>2362</v>
      </c>
      <c r="N504" s="58" t="s">
        <v>4433</v>
      </c>
      <c r="P504" s="55" t="b">
        <f t="shared" si="1"/>
        <v>0</v>
      </c>
    </row>
    <row r="505" ht="15.0" customHeight="1">
      <c r="A505" s="56" t="s">
        <v>279</v>
      </c>
      <c r="B505" s="56" t="s">
        <v>4434</v>
      </c>
      <c r="C505" s="57" t="s">
        <v>4435</v>
      </c>
      <c r="D505" s="58">
        <v>2.14558372E9</v>
      </c>
      <c r="E505" s="56" t="s">
        <v>2286</v>
      </c>
      <c r="F505" s="56" t="s">
        <v>2286</v>
      </c>
      <c r="G505" s="56" t="s">
        <v>379</v>
      </c>
      <c r="H505" s="56" t="s">
        <v>869</v>
      </c>
      <c r="I505" s="56" t="s">
        <v>2283</v>
      </c>
      <c r="J505" s="56" t="s">
        <v>1584</v>
      </c>
      <c r="K505" s="59"/>
      <c r="L505" s="56" t="s">
        <v>2284</v>
      </c>
      <c r="M505" s="61" t="s">
        <v>373</v>
      </c>
      <c r="N505" s="58" t="s">
        <v>3576</v>
      </c>
      <c r="P505" s="55" t="b">
        <f t="shared" si="1"/>
        <v>0</v>
      </c>
    </row>
    <row r="506" ht="15.0" customHeight="1">
      <c r="A506" s="56" t="s">
        <v>280</v>
      </c>
      <c r="B506" s="56" t="s">
        <v>2218</v>
      </c>
      <c r="C506" s="57" t="s">
        <v>2219</v>
      </c>
      <c r="D506" s="58">
        <v>8.323225299E9</v>
      </c>
      <c r="E506" s="56" t="s">
        <v>2286</v>
      </c>
      <c r="F506" s="56" t="s">
        <v>3627</v>
      </c>
      <c r="G506" s="56" t="s">
        <v>379</v>
      </c>
      <c r="H506" s="56" t="s">
        <v>366</v>
      </c>
      <c r="I506" s="56" t="s">
        <v>497</v>
      </c>
      <c r="J506" s="56" t="s">
        <v>4436</v>
      </c>
      <c r="K506" s="59"/>
      <c r="L506" s="56" t="s">
        <v>2305</v>
      </c>
      <c r="M506" s="61" t="s">
        <v>373</v>
      </c>
      <c r="N506" s="58" t="s">
        <v>4437</v>
      </c>
      <c r="P506" s="55" t="b">
        <f t="shared" si="1"/>
        <v>0</v>
      </c>
    </row>
    <row r="507" ht="15.0" customHeight="1">
      <c r="A507" s="56" t="s">
        <v>335</v>
      </c>
      <c r="B507" s="56" t="s">
        <v>2223</v>
      </c>
      <c r="C507" s="57" t="s">
        <v>2224</v>
      </c>
      <c r="D507" s="58">
        <v>7.243550736E9</v>
      </c>
      <c r="E507" s="56" t="s">
        <v>709</v>
      </c>
      <c r="F507" s="56" t="s">
        <v>4438</v>
      </c>
      <c r="G507" s="56" t="s">
        <v>364</v>
      </c>
      <c r="H507" s="56" t="s">
        <v>366</v>
      </c>
      <c r="I507" s="56" t="s">
        <v>2283</v>
      </c>
      <c r="J507" s="56" t="s">
        <v>643</v>
      </c>
      <c r="K507" s="59"/>
      <c r="L507" s="56" t="s">
        <v>2284</v>
      </c>
      <c r="M507" s="61" t="s">
        <v>373</v>
      </c>
      <c r="N507" s="58" t="s">
        <v>4439</v>
      </c>
      <c r="P507" s="55" t="b">
        <f t="shared" si="1"/>
        <v>0</v>
      </c>
    </row>
    <row r="508" ht="15.0" customHeight="1">
      <c r="A508" s="56" t="s">
        <v>4440</v>
      </c>
      <c r="B508" s="56" t="s">
        <v>4441</v>
      </c>
      <c r="C508" s="57" t="s">
        <v>4442</v>
      </c>
      <c r="D508" s="56" t="s">
        <v>4443</v>
      </c>
      <c r="E508" s="56" t="s">
        <v>410</v>
      </c>
      <c r="F508" s="56" t="s">
        <v>411</v>
      </c>
      <c r="G508" s="56" t="s">
        <v>364</v>
      </c>
      <c r="H508" s="56" t="s">
        <v>413</v>
      </c>
      <c r="I508" s="56" t="s">
        <v>2293</v>
      </c>
      <c r="J508" s="56" t="s">
        <v>4444</v>
      </c>
      <c r="K508" s="59"/>
      <c r="L508" s="56" t="s">
        <v>2284</v>
      </c>
      <c r="M508" s="61" t="s">
        <v>373</v>
      </c>
      <c r="N508" s="58" t="s">
        <v>4445</v>
      </c>
      <c r="P508" s="55" t="b">
        <f t="shared" si="1"/>
        <v>0</v>
      </c>
    </row>
    <row r="509" ht="15.0" customHeight="1">
      <c r="A509" s="56" t="s">
        <v>281</v>
      </c>
      <c r="B509" s="56" t="s">
        <v>2231</v>
      </c>
      <c r="C509" s="57" t="s">
        <v>2232</v>
      </c>
      <c r="D509" s="56" t="s">
        <v>2233</v>
      </c>
      <c r="E509" s="56" t="s">
        <v>2286</v>
      </c>
      <c r="F509" s="56" t="s">
        <v>2521</v>
      </c>
      <c r="G509" s="56" t="s">
        <v>364</v>
      </c>
      <c r="H509" s="56" t="s">
        <v>366</v>
      </c>
      <c r="I509" s="56" t="s">
        <v>497</v>
      </c>
      <c r="J509" s="56" t="s">
        <v>4446</v>
      </c>
      <c r="K509" s="59"/>
      <c r="L509" s="56" t="s">
        <v>2305</v>
      </c>
      <c r="M509" s="61" t="s">
        <v>373</v>
      </c>
      <c r="N509" s="58" t="s">
        <v>3312</v>
      </c>
      <c r="P509" s="55" t="b">
        <f t="shared" si="1"/>
        <v>0</v>
      </c>
    </row>
    <row r="510" ht="15.0" customHeight="1">
      <c r="A510" s="56" t="s">
        <v>282</v>
      </c>
      <c r="B510" s="56" t="s">
        <v>4447</v>
      </c>
      <c r="C510" s="57" t="s">
        <v>4448</v>
      </c>
      <c r="D510" s="56" t="s">
        <v>4449</v>
      </c>
      <c r="E510" s="56" t="s">
        <v>2286</v>
      </c>
      <c r="F510" s="56" t="s">
        <v>3968</v>
      </c>
      <c r="G510" s="56" t="s">
        <v>364</v>
      </c>
      <c r="H510" s="56" t="s">
        <v>1822</v>
      </c>
      <c r="I510" s="56" t="s">
        <v>497</v>
      </c>
      <c r="J510" s="56" t="s">
        <v>4450</v>
      </c>
      <c r="K510" s="59"/>
      <c r="L510" s="56" t="s">
        <v>2289</v>
      </c>
      <c r="M510" s="61" t="s">
        <v>2362</v>
      </c>
      <c r="N510" s="58" t="s">
        <v>4451</v>
      </c>
      <c r="P510" s="55" t="b">
        <f t="shared" si="1"/>
        <v>0</v>
      </c>
    </row>
    <row r="511" ht="15.0" customHeight="1">
      <c r="A511" s="56" t="s">
        <v>4452</v>
      </c>
      <c r="B511" s="56" t="s">
        <v>2243</v>
      </c>
      <c r="C511" s="57" t="s">
        <v>2244</v>
      </c>
      <c r="D511" s="56" t="s">
        <v>2245</v>
      </c>
      <c r="E511" s="56" t="s">
        <v>2286</v>
      </c>
      <c r="F511" s="56" t="s">
        <v>2521</v>
      </c>
      <c r="G511" s="56" t="s">
        <v>379</v>
      </c>
      <c r="H511" s="56" t="s">
        <v>413</v>
      </c>
      <c r="I511" s="56" t="s">
        <v>2288</v>
      </c>
      <c r="J511" s="56" t="s">
        <v>2113</v>
      </c>
      <c r="K511" s="59"/>
      <c r="L511" s="56" t="s">
        <v>2289</v>
      </c>
      <c r="M511" s="61" t="s">
        <v>373</v>
      </c>
      <c r="N511" s="58" t="s">
        <v>4453</v>
      </c>
      <c r="P511" s="55" t="b">
        <f t="shared" si="1"/>
        <v>0</v>
      </c>
    </row>
    <row r="512" ht="15.0" customHeight="1">
      <c r="A512" s="56" t="s">
        <v>283</v>
      </c>
      <c r="B512" s="56" t="s">
        <v>4454</v>
      </c>
      <c r="C512" s="57" t="s">
        <v>4455</v>
      </c>
      <c r="D512" s="56" t="s">
        <v>4456</v>
      </c>
      <c r="E512" s="56" t="s">
        <v>452</v>
      </c>
      <c r="F512" s="56" t="s">
        <v>3935</v>
      </c>
      <c r="G512" s="56" t="s">
        <v>399</v>
      </c>
      <c r="H512" s="56" t="s">
        <v>366</v>
      </c>
      <c r="I512" s="56" t="s">
        <v>2283</v>
      </c>
      <c r="J512" s="56" t="s">
        <v>515</v>
      </c>
      <c r="K512" s="59"/>
      <c r="L512" s="56" t="s">
        <v>2284</v>
      </c>
      <c r="M512" s="61" t="s">
        <v>373</v>
      </c>
      <c r="N512" s="58" t="s">
        <v>3580</v>
      </c>
      <c r="P512" s="55" t="b">
        <f t="shared" si="1"/>
        <v>0</v>
      </c>
    </row>
    <row r="513" ht="15.0" customHeight="1">
      <c r="A513" s="56" t="s">
        <v>284</v>
      </c>
      <c r="B513" s="56" t="s">
        <v>2253</v>
      </c>
      <c r="C513" s="57" t="s">
        <v>2254</v>
      </c>
      <c r="D513" s="58">
        <v>2.818266782E9</v>
      </c>
      <c r="E513" s="56" t="s">
        <v>390</v>
      </c>
      <c r="F513" s="56" t="s">
        <v>4457</v>
      </c>
      <c r="G513" s="56" t="s">
        <v>364</v>
      </c>
      <c r="H513" s="56" t="s">
        <v>366</v>
      </c>
      <c r="I513" s="56" t="s">
        <v>2293</v>
      </c>
      <c r="J513" s="56" t="s">
        <v>4458</v>
      </c>
      <c r="K513" s="59"/>
      <c r="L513" s="56" t="s">
        <v>2284</v>
      </c>
      <c r="M513" s="61" t="s">
        <v>373</v>
      </c>
      <c r="N513" s="58" t="s">
        <v>4277</v>
      </c>
      <c r="P513" s="55" t="b">
        <f t="shared" si="1"/>
        <v>0</v>
      </c>
    </row>
    <row r="514" ht="15.0" customHeight="1">
      <c r="A514" s="56" t="s">
        <v>4459</v>
      </c>
      <c r="B514" s="56" t="s">
        <v>4460</v>
      </c>
      <c r="C514" s="57" t="s">
        <v>4461</v>
      </c>
      <c r="D514" s="58">
        <v>9.034979004E9</v>
      </c>
      <c r="E514" s="56" t="s">
        <v>452</v>
      </c>
      <c r="F514" s="56" t="s">
        <v>4462</v>
      </c>
      <c r="G514" s="56" t="s">
        <v>379</v>
      </c>
      <c r="H514" s="56" t="s">
        <v>413</v>
      </c>
      <c r="I514" s="56" t="s">
        <v>2288</v>
      </c>
      <c r="J514" s="56" t="s">
        <v>4463</v>
      </c>
      <c r="K514" s="59"/>
      <c r="L514" s="56" t="s">
        <v>2289</v>
      </c>
      <c r="M514" s="61" t="s">
        <v>373</v>
      </c>
      <c r="N514" s="58" t="s">
        <v>4464</v>
      </c>
      <c r="P514" s="55" t="b">
        <f t="shared" si="1"/>
        <v>0</v>
      </c>
    </row>
    <row r="515" ht="15.0" customHeight="1">
      <c r="A515" s="56" t="s">
        <v>4465</v>
      </c>
      <c r="B515" s="56" t="s">
        <v>4466</v>
      </c>
      <c r="C515" s="57" t="s">
        <v>4467</v>
      </c>
      <c r="D515" s="58">
        <v>6.198228816E9</v>
      </c>
      <c r="E515" s="56" t="s">
        <v>2286</v>
      </c>
      <c r="F515" s="56" t="s">
        <v>2286</v>
      </c>
      <c r="G515" s="56" t="s">
        <v>399</v>
      </c>
      <c r="H515" s="56" t="s">
        <v>366</v>
      </c>
      <c r="I515" s="56" t="s">
        <v>2283</v>
      </c>
      <c r="J515" s="56" t="s">
        <v>4468</v>
      </c>
      <c r="K515" s="59"/>
      <c r="L515" s="56" t="s">
        <v>2284</v>
      </c>
      <c r="M515" s="61" t="s">
        <v>373</v>
      </c>
      <c r="N515" s="58" t="s">
        <v>4469</v>
      </c>
      <c r="P515" s="55" t="b">
        <f t="shared" si="1"/>
        <v>0</v>
      </c>
    </row>
    <row r="516" ht="15.0" customHeight="1">
      <c r="A516" s="56" t="s">
        <v>285</v>
      </c>
      <c r="B516" s="56" t="s">
        <v>2259</v>
      </c>
      <c r="C516" s="57" t="s">
        <v>2260</v>
      </c>
      <c r="D516" s="56" t="s">
        <v>2261</v>
      </c>
      <c r="E516" s="56" t="s">
        <v>2286</v>
      </c>
      <c r="F516" s="56" t="s">
        <v>4470</v>
      </c>
      <c r="G516" s="56" t="s">
        <v>364</v>
      </c>
      <c r="H516" s="56" t="s">
        <v>366</v>
      </c>
      <c r="I516" s="62" t="s">
        <v>2473</v>
      </c>
      <c r="J516" s="59"/>
      <c r="K516" s="59"/>
      <c r="L516" s="56" t="s">
        <v>2284</v>
      </c>
      <c r="M516" s="61" t="s">
        <v>394</v>
      </c>
      <c r="N516" s="58" t="s">
        <v>4471</v>
      </c>
      <c r="P516" s="55" t="b">
        <f t="shared" si="1"/>
        <v>0</v>
      </c>
    </row>
    <row r="517" ht="15.0" customHeight="1">
      <c r="A517" s="56" t="s">
        <v>4472</v>
      </c>
      <c r="B517" s="56" t="s">
        <v>2251</v>
      </c>
      <c r="C517" s="57" t="s">
        <v>2252</v>
      </c>
      <c r="D517" s="58">
        <v>4.43224154E9</v>
      </c>
      <c r="E517" s="56" t="s">
        <v>2286</v>
      </c>
      <c r="F517" s="56" t="s">
        <v>4473</v>
      </c>
      <c r="G517" s="56" t="s">
        <v>379</v>
      </c>
      <c r="H517" s="56" t="s">
        <v>413</v>
      </c>
      <c r="I517" s="62" t="s">
        <v>2288</v>
      </c>
      <c r="J517" s="59"/>
      <c r="K517" s="59"/>
      <c r="L517" s="56" t="s">
        <v>2289</v>
      </c>
      <c r="M517" s="61" t="s">
        <v>394</v>
      </c>
      <c r="N517" s="58" t="s">
        <v>4474</v>
      </c>
      <c r="P517" s="55" t="b">
        <f t="shared" si="1"/>
        <v>0</v>
      </c>
    </row>
    <row r="518" ht="15.0" customHeight="1">
      <c r="A518" s="56" t="s">
        <v>4475</v>
      </c>
      <c r="B518" s="56" t="s">
        <v>4476</v>
      </c>
      <c r="C518" s="57" t="s">
        <v>4477</v>
      </c>
      <c r="D518" s="58">
        <v>2.142737445E9</v>
      </c>
      <c r="E518" s="56" t="s">
        <v>2286</v>
      </c>
      <c r="F518" s="56" t="s">
        <v>3333</v>
      </c>
      <c r="G518" s="56" t="s">
        <v>364</v>
      </c>
      <c r="H518" s="56" t="s">
        <v>513</v>
      </c>
      <c r="I518" s="56" t="s">
        <v>381</v>
      </c>
      <c r="J518" s="56" t="s">
        <v>4478</v>
      </c>
      <c r="K518" s="59"/>
      <c r="L518" s="56" t="s">
        <v>2305</v>
      </c>
      <c r="M518" s="61" t="s">
        <v>373</v>
      </c>
      <c r="N518" s="58" t="s">
        <v>4479</v>
      </c>
      <c r="P518" s="55" t="b">
        <f t="shared" si="1"/>
        <v>1</v>
      </c>
    </row>
    <row r="519" ht="15.0" customHeight="1">
      <c r="A519" s="56" t="s">
        <v>287</v>
      </c>
      <c r="B519" s="56" t="s">
        <v>2270</v>
      </c>
      <c r="C519" s="57" t="s">
        <v>2271</v>
      </c>
      <c r="D519" s="58">
        <v>2.813521278E9</v>
      </c>
      <c r="E519" s="56" t="s">
        <v>675</v>
      </c>
      <c r="F519" s="56" t="s">
        <v>676</v>
      </c>
      <c r="G519" s="56" t="s">
        <v>364</v>
      </c>
      <c r="H519" s="56" t="s">
        <v>366</v>
      </c>
      <c r="I519" s="56" t="s">
        <v>2283</v>
      </c>
      <c r="J519" s="56" t="s">
        <v>1798</v>
      </c>
      <c r="K519" s="59"/>
      <c r="L519" s="56" t="s">
        <v>2284</v>
      </c>
      <c r="M519" s="61" t="s">
        <v>373</v>
      </c>
      <c r="N519" s="58" t="s">
        <v>4480</v>
      </c>
      <c r="P519" s="55" t="b">
        <f t="shared" si="1"/>
        <v>0</v>
      </c>
    </row>
    <row r="520" ht="15.0" customHeight="1">
      <c r="A520" s="56" t="s">
        <v>4481</v>
      </c>
      <c r="B520" s="56" t="s">
        <v>4482</v>
      </c>
      <c r="C520" s="57" t="s">
        <v>4483</v>
      </c>
      <c r="D520" s="58">
        <v>2.404003239E9</v>
      </c>
      <c r="E520" s="56" t="s">
        <v>709</v>
      </c>
      <c r="F520" s="56" t="s">
        <v>4484</v>
      </c>
      <c r="G520" s="56" t="s">
        <v>399</v>
      </c>
      <c r="H520" s="56" t="s">
        <v>366</v>
      </c>
      <c r="I520" s="56" t="s">
        <v>483</v>
      </c>
      <c r="J520" s="56" t="s">
        <v>4485</v>
      </c>
      <c r="K520" s="59"/>
      <c r="L520" s="56" t="s">
        <v>2305</v>
      </c>
      <c r="M520" s="61" t="s">
        <v>373</v>
      </c>
      <c r="N520" s="58" t="s">
        <v>2400</v>
      </c>
      <c r="P520" s="55" t="b">
        <f t="shared" si="1"/>
        <v>0</v>
      </c>
    </row>
    <row r="521" ht="15.0" customHeight="1">
      <c r="A521" s="56" t="s">
        <v>2275</v>
      </c>
      <c r="B521" s="56" t="s">
        <v>2276</v>
      </c>
      <c r="C521" s="57" t="s">
        <v>2277</v>
      </c>
      <c r="D521" s="58">
        <v>2.54760134E9</v>
      </c>
      <c r="E521" s="56" t="s">
        <v>2286</v>
      </c>
      <c r="F521" s="56" t="s">
        <v>3175</v>
      </c>
      <c r="G521" s="56" t="s">
        <v>379</v>
      </c>
      <c r="H521" s="56" t="s">
        <v>413</v>
      </c>
      <c r="I521" s="56" t="s">
        <v>381</v>
      </c>
      <c r="J521" s="56" t="s">
        <v>3546</v>
      </c>
      <c r="K521" s="59"/>
      <c r="L521" s="56" t="s">
        <v>2305</v>
      </c>
      <c r="M521" s="61" t="s">
        <v>373</v>
      </c>
      <c r="N521" s="58" t="s">
        <v>4486</v>
      </c>
      <c r="P521" s="55" t="b">
        <f t="shared" si="1"/>
        <v>0</v>
      </c>
    </row>
    <row r="522" ht="15.0" customHeight="1">
      <c r="A522" s="63" t="s">
        <v>4487</v>
      </c>
      <c r="B522" s="63" t="s">
        <v>4488</v>
      </c>
      <c r="C522" s="53" t="s">
        <v>4489</v>
      </c>
      <c r="D522" s="64">
        <v>1.2102647121E10</v>
      </c>
      <c r="E522" s="63" t="s">
        <v>2286</v>
      </c>
      <c r="F522" s="63" t="s">
        <v>2286</v>
      </c>
      <c r="G522" s="63" t="s">
        <v>379</v>
      </c>
      <c r="H522" s="63" t="s">
        <v>413</v>
      </c>
      <c r="I522" s="69" t="s">
        <v>381</v>
      </c>
      <c r="J522" s="65"/>
      <c r="K522" s="65"/>
      <c r="L522" s="63" t="s">
        <v>2305</v>
      </c>
      <c r="M522" s="67" t="s">
        <v>394</v>
      </c>
      <c r="N522" s="64" t="s">
        <v>3198</v>
      </c>
      <c r="P522" s="55" t="b">
        <f t="shared" si="1"/>
        <v>0</v>
      </c>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522"/>
  <hyperlinks>
    <hyperlink r:id="rId1" ref="A1"/>
    <hyperlink r:id="rId2" ref="B1"/>
    <hyperlink r:id="rId3" ref="D1"/>
    <hyperlink r:id="rId4" ref="J1"/>
    <hyperlink r:id="rId5" ref="K1"/>
    <hyperlink r:id="rId6" ref="N1"/>
    <hyperlink r:id="rId7" ref="C2"/>
    <hyperlink r:id="rId8" ref="C3"/>
    <hyperlink r:id="rId9" ref="C4"/>
    <hyperlink r:id="rId10" ref="C5"/>
    <hyperlink r:id="rId11" ref="C6"/>
    <hyperlink r:id="rId12" ref="C7"/>
    <hyperlink r:id="rId13" ref="C8"/>
    <hyperlink r:id="rId14" ref="C9"/>
    <hyperlink r:id="rId15" ref="C10"/>
    <hyperlink r:id="rId16" ref="C11"/>
    <hyperlink r:id="rId17" ref="C12"/>
    <hyperlink r:id="rId18" ref="C13"/>
    <hyperlink r:id="rId19" ref="C14"/>
    <hyperlink r:id="rId20" ref="C15"/>
    <hyperlink r:id="rId21" ref="C16"/>
    <hyperlink r:id="rId22" ref="C17"/>
    <hyperlink r:id="rId23" ref="C18"/>
    <hyperlink r:id="rId24" ref="C19"/>
    <hyperlink r:id="rId25" ref="C20"/>
    <hyperlink r:id="rId26" ref="C21"/>
    <hyperlink r:id="rId27" ref="C22"/>
    <hyperlink r:id="rId28" ref="C23"/>
    <hyperlink r:id="rId29" ref="C24"/>
    <hyperlink r:id="rId30" ref="C25"/>
    <hyperlink r:id="rId31" ref="C26"/>
    <hyperlink r:id="rId32" ref="C27"/>
    <hyperlink r:id="rId33" ref="C28"/>
    <hyperlink r:id="rId34" ref="C29"/>
    <hyperlink r:id="rId35" ref="C30"/>
    <hyperlink r:id="rId36" ref="C31"/>
    <hyperlink r:id="rId37" ref="C32"/>
    <hyperlink r:id="rId38" ref="C33"/>
    <hyperlink r:id="rId39" ref="C34"/>
    <hyperlink r:id="rId40" ref="C35"/>
    <hyperlink r:id="rId41" ref="C36"/>
    <hyperlink r:id="rId42" ref="C37"/>
    <hyperlink r:id="rId43" ref="C38"/>
    <hyperlink r:id="rId44" ref="C39"/>
    <hyperlink r:id="rId45" ref="C40"/>
    <hyperlink r:id="rId46" ref="C41"/>
    <hyperlink r:id="rId47" ref="C42"/>
    <hyperlink r:id="rId48" ref="C43"/>
    <hyperlink r:id="rId49" ref="C44"/>
    <hyperlink r:id="rId50" ref="C45"/>
    <hyperlink r:id="rId51" ref="C46"/>
    <hyperlink r:id="rId52" ref="C47"/>
    <hyperlink r:id="rId53" ref="C48"/>
    <hyperlink r:id="rId54" ref="C49"/>
    <hyperlink r:id="rId55" ref="C50"/>
    <hyperlink r:id="rId56" ref="C51"/>
    <hyperlink r:id="rId57" ref="C52"/>
    <hyperlink r:id="rId58" ref="C53"/>
    <hyperlink r:id="rId59" ref="C54"/>
    <hyperlink r:id="rId60" ref="C55"/>
    <hyperlink r:id="rId61" ref="C56"/>
    <hyperlink r:id="rId62" ref="C57"/>
    <hyperlink r:id="rId63" ref="C58"/>
    <hyperlink r:id="rId64" ref="C59"/>
    <hyperlink r:id="rId65" ref="C60"/>
    <hyperlink r:id="rId66" ref="C61"/>
    <hyperlink r:id="rId67" ref="C62"/>
    <hyperlink r:id="rId68" ref="C63"/>
    <hyperlink r:id="rId69" ref="C64"/>
    <hyperlink r:id="rId70" ref="C65"/>
    <hyperlink r:id="rId71" ref="C66"/>
    <hyperlink r:id="rId72" ref="C67"/>
    <hyperlink r:id="rId73" ref="C68"/>
    <hyperlink r:id="rId74" ref="C69"/>
    <hyperlink r:id="rId75" ref="C70"/>
    <hyperlink r:id="rId76" ref="C71"/>
    <hyperlink r:id="rId77" ref="C72"/>
    <hyperlink r:id="rId78" ref="C73"/>
    <hyperlink r:id="rId79" ref="C74"/>
    <hyperlink r:id="rId80" ref="C75"/>
    <hyperlink r:id="rId81" ref="C76"/>
    <hyperlink r:id="rId82" ref="C77"/>
    <hyperlink r:id="rId83" ref="C78"/>
    <hyperlink r:id="rId84" ref="C79"/>
    <hyperlink r:id="rId85" ref="C80"/>
    <hyperlink r:id="rId86" ref="C81"/>
    <hyperlink r:id="rId87" ref="C82"/>
    <hyperlink r:id="rId88" ref="C83"/>
    <hyperlink r:id="rId89" ref="C84"/>
    <hyperlink r:id="rId90" ref="C85"/>
    <hyperlink r:id="rId91" ref="C86"/>
    <hyperlink r:id="rId92" ref="C87"/>
    <hyperlink r:id="rId93" ref="C88"/>
    <hyperlink r:id="rId94" ref="C89"/>
    <hyperlink r:id="rId95" ref="C90"/>
    <hyperlink r:id="rId96" ref="C91"/>
    <hyperlink r:id="rId97" ref="C92"/>
    <hyperlink r:id="rId98" ref="C93"/>
    <hyperlink r:id="rId99" ref="C94"/>
    <hyperlink r:id="rId100" ref="C95"/>
    <hyperlink r:id="rId101" ref="C96"/>
    <hyperlink r:id="rId102" ref="C97"/>
    <hyperlink r:id="rId103" ref="C98"/>
    <hyperlink r:id="rId104" ref="C99"/>
    <hyperlink r:id="rId105" ref="C100"/>
    <hyperlink r:id="rId106" ref="C101"/>
    <hyperlink r:id="rId107" ref="C102"/>
    <hyperlink r:id="rId108" ref="C103"/>
    <hyperlink r:id="rId109" ref="C104"/>
    <hyperlink r:id="rId110" ref="C105"/>
    <hyperlink r:id="rId111" ref="C106"/>
    <hyperlink r:id="rId112" ref="C107"/>
    <hyperlink r:id="rId113" ref="C108"/>
    <hyperlink r:id="rId114" ref="C109"/>
    <hyperlink r:id="rId115" ref="C110"/>
    <hyperlink r:id="rId116" ref="C111"/>
    <hyperlink r:id="rId117" ref="C112"/>
    <hyperlink r:id="rId118" ref="C113"/>
    <hyperlink r:id="rId119" ref="C114"/>
    <hyperlink r:id="rId120" ref="C115"/>
    <hyperlink r:id="rId121" ref="C116"/>
    <hyperlink r:id="rId122" ref="C117"/>
    <hyperlink r:id="rId123" ref="C118"/>
    <hyperlink r:id="rId124" ref="C119"/>
    <hyperlink r:id="rId125" ref="C120"/>
    <hyperlink r:id="rId126" ref="C121"/>
    <hyperlink r:id="rId127" ref="C122"/>
    <hyperlink r:id="rId128" ref="C123"/>
    <hyperlink r:id="rId129" ref="C124"/>
    <hyperlink r:id="rId130" ref="C125"/>
    <hyperlink r:id="rId131" ref="C126"/>
    <hyperlink r:id="rId132" ref="C127"/>
    <hyperlink r:id="rId133" ref="C128"/>
    <hyperlink r:id="rId134" ref="C129"/>
    <hyperlink r:id="rId135" ref="C130"/>
    <hyperlink r:id="rId136" ref="C131"/>
    <hyperlink r:id="rId137" ref="C132"/>
    <hyperlink r:id="rId138" ref="C133"/>
    <hyperlink r:id="rId139" ref="C134"/>
    <hyperlink r:id="rId140" ref="C135"/>
    <hyperlink r:id="rId141" ref="C136"/>
    <hyperlink r:id="rId142" ref="C137"/>
    <hyperlink r:id="rId143" ref="C138"/>
    <hyperlink r:id="rId144" ref="C139"/>
    <hyperlink r:id="rId145" ref="C140"/>
    <hyperlink r:id="rId146" ref="C141"/>
    <hyperlink r:id="rId147" ref="C142"/>
    <hyperlink r:id="rId148" ref="C143"/>
    <hyperlink r:id="rId149" ref="C144"/>
    <hyperlink r:id="rId150" ref="C145"/>
    <hyperlink r:id="rId151" ref="C146"/>
    <hyperlink r:id="rId152" ref="C147"/>
    <hyperlink r:id="rId153" ref="C148"/>
    <hyperlink r:id="rId154" ref="C149"/>
    <hyperlink r:id="rId155" ref="C150"/>
    <hyperlink r:id="rId156" ref="C151"/>
    <hyperlink r:id="rId157" ref="C152"/>
    <hyperlink r:id="rId158" ref="C153"/>
    <hyperlink r:id="rId159" ref="C154"/>
    <hyperlink r:id="rId160" ref="C155"/>
    <hyperlink r:id="rId161" ref="C156"/>
    <hyperlink r:id="rId162" ref="C157"/>
    <hyperlink r:id="rId163" ref="C158"/>
    <hyperlink r:id="rId164" ref="C159"/>
    <hyperlink r:id="rId165" ref="C160"/>
    <hyperlink r:id="rId166" ref="C161"/>
    <hyperlink r:id="rId167" ref="C162"/>
    <hyperlink r:id="rId168" ref="C163"/>
    <hyperlink r:id="rId169" ref="C164"/>
    <hyperlink r:id="rId170" ref="C165"/>
    <hyperlink r:id="rId171" ref="C166"/>
    <hyperlink r:id="rId172" ref="C167"/>
    <hyperlink r:id="rId173" ref="C168"/>
    <hyperlink r:id="rId174" ref="C169"/>
    <hyperlink r:id="rId175" ref="C170"/>
    <hyperlink r:id="rId176" ref="C171"/>
    <hyperlink r:id="rId177" ref="C172"/>
    <hyperlink r:id="rId178" ref="C173"/>
    <hyperlink r:id="rId179" ref="C174"/>
    <hyperlink r:id="rId180" ref="C175"/>
    <hyperlink r:id="rId181" ref="C176"/>
    <hyperlink r:id="rId182" ref="C177"/>
    <hyperlink r:id="rId183" ref="C178"/>
    <hyperlink r:id="rId184" ref="C179"/>
    <hyperlink r:id="rId185" ref="C180"/>
    <hyperlink r:id="rId186" ref="C181"/>
    <hyperlink r:id="rId187" ref="C182"/>
    <hyperlink r:id="rId188" ref="C183"/>
    <hyperlink r:id="rId189" ref="C184"/>
    <hyperlink r:id="rId190" ref="C185"/>
    <hyperlink r:id="rId191" ref="C186"/>
    <hyperlink r:id="rId192" ref="C187"/>
    <hyperlink r:id="rId193" ref="C188"/>
    <hyperlink r:id="rId194" ref="C189"/>
    <hyperlink r:id="rId195" ref="C190"/>
    <hyperlink r:id="rId196" ref="C191"/>
    <hyperlink r:id="rId197" ref="C192"/>
    <hyperlink r:id="rId198" ref="C193"/>
    <hyperlink r:id="rId199" ref="C194"/>
    <hyperlink r:id="rId200" ref="C195"/>
    <hyperlink r:id="rId201" ref="C196"/>
    <hyperlink r:id="rId202" ref="C197"/>
    <hyperlink r:id="rId203" ref="C198"/>
    <hyperlink r:id="rId204" ref="C199"/>
    <hyperlink r:id="rId205" ref="C200"/>
    <hyperlink r:id="rId206" ref="C201"/>
    <hyperlink r:id="rId207" ref="C202"/>
    <hyperlink r:id="rId208" ref="C203"/>
    <hyperlink r:id="rId209" ref="C204"/>
    <hyperlink r:id="rId210" ref="C205"/>
    <hyperlink r:id="rId211" ref="C206"/>
    <hyperlink r:id="rId212" ref="C207"/>
    <hyperlink r:id="rId213" ref="C208"/>
    <hyperlink r:id="rId214" ref="C209"/>
    <hyperlink r:id="rId215" ref="C210"/>
    <hyperlink r:id="rId216" ref="C211"/>
    <hyperlink r:id="rId217" ref="C212"/>
    <hyperlink r:id="rId218" ref="C213"/>
    <hyperlink r:id="rId219" ref="C214"/>
    <hyperlink r:id="rId220" ref="C215"/>
    <hyperlink r:id="rId221" ref="C216"/>
    <hyperlink r:id="rId222" ref="C217"/>
    <hyperlink r:id="rId223" ref="C218"/>
    <hyperlink r:id="rId224" ref="C219"/>
    <hyperlink r:id="rId225" ref="C220"/>
    <hyperlink r:id="rId226" ref="C221"/>
    <hyperlink r:id="rId227" ref="C222"/>
    <hyperlink r:id="rId228" ref="C223"/>
    <hyperlink r:id="rId229" ref="C224"/>
    <hyperlink r:id="rId230" ref="C225"/>
    <hyperlink r:id="rId231" ref="C226"/>
    <hyperlink r:id="rId232" ref="C227"/>
    <hyperlink r:id="rId233" ref="C228"/>
    <hyperlink r:id="rId234" ref="C229"/>
    <hyperlink r:id="rId235" ref="C230"/>
    <hyperlink r:id="rId236" ref="C231"/>
    <hyperlink r:id="rId237" ref="C232"/>
    <hyperlink r:id="rId238" ref="C233"/>
    <hyperlink r:id="rId239" ref="C234"/>
    <hyperlink r:id="rId240" ref="C235"/>
    <hyperlink r:id="rId241" ref="C236"/>
    <hyperlink r:id="rId242" ref="C237"/>
    <hyperlink r:id="rId243" ref="C238"/>
    <hyperlink r:id="rId244" ref="C239"/>
    <hyperlink r:id="rId245" ref="C240"/>
    <hyperlink r:id="rId246" ref="C241"/>
    <hyperlink r:id="rId247" ref="C242"/>
    <hyperlink r:id="rId248" ref="C243"/>
    <hyperlink r:id="rId249" ref="C244"/>
    <hyperlink r:id="rId250" ref="C245"/>
    <hyperlink r:id="rId251" ref="C246"/>
    <hyperlink r:id="rId252" ref="C247"/>
    <hyperlink r:id="rId253" ref="C248"/>
    <hyperlink r:id="rId254" ref="C249"/>
    <hyperlink r:id="rId255" ref="C250"/>
    <hyperlink r:id="rId256" ref="C251"/>
    <hyperlink r:id="rId257" ref="C252"/>
    <hyperlink r:id="rId258" ref="C253"/>
    <hyperlink r:id="rId259" ref="C254"/>
    <hyperlink r:id="rId260" ref="C255"/>
    <hyperlink r:id="rId261" ref="C256"/>
    <hyperlink r:id="rId262" ref="C257"/>
    <hyperlink r:id="rId263" ref="C258"/>
    <hyperlink r:id="rId264" ref="C259"/>
    <hyperlink r:id="rId265" ref="C260"/>
    <hyperlink r:id="rId266" ref="C261"/>
    <hyperlink r:id="rId267" ref="C262"/>
    <hyperlink r:id="rId268" ref="C263"/>
    <hyperlink r:id="rId269" ref="C264"/>
    <hyperlink r:id="rId270" ref="C265"/>
    <hyperlink r:id="rId271" ref="C266"/>
    <hyperlink r:id="rId272" ref="C267"/>
    <hyperlink r:id="rId273" ref="C268"/>
    <hyperlink r:id="rId274" ref="C269"/>
    <hyperlink r:id="rId275" ref="C270"/>
    <hyperlink r:id="rId276" ref="C271"/>
    <hyperlink r:id="rId277" ref="C272"/>
    <hyperlink r:id="rId278" ref="C273"/>
    <hyperlink r:id="rId279" ref="C274"/>
    <hyperlink r:id="rId280" ref="C275"/>
    <hyperlink r:id="rId281" ref="C276"/>
    <hyperlink r:id="rId282" ref="C277"/>
    <hyperlink r:id="rId283" ref="C278"/>
    <hyperlink r:id="rId284" ref="C279"/>
    <hyperlink r:id="rId285" ref="C280"/>
    <hyperlink r:id="rId286" ref="C281"/>
    <hyperlink r:id="rId287" ref="C282"/>
    <hyperlink r:id="rId288" ref="C283"/>
    <hyperlink r:id="rId289" ref="C284"/>
    <hyperlink r:id="rId290" ref="C285"/>
    <hyperlink r:id="rId291" ref="C286"/>
    <hyperlink r:id="rId292" ref="C287"/>
    <hyperlink r:id="rId293" ref="C288"/>
    <hyperlink r:id="rId294" ref="C289"/>
    <hyperlink r:id="rId295" ref="C290"/>
    <hyperlink r:id="rId296" ref="C291"/>
    <hyperlink r:id="rId297" ref="C292"/>
    <hyperlink r:id="rId298" ref="C293"/>
    <hyperlink r:id="rId299" ref="C294"/>
    <hyperlink r:id="rId300" ref="C295"/>
    <hyperlink r:id="rId301" ref="C296"/>
    <hyperlink r:id="rId302" ref="C297"/>
    <hyperlink r:id="rId303" ref="C298"/>
    <hyperlink r:id="rId304" ref="C299"/>
    <hyperlink r:id="rId305" ref="C300"/>
    <hyperlink r:id="rId306" ref="C301"/>
    <hyperlink r:id="rId307" ref="C302"/>
    <hyperlink r:id="rId308" ref="C303"/>
    <hyperlink r:id="rId309" ref="C304"/>
    <hyperlink r:id="rId310" ref="C305"/>
    <hyperlink r:id="rId311" ref="C306"/>
    <hyperlink r:id="rId312" ref="C307"/>
    <hyperlink r:id="rId313" ref="C308"/>
    <hyperlink r:id="rId314" ref="C309"/>
    <hyperlink r:id="rId315" ref="C310"/>
    <hyperlink r:id="rId316" ref="C311"/>
    <hyperlink r:id="rId317" ref="C312"/>
    <hyperlink r:id="rId318" ref="C313"/>
    <hyperlink r:id="rId319" ref="C314"/>
    <hyperlink r:id="rId320" ref="C315"/>
    <hyperlink r:id="rId321" ref="C316"/>
    <hyperlink r:id="rId322" ref="C317"/>
    <hyperlink r:id="rId323" ref="C318"/>
    <hyperlink r:id="rId324" ref="C319"/>
    <hyperlink r:id="rId325" ref="C320"/>
    <hyperlink r:id="rId326" ref="C321"/>
    <hyperlink r:id="rId327" ref="C322"/>
    <hyperlink r:id="rId328" ref="C323"/>
    <hyperlink r:id="rId329" ref="C324"/>
    <hyperlink r:id="rId330" ref="C325"/>
    <hyperlink r:id="rId331" ref="C326"/>
    <hyperlink r:id="rId332" ref="C327"/>
    <hyperlink r:id="rId333" ref="C328"/>
    <hyperlink r:id="rId334" ref="C329"/>
    <hyperlink r:id="rId335" ref="C330"/>
    <hyperlink r:id="rId336" ref="C331"/>
    <hyperlink r:id="rId337" ref="C332"/>
    <hyperlink r:id="rId338" ref="C333"/>
    <hyperlink r:id="rId339" ref="C334"/>
    <hyperlink r:id="rId340" ref="C335"/>
    <hyperlink r:id="rId341" ref="C336"/>
    <hyperlink r:id="rId342" ref="C337"/>
    <hyperlink r:id="rId343" ref="C338"/>
    <hyperlink r:id="rId344" ref="C339"/>
    <hyperlink r:id="rId345" ref="C340"/>
    <hyperlink r:id="rId346" ref="C341"/>
    <hyperlink r:id="rId347" ref="C342"/>
    <hyperlink r:id="rId348" ref="C343"/>
    <hyperlink r:id="rId349" ref="C344"/>
    <hyperlink r:id="rId350" ref="C345"/>
    <hyperlink r:id="rId351" ref="C346"/>
    <hyperlink r:id="rId352" ref="C347"/>
    <hyperlink r:id="rId353" ref="C348"/>
    <hyperlink r:id="rId354" ref="C349"/>
    <hyperlink r:id="rId355" ref="C350"/>
    <hyperlink r:id="rId356" ref="C351"/>
    <hyperlink r:id="rId357" ref="C352"/>
    <hyperlink r:id="rId358" ref="C353"/>
    <hyperlink r:id="rId359" ref="C354"/>
    <hyperlink r:id="rId360" ref="C355"/>
    <hyperlink r:id="rId361" ref="C356"/>
    <hyperlink r:id="rId362" ref="C357"/>
    <hyperlink r:id="rId363" ref="C358"/>
    <hyperlink r:id="rId364" ref="C359"/>
    <hyperlink r:id="rId365" ref="C360"/>
    <hyperlink r:id="rId366" ref="C361"/>
    <hyperlink r:id="rId367" ref="C362"/>
    <hyperlink r:id="rId368" ref="C363"/>
    <hyperlink r:id="rId369" ref="C364"/>
    <hyperlink r:id="rId370" ref="C365"/>
    <hyperlink r:id="rId371" ref="C366"/>
    <hyperlink r:id="rId372" ref="C367"/>
    <hyperlink r:id="rId373" ref="C368"/>
    <hyperlink r:id="rId374" ref="C369"/>
    <hyperlink r:id="rId375" ref="C370"/>
    <hyperlink r:id="rId376" ref="C371"/>
    <hyperlink r:id="rId377" ref="C372"/>
    <hyperlink r:id="rId378" ref="C373"/>
    <hyperlink r:id="rId379" ref="C374"/>
    <hyperlink r:id="rId380" ref="C375"/>
    <hyperlink r:id="rId381" ref="C376"/>
    <hyperlink r:id="rId382" ref="C377"/>
    <hyperlink r:id="rId383" ref="C378"/>
    <hyperlink r:id="rId384" ref="C379"/>
    <hyperlink r:id="rId385" ref="C380"/>
    <hyperlink r:id="rId386" ref="C381"/>
    <hyperlink r:id="rId387" ref="C382"/>
    <hyperlink r:id="rId388" ref="C383"/>
    <hyperlink r:id="rId389" ref="C384"/>
    <hyperlink r:id="rId390" ref="C385"/>
    <hyperlink r:id="rId391" ref="C386"/>
    <hyperlink r:id="rId392" ref="C387"/>
    <hyperlink r:id="rId393" ref="C388"/>
    <hyperlink r:id="rId394" ref="C389"/>
    <hyperlink r:id="rId395" ref="C390"/>
    <hyperlink r:id="rId396" ref="C391"/>
    <hyperlink r:id="rId397" ref="C392"/>
    <hyperlink r:id="rId398" ref="C393"/>
    <hyperlink r:id="rId399" ref="C394"/>
    <hyperlink r:id="rId400" ref="C395"/>
    <hyperlink r:id="rId401" ref="C396"/>
    <hyperlink r:id="rId402" ref="C397"/>
    <hyperlink r:id="rId403" ref="C398"/>
    <hyperlink r:id="rId404" ref="C399"/>
    <hyperlink r:id="rId405" ref="C400"/>
    <hyperlink r:id="rId406" ref="C401"/>
    <hyperlink r:id="rId407" ref="C402"/>
    <hyperlink r:id="rId408" ref="C403"/>
    <hyperlink r:id="rId409" ref="C404"/>
    <hyperlink r:id="rId410" ref="C405"/>
    <hyperlink r:id="rId411" ref="C406"/>
    <hyperlink r:id="rId412" ref="C407"/>
    <hyperlink r:id="rId413" ref="C408"/>
    <hyperlink r:id="rId414" ref="C409"/>
    <hyperlink r:id="rId415" ref="C410"/>
    <hyperlink r:id="rId416" ref="C411"/>
    <hyperlink r:id="rId417" ref="C412"/>
    <hyperlink r:id="rId418" ref="C413"/>
    <hyperlink r:id="rId419" ref="C414"/>
    <hyperlink r:id="rId420" ref="C415"/>
    <hyperlink r:id="rId421" ref="C416"/>
    <hyperlink r:id="rId422" ref="C417"/>
    <hyperlink r:id="rId423" ref="C418"/>
    <hyperlink r:id="rId424" ref="C419"/>
    <hyperlink r:id="rId425" ref="C420"/>
    <hyperlink r:id="rId426" ref="C421"/>
    <hyperlink r:id="rId427" ref="C422"/>
    <hyperlink r:id="rId428" ref="C423"/>
    <hyperlink r:id="rId429" ref="C424"/>
    <hyperlink r:id="rId430" ref="C425"/>
    <hyperlink r:id="rId431" ref="C426"/>
    <hyperlink r:id="rId432" ref="C427"/>
    <hyperlink r:id="rId433" ref="C428"/>
    <hyperlink r:id="rId434" ref="C429"/>
    <hyperlink r:id="rId435" ref="C430"/>
    <hyperlink r:id="rId436" ref="C431"/>
    <hyperlink r:id="rId437" ref="C432"/>
    <hyperlink r:id="rId438" ref="C433"/>
    <hyperlink r:id="rId439" ref="C434"/>
    <hyperlink r:id="rId440" ref="C435"/>
    <hyperlink r:id="rId441" ref="C436"/>
    <hyperlink r:id="rId442" ref="C437"/>
    <hyperlink r:id="rId443" ref="C438"/>
    <hyperlink r:id="rId444" ref="C439"/>
    <hyperlink r:id="rId445" ref="C440"/>
    <hyperlink r:id="rId446" ref="C441"/>
    <hyperlink r:id="rId447" ref="C442"/>
    <hyperlink r:id="rId448" ref="C443"/>
    <hyperlink r:id="rId449" ref="C444"/>
    <hyperlink r:id="rId450" ref="C445"/>
    <hyperlink r:id="rId451" ref="C446"/>
    <hyperlink r:id="rId452" ref="C447"/>
    <hyperlink r:id="rId453" ref="C448"/>
    <hyperlink r:id="rId454" ref="C449"/>
    <hyperlink r:id="rId455" ref="C450"/>
    <hyperlink r:id="rId456" ref="C451"/>
    <hyperlink r:id="rId457" ref="C452"/>
    <hyperlink r:id="rId458" ref="C453"/>
    <hyperlink r:id="rId459" ref="C454"/>
    <hyperlink r:id="rId460" ref="C455"/>
    <hyperlink r:id="rId461" ref="C456"/>
    <hyperlink r:id="rId462" ref="C457"/>
    <hyperlink r:id="rId463" ref="C458"/>
    <hyperlink r:id="rId464" ref="A459"/>
    <hyperlink r:id="rId465" ref="C459"/>
    <hyperlink r:id="rId466" ref="C460"/>
    <hyperlink r:id="rId467" ref="C461"/>
    <hyperlink r:id="rId468" ref="C462"/>
    <hyperlink r:id="rId469" ref="C463"/>
    <hyperlink r:id="rId470" ref="C464"/>
    <hyperlink r:id="rId471" ref="C465"/>
    <hyperlink r:id="rId472" ref="C466"/>
    <hyperlink r:id="rId473" ref="C467"/>
    <hyperlink r:id="rId474" ref="C468"/>
    <hyperlink r:id="rId475" ref="C469"/>
    <hyperlink r:id="rId476" ref="C470"/>
    <hyperlink r:id="rId477" ref="C471"/>
    <hyperlink r:id="rId478" ref="C472"/>
    <hyperlink r:id="rId479" ref="C473"/>
    <hyperlink r:id="rId480" ref="C474"/>
    <hyperlink r:id="rId481" ref="C475"/>
    <hyperlink r:id="rId482" ref="C476"/>
    <hyperlink r:id="rId483" ref="C477"/>
    <hyperlink r:id="rId484" ref="C478"/>
    <hyperlink r:id="rId485" ref="C479"/>
    <hyperlink r:id="rId486" ref="C480"/>
    <hyperlink r:id="rId487" ref="C481"/>
    <hyperlink r:id="rId488" ref="C482"/>
    <hyperlink r:id="rId489" ref="C483"/>
    <hyperlink r:id="rId490" ref="C484"/>
    <hyperlink r:id="rId491" ref="C485"/>
    <hyperlink r:id="rId492" ref="C486"/>
    <hyperlink r:id="rId493" ref="C487"/>
    <hyperlink r:id="rId494" ref="C488"/>
    <hyperlink r:id="rId495" ref="C489"/>
    <hyperlink r:id="rId496" ref="C490"/>
    <hyperlink r:id="rId497" ref="C491"/>
    <hyperlink r:id="rId498" ref="C492"/>
    <hyperlink r:id="rId499" ref="C493"/>
    <hyperlink r:id="rId500" ref="C494"/>
    <hyperlink r:id="rId501" ref="C495"/>
    <hyperlink r:id="rId502" ref="C496"/>
    <hyperlink r:id="rId503" ref="C497"/>
    <hyperlink r:id="rId504" ref="C498"/>
    <hyperlink r:id="rId505" ref="C499"/>
    <hyperlink r:id="rId506" ref="C500"/>
    <hyperlink r:id="rId507" ref="C501"/>
    <hyperlink r:id="rId508" ref="C502"/>
    <hyperlink r:id="rId509" ref="C503"/>
    <hyperlink r:id="rId510" ref="C504"/>
    <hyperlink r:id="rId511" ref="C505"/>
    <hyperlink r:id="rId512" ref="C506"/>
    <hyperlink r:id="rId513" ref="C507"/>
    <hyperlink r:id="rId514" ref="C508"/>
    <hyperlink r:id="rId515" ref="C509"/>
    <hyperlink r:id="rId516" ref="C510"/>
    <hyperlink r:id="rId517" ref="C511"/>
    <hyperlink r:id="rId518" ref="C512"/>
    <hyperlink r:id="rId519" ref="C513"/>
    <hyperlink r:id="rId520" ref="C514"/>
    <hyperlink r:id="rId521" ref="C515"/>
    <hyperlink r:id="rId522" ref="C516"/>
    <hyperlink r:id="rId523" ref="C517"/>
    <hyperlink r:id="rId524" ref="C518"/>
    <hyperlink r:id="rId525" ref="C519"/>
    <hyperlink r:id="rId526" ref="C520"/>
    <hyperlink r:id="rId527" ref="C521"/>
    <hyperlink r:id="rId528" ref="C522"/>
  </hyperlinks>
  <printOptions/>
  <pageMargins bottom="0.75" footer="0.0" header="0.0" left="0.7" right="0.7" top="0.75"/>
  <pageSetup orientation="landscape"/>
  <drawing r:id="rId52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8" width="15.75"/>
    <col customWidth="1" min="19" max="26" width="8.63"/>
  </cols>
  <sheetData>
    <row r="1" ht="15.0" customHeight="1">
      <c r="A1" s="53" t="s">
        <v>336</v>
      </c>
      <c r="B1" s="53" t="s">
        <v>337</v>
      </c>
      <c r="C1" s="54" t="s">
        <v>338</v>
      </c>
      <c r="D1" s="53" t="s">
        <v>4490</v>
      </c>
      <c r="E1" s="54" t="s">
        <v>342</v>
      </c>
      <c r="F1" s="54" t="s">
        <v>343</v>
      </c>
      <c r="G1" s="54" t="s">
        <v>344</v>
      </c>
      <c r="H1" s="54" t="s">
        <v>345</v>
      </c>
      <c r="I1" s="54" t="s">
        <v>4491</v>
      </c>
      <c r="J1" s="54" t="s">
        <v>24</v>
      </c>
      <c r="K1" s="53" t="s">
        <v>347</v>
      </c>
      <c r="L1" s="53" t="s">
        <v>348</v>
      </c>
      <c r="M1" s="54" t="s">
        <v>351</v>
      </c>
      <c r="N1" s="53" t="s">
        <v>352</v>
      </c>
      <c r="O1" s="53" t="s">
        <v>353</v>
      </c>
      <c r="P1" s="54" t="s">
        <v>354</v>
      </c>
      <c r="Q1" s="54" t="s">
        <v>355</v>
      </c>
      <c r="R1" s="53" t="s">
        <v>356</v>
      </c>
      <c r="T1" s="55" t="s">
        <v>357</v>
      </c>
    </row>
    <row r="2" ht="15.0" customHeight="1">
      <c r="A2" s="56" t="s">
        <v>4492</v>
      </c>
      <c r="B2" s="56" t="s">
        <v>4493</v>
      </c>
      <c r="C2" s="57" t="s">
        <v>4494</v>
      </c>
      <c r="D2" s="58">
        <v>8.184045099E9</v>
      </c>
      <c r="E2" s="56" t="s">
        <v>4495</v>
      </c>
      <c r="F2" s="56" t="s">
        <v>379</v>
      </c>
      <c r="G2" s="56" t="s">
        <v>405</v>
      </c>
      <c r="H2" s="62" t="s">
        <v>513</v>
      </c>
      <c r="I2" s="59"/>
      <c r="J2" s="62" t="s">
        <v>381</v>
      </c>
      <c r="K2" s="59"/>
      <c r="L2" s="59"/>
      <c r="M2" s="56" t="s">
        <v>4493</v>
      </c>
      <c r="N2" s="56" t="s">
        <v>1863</v>
      </c>
      <c r="O2" s="59"/>
      <c r="P2" s="56" t="s">
        <v>4496</v>
      </c>
      <c r="Q2" s="61" t="s">
        <v>373</v>
      </c>
      <c r="R2" s="58" t="s">
        <v>4497</v>
      </c>
      <c r="T2" s="55" t="b">
        <f t="shared" ref="T2:T349" si="1">IF(H2="US Citizen or US National, Legally authorized to work in US (Permanent US Resident, Political Asylee, Refugee or DACA), Will now or in the future require visa sponsorship",TRUE,FALSE)</f>
        <v>1</v>
      </c>
    </row>
    <row r="3" ht="15.0" customHeight="1">
      <c r="A3" s="56" t="s">
        <v>1</v>
      </c>
      <c r="B3" s="56" t="s">
        <v>375</v>
      </c>
      <c r="C3" s="57" t="s">
        <v>376</v>
      </c>
      <c r="D3" s="56" t="s">
        <v>4498</v>
      </c>
      <c r="E3" s="56" t="s">
        <v>3351</v>
      </c>
      <c r="F3" s="56" t="s">
        <v>379</v>
      </c>
      <c r="G3" s="56" t="s">
        <v>380</v>
      </c>
      <c r="H3" s="62" t="s">
        <v>413</v>
      </c>
      <c r="I3" s="59"/>
      <c r="J3" s="56" t="s">
        <v>4499</v>
      </c>
      <c r="K3" s="58">
        <v>0.0</v>
      </c>
      <c r="L3" s="58">
        <v>0.0</v>
      </c>
      <c r="M3" s="59"/>
      <c r="N3" s="56" t="s">
        <v>4500</v>
      </c>
      <c r="O3" s="59"/>
      <c r="P3" s="56" t="s">
        <v>4501</v>
      </c>
      <c r="Q3" s="61" t="s">
        <v>373</v>
      </c>
      <c r="R3" s="58" t="s">
        <v>4502</v>
      </c>
      <c r="T3" s="55" t="b">
        <f t="shared" si="1"/>
        <v>0</v>
      </c>
    </row>
    <row r="4" ht="15.0" customHeight="1">
      <c r="A4" s="56" t="s">
        <v>55</v>
      </c>
      <c r="B4" s="56" t="s">
        <v>4503</v>
      </c>
      <c r="C4" s="57" t="s">
        <v>4504</v>
      </c>
      <c r="D4" s="56" t="s">
        <v>4505</v>
      </c>
      <c r="E4" s="56" t="s">
        <v>2614</v>
      </c>
      <c r="F4" s="56" t="s">
        <v>364</v>
      </c>
      <c r="G4" s="56" t="s">
        <v>365</v>
      </c>
      <c r="H4" s="62" t="s">
        <v>513</v>
      </c>
      <c r="I4" s="59"/>
      <c r="J4" s="62" t="s">
        <v>4506</v>
      </c>
      <c r="K4" s="59"/>
      <c r="L4" s="59"/>
      <c r="M4" s="59"/>
      <c r="N4" s="56" t="s">
        <v>4507</v>
      </c>
      <c r="O4" s="59"/>
      <c r="P4" s="56" t="s">
        <v>4508</v>
      </c>
      <c r="Q4" s="61" t="s">
        <v>394</v>
      </c>
      <c r="R4" s="58" t="s">
        <v>4509</v>
      </c>
      <c r="T4" s="55" t="b">
        <f t="shared" si="1"/>
        <v>1</v>
      </c>
    </row>
    <row r="5" ht="15.0" customHeight="1">
      <c r="A5" s="56" t="s">
        <v>56</v>
      </c>
      <c r="B5" s="56" t="s">
        <v>403</v>
      </c>
      <c r="C5" s="57" t="s">
        <v>404</v>
      </c>
      <c r="D5" s="58">
        <v>2.812072055E9</v>
      </c>
      <c r="E5" s="56" t="s">
        <v>2286</v>
      </c>
      <c r="F5" s="56" t="s">
        <v>364</v>
      </c>
      <c r="G5" s="56" t="s">
        <v>365</v>
      </c>
      <c r="H5" s="62" t="s">
        <v>413</v>
      </c>
      <c r="I5" s="59"/>
      <c r="J5" s="62" t="s">
        <v>4499</v>
      </c>
      <c r="K5" s="59"/>
      <c r="L5" s="58">
        <v>1.0</v>
      </c>
      <c r="M5" s="56" t="s">
        <v>4510</v>
      </c>
      <c r="N5" s="56" t="s">
        <v>534</v>
      </c>
      <c r="O5" s="59"/>
      <c r="P5" s="56" t="s">
        <v>4501</v>
      </c>
      <c r="Q5" s="61" t="s">
        <v>373</v>
      </c>
      <c r="R5" s="58" t="s">
        <v>4511</v>
      </c>
      <c r="T5" s="55" t="b">
        <f t="shared" si="1"/>
        <v>0</v>
      </c>
    </row>
    <row r="6" ht="15.0" customHeight="1">
      <c r="A6" s="56" t="s">
        <v>57</v>
      </c>
      <c r="B6" s="56" t="s">
        <v>407</v>
      </c>
      <c r="C6" s="57" t="s">
        <v>408</v>
      </c>
      <c r="D6" s="56" t="s">
        <v>4512</v>
      </c>
      <c r="E6" s="56" t="s">
        <v>411</v>
      </c>
      <c r="F6" s="56" t="s">
        <v>379</v>
      </c>
      <c r="G6" s="56" t="s">
        <v>365</v>
      </c>
      <c r="H6" s="62" t="s">
        <v>413</v>
      </c>
      <c r="I6" s="59"/>
      <c r="J6" s="56" t="s">
        <v>4499</v>
      </c>
      <c r="K6" s="58">
        <v>1.0</v>
      </c>
      <c r="L6" s="59"/>
      <c r="M6" s="59"/>
      <c r="N6" s="56" t="s">
        <v>2438</v>
      </c>
      <c r="O6" s="59"/>
      <c r="P6" s="56" t="s">
        <v>4501</v>
      </c>
      <c r="Q6" s="61" t="s">
        <v>373</v>
      </c>
      <c r="R6" s="58" t="s">
        <v>4513</v>
      </c>
      <c r="T6" s="55" t="b">
        <f t="shared" si="1"/>
        <v>0</v>
      </c>
    </row>
    <row r="7" ht="15.0" customHeight="1">
      <c r="A7" s="56" t="s">
        <v>58</v>
      </c>
      <c r="B7" s="56" t="s">
        <v>2337</v>
      </c>
      <c r="C7" s="57" t="s">
        <v>2338</v>
      </c>
      <c r="D7" s="58">
        <v>9.729989507E9</v>
      </c>
      <c r="E7" s="56" t="s">
        <v>4514</v>
      </c>
      <c r="F7" s="56" t="s">
        <v>364</v>
      </c>
      <c r="G7" s="56" t="s">
        <v>365</v>
      </c>
      <c r="H7" s="62" t="s">
        <v>413</v>
      </c>
      <c r="I7" s="59"/>
      <c r="J7" s="62" t="s">
        <v>4499</v>
      </c>
      <c r="K7" s="59"/>
      <c r="L7" s="59"/>
      <c r="M7" s="56" t="s">
        <v>4515</v>
      </c>
      <c r="N7" s="56" t="s">
        <v>2464</v>
      </c>
      <c r="O7" s="59"/>
      <c r="P7" s="56" t="s">
        <v>4501</v>
      </c>
      <c r="Q7" s="61" t="s">
        <v>373</v>
      </c>
      <c r="R7" s="58" t="s">
        <v>4516</v>
      </c>
      <c r="T7" s="55" t="b">
        <f t="shared" si="1"/>
        <v>0</v>
      </c>
    </row>
    <row r="8" ht="15.0" customHeight="1">
      <c r="A8" s="56" t="s">
        <v>289</v>
      </c>
      <c r="B8" s="56" t="s">
        <v>4517</v>
      </c>
      <c r="C8" s="57" t="s">
        <v>4518</v>
      </c>
      <c r="D8" s="58">
        <v>7.044655947E9</v>
      </c>
      <c r="E8" s="56" t="s">
        <v>4519</v>
      </c>
      <c r="F8" s="56" t="s">
        <v>364</v>
      </c>
      <c r="G8" s="56" t="s">
        <v>365</v>
      </c>
      <c r="H8" s="62" t="s">
        <v>366</v>
      </c>
      <c r="I8" s="59"/>
      <c r="J8" s="62" t="s">
        <v>4506</v>
      </c>
      <c r="K8" s="59"/>
      <c r="L8" s="59"/>
      <c r="M8" s="56" t="s">
        <v>4520</v>
      </c>
      <c r="N8" s="56" t="s">
        <v>3945</v>
      </c>
      <c r="O8" s="59"/>
      <c r="P8" s="56" t="s">
        <v>4508</v>
      </c>
      <c r="Q8" s="61" t="s">
        <v>394</v>
      </c>
      <c r="R8" s="58" t="s">
        <v>4521</v>
      </c>
      <c r="T8" s="55" t="b">
        <f t="shared" si="1"/>
        <v>0</v>
      </c>
    </row>
    <row r="9" ht="15.0" customHeight="1">
      <c r="A9" s="56" t="s">
        <v>59</v>
      </c>
      <c r="B9" s="56" t="s">
        <v>4522</v>
      </c>
      <c r="C9" s="57" t="s">
        <v>4523</v>
      </c>
      <c r="D9" s="58">
        <v>2.81201125E9</v>
      </c>
      <c r="E9" s="56" t="s">
        <v>4524</v>
      </c>
      <c r="F9" s="56" t="s">
        <v>379</v>
      </c>
      <c r="G9" s="56" t="s">
        <v>412</v>
      </c>
      <c r="H9" s="62" t="s">
        <v>413</v>
      </c>
      <c r="I9" s="59"/>
      <c r="J9" s="62" t="s">
        <v>4506</v>
      </c>
      <c r="K9" s="59"/>
      <c r="L9" s="59"/>
      <c r="M9" s="56" t="s">
        <v>4522</v>
      </c>
      <c r="N9" s="59"/>
      <c r="O9" s="59"/>
      <c r="P9" s="56" t="s">
        <v>4508</v>
      </c>
      <c r="Q9" s="61" t="s">
        <v>394</v>
      </c>
      <c r="R9" s="58" t="s">
        <v>4525</v>
      </c>
      <c r="T9" s="55" t="b">
        <f t="shared" si="1"/>
        <v>0</v>
      </c>
    </row>
    <row r="10" ht="15.0" customHeight="1">
      <c r="A10" s="56" t="s">
        <v>4526</v>
      </c>
      <c r="B10" s="56" t="s">
        <v>4527</v>
      </c>
      <c r="C10" s="57" t="s">
        <v>4528</v>
      </c>
      <c r="D10" s="58">
        <v>8.327550347E9</v>
      </c>
      <c r="E10" s="56" t="s">
        <v>4529</v>
      </c>
      <c r="F10" s="56" t="s">
        <v>399</v>
      </c>
      <c r="G10" s="56" t="s">
        <v>365</v>
      </c>
      <c r="H10" s="62" t="s">
        <v>413</v>
      </c>
      <c r="I10" s="59"/>
      <c r="J10" s="62" t="s">
        <v>4499</v>
      </c>
      <c r="K10" s="59"/>
      <c r="L10" s="59"/>
      <c r="M10" s="56" t="s">
        <v>4527</v>
      </c>
      <c r="N10" s="56" t="s">
        <v>591</v>
      </c>
      <c r="O10" s="59"/>
      <c r="P10" s="56" t="s">
        <v>4501</v>
      </c>
      <c r="Q10" s="61" t="s">
        <v>373</v>
      </c>
      <c r="R10" s="58" t="s">
        <v>4530</v>
      </c>
      <c r="T10" s="55" t="b">
        <f t="shared" si="1"/>
        <v>0</v>
      </c>
    </row>
    <row r="11" ht="15.0" customHeight="1">
      <c r="A11" s="56" t="s">
        <v>4531</v>
      </c>
      <c r="B11" s="56" t="s">
        <v>2358</v>
      </c>
      <c r="C11" s="57" t="s">
        <v>2359</v>
      </c>
      <c r="D11" s="56" t="s">
        <v>4532</v>
      </c>
      <c r="E11" s="56" t="s">
        <v>4533</v>
      </c>
      <c r="F11" s="56" t="s">
        <v>379</v>
      </c>
      <c r="G11" s="56" t="s">
        <v>412</v>
      </c>
      <c r="H11" s="62" t="s">
        <v>366</v>
      </c>
      <c r="I11" s="59"/>
      <c r="J11" s="62" t="s">
        <v>483</v>
      </c>
      <c r="K11" s="59"/>
      <c r="L11" s="59"/>
      <c r="M11" s="56" t="s">
        <v>4534</v>
      </c>
      <c r="N11" s="56" t="s">
        <v>2168</v>
      </c>
      <c r="O11" s="59"/>
      <c r="P11" s="56" t="s">
        <v>4496</v>
      </c>
      <c r="Q11" s="61" t="s">
        <v>373</v>
      </c>
      <c r="R11" s="58" t="s">
        <v>4535</v>
      </c>
      <c r="T11" s="55" t="b">
        <f t="shared" si="1"/>
        <v>0</v>
      </c>
    </row>
    <row r="12" ht="15.0" customHeight="1">
      <c r="A12" s="56" t="s">
        <v>327</v>
      </c>
      <c r="B12" s="56" t="s">
        <v>456</v>
      </c>
      <c r="C12" s="57" t="s">
        <v>457</v>
      </c>
      <c r="D12" s="58">
        <v>2.814615794E9</v>
      </c>
      <c r="E12" s="56" t="s">
        <v>4536</v>
      </c>
      <c r="F12" s="56" t="s">
        <v>399</v>
      </c>
      <c r="G12" s="56" t="s">
        <v>520</v>
      </c>
      <c r="H12" s="62" t="s">
        <v>366</v>
      </c>
      <c r="I12" s="59"/>
      <c r="J12" s="62" t="s">
        <v>4499</v>
      </c>
      <c r="K12" s="59"/>
      <c r="L12" s="59"/>
      <c r="M12" s="56" t="s">
        <v>4537</v>
      </c>
      <c r="N12" s="56" t="s">
        <v>4328</v>
      </c>
      <c r="O12" s="59"/>
      <c r="P12" s="56" t="s">
        <v>4501</v>
      </c>
      <c r="Q12" s="61" t="s">
        <v>373</v>
      </c>
      <c r="R12" s="58" t="s">
        <v>4538</v>
      </c>
      <c r="T12" s="55" t="b">
        <f t="shared" si="1"/>
        <v>0</v>
      </c>
    </row>
    <row r="13" ht="15.0" customHeight="1">
      <c r="A13" s="56" t="s">
        <v>4539</v>
      </c>
      <c r="B13" s="56" t="s">
        <v>4540</v>
      </c>
      <c r="C13" s="57" t="s">
        <v>4541</v>
      </c>
      <c r="D13" s="56" t="s">
        <v>4542</v>
      </c>
      <c r="E13" s="56" t="s">
        <v>2528</v>
      </c>
      <c r="F13" s="56" t="s">
        <v>399</v>
      </c>
      <c r="G13" s="56" t="s">
        <v>412</v>
      </c>
      <c r="H13" s="62" t="s">
        <v>413</v>
      </c>
      <c r="I13" s="59"/>
      <c r="J13" s="56" t="s">
        <v>381</v>
      </c>
      <c r="K13" s="58">
        <v>2.0</v>
      </c>
      <c r="L13" s="58">
        <v>2.0</v>
      </c>
      <c r="M13" s="56" t="s">
        <v>4543</v>
      </c>
      <c r="N13" s="56" t="s">
        <v>3064</v>
      </c>
      <c r="O13" s="59"/>
      <c r="P13" s="56" t="s">
        <v>4496</v>
      </c>
      <c r="Q13" s="61" t="s">
        <v>373</v>
      </c>
      <c r="R13" s="58" t="s">
        <v>4544</v>
      </c>
      <c r="T13" s="55" t="b">
        <f t="shared" si="1"/>
        <v>0</v>
      </c>
    </row>
    <row r="14" ht="15.0" customHeight="1">
      <c r="A14" s="56" t="s">
        <v>62</v>
      </c>
      <c r="B14" s="56" t="s">
        <v>4545</v>
      </c>
      <c r="C14" s="57" t="s">
        <v>4546</v>
      </c>
      <c r="D14" s="58">
        <v>1.6513432948E10</v>
      </c>
      <c r="E14" s="56" t="s">
        <v>4547</v>
      </c>
      <c r="F14" s="56" t="s">
        <v>379</v>
      </c>
      <c r="G14" s="56" t="s">
        <v>365</v>
      </c>
      <c r="H14" s="62" t="s">
        <v>513</v>
      </c>
      <c r="I14" s="59"/>
      <c r="J14" s="62" t="s">
        <v>497</v>
      </c>
      <c r="K14" s="59"/>
      <c r="L14" s="59"/>
      <c r="M14" s="59"/>
      <c r="N14" s="56" t="s">
        <v>4548</v>
      </c>
      <c r="O14" s="59"/>
      <c r="P14" s="56" t="s">
        <v>4496</v>
      </c>
      <c r="Q14" s="61" t="s">
        <v>394</v>
      </c>
      <c r="R14" s="58" t="s">
        <v>4549</v>
      </c>
      <c r="T14" s="55" t="b">
        <f t="shared" si="1"/>
        <v>1</v>
      </c>
    </row>
    <row r="15" ht="15.0" customHeight="1">
      <c r="A15" s="56" t="s">
        <v>4550</v>
      </c>
      <c r="B15" s="56" t="s">
        <v>4551</v>
      </c>
      <c r="C15" s="57" t="s">
        <v>4552</v>
      </c>
      <c r="D15" s="56" t="s">
        <v>4553</v>
      </c>
      <c r="E15" s="56" t="s">
        <v>4554</v>
      </c>
      <c r="F15" s="56" t="s">
        <v>364</v>
      </c>
      <c r="G15" s="56" t="s">
        <v>365</v>
      </c>
      <c r="H15" s="62" t="s">
        <v>366</v>
      </c>
      <c r="I15" s="59"/>
      <c r="J15" s="56" t="s">
        <v>4499</v>
      </c>
      <c r="K15" s="58">
        <v>1.0</v>
      </c>
      <c r="L15" s="59"/>
      <c r="M15" s="56" t="s">
        <v>4555</v>
      </c>
      <c r="N15" s="56" t="s">
        <v>988</v>
      </c>
      <c r="O15" s="59"/>
      <c r="P15" s="56" t="s">
        <v>4501</v>
      </c>
      <c r="Q15" s="61" t="s">
        <v>373</v>
      </c>
      <c r="R15" s="58" t="s">
        <v>4556</v>
      </c>
      <c r="T15" s="55" t="b">
        <f t="shared" si="1"/>
        <v>0</v>
      </c>
    </row>
    <row r="16" ht="15.0" customHeight="1">
      <c r="A16" s="56" t="s">
        <v>2415</v>
      </c>
      <c r="B16" s="56" t="s">
        <v>2416</v>
      </c>
      <c r="C16" s="57" t="s">
        <v>2417</v>
      </c>
      <c r="D16" s="58">
        <v>5.058833636E9</v>
      </c>
      <c r="E16" s="56" t="s">
        <v>4557</v>
      </c>
      <c r="F16" s="56" t="s">
        <v>399</v>
      </c>
      <c r="G16" s="56" t="s">
        <v>667</v>
      </c>
      <c r="H16" s="62" t="s">
        <v>413</v>
      </c>
      <c r="I16" s="59"/>
      <c r="J16" s="62" t="s">
        <v>381</v>
      </c>
      <c r="K16" s="59"/>
      <c r="L16" s="59"/>
      <c r="M16" s="56" t="s">
        <v>4558</v>
      </c>
      <c r="N16" s="56" t="s">
        <v>3211</v>
      </c>
      <c r="O16" s="59"/>
      <c r="P16" s="56" t="s">
        <v>4496</v>
      </c>
      <c r="Q16" s="61" t="s">
        <v>373</v>
      </c>
      <c r="R16" s="56" t="s">
        <v>4559</v>
      </c>
      <c r="T16" s="55" t="b">
        <f t="shared" si="1"/>
        <v>0</v>
      </c>
    </row>
    <row r="17" ht="15.0" customHeight="1">
      <c r="A17" s="56" t="s">
        <v>63</v>
      </c>
      <c r="B17" s="56" t="s">
        <v>4560</v>
      </c>
      <c r="C17" s="57" t="s">
        <v>494</v>
      </c>
      <c r="D17" s="58">
        <v>5.128353782E9</v>
      </c>
      <c r="E17" s="56" t="s">
        <v>2322</v>
      </c>
      <c r="F17" s="56" t="s">
        <v>399</v>
      </c>
      <c r="G17" s="56" t="s">
        <v>365</v>
      </c>
      <c r="H17" s="62" t="s">
        <v>413</v>
      </c>
      <c r="I17" s="59"/>
      <c r="J17" s="62" t="s">
        <v>497</v>
      </c>
      <c r="K17" s="59"/>
      <c r="L17" s="59"/>
      <c r="M17" s="59"/>
      <c r="N17" s="56" t="s">
        <v>4561</v>
      </c>
      <c r="O17" s="59"/>
      <c r="P17" s="56" t="s">
        <v>4496</v>
      </c>
      <c r="Q17" s="61" t="s">
        <v>373</v>
      </c>
      <c r="R17" s="58" t="s">
        <v>4562</v>
      </c>
      <c r="T17" s="55" t="b">
        <f t="shared" si="1"/>
        <v>0</v>
      </c>
    </row>
    <row r="18" ht="15.0" customHeight="1">
      <c r="A18" s="56" t="s">
        <v>65</v>
      </c>
      <c r="B18" s="56" t="s">
        <v>4563</v>
      </c>
      <c r="C18" s="57" t="s">
        <v>4564</v>
      </c>
      <c r="D18" s="56" t="s">
        <v>4565</v>
      </c>
      <c r="E18" s="56" t="s">
        <v>4566</v>
      </c>
      <c r="F18" s="56" t="s">
        <v>399</v>
      </c>
      <c r="G18" s="56" t="s">
        <v>412</v>
      </c>
      <c r="H18" s="62" t="s">
        <v>513</v>
      </c>
      <c r="I18" s="59"/>
      <c r="J18" s="56" t="s">
        <v>497</v>
      </c>
      <c r="K18" s="58">
        <v>3.0</v>
      </c>
      <c r="L18" s="58">
        <v>3.0</v>
      </c>
      <c r="M18" s="56" t="s">
        <v>4567</v>
      </c>
      <c r="N18" s="56" t="s">
        <v>4568</v>
      </c>
      <c r="O18" s="59"/>
      <c r="P18" s="56" t="s">
        <v>4496</v>
      </c>
      <c r="Q18" s="61" t="s">
        <v>394</v>
      </c>
      <c r="R18" s="58" t="s">
        <v>4569</v>
      </c>
      <c r="T18" s="55" t="b">
        <f t="shared" si="1"/>
        <v>1</v>
      </c>
    </row>
    <row r="19" ht="15.0" customHeight="1">
      <c r="A19" s="56" t="s">
        <v>66</v>
      </c>
      <c r="B19" s="56" t="s">
        <v>508</v>
      </c>
      <c r="C19" s="57" t="s">
        <v>509</v>
      </c>
      <c r="D19" s="58">
        <v>2.146083239E9</v>
      </c>
      <c r="E19" s="56" t="s">
        <v>3627</v>
      </c>
      <c r="F19" s="56" t="s">
        <v>364</v>
      </c>
      <c r="G19" s="56" t="s">
        <v>365</v>
      </c>
      <c r="H19" s="62" t="s">
        <v>513</v>
      </c>
      <c r="I19" s="59"/>
      <c r="J19" s="56" t="s">
        <v>381</v>
      </c>
      <c r="K19" s="58">
        <v>0.0</v>
      </c>
      <c r="L19" s="58">
        <v>0.0</v>
      </c>
      <c r="M19" s="56" t="s">
        <v>4570</v>
      </c>
      <c r="N19" s="56" t="s">
        <v>738</v>
      </c>
      <c r="O19" s="59"/>
      <c r="P19" s="56" t="s">
        <v>4496</v>
      </c>
      <c r="Q19" s="61" t="s">
        <v>373</v>
      </c>
      <c r="R19" s="56" t="s">
        <v>4559</v>
      </c>
      <c r="T19" s="55" t="b">
        <f t="shared" si="1"/>
        <v>1</v>
      </c>
    </row>
    <row r="20" ht="15.0" customHeight="1">
      <c r="A20" s="56" t="s">
        <v>67</v>
      </c>
      <c r="B20" s="56" t="s">
        <v>4571</v>
      </c>
      <c r="C20" s="57" t="s">
        <v>4572</v>
      </c>
      <c r="D20" s="58">
        <v>6.196332539E9</v>
      </c>
      <c r="E20" s="56" t="s">
        <v>3574</v>
      </c>
      <c r="F20" s="56" t="s">
        <v>399</v>
      </c>
      <c r="G20" s="56" t="s">
        <v>667</v>
      </c>
      <c r="H20" s="62" t="s">
        <v>366</v>
      </c>
      <c r="I20" s="59"/>
      <c r="J20" s="62" t="s">
        <v>4573</v>
      </c>
      <c r="K20" s="59"/>
      <c r="L20" s="59"/>
      <c r="M20" s="56" t="s">
        <v>4574</v>
      </c>
      <c r="N20" s="56" t="s">
        <v>1226</v>
      </c>
      <c r="O20" s="59"/>
      <c r="P20" s="56" t="s">
        <v>4501</v>
      </c>
      <c r="Q20" s="61" t="s">
        <v>373</v>
      </c>
      <c r="R20" s="56" t="s">
        <v>4559</v>
      </c>
      <c r="T20" s="55" t="b">
        <f t="shared" si="1"/>
        <v>0</v>
      </c>
    </row>
    <row r="21" ht="15.0" customHeight="1">
      <c r="A21" s="56" t="s">
        <v>68</v>
      </c>
      <c r="B21" s="56" t="s">
        <v>2440</v>
      </c>
      <c r="C21" s="57" t="s">
        <v>524</v>
      </c>
      <c r="D21" s="56" t="s">
        <v>4575</v>
      </c>
      <c r="E21" s="56" t="s">
        <v>4576</v>
      </c>
      <c r="F21" s="56" t="s">
        <v>379</v>
      </c>
      <c r="G21" s="56" t="s">
        <v>365</v>
      </c>
      <c r="H21" s="62" t="s">
        <v>366</v>
      </c>
      <c r="I21" s="59"/>
      <c r="J21" s="62" t="s">
        <v>4506</v>
      </c>
      <c r="K21" s="59"/>
      <c r="L21" s="59"/>
      <c r="M21" s="56" t="s">
        <v>523</v>
      </c>
      <c r="N21" s="56" t="s">
        <v>2161</v>
      </c>
      <c r="O21" s="59"/>
      <c r="P21" s="56" t="s">
        <v>4508</v>
      </c>
      <c r="Q21" s="61" t="s">
        <v>394</v>
      </c>
      <c r="R21" s="58" t="s">
        <v>4577</v>
      </c>
      <c r="T21" s="55" t="b">
        <f t="shared" si="1"/>
        <v>0</v>
      </c>
    </row>
    <row r="22" ht="15.0" customHeight="1">
      <c r="A22" s="56" t="s">
        <v>69</v>
      </c>
      <c r="B22" s="56" t="s">
        <v>4578</v>
      </c>
      <c r="C22" s="57" t="s">
        <v>4579</v>
      </c>
      <c r="D22" s="58">
        <v>3.055076652E9</v>
      </c>
      <c r="E22" s="56" t="s">
        <v>3199</v>
      </c>
      <c r="F22" s="56" t="s">
        <v>399</v>
      </c>
      <c r="G22" s="56" t="s">
        <v>365</v>
      </c>
      <c r="H22" s="62" t="s">
        <v>513</v>
      </c>
      <c r="I22" s="59"/>
      <c r="J22" s="62" t="s">
        <v>4506</v>
      </c>
      <c r="K22" s="59"/>
      <c r="L22" s="59"/>
      <c r="M22" s="59"/>
      <c r="N22" s="56" t="s">
        <v>1453</v>
      </c>
      <c r="O22" s="59"/>
      <c r="P22" s="56" t="s">
        <v>4508</v>
      </c>
      <c r="Q22" s="61" t="s">
        <v>394</v>
      </c>
      <c r="R22" s="58" t="s">
        <v>4580</v>
      </c>
      <c r="T22" s="55" t="b">
        <f t="shared" si="1"/>
        <v>1</v>
      </c>
    </row>
    <row r="23" ht="15.0" customHeight="1">
      <c r="A23" s="56" t="s">
        <v>4581</v>
      </c>
      <c r="B23" s="56" t="s">
        <v>536</v>
      </c>
      <c r="C23" s="57" t="s">
        <v>537</v>
      </c>
      <c r="D23" s="58">
        <v>5.125416445E9</v>
      </c>
      <c r="E23" s="56" t="s">
        <v>2528</v>
      </c>
      <c r="F23" s="56" t="s">
        <v>399</v>
      </c>
      <c r="G23" s="56" t="s">
        <v>365</v>
      </c>
      <c r="H23" s="62" t="s">
        <v>366</v>
      </c>
      <c r="I23" s="59"/>
      <c r="J23" s="56" t="s">
        <v>4499</v>
      </c>
      <c r="K23" s="58">
        <v>0.0</v>
      </c>
      <c r="L23" s="58">
        <v>0.0</v>
      </c>
      <c r="M23" s="56" t="s">
        <v>4582</v>
      </c>
      <c r="N23" s="56" t="s">
        <v>2182</v>
      </c>
      <c r="O23" s="59"/>
      <c r="P23" s="56" t="s">
        <v>4501</v>
      </c>
      <c r="Q23" s="61" t="s">
        <v>394</v>
      </c>
      <c r="R23" s="58" t="s">
        <v>4583</v>
      </c>
      <c r="T23" s="55" t="b">
        <f t="shared" si="1"/>
        <v>0</v>
      </c>
    </row>
    <row r="24" ht="15.0" customHeight="1">
      <c r="A24" s="56" t="s">
        <v>4584</v>
      </c>
      <c r="B24" s="56" t="s">
        <v>4585</v>
      </c>
      <c r="C24" s="57" t="s">
        <v>4586</v>
      </c>
      <c r="D24" s="58">
        <v>7.373140934E9</v>
      </c>
      <c r="E24" s="56" t="s">
        <v>4587</v>
      </c>
      <c r="F24" s="56" t="s">
        <v>399</v>
      </c>
      <c r="G24" s="56" t="s">
        <v>520</v>
      </c>
      <c r="H24" s="62" t="s">
        <v>513</v>
      </c>
      <c r="I24" s="59"/>
      <c r="J24" s="62" t="s">
        <v>483</v>
      </c>
      <c r="K24" s="59"/>
      <c r="L24" s="59"/>
      <c r="M24" s="56" t="s">
        <v>4588</v>
      </c>
      <c r="N24" s="56" t="s">
        <v>2680</v>
      </c>
      <c r="O24" s="59"/>
      <c r="P24" s="56" t="s">
        <v>4496</v>
      </c>
      <c r="Q24" s="61" t="s">
        <v>373</v>
      </c>
      <c r="R24" s="58" t="s">
        <v>4589</v>
      </c>
      <c r="T24" s="55" t="b">
        <f t="shared" si="1"/>
        <v>1</v>
      </c>
    </row>
    <row r="25" ht="15.0" customHeight="1">
      <c r="A25" s="56" t="s">
        <v>73</v>
      </c>
      <c r="B25" s="56" t="s">
        <v>564</v>
      </c>
      <c r="C25" s="57" t="s">
        <v>565</v>
      </c>
      <c r="D25" s="58">
        <v>5.04390835E9</v>
      </c>
      <c r="E25" s="56" t="s">
        <v>2463</v>
      </c>
      <c r="F25" s="56" t="s">
        <v>364</v>
      </c>
      <c r="G25" s="56" t="s">
        <v>365</v>
      </c>
      <c r="H25" s="62" t="s">
        <v>366</v>
      </c>
      <c r="I25" s="59"/>
      <c r="J25" s="62" t="s">
        <v>4499</v>
      </c>
      <c r="K25" s="59"/>
      <c r="L25" s="59"/>
      <c r="M25" s="56" t="s">
        <v>4590</v>
      </c>
      <c r="N25" s="56" t="s">
        <v>4591</v>
      </c>
      <c r="O25" s="59"/>
      <c r="P25" s="56" t="s">
        <v>4501</v>
      </c>
      <c r="Q25" s="61" t="s">
        <v>373</v>
      </c>
      <c r="R25" s="56" t="s">
        <v>4559</v>
      </c>
      <c r="T25" s="55" t="b">
        <f t="shared" si="1"/>
        <v>0</v>
      </c>
    </row>
    <row r="26" ht="15.0" customHeight="1">
      <c r="A26" s="56" t="s">
        <v>74</v>
      </c>
      <c r="B26" s="56" t="s">
        <v>4592</v>
      </c>
      <c r="C26" s="57" t="s">
        <v>4593</v>
      </c>
      <c r="D26" s="58">
        <v>9.723583191E9</v>
      </c>
      <c r="E26" s="56" t="s">
        <v>2286</v>
      </c>
      <c r="F26" s="56" t="s">
        <v>379</v>
      </c>
      <c r="G26" s="56" t="s">
        <v>365</v>
      </c>
      <c r="H26" s="62" t="s">
        <v>413</v>
      </c>
      <c r="I26" s="59"/>
      <c r="J26" s="62" t="s">
        <v>4506</v>
      </c>
      <c r="K26" s="59"/>
      <c r="L26" s="59"/>
      <c r="M26" s="59"/>
      <c r="N26" s="56" t="s">
        <v>1904</v>
      </c>
      <c r="O26" s="59"/>
      <c r="P26" s="56" t="s">
        <v>4508</v>
      </c>
      <c r="Q26" s="61" t="s">
        <v>394</v>
      </c>
      <c r="R26" s="58" t="s">
        <v>4594</v>
      </c>
      <c r="T26" s="55" t="b">
        <f t="shared" si="1"/>
        <v>0</v>
      </c>
    </row>
    <row r="27" ht="15.0" customHeight="1">
      <c r="A27" s="56" t="s">
        <v>290</v>
      </c>
      <c r="B27" s="56" t="s">
        <v>585</v>
      </c>
      <c r="C27" s="57" t="s">
        <v>586</v>
      </c>
      <c r="D27" s="56" t="s">
        <v>4595</v>
      </c>
      <c r="E27" s="56" t="s">
        <v>3391</v>
      </c>
      <c r="F27" s="56" t="s">
        <v>379</v>
      </c>
      <c r="G27" s="56" t="s">
        <v>405</v>
      </c>
      <c r="H27" s="62" t="s">
        <v>413</v>
      </c>
      <c r="I27" s="59"/>
      <c r="J27" s="62" t="s">
        <v>4596</v>
      </c>
      <c r="K27" s="59"/>
      <c r="L27" s="59"/>
      <c r="M27" s="56" t="s">
        <v>4597</v>
      </c>
      <c r="N27" s="56" t="s">
        <v>2771</v>
      </c>
      <c r="O27" s="59"/>
      <c r="P27" s="56" t="s">
        <v>4508</v>
      </c>
      <c r="Q27" s="61" t="s">
        <v>394</v>
      </c>
      <c r="R27" s="58" t="s">
        <v>4598</v>
      </c>
      <c r="T27" s="55" t="b">
        <f t="shared" si="1"/>
        <v>0</v>
      </c>
    </row>
    <row r="28" ht="15.0" customHeight="1">
      <c r="A28" s="56" t="s">
        <v>4599</v>
      </c>
      <c r="B28" s="56" t="s">
        <v>4600</v>
      </c>
      <c r="C28" s="57" t="s">
        <v>4601</v>
      </c>
      <c r="D28" s="56" t="s">
        <v>4602</v>
      </c>
      <c r="E28" s="56" t="s">
        <v>459</v>
      </c>
      <c r="F28" s="56" t="s">
        <v>379</v>
      </c>
      <c r="G28" s="56" t="s">
        <v>412</v>
      </c>
      <c r="H28" s="62" t="s">
        <v>413</v>
      </c>
      <c r="I28" s="59"/>
      <c r="J28" s="56" t="s">
        <v>4506</v>
      </c>
      <c r="K28" s="58">
        <v>3.0</v>
      </c>
      <c r="L28" s="58">
        <v>0.0</v>
      </c>
      <c r="M28" s="59"/>
      <c r="N28" s="58">
        <v>1.0</v>
      </c>
      <c r="O28" s="59"/>
      <c r="P28" s="56" t="s">
        <v>4508</v>
      </c>
      <c r="Q28" s="61" t="s">
        <v>394</v>
      </c>
      <c r="R28" s="58" t="s">
        <v>4603</v>
      </c>
      <c r="T28" s="55" t="b">
        <f t="shared" si="1"/>
        <v>0</v>
      </c>
    </row>
    <row r="29" ht="15.0" customHeight="1">
      <c r="A29" s="56" t="s">
        <v>4604</v>
      </c>
      <c r="B29" s="56" t="s">
        <v>4605</v>
      </c>
      <c r="C29" s="57" t="s">
        <v>4606</v>
      </c>
      <c r="D29" s="58">
        <v>8.324721104E9</v>
      </c>
      <c r="E29" s="56" t="s">
        <v>1554</v>
      </c>
      <c r="F29" s="56" t="s">
        <v>399</v>
      </c>
      <c r="G29" s="56" t="s">
        <v>412</v>
      </c>
      <c r="H29" s="62" t="s">
        <v>366</v>
      </c>
      <c r="I29" s="59"/>
      <c r="J29" s="56" t="s">
        <v>4506</v>
      </c>
      <c r="K29" s="58">
        <v>2.0</v>
      </c>
      <c r="L29" s="59"/>
      <c r="M29" s="56" t="s">
        <v>4607</v>
      </c>
      <c r="N29" s="56" t="s">
        <v>4084</v>
      </c>
      <c r="O29" s="59"/>
      <c r="P29" s="56" t="s">
        <v>4508</v>
      </c>
      <c r="Q29" s="61" t="s">
        <v>394</v>
      </c>
      <c r="R29" s="58" t="s">
        <v>4608</v>
      </c>
      <c r="T29" s="55" t="b">
        <f t="shared" si="1"/>
        <v>0</v>
      </c>
    </row>
    <row r="30" ht="15.0" customHeight="1">
      <c r="A30" s="56" t="s">
        <v>4609</v>
      </c>
      <c r="B30" s="56" t="s">
        <v>4610</v>
      </c>
      <c r="C30" s="57" t="s">
        <v>4611</v>
      </c>
      <c r="D30" s="58">
        <v>3.852683269E9</v>
      </c>
      <c r="E30" s="56" t="s">
        <v>4612</v>
      </c>
      <c r="F30" s="56" t="s">
        <v>399</v>
      </c>
      <c r="G30" s="56" t="s">
        <v>380</v>
      </c>
      <c r="H30" s="62" t="s">
        <v>413</v>
      </c>
      <c r="I30" s="59"/>
      <c r="J30" s="56" t="s">
        <v>381</v>
      </c>
      <c r="K30" s="58">
        <v>2.0</v>
      </c>
      <c r="L30" s="58">
        <v>2.0</v>
      </c>
      <c r="M30" s="56" t="s">
        <v>4613</v>
      </c>
      <c r="N30" s="56" t="s">
        <v>4614</v>
      </c>
      <c r="O30" s="59"/>
      <c r="P30" s="56" t="s">
        <v>4496</v>
      </c>
      <c r="Q30" s="61" t="s">
        <v>394</v>
      </c>
      <c r="R30" s="58" t="s">
        <v>4615</v>
      </c>
      <c r="T30" s="55" t="b">
        <f t="shared" si="1"/>
        <v>0</v>
      </c>
    </row>
    <row r="31" ht="15.0" customHeight="1">
      <c r="A31" s="56" t="s">
        <v>75</v>
      </c>
      <c r="B31" s="56" t="s">
        <v>2490</v>
      </c>
      <c r="C31" s="57" t="s">
        <v>599</v>
      </c>
      <c r="D31" s="56" t="s">
        <v>4616</v>
      </c>
      <c r="E31" s="56" t="s">
        <v>2491</v>
      </c>
      <c r="F31" s="56" t="s">
        <v>379</v>
      </c>
      <c r="G31" s="56" t="s">
        <v>380</v>
      </c>
      <c r="H31" s="62" t="s">
        <v>366</v>
      </c>
      <c r="I31" s="59"/>
      <c r="J31" s="62" t="s">
        <v>4499</v>
      </c>
      <c r="K31" s="59"/>
      <c r="L31" s="59"/>
      <c r="M31" s="56" t="s">
        <v>4617</v>
      </c>
      <c r="N31" s="56" t="s">
        <v>506</v>
      </c>
      <c r="O31" s="59"/>
      <c r="P31" s="56" t="s">
        <v>4501</v>
      </c>
      <c r="Q31" s="61" t="s">
        <v>373</v>
      </c>
      <c r="R31" s="56" t="s">
        <v>4559</v>
      </c>
      <c r="T31" s="55" t="b">
        <f t="shared" si="1"/>
        <v>0</v>
      </c>
    </row>
    <row r="32" ht="15.0" customHeight="1">
      <c r="A32" s="56" t="s">
        <v>77</v>
      </c>
      <c r="B32" s="56" t="s">
        <v>608</v>
      </c>
      <c r="C32" s="57" t="s">
        <v>609</v>
      </c>
      <c r="D32" s="58">
        <v>8.32374545E9</v>
      </c>
      <c r="E32" s="56" t="s">
        <v>2528</v>
      </c>
      <c r="F32" s="56" t="s">
        <v>364</v>
      </c>
      <c r="G32" s="56" t="s">
        <v>380</v>
      </c>
      <c r="H32" s="62" t="s">
        <v>366</v>
      </c>
      <c r="I32" s="59"/>
      <c r="J32" s="56" t="s">
        <v>497</v>
      </c>
      <c r="K32" s="58">
        <v>1.0</v>
      </c>
      <c r="L32" s="58">
        <v>1.0</v>
      </c>
      <c r="M32" s="59"/>
      <c r="N32" s="56" t="s">
        <v>4618</v>
      </c>
      <c r="O32" s="59"/>
      <c r="P32" s="56" t="s">
        <v>4496</v>
      </c>
      <c r="Q32" s="61" t="s">
        <v>373</v>
      </c>
      <c r="R32" s="58" t="s">
        <v>4619</v>
      </c>
      <c r="T32" s="55" t="b">
        <f t="shared" si="1"/>
        <v>0</v>
      </c>
    </row>
    <row r="33" ht="15.0" customHeight="1">
      <c r="A33" s="56" t="s">
        <v>328</v>
      </c>
      <c r="B33" s="56" t="s">
        <v>4620</v>
      </c>
      <c r="C33" s="57" t="s">
        <v>4621</v>
      </c>
      <c r="D33" s="58">
        <v>9.017063849E9</v>
      </c>
      <c r="E33" s="56" t="s">
        <v>4622</v>
      </c>
      <c r="F33" s="56" t="s">
        <v>379</v>
      </c>
      <c r="G33" s="56" t="s">
        <v>365</v>
      </c>
      <c r="H33" s="62" t="s">
        <v>366</v>
      </c>
      <c r="I33" s="59"/>
      <c r="J33" s="62" t="s">
        <v>4596</v>
      </c>
      <c r="K33" s="59"/>
      <c r="L33" s="59"/>
      <c r="M33" s="56" t="s">
        <v>4623</v>
      </c>
      <c r="N33" s="56" t="s">
        <v>3979</v>
      </c>
      <c r="O33" s="59"/>
      <c r="P33" s="56" t="s">
        <v>4508</v>
      </c>
      <c r="Q33" s="61" t="s">
        <v>394</v>
      </c>
      <c r="R33" s="58" t="s">
        <v>4624</v>
      </c>
      <c r="T33" s="55" t="b">
        <f t="shared" si="1"/>
        <v>0</v>
      </c>
    </row>
    <row r="34" ht="15.0" customHeight="1">
      <c r="A34" s="56" t="s">
        <v>4625</v>
      </c>
      <c r="B34" s="56" t="s">
        <v>4626</v>
      </c>
      <c r="C34" s="57" t="s">
        <v>4627</v>
      </c>
      <c r="D34" s="56" t="s">
        <v>4628</v>
      </c>
      <c r="E34" s="56" t="s">
        <v>2286</v>
      </c>
      <c r="F34" s="56" t="s">
        <v>379</v>
      </c>
      <c r="G34" s="56" t="s">
        <v>365</v>
      </c>
      <c r="H34" s="62" t="s">
        <v>413</v>
      </c>
      <c r="I34" s="59"/>
      <c r="J34" s="62" t="s">
        <v>4506</v>
      </c>
      <c r="K34" s="59"/>
      <c r="L34" s="59"/>
      <c r="M34" s="56" t="s">
        <v>4629</v>
      </c>
      <c r="N34" s="56" t="s">
        <v>1037</v>
      </c>
      <c r="O34" s="59"/>
      <c r="P34" s="56" t="s">
        <v>4508</v>
      </c>
      <c r="Q34" s="61" t="s">
        <v>394</v>
      </c>
      <c r="R34" s="56" t="s">
        <v>4559</v>
      </c>
      <c r="T34" s="55" t="b">
        <f t="shared" si="1"/>
        <v>0</v>
      </c>
    </row>
    <row r="35" ht="15.0" customHeight="1">
      <c r="A35" s="56" t="s">
        <v>80</v>
      </c>
      <c r="B35" s="56" t="s">
        <v>626</v>
      </c>
      <c r="C35" s="57" t="s">
        <v>2548</v>
      </c>
      <c r="D35" s="56" t="s">
        <v>4630</v>
      </c>
      <c r="E35" s="56" t="s">
        <v>2582</v>
      </c>
      <c r="F35" s="56" t="s">
        <v>379</v>
      </c>
      <c r="G35" s="56" t="s">
        <v>365</v>
      </c>
      <c r="H35" s="62" t="s">
        <v>366</v>
      </c>
      <c r="I35" s="59"/>
      <c r="J35" s="62" t="s">
        <v>497</v>
      </c>
      <c r="K35" s="59"/>
      <c r="L35" s="59"/>
      <c r="M35" s="59"/>
      <c r="N35" s="56" t="s">
        <v>4436</v>
      </c>
      <c r="O35" s="59"/>
      <c r="P35" s="56" t="s">
        <v>4496</v>
      </c>
      <c r="Q35" s="61" t="s">
        <v>373</v>
      </c>
      <c r="R35" s="58" t="s">
        <v>4631</v>
      </c>
      <c r="T35" s="55" t="b">
        <f t="shared" si="1"/>
        <v>0</v>
      </c>
    </row>
    <row r="36" ht="15.0" customHeight="1">
      <c r="A36" s="56" t="s">
        <v>4632</v>
      </c>
      <c r="B36" s="56" t="s">
        <v>903</v>
      </c>
      <c r="C36" s="57" t="s">
        <v>904</v>
      </c>
      <c r="D36" s="56" t="s">
        <v>4633</v>
      </c>
      <c r="E36" s="56" t="s">
        <v>2286</v>
      </c>
      <c r="F36" s="56" t="s">
        <v>379</v>
      </c>
      <c r="G36" s="56" t="s">
        <v>667</v>
      </c>
      <c r="H36" s="62" t="s">
        <v>869</v>
      </c>
      <c r="I36" s="59"/>
      <c r="J36" s="56" t="s">
        <v>4499</v>
      </c>
      <c r="K36" s="58">
        <v>0.0</v>
      </c>
      <c r="L36" s="58">
        <v>2.0</v>
      </c>
      <c r="M36" s="56" t="s">
        <v>4634</v>
      </c>
      <c r="N36" s="56" t="s">
        <v>2281</v>
      </c>
      <c r="O36" s="59"/>
      <c r="P36" s="56" t="s">
        <v>4501</v>
      </c>
      <c r="Q36" s="61" t="s">
        <v>373</v>
      </c>
      <c r="R36" s="58" t="s">
        <v>4635</v>
      </c>
      <c r="T36" s="55" t="b">
        <f t="shared" si="1"/>
        <v>0</v>
      </c>
    </row>
    <row r="37" ht="15.0" customHeight="1">
      <c r="A37" s="56" t="s">
        <v>81</v>
      </c>
      <c r="B37" s="56" t="s">
        <v>4636</v>
      </c>
      <c r="C37" s="57" t="s">
        <v>4637</v>
      </c>
      <c r="D37" s="56" t="s">
        <v>4638</v>
      </c>
      <c r="E37" s="56" t="s">
        <v>4639</v>
      </c>
      <c r="F37" s="56" t="s">
        <v>399</v>
      </c>
      <c r="G37" s="56" t="s">
        <v>365</v>
      </c>
      <c r="H37" s="62" t="s">
        <v>513</v>
      </c>
      <c r="I37" s="59"/>
      <c r="J37" s="62" t="s">
        <v>4499</v>
      </c>
      <c r="K37" s="59"/>
      <c r="L37" s="59"/>
      <c r="M37" s="59"/>
      <c r="N37" s="56" t="s">
        <v>484</v>
      </c>
      <c r="O37" s="59"/>
      <c r="P37" s="56" t="s">
        <v>4501</v>
      </c>
      <c r="Q37" s="61" t="s">
        <v>373</v>
      </c>
      <c r="R37" s="58" t="s">
        <v>4640</v>
      </c>
      <c r="T37" s="55" t="b">
        <f t="shared" si="1"/>
        <v>1</v>
      </c>
    </row>
    <row r="38" ht="15.0" customHeight="1">
      <c r="A38" s="56" t="s">
        <v>4641</v>
      </c>
      <c r="B38" s="56" t="s">
        <v>4642</v>
      </c>
      <c r="C38" s="57" t="s">
        <v>4643</v>
      </c>
      <c r="D38" s="58">
        <v>9.364417833E9</v>
      </c>
      <c r="E38" s="56" t="s">
        <v>2286</v>
      </c>
      <c r="F38" s="56" t="s">
        <v>379</v>
      </c>
      <c r="G38" s="56" t="s">
        <v>380</v>
      </c>
      <c r="H38" s="62" t="s">
        <v>413</v>
      </c>
      <c r="I38" s="59"/>
      <c r="J38" s="62" t="s">
        <v>381</v>
      </c>
      <c r="K38" s="59"/>
      <c r="L38" s="59"/>
      <c r="M38" s="56" t="s">
        <v>4644</v>
      </c>
      <c r="N38" s="56" t="s">
        <v>2022</v>
      </c>
      <c r="O38" s="59"/>
      <c r="P38" s="56" t="s">
        <v>4496</v>
      </c>
      <c r="Q38" s="61" t="s">
        <v>373</v>
      </c>
      <c r="R38" s="58" t="s">
        <v>4645</v>
      </c>
      <c r="T38" s="55" t="b">
        <f t="shared" si="1"/>
        <v>0</v>
      </c>
    </row>
    <row r="39" ht="15.0" customHeight="1">
      <c r="A39" s="56" t="s">
        <v>4646</v>
      </c>
      <c r="B39" s="56" t="s">
        <v>4647</v>
      </c>
      <c r="C39" s="57" t="s">
        <v>4648</v>
      </c>
      <c r="D39" s="56" t="s">
        <v>4649</v>
      </c>
      <c r="E39" s="56" t="s">
        <v>4650</v>
      </c>
      <c r="F39" s="56" t="s">
        <v>364</v>
      </c>
      <c r="G39" s="56" t="s">
        <v>822</v>
      </c>
      <c r="H39" s="62" t="s">
        <v>869</v>
      </c>
      <c r="I39" s="59"/>
      <c r="J39" s="62" t="s">
        <v>4499</v>
      </c>
      <c r="K39" s="59"/>
      <c r="L39" s="59"/>
      <c r="M39" s="56" t="s">
        <v>4651</v>
      </c>
      <c r="N39" s="56" t="s">
        <v>3601</v>
      </c>
      <c r="O39" s="59"/>
      <c r="P39" s="56" t="s">
        <v>4508</v>
      </c>
      <c r="Q39" s="61" t="s">
        <v>373</v>
      </c>
      <c r="R39" s="56" t="s">
        <v>4559</v>
      </c>
      <c r="T39" s="55" t="b">
        <f t="shared" si="1"/>
        <v>0</v>
      </c>
    </row>
    <row r="40" ht="15.0" customHeight="1">
      <c r="A40" s="56" t="s">
        <v>291</v>
      </c>
      <c r="B40" s="56" t="s">
        <v>664</v>
      </c>
      <c r="C40" s="57" t="s">
        <v>2577</v>
      </c>
      <c r="D40" s="56" t="s">
        <v>4652</v>
      </c>
      <c r="E40" s="56" t="s">
        <v>2286</v>
      </c>
      <c r="F40" s="56" t="s">
        <v>364</v>
      </c>
      <c r="G40" s="56" t="s">
        <v>667</v>
      </c>
      <c r="H40" s="62" t="s">
        <v>366</v>
      </c>
      <c r="I40" s="59"/>
      <c r="J40" s="62" t="s">
        <v>4499</v>
      </c>
      <c r="K40" s="59"/>
      <c r="L40" s="59"/>
      <c r="M40" s="56" t="s">
        <v>4653</v>
      </c>
      <c r="N40" s="56" t="s">
        <v>1849</v>
      </c>
      <c r="O40" s="59"/>
      <c r="P40" s="56" t="s">
        <v>4501</v>
      </c>
      <c r="Q40" s="61" t="s">
        <v>373</v>
      </c>
      <c r="R40" s="56" t="s">
        <v>4559</v>
      </c>
      <c r="T40" s="55" t="b">
        <f t="shared" si="1"/>
        <v>0</v>
      </c>
    </row>
    <row r="41" ht="15.0" customHeight="1">
      <c r="A41" s="56" t="s">
        <v>84</v>
      </c>
      <c r="B41" s="56" t="s">
        <v>4654</v>
      </c>
      <c r="C41" s="57" t="s">
        <v>4655</v>
      </c>
      <c r="D41" s="58">
        <v>1.7323133451E10</v>
      </c>
      <c r="E41" s="56" t="s">
        <v>3333</v>
      </c>
      <c r="F41" s="56" t="s">
        <v>364</v>
      </c>
      <c r="G41" s="56" t="s">
        <v>365</v>
      </c>
      <c r="H41" s="62" t="s">
        <v>513</v>
      </c>
      <c r="I41" s="59"/>
      <c r="J41" s="62" t="s">
        <v>4499</v>
      </c>
      <c r="K41" s="59"/>
      <c r="L41" s="59"/>
      <c r="M41" s="59"/>
      <c r="N41" s="56" t="s">
        <v>1031</v>
      </c>
      <c r="O41" s="59"/>
      <c r="P41" s="56" t="s">
        <v>4501</v>
      </c>
      <c r="Q41" s="61" t="s">
        <v>373</v>
      </c>
      <c r="R41" s="58" t="s">
        <v>4656</v>
      </c>
      <c r="T41" s="55" t="b">
        <f t="shared" si="1"/>
        <v>1</v>
      </c>
    </row>
    <row r="42" ht="15.0" customHeight="1">
      <c r="A42" s="56" t="s">
        <v>4657</v>
      </c>
      <c r="B42" s="56" t="s">
        <v>4658</v>
      </c>
      <c r="C42" s="57" t="s">
        <v>4659</v>
      </c>
      <c r="D42" s="56" t="s">
        <v>4660</v>
      </c>
      <c r="E42" s="56" t="s">
        <v>2286</v>
      </c>
      <c r="F42" s="56" t="s">
        <v>364</v>
      </c>
      <c r="G42" s="56" t="s">
        <v>667</v>
      </c>
      <c r="H42" s="62" t="s">
        <v>513</v>
      </c>
      <c r="I42" s="59"/>
      <c r="J42" s="62" t="s">
        <v>4499</v>
      </c>
      <c r="K42" s="59"/>
      <c r="L42" s="59"/>
      <c r="M42" s="56" t="s">
        <v>4661</v>
      </c>
      <c r="N42" s="56" t="s">
        <v>1031</v>
      </c>
      <c r="O42" s="59"/>
      <c r="P42" s="56" t="s">
        <v>4501</v>
      </c>
      <c r="Q42" s="61" t="s">
        <v>373</v>
      </c>
      <c r="R42" s="56" t="s">
        <v>4559</v>
      </c>
      <c r="T42" s="55" t="b">
        <f t="shared" si="1"/>
        <v>1</v>
      </c>
    </row>
    <row r="43" ht="15.0" customHeight="1">
      <c r="A43" s="56" t="s">
        <v>85</v>
      </c>
      <c r="B43" s="56" t="s">
        <v>4662</v>
      </c>
      <c r="C43" s="57" t="s">
        <v>4663</v>
      </c>
      <c r="D43" s="58">
        <v>8.17201995E9</v>
      </c>
      <c r="E43" s="56" t="s">
        <v>4664</v>
      </c>
      <c r="F43" s="56" t="s">
        <v>379</v>
      </c>
      <c r="G43" s="56" t="s">
        <v>380</v>
      </c>
      <c r="H43" s="62" t="s">
        <v>413</v>
      </c>
      <c r="I43" s="59"/>
      <c r="J43" s="62" t="s">
        <v>4506</v>
      </c>
      <c r="K43" s="59"/>
      <c r="L43" s="59"/>
      <c r="M43" s="59"/>
      <c r="N43" s="56" t="s">
        <v>477</v>
      </c>
      <c r="O43" s="59"/>
      <c r="P43" s="56" t="s">
        <v>4508</v>
      </c>
      <c r="Q43" s="61" t="s">
        <v>394</v>
      </c>
      <c r="R43" s="58" t="s">
        <v>4665</v>
      </c>
      <c r="T43" s="55" t="b">
        <f t="shared" si="1"/>
        <v>0</v>
      </c>
    </row>
    <row r="44" ht="15.0" customHeight="1">
      <c r="A44" s="56" t="s">
        <v>86</v>
      </c>
      <c r="B44" s="56" t="s">
        <v>680</v>
      </c>
      <c r="C44" s="57" t="s">
        <v>681</v>
      </c>
      <c r="D44" s="56" t="s">
        <v>4666</v>
      </c>
      <c r="E44" s="56" t="s">
        <v>4667</v>
      </c>
      <c r="F44" s="56" t="s">
        <v>379</v>
      </c>
      <c r="G44" s="56" t="s">
        <v>365</v>
      </c>
      <c r="H44" s="62" t="s">
        <v>366</v>
      </c>
      <c r="I44" s="59"/>
      <c r="J44" s="62" t="s">
        <v>4573</v>
      </c>
      <c r="K44" s="59"/>
      <c r="L44" s="59"/>
      <c r="M44" s="56" t="s">
        <v>4668</v>
      </c>
      <c r="N44" s="56" t="s">
        <v>1695</v>
      </c>
      <c r="O44" s="59"/>
      <c r="P44" s="56" t="s">
        <v>4501</v>
      </c>
      <c r="Q44" s="61" t="s">
        <v>373</v>
      </c>
      <c r="R44" s="58" t="s">
        <v>4669</v>
      </c>
      <c r="T44" s="55" t="b">
        <f t="shared" si="1"/>
        <v>0</v>
      </c>
    </row>
    <row r="45" ht="15.0" customHeight="1">
      <c r="A45" s="56" t="s">
        <v>4670</v>
      </c>
      <c r="B45" s="56" t="s">
        <v>4671</v>
      </c>
      <c r="C45" s="57" t="s">
        <v>4672</v>
      </c>
      <c r="D45" s="56" t="s">
        <v>4673</v>
      </c>
      <c r="E45" s="56" t="s">
        <v>2938</v>
      </c>
      <c r="F45" s="56" t="s">
        <v>379</v>
      </c>
      <c r="G45" s="56" t="s">
        <v>412</v>
      </c>
      <c r="H45" s="62" t="s">
        <v>413</v>
      </c>
      <c r="I45" s="59"/>
      <c r="J45" s="62" t="s">
        <v>4506</v>
      </c>
      <c r="K45" s="59"/>
      <c r="L45" s="59"/>
      <c r="M45" s="56" t="s">
        <v>4674</v>
      </c>
      <c r="N45" s="56" t="s">
        <v>1172</v>
      </c>
      <c r="O45" s="59"/>
      <c r="P45" s="56" t="s">
        <v>4508</v>
      </c>
      <c r="Q45" s="61" t="s">
        <v>394</v>
      </c>
      <c r="R45" s="58" t="s">
        <v>4675</v>
      </c>
      <c r="T45" s="55" t="b">
        <f t="shared" si="1"/>
        <v>0</v>
      </c>
    </row>
    <row r="46" ht="15.0" customHeight="1">
      <c r="A46" s="56" t="s">
        <v>87</v>
      </c>
      <c r="B46" s="56" t="s">
        <v>4676</v>
      </c>
      <c r="C46" s="57" t="s">
        <v>4677</v>
      </c>
      <c r="D46" s="68" t="s">
        <v>4156</v>
      </c>
      <c r="E46" s="56" t="s">
        <v>4678</v>
      </c>
      <c r="F46" s="56" t="s">
        <v>364</v>
      </c>
      <c r="G46" s="56" t="s">
        <v>380</v>
      </c>
      <c r="H46" s="62" t="s">
        <v>366</v>
      </c>
      <c r="I46" s="59"/>
      <c r="J46" s="62" t="s">
        <v>4506</v>
      </c>
      <c r="K46" s="59"/>
      <c r="L46" s="59"/>
      <c r="M46" s="56" t="s">
        <v>4679</v>
      </c>
      <c r="N46" s="56" t="s">
        <v>4680</v>
      </c>
      <c r="O46" s="59"/>
      <c r="P46" s="56" t="s">
        <v>4508</v>
      </c>
      <c r="Q46" s="61" t="s">
        <v>394</v>
      </c>
      <c r="R46" s="56" t="s">
        <v>4559</v>
      </c>
      <c r="T46" s="55" t="b">
        <f t="shared" si="1"/>
        <v>0</v>
      </c>
    </row>
    <row r="47" ht="15.0" customHeight="1">
      <c r="A47" s="56" t="s">
        <v>2600</v>
      </c>
      <c r="B47" s="56" t="s">
        <v>2601</v>
      </c>
      <c r="C47" s="57" t="s">
        <v>2602</v>
      </c>
      <c r="D47" s="58">
        <v>9.182153859E9</v>
      </c>
      <c r="E47" s="56" t="s">
        <v>4681</v>
      </c>
      <c r="F47" s="56" t="s">
        <v>379</v>
      </c>
      <c r="G47" s="56" t="s">
        <v>365</v>
      </c>
      <c r="H47" s="62" t="s">
        <v>366</v>
      </c>
      <c r="I47" s="59"/>
      <c r="J47" s="62" t="s">
        <v>381</v>
      </c>
      <c r="K47" s="59"/>
      <c r="L47" s="59"/>
      <c r="M47" s="56" t="s">
        <v>2601</v>
      </c>
      <c r="N47" s="56" t="s">
        <v>2174</v>
      </c>
      <c r="O47" s="59"/>
      <c r="P47" s="56" t="s">
        <v>4496</v>
      </c>
      <c r="Q47" s="61" t="s">
        <v>373</v>
      </c>
      <c r="R47" s="58" t="s">
        <v>4682</v>
      </c>
      <c r="T47" s="55" t="b">
        <f t="shared" si="1"/>
        <v>0</v>
      </c>
    </row>
    <row r="48" ht="15.0" customHeight="1">
      <c r="A48" s="56" t="s">
        <v>4683</v>
      </c>
      <c r="B48" s="56" t="s">
        <v>4684</v>
      </c>
      <c r="C48" s="57" t="s">
        <v>4685</v>
      </c>
      <c r="D48" s="56" t="s">
        <v>4686</v>
      </c>
      <c r="E48" s="56" t="s">
        <v>2287</v>
      </c>
      <c r="F48" s="56" t="s">
        <v>364</v>
      </c>
      <c r="G48" s="56" t="s">
        <v>365</v>
      </c>
      <c r="H48" s="62" t="s">
        <v>366</v>
      </c>
      <c r="I48" s="59"/>
      <c r="J48" s="56" t="s">
        <v>4499</v>
      </c>
      <c r="K48" s="58">
        <v>1.0</v>
      </c>
      <c r="L48" s="59"/>
      <c r="M48" s="59"/>
      <c r="N48" s="56" t="s">
        <v>4687</v>
      </c>
      <c r="O48" s="59"/>
      <c r="P48" s="56" t="s">
        <v>4501</v>
      </c>
      <c r="Q48" s="61" t="s">
        <v>394</v>
      </c>
      <c r="R48" s="58" t="s">
        <v>4688</v>
      </c>
      <c r="T48" s="55" t="b">
        <f t="shared" si="1"/>
        <v>0</v>
      </c>
    </row>
    <row r="49" ht="15.0" customHeight="1">
      <c r="A49" s="56" t="s">
        <v>292</v>
      </c>
      <c r="B49" s="56" t="s">
        <v>4689</v>
      </c>
      <c r="C49" s="57" t="s">
        <v>687</v>
      </c>
      <c r="D49" s="58">
        <v>9.56983647E9</v>
      </c>
      <c r="E49" s="56" t="s">
        <v>4690</v>
      </c>
      <c r="F49" s="56" t="s">
        <v>399</v>
      </c>
      <c r="G49" s="56" t="s">
        <v>365</v>
      </c>
      <c r="H49" s="62" t="s">
        <v>413</v>
      </c>
      <c r="I49" s="59"/>
      <c r="J49" s="56" t="s">
        <v>4691</v>
      </c>
      <c r="K49" s="58">
        <v>0.0</v>
      </c>
      <c r="L49" s="59"/>
      <c r="M49" s="59"/>
      <c r="N49" s="56" t="s">
        <v>4276</v>
      </c>
      <c r="O49" s="59"/>
      <c r="P49" s="56" t="s">
        <v>4501</v>
      </c>
      <c r="Q49" s="61" t="s">
        <v>373</v>
      </c>
      <c r="R49" s="56" t="s">
        <v>4559</v>
      </c>
      <c r="T49" s="55" t="b">
        <f t="shared" si="1"/>
        <v>0</v>
      </c>
    </row>
    <row r="50" ht="15.0" customHeight="1">
      <c r="A50" s="56" t="s">
        <v>88</v>
      </c>
      <c r="B50" s="56" t="s">
        <v>693</v>
      </c>
      <c r="C50" s="57" t="s">
        <v>694</v>
      </c>
      <c r="D50" s="56" t="s">
        <v>4692</v>
      </c>
      <c r="E50" s="56" t="s">
        <v>4693</v>
      </c>
      <c r="F50" s="56" t="s">
        <v>399</v>
      </c>
      <c r="G50" s="56" t="s">
        <v>365</v>
      </c>
      <c r="H50" s="62" t="s">
        <v>366</v>
      </c>
      <c r="I50" s="59"/>
      <c r="J50" s="62" t="s">
        <v>4499</v>
      </c>
      <c r="K50" s="59"/>
      <c r="L50" s="59"/>
      <c r="M50" s="56" t="s">
        <v>4694</v>
      </c>
      <c r="N50" s="56" t="s">
        <v>4695</v>
      </c>
      <c r="O50" s="59"/>
      <c r="P50" s="56" t="s">
        <v>4501</v>
      </c>
      <c r="Q50" s="61" t="s">
        <v>373</v>
      </c>
      <c r="R50" s="58" t="s">
        <v>4696</v>
      </c>
      <c r="T50" s="55" t="b">
        <f t="shared" si="1"/>
        <v>0</v>
      </c>
    </row>
    <row r="51" ht="15.0" customHeight="1">
      <c r="A51" s="56" t="s">
        <v>4697</v>
      </c>
      <c r="B51" s="56" t="s">
        <v>2611</v>
      </c>
      <c r="C51" s="57" t="s">
        <v>2612</v>
      </c>
      <c r="D51" s="56" t="s">
        <v>4698</v>
      </c>
      <c r="E51" s="56" t="s">
        <v>2614</v>
      </c>
      <c r="F51" s="56" t="s">
        <v>399</v>
      </c>
      <c r="G51" s="56" t="s">
        <v>365</v>
      </c>
      <c r="H51" s="62" t="s">
        <v>413</v>
      </c>
      <c r="I51" s="59"/>
      <c r="J51" s="62" t="s">
        <v>4499</v>
      </c>
      <c r="K51" s="59"/>
      <c r="L51" s="59"/>
      <c r="M51" s="56" t="s">
        <v>4699</v>
      </c>
      <c r="N51" s="56" t="s">
        <v>691</v>
      </c>
      <c r="O51" s="59"/>
      <c r="P51" s="56" t="s">
        <v>4501</v>
      </c>
      <c r="Q51" s="61" t="s">
        <v>373</v>
      </c>
      <c r="R51" s="58" t="s">
        <v>4700</v>
      </c>
      <c r="T51" s="55" t="b">
        <f t="shared" si="1"/>
        <v>0</v>
      </c>
    </row>
    <row r="52" ht="15.0" customHeight="1">
      <c r="A52" s="56" t="s">
        <v>89</v>
      </c>
      <c r="B52" s="56" t="s">
        <v>700</v>
      </c>
      <c r="C52" s="57" t="s">
        <v>701</v>
      </c>
      <c r="D52" s="58">
        <v>8.166057873E9</v>
      </c>
      <c r="E52" s="56" t="s">
        <v>4701</v>
      </c>
      <c r="F52" s="56" t="s">
        <v>364</v>
      </c>
      <c r="G52" s="56" t="s">
        <v>380</v>
      </c>
      <c r="H52" s="62" t="s">
        <v>413</v>
      </c>
      <c r="I52" s="59"/>
      <c r="J52" s="56" t="s">
        <v>4691</v>
      </c>
      <c r="K52" s="58">
        <v>0.0</v>
      </c>
      <c r="L52" s="58">
        <v>0.0</v>
      </c>
      <c r="M52" s="59"/>
      <c r="N52" s="56" t="s">
        <v>1240</v>
      </c>
      <c r="O52" s="59"/>
      <c r="P52" s="56" t="s">
        <v>4501</v>
      </c>
      <c r="Q52" s="61" t="s">
        <v>373</v>
      </c>
      <c r="R52" s="58" t="s">
        <v>4702</v>
      </c>
      <c r="T52" s="55" t="b">
        <f t="shared" si="1"/>
        <v>0</v>
      </c>
    </row>
    <row r="53" ht="15.0" customHeight="1">
      <c r="A53" s="56" t="s">
        <v>293</v>
      </c>
      <c r="B53" s="56" t="s">
        <v>705</v>
      </c>
      <c r="C53" s="57" t="s">
        <v>706</v>
      </c>
      <c r="D53" s="58">
        <v>9.798628843E9</v>
      </c>
      <c r="E53" s="56" t="s">
        <v>2528</v>
      </c>
      <c r="F53" s="56" t="s">
        <v>399</v>
      </c>
      <c r="G53" s="56" t="s">
        <v>710</v>
      </c>
      <c r="H53" s="62" t="s">
        <v>366</v>
      </c>
      <c r="I53" s="59"/>
      <c r="J53" s="56" t="s">
        <v>4499</v>
      </c>
      <c r="K53" s="58">
        <v>0.0</v>
      </c>
      <c r="L53" s="58">
        <v>0.0</v>
      </c>
      <c r="M53" s="56" t="s">
        <v>4703</v>
      </c>
      <c r="N53" s="56" t="s">
        <v>1152</v>
      </c>
      <c r="O53" s="59"/>
      <c r="P53" s="56" t="s">
        <v>4501</v>
      </c>
      <c r="Q53" s="61" t="s">
        <v>373</v>
      </c>
      <c r="R53" s="58" t="s">
        <v>4704</v>
      </c>
      <c r="T53" s="55" t="b">
        <f t="shared" si="1"/>
        <v>0</v>
      </c>
    </row>
    <row r="54" ht="15.0" customHeight="1">
      <c r="A54" s="56" t="s">
        <v>329</v>
      </c>
      <c r="B54" s="56" t="s">
        <v>713</v>
      </c>
      <c r="C54" s="57" t="s">
        <v>714</v>
      </c>
      <c r="D54" s="56" t="s">
        <v>4705</v>
      </c>
      <c r="E54" s="56" t="s">
        <v>4706</v>
      </c>
      <c r="F54" s="56" t="s">
        <v>379</v>
      </c>
      <c r="G54" s="56" t="s">
        <v>822</v>
      </c>
      <c r="H54" s="62" t="s">
        <v>366</v>
      </c>
      <c r="I54" s="59"/>
      <c r="J54" s="56" t="s">
        <v>4506</v>
      </c>
      <c r="K54" s="58">
        <v>2.0</v>
      </c>
      <c r="L54" s="59"/>
      <c r="M54" s="59"/>
      <c r="N54" s="59"/>
      <c r="O54" s="59"/>
      <c r="P54" s="56" t="s">
        <v>4508</v>
      </c>
      <c r="Q54" s="61" t="s">
        <v>394</v>
      </c>
      <c r="R54" s="58" t="s">
        <v>4707</v>
      </c>
      <c r="T54" s="55" t="b">
        <f t="shared" si="1"/>
        <v>0</v>
      </c>
    </row>
    <row r="55" ht="15.0" customHeight="1">
      <c r="A55" s="56" t="s">
        <v>90</v>
      </c>
      <c r="B55" s="56" t="s">
        <v>720</v>
      </c>
      <c r="C55" s="57" t="s">
        <v>4708</v>
      </c>
      <c r="D55" s="58">
        <v>4.088020034E9</v>
      </c>
      <c r="E55" s="56" t="s">
        <v>2282</v>
      </c>
      <c r="F55" s="56" t="s">
        <v>399</v>
      </c>
      <c r="G55" s="56" t="s">
        <v>365</v>
      </c>
      <c r="H55" s="62" t="s">
        <v>513</v>
      </c>
      <c r="I55" s="59"/>
      <c r="J55" s="62" t="s">
        <v>4573</v>
      </c>
      <c r="K55" s="59"/>
      <c r="L55" s="59"/>
      <c r="M55" s="56" t="s">
        <v>724</v>
      </c>
      <c r="N55" s="56" t="s">
        <v>1792</v>
      </c>
      <c r="O55" s="59"/>
      <c r="P55" s="56" t="s">
        <v>4501</v>
      </c>
      <c r="Q55" s="61" t="s">
        <v>373</v>
      </c>
      <c r="R55" s="58" t="s">
        <v>4709</v>
      </c>
      <c r="T55" s="55" t="b">
        <f t="shared" si="1"/>
        <v>1</v>
      </c>
    </row>
    <row r="56" ht="15.0" customHeight="1">
      <c r="A56" s="56" t="s">
        <v>4710</v>
      </c>
      <c r="B56" s="56" t="s">
        <v>4711</v>
      </c>
      <c r="C56" s="57" t="s">
        <v>4712</v>
      </c>
      <c r="D56" s="58">
        <v>9.797777795E9</v>
      </c>
      <c r="E56" s="56" t="s">
        <v>4713</v>
      </c>
      <c r="F56" s="56" t="s">
        <v>364</v>
      </c>
      <c r="G56" s="56" t="s">
        <v>667</v>
      </c>
      <c r="H56" s="62" t="s">
        <v>413</v>
      </c>
      <c r="I56" s="59"/>
      <c r="J56" s="62" t="s">
        <v>4499</v>
      </c>
      <c r="K56" s="59"/>
      <c r="L56" s="58">
        <v>2.0</v>
      </c>
      <c r="M56" s="56" t="s">
        <v>4714</v>
      </c>
      <c r="N56" s="56" t="s">
        <v>1995</v>
      </c>
      <c r="O56" s="59"/>
      <c r="P56" s="56" t="s">
        <v>4501</v>
      </c>
      <c r="Q56" s="61" t="s">
        <v>373</v>
      </c>
      <c r="R56" s="58" t="s">
        <v>4715</v>
      </c>
      <c r="T56" s="55" t="b">
        <f t="shared" si="1"/>
        <v>0</v>
      </c>
    </row>
    <row r="57" ht="15.0" customHeight="1">
      <c r="A57" s="56" t="s">
        <v>92</v>
      </c>
      <c r="B57" s="56" t="s">
        <v>745</v>
      </c>
      <c r="C57" s="57" t="s">
        <v>4716</v>
      </c>
      <c r="D57" s="58">
        <v>7.133501E9</v>
      </c>
      <c r="E57" s="56" t="s">
        <v>4717</v>
      </c>
      <c r="F57" s="56" t="s">
        <v>399</v>
      </c>
      <c r="G57" s="56" t="s">
        <v>365</v>
      </c>
      <c r="H57" s="62" t="s">
        <v>413</v>
      </c>
      <c r="I57" s="59"/>
      <c r="J57" s="62" t="s">
        <v>4499</v>
      </c>
      <c r="K57" s="59"/>
      <c r="L57" s="59"/>
      <c r="M57" s="59"/>
      <c r="N57" s="56" t="s">
        <v>1341</v>
      </c>
      <c r="O57" s="59"/>
      <c r="P57" s="56" t="s">
        <v>4501</v>
      </c>
      <c r="Q57" s="61" t="s">
        <v>373</v>
      </c>
      <c r="R57" s="58" t="s">
        <v>4718</v>
      </c>
      <c r="T57" s="55" t="b">
        <f t="shared" si="1"/>
        <v>0</v>
      </c>
    </row>
    <row r="58" ht="15.0" customHeight="1">
      <c r="A58" s="56" t="s">
        <v>93</v>
      </c>
      <c r="B58" s="56" t="s">
        <v>751</v>
      </c>
      <c r="C58" s="57" t="s">
        <v>752</v>
      </c>
      <c r="D58" s="58">
        <v>9.79776752E9</v>
      </c>
      <c r="E58" s="56" t="s">
        <v>362</v>
      </c>
      <c r="F58" s="56" t="s">
        <v>379</v>
      </c>
      <c r="G58" s="56" t="s">
        <v>365</v>
      </c>
      <c r="H58" s="62" t="s">
        <v>366</v>
      </c>
      <c r="I58" s="59"/>
      <c r="J58" s="62" t="s">
        <v>381</v>
      </c>
      <c r="K58" s="59"/>
      <c r="L58" s="59"/>
      <c r="M58" s="56" t="s">
        <v>4719</v>
      </c>
      <c r="N58" s="56" t="s">
        <v>1219</v>
      </c>
      <c r="O58" s="59"/>
      <c r="P58" s="56" t="s">
        <v>4496</v>
      </c>
      <c r="Q58" s="61" t="s">
        <v>373</v>
      </c>
      <c r="R58" s="56" t="s">
        <v>4559</v>
      </c>
      <c r="T58" s="55" t="b">
        <f t="shared" si="1"/>
        <v>0</v>
      </c>
    </row>
    <row r="59" ht="15.0" customHeight="1">
      <c r="A59" s="56" t="s">
        <v>94</v>
      </c>
      <c r="B59" s="56" t="s">
        <v>764</v>
      </c>
      <c r="C59" s="57" t="s">
        <v>765</v>
      </c>
      <c r="D59" s="56" t="s">
        <v>766</v>
      </c>
      <c r="E59" s="56" t="s">
        <v>4720</v>
      </c>
      <c r="F59" s="56" t="s">
        <v>364</v>
      </c>
      <c r="G59" s="56" t="s">
        <v>822</v>
      </c>
      <c r="H59" s="62" t="s">
        <v>413</v>
      </c>
      <c r="I59" s="59"/>
      <c r="J59" s="62" t="s">
        <v>4691</v>
      </c>
      <c r="K59" s="59"/>
      <c r="L59" s="59"/>
      <c r="M59" s="59"/>
      <c r="N59" s="56" t="s">
        <v>4387</v>
      </c>
      <c r="O59" s="59"/>
      <c r="P59" s="56" t="s">
        <v>4501</v>
      </c>
      <c r="Q59" s="61" t="s">
        <v>373</v>
      </c>
      <c r="R59" s="58" t="s">
        <v>4631</v>
      </c>
      <c r="T59" s="55" t="b">
        <f t="shared" si="1"/>
        <v>0</v>
      </c>
    </row>
    <row r="60" ht="15.0" customHeight="1">
      <c r="A60" s="56" t="s">
        <v>330</v>
      </c>
      <c r="B60" s="56" t="s">
        <v>4721</v>
      </c>
      <c r="C60" s="57" t="s">
        <v>4722</v>
      </c>
      <c r="D60" s="58">
        <v>2.818724512E9</v>
      </c>
      <c r="E60" s="56" t="s">
        <v>2287</v>
      </c>
      <c r="F60" s="56" t="s">
        <v>364</v>
      </c>
      <c r="G60" s="56" t="s">
        <v>365</v>
      </c>
      <c r="H60" s="62" t="s">
        <v>513</v>
      </c>
      <c r="I60" s="59"/>
      <c r="J60" s="56" t="s">
        <v>4596</v>
      </c>
      <c r="K60" s="58">
        <v>0.0</v>
      </c>
      <c r="L60" s="58">
        <v>0.0</v>
      </c>
      <c r="M60" s="56" t="s">
        <v>4723</v>
      </c>
      <c r="N60" s="56" t="s">
        <v>930</v>
      </c>
      <c r="O60" s="59"/>
      <c r="P60" s="56" t="s">
        <v>4508</v>
      </c>
      <c r="Q60" s="61" t="s">
        <v>394</v>
      </c>
      <c r="R60" s="58" t="s">
        <v>4724</v>
      </c>
      <c r="T60" s="55" t="b">
        <f t="shared" si="1"/>
        <v>1</v>
      </c>
    </row>
    <row r="61" ht="15.0" customHeight="1">
      <c r="A61" s="56" t="s">
        <v>4725</v>
      </c>
      <c r="B61" s="56" t="s">
        <v>777</v>
      </c>
      <c r="C61" s="57" t="s">
        <v>778</v>
      </c>
      <c r="D61" s="58">
        <v>3.096429176E9</v>
      </c>
      <c r="E61" s="56" t="s">
        <v>4726</v>
      </c>
      <c r="F61" s="56" t="s">
        <v>364</v>
      </c>
      <c r="G61" s="56" t="s">
        <v>380</v>
      </c>
      <c r="H61" s="62" t="s">
        <v>413</v>
      </c>
      <c r="I61" s="59"/>
      <c r="J61" s="62" t="s">
        <v>4691</v>
      </c>
      <c r="K61" s="59"/>
      <c r="L61" s="59"/>
      <c r="M61" s="59"/>
      <c r="N61" s="56" t="s">
        <v>4727</v>
      </c>
      <c r="O61" s="59"/>
      <c r="P61" s="56" t="s">
        <v>4501</v>
      </c>
      <c r="Q61" s="61" t="s">
        <v>373</v>
      </c>
      <c r="R61" s="58" t="s">
        <v>4728</v>
      </c>
      <c r="T61" s="55" t="b">
        <f t="shared" si="1"/>
        <v>0</v>
      </c>
    </row>
    <row r="62" ht="15.0" customHeight="1">
      <c r="A62" s="56" t="s">
        <v>95</v>
      </c>
      <c r="B62" s="56" t="s">
        <v>782</v>
      </c>
      <c r="C62" s="57" t="s">
        <v>783</v>
      </c>
      <c r="D62" s="56" t="s">
        <v>4729</v>
      </c>
      <c r="E62" s="56" t="s">
        <v>2504</v>
      </c>
      <c r="F62" s="56" t="s">
        <v>364</v>
      </c>
      <c r="G62" s="56" t="s">
        <v>365</v>
      </c>
      <c r="H62" s="62" t="s">
        <v>413</v>
      </c>
      <c r="I62" s="59"/>
      <c r="J62" s="62" t="s">
        <v>4499</v>
      </c>
      <c r="K62" s="59"/>
      <c r="L62" s="59"/>
      <c r="M62" s="56" t="s">
        <v>784</v>
      </c>
      <c r="N62" s="56" t="s">
        <v>1798</v>
      </c>
      <c r="O62" s="59"/>
      <c r="P62" s="56" t="s">
        <v>4501</v>
      </c>
      <c r="Q62" s="61" t="s">
        <v>373</v>
      </c>
      <c r="R62" s="58" t="s">
        <v>4730</v>
      </c>
      <c r="T62" s="55" t="b">
        <f t="shared" si="1"/>
        <v>0</v>
      </c>
    </row>
    <row r="63" ht="15.0" customHeight="1">
      <c r="A63" s="56" t="s">
        <v>787</v>
      </c>
      <c r="B63" s="56" t="s">
        <v>788</v>
      </c>
      <c r="C63" s="57" t="s">
        <v>789</v>
      </c>
      <c r="D63" s="58">
        <v>9.7243742E9</v>
      </c>
      <c r="E63" s="56" t="s">
        <v>4529</v>
      </c>
      <c r="F63" s="56" t="s">
        <v>399</v>
      </c>
      <c r="G63" s="56" t="s">
        <v>365</v>
      </c>
      <c r="H63" s="62" t="s">
        <v>513</v>
      </c>
      <c r="I63" s="59"/>
      <c r="J63" s="62" t="s">
        <v>4499</v>
      </c>
      <c r="K63" s="59"/>
      <c r="L63" s="59"/>
      <c r="M63" s="56" t="s">
        <v>4731</v>
      </c>
      <c r="N63" s="56" t="s">
        <v>3000</v>
      </c>
      <c r="O63" s="59"/>
      <c r="P63" s="56" t="s">
        <v>4501</v>
      </c>
      <c r="Q63" s="61" t="s">
        <v>394</v>
      </c>
      <c r="R63" s="58" t="s">
        <v>4732</v>
      </c>
      <c r="T63" s="55" t="b">
        <f t="shared" si="1"/>
        <v>1</v>
      </c>
    </row>
    <row r="64" ht="15.0" customHeight="1">
      <c r="A64" s="56" t="s">
        <v>96</v>
      </c>
      <c r="B64" s="56" t="s">
        <v>798</v>
      </c>
      <c r="C64" s="57" t="s">
        <v>799</v>
      </c>
      <c r="D64" s="56" t="s">
        <v>800</v>
      </c>
      <c r="E64" s="56" t="s">
        <v>3935</v>
      </c>
      <c r="F64" s="56" t="s">
        <v>399</v>
      </c>
      <c r="G64" s="56" t="s">
        <v>520</v>
      </c>
      <c r="H64" s="62" t="s">
        <v>413</v>
      </c>
      <c r="I64" s="59"/>
      <c r="J64" s="56" t="s">
        <v>4596</v>
      </c>
      <c r="K64" s="58">
        <v>0.0</v>
      </c>
      <c r="L64" s="59"/>
      <c r="M64" s="59"/>
      <c r="N64" s="56" t="s">
        <v>574</v>
      </c>
      <c r="O64" s="59"/>
      <c r="P64" s="56" t="s">
        <v>4508</v>
      </c>
      <c r="Q64" s="61" t="s">
        <v>394</v>
      </c>
      <c r="R64" s="58" t="s">
        <v>4733</v>
      </c>
      <c r="T64" s="55" t="b">
        <f t="shared" si="1"/>
        <v>0</v>
      </c>
    </row>
    <row r="65" ht="15.0" customHeight="1">
      <c r="A65" s="56" t="s">
        <v>97</v>
      </c>
      <c r="B65" s="56" t="s">
        <v>818</v>
      </c>
      <c r="C65" s="57" t="s">
        <v>819</v>
      </c>
      <c r="D65" s="56" t="s">
        <v>4734</v>
      </c>
      <c r="E65" s="56" t="s">
        <v>4678</v>
      </c>
      <c r="F65" s="56" t="s">
        <v>379</v>
      </c>
      <c r="G65" s="56" t="s">
        <v>822</v>
      </c>
      <c r="H65" s="62" t="s">
        <v>413</v>
      </c>
      <c r="I65" s="59"/>
      <c r="J65" s="56" t="s">
        <v>381</v>
      </c>
      <c r="K65" s="58">
        <v>0.0</v>
      </c>
      <c r="L65" s="58">
        <v>0.0</v>
      </c>
      <c r="M65" s="56" t="s">
        <v>4735</v>
      </c>
      <c r="N65" s="56" t="s">
        <v>4736</v>
      </c>
      <c r="O65" s="59"/>
      <c r="P65" s="56" t="s">
        <v>4496</v>
      </c>
      <c r="Q65" s="61" t="s">
        <v>373</v>
      </c>
      <c r="R65" s="56" t="s">
        <v>4559</v>
      </c>
      <c r="T65" s="55" t="b">
        <f t="shared" si="1"/>
        <v>0</v>
      </c>
    </row>
    <row r="66" ht="15.0" customHeight="1">
      <c r="A66" s="56" t="s">
        <v>98</v>
      </c>
      <c r="B66" s="56" t="s">
        <v>826</v>
      </c>
      <c r="C66" s="57" t="s">
        <v>827</v>
      </c>
      <c r="D66" s="56" t="s">
        <v>4737</v>
      </c>
      <c r="E66" s="56" t="s">
        <v>3066</v>
      </c>
      <c r="F66" s="56" t="s">
        <v>379</v>
      </c>
      <c r="G66" s="56" t="s">
        <v>365</v>
      </c>
      <c r="H66" s="62" t="s">
        <v>366</v>
      </c>
      <c r="I66" s="59"/>
      <c r="J66" s="62" t="s">
        <v>381</v>
      </c>
      <c r="K66" s="59"/>
      <c r="L66" s="59"/>
      <c r="M66" s="59"/>
      <c r="N66" s="56" t="s">
        <v>2823</v>
      </c>
      <c r="O66" s="59"/>
      <c r="P66" s="56" t="s">
        <v>4496</v>
      </c>
      <c r="Q66" s="61" t="s">
        <v>373</v>
      </c>
      <c r="R66" s="58" t="s">
        <v>4738</v>
      </c>
      <c r="T66" s="55" t="b">
        <f t="shared" si="1"/>
        <v>0</v>
      </c>
    </row>
    <row r="67" ht="15.0" customHeight="1">
      <c r="A67" s="56" t="s">
        <v>4739</v>
      </c>
      <c r="B67" s="56" t="s">
        <v>4740</v>
      </c>
      <c r="C67" s="57" t="s">
        <v>4741</v>
      </c>
      <c r="D67" s="58">
        <v>7.185983984E9</v>
      </c>
      <c r="E67" s="56" t="s">
        <v>2528</v>
      </c>
      <c r="F67" s="56" t="s">
        <v>379</v>
      </c>
      <c r="G67" s="56" t="s">
        <v>365</v>
      </c>
      <c r="H67" s="62" t="s">
        <v>366</v>
      </c>
      <c r="I67" s="59"/>
      <c r="J67" s="62" t="s">
        <v>4499</v>
      </c>
      <c r="K67" s="59"/>
      <c r="L67" s="59"/>
      <c r="M67" s="59"/>
      <c r="N67" s="59"/>
      <c r="O67" s="59"/>
      <c r="P67" s="56" t="s">
        <v>4501</v>
      </c>
      <c r="Q67" s="61" t="s">
        <v>394</v>
      </c>
      <c r="R67" s="58" t="s">
        <v>4742</v>
      </c>
      <c r="T67" s="55" t="b">
        <f t="shared" si="1"/>
        <v>0</v>
      </c>
    </row>
    <row r="68" ht="15.0" customHeight="1">
      <c r="A68" s="56" t="s">
        <v>4743</v>
      </c>
      <c r="B68" s="56" t="s">
        <v>4744</v>
      </c>
      <c r="C68" s="57" t="s">
        <v>4745</v>
      </c>
      <c r="D68" s="58">
        <v>8.302214275E9</v>
      </c>
      <c r="E68" s="56" t="s">
        <v>2286</v>
      </c>
      <c r="F68" s="56" t="s">
        <v>379</v>
      </c>
      <c r="G68" s="56" t="s">
        <v>365</v>
      </c>
      <c r="H68" s="62" t="s">
        <v>413</v>
      </c>
      <c r="I68" s="59"/>
      <c r="J68" s="62" t="s">
        <v>4506</v>
      </c>
      <c r="K68" s="59"/>
      <c r="L68" s="59"/>
      <c r="M68" s="56" t="s">
        <v>4746</v>
      </c>
      <c r="N68" s="59"/>
      <c r="O68" s="59"/>
      <c r="P68" s="56" t="s">
        <v>4496</v>
      </c>
      <c r="Q68" s="61" t="s">
        <v>394</v>
      </c>
      <c r="R68" s="58" t="s">
        <v>4747</v>
      </c>
      <c r="T68" s="55" t="b">
        <f t="shared" si="1"/>
        <v>0</v>
      </c>
    </row>
    <row r="69" ht="15.0" customHeight="1">
      <c r="A69" s="56" t="s">
        <v>99</v>
      </c>
      <c r="B69" s="56" t="s">
        <v>4748</v>
      </c>
      <c r="C69" s="57" t="s">
        <v>4749</v>
      </c>
      <c r="D69" s="58">
        <v>1.4129966237E10</v>
      </c>
      <c r="E69" s="56" t="s">
        <v>2287</v>
      </c>
      <c r="F69" s="56" t="s">
        <v>364</v>
      </c>
      <c r="G69" s="56" t="s">
        <v>380</v>
      </c>
      <c r="H69" s="62" t="s">
        <v>513</v>
      </c>
      <c r="I69" s="59"/>
      <c r="J69" s="62" t="s">
        <v>4499</v>
      </c>
      <c r="K69" s="59"/>
      <c r="L69" s="59"/>
      <c r="M69" s="59"/>
      <c r="N69" s="56" t="s">
        <v>415</v>
      </c>
      <c r="O69" s="59"/>
      <c r="P69" s="56" t="s">
        <v>4501</v>
      </c>
      <c r="Q69" s="61" t="s">
        <v>373</v>
      </c>
      <c r="R69" s="58" t="s">
        <v>4750</v>
      </c>
      <c r="T69" s="55" t="b">
        <f t="shared" si="1"/>
        <v>1</v>
      </c>
    </row>
    <row r="70" ht="15.0" customHeight="1">
      <c r="A70" s="56" t="s">
        <v>100</v>
      </c>
      <c r="B70" s="56" t="s">
        <v>4751</v>
      </c>
      <c r="C70" s="57" t="s">
        <v>4752</v>
      </c>
      <c r="D70" s="56" t="s">
        <v>4753</v>
      </c>
      <c r="E70" s="56" t="s">
        <v>411</v>
      </c>
      <c r="F70" s="56" t="s">
        <v>379</v>
      </c>
      <c r="G70" s="56" t="s">
        <v>405</v>
      </c>
      <c r="H70" s="62" t="s">
        <v>366</v>
      </c>
      <c r="I70" s="59"/>
      <c r="J70" s="56" t="s">
        <v>4506</v>
      </c>
      <c r="K70" s="58">
        <v>1.0</v>
      </c>
      <c r="L70" s="59"/>
      <c r="M70" s="56" t="s">
        <v>4754</v>
      </c>
      <c r="N70" s="56" t="s">
        <v>3507</v>
      </c>
      <c r="O70" s="59"/>
      <c r="P70" s="56" t="s">
        <v>4508</v>
      </c>
      <c r="Q70" s="61" t="s">
        <v>394</v>
      </c>
      <c r="R70" s="58" t="s">
        <v>4755</v>
      </c>
      <c r="T70" s="55" t="b">
        <f t="shared" si="1"/>
        <v>0</v>
      </c>
    </row>
    <row r="71" ht="15.0" customHeight="1">
      <c r="A71" s="56" t="s">
        <v>296</v>
      </c>
      <c r="B71" s="56" t="s">
        <v>2744</v>
      </c>
      <c r="C71" s="57" t="s">
        <v>2745</v>
      </c>
      <c r="D71" s="58">
        <v>2.183365894E9</v>
      </c>
      <c r="E71" s="56" t="s">
        <v>453</v>
      </c>
      <c r="F71" s="56" t="s">
        <v>364</v>
      </c>
      <c r="G71" s="56" t="s">
        <v>380</v>
      </c>
      <c r="H71" s="62" t="s">
        <v>413</v>
      </c>
      <c r="I71" s="59"/>
      <c r="J71" s="56" t="s">
        <v>4506</v>
      </c>
      <c r="K71" s="58">
        <v>0.0</v>
      </c>
      <c r="L71" s="58">
        <v>0.0</v>
      </c>
      <c r="M71" s="59"/>
      <c r="N71" s="59"/>
      <c r="O71" s="59"/>
      <c r="P71" s="56" t="s">
        <v>4508</v>
      </c>
      <c r="Q71" s="61" t="s">
        <v>394</v>
      </c>
      <c r="R71" s="58" t="s">
        <v>4756</v>
      </c>
      <c r="T71" s="55" t="b">
        <f t="shared" si="1"/>
        <v>0</v>
      </c>
    </row>
    <row r="72" ht="15.0" customHeight="1">
      <c r="A72" s="56" t="s">
        <v>101</v>
      </c>
      <c r="B72" s="56" t="s">
        <v>844</v>
      </c>
      <c r="C72" s="57" t="s">
        <v>4757</v>
      </c>
      <c r="D72" s="58">
        <v>2.818540972E9</v>
      </c>
      <c r="E72" s="56" t="s">
        <v>2286</v>
      </c>
      <c r="F72" s="56" t="s">
        <v>379</v>
      </c>
      <c r="G72" s="56" t="s">
        <v>365</v>
      </c>
      <c r="H72" s="62" t="s">
        <v>413</v>
      </c>
      <c r="I72" s="59"/>
      <c r="J72" s="62" t="s">
        <v>4499</v>
      </c>
      <c r="K72" s="59"/>
      <c r="L72" s="59"/>
      <c r="M72" s="56" t="s">
        <v>4758</v>
      </c>
      <c r="N72" s="56" t="s">
        <v>4759</v>
      </c>
      <c r="O72" s="59"/>
      <c r="P72" s="56" t="s">
        <v>4501</v>
      </c>
      <c r="Q72" s="61" t="s">
        <v>394</v>
      </c>
      <c r="R72" s="56" t="s">
        <v>4559</v>
      </c>
      <c r="T72" s="55" t="b">
        <f t="shared" si="1"/>
        <v>0</v>
      </c>
    </row>
    <row r="73" ht="15.0" customHeight="1">
      <c r="A73" s="56" t="s">
        <v>102</v>
      </c>
      <c r="B73" s="56" t="s">
        <v>4760</v>
      </c>
      <c r="C73" s="57" t="s">
        <v>4761</v>
      </c>
      <c r="D73" s="58">
        <v>7.173765833E9</v>
      </c>
      <c r="E73" s="56" t="s">
        <v>2287</v>
      </c>
      <c r="F73" s="56" t="s">
        <v>399</v>
      </c>
      <c r="G73" s="56" t="s">
        <v>520</v>
      </c>
      <c r="H73" s="62" t="s">
        <v>513</v>
      </c>
      <c r="I73" s="59"/>
      <c r="J73" s="56" t="s">
        <v>4499</v>
      </c>
      <c r="K73" s="58">
        <v>1.0</v>
      </c>
      <c r="L73" s="59"/>
      <c r="M73" s="56" t="s">
        <v>4762</v>
      </c>
      <c r="N73" s="56" t="s">
        <v>2311</v>
      </c>
      <c r="O73" s="59"/>
      <c r="P73" s="56" t="s">
        <v>4501</v>
      </c>
      <c r="Q73" s="61" t="s">
        <v>373</v>
      </c>
      <c r="R73" s="58" t="s">
        <v>4763</v>
      </c>
      <c r="T73" s="55" t="b">
        <f t="shared" si="1"/>
        <v>1</v>
      </c>
    </row>
    <row r="74" ht="15.0" customHeight="1">
      <c r="A74" s="56" t="s">
        <v>103</v>
      </c>
      <c r="B74" s="56" t="s">
        <v>865</v>
      </c>
      <c r="C74" s="57" t="s">
        <v>866</v>
      </c>
      <c r="D74" s="58">
        <v>8.32217218E9</v>
      </c>
      <c r="E74" s="56" t="s">
        <v>2770</v>
      </c>
      <c r="F74" s="56" t="s">
        <v>379</v>
      </c>
      <c r="G74" s="56" t="s">
        <v>412</v>
      </c>
      <c r="H74" s="62" t="s">
        <v>869</v>
      </c>
      <c r="I74" s="59"/>
      <c r="J74" s="62" t="s">
        <v>4499</v>
      </c>
      <c r="K74" s="59"/>
      <c r="L74" s="59"/>
      <c r="M74" s="59"/>
      <c r="N74" s="56" t="s">
        <v>4764</v>
      </c>
      <c r="O74" s="59"/>
      <c r="P74" s="56" t="s">
        <v>4501</v>
      </c>
      <c r="Q74" s="61" t="s">
        <v>373</v>
      </c>
      <c r="R74" s="58" t="s">
        <v>4765</v>
      </c>
      <c r="T74" s="55" t="b">
        <f t="shared" si="1"/>
        <v>0</v>
      </c>
    </row>
    <row r="75" ht="15.0" customHeight="1">
      <c r="A75" s="56" t="s">
        <v>4766</v>
      </c>
      <c r="B75" s="56" t="s">
        <v>4767</v>
      </c>
      <c r="C75" s="57" t="s">
        <v>4768</v>
      </c>
      <c r="D75" s="58">
        <v>4.694178325E9</v>
      </c>
      <c r="E75" s="56" t="s">
        <v>2614</v>
      </c>
      <c r="F75" s="56" t="s">
        <v>379</v>
      </c>
      <c r="G75" s="56" t="s">
        <v>412</v>
      </c>
      <c r="H75" s="62" t="s">
        <v>366</v>
      </c>
      <c r="I75" s="59"/>
      <c r="J75" s="62" t="s">
        <v>4506</v>
      </c>
      <c r="K75" s="59"/>
      <c r="L75" s="59"/>
      <c r="M75" s="56" t="s">
        <v>4767</v>
      </c>
      <c r="N75" s="56" t="s">
        <v>4769</v>
      </c>
      <c r="O75" s="59"/>
      <c r="P75" s="56" t="s">
        <v>4508</v>
      </c>
      <c r="Q75" s="61" t="s">
        <v>394</v>
      </c>
      <c r="R75" s="58" t="s">
        <v>4770</v>
      </c>
      <c r="T75" s="55" t="b">
        <f t="shared" si="1"/>
        <v>0</v>
      </c>
    </row>
    <row r="76" ht="15.0" customHeight="1">
      <c r="A76" s="56" t="s">
        <v>4771</v>
      </c>
      <c r="B76" s="56" t="s">
        <v>4772</v>
      </c>
      <c r="C76" s="57" t="s">
        <v>4773</v>
      </c>
      <c r="D76" s="56" t="s">
        <v>4774</v>
      </c>
      <c r="E76" s="56" t="s">
        <v>2614</v>
      </c>
      <c r="F76" s="56" t="s">
        <v>399</v>
      </c>
      <c r="G76" s="56" t="s">
        <v>380</v>
      </c>
      <c r="H76" s="62" t="s">
        <v>513</v>
      </c>
      <c r="I76" s="59"/>
      <c r="J76" s="62" t="s">
        <v>381</v>
      </c>
      <c r="K76" s="59"/>
      <c r="L76" s="59"/>
      <c r="M76" s="56" t="s">
        <v>4775</v>
      </c>
      <c r="N76" s="56" t="s">
        <v>914</v>
      </c>
      <c r="O76" s="59"/>
      <c r="P76" s="56" t="s">
        <v>4496</v>
      </c>
      <c r="Q76" s="61" t="s">
        <v>373</v>
      </c>
      <c r="R76" s="58" t="s">
        <v>4776</v>
      </c>
      <c r="T76" s="55" t="b">
        <f t="shared" si="1"/>
        <v>1</v>
      </c>
    </row>
    <row r="77" ht="15.0" customHeight="1">
      <c r="A77" s="56" t="s">
        <v>2808</v>
      </c>
      <c r="B77" s="56" t="s">
        <v>2809</v>
      </c>
      <c r="C77" s="57" t="s">
        <v>2810</v>
      </c>
      <c r="D77" s="58">
        <v>5.413899659E9</v>
      </c>
      <c r="E77" s="56" t="s">
        <v>2491</v>
      </c>
      <c r="F77" s="56" t="s">
        <v>399</v>
      </c>
      <c r="G77" s="56" t="s">
        <v>365</v>
      </c>
      <c r="H77" s="62" t="s">
        <v>413</v>
      </c>
      <c r="I77" s="59"/>
      <c r="J77" s="62" t="s">
        <v>4499</v>
      </c>
      <c r="K77" s="59"/>
      <c r="L77" s="59"/>
      <c r="M77" s="56" t="s">
        <v>4777</v>
      </c>
      <c r="N77" s="56" t="s">
        <v>3952</v>
      </c>
      <c r="O77" s="59"/>
      <c r="P77" s="56" t="s">
        <v>4501</v>
      </c>
      <c r="Q77" s="61" t="s">
        <v>373</v>
      </c>
      <c r="R77" s="58" t="s">
        <v>4778</v>
      </c>
      <c r="T77" s="55" t="b">
        <f t="shared" si="1"/>
        <v>0</v>
      </c>
    </row>
    <row r="78" ht="15.0" customHeight="1">
      <c r="A78" s="56" t="s">
        <v>104</v>
      </c>
      <c r="B78" s="56" t="s">
        <v>894</v>
      </c>
      <c r="C78" s="57" t="s">
        <v>895</v>
      </c>
      <c r="D78" s="58">
        <v>7.1378086E9</v>
      </c>
      <c r="E78" s="56" t="s">
        <v>390</v>
      </c>
      <c r="F78" s="56" t="s">
        <v>379</v>
      </c>
      <c r="G78" s="56" t="s">
        <v>412</v>
      </c>
      <c r="H78" s="62" t="s">
        <v>366</v>
      </c>
      <c r="I78" s="59"/>
      <c r="J78" s="62" t="s">
        <v>4506</v>
      </c>
      <c r="K78" s="59"/>
      <c r="L78" s="59"/>
      <c r="M78" s="59"/>
      <c r="N78" s="56" t="s">
        <v>4779</v>
      </c>
      <c r="O78" s="59"/>
      <c r="P78" s="56" t="s">
        <v>4508</v>
      </c>
      <c r="Q78" s="61" t="s">
        <v>394</v>
      </c>
      <c r="R78" s="58" t="s">
        <v>4780</v>
      </c>
      <c r="T78" s="55" t="b">
        <f t="shared" si="1"/>
        <v>0</v>
      </c>
    </row>
    <row r="79" ht="15.0" customHeight="1">
      <c r="A79" s="56" t="s">
        <v>105</v>
      </c>
      <c r="B79" s="56" t="s">
        <v>2820</v>
      </c>
      <c r="C79" s="57" t="s">
        <v>2821</v>
      </c>
      <c r="D79" s="56" t="s">
        <v>4781</v>
      </c>
      <c r="E79" s="56" t="s">
        <v>2614</v>
      </c>
      <c r="F79" s="56" t="s">
        <v>364</v>
      </c>
      <c r="G79" s="56" t="s">
        <v>1791</v>
      </c>
      <c r="H79" s="62" t="s">
        <v>1822</v>
      </c>
      <c r="I79" s="59"/>
      <c r="J79" s="62" t="s">
        <v>4596</v>
      </c>
      <c r="K79" s="59"/>
      <c r="L79" s="59"/>
      <c r="M79" s="56" t="s">
        <v>4782</v>
      </c>
      <c r="N79" s="56" t="s">
        <v>491</v>
      </c>
      <c r="O79" s="59"/>
      <c r="P79" s="56" t="s">
        <v>4508</v>
      </c>
      <c r="Q79" s="61" t="s">
        <v>394</v>
      </c>
      <c r="R79" s="56" t="s">
        <v>4559</v>
      </c>
      <c r="T79" s="55" t="b">
        <f t="shared" si="1"/>
        <v>0</v>
      </c>
    </row>
    <row r="80" ht="15.0" customHeight="1">
      <c r="A80" s="56" t="s">
        <v>106</v>
      </c>
      <c r="B80" s="56" t="s">
        <v>897</v>
      </c>
      <c r="C80" s="57" t="s">
        <v>898</v>
      </c>
      <c r="D80" s="58">
        <v>7.135786244E9</v>
      </c>
      <c r="E80" s="56" t="s">
        <v>3935</v>
      </c>
      <c r="F80" s="56" t="s">
        <v>379</v>
      </c>
      <c r="G80" s="56" t="s">
        <v>365</v>
      </c>
      <c r="H80" s="62" t="s">
        <v>413</v>
      </c>
      <c r="I80" s="59"/>
      <c r="J80" s="62" t="s">
        <v>497</v>
      </c>
      <c r="K80" s="59"/>
      <c r="L80" s="59"/>
      <c r="M80" s="59"/>
      <c r="N80" s="56" t="s">
        <v>4783</v>
      </c>
      <c r="O80" s="59"/>
      <c r="P80" s="56" t="s">
        <v>4496</v>
      </c>
      <c r="Q80" s="61" t="s">
        <v>373</v>
      </c>
      <c r="R80" s="58" t="s">
        <v>4784</v>
      </c>
      <c r="T80" s="55" t="b">
        <f t="shared" si="1"/>
        <v>0</v>
      </c>
    </row>
    <row r="81" ht="15.0" customHeight="1">
      <c r="A81" s="56" t="s">
        <v>4785</v>
      </c>
      <c r="B81" s="56" t="s">
        <v>4786</v>
      </c>
      <c r="C81" s="57" t="s">
        <v>4787</v>
      </c>
      <c r="D81" s="56" t="s">
        <v>4788</v>
      </c>
      <c r="E81" s="56" t="s">
        <v>2614</v>
      </c>
      <c r="F81" s="56" t="s">
        <v>399</v>
      </c>
      <c r="G81" s="56" t="s">
        <v>365</v>
      </c>
      <c r="H81" s="62" t="s">
        <v>366</v>
      </c>
      <c r="I81" s="59"/>
      <c r="J81" s="62" t="s">
        <v>381</v>
      </c>
      <c r="K81" s="59"/>
      <c r="L81" s="59"/>
      <c r="M81" s="56" t="s">
        <v>4789</v>
      </c>
      <c r="N81" s="56" t="s">
        <v>2268</v>
      </c>
      <c r="O81" s="59"/>
      <c r="P81" s="56" t="s">
        <v>4496</v>
      </c>
      <c r="Q81" s="61" t="s">
        <v>373</v>
      </c>
      <c r="R81" s="58" t="s">
        <v>4790</v>
      </c>
      <c r="T81" s="55" t="b">
        <f t="shared" si="1"/>
        <v>0</v>
      </c>
    </row>
    <row r="82" ht="15.0" customHeight="1">
      <c r="A82" s="56" t="s">
        <v>107</v>
      </c>
      <c r="B82" s="56" t="s">
        <v>4791</v>
      </c>
      <c r="C82" s="57" t="s">
        <v>4792</v>
      </c>
      <c r="D82" s="56" t="s">
        <v>4793</v>
      </c>
      <c r="E82" s="56" t="s">
        <v>2504</v>
      </c>
      <c r="F82" s="56" t="s">
        <v>364</v>
      </c>
      <c r="G82" s="56" t="s">
        <v>412</v>
      </c>
      <c r="H82" s="62" t="s">
        <v>413</v>
      </c>
      <c r="I82" s="59"/>
      <c r="J82" s="62" t="s">
        <v>4506</v>
      </c>
      <c r="K82" s="59"/>
      <c r="L82" s="59"/>
      <c r="M82" s="59"/>
      <c r="N82" s="56" t="s">
        <v>2778</v>
      </c>
      <c r="O82" s="59"/>
      <c r="P82" s="56" t="s">
        <v>4508</v>
      </c>
      <c r="Q82" s="61" t="s">
        <v>394</v>
      </c>
      <c r="R82" s="58" t="s">
        <v>4794</v>
      </c>
      <c r="T82" s="55" t="b">
        <f t="shared" si="1"/>
        <v>0</v>
      </c>
    </row>
    <row r="83" ht="15.0" customHeight="1">
      <c r="A83" s="56" t="s">
        <v>108</v>
      </c>
      <c r="B83" s="56" t="s">
        <v>4795</v>
      </c>
      <c r="C83" s="57" t="s">
        <v>4796</v>
      </c>
      <c r="D83" s="56" t="s">
        <v>4797</v>
      </c>
      <c r="E83" s="56" t="s">
        <v>2975</v>
      </c>
      <c r="F83" s="56" t="s">
        <v>399</v>
      </c>
      <c r="G83" s="56" t="s">
        <v>520</v>
      </c>
      <c r="H83" s="62" t="s">
        <v>413</v>
      </c>
      <c r="I83" s="59"/>
      <c r="J83" s="62" t="s">
        <v>4499</v>
      </c>
      <c r="K83" s="59"/>
      <c r="L83" s="59"/>
      <c r="M83" s="56" t="s">
        <v>4798</v>
      </c>
      <c r="N83" s="56" t="s">
        <v>3176</v>
      </c>
      <c r="O83" s="59"/>
      <c r="P83" s="56" t="s">
        <v>4501</v>
      </c>
      <c r="Q83" s="61" t="s">
        <v>373</v>
      </c>
      <c r="R83" s="58" t="s">
        <v>4799</v>
      </c>
      <c r="T83" s="55" t="b">
        <f t="shared" si="1"/>
        <v>0</v>
      </c>
    </row>
    <row r="84" ht="15.0" customHeight="1">
      <c r="A84" s="56" t="s">
        <v>109</v>
      </c>
      <c r="B84" s="56" t="s">
        <v>4800</v>
      </c>
      <c r="C84" s="57" t="s">
        <v>4801</v>
      </c>
      <c r="D84" s="56" t="s">
        <v>4802</v>
      </c>
      <c r="E84" s="56" t="s">
        <v>4803</v>
      </c>
      <c r="F84" s="56" t="s">
        <v>379</v>
      </c>
      <c r="G84" s="56" t="s">
        <v>405</v>
      </c>
      <c r="H84" s="62" t="s">
        <v>366</v>
      </c>
      <c r="I84" s="59"/>
      <c r="J84" s="62" t="s">
        <v>4506</v>
      </c>
      <c r="K84" s="59"/>
      <c r="L84" s="59"/>
      <c r="M84" s="59"/>
      <c r="N84" s="56" t="s">
        <v>4804</v>
      </c>
      <c r="O84" s="59"/>
      <c r="P84" s="56" t="s">
        <v>4508</v>
      </c>
      <c r="Q84" s="61" t="s">
        <v>394</v>
      </c>
      <c r="R84" s="58" t="s">
        <v>4805</v>
      </c>
      <c r="T84" s="55" t="b">
        <f t="shared" si="1"/>
        <v>0</v>
      </c>
    </row>
    <row r="85" ht="15.0" customHeight="1">
      <c r="A85" s="56" t="s">
        <v>297</v>
      </c>
      <c r="B85" s="56" t="s">
        <v>2864</v>
      </c>
      <c r="C85" s="57" t="s">
        <v>2865</v>
      </c>
      <c r="D85" s="56" t="s">
        <v>4806</v>
      </c>
      <c r="E85" s="56" t="s">
        <v>3506</v>
      </c>
      <c r="F85" s="56" t="s">
        <v>399</v>
      </c>
      <c r="G85" s="56" t="s">
        <v>412</v>
      </c>
      <c r="H85" s="62" t="s">
        <v>413</v>
      </c>
      <c r="I85" s="59"/>
      <c r="J85" s="62" t="s">
        <v>4499</v>
      </c>
      <c r="K85" s="59"/>
      <c r="L85" s="59"/>
      <c r="M85" s="56" t="s">
        <v>4807</v>
      </c>
      <c r="N85" s="56" t="s">
        <v>3607</v>
      </c>
      <c r="O85" s="59"/>
      <c r="P85" s="56" t="s">
        <v>4501</v>
      </c>
      <c r="Q85" s="61" t="s">
        <v>373</v>
      </c>
      <c r="R85" s="56" t="s">
        <v>4559</v>
      </c>
      <c r="T85" s="55" t="b">
        <f t="shared" si="1"/>
        <v>0</v>
      </c>
    </row>
    <row r="86" ht="15.0" customHeight="1">
      <c r="A86" s="56" t="s">
        <v>4808</v>
      </c>
      <c r="B86" s="56" t="s">
        <v>4809</v>
      </c>
      <c r="C86" s="57" t="s">
        <v>4810</v>
      </c>
      <c r="D86" s="56" t="s">
        <v>4811</v>
      </c>
      <c r="E86" s="56" t="s">
        <v>4812</v>
      </c>
      <c r="F86" s="56" t="s">
        <v>379</v>
      </c>
      <c r="G86" s="56" t="s">
        <v>830</v>
      </c>
      <c r="H86" s="62" t="s">
        <v>366</v>
      </c>
      <c r="I86" s="59"/>
      <c r="J86" s="62" t="s">
        <v>4506</v>
      </c>
      <c r="K86" s="59"/>
      <c r="L86" s="59"/>
      <c r="M86" s="56" t="s">
        <v>4809</v>
      </c>
      <c r="N86" s="56" t="s">
        <v>1880</v>
      </c>
      <c r="O86" s="59"/>
      <c r="P86" s="56" t="s">
        <v>4508</v>
      </c>
      <c r="Q86" s="61" t="s">
        <v>394</v>
      </c>
      <c r="R86" s="58" t="s">
        <v>4813</v>
      </c>
      <c r="T86" s="55" t="b">
        <f t="shared" si="1"/>
        <v>0</v>
      </c>
    </row>
    <row r="87" ht="15.0" customHeight="1">
      <c r="A87" s="56" t="s">
        <v>110</v>
      </c>
      <c r="B87" s="56" t="s">
        <v>940</v>
      </c>
      <c r="C87" s="57" t="s">
        <v>941</v>
      </c>
      <c r="D87" s="56" t="s">
        <v>4814</v>
      </c>
      <c r="E87" s="56" t="s">
        <v>2287</v>
      </c>
      <c r="F87" s="56" t="s">
        <v>364</v>
      </c>
      <c r="G87" s="56" t="s">
        <v>365</v>
      </c>
      <c r="H87" s="62" t="s">
        <v>413</v>
      </c>
      <c r="I87" s="59"/>
      <c r="J87" s="56" t="s">
        <v>4499</v>
      </c>
      <c r="K87" s="58">
        <v>0.0</v>
      </c>
      <c r="L87" s="59"/>
      <c r="M87" s="56" t="s">
        <v>4815</v>
      </c>
      <c r="N87" s="56" t="s">
        <v>4028</v>
      </c>
      <c r="O87" s="59"/>
      <c r="P87" s="56" t="s">
        <v>4501</v>
      </c>
      <c r="Q87" s="61" t="s">
        <v>373</v>
      </c>
      <c r="R87" s="56" t="s">
        <v>4559</v>
      </c>
      <c r="T87" s="55" t="b">
        <f t="shared" si="1"/>
        <v>0</v>
      </c>
    </row>
    <row r="88" ht="15.0" customHeight="1">
      <c r="A88" s="56" t="s">
        <v>111</v>
      </c>
      <c r="B88" s="56" t="s">
        <v>2881</v>
      </c>
      <c r="C88" s="57" t="s">
        <v>2882</v>
      </c>
      <c r="D88" s="56" t="s">
        <v>4816</v>
      </c>
      <c r="E88" s="56" t="s">
        <v>2286</v>
      </c>
      <c r="F88" s="56" t="s">
        <v>364</v>
      </c>
      <c r="G88" s="56" t="s">
        <v>380</v>
      </c>
      <c r="H88" s="62" t="s">
        <v>413</v>
      </c>
      <c r="I88" s="59"/>
      <c r="J88" s="56" t="s">
        <v>4499</v>
      </c>
      <c r="K88" s="58">
        <v>0.0</v>
      </c>
      <c r="L88" s="58">
        <v>0.0</v>
      </c>
      <c r="M88" s="56" t="s">
        <v>4817</v>
      </c>
      <c r="N88" s="56" t="s">
        <v>2121</v>
      </c>
      <c r="O88" s="59"/>
      <c r="P88" s="56" t="s">
        <v>4501</v>
      </c>
      <c r="Q88" s="61" t="s">
        <v>373</v>
      </c>
      <c r="R88" s="56" t="s">
        <v>4559</v>
      </c>
      <c r="T88" s="55" t="b">
        <f t="shared" si="1"/>
        <v>0</v>
      </c>
    </row>
    <row r="89" ht="15.0" customHeight="1">
      <c r="A89" s="56" t="s">
        <v>112</v>
      </c>
      <c r="B89" s="56" t="s">
        <v>4818</v>
      </c>
      <c r="C89" s="57" t="s">
        <v>947</v>
      </c>
      <c r="D89" s="56" t="s">
        <v>4819</v>
      </c>
      <c r="E89" s="56" t="s">
        <v>2886</v>
      </c>
      <c r="F89" s="56" t="s">
        <v>379</v>
      </c>
      <c r="G89" s="56" t="s">
        <v>520</v>
      </c>
      <c r="H89" s="62" t="s">
        <v>413</v>
      </c>
      <c r="I89" s="59"/>
      <c r="J89" s="62" t="s">
        <v>483</v>
      </c>
      <c r="K89" s="59"/>
      <c r="L89" s="59"/>
      <c r="M89" s="59"/>
      <c r="N89" s="56" t="s">
        <v>4820</v>
      </c>
      <c r="O89" s="59"/>
      <c r="P89" s="56" t="s">
        <v>4496</v>
      </c>
      <c r="Q89" s="61" t="s">
        <v>373</v>
      </c>
      <c r="R89" s="58" t="s">
        <v>4821</v>
      </c>
      <c r="T89" s="55" t="b">
        <f t="shared" si="1"/>
        <v>0</v>
      </c>
    </row>
    <row r="90" ht="15.0" customHeight="1">
      <c r="A90" s="56" t="s">
        <v>298</v>
      </c>
      <c r="B90" s="56" t="s">
        <v>2889</v>
      </c>
      <c r="C90" s="57" t="s">
        <v>2890</v>
      </c>
      <c r="D90" s="56" t="s">
        <v>4822</v>
      </c>
      <c r="E90" s="56" t="s">
        <v>2463</v>
      </c>
      <c r="F90" s="56" t="s">
        <v>379</v>
      </c>
      <c r="G90" s="56" t="s">
        <v>380</v>
      </c>
      <c r="H90" s="62" t="s">
        <v>413</v>
      </c>
      <c r="I90" s="59"/>
      <c r="J90" s="62" t="s">
        <v>381</v>
      </c>
      <c r="K90" s="59"/>
      <c r="L90" s="59"/>
      <c r="M90" s="59"/>
      <c r="N90" s="56" t="s">
        <v>4823</v>
      </c>
      <c r="O90" s="59"/>
      <c r="P90" s="56" t="s">
        <v>4496</v>
      </c>
      <c r="Q90" s="61" t="s">
        <v>373</v>
      </c>
      <c r="R90" s="58" t="s">
        <v>4824</v>
      </c>
      <c r="T90" s="55" t="b">
        <f t="shared" si="1"/>
        <v>0</v>
      </c>
    </row>
    <row r="91" ht="15.0" customHeight="1">
      <c r="A91" s="56" t="s">
        <v>4825</v>
      </c>
      <c r="B91" s="56" t="s">
        <v>4826</v>
      </c>
      <c r="C91" s="57" t="s">
        <v>4827</v>
      </c>
      <c r="D91" s="56" t="s">
        <v>4828</v>
      </c>
      <c r="E91" s="56" t="s">
        <v>4829</v>
      </c>
      <c r="F91" s="56" t="s">
        <v>364</v>
      </c>
      <c r="G91" s="56" t="s">
        <v>365</v>
      </c>
      <c r="H91" s="62" t="s">
        <v>366</v>
      </c>
      <c r="I91" s="59"/>
      <c r="J91" s="56" t="s">
        <v>4506</v>
      </c>
      <c r="K91" s="58">
        <v>2.0</v>
      </c>
      <c r="L91" s="58">
        <v>0.0</v>
      </c>
      <c r="M91" s="59"/>
      <c r="N91" s="56" t="s">
        <v>3601</v>
      </c>
      <c r="O91" s="59"/>
      <c r="P91" s="56" t="s">
        <v>4508</v>
      </c>
      <c r="Q91" s="61" t="s">
        <v>394</v>
      </c>
      <c r="R91" s="58" t="s">
        <v>4830</v>
      </c>
      <c r="T91" s="55" t="b">
        <f t="shared" si="1"/>
        <v>0</v>
      </c>
    </row>
    <row r="92" ht="15.0" customHeight="1">
      <c r="A92" s="56" t="s">
        <v>114</v>
      </c>
      <c r="B92" s="56" t="s">
        <v>960</v>
      </c>
      <c r="C92" s="57" t="s">
        <v>961</v>
      </c>
      <c r="D92" s="56" t="s">
        <v>962</v>
      </c>
      <c r="E92" s="56" t="s">
        <v>2282</v>
      </c>
      <c r="F92" s="56" t="s">
        <v>399</v>
      </c>
      <c r="G92" s="56" t="s">
        <v>365</v>
      </c>
      <c r="H92" s="62" t="s">
        <v>413</v>
      </c>
      <c r="I92" s="59"/>
      <c r="J92" s="62" t="s">
        <v>4499</v>
      </c>
      <c r="K92" s="59"/>
      <c r="L92" s="58">
        <v>2.0</v>
      </c>
      <c r="M92" s="59"/>
      <c r="N92" s="56" t="s">
        <v>3945</v>
      </c>
      <c r="O92" s="59"/>
      <c r="P92" s="56" t="s">
        <v>4501</v>
      </c>
      <c r="Q92" s="61" t="s">
        <v>373</v>
      </c>
      <c r="R92" s="58" t="s">
        <v>4831</v>
      </c>
      <c r="T92" s="55" t="b">
        <f t="shared" si="1"/>
        <v>0</v>
      </c>
    </row>
    <row r="93" ht="15.0" customHeight="1">
      <c r="A93" s="56" t="s">
        <v>116</v>
      </c>
      <c r="B93" s="56" t="s">
        <v>4832</v>
      </c>
      <c r="C93" s="57" t="s">
        <v>4833</v>
      </c>
      <c r="D93" s="56" t="s">
        <v>4834</v>
      </c>
      <c r="E93" s="56" t="s">
        <v>3154</v>
      </c>
      <c r="F93" s="56" t="s">
        <v>364</v>
      </c>
      <c r="G93" s="56" t="s">
        <v>412</v>
      </c>
      <c r="H93" s="62" t="s">
        <v>413</v>
      </c>
      <c r="I93" s="59"/>
      <c r="J93" s="56" t="s">
        <v>497</v>
      </c>
      <c r="K93" s="58">
        <v>0.0</v>
      </c>
      <c r="L93" s="58">
        <v>0.0</v>
      </c>
      <c r="M93" s="56" t="s">
        <v>4835</v>
      </c>
      <c r="N93" s="56" t="s">
        <v>4836</v>
      </c>
      <c r="O93" s="59"/>
      <c r="P93" s="56" t="s">
        <v>4496</v>
      </c>
      <c r="Q93" s="61" t="s">
        <v>373</v>
      </c>
      <c r="R93" s="56" t="s">
        <v>4559</v>
      </c>
      <c r="T93" s="55" t="b">
        <f t="shared" si="1"/>
        <v>0</v>
      </c>
    </row>
    <row r="94" ht="15.0" customHeight="1">
      <c r="A94" s="56" t="s">
        <v>4837</v>
      </c>
      <c r="B94" s="56" t="s">
        <v>4838</v>
      </c>
      <c r="C94" s="57" t="s">
        <v>4839</v>
      </c>
      <c r="D94" s="56" t="s">
        <v>4840</v>
      </c>
      <c r="E94" s="56" t="s">
        <v>2286</v>
      </c>
      <c r="F94" s="56" t="s">
        <v>364</v>
      </c>
      <c r="G94" s="56" t="s">
        <v>520</v>
      </c>
      <c r="H94" s="62" t="s">
        <v>366</v>
      </c>
      <c r="I94" s="59"/>
      <c r="J94" s="62" t="s">
        <v>4499</v>
      </c>
      <c r="K94" s="59"/>
      <c r="L94" s="59"/>
      <c r="M94" s="56" t="s">
        <v>4841</v>
      </c>
      <c r="N94" s="56" t="s">
        <v>648</v>
      </c>
      <c r="O94" s="59"/>
      <c r="P94" s="56" t="s">
        <v>4501</v>
      </c>
      <c r="Q94" s="61" t="s">
        <v>373</v>
      </c>
      <c r="R94" s="58" t="s">
        <v>4842</v>
      </c>
      <c r="T94" s="55" t="b">
        <f t="shared" si="1"/>
        <v>0</v>
      </c>
    </row>
    <row r="95" ht="15.0" customHeight="1">
      <c r="A95" s="56" t="s">
        <v>299</v>
      </c>
      <c r="B95" s="56" t="s">
        <v>983</v>
      </c>
      <c r="C95" s="57" t="s">
        <v>2934</v>
      </c>
      <c r="D95" s="58">
        <v>5.126268703E9</v>
      </c>
      <c r="E95" s="56" t="s">
        <v>452</v>
      </c>
      <c r="F95" s="56" t="s">
        <v>364</v>
      </c>
      <c r="G95" s="56" t="s">
        <v>365</v>
      </c>
      <c r="H95" s="62" t="s">
        <v>413</v>
      </c>
      <c r="I95" s="59"/>
      <c r="J95" s="62" t="s">
        <v>4499</v>
      </c>
      <c r="K95" s="59"/>
      <c r="L95" s="59"/>
      <c r="M95" s="59"/>
      <c r="N95" s="56" t="s">
        <v>3659</v>
      </c>
      <c r="O95" s="59"/>
      <c r="P95" s="56" t="s">
        <v>4501</v>
      </c>
      <c r="Q95" s="61" t="s">
        <v>373</v>
      </c>
      <c r="R95" s="58" t="s">
        <v>4843</v>
      </c>
      <c r="T95" s="55" t="b">
        <f t="shared" si="1"/>
        <v>0</v>
      </c>
    </row>
    <row r="96" ht="15.0" customHeight="1">
      <c r="A96" s="56" t="s">
        <v>118</v>
      </c>
      <c r="B96" s="56" t="s">
        <v>986</v>
      </c>
      <c r="C96" s="57" t="s">
        <v>987</v>
      </c>
      <c r="D96" s="56" t="s">
        <v>4844</v>
      </c>
      <c r="E96" s="56" t="s">
        <v>4845</v>
      </c>
      <c r="F96" s="56" t="s">
        <v>364</v>
      </c>
      <c r="G96" s="56" t="s">
        <v>365</v>
      </c>
      <c r="H96" s="62" t="s">
        <v>413</v>
      </c>
      <c r="I96" s="59"/>
      <c r="J96" s="56" t="s">
        <v>4499</v>
      </c>
      <c r="K96" s="58">
        <v>1.0</v>
      </c>
      <c r="L96" s="59"/>
      <c r="M96" s="59"/>
      <c r="N96" s="56" t="s">
        <v>1194</v>
      </c>
      <c r="O96" s="59"/>
      <c r="P96" s="56" t="s">
        <v>4501</v>
      </c>
      <c r="Q96" s="61" t="s">
        <v>373</v>
      </c>
      <c r="R96" s="58" t="s">
        <v>4846</v>
      </c>
      <c r="T96" s="55" t="b">
        <f t="shared" si="1"/>
        <v>0</v>
      </c>
    </row>
    <row r="97" ht="15.0" customHeight="1">
      <c r="A97" s="56" t="s">
        <v>300</v>
      </c>
      <c r="B97" s="56" t="s">
        <v>2946</v>
      </c>
      <c r="C97" s="57" t="s">
        <v>2947</v>
      </c>
      <c r="D97" s="56" t="s">
        <v>4847</v>
      </c>
      <c r="E97" s="56" t="s">
        <v>4848</v>
      </c>
      <c r="F97" s="56" t="s">
        <v>364</v>
      </c>
      <c r="G97" s="56" t="s">
        <v>365</v>
      </c>
      <c r="H97" s="62" t="s">
        <v>413</v>
      </c>
      <c r="I97" s="59"/>
      <c r="J97" s="56" t="s">
        <v>4573</v>
      </c>
      <c r="K97" s="58">
        <v>0.0</v>
      </c>
      <c r="L97" s="59"/>
      <c r="M97" s="59"/>
      <c r="N97" s="56" t="s">
        <v>3507</v>
      </c>
      <c r="O97" s="59"/>
      <c r="P97" s="56" t="s">
        <v>4501</v>
      </c>
      <c r="Q97" s="61" t="s">
        <v>373</v>
      </c>
      <c r="R97" s="58" t="s">
        <v>4849</v>
      </c>
      <c r="T97" s="55" t="b">
        <f t="shared" si="1"/>
        <v>0</v>
      </c>
    </row>
    <row r="98" ht="15.0" customHeight="1">
      <c r="A98" s="56" t="s">
        <v>119</v>
      </c>
      <c r="B98" s="56" t="s">
        <v>4850</v>
      </c>
      <c r="C98" s="57" t="s">
        <v>998</v>
      </c>
      <c r="D98" s="58">
        <v>5.712996E9</v>
      </c>
      <c r="E98" s="56" t="s">
        <v>2582</v>
      </c>
      <c r="F98" s="56" t="s">
        <v>364</v>
      </c>
      <c r="G98" s="56" t="s">
        <v>520</v>
      </c>
      <c r="H98" s="62" t="s">
        <v>413</v>
      </c>
      <c r="I98" s="59"/>
      <c r="J98" s="62" t="s">
        <v>4506</v>
      </c>
      <c r="K98" s="59"/>
      <c r="L98" s="59"/>
      <c r="M98" s="56" t="s">
        <v>4851</v>
      </c>
      <c r="N98" s="56" t="s">
        <v>2074</v>
      </c>
      <c r="O98" s="59"/>
      <c r="P98" s="56" t="s">
        <v>4508</v>
      </c>
      <c r="Q98" s="61" t="s">
        <v>394</v>
      </c>
      <c r="R98" s="56" t="s">
        <v>4559</v>
      </c>
      <c r="T98" s="55" t="b">
        <f t="shared" si="1"/>
        <v>0</v>
      </c>
    </row>
    <row r="99" ht="15.0" customHeight="1">
      <c r="A99" s="56" t="s">
        <v>120</v>
      </c>
      <c r="B99" s="56" t="s">
        <v>4852</v>
      </c>
      <c r="C99" s="57" t="s">
        <v>4853</v>
      </c>
      <c r="D99" s="56" t="s">
        <v>4854</v>
      </c>
      <c r="E99" s="56" t="s">
        <v>390</v>
      </c>
      <c r="F99" s="56" t="s">
        <v>364</v>
      </c>
      <c r="G99" s="56" t="s">
        <v>412</v>
      </c>
      <c r="H99" s="62" t="s">
        <v>413</v>
      </c>
      <c r="I99" s="59"/>
      <c r="J99" s="62" t="s">
        <v>4499</v>
      </c>
      <c r="K99" s="59"/>
      <c r="L99" s="59"/>
      <c r="M99" s="56" t="s">
        <v>4855</v>
      </c>
      <c r="N99" s="56" t="s">
        <v>4856</v>
      </c>
      <c r="O99" s="59"/>
      <c r="P99" s="56" t="s">
        <v>4501</v>
      </c>
      <c r="Q99" s="61" t="s">
        <v>373</v>
      </c>
      <c r="R99" s="58" t="s">
        <v>4857</v>
      </c>
      <c r="T99" s="55" t="b">
        <f t="shared" si="1"/>
        <v>0</v>
      </c>
    </row>
    <row r="100" ht="15.0" customHeight="1">
      <c r="A100" s="56" t="s">
        <v>4858</v>
      </c>
      <c r="B100" s="56" t="s">
        <v>1002</v>
      </c>
      <c r="C100" s="57" t="s">
        <v>1003</v>
      </c>
      <c r="D100" s="58">
        <v>6.302545522E9</v>
      </c>
      <c r="E100" s="56" t="s">
        <v>2955</v>
      </c>
      <c r="F100" s="56" t="s">
        <v>379</v>
      </c>
      <c r="G100" s="56" t="s">
        <v>412</v>
      </c>
      <c r="H100" s="62" t="s">
        <v>366</v>
      </c>
      <c r="I100" s="59"/>
      <c r="J100" s="62" t="s">
        <v>4573</v>
      </c>
      <c r="K100" s="59"/>
      <c r="L100" s="59"/>
      <c r="M100" s="59"/>
      <c r="N100" s="56" t="s">
        <v>976</v>
      </c>
      <c r="O100" s="59"/>
      <c r="P100" s="56" t="s">
        <v>4501</v>
      </c>
      <c r="Q100" s="61" t="s">
        <v>373</v>
      </c>
      <c r="R100" s="58" t="s">
        <v>4859</v>
      </c>
      <c r="T100" s="55" t="b">
        <f t="shared" si="1"/>
        <v>0</v>
      </c>
    </row>
    <row r="101" ht="15.0" customHeight="1">
      <c r="A101" s="56" t="s">
        <v>301</v>
      </c>
      <c r="B101" s="56" t="s">
        <v>1010</v>
      </c>
      <c r="C101" s="57" t="s">
        <v>1011</v>
      </c>
      <c r="D101" s="58">
        <v>6.039210876E9</v>
      </c>
      <c r="E101" s="56" t="s">
        <v>4860</v>
      </c>
      <c r="F101" s="56" t="s">
        <v>364</v>
      </c>
      <c r="G101" s="56" t="s">
        <v>380</v>
      </c>
      <c r="H101" s="62" t="s">
        <v>413</v>
      </c>
      <c r="I101" s="59"/>
      <c r="J101" s="62" t="s">
        <v>4499</v>
      </c>
      <c r="K101" s="59"/>
      <c r="L101" s="59"/>
      <c r="M101" s="59"/>
      <c r="N101" s="56" t="s">
        <v>3875</v>
      </c>
      <c r="O101" s="59"/>
      <c r="P101" s="56" t="s">
        <v>4501</v>
      </c>
      <c r="Q101" s="61" t="s">
        <v>373</v>
      </c>
      <c r="R101" s="58" t="s">
        <v>4861</v>
      </c>
      <c r="T101" s="55" t="b">
        <f t="shared" si="1"/>
        <v>0</v>
      </c>
    </row>
    <row r="102" ht="15.0" customHeight="1">
      <c r="A102" s="56" t="s">
        <v>1015</v>
      </c>
      <c r="B102" s="56" t="s">
        <v>1016</v>
      </c>
      <c r="C102" s="57" t="s">
        <v>1017</v>
      </c>
      <c r="D102" s="56" t="s">
        <v>4862</v>
      </c>
      <c r="E102" s="56" t="s">
        <v>4863</v>
      </c>
      <c r="F102" s="56" t="s">
        <v>364</v>
      </c>
      <c r="G102" s="56" t="s">
        <v>380</v>
      </c>
      <c r="H102" s="62" t="s">
        <v>413</v>
      </c>
      <c r="I102" s="59"/>
      <c r="J102" s="62" t="s">
        <v>4864</v>
      </c>
      <c r="K102" s="59"/>
      <c r="L102" s="59"/>
      <c r="M102" s="59"/>
      <c r="N102" s="56" t="s">
        <v>4865</v>
      </c>
      <c r="O102" s="59"/>
      <c r="P102" s="56" t="s">
        <v>4501</v>
      </c>
      <c r="Q102" s="61" t="s">
        <v>373</v>
      </c>
      <c r="R102" s="58" t="s">
        <v>4866</v>
      </c>
      <c r="T102" s="55" t="b">
        <f t="shared" si="1"/>
        <v>0</v>
      </c>
    </row>
    <row r="103" ht="15.0" customHeight="1">
      <c r="A103" s="56" t="s">
        <v>123</v>
      </c>
      <c r="B103" s="56" t="s">
        <v>1023</v>
      </c>
      <c r="C103" s="57" t="s">
        <v>1024</v>
      </c>
      <c r="D103" s="56" t="s">
        <v>4867</v>
      </c>
      <c r="E103" s="56" t="s">
        <v>2447</v>
      </c>
      <c r="F103" s="56" t="s">
        <v>379</v>
      </c>
      <c r="G103" s="56" t="s">
        <v>405</v>
      </c>
      <c r="H103" s="62" t="s">
        <v>366</v>
      </c>
      <c r="I103" s="59"/>
      <c r="J103" s="56" t="s">
        <v>381</v>
      </c>
      <c r="K103" s="58">
        <v>1.0</v>
      </c>
      <c r="L103" s="58">
        <v>1.0</v>
      </c>
      <c r="M103" s="59"/>
      <c r="N103" s="56" t="s">
        <v>4868</v>
      </c>
      <c r="O103" s="59"/>
      <c r="P103" s="56" t="s">
        <v>4496</v>
      </c>
      <c r="Q103" s="61" t="s">
        <v>373</v>
      </c>
      <c r="R103" s="58" t="s">
        <v>4869</v>
      </c>
      <c r="T103" s="55" t="b">
        <f t="shared" si="1"/>
        <v>0</v>
      </c>
    </row>
    <row r="104" ht="15.0" customHeight="1">
      <c r="A104" s="56" t="s">
        <v>124</v>
      </c>
      <c r="B104" s="56" t="s">
        <v>1028</v>
      </c>
      <c r="C104" s="57" t="s">
        <v>1029</v>
      </c>
      <c r="D104" s="56" t="s">
        <v>4870</v>
      </c>
      <c r="E104" s="56" t="s">
        <v>2528</v>
      </c>
      <c r="F104" s="56" t="s">
        <v>364</v>
      </c>
      <c r="G104" s="56" t="s">
        <v>365</v>
      </c>
      <c r="H104" s="62" t="s">
        <v>366</v>
      </c>
      <c r="I104" s="59"/>
      <c r="J104" s="56" t="s">
        <v>381</v>
      </c>
      <c r="K104" s="58">
        <v>0.0</v>
      </c>
      <c r="L104" s="58">
        <v>0.0</v>
      </c>
      <c r="M104" s="59"/>
      <c r="N104" s="56" t="s">
        <v>2016</v>
      </c>
      <c r="O104" s="59"/>
      <c r="P104" s="56" t="s">
        <v>4496</v>
      </c>
      <c r="Q104" s="61" t="s">
        <v>373</v>
      </c>
      <c r="R104" s="58" t="s">
        <v>4871</v>
      </c>
      <c r="T104" s="55" t="b">
        <f t="shared" si="1"/>
        <v>0</v>
      </c>
    </row>
    <row r="105" ht="15.0" customHeight="1">
      <c r="A105" s="56" t="s">
        <v>4872</v>
      </c>
      <c r="B105" s="56" t="s">
        <v>4873</v>
      </c>
      <c r="C105" s="57" t="s">
        <v>4874</v>
      </c>
      <c r="D105" s="58">
        <v>2.8150161E9</v>
      </c>
      <c r="E105" s="56" t="s">
        <v>4587</v>
      </c>
      <c r="F105" s="56" t="s">
        <v>364</v>
      </c>
      <c r="G105" s="56" t="s">
        <v>365</v>
      </c>
      <c r="H105" s="62" t="s">
        <v>413</v>
      </c>
      <c r="I105" s="59"/>
      <c r="J105" s="56" t="s">
        <v>4499</v>
      </c>
      <c r="K105" s="58">
        <v>0.0</v>
      </c>
      <c r="L105" s="59"/>
      <c r="M105" s="56" t="s">
        <v>4875</v>
      </c>
      <c r="N105" s="56" t="s">
        <v>2161</v>
      </c>
      <c r="O105" s="59"/>
      <c r="P105" s="56" t="s">
        <v>4501</v>
      </c>
      <c r="Q105" s="61" t="s">
        <v>373</v>
      </c>
      <c r="R105" s="58" t="s">
        <v>4876</v>
      </c>
      <c r="T105" s="55" t="b">
        <f t="shared" si="1"/>
        <v>0</v>
      </c>
    </row>
    <row r="106" ht="15.0" customHeight="1">
      <c r="A106" s="56" t="s">
        <v>4877</v>
      </c>
      <c r="B106" s="56" t="s">
        <v>4878</v>
      </c>
      <c r="C106" s="57" t="s">
        <v>4879</v>
      </c>
      <c r="D106" s="58">
        <v>9.132326294E9</v>
      </c>
      <c r="E106" s="56" t="s">
        <v>2528</v>
      </c>
      <c r="F106" s="56" t="s">
        <v>13</v>
      </c>
      <c r="G106" s="56" t="s">
        <v>412</v>
      </c>
      <c r="H106" s="62" t="s">
        <v>513</v>
      </c>
      <c r="I106" s="59"/>
      <c r="J106" s="62" t="s">
        <v>4499</v>
      </c>
      <c r="K106" s="59"/>
      <c r="L106" s="59"/>
      <c r="M106" s="56" t="s">
        <v>4880</v>
      </c>
      <c r="N106" s="56" t="s">
        <v>3071</v>
      </c>
      <c r="O106" s="59"/>
      <c r="P106" s="56" t="s">
        <v>4501</v>
      </c>
      <c r="Q106" s="61" t="s">
        <v>373</v>
      </c>
      <c r="R106" s="58" t="s">
        <v>4881</v>
      </c>
      <c r="T106" s="55" t="b">
        <f t="shared" si="1"/>
        <v>1</v>
      </c>
    </row>
    <row r="107" ht="15.0" customHeight="1">
      <c r="A107" s="56" t="s">
        <v>125</v>
      </c>
      <c r="B107" s="56" t="s">
        <v>1033</v>
      </c>
      <c r="C107" s="57" t="s">
        <v>1034</v>
      </c>
      <c r="D107" s="56" t="s">
        <v>1035</v>
      </c>
      <c r="E107" s="56" t="s">
        <v>2286</v>
      </c>
      <c r="F107" s="56" t="s">
        <v>379</v>
      </c>
      <c r="G107" s="56" t="s">
        <v>365</v>
      </c>
      <c r="H107" s="62" t="s">
        <v>413</v>
      </c>
      <c r="I107" s="59"/>
      <c r="J107" s="56" t="s">
        <v>4506</v>
      </c>
      <c r="K107" s="58">
        <v>0.0</v>
      </c>
      <c r="L107" s="59"/>
      <c r="M107" s="59"/>
      <c r="N107" s="56" t="s">
        <v>1628</v>
      </c>
      <c r="O107" s="59"/>
      <c r="P107" s="56" t="s">
        <v>4508</v>
      </c>
      <c r="Q107" s="61" t="s">
        <v>394</v>
      </c>
      <c r="R107" s="58" t="s">
        <v>4882</v>
      </c>
      <c r="T107" s="55" t="b">
        <f t="shared" si="1"/>
        <v>0</v>
      </c>
    </row>
    <row r="108" ht="15.0" customHeight="1">
      <c r="A108" s="56" t="s">
        <v>126</v>
      </c>
      <c r="B108" s="56" t="s">
        <v>4883</v>
      </c>
      <c r="C108" s="57" t="s">
        <v>4884</v>
      </c>
      <c r="D108" s="56" t="s">
        <v>4885</v>
      </c>
      <c r="E108" s="56" t="s">
        <v>3935</v>
      </c>
      <c r="F108" s="56" t="s">
        <v>379</v>
      </c>
      <c r="G108" s="56" t="s">
        <v>412</v>
      </c>
      <c r="H108" s="62" t="s">
        <v>413</v>
      </c>
      <c r="I108" s="59"/>
      <c r="J108" s="56" t="s">
        <v>497</v>
      </c>
      <c r="K108" s="58">
        <v>0.0</v>
      </c>
      <c r="L108" s="59"/>
      <c r="M108" s="56" t="s">
        <v>4886</v>
      </c>
      <c r="N108" s="56" t="s">
        <v>4887</v>
      </c>
      <c r="O108" s="59"/>
      <c r="P108" s="56" t="s">
        <v>4508</v>
      </c>
      <c r="Q108" s="61" t="s">
        <v>373</v>
      </c>
      <c r="R108" s="56" t="s">
        <v>4559</v>
      </c>
      <c r="T108" s="55" t="b">
        <f t="shared" si="1"/>
        <v>0</v>
      </c>
    </row>
    <row r="109" ht="15.0" customHeight="1">
      <c r="A109" s="56" t="s">
        <v>4888</v>
      </c>
      <c r="B109" s="56" t="s">
        <v>3020</v>
      </c>
      <c r="C109" s="57" t="s">
        <v>3021</v>
      </c>
      <c r="D109" s="58">
        <v>3.4914185692E10</v>
      </c>
      <c r="E109" s="56" t="s">
        <v>4889</v>
      </c>
      <c r="F109" s="56" t="s">
        <v>364</v>
      </c>
      <c r="G109" s="56" t="s">
        <v>365</v>
      </c>
      <c r="H109" s="62" t="s">
        <v>366</v>
      </c>
      <c r="I109" s="59"/>
      <c r="J109" s="56" t="s">
        <v>4691</v>
      </c>
      <c r="K109" s="58">
        <v>1.0</v>
      </c>
      <c r="L109" s="59"/>
      <c r="M109" s="59"/>
      <c r="N109" s="56" t="s">
        <v>4890</v>
      </c>
      <c r="O109" s="59"/>
      <c r="P109" s="56" t="s">
        <v>4501</v>
      </c>
      <c r="Q109" s="61" t="s">
        <v>373</v>
      </c>
      <c r="R109" s="58" t="s">
        <v>4891</v>
      </c>
      <c r="T109" s="55" t="b">
        <f t="shared" si="1"/>
        <v>0</v>
      </c>
    </row>
    <row r="110" ht="15.0" customHeight="1">
      <c r="A110" s="56" t="s">
        <v>4892</v>
      </c>
      <c r="B110" s="56" t="s">
        <v>3039</v>
      </c>
      <c r="C110" s="57" t="s">
        <v>3040</v>
      </c>
      <c r="D110" s="58">
        <v>6.788441034E9</v>
      </c>
      <c r="E110" s="56" t="s">
        <v>453</v>
      </c>
      <c r="F110" s="56" t="s">
        <v>379</v>
      </c>
      <c r="G110" s="56" t="s">
        <v>412</v>
      </c>
      <c r="H110" s="62" t="s">
        <v>413</v>
      </c>
      <c r="I110" s="59"/>
      <c r="J110" s="56" t="s">
        <v>4499</v>
      </c>
      <c r="K110" s="58">
        <v>0.0</v>
      </c>
      <c r="L110" s="59"/>
      <c r="M110" s="56" t="s">
        <v>4893</v>
      </c>
      <c r="N110" s="56" t="s">
        <v>3670</v>
      </c>
      <c r="O110" s="59"/>
      <c r="P110" s="56" t="s">
        <v>4501</v>
      </c>
      <c r="Q110" s="61" t="s">
        <v>373</v>
      </c>
      <c r="R110" s="56" t="s">
        <v>4559</v>
      </c>
      <c r="T110" s="55" t="b">
        <f t="shared" si="1"/>
        <v>0</v>
      </c>
    </row>
    <row r="111" ht="15.0" customHeight="1">
      <c r="A111" s="56" t="s">
        <v>129</v>
      </c>
      <c r="B111" s="56" t="s">
        <v>1072</v>
      </c>
      <c r="C111" s="57" t="s">
        <v>1073</v>
      </c>
      <c r="D111" s="56" t="s">
        <v>1074</v>
      </c>
      <c r="E111" s="56" t="s">
        <v>3070</v>
      </c>
      <c r="F111" s="56" t="s">
        <v>364</v>
      </c>
      <c r="G111" s="56" t="s">
        <v>365</v>
      </c>
      <c r="H111" s="62" t="s">
        <v>513</v>
      </c>
      <c r="I111" s="59"/>
      <c r="J111" s="62" t="s">
        <v>4573</v>
      </c>
      <c r="K111" s="59"/>
      <c r="L111" s="59"/>
      <c r="M111" s="59"/>
      <c r="N111" s="56" t="s">
        <v>4894</v>
      </c>
      <c r="O111" s="59"/>
      <c r="P111" s="56" t="s">
        <v>4501</v>
      </c>
      <c r="Q111" s="61" t="s">
        <v>373</v>
      </c>
      <c r="R111" s="58" t="s">
        <v>4895</v>
      </c>
      <c r="T111" s="55" t="b">
        <f t="shared" si="1"/>
        <v>1</v>
      </c>
    </row>
    <row r="112" ht="15.0" customHeight="1">
      <c r="A112" s="56" t="s">
        <v>131</v>
      </c>
      <c r="B112" s="56" t="s">
        <v>3090</v>
      </c>
      <c r="C112" s="57" t="s">
        <v>3091</v>
      </c>
      <c r="D112" s="58">
        <v>8.177524014E9</v>
      </c>
      <c r="E112" s="56" t="s">
        <v>4473</v>
      </c>
      <c r="F112" s="56" t="s">
        <v>364</v>
      </c>
      <c r="G112" s="56" t="s">
        <v>365</v>
      </c>
      <c r="H112" s="62" t="s">
        <v>513</v>
      </c>
      <c r="I112" s="59"/>
      <c r="J112" s="62" t="s">
        <v>497</v>
      </c>
      <c r="K112" s="59"/>
      <c r="L112" s="59"/>
      <c r="M112" s="59"/>
      <c r="N112" s="56" t="s">
        <v>4896</v>
      </c>
      <c r="O112" s="59"/>
      <c r="P112" s="56" t="s">
        <v>4496</v>
      </c>
      <c r="Q112" s="61" t="s">
        <v>373</v>
      </c>
      <c r="R112" s="58" t="s">
        <v>4897</v>
      </c>
      <c r="T112" s="55" t="b">
        <f t="shared" si="1"/>
        <v>1</v>
      </c>
    </row>
    <row r="113" ht="15.0" customHeight="1">
      <c r="A113" s="56" t="s">
        <v>4898</v>
      </c>
      <c r="B113" s="56" t="s">
        <v>4899</v>
      </c>
      <c r="C113" s="57" t="s">
        <v>4900</v>
      </c>
      <c r="D113" s="58">
        <v>8.105990254E9</v>
      </c>
      <c r="E113" s="56" t="s">
        <v>4901</v>
      </c>
      <c r="F113" s="56" t="s">
        <v>399</v>
      </c>
      <c r="G113" s="56" t="s">
        <v>380</v>
      </c>
      <c r="H113" s="62" t="s">
        <v>366</v>
      </c>
      <c r="I113" s="59"/>
      <c r="J113" s="56" t="s">
        <v>4499</v>
      </c>
      <c r="K113" s="58">
        <v>0.0</v>
      </c>
      <c r="L113" s="58">
        <v>2.0</v>
      </c>
      <c r="M113" s="59"/>
      <c r="N113" s="56" t="s">
        <v>3904</v>
      </c>
      <c r="O113" s="59"/>
      <c r="P113" s="56" t="s">
        <v>4501</v>
      </c>
      <c r="Q113" s="61" t="s">
        <v>373</v>
      </c>
      <c r="R113" s="58" t="s">
        <v>4902</v>
      </c>
      <c r="T113" s="55" t="b">
        <f t="shared" si="1"/>
        <v>0</v>
      </c>
    </row>
    <row r="114" ht="15.0" customHeight="1">
      <c r="A114" s="56" t="s">
        <v>4903</v>
      </c>
      <c r="B114" s="56" t="s">
        <v>1039</v>
      </c>
      <c r="C114" s="57" t="s">
        <v>1040</v>
      </c>
      <c r="D114" s="56" t="s">
        <v>4904</v>
      </c>
      <c r="E114" s="56" t="s">
        <v>4905</v>
      </c>
      <c r="F114" s="56" t="s">
        <v>379</v>
      </c>
      <c r="G114" s="56" t="s">
        <v>412</v>
      </c>
      <c r="H114" s="62" t="s">
        <v>366</v>
      </c>
      <c r="I114" s="59"/>
      <c r="J114" s="62" t="s">
        <v>4596</v>
      </c>
      <c r="K114" s="59"/>
      <c r="L114" s="59"/>
      <c r="M114" s="56" t="s">
        <v>4906</v>
      </c>
      <c r="N114" s="56" t="s">
        <v>1536</v>
      </c>
      <c r="O114" s="59"/>
      <c r="P114" s="56" t="s">
        <v>4508</v>
      </c>
      <c r="Q114" s="61" t="s">
        <v>394</v>
      </c>
      <c r="R114" s="56" t="s">
        <v>4559</v>
      </c>
      <c r="T114" s="55" t="b">
        <f t="shared" si="1"/>
        <v>0</v>
      </c>
    </row>
    <row r="115" ht="15.0" customHeight="1">
      <c r="A115" s="56" t="s">
        <v>132</v>
      </c>
      <c r="B115" s="56" t="s">
        <v>3101</v>
      </c>
      <c r="C115" s="57" t="s">
        <v>3102</v>
      </c>
      <c r="D115" s="56" t="s">
        <v>4907</v>
      </c>
      <c r="E115" s="56" t="s">
        <v>3103</v>
      </c>
      <c r="F115" s="56" t="s">
        <v>364</v>
      </c>
      <c r="G115" s="56" t="s">
        <v>365</v>
      </c>
      <c r="H115" s="62" t="s">
        <v>366</v>
      </c>
      <c r="I115" s="59"/>
      <c r="J115" s="62" t="s">
        <v>4499</v>
      </c>
      <c r="K115" s="59"/>
      <c r="L115" s="59"/>
      <c r="M115" s="56" t="s">
        <v>4908</v>
      </c>
      <c r="N115" s="56" t="s">
        <v>3173</v>
      </c>
      <c r="O115" s="59"/>
      <c r="P115" s="56" t="s">
        <v>4501</v>
      </c>
      <c r="Q115" s="61" t="s">
        <v>373</v>
      </c>
      <c r="R115" s="56" t="s">
        <v>4559</v>
      </c>
      <c r="T115" s="55" t="b">
        <f t="shared" si="1"/>
        <v>0</v>
      </c>
    </row>
    <row r="116" ht="15.0" customHeight="1">
      <c r="A116" s="56" t="s">
        <v>133</v>
      </c>
      <c r="B116" s="56" t="s">
        <v>1105</v>
      </c>
      <c r="C116" s="57" t="s">
        <v>1106</v>
      </c>
      <c r="D116" s="58">
        <v>9.732647351E9</v>
      </c>
      <c r="E116" s="56" t="s">
        <v>4909</v>
      </c>
      <c r="F116" s="56" t="s">
        <v>364</v>
      </c>
      <c r="G116" s="56" t="s">
        <v>822</v>
      </c>
      <c r="H116" s="62" t="s">
        <v>366</v>
      </c>
      <c r="I116" s="59"/>
      <c r="J116" s="56" t="s">
        <v>381</v>
      </c>
      <c r="K116" s="58">
        <v>1.0</v>
      </c>
      <c r="L116" s="58">
        <v>1.0</v>
      </c>
      <c r="M116" s="59"/>
      <c r="N116" s="56" t="s">
        <v>3474</v>
      </c>
      <c r="O116" s="59"/>
      <c r="P116" s="56" t="s">
        <v>4496</v>
      </c>
      <c r="Q116" s="61" t="s">
        <v>373</v>
      </c>
      <c r="R116" s="58" t="s">
        <v>4910</v>
      </c>
      <c r="T116" s="55" t="b">
        <f t="shared" si="1"/>
        <v>0</v>
      </c>
    </row>
    <row r="117" ht="15.0" customHeight="1">
      <c r="A117" s="56" t="s">
        <v>4911</v>
      </c>
      <c r="B117" s="56" t="s">
        <v>4912</v>
      </c>
      <c r="C117" s="57" t="s">
        <v>4913</v>
      </c>
      <c r="D117" s="58">
        <v>5.12485002E9</v>
      </c>
      <c r="E117" s="56" t="s">
        <v>4914</v>
      </c>
      <c r="F117" s="56" t="s">
        <v>364</v>
      </c>
      <c r="G117" s="56" t="s">
        <v>380</v>
      </c>
      <c r="H117" s="62" t="s">
        <v>513</v>
      </c>
      <c r="I117" s="59"/>
      <c r="J117" s="56" t="s">
        <v>4506</v>
      </c>
      <c r="K117" s="58">
        <v>0.0</v>
      </c>
      <c r="L117" s="58">
        <v>0.0</v>
      </c>
      <c r="M117" s="59"/>
      <c r="N117" s="56" t="s">
        <v>843</v>
      </c>
      <c r="O117" s="59"/>
      <c r="P117" s="56" t="s">
        <v>4508</v>
      </c>
      <c r="Q117" s="61" t="s">
        <v>394</v>
      </c>
      <c r="R117" s="58" t="s">
        <v>4915</v>
      </c>
      <c r="T117" s="55" t="b">
        <f t="shared" si="1"/>
        <v>1</v>
      </c>
    </row>
    <row r="118" ht="15.0" customHeight="1">
      <c r="A118" s="56" t="s">
        <v>4916</v>
      </c>
      <c r="B118" s="56" t="s">
        <v>4917</v>
      </c>
      <c r="C118" s="57" t="s">
        <v>4918</v>
      </c>
      <c r="D118" s="58">
        <v>8.325003048E9</v>
      </c>
      <c r="E118" s="56" t="s">
        <v>4919</v>
      </c>
      <c r="F118" s="56" t="s">
        <v>379</v>
      </c>
      <c r="G118" s="56" t="s">
        <v>405</v>
      </c>
      <c r="H118" s="62" t="s">
        <v>366</v>
      </c>
      <c r="I118" s="59"/>
      <c r="J118" s="62" t="s">
        <v>4499</v>
      </c>
      <c r="K118" s="59"/>
      <c r="L118" s="59"/>
      <c r="M118" s="56" t="s">
        <v>4920</v>
      </c>
      <c r="N118" s="56" t="s">
        <v>4211</v>
      </c>
      <c r="O118" s="59"/>
      <c r="P118" s="56" t="s">
        <v>4501</v>
      </c>
      <c r="Q118" s="61" t="s">
        <v>373</v>
      </c>
      <c r="R118" s="58" t="s">
        <v>4921</v>
      </c>
      <c r="T118" s="55" t="b">
        <f t="shared" si="1"/>
        <v>0</v>
      </c>
    </row>
    <row r="119" ht="15.0" customHeight="1">
      <c r="A119" s="56" t="s">
        <v>4922</v>
      </c>
      <c r="B119" s="56" t="s">
        <v>1112</v>
      </c>
      <c r="C119" s="57" t="s">
        <v>1113</v>
      </c>
      <c r="D119" s="56" t="s">
        <v>4923</v>
      </c>
      <c r="E119" s="56" t="s">
        <v>4924</v>
      </c>
      <c r="F119" s="56" t="s">
        <v>364</v>
      </c>
      <c r="G119" s="56" t="s">
        <v>405</v>
      </c>
      <c r="H119" s="62" t="s">
        <v>413</v>
      </c>
      <c r="I119" s="59"/>
      <c r="J119" s="56" t="s">
        <v>4499</v>
      </c>
      <c r="K119" s="58">
        <v>0.0</v>
      </c>
      <c r="L119" s="59"/>
      <c r="M119" s="56" t="s">
        <v>4925</v>
      </c>
      <c r="N119" s="56" t="s">
        <v>2571</v>
      </c>
      <c r="O119" s="59"/>
      <c r="P119" s="56" t="s">
        <v>4496</v>
      </c>
      <c r="Q119" s="61" t="s">
        <v>373</v>
      </c>
      <c r="R119" s="58" t="s">
        <v>4926</v>
      </c>
      <c r="T119" s="55" t="b">
        <f t="shared" si="1"/>
        <v>0</v>
      </c>
    </row>
    <row r="120" ht="15.0" customHeight="1">
      <c r="A120" s="56" t="s">
        <v>1119</v>
      </c>
      <c r="B120" s="56" t="s">
        <v>1120</v>
      </c>
      <c r="C120" s="57" t="s">
        <v>1121</v>
      </c>
      <c r="D120" s="58">
        <v>9.135778253E9</v>
      </c>
      <c r="E120" s="56" t="s">
        <v>4473</v>
      </c>
      <c r="F120" s="56" t="s">
        <v>364</v>
      </c>
      <c r="G120" s="56" t="s">
        <v>365</v>
      </c>
      <c r="H120" s="62" t="s">
        <v>366</v>
      </c>
      <c r="I120" s="59"/>
      <c r="J120" s="62" t="s">
        <v>4499</v>
      </c>
      <c r="K120" s="59"/>
      <c r="L120" s="59"/>
      <c r="M120" s="56" t="s">
        <v>4927</v>
      </c>
      <c r="N120" s="56" t="s">
        <v>1904</v>
      </c>
      <c r="O120" s="59"/>
      <c r="P120" s="56" t="s">
        <v>4501</v>
      </c>
      <c r="Q120" s="61" t="s">
        <v>373</v>
      </c>
      <c r="R120" s="58" t="s">
        <v>4928</v>
      </c>
      <c r="T120" s="55" t="b">
        <f t="shared" si="1"/>
        <v>0</v>
      </c>
    </row>
    <row r="121" ht="15.0" customHeight="1">
      <c r="A121" s="56" t="s">
        <v>135</v>
      </c>
      <c r="B121" s="56" t="s">
        <v>1139</v>
      </c>
      <c r="C121" s="57" t="s">
        <v>1140</v>
      </c>
      <c r="D121" s="56" t="s">
        <v>4929</v>
      </c>
      <c r="E121" s="56" t="s">
        <v>4930</v>
      </c>
      <c r="F121" s="56" t="s">
        <v>364</v>
      </c>
      <c r="G121" s="56" t="s">
        <v>822</v>
      </c>
      <c r="H121" s="62" t="s">
        <v>413</v>
      </c>
      <c r="I121" s="59"/>
      <c r="J121" s="62" t="s">
        <v>4499</v>
      </c>
      <c r="K121" s="59"/>
      <c r="L121" s="59"/>
      <c r="M121" s="56" t="s">
        <v>4931</v>
      </c>
      <c r="N121" s="56" t="s">
        <v>4266</v>
      </c>
      <c r="O121" s="59"/>
      <c r="P121" s="56" t="s">
        <v>4501</v>
      </c>
      <c r="Q121" s="61" t="s">
        <v>373</v>
      </c>
      <c r="R121" s="56" t="s">
        <v>4559</v>
      </c>
      <c r="T121" s="55" t="b">
        <f t="shared" si="1"/>
        <v>0</v>
      </c>
    </row>
    <row r="122" ht="15.0" customHeight="1">
      <c r="A122" s="56" t="s">
        <v>1144</v>
      </c>
      <c r="B122" s="56" t="s">
        <v>4932</v>
      </c>
      <c r="C122" s="57" t="s">
        <v>1145</v>
      </c>
      <c r="D122" s="56" t="s">
        <v>4933</v>
      </c>
      <c r="E122" s="56" t="s">
        <v>2286</v>
      </c>
      <c r="F122" s="56" t="s">
        <v>364</v>
      </c>
      <c r="G122" s="56" t="s">
        <v>667</v>
      </c>
      <c r="H122" s="62" t="s">
        <v>413</v>
      </c>
      <c r="I122" s="59"/>
      <c r="J122" s="62" t="s">
        <v>4506</v>
      </c>
      <c r="K122" s="59"/>
      <c r="L122" s="59"/>
      <c r="M122" s="59"/>
      <c r="N122" s="56" t="s">
        <v>1026</v>
      </c>
      <c r="O122" s="59"/>
      <c r="P122" s="56" t="s">
        <v>4508</v>
      </c>
      <c r="Q122" s="61" t="s">
        <v>394</v>
      </c>
      <c r="R122" s="58" t="s">
        <v>4934</v>
      </c>
      <c r="T122" s="55" t="b">
        <f t="shared" si="1"/>
        <v>0</v>
      </c>
    </row>
    <row r="123" ht="15.0" customHeight="1">
      <c r="A123" s="56" t="s">
        <v>4935</v>
      </c>
      <c r="B123" s="56" t="s">
        <v>1149</v>
      </c>
      <c r="C123" s="57" t="s">
        <v>1150</v>
      </c>
      <c r="D123" s="56" t="s">
        <v>4936</v>
      </c>
      <c r="E123" s="56" t="s">
        <v>4937</v>
      </c>
      <c r="F123" s="56" t="s">
        <v>379</v>
      </c>
      <c r="G123" s="56" t="s">
        <v>830</v>
      </c>
      <c r="H123" s="62" t="s">
        <v>413</v>
      </c>
      <c r="I123" s="59"/>
      <c r="J123" s="62" t="s">
        <v>4573</v>
      </c>
      <c r="K123" s="59"/>
      <c r="L123" s="59"/>
      <c r="M123" s="56" t="s">
        <v>1149</v>
      </c>
      <c r="N123" s="56" t="s">
        <v>1803</v>
      </c>
      <c r="O123" s="59"/>
      <c r="P123" s="56" t="s">
        <v>4501</v>
      </c>
      <c r="Q123" s="61" t="s">
        <v>373</v>
      </c>
      <c r="R123" s="58" t="s">
        <v>4938</v>
      </c>
      <c r="T123" s="55" t="b">
        <f t="shared" si="1"/>
        <v>0</v>
      </c>
    </row>
    <row r="124" ht="15.0" customHeight="1">
      <c r="A124" s="56" t="s">
        <v>137</v>
      </c>
      <c r="B124" s="56" t="s">
        <v>3195</v>
      </c>
      <c r="C124" s="57" t="s">
        <v>3196</v>
      </c>
      <c r="D124" s="58">
        <v>6.305743E9</v>
      </c>
      <c r="E124" s="56" t="s">
        <v>4939</v>
      </c>
      <c r="F124" s="56" t="s">
        <v>399</v>
      </c>
      <c r="G124" s="56" t="s">
        <v>380</v>
      </c>
      <c r="H124" s="62" t="s">
        <v>366</v>
      </c>
      <c r="I124" s="59"/>
      <c r="J124" s="62" t="s">
        <v>381</v>
      </c>
      <c r="K124" s="59"/>
      <c r="L124" s="59"/>
      <c r="M124" s="56" t="s">
        <v>1159</v>
      </c>
      <c r="N124" s="56" t="s">
        <v>2615</v>
      </c>
      <c r="O124" s="59"/>
      <c r="P124" s="56" t="s">
        <v>4496</v>
      </c>
      <c r="Q124" s="61" t="s">
        <v>373</v>
      </c>
      <c r="R124" s="58" t="s">
        <v>4940</v>
      </c>
      <c r="T124" s="55" t="b">
        <f t="shared" si="1"/>
        <v>0</v>
      </c>
    </row>
    <row r="125" ht="15.0" customHeight="1">
      <c r="A125" s="56" t="s">
        <v>137</v>
      </c>
      <c r="B125" s="56" t="s">
        <v>1159</v>
      </c>
      <c r="C125" s="57" t="s">
        <v>1160</v>
      </c>
      <c r="D125" s="56" t="s">
        <v>4941</v>
      </c>
      <c r="E125" s="56" t="s">
        <v>3647</v>
      </c>
      <c r="F125" s="56" t="s">
        <v>399</v>
      </c>
      <c r="G125" s="56" t="s">
        <v>380</v>
      </c>
      <c r="H125" s="62" t="s">
        <v>413</v>
      </c>
      <c r="I125" s="59"/>
      <c r="J125" s="62" t="s">
        <v>381</v>
      </c>
      <c r="K125" s="59"/>
      <c r="L125" s="59"/>
      <c r="M125" s="59"/>
      <c r="N125" s="59"/>
      <c r="O125" s="59"/>
      <c r="P125" s="56" t="s">
        <v>4496</v>
      </c>
      <c r="Q125" s="61" t="s">
        <v>394</v>
      </c>
      <c r="R125" s="58" t="s">
        <v>4942</v>
      </c>
      <c r="T125" s="55" t="b">
        <f t="shared" si="1"/>
        <v>0</v>
      </c>
    </row>
    <row r="126" ht="15.0" customHeight="1">
      <c r="A126" s="56" t="s">
        <v>302</v>
      </c>
      <c r="B126" s="56" t="s">
        <v>1166</v>
      </c>
      <c r="C126" s="57" t="s">
        <v>1167</v>
      </c>
      <c r="D126" s="56" t="s">
        <v>4943</v>
      </c>
      <c r="E126" s="56" t="s">
        <v>4944</v>
      </c>
      <c r="F126" s="56" t="s">
        <v>379</v>
      </c>
      <c r="G126" s="56" t="s">
        <v>365</v>
      </c>
      <c r="H126" s="62" t="s">
        <v>366</v>
      </c>
      <c r="I126" s="59"/>
      <c r="J126" s="62" t="s">
        <v>381</v>
      </c>
      <c r="K126" s="59"/>
      <c r="L126" s="59"/>
      <c r="M126" s="56" t="s">
        <v>1166</v>
      </c>
      <c r="N126" s="56" t="s">
        <v>4945</v>
      </c>
      <c r="O126" s="59"/>
      <c r="P126" s="56" t="s">
        <v>4496</v>
      </c>
      <c r="Q126" s="61" t="s">
        <v>373</v>
      </c>
      <c r="R126" s="58" t="s">
        <v>4946</v>
      </c>
      <c r="T126" s="55" t="b">
        <f t="shared" si="1"/>
        <v>0</v>
      </c>
    </row>
    <row r="127" ht="15.0" customHeight="1">
      <c r="A127" s="56" t="s">
        <v>138</v>
      </c>
      <c r="B127" s="56" t="s">
        <v>1174</v>
      </c>
      <c r="C127" s="57" t="s">
        <v>1175</v>
      </c>
      <c r="D127" s="56" t="s">
        <v>4947</v>
      </c>
      <c r="E127" s="56" t="s">
        <v>2463</v>
      </c>
      <c r="F127" s="56" t="s">
        <v>364</v>
      </c>
      <c r="G127" s="56" t="s">
        <v>365</v>
      </c>
      <c r="H127" s="62" t="s">
        <v>366</v>
      </c>
      <c r="I127" s="59"/>
      <c r="J127" s="62" t="s">
        <v>4506</v>
      </c>
      <c r="K127" s="59"/>
      <c r="L127" s="59"/>
      <c r="M127" s="56" t="s">
        <v>1177</v>
      </c>
      <c r="N127" s="56" t="s">
        <v>3349</v>
      </c>
      <c r="O127" s="59"/>
      <c r="P127" s="56" t="s">
        <v>4508</v>
      </c>
      <c r="Q127" s="61" t="s">
        <v>394</v>
      </c>
      <c r="R127" s="58" t="s">
        <v>4948</v>
      </c>
      <c r="T127" s="55" t="b">
        <f t="shared" si="1"/>
        <v>0</v>
      </c>
    </row>
    <row r="128" ht="15.0" customHeight="1">
      <c r="A128" s="56" t="s">
        <v>1184</v>
      </c>
      <c r="B128" s="56" t="s">
        <v>1185</v>
      </c>
      <c r="C128" s="57" t="s">
        <v>1186</v>
      </c>
      <c r="D128" s="58">
        <v>2.109360916E9</v>
      </c>
      <c r="E128" s="56" t="s">
        <v>4949</v>
      </c>
      <c r="F128" s="56" t="s">
        <v>364</v>
      </c>
      <c r="G128" s="56" t="s">
        <v>365</v>
      </c>
      <c r="H128" s="62" t="s">
        <v>413</v>
      </c>
      <c r="I128" s="59"/>
      <c r="J128" s="56" t="s">
        <v>4506</v>
      </c>
      <c r="K128" s="58">
        <v>2.0</v>
      </c>
      <c r="L128" s="59"/>
      <c r="M128" s="59"/>
      <c r="N128" s="56" t="s">
        <v>1849</v>
      </c>
      <c r="O128" s="59"/>
      <c r="P128" s="56" t="s">
        <v>4508</v>
      </c>
      <c r="Q128" s="61" t="s">
        <v>394</v>
      </c>
      <c r="R128" s="58" t="s">
        <v>4950</v>
      </c>
      <c r="T128" s="55" t="b">
        <f t="shared" si="1"/>
        <v>0</v>
      </c>
    </row>
    <row r="129" ht="15.0" customHeight="1">
      <c r="A129" s="56" t="s">
        <v>139</v>
      </c>
      <c r="B129" s="56" t="s">
        <v>4951</v>
      </c>
      <c r="C129" s="57" t="s">
        <v>4952</v>
      </c>
      <c r="D129" s="58">
        <v>9.367883884E9</v>
      </c>
      <c r="E129" s="56" t="s">
        <v>2286</v>
      </c>
      <c r="F129" s="56" t="s">
        <v>399</v>
      </c>
      <c r="G129" s="56" t="s">
        <v>520</v>
      </c>
      <c r="H129" s="62" t="s">
        <v>366</v>
      </c>
      <c r="I129" s="59"/>
      <c r="J129" s="56" t="s">
        <v>4499</v>
      </c>
      <c r="K129" s="58">
        <v>0.0</v>
      </c>
      <c r="L129" s="59"/>
      <c r="M129" s="56" t="s">
        <v>4953</v>
      </c>
      <c r="N129" s="56" t="s">
        <v>541</v>
      </c>
      <c r="O129" s="59"/>
      <c r="P129" s="56" t="s">
        <v>4501</v>
      </c>
      <c r="Q129" s="61" t="s">
        <v>373</v>
      </c>
      <c r="R129" s="56" t="s">
        <v>4559</v>
      </c>
      <c r="T129" s="55" t="b">
        <f t="shared" si="1"/>
        <v>0</v>
      </c>
    </row>
    <row r="130" ht="15.0" customHeight="1">
      <c r="A130" s="56" t="s">
        <v>1196</v>
      </c>
      <c r="B130" s="56" t="s">
        <v>4954</v>
      </c>
      <c r="C130" s="57" t="s">
        <v>4955</v>
      </c>
      <c r="D130" s="58">
        <v>7.133804375E9</v>
      </c>
      <c r="E130" s="56" t="s">
        <v>2582</v>
      </c>
      <c r="F130" s="56" t="s">
        <v>364</v>
      </c>
      <c r="G130" s="56" t="s">
        <v>667</v>
      </c>
      <c r="H130" s="62" t="s">
        <v>366</v>
      </c>
      <c r="I130" s="59"/>
      <c r="J130" s="56" t="s">
        <v>483</v>
      </c>
      <c r="K130" s="58">
        <v>1.0</v>
      </c>
      <c r="L130" s="58">
        <v>1.0</v>
      </c>
      <c r="M130" s="56" t="s">
        <v>4954</v>
      </c>
      <c r="N130" s="56" t="s">
        <v>1125</v>
      </c>
      <c r="O130" s="59"/>
      <c r="P130" s="56" t="s">
        <v>4496</v>
      </c>
      <c r="Q130" s="61" t="s">
        <v>373</v>
      </c>
      <c r="R130" s="58" t="s">
        <v>4956</v>
      </c>
      <c r="T130" s="55" t="b">
        <f t="shared" si="1"/>
        <v>0</v>
      </c>
    </row>
    <row r="131" ht="15.0" customHeight="1">
      <c r="A131" s="56" t="s">
        <v>1202</v>
      </c>
      <c r="B131" s="56" t="s">
        <v>4957</v>
      </c>
      <c r="C131" s="57" t="s">
        <v>1204</v>
      </c>
      <c r="D131" s="58">
        <v>2.817066169E9</v>
      </c>
      <c r="E131" s="56" t="s">
        <v>4958</v>
      </c>
      <c r="F131" s="56" t="s">
        <v>399</v>
      </c>
      <c r="G131" s="56" t="s">
        <v>380</v>
      </c>
      <c r="H131" s="62" t="s">
        <v>366</v>
      </c>
      <c r="I131" s="59"/>
      <c r="J131" s="62" t="s">
        <v>497</v>
      </c>
      <c r="K131" s="59"/>
      <c r="L131" s="59"/>
      <c r="M131" s="56" t="s">
        <v>4959</v>
      </c>
      <c r="N131" s="56" t="s">
        <v>4444</v>
      </c>
      <c r="O131" s="59"/>
      <c r="P131" s="56" t="s">
        <v>4496</v>
      </c>
      <c r="Q131" s="61" t="s">
        <v>373</v>
      </c>
      <c r="R131" s="58" t="s">
        <v>4960</v>
      </c>
      <c r="T131" s="55" t="b">
        <f t="shared" si="1"/>
        <v>0</v>
      </c>
    </row>
    <row r="132" ht="15.0" customHeight="1">
      <c r="A132" s="56" t="s">
        <v>142</v>
      </c>
      <c r="B132" s="56" t="s">
        <v>4961</v>
      </c>
      <c r="C132" s="57" t="s">
        <v>4962</v>
      </c>
      <c r="D132" s="58">
        <v>9.85789895E9</v>
      </c>
      <c r="E132" s="56" t="s">
        <v>4963</v>
      </c>
      <c r="F132" s="56" t="s">
        <v>399</v>
      </c>
      <c r="G132" s="56" t="s">
        <v>520</v>
      </c>
      <c r="H132" s="62" t="s">
        <v>513</v>
      </c>
      <c r="I132" s="59"/>
      <c r="J132" s="56" t="s">
        <v>4506</v>
      </c>
      <c r="K132" s="58">
        <v>4.0</v>
      </c>
      <c r="L132" s="59"/>
      <c r="M132" s="59"/>
      <c r="N132" s="56" t="s">
        <v>3515</v>
      </c>
      <c r="O132" s="59"/>
      <c r="P132" s="56" t="s">
        <v>4508</v>
      </c>
      <c r="Q132" s="61" t="s">
        <v>394</v>
      </c>
      <c r="R132" s="58" t="s">
        <v>4964</v>
      </c>
      <c r="T132" s="55" t="b">
        <f t="shared" si="1"/>
        <v>1</v>
      </c>
    </row>
    <row r="133" ht="15.0" customHeight="1">
      <c r="A133" s="56" t="s">
        <v>304</v>
      </c>
      <c r="B133" s="56" t="s">
        <v>4965</v>
      </c>
      <c r="C133" s="57" t="s">
        <v>4966</v>
      </c>
      <c r="D133" s="56" t="s">
        <v>4967</v>
      </c>
      <c r="E133" s="56" t="s">
        <v>2286</v>
      </c>
      <c r="F133" s="56" t="s">
        <v>364</v>
      </c>
      <c r="G133" s="56" t="s">
        <v>365</v>
      </c>
      <c r="H133" s="62" t="s">
        <v>366</v>
      </c>
      <c r="I133" s="59"/>
      <c r="J133" s="62" t="s">
        <v>4499</v>
      </c>
      <c r="K133" s="59"/>
      <c r="L133" s="59"/>
      <c r="M133" s="56" t="s">
        <v>4968</v>
      </c>
      <c r="N133" s="56" t="s">
        <v>803</v>
      </c>
      <c r="O133" s="59"/>
      <c r="P133" s="56" t="s">
        <v>4501</v>
      </c>
      <c r="Q133" s="61" t="s">
        <v>373</v>
      </c>
      <c r="R133" s="58" t="s">
        <v>4631</v>
      </c>
      <c r="T133" s="55" t="b">
        <f t="shared" si="1"/>
        <v>0</v>
      </c>
    </row>
    <row r="134" ht="15.0" customHeight="1">
      <c r="A134" s="56" t="s">
        <v>4969</v>
      </c>
      <c r="B134" s="56" t="s">
        <v>4970</v>
      </c>
      <c r="C134" s="57" t="s">
        <v>4971</v>
      </c>
      <c r="D134" s="56" t="s">
        <v>4972</v>
      </c>
      <c r="E134" s="56" t="s">
        <v>4973</v>
      </c>
      <c r="F134" s="56" t="s">
        <v>364</v>
      </c>
      <c r="G134" s="56" t="s">
        <v>667</v>
      </c>
      <c r="H134" s="62" t="s">
        <v>366</v>
      </c>
      <c r="I134" s="59"/>
      <c r="J134" s="56" t="s">
        <v>4499</v>
      </c>
      <c r="K134" s="58">
        <v>0.0</v>
      </c>
      <c r="L134" s="58">
        <v>1.0</v>
      </c>
      <c r="M134" s="56" t="s">
        <v>4974</v>
      </c>
      <c r="N134" s="56" t="s">
        <v>3071</v>
      </c>
      <c r="O134" s="59"/>
      <c r="P134" s="56" t="s">
        <v>4501</v>
      </c>
      <c r="Q134" s="61" t="s">
        <v>373</v>
      </c>
      <c r="R134" s="56" t="s">
        <v>4559</v>
      </c>
      <c r="T134" s="55" t="b">
        <f t="shared" si="1"/>
        <v>0</v>
      </c>
    </row>
    <row r="135" ht="15.0" customHeight="1">
      <c r="A135" s="56" t="s">
        <v>143</v>
      </c>
      <c r="B135" s="56" t="s">
        <v>1216</v>
      </c>
      <c r="C135" s="57" t="s">
        <v>1217</v>
      </c>
      <c r="D135" s="58">
        <v>2.144910585E9</v>
      </c>
      <c r="E135" s="56" t="s">
        <v>2614</v>
      </c>
      <c r="F135" s="56" t="s">
        <v>364</v>
      </c>
      <c r="G135" s="56" t="s">
        <v>365</v>
      </c>
      <c r="H135" s="62" t="s">
        <v>366</v>
      </c>
      <c r="I135" s="59"/>
      <c r="J135" s="62" t="s">
        <v>4573</v>
      </c>
      <c r="K135" s="59"/>
      <c r="L135" s="59"/>
      <c r="M135" s="56" t="s">
        <v>1218</v>
      </c>
      <c r="N135" s="56" t="s">
        <v>851</v>
      </c>
      <c r="O135" s="59"/>
      <c r="P135" s="56" t="s">
        <v>4501</v>
      </c>
      <c r="Q135" s="61" t="s">
        <v>373</v>
      </c>
      <c r="R135" s="58" t="s">
        <v>4975</v>
      </c>
      <c r="T135" s="55" t="b">
        <f t="shared" si="1"/>
        <v>0</v>
      </c>
    </row>
    <row r="136" ht="15.0" customHeight="1">
      <c r="A136" s="56" t="s">
        <v>305</v>
      </c>
      <c r="B136" s="56" t="s">
        <v>1221</v>
      </c>
      <c r="C136" s="57" t="s">
        <v>1222</v>
      </c>
      <c r="D136" s="56" t="s">
        <v>4976</v>
      </c>
      <c r="E136" s="56" t="s">
        <v>4977</v>
      </c>
      <c r="F136" s="56" t="s">
        <v>364</v>
      </c>
      <c r="G136" s="56" t="s">
        <v>380</v>
      </c>
      <c r="H136" s="62" t="s">
        <v>366</v>
      </c>
      <c r="I136" s="59"/>
      <c r="J136" s="62" t="s">
        <v>4978</v>
      </c>
      <c r="K136" s="59"/>
      <c r="L136" s="59"/>
      <c r="M136" s="56" t="s">
        <v>1221</v>
      </c>
      <c r="N136" s="56" t="s">
        <v>4979</v>
      </c>
      <c r="O136" s="59"/>
      <c r="P136" s="56" t="s">
        <v>4496</v>
      </c>
      <c r="Q136" s="61" t="s">
        <v>394</v>
      </c>
      <c r="R136" s="58" t="s">
        <v>4980</v>
      </c>
      <c r="T136" s="55" t="b">
        <f t="shared" si="1"/>
        <v>0</v>
      </c>
    </row>
    <row r="137" ht="15.0" customHeight="1">
      <c r="A137" s="56" t="s">
        <v>144</v>
      </c>
      <c r="B137" s="56" t="s">
        <v>3238</v>
      </c>
      <c r="C137" s="57" t="s">
        <v>3239</v>
      </c>
      <c r="D137" s="56" t="s">
        <v>4981</v>
      </c>
      <c r="E137" s="56" t="s">
        <v>2395</v>
      </c>
      <c r="F137" s="56" t="s">
        <v>364</v>
      </c>
      <c r="G137" s="56" t="s">
        <v>365</v>
      </c>
      <c r="H137" s="62" t="s">
        <v>413</v>
      </c>
      <c r="I137" s="59"/>
      <c r="J137" s="62" t="s">
        <v>381</v>
      </c>
      <c r="K137" s="59"/>
      <c r="L137" s="59"/>
      <c r="M137" s="56" t="s">
        <v>4982</v>
      </c>
      <c r="N137" s="56" t="s">
        <v>2442</v>
      </c>
      <c r="O137" s="59"/>
      <c r="P137" s="56" t="s">
        <v>4496</v>
      </c>
      <c r="Q137" s="61" t="s">
        <v>394</v>
      </c>
      <c r="R137" s="56" t="s">
        <v>4559</v>
      </c>
      <c r="T137" s="55" t="b">
        <f t="shared" si="1"/>
        <v>0</v>
      </c>
    </row>
    <row r="138" ht="15.0" customHeight="1">
      <c r="A138" s="56" t="s">
        <v>3242</v>
      </c>
      <c r="B138" s="56" t="s">
        <v>3243</v>
      </c>
      <c r="C138" s="57" t="s">
        <v>3244</v>
      </c>
      <c r="D138" s="58">
        <v>9.492023017E9</v>
      </c>
      <c r="E138" s="56" t="s">
        <v>3246</v>
      </c>
      <c r="F138" s="56" t="s">
        <v>2194</v>
      </c>
      <c r="G138" s="56" t="s">
        <v>405</v>
      </c>
      <c r="H138" s="62" t="s">
        <v>366</v>
      </c>
      <c r="I138" s="59"/>
      <c r="J138" s="62" t="s">
        <v>4506</v>
      </c>
      <c r="K138" s="59"/>
      <c r="L138" s="59"/>
      <c r="M138" s="56" t="s">
        <v>4983</v>
      </c>
      <c r="N138" s="56" t="s">
        <v>2533</v>
      </c>
      <c r="O138" s="59"/>
      <c r="P138" s="56" t="s">
        <v>4508</v>
      </c>
      <c r="Q138" s="61" t="s">
        <v>394</v>
      </c>
      <c r="R138" s="58" t="s">
        <v>4984</v>
      </c>
      <c r="T138" s="55" t="b">
        <f t="shared" si="1"/>
        <v>0</v>
      </c>
    </row>
    <row r="139" ht="15.0" customHeight="1">
      <c r="A139" s="56" t="s">
        <v>145</v>
      </c>
      <c r="B139" s="56" t="s">
        <v>1235</v>
      </c>
      <c r="C139" s="57" t="s">
        <v>1236</v>
      </c>
      <c r="D139" s="58">
        <v>1.2108412881E10</v>
      </c>
      <c r="E139" s="56" t="s">
        <v>2491</v>
      </c>
      <c r="F139" s="56" t="s">
        <v>399</v>
      </c>
      <c r="G139" s="56" t="s">
        <v>365</v>
      </c>
      <c r="H139" s="62" t="s">
        <v>366</v>
      </c>
      <c r="I139" s="59"/>
      <c r="J139" s="62" t="s">
        <v>497</v>
      </c>
      <c r="K139" s="59"/>
      <c r="L139" s="59"/>
      <c r="M139" s="56" t="s">
        <v>4985</v>
      </c>
      <c r="N139" s="56" t="s">
        <v>4986</v>
      </c>
      <c r="O139" s="59"/>
      <c r="P139" s="56" t="s">
        <v>4496</v>
      </c>
      <c r="Q139" s="61" t="s">
        <v>373</v>
      </c>
      <c r="R139" s="56" t="s">
        <v>4559</v>
      </c>
      <c r="T139" s="55" t="b">
        <f t="shared" si="1"/>
        <v>0</v>
      </c>
    </row>
    <row r="140" ht="15.0" customHeight="1">
      <c r="A140" s="56" t="s">
        <v>306</v>
      </c>
      <c r="B140" s="56" t="s">
        <v>3272</v>
      </c>
      <c r="C140" s="57" t="s">
        <v>3273</v>
      </c>
      <c r="D140" s="58">
        <v>8.17456718E9</v>
      </c>
      <c r="E140" s="56" t="s">
        <v>4987</v>
      </c>
      <c r="F140" s="56" t="s">
        <v>379</v>
      </c>
      <c r="G140" s="56" t="s">
        <v>365</v>
      </c>
      <c r="H140" s="62" t="s">
        <v>366</v>
      </c>
      <c r="I140" s="59"/>
      <c r="J140" s="62" t="s">
        <v>4499</v>
      </c>
      <c r="K140" s="59"/>
      <c r="L140" s="59"/>
      <c r="M140" s="56" t="s">
        <v>3272</v>
      </c>
      <c r="N140" s="56" t="s">
        <v>669</v>
      </c>
      <c r="O140" s="59"/>
      <c r="P140" s="56" t="s">
        <v>4501</v>
      </c>
      <c r="Q140" s="61" t="s">
        <v>394</v>
      </c>
      <c r="R140" s="58" t="s">
        <v>4988</v>
      </c>
      <c r="T140" s="55" t="b">
        <f t="shared" si="1"/>
        <v>0</v>
      </c>
    </row>
    <row r="141" ht="15.0" customHeight="1">
      <c r="A141" s="56" t="s">
        <v>146</v>
      </c>
      <c r="B141" s="56" t="s">
        <v>4989</v>
      </c>
      <c r="C141" s="57" t="s">
        <v>4990</v>
      </c>
      <c r="D141" s="56" t="s">
        <v>4991</v>
      </c>
      <c r="E141" s="56" t="s">
        <v>2286</v>
      </c>
      <c r="F141" s="56" t="s">
        <v>364</v>
      </c>
      <c r="G141" s="56" t="s">
        <v>412</v>
      </c>
      <c r="H141" s="62" t="s">
        <v>366</v>
      </c>
      <c r="I141" s="59"/>
      <c r="J141" s="62" t="s">
        <v>4573</v>
      </c>
      <c r="K141" s="59"/>
      <c r="L141" s="59"/>
      <c r="M141" s="59"/>
      <c r="N141" s="56" t="s">
        <v>2236</v>
      </c>
      <c r="O141" s="59"/>
      <c r="P141" s="56" t="s">
        <v>4501</v>
      </c>
      <c r="Q141" s="61" t="s">
        <v>373</v>
      </c>
      <c r="R141" s="58" t="s">
        <v>4992</v>
      </c>
      <c r="T141" s="55" t="b">
        <f t="shared" si="1"/>
        <v>0</v>
      </c>
    </row>
    <row r="142" ht="15.0" customHeight="1">
      <c r="A142" s="56" t="s">
        <v>307</v>
      </c>
      <c r="B142" s="56" t="s">
        <v>1460</v>
      </c>
      <c r="C142" s="57" t="s">
        <v>1243</v>
      </c>
      <c r="D142" s="56" t="s">
        <v>4993</v>
      </c>
      <c r="E142" s="56" t="s">
        <v>2447</v>
      </c>
      <c r="F142" s="56" t="s">
        <v>364</v>
      </c>
      <c r="G142" s="56" t="s">
        <v>365</v>
      </c>
      <c r="H142" s="62" t="s">
        <v>413</v>
      </c>
      <c r="I142" s="59"/>
      <c r="J142" s="62" t="s">
        <v>4994</v>
      </c>
      <c r="K142" s="59"/>
      <c r="L142" s="59"/>
      <c r="M142" s="59"/>
      <c r="N142" s="56" t="s">
        <v>3503</v>
      </c>
      <c r="O142" s="59"/>
      <c r="P142" s="56" t="s">
        <v>4508</v>
      </c>
      <c r="Q142" s="61" t="s">
        <v>394</v>
      </c>
      <c r="R142" s="58" t="s">
        <v>4995</v>
      </c>
      <c r="T142" s="55" t="b">
        <f t="shared" si="1"/>
        <v>0</v>
      </c>
    </row>
    <row r="143" ht="15.0" customHeight="1">
      <c r="A143" s="56" t="s">
        <v>4996</v>
      </c>
      <c r="B143" s="56" t="s">
        <v>3289</v>
      </c>
      <c r="C143" s="57" t="s">
        <v>3290</v>
      </c>
      <c r="D143" s="56" t="s">
        <v>3291</v>
      </c>
      <c r="E143" s="56" t="s">
        <v>2801</v>
      </c>
      <c r="F143" s="56" t="s">
        <v>379</v>
      </c>
      <c r="G143" s="56" t="s">
        <v>365</v>
      </c>
      <c r="H143" s="62" t="s">
        <v>366</v>
      </c>
      <c r="I143" s="59"/>
      <c r="J143" s="56" t="s">
        <v>4499</v>
      </c>
      <c r="K143" s="58">
        <v>0.0</v>
      </c>
      <c r="L143" s="58">
        <v>1.0</v>
      </c>
      <c r="M143" s="56" t="s">
        <v>4997</v>
      </c>
      <c r="N143" s="56" t="s">
        <v>2522</v>
      </c>
      <c r="O143" s="59"/>
      <c r="P143" s="56" t="s">
        <v>4501</v>
      </c>
      <c r="Q143" s="61" t="s">
        <v>373</v>
      </c>
      <c r="R143" s="56" t="s">
        <v>4559</v>
      </c>
      <c r="T143" s="55" t="b">
        <f t="shared" si="1"/>
        <v>0</v>
      </c>
    </row>
    <row r="144" ht="15.0" customHeight="1">
      <c r="A144" s="56" t="s">
        <v>4998</v>
      </c>
      <c r="B144" s="56" t="s">
        <v>4999</v>
      </c>
      <c r="C144" s="57" t="s">
        <v>5000</v>
      </c>
      <c r="D144" s="58">
        <v>4.796403325E9</v>
      </c>
      <c r="E144" s="56" t="s">
        <v>2491</v>
      </c>
      <c r="F144" s="56" t="s">
        <v>379</v>
      </c>
      <c r="G144" s="56" t="s">
        <v>365</v>
      </c>
      <c r="H144" s="62" t="s">
        <v>413</v>
      </c>
      <c r="I144" s="59"/>
      <c r="J144" s="62" t="s">
        <v>381</v>
      </c>
      <c r="K144" s="59"/>
      <c r="L144" s="59"/>
      <c r="M144" s="56" t="s">
        <v>5001</v>
      </c>
      <c r="N144" s="56" t="s">
        <v>2228</v>
      </c>
      <c r="O144" s="59"/>
      <c r="P144" s="56" t="s">
        <v>4496</v>
      </c>
      <c r="Q144" s="61" t="s">
        <v>394</v>
      </c>
      <c r="R144" s="58" t="s">
        <v>5002</v>
      </c>
      <c r="T144" s="55" t="b">
        <f t="shared" si="1"/>
        <v>0</v>
      </c>
    </row>
    <row r="145" ht="15.0" customHeight="1">
      <c r="A145" s="56" t="s">
        <v>147</v>
      </c>
      <c r="B145" s="56" t="s">
        <v>1254</v>
      </c>
      <c r="C145" s="57" t="s">
        <v>1255</v>
      </c>
      <c r="D145" s="58">
        <v>8.306258555E9</v>
      </c>
      <c r="E145" s="56" t="s">
        <v>2286</v>
      </c>
      <c r="F145" s="56" t="s">
        <v>399</v>
      </c>
      <c r="G145" s="56" t="s">
        <v>365</v>
      </c>
      <c r="H145" s="62" t="s">
        <v>413</v>
      </c>
      <c r="I145" s="59"/>
      <c r="J145" s="56" t="s">
        <v>4499</v>
      </c>
      <c r="K145" s="58">
        <v>1.0</v>
      </c>
      <c r="L145" s="59"/>
      <c r="M145" s="59"/>
      <c r="N145" s="56" t="s">
        <v>2698</v>
      </c>
      <c r="O145" s="59"/>
      <c r="P145" s="56" t="s">
        <v>4501</v>
      </c>
      <c r="Q145" s="61" t="s">
        <v>373</v>
      </c>
      <c r="R145" s="58" t="s">
        <v>5003</v>
      </c>
      <c r="T145" s="55" t="b">
        <f t="shared" si="1"/>
        <v>0</v>
      </c>
    </row>
    <row r="146" ht="15.0" customHeight="1">
      <c r="A146" s="56" t="s">
        <v>148</v>
      </c>
      <c r="B146" s="56" t="s">
        <v>1259</v>
      </c>
      <c r="C146" s="57" t="s">
        <v>1260</v>
      </c>
      <c r="D146" s="56" t="s">
        <v>5004</v>
      </c>
      <c r="E146" s="56" t="s">
        <v>2287</v>
      </c>
      <c r="F146" s="56" t="s">
        <v>364</v>
      </c>
      <c r="G146" s="56" t="s">
        <v>520</v>
      </c>
      <c r="H146" s="62" t="s">
        <v>413</v>
      </c>
      <c r="I146" s="59"/>
      <c r="J146" s="62" t="s">
        <v>4499</v>
      </c>
      <c r="K146" s="59"/>
      <c r="L146" s="59"/>
      <c r="M146" s="56" t="s">
        <v>5005</v>
      </c>
      <c r="N146" s="56" t="s">
        <v>3620</v>
      </c>
      <c r="O146" s="59"/>
      <c r="P146" s="56" t="s">
        <v>4501</v>
      </c>
      <c r="Q146" s="61" t="s">
        <v>373</v>
      </c>
      <c r="R146" s="58" t="s">
        <v>5006</v>
      </c>
      <c r="T146" s="55" t="b">
        <f t="shared" si="1"/>
        <v>0</v>
      </c>
    </row>
    <row r="147" ht="15.0" customHeight="1">
      <c r="A147" s="56" t="s">
        <v>308</v>
      </c>
      <c r="B147" s="56" t="s">
        <v>3309</v>
      </c>
      <c r="C147" s="57" t="s">
        <v>3310</v>
      </c>
      <c r="D147" s="58">
        <v>9.719174229E9</v>
      </c>
      <c r="E147" s="56" t="s">
        <v>5007</v>
      </c>
      <c r="F147" s="56" t="s">
        <v>379</v>
      </c>
      <c r="G147" s="56" t="s">
        <v>365</v>
      </c>
      <c r="H147" s="62" t="s">
        <v>413</v>
      </c>
      <c r="I147" s="59"/>
      <c r="J147" s="62" t="s">
        <v>4506</v>
      </c>
      <c r="K147" s="59"/>
      <c r="L147" s="59"/>
      <c r="M147" s="56" t="s">
        <v>5008</v>
      </c>
      <c r="N147" s="56" t="s">
        <v>1117</v>
      </c>
      <c r="O147" s="59"/>
      <c r="P147" s="56" t="s">
        <v>4508</v>
      </c>
      <c r="Q147" s="61" t="s">
        <v>394</v>
      </c>
      <c r="R147" s="56" t="s">
        <v>4559</v>
      </c>
      <c r="T147" s="55" t="b">
        <f t="shared" si="1"/>
        <v>0</v>
      </c>
    </row>
    <row r="148" ht="15.0" customHeight="1">
      <c r="A148" s="56" t="s">
        <v>150</v>
      </c>
      <c r="B148" s="56" t="s">
        <v>5009</v>
      </c>
      <c r="C148" s="57" t="s">
        <v>5010</v>
      </c>
      <c r="D148" s="56" t="s">
        <v>5011</v>
      </c>
      <c r="E148" s="56" t="s">
        <v>2286</v>
      </c>
      <c r="F148" s="56" t="s">
        <v>379</v>
      </c>
      <c r="G148" s="56" t="s">
        <v>365</v>
      </c>
      <c r="H148" s="62" t="s">
        <v>513</v>
      </c>
      <c r="I148" s="59"/>
      <c r="J148" s="62" t="s">
        <v>4506</v>
      </c>
      <c r="K148" s="59"/>
      <c r="L148" s="59"/>
      <c r="M148" s="56" t="s">
        <v>5012</v>
      </c>
      <c r="N148" s="56" t="s">
        <v>547</v>
      </c>
      <c r="O148" s="59"/>
      <c r="P148" s="56" t="s">
        <v>4508</v>
      </c>
      <c r="Q148" s="61" t="s">
        <v>394</v>
      </c>
      <c r="R148" s="56" t="s">
        <v>4559</v>
      </c>
      <c r="T148" s="55" t="b">
        <f t="shared" si="1"/>
        <v>1</v>
      </c>
    </row>
    <row r="149" ht="15.0" customHeight="1">
      <c r="A149" s="56" t="s">
        <v>151</v>
      </c>
      <c r="B149" s="56" t="s">
        <v>1274</v>
      </c>
      <c r="C149" s="57" t="s">
        <v>1275</v>
      </c>
      <c r="D149" s="56" t="s">
        <v>5013</v>
      </c>
      <c r="E149" s="56" t="s">
        <v>3328</v>
      </c>
      <c r="F149" s="56" t="s">
        <v>379</v>
      </c>
      <c r="G149" s="56" t="s">
        <v>520</v>
      </c>
      <c r="H149" s="62" t="s">
        <v>366</v>
      </c>
      <c r="I149" s="59"/>
      <c r="J149" s="62" t="s">
        <v>497</v>
      </c>
      <c r="K149" s="59"/>
      <c r="L149" s="59"/>
      <c r="M149" s="56" t="s">
        <v>5014</v>
      </c>
      <c r="N149" s="56" t="s">
        <v>4446</v>
      </c>
      <c r="O149" s="59"/>
      <c r="P149" s="56" t="s">
        <v>4496</v>
      </c>
      <c r="Q149" s="61" t="s">
        <v>373</v>
      </c>
      <c r="R149" s="58" t="s">
        <v>5015</v>
      </c>
      <c r="T149" s="55" t="b">
        <f t="shared" si="1"/>
        <v>0</v>
      </c>
    </row>
    <row r="150" ht="15.0" customHeight="1">
      <c r="A150" s="56" t="s">
        <v>152</v>
      </c>
      <c r="B150" s="56" t="s">
        <v>3331</v>
      </c>
      <c r="C150" s="57" t="s">
        <v>3332</v>
      </c>
      <c r="D150" s="56" t="s">
        <v>5016</v>
      </c>
      <c r="E150" s="56" t="s">
        <v>4473</v>
      </c>
      <c r="F150" s="56" t="s">
        <v>364</v>
      </c>
      <c r="G150" s="56" t="s">
        <v>520</v>
      </c>
      <c r="H150" s="62" t="s">
        <v>366</v>
      </c>
      <c r="I150" s="59"/>
      <c r="J150" s="62" t="s">
        <v>4499</v>
      </c>
      <c r="K150" s="59"/>
      <c r="L150" s="59"/>
      <c r="M150" s="56" t="s">
        <v>5017</v>
      </c>
      <c r="N150" s="56" t="s">
        <v>2148</v>
      </c>
      <c r="O150" s="59"/>
      <c r="P150" s="56" t="s">
        <v>4501</v>
      </c>
      <c r="Q150" s="61" t="s">
        <v>373</v>
      </c>
      <c r="R150" s="56" t="s">
        <v>4559</v>
      </c>
      <c r="T150" s="55" t="b">
        <f t="shared" si="1"/>
        <v>0</v>
      </c>
    </row>
    <row r="151" ht="15.0" customHeight="1">
      <c r="A151" s="56" t="s">
        <v>1283</v>
      </c>
      <c r="B151" s="56" t="s">
        <v>1284</v>
      </c>
      <c r="C151" s="57" t="s">
        <v>1285</v>
      </c>
      <c r="D151" s="56" t="s">
        <v>5018</v>
      </c>
      <c r="E151" s="56" t="s">
        <v>2614</v>
      </c>
      <c r="F151" s="56" t="s">
        <v>364</v>
      </c>
      <c r="G151" s="56" t="s">
        <v>365</v>
      </c>
      <c r="H151" s="62" t="s">
        <v>366</v>
      </c>
      <c r="I151" s="59"/>
      <c r="J151" s="62" t="s">
        <v>381</v>
      </c>
      <c r="K151" s="59"/>
      <c r="L151" s="59"/>
      <c r="M151" s="56" t="s">
        <v>5019</v>
      </c>
      <c r="N151" s="56" t="s">
        <v>1798</v>
      </c>
      <c r="O151" s="59"/>
      <c r="P151" s="56" t="s">
        <v>4496</v>
      </c>
      <c r="Q151" s="61" t="s">
        <v>394</v>
      </c>
      <c r="R151" s="58" t="s">
        <v>5020</v>
      </c>
      <c r="T151" s="55" t="b">
        <f t="shared" si="1"/>
        <v>0</v>
      </c>
    </row>
    <row r="152" ht="15.0" customHeight="1">
      <c r="A152" s="56" t="s">
        <v>154</v>
      </c>
      <c r="B152" s="56" t="s">
        <v>1290</v>
      </c>
      <c r="C152" s="57" t="s">
        <v>1291</v>
      </c>
      <c r="D152" s="56" t="s">
        <v>5021</v>
      </c>
      <c r="E152" s="56" t="s">
        <v>5022</v>
      </c>
      <c r="F152" s="56" t="s">
        <v>364</v>
      </c>
      <c r="G152" s="56" t="s">
        <v>667</v>
      </c>
      <c r="H152" s="62" t="s">
        <v>366</v>
      </c>
      <c r="I152" s="59"/>
      <c r="J152" s="56" t="s">
        <v>4506</v>
      </c>
      <c r="K152" s="58">
        <v>1.0</v>
      </c>
      <c r="L152" s="59"/>
      <c r="M152" s="56" t="s">
        <v>5023</v>
      </c>
      <c r="N152" s="56" t="s">
        <v>5024</v>
      </c>
      <c r="O152" s="59"/>
      <c r="P152" s="56" t="s">
        <v>4508</v>
      </c>
      <c r="Q152" s="61" t="s">
        <v>394</v>
      </c>
      <c r="R152" s="56" t="s">
        <v>4559</v>
      </c>
      <c r="T152" s="55" t="b">
        <f t="shared" si="1"/>
        <v>0</v>
      </c>
    </row>
    <row r="153" ht="15.0" customHeight="1">
      <c r="A153" s="56" t="s">
        <v>155</v>
      </c>
      <c r="B153" s="56" t="s">
        <v>1297</v>
      </c>
      <c r="C153" s="57" t="s">
        <v>1298</v>
      </c>
      <c r="D153" s="56" t="s">
        <v>5025</v>
      </c>
      <c r="E153" s="56" t="s">
        <v>3351</v>
      </c>
      <c r="F153" s="56" t="s">
        <v>364</v>
      </c>
      <c r="G153" s="56" t="s">
        <v>365</v>
      </c>
      <c r="H153" s="62" t="s">
        <v>413</v>
      </c>
      <c r="I153" s="59"/>
      <c r="J153" s="62" t="s">
        <v>1301</v>
      </c>
      <c r="K153" s="59"/>
      <c r="L153" s="59"/>
      <c r="M153" s="56" t="s">
        <v>5026</v>
      </c>
      <c r="N153" s="56" t="s">
        <v>900</v>
      </c>
      <c r="O153" s="59"/>
      <c r="P153" s="56" t="s">
        <v>4496</v>
      </c>
      <c r="Q153" s="61" t="s">
        <v>373</v>
      </c>
      <c r="R153" s="56" t="s">
        <v>4559</v>
      </c>
      <c r="T153" s="55" t="b">
        <f t="shared" si="1"/>
        <v>0</v>
      </c>
    </row>
    <row r="154" ht="15.0" customHeight="1">
      <c r="A154" s="56" t="s">
        <v>156</v>
      </c>
      <c r="B154" s="56" t="s">
        <v>5027</v>
      </c>
      <c r="C154" s="57" t="s">
        <v>5028</v>
      </c>
      <c r="D154" s="56" t="s">
        <v>5029</v>
      </c>
      <c r="E154" s="56" t="s">
        <v>2286</v>
      </c>
      <c r="F154" s="56" t="s">
        <v>399</v>
      </c>
      <c r="G154" s="56" t="s">
        <v>365</v>
      </c>
      <c r="H154" s="62" t="s">
        <v>513</v>
      </c>
      <c r="I154" s="59"/>
      <c r="J154" s="62" t="s">
        <v>4506</v>
      </c>
      <c r="K154" s="59"/>
      <c r="L154" s="59"/>
      <c r="M154" s="59"/>
      <c r="N154" s="56" t="s">
        <v>857</v>
      </c>
      <c r="O154" s="59"/>
      <c r="P154" s="56" t="s">
        <v>4508</v>
      </c>
      <c r="Q154" s="61" t="s">
        <v>394</v>
      </c>
      <c r="R154" s="58" t="s">
        <v>5030</v>
      </c>
      <c r="T154" s="55" t="b">
        <f t="shared" si="1"/>
        <v>1</v>
      </c>
    </row>
    <row r="155" ht="15.0" customHeight="1">
      <c r="A155" s="56" t="s">
        <v>5031</v>
      </c>
      <c r="B155" s="56" t="s">
        <v>5032</v>
      </c>
      <c r="C155" s="57" t="s">
        <v>5033</v>
      </c>
      <c r="D155" s="58">
        <v>3.12793155E9</v>
      </c>
      <c r="E155" s="56" t="s">
        <v>5034</v>
      </c>
      <c r="F155" s="56" t="s">
        <v>379</v>
      </c>
      <c r="G155" s="56" t="s">
        <v>365</v>
      </c>
      <c r="H155" s="62" t="s">
        <v>366</v>
      </c>
      <c r="I155" s="59"/>
      <c r="J155" s="62" t="s">
        <v>4506</v>
      </c>
      <c r="K155" s="59"/>
      <c r="L155" s="59"/>
      <c r="M155" s="59"/>
      <c r="N155" s="56" t="s">
        <v>1295</v>
      </c>
      <c r="O155" s="59"/>
      <c r="P155" s="56" t="s">
        <v>4508</v>
      </c>
      <c r="Q155" s="61" t="s">
        <v>394</v>
      </c>
      <c r="R155" s="58" t="s">
        <v>5035</v>
      </c>
      <c r="T155" s="55" t="b">
        <f t="shared" si="1"/>
        <v>0</v>
      </c>
    </row>
    <row r="156" ht="15.0" customHeight="1">
      <c r="A156" s="56" t="s">
        <v>5036</v>
      </c>
      <c r="B156" s="56" t="s">
        <v>3360</v>
      </c>
      <c r="C156" s="57" t="s">
        <v>3361</v>
      </c>
      <c r="D156" s="58">
        <v>3.094306564E9</v>
      </c>
      <c r="E156" s="56" t="s">
        <v>2491</v>
      </c>
      <c r="F156" s="56" t="s">
        <v>379</v>
      </c>
      <c r="G156" s="56" t="s">
        <v>365</v>
      </c>
      <c r="H156" s="62" t="s">
        <v>413</v>
      </c>
      <c r="I156" s="59"/>
      <c r="J156" s="62" t="s">
        <v>4499</v>
      </c>
      <c r="K156" s="59"/>
      <c r="L156" s="59"/>
      <c r="M156" s="59"/>
      <c r="N156" s="56" t="s">
        <v>3422</v>
      </c>
      <c r="O156" s="59"/>
      <c r="P156" s="56" t="s">
        <v>4501</v>
      </c>
      <c r="Q156" s="61" t="s">
        <v>373</v>
      </c>
      <c r="R156" s="58" t="s">
        <v>5037</v>
      </c>
      <c r="T156" s="55" t="b">
        <f t="shared" si="1"/>
        <v>0</v>
      </c>
    </row>
    <row r="157" ht="15.0" customHeight="1">
      <c r="A157" s="56" t="s">
        <v>309</v>
      </c>
      <c r="B157" s="56" t="s">
        <v>3363</v>
      </c>
      <c r="C157" s="57" t="s">
        <v>3364</v>
      </c>
      <c r="D157" s="58">
        <v>3.462240832E9</v>
      </c>
      <c r="E157" s="56" t="s">
        <v>411</v>
      </c>
      <c r="F157" s="56" t="s">
        <v>379</v>
      </c>
      <c r="G157" s="56" t="s">
        <v>365</v>
      </c>
      <c r="H157" s="62" t="s">
        <v>366</v>
      </c>
      <c r="I157" s="59"/>
      <c r="J157" s="56" t="s">
        <v>4499</v>
      </c>
      <c r="K157" s="58">
        <v>0.0</v>
      </c>
      <c r="L157" s="58">
        <v>0.0</v>
      </c>
      <c r="M157" s="59"/>
      <c r="N157" s="56" t="s">
        <v>2329</v>
      </c>
      <c r="O157" s="59"/>
      <c r="P157" s="56" t="s">
        <v>4501</v>
      </c>
      <c r="Q157" s="61" t="s">
        <v>373</v>
      </c>
      <c r="R157" s="58" t="s">
        <v>5038</v>
      </c>
      <c r="T157" s="55" t="b">
        <f t="shared" si="1"/>
        <v>0</v>
      </c>
    </row>
    <row r="158" ht="15.0" customHeight="1">
      <c r="A158" s="56" t="s">
        <v>3368</v>
      </c>
      <c r="B158" s="56" t="s">
        <v>3369</v>
      </c>
      <c r="C158" s="57" t="s">
        <v>3370</v>
      </c>
      <c r="D158" s="58">
        <v>5.126791957E9</v>
      </c>
      <c r="E158" s="56" t="s">
        <v>2286</v>
      </c>
      <c r="F158" s="56" t="s">
        <v>379</v>
      </c>
      <c r="G158" s="56" t="s">
        <v>365</v>
      </c>
      <c r="H158" s="62" t="s">
        <v>366</v>
      </c>
      <c r="I158" s="59"/>
      <c r="J158" s="62" t="s">
        <v>4506</v>
      </c>
      <c r="K158" s="59"/>
      <c r="L158" s="59"/>
      <c r="M158" s="56" t="s">
        <v>5039</v>
      </c>
      <c r="N158" s="56" t="s">
        <v>1272</v>
      </c>
      <c r="O158" s="59"/>
      <c r="P158" s="56" t="s">
        <v>4508</v>
      </c>
      <c r="Q158" s="61" t="s">
        <v>394</v>
      </c>
      <c r="R158" s="56" t="s">
        <v>4559</v>
      </c>
      <c r="T158" s="55" t="b">
        <f t="shared" si="1"/>
        <v>0</v>
      </c>
    </row>
    <row r="159" ht="15.0" customHeight="1">
      <c r="A159" s="56" t="s">
        <v>310</v>
      </c>
      <c r="B159" s="56" t="s">
        <v>1313</v>
      </c>
      <c r="C159" s="57" t="s">
        <v>1314</v>
      </c>
      <c r="D159" s="56" t="s">
        <v>3378</v>
      </c>
      <c r="E159" s="56" t="s">
        <v>452</v>
      </c>
      <c r="F159" s="56" t="s">
        <v>399</v>
      </c>
      <c r="G159" s="56" t="s">
        <v>405</v>
      </c>
      <c r="H159" s="62" t="s">
        <v>413</v>
      </c>
      <c r="I159" s="59"/>
      <c r="J159" s="62" t="s">
        <v>4499</v>
      </c>
      <c r="K159" s="59"/>
      <c r="L159" s="59"/>
      <c r="M159" s="59"/>
      <c r="N159" s="56" t="s">
        <v>3371</v>
      </c>
      <c r="O159" s="59"/>
      <c r="P159" s="56" t="s">
        <v>4501</v>
      </c>
      <c r="Q159" s="61" t="s">
        <v>373</v>
      </c>
      <c r="R159" s="58" t="s">
        <v>5040</v>
      </c>
      <c r="T159" s="55" t="b">
        <f t="shared" si="1"/>
        <v>0</v>
      </c>
    </row>
    <row r="160" ht="15.0" customHeight="1">
      <c r="A160" s="56" t="s">
        <v>5041</v>
      </c>
      <c r="B160" s="56" t="s">
        <v>5042</v>
      </c>
      <c r="C160" s="57" t="s">
        <v>5043</v>
      </c>
      <c r="D160" s="56" t="s">
        <v>5044</v>
      </c>
      <c r="E160" s="56" t="s">
        <v>5045</v>
      </c>
      <c r="F160" s="56" t="s">
        <v>364</v>
      </c>
      <c r="G160" s="56" t="s">
        <v>412</v>
      </c>
      <c r="H160" s="62" t="s">
        <v>366</v>
      </c>
      <c r="I160" s="59"/>
      <c r="J160" s="62" t="s">
        <v>4499</v>
      </c>
      <c r="K160" s="59"/>
      <c r="L160" s="59"/>
      <c r="M160" s="56" t="s">
        <v>2156</v>
      </c>
      <c r="N160" s="56" t="s">
        <v>3979</v>
      </c>
      <c r="O160" s="59"/>
      <c r="P160" s="56" t="s">
        <v>4501</v>
      </c>
      <c r="Q160" s="61" t="s">
        <v>373</v>
      </c>
      <c r="R160" s="58" t="s">
        <v>5046</v>
      </c>
      <c r="T160" s="55" t="b">
        <f t="shared" si="1"/>
        <v>0</v>
      </c>
    </row>
    <row r="161" ht="15.0" customHeight="1">
      <c r="A161" s="56" t="s">
        <v>1319</v>
      </c>
      <c r="B161" s="56" t="s">
        <v>5047</v>
      </c>
      <c r="C161" s="57" t="s">
        <v>5048</v>
      </c>
      <c r="D161" s="56" t="s">
        <v>5049</v>
      </c>
      <c r="E161" s="56" t="s">
        <v>5050</v>
      </c>
      <c r="F161" s="56" t="s">
        <v>364</v>
      </c>
      <c r="G161" s="56" t="s">
        <v>412</v>
      </c>
      <c r="H161" s="62" t="s">
        <v>366</v>
      </c>
      <c r="I161" s="59"/>
      <c r="J161" s="62" t="s">
        <v>4506</v>
      </c>
      <c r="K161" s="59"/>
      <c r="L161" s="59"/>
      <c r="M161" s="56" t="s">
        <v>5047</v>
      </c>
      <c r="N161" s="56" t="s">
        <v>2944</v>
      </c>
      <c r="O161" s="59"/>
      <c r="P161" s="56" t="s">
        <v>4508</v>
      </c>
      <c r="Q161" s="61" t="s">
        <v>394</v>
      </c>
      <c r="R161" s="58" t="s">
        <v>5051</v>
      </c>
      <c r="T161" s="55" t="b">
        <f t="shared" si="1"/>
        <v>0</v>
      </c>
    </row>
    <row r="162" ht="15.0" customHeight="1">
      <c r="A162" s="56" t="s">
        <v>158</v>
      </c>
      <c r="B162" s="56" t="s">
        <v>1332</v>
      </c>
      <c r="C162" s="57" t="s">
        <v>1333</v>
      </c>
      <c r="D162" s="56" t="s">
        <v>5052</v>
      </c>
      <c r="E162" s="56" t="s">
        <v>2614</v>
      </c>
      <c r="F162" s="56" t="s">
        <v>399</v>
      </c>
      <c r="G162" s="56" t="s">
        <v>520</v>
      </c>
      <c r="H162" s="62" t="s">
        <v>513</v>
      </c>
      <c r="I162" s="59"/>
      <c r="J162" s="62" t="s">
        <v>381</v>
      </c>
      <c r="K162" s="59"/>
      <c r="L162" s="59"/>
      <c r="M162" s="56" t="s">
        <v>1334</v>
      </c>
      <c r="N162" s="56" t="s">
        <v>2141</v>
      </c>
      <c r="O162" s="59"/>
      <c r="P162" s="56" t="s">
        <v>4496</v>
      </c>
      <c r="Q162" s="61" t="s">
        <v>373</v>
      </c>
      <c r="R162" s="58" t="s">
        <v>5053</v>
      </c>
      <c r="T162" s="55" t="b">
        <f t="shared" si="1"/>
        <v>1</v>
      </c>
    </row>
    <row r="163" ht="15.0" customHeight="1">
      <c r="A163" s="56" t="s">
        <v>3411</v>
      </c>
      <c r="B163" s="56" t="s">
        <v>5054</v>
      </c>
      <c r="C163" s="57" t="s">
        <v>5055</v>
      </c>
      <c r="D163" s="58">
        <v>9.014909848E9</v>
      </c>
      <c r="E163" s="56" t="s">
        <v>5056</v>
      </c>
      <c r="F163" s="56" t="s">
        <v>379</v>
      </c>
      <c r="G163" s="56" t="s">
        <v>365</v>
      </c>
      <c r="H163" s="62" t="s">
        <v>366</v>
      </c>
      <c r="I163" s="59"/>
      <c r="J163" s="62" t="s">
        <v>4506</v>
      </c>
      <c r="K163" s="59"/>
      <c r="L163" s="59"/>
      <c r="M163" s="56" t="s">
        <v>5057</v>
      </c>
      <c r="N163" s="56" t="s">
        <v>1131</v>
      </c>
      <c r="O163" s="59"/>
      <c r="P163" s="56" t="s">
        <v>4508</v>
      </c>
      <c r="Q163" s="61" t="s">
        <v>394</v>
      </c>
      <c r="R163" s="58" t="s">
        <v>5058</v>
      </c>
      <c r="T163" s="55" t="b">
        <f t="shared" si="1"/>
        <v>0</v>
      </c>
    </row>
    <row r="164" ht="15.0" customHeight="1">
      <c r="A164" s="56" t="s">
        <v>159</v>
      </c>
      <c r="B164" s="56" t="s">
        <v>5059</v>
      </c>
      <c r="C164" s="57" t="s">
        <v>1338</v>
      </c>
      <c r="D164" s="58">
        <v>6.824720807E9</v>
      </c>
      <c r="E164" s="56" t="s">
        <v>5060</v>
      </c>
      <c r="F164" s="56" t="s">
        <v>364</v>
      </c>
      <c r="G164" s="56" t="s">
        <v>365</v>
      </c>
      <c r="H164" s="62" t="s">
        <v>513</v>
      </c>
      <c r="I164" s="59"/>
      <c r="J164" s="56" t="s">
        <v>4499</v>
      </c>
      <c r="K164" s="58">
        <v>1.0</v>
      </c>
      <c r="L164" s="59"/>
      <c r="M164" s="59"/>
      <c r="N164" s="56" t="s">
        <v>1083</v>
      </c>
      <c r="O164" s="59"/>
      <c r="P164" s="56" t="s">
        <v>4501</v>
      </c>
      <c r="Q164" s="61" t="s">
        <v>373</v>
      </c>
      <c r="R164" s="58" t="s">
        <v>5053</v>
      </c>
      <c r="T164" s="55" t="b">
        <f t="shared" si="1"/>
        <v>1</v>
      </c>
    </row>
    <row r="165" ht="15.0" customHeight="1">
      <c r="A165" s="56" t="s">
        <v>160</v>
      </c>
      <c r="B165" s="56" t="s">
        <v>1351</v>
      </c>
      <c r="C165" s="57" t="s">
        <v>1352</v>
      </c>
      <c r="D165" s="56" t="s">
        <v>5061</v>
      </c>
      <c r="E165" s="56" t="s">
        <v>3197</v>
      </c>
      <c r="F165" s="56" t="s">
        <v>379</v>
      </c>
      <c r="G165" s="56" t="s">
        <v>412</v>
      </c>
      <c r="H165" s="62" t="s">
        <v>413</v>
      </c>
      <c r="I165" s="59"/>
      <c r="J165" s="56" t="s">
        <v>381</v>
      </c>
      <c r="K165" s="58">
        <v>0.0</v>
      </c>
      <c r="L165" s="59"/>
      <c r="M165" s="56" t="s">
        <v>5062</v>
      </c>
      <c r="N165" s="56" t="s">
        <v>21</v>
      </c>
      <c r="O165" s="59"/>
      <c r="P165" s="56" t="s">
        <v>4496</v>
      </c>
      <c r="Q165" s="61" t="s">
        <v>394</v>
      </c>
      <c r="R165" s="58" t="s">
        <v>5063</v>
      </c>
      <c r="T165" s="55" t="b">
        <f t="shared" si="1"/>
        <v>0</v>
      </c>
    </row>
    <row r="166" ht="15.0" customHeight="1">
      <c r="A166" s="56" t="s">
        <v>161</v>
      </c>
      <c r="B166" s="56" t="s">
        <v>5064</v>
      </c>
      <c r="C166" s="57" t="s">
        <v>5065</v>
      </c>
      <c r="D166" s="56" t="s">
        <v>5066</v>
      </c>
      <c r="E166" s="56" t="s">
        <v>5067</v>
      </c>
      <c r="F166" s="56" t="s">
        <v>399</v>
      </c>
      <c r="G166" s="56" t="s">
        <v>667</v>
      </c>
      <c r="H166" s="62" t="s">
        <v>366</v>
      </c>
      <c r="I166" s="59"/>
      <c r="J166" s="62" t="s">
        <v>4506</v>
      </c>
      <c r="K166" s="59"/>
      <c r="L166" s="59"/>
      <c r="M166" s="56" t="s">
        <v>5068</v>
      </c>
      <c r="N166" s="56" t="s">
        <v>2373</v>
      </c>
      <c r="O166" s="59"/>
      <c r="P166" s="56" t="s">
        <v>4508</v>
      </c>
      <c r="Q166" s="61" t="s">
        <v>394</v>
      </c>
      <c r="R166" s="58" t="s">
        <v>5069</v>
      </c>
      <c r="T166" s="55" t="b">
        <f t="shared" si="1"/>
        <v>0</v>
      </c>
    </row>
    <row r="167" ht="15.0" customHeight="1">
      <c r="A167" s="56" t="s">
        <v>162</v>
      </c>
      <c r="B167" s="56" t="s">
        <v>1362</v>
      </c>
      <c r="C167" s="57" t="s">
        <v>1363</v>
      </c>
      <c r="D167" s="58">
        <v>0.0</v>
      </c>
      <c r="E167" s="56" t="s">
        <v>5070</v>
      </c>
      <c r="F167" s="56" t="s">
        <v>379</v>
      </c>
      <c r="G167" s="56" t="s">
        <v>412</v>
      </c>
      <c r="H167" s="62" t="s">
        <v>366</v>
      </c>
      <c r="I167" s="59"/>
      <c r="J167" s="62" t="s">
        <v>381</v>
      </c>
      <c r="K167" s="59"/>
      <c r="L167" s="59"/>
      <c r="M167" s="59"/>
      <c r="N167" s="56" t="s">
        <v>5071</v>
      </c>
      <c r="O167" s="59"/>
      <c r="P167" s="56" t="s">
        <v>4496</v>
      </c>
      <c r="Q167" s="61" t="s">
        <v>373</v>
      </c>
      <c r="R167" s="58" t="s">
        <v>5072</v>
      </c>
      <c r="T167" s="55" t="b">
        <f t="shared" si="1"/>
        <v>0</v>
      </c>
    </row>
    <row r="168" ht="15.0" customHeight="1">
      <c r="A168" s="56" t="s">
        <v>5073</v>
      </c>
      <c r="B168" s="56" t="s">
        <v>5074</v>
      </c>
      <c r="C168" s="57" t="s">
        <v>5075</v>
      </c>
      <c r="D168" s="58">
        <v>4.696783195E9</v>
      </c>
      <c r="E168" s="56" t="s">
        <v>2286</v>
      </c>
      <c r="F168" s="56" t="s">
        <v>399</v>
      </c>
      <c r="G168" s="56" t="s">
        <v>365</v>
      </c>
      <c r="H168" s="62" t="s">
        <v>513</v>
      </c>
      <c r="I168" s="59"/>
      <c r="J168" s="62" t="s">
        <v>4499</v>
      </c>
      <c r="K168" s="59"/>
      <c r="L168" s="59"/>
      <c r="M168" s="56" t="s">
        <v>5076</v>
      </c>
      <c r="N168" s="56" t="s">
        <v>3357</v>
      </c>
      <c r="O168" s="59"/>
      <c r="P168" s="56" t="s">
        <v>4501</v>
      </c>
      <c r="Q168" s="61" t="s">
        <v>373</v>
      </c>
      <c r="R168" s="56" t="s">
        <v>4559</v>
      </c>
      <c r="T168" s="55" t="b">
        <f t="shared" si="1"/>
        <v>1</v>
      </c>
    </row>
    <row r="169" ht="15.0" customHeight="1">
      <c r="A169" s="56" t="s">
        <v>1372</v>
      </c>
      <c r="B169" s="56" t="s">
        <v>1373</v>
      </c>
      <c r="C169" s="57" t="s">
        <v>1374</v>
      </c>
      <c r="D169" s="56" t="s">
        <v>1375</v>
      </c>
      <c r="E169" s="56" t="s">
        <v>5077</v>
      </c>
      <c r="F169" s="56" t="s">
        <v>379</v>
      </c>
      <c r="G169" s="56" t="s">
        <v>830</v>
      </c>
      <c r="H169" s="62" t="s">
        <v>869</v>
      </c>
      <c r="I169" s="59"/>
      <c r="J169" s="62" t="s">
        <v>381</v>
      </c>
      <c r="K169" s="59"/>
      <c r="L169" s="59"/>
      <c r="M169" s="56" t="s">
        <v>5078</v>
      </c>
      <c r="N169" s="56" t="s">
        <v>5079</v>
      </c>
      <c r="O169" s="59"/>
      <c r="P169" s="56" t="s">
        <v>4496</v>
      </c>
      <c r="Q169" s="61" t="s">
        <v>394</v>
      </c>
      <c r="R169" s="56" t="s">
        <v>4559</v>
      </c>
      <c r="T169" s="55" t="b">
        <f t="shared" si="1"/>
        <v>0</v>
      </c>
    </row>
    <row r="170" ht="15.0" customHeight="1">
      <c r="A170" s="56" t="s">
        <v>5080</v>
      </c>
      <c r="B170" s="56" t="s">
        <v>5081</v>
      </c>
      <c r="C170" s="57" t="s">
        <v>5082</v>
      </c>
      <c r="D170" s="56" t="s">
        <v>5083</v>
      </c>
      <c r="E170" s="56" t="s">
        <v>2614</v>
      </c>
      <c r="F170" s="56" t="s">
        <v>364</v>
      </c>
      <c r="G170" s="56" t="s">
        <v>365</v>
      </c>
      <c r="H170" s="62" t="s">
        <v>413</v>
      </c>
      <c r="I170" s="59"/>
      <c r="J170" s="62" t="s">
        <v>4499</v>
      </c>
      <c r="K170" s="59"/>
      <c r="L170" s="59"/>
      <c r="M170" s="59"/>
      <c r="N170" s="59"/>
      <c r="O170" s="59"/>
      <c r="P170" s="56" t="s">
        <v>4508</v>
      </c>
      <c r="Q170" s="61" t="s">
        <v>394</v>
      </c>
      <c r="R170" s="58" t="s">
        <v>5084</v>
      </c>
      <c r="T170" s="55" t="b">
        <f t="shared" si="1"/>
        <v>0</v>
      </c>
    </row>
    <row r="171" ht="15.0" customHeight="1">
      <c r="A171" s="56" t="s">
        <v>163</v>
      </c>
      <c r="B171" s="56" t="s">
        <v>5085</v>
      </c>
      <c r="C171" s="57" t="s">
        <v>5086</v>
      </c>
      <c r="D171" s="58">
        <v>8.133862915E9</v>
      </c>
      <c r="E171" s="56" t="s">
        <v>5087</v>
      </c>
      <c r="F171" s="56" t="s">
        <v>399</v>
      </c>
      <c r="G171" s="56" t="s">
        <v>365</v>
      </c>
      <c r="H171" s="62" t="s">
        <v>413</v>
      </c>
      <c r="I171" s="59"/>
      <c r="J171" s="62" t="s">
        <v>4499</v>
      </c>
      <c r="K171" s="59"/>
      <c r="L171" s="59"/>
      <c r="M171" s="59"/>
      <c r="N171" s="56" t="s">
        <v>3448</v>
      </c>
      <c r="O171" s="59"/>
      <c r="P171" s="56" t="s">
        <v>4501</v>
      </c>
      <c r="Q171" s="61" t="s">
        <v>373</v>
      </c>
      <c r="R171" s="58" t="s">
        <v>5088</v>
      </c>
      <c r="T171" s="55" t="b">
        <f t="shared" si="1"/>
        <v>0</v>
      </c>
    </row>
    <row r="172" ht="15.0" customHeight="1">
      <c r="A172" s="56" t="s">
        <v>5089</v>
      </c>
      <c r="B172" s="56" t="s">
        <v>5090</v>
      </c>
      <c r="C172" s="57" t="s">
        <v>5091</v>
      </c>
      <c r="D172" s="58">
        <v>7.132026429E9</v>
      </c>
      <c r="E172" s="56" t="s">
        <v>411</v>
      </c>
      <c r="F172" s="56" t="s">
        <v>379</v>
      </c>
      <c r="G172" s="56" t="s">
        <v>365</v>
      </c>
      <c r="H172" s="62" t="s">
        <v>366</v>
      </c>
      <c r="I172" s="59"/>
      <c r="J172" s="62" t="s">
        <v>4506</v>
      </c>
      <c r="K172" s="59"/>
      <c r="L172" s="59"/>
      <c r="M172" s="56" t="s">
        <v>5090</v>
      </c>
      <c r="N172" s="56" t="s">
        <v>3952</v>
      </c>
      <c r="O172" s="59"/>
      <c r="P172" s="56" t="s">
        <v>4508</v>
      </c>
      <c r="Q172" s="61" t="s">
        <v>394</v>
      </c>
      <c r="R172" s="58" t="s">
        <v>5092</v>
      </c>
      <c r="T172" s="55" t="b">
        <f t="shared" si="1"/>
        <v>0</v>
      </c>
    </row>
    <row r="173" ht="15.0" customHeight="1">
      <c r="A173" s="56" t="s">
        <v>3476</v>
      </c>
      <c r="B173" s="56" t="s">
        <v>3477</v>
      </c>
      <c r="C173" s="57" t="s">
        <v>3478</v>
      </c>
      <c r="D173" s="56" t="s">
        <v>5093</v>
      </c>
      <c r="E173" s="56" t="s">
        <v>3479</v>
      </c>
      <c r="F173" s="56" t="s">
        <v>364</v>
      </c>
      <c r="G173" s="56" t="s">
        <v>365</v>
      </c>
      <c r="H173" s="62" t="s">
        <v>366</v>
      </c>
      <c r="I173" s="59"/>
      <c r="J173" s="62" t="s">
        <v>4499</v>
      </c>
      <c r="K173" s="59"/>
      <c r="L173" s="59"/>
      <c r="M173" s="56" t="s">
        <v>5094</v>
      </c>
      <c r="N173" s="56" t="s">
        <v>863</v>
      </c>
      <c r="O173" s="59"/>
      <c r="P173" s="56" t="s">
        <v>4501</v>
      </c>
      <c r="Q173" s="61" t="s">
        <v>394</v>
      </c>
      <c r="R173" s="56" t="s">
        <v>4559</v>
      </c>
      <c r="T173" s="55" t="b">
        <f t="shared" si="1"/>
        <v>0</v>
      </c>
    </row>
    <row r="174" ht="15.0" customHeight="1">
      <c r="A174" s="56" t="s">
        <v>164</v>
      </c>
      <c r="B174" s="56" t="s">
        <v>1401</v>
      </c>
      <c r="C174" s="57" t="s">
        <v>1402</v>
      </c>
      <c r="D174" s="56" t="s">
        <v>5095</v>
      </c>
      <c r="E174" s="56" t="s">
        <v>2463</v>
      </c>
      <c r="F174" s="56" t="s">
        <v>379</v>
      </c>
      <c r="G174" s="56" t="s">
        <v>365</v>
      </c>
      <c r="H174" s="62" t="s">
        <v>413</v>
      </c>
      <c r="I174" s="59"/>
      <c r="J174" s="56" t="s">
        <v>4499</v>
      </c>
      <c r="K174" s="58">
        <v>0.0</v>
      </c>
      <c r="L174" s="58">
        <v>0.0</v>
      </c>
      <c r="M174" s="56" t="s">
        <v>5096</v>
      </c>
      <c r="N174" s="56" t="s">
        <v>4804</v>
      </c>
      <c r="O174" s="59"/>
      <c r="P174" s="56" t="s">
        <v>4501</v>
      </c>
      <c r="Q174" s="61" t="s">
        <v>394</v>
      </c>
      <c r="R174" s="56" t="s">
        <v>4559</v>
      </c>
      <c r="T174" s="55" t="b">
        <f t="shared" si="1"/>
        <v>0</v>
      </c>
    </row>
    <row r="175" ht="15.0" customHeight="1">
      <c r="A175" s="56" t="s">
        <v>166</v>
      </c>
      <c r="B175" s="56" t="s">
        <v>5097</v>
      </c>
      <c r="C175" s="57" t="s">
        <v>5098</v>
      </c>
      <c r="D175" s="58">
        <v>3.462756657E9</v>
      </c>
      <c r="E175" s="56" t="s">
        <v>2463</v>
      </c>
      <c r="F175" s="56" t="s">
        <v>379</v>
      </c>
      <c r="G175" s="56" t="s">
        <v>380</v>
      </c>
      <c r="H175" s="62" t="s">
        <v>366</v>
      </c>
      <c r="I175" s="59"/>
      <c r="J175" s="56" t="s">
        <v>497</v>
      </c>
      <c r="K175" s="58">
        <v>2.0</v>
      </c>
      <c r="L175" s="58">
        <v>2.0</v>
      </c>
      <c r="M175" s="59"/>
      <c r="N175" s="56" t="s">
        <v>2852</v>
      </c>
      <c r="O175" s="59"/>
      <c r="P175" s="56" t="s">
        <v>4496</v>
      </c>
      <c r="Q175" s="61" t="s">
        <v>373</v>
      </c>
      <c r="R175" s="58" t="s">
        <v>5099</v>
      </c>
      <c r="T175" s="55" t="b">
        <f t="shared" si="1"/>
        <v>0</v>
      </c>
    </row>
    <row r="176" ht="15.0" customHeight="1">
      <c r="A176" s="56" t="s">
        <v>168</v>
      </c>
      <c r="B176" s="56" t="s">
        <v>3494</v>
      </c>
      <c r="C176" s="57" t="s">
        <v>3495</v>
      </c>
      <c r="D176" s="58">
        <v>2.104687279E9</v>
      </c>
      <c r="E176" s="56" t="s">
        <v>5100</v>
      </c>
      <c r="F176" s="56" t="s">
        <v>364</v>
      </c>
      <c r="G176" s="56" t="s">
        <v>520</v>
      </c>
      <c r="H176" s="62" t="s">
        <v>366</v>
      </c>
      <c r="I176" s="59"/>
      <c r="J176" s="62" t="s">
        <v>1464</v>
      </c>
      <c r="K176" s="59"/>
      <c r="L176" s="59"/>
      <c r="M176" s="59"/>
      <c r="N176" s="56" t="s">
        <v>5101</v>
      </c>
      <c r="O176" s="59"/>
      <c r="P176" s="56" t="s">
        <v>4496</v>
      </c>
      <c r="Q176" s="61" t="s">
        <v>394</v>
      </c>
      <c r="R176" s="58" t="s">
        <v>4882</v>
      </c>
      <c r="T176" s="55" t="b">
        <f t="shared" si="1"/>
        <v>0</v>
      </c>
    </row>
    <row r="177" ht="15.0" customHeight="1">
      <c r="A177" s="56" t="s">
        <v>311</v>
      </c>
      <c r="B177" s="56" t="s">
        <v>1428</v>
      </c>
      <c r="C177" s="57" t="s">
        <v>1429</v>
      </c>
      <c r="D177" s="56" t="s">
        <v>5102</v>
      </c>
      <c r="E177" s="56" t="s">
        <v>5103</v>
      </c>
      <c r="F177" s="56" t="s">
        <v>379</v>
      </c>
      <c r="G177" s="56" t="s">
        <v>412</v>
      </c>
      <c r="H177" s="62" t="s">
        <v>366</v>
      </c>
      <c r="I177" s="59"/>
      <c r="J177" s="62" t="s">
        <v>4506</v>
      </c>
      <c r="K177" s="59"/>
      <c r="L177" s="59"/>
      <c r="M177" s="56" t="s">
        <v>1430</v>
      </c>
      <c r="N177" s="56" t="s">
        <v>3422</v>
      </c>
      <c r="O177" s="59"/>
      <c r="P177" s="56" t="s">
        <v>4508</v>
      </c>
      <c r="Q177" s="61" t="s">
        <v>394</v>
      </c>
      <c r="R177" s="58" t="s">
        <v>5104</v>
      </c>
      <c r="T177" s="55" t="b">
        <f t="shared" si="1"/>
        <v>0</v>
      </c>
    </row>
    <row r="178" ht="15.0" customHeight="1">
      <c r="A178" s="56" t="s">
        <v>169</v>
      </c>
      <c r="B178" s="56" t="s">
        <v>1433</v>
      </c>
      <c r="C178" s="57" t="s">
        <v>1434</v>
      </c>
      <c r="D178" s="56" t="s">
        <v>5105</v>
      </c>
      <c r="E178" s="56" t="s">
        <v>2286</v>
      </c>
      <c r="F178" s="56" t="s">
        <v>379</v>
      </c>
      <c r="G178" s="56" t="s">
        <v>365</v>
      </c>
      <c r="H178" s="62" t="s">
        <v>413</v>
      </c>
      <c r="I178" s="59"/>
      <c r="J178" s="62" t="s">
        <v>4499</v>
      </c>
      <c r="K178" s="59"/>
      <c r="L178" s="59"/>
      <c r="M178" s="56" t="s">
        <v>5106</v>
      </c>
      <c r="N178" s="56" t="s">
        <v>698</v>
      </c>
      <c r="O178" s="59"/>
      <c r="P178" s="56" t="s">
        <v>4501</v>
      </c>
      <c r="Q178" s="61" t="s">
        <v>373</v>
      </c>
      <c r="R178" s="56" t="s">
        <v>4559</v>
      </c>
      <c r="T178" s="55" t="b">
        <f t="shared" si="1"/>
        <v>0</v>
      </c>
    </row>
    <row r="179" ht="15.0" customHeight="1">
      <c r="A179" s="56" t="s">
        <v>1438</v>
      </c>
      <c r="B179" s="56" t="s">
        <v>5107</v>
      </c>
      <c r="C179" s="57" t="s">
        <v>5108</v>
      </c>
      <c r="D179" s="58">
        <v>8.175392873E9</v>
      </c>
      <c r="E179" s="56" t="s">
        <v>2783</v>
      </c>
      <c r="F179" s="56" t="s">
        <v>379</v>
      </c>
      <c r="G179" s="56" t="s">
        <v>365</v>
      </c>
      <c r="H179" s="62" t="s">
        <v>869</v>
      </c>
      <c r="I179" s="59"/>
      <c r="J179" s="56" t="s">
        <v>381</v>
      </c>
      <c r="K179" s="58">
        <v>1.0</v>
      </c>
      <c r="L179" s="58">
        <v>1.0</v>
      </c>
      <c r="M179" s="59"/>
      <c r="N179" s="56" t="s">
        <v>3546</v>
      </c>
      <c r="O179" s="59"/>
      <c r="P179" s="56" t="s">
        <v>4496</v>
      </c>
      <c r="Q179" s="61" t="s">
        <v>373</v>
      </c>
      <c r="R179" s="58" t="s">
        <v>5109</v>
      </c>
      <c r="T179" s="55" t="b">
        <f t="shared" si="1"/>
        <v>0</v>
      </c>
    </row>
    <row r="180" ht="15.0" customHeight="1">
      <c r="A180" s="56" t="s">
        <v>171</v>
      </c>
      <c r="B180" s="56" t="s">
        <v>5110</v>
      </c>
      <c r="C180" s="57" t="s">
        <v>5111</v>
      </c>
      <c r="D180" s="58">
        <v>9.039186122E9</v>
      </c>
      <c r="E180" s="56" t="s">
        <v>5112</v>
      </c>
      <c r="F180" s="56" t="s">
        <v>364</v>
      </c>
      <c r="G180" s="56" t="s">
        <v>365</v>
      </c>
      <c r="H180" s="62" t="s">
        <v>413</v>
      </c>
      <c r="I180" s="59"/>
      <c r="J180" s="56" t="s">
        <v>4506</v>
      </c>
      <c r="K180" s="58">
        <v>1.0</v>
      </c>
      <c r="L180" s="59"/>
      <c r="M180" s="56" t="s">
        <v>5113</v>
      </c>
      <c r="N180" s="56" t="s">
        <v>4181</v>
      </c>
      <c r="O180" s="59"/>
      <c r="P180" s="56" t="s">
        <v>4508</v>
      </c>
      <c r="Q180" s="61" t="s">
        <v>373</v>
      </c>
      <c r="R180" s="58" t="s">
        <v>5114</v>
      </c>
      <c r="T180" s="55" t="b">
        <f t="shared" si="1"/>
        <v>0</v>
      </c>
    </row>
    <row r="181" ht="15.0" customHeight="1">
      <c r="A181" s="56" t="s">
        <v>3517</v>
      </c>
      <c r="B181" s="56" t="s">
        <v>3518</v>
      </c>
      <c r="C181" s="57" t="s">
        <v>3519</v>
      </c>
      <c r="D181" s="56" t="s">
        <v>3520</v>
      </c>
      <c r="E181" s="56" t="s">
        <v>3521</v>
      </c>
      <c r="F181" s="56" t="s">
        <v>379</v>
      </c>
      <c r="G181" s="56" t="s">
        <v>412</v>
      </c>
      <c r="H181" s="62" t="s">
        <v>366</v>
      </c>
      <c r="I181" s="59"/>
      <c r="J181" s="62" t="s">
        <v>4499</v>
      </c>
      <c r="K181" s="59"/>
      <c r="L181" s="59"/>
      <c r="M181" s="59"/>
      <c r="N181" s="56" t="s">
        <v>1792</v>
      </c>
      <c r="O181" s="59"/>
      <c r="P181" s="56" t="s">
        <v>4501</v>
      </c>
      <c r="Q181" s="61" t="s">
        <v>373</v>
      </c>
      <c r="R181" s="58" t="s">
        <v>5115</v>
      </c>
      <c r="T181" s="55" t="b">
        <f t="shared" si="1"/>
        <v>0</v>
      </c>
    </row>
    <row r="182" ht="15.0" customHeight="1">
      <c r="A182" s="56" t="s">
        <v>172</v>
      </c>
      <c r="B182" s="56" t="s">
        <v>1455</v>
      </c>
      <c r="C182" s="57" t="s">
        <v>1456</v>
      </c>
      <c r="D182" s="58">
        <v>5.127587474E9</v>
      </c>
      <c r="E182" s="56" t="s">
        <v>2286</v>
      </c>
      <c r="F182" s="56" t="s">
        <v>364</v>
      </c>
      <c r="G182" s="56" t="s">
        <v>365</v>
      </c>
      <c r="H182" s="62" t="s">
        <v>366</v>
      </c>
      <c r="I182" s="59"/>
      <c r="J182" s="56" t="s">
        <v>4691</v>
      </c>
      <c r="K182" s="58">
        <v>0.0</v>
      </c>
      <c r="L182" s="58">
        <v>0.0</v>
      </c>
      <c r="M182" s="59"/>
      <c r="N182" s="56" t="s">
        <v>4315</v>
      </c>
      <c r="O182" s="59"/>
      <c r="P182" s="56" t="s">
        <v>4501</v>
      </c>
      <c r="Q182" s="61" t="s">
        <v>373</v>
      </c>
      <c r="R182" s="58" t="s">
        <v>5020</v>
      </c>
      <c r="T182" s="55" t="b">
        <f t="shared" si="1"/>
        <v>0</v>
      </c>
    </row>
    <row r="183" ht="15.0" customHeight="1">
      <c r="A183" s="56" t="s">
        <v>1459</v>
      </c>
      <c r="B183" s="56" t="s">
        <v>5116</v>
      </c>
      <c r="C183" s="57" t="s">
        <v>5117</v>
      </c>
      <c r="D183" s="56" t="s">
        <v>5118</v>
      </c>
      <c r="E183" s="56" t="s">
        <v>5119</v>
      </c>
      <c r="F183" s="56" t="s">
        <v>399</v>
      </c>
      <c r="G183" s="56" t="s">
        <v>520</v>
      </c>
      <c r="H183" s="62" t="s">
        <v>413</v>
      </c>
      <c r="I183" s="59"/>
      <c r="J183" s="62" t="s">
        <v>483</v>
      </c>
      <c r="K183" s="59"/>
      <c r="L183" s="59"/>
      <c r="M183" s="62" t="s">
        <v>5120</v>
      </c>
      <c r="N183" s="59"/>
      <c r="O183" s="59"/>
      <c r="P183" s="56" t="s">
        <v>4496</v>
      </c>
      <c r="Q183" s="61" t="s">
        <v>373</v>
      </c>
      <c r="R183" s="58" t="s">
        <v>5121</v>
      </c>
      <c r="T183" s="55" t="b">
        <f t="shared" si="1"/>
        <v>0</v>
      </c>
    </row>
    <row r="184" ht="15.0" customHeight="1">
      <c r="A184" s="56" t="s">
        <v>173</v>
      </c>
      <c r="B184" s="56" t="s">
        <v>1467</v>
      </c>
      <c r="C184" s="57" t="s">
        <v>3528</v>
      </c>
      <c r="D184" s="56" t="s">
        <v>5122</v>
      </c>
      <c r="E184" s="56" t="s">
        <v>3529</v>
      </c>
      <c r="F184" s="56" t="s">
        <v>379</v>
      </c>
      <c r="G184" s="56" t="s">
        <v>365</v>
      </c>
      <c r="H184" s="62" t="s">
        <v>366</v>
      </c>
      <c r="I184" s="59"/>
      <c r="J184" s="62" t="s">
        <v>4499</v>
      </c>
      <c r="K184" s="59"/>
      <c r="L184" s="59"/>
      <c r="M184" s="56" t="s">
        <v>5123</v>
      </c>
      <c r="N184" s="56" t="s">
        <v>3376</v>
      </c>
      <c r="O184" s="59"/>
      <c r="P184" s="56" t="s">
        <v>4501</v>
      </c>
      <c r="Q184" s="61" t="s">
        <v>373</v>
      </c>
      <c r="R184" s="56" t="s">
        <v>4559</v>
      </c>
      <c r="T184" s="55" t="b">
        <f t="shared" si="1"/>
        <v>0</v>
      </c>
    </row>
    <row r="185" ht="15.0" customHeight="1">
      <c r="A185" s="56" t="s">
        <v>176</v>
      </c>
      <c r="B185" s="56" t="s">
        <v>3543</v>
      </c>
      <c r="C185" s="57" t="s">
        <v>3544</v>
      </c>
      <c r="D185" s="58">
        <v>8.30624601E9</v>
      </c>
      <c r="E185" s="56" t="s">
        <v>5124</v>
      </c>
      <c r="F185" s="56" t="s">
        <v>364</v>
      </c>
      <c r="G185" s="56" t="s">
        <v>405</v>
      </c>
      <c r="H185" s="62" t="s">
        <v>513</v>
      </c>
      <c r="I185" s="59"/>
      <c r="J185" s="62" t="s">
        <v>4596</v>
      </c>
      <c r="K185" s="59"/>
      <c r="L185" s="59"/>
      <c r="M185" s="56" t="s">
        <v>3543</v>
      </c>
      <c r="N185" s="56" t="s">
        <v>5125</v>
      </c>
      <c r="O185" s="59"/>
      <c r="P185" s="56" t="s">
        <v>4508</v>
      </c>
      <c r="Q185" s="61" t="s">
        <v>394</v>
      </c>
      <c r="R185" s="58" t="s">
        <v>5126</v>
      </c>
      <c r="T185" s="55" t="b">
        <f t="shared" si="1"/>
        <v>1</v>
      </c>
    </row>
    <row r="186" ht="15.0" customHeight="1">
      <c r="A186" s="56" t="s">
        <v>5127</v>
      </c>
      <c r="B186" s="56" t="s">
        <v>5128</v>
      </c>
      <c r="C186" s="57" t="s">
        <v>5129</v>
      </c>
      <c r="D186" s="58">
        <v>4.158106599E9</v>
      </c>
      <c r="E186" s="56" t="s">
        <v>4311</v>
      </c>
      <c r="F186" s="56" t="s">
        <v>379</v>
      </c>
      <c r="G186" s="56" t="s">
        <v>412</v>
      </c>
      <c r="H186" s="62" t="s">
        <v>366</v>
      </c>
      <c r="I186" s="59"/>
      <c r="J186" s="62" t="s">
        <v>4506</v>
      </c>
      <c r="K186" s="59"/>
      <c r="L186" s="59"/>
      <c r="M186" s="56" t="s">
        <v>5128</v>
      </c>
      <c r="N186" s="56" t="s">
        <v>1732</v>
      </c>
      <c r="O186" s="59"/>
      <c r="P186" s="56" t="s">
        <v>4508</v>
      </c>
      <c r="Q186" s="61" t="s">
        <v>394</v>
      </c>
      <c r="R186" s="58" t="s">
        <v>5130</v>
      </c>
      <c r="T186" s="55" t="b">
        <f t="shared" si="1"/>
        <v>0</v>
      </c>
    </row>
    <row r="187" ht="15.0" customHeight="1">
      <c r="A187" s="56" t="s">
        <v>177</v>
      </c>
      <c r="B187" s="56" t="s">
        <v>3548</v>
      </c>
      <c r="C187" s="57" t="s">
        <v>3549</v>
      </c>
      <c r="D187" s="56" t="s">
        <v>5131</v>
      </c>
      <c r="E187" s="56" t="s">
        <v>2286</v>
      </c>
      <c r="F187" s="56" t="s">
        <v>364</v>
      </c>
      <c r="G187" s="56" t="s">
        <v>365</v>
      </c>
      <c r="H187" s="62" t="s">
        <v>413</v>
      </c>
      <c r="I187" s="59"/>
      <c r="J187" s="62" t="s">
        <v>4573</v>
      </c>
      <c r="K187" s="59"/>
      <c r="L187" s="59"/>
      <c r="M187" s="56" t="s">
        <v>5132</v>
      </c>
      <c r="N187" s="56" t="s">
        <v>4181</v>
      </c>
      <c r="O187" s="59"/>
      <c r="P187" s="56" t="s">
        <v>4501</v>
      </c>
      <c r="Q187" s="61" t="s">
        <v>373</v>
      </c>
      <c r="R187" s="58" t="s">
        <v>5133</v>
      </c>
      <c r="T187" s="55" t="b">
        <f t="shared" si="1"/>
        <v>0</v>
      </c>
    </row>
    <row r="188" ht="15.0" customHeight="1">
      <c r="A188" s="56" t="s">
        <v>178</v>
      </c>
      <c r="B188" s="56" t="s">
        <v>5134</v>
      </c>
      <c r="C188" s="57" t="s">
        <v>3554</v>
      </c>
      <c r="D188" s="58">
        <v>2.814507281E9</v>
      </c>
      <c r="E188" s="56" t="s">
        <v>2463</v>
      </c>
      <c r="F188" s="56" t="s">
        <v>399</v>
      </c>
      <c r="G188" s="56" t="s">
        <v>380</v>
      </c>
      <c r="H188" s="62" t="s">
        <v>366</v>
      </c>
      <c r="I188" s="59"/>
      <c r="J188" s="62" t="s">
        <v>4994</v>
      </c>
      <c r="K188" s="59"/>
      <c r="L188" s="59"/>
      <c r="M188" s="56" t="s">
        <v>3553</v>
      </c>
      <c r="N188" s="56" t="s">
        <v>5135</v>
      </c>
      <c r="O188" s="59"/>
      <c r="P188" s="56" t="s">
        <v>4508</v>
      </c>
      <c r="Q188" s="61" t="s">
        <v>394</v>
      </c>
      <c r="R188" s="58" t="s">
        <v>5136</v>
      </c>
      <c r="T188" s="55" t="b">
        <f t="shared" si="1"/>
        <v>0</v>
      </c>
    </row>
    <row r="189" ht="15.0" customHeight="1">
      <c r="A189" s="56" t="s">
        <v>179</v>
      </c>
      <c r="B189" s="56" t="s">
        <v>3557</v>
      </c>
      <c r="C189" s="57" t="s">
        <v>3558</v>
      </c>
      <c r="D189" s="58">
        <v>8.32434409E9</v>
      </c>
      <c r="E189" s="56" t="s">
        <v>2938</v>
      </c>
      <c r="F189" s="56" t="s">
        <v>364</v>
      </c>
      <c r="G189" s="56" t="s">
        <v>520</v>
      </c>
      <c r="H189" s="62" t="s">
        <v>366</v>
      </c>
      <c r="I189" s="59"/>
      <c r="J189" s="62" t="s">
        <v>4573</v>
      </c>
      <c r="K189" s="59"/>
      <c r="L189" s="59"/>
      <c r="M189" s="56" t="s">
        <v>5137</v>
      </c>
      <c r="N189" s="56" t="s">
        <v>3439</v>
      </c>
      <c r="O189" s="59"/>
      <c r="P189" s="56" t="s">
        <v>4501</v>
      </c>
      <c r="Q189" s="61" t="s">
        <v>373</v>
      </c>
      <c r="R189" s="58" t="s">
        <v>4871</v>
      </c>
      <c r="T189" s="55" t="b">
        <f t="shared" si="1"/>
        <v>0</v>
      </c>
    </row>
    <row r="190" ht="15.0" customHeight="1">
      <c r="A190" s="56" t="s">
        <v>1490</v>
      </c>
      <c r="B190" s="56" t="s">
        <v>3563</v>
      </c>
      <c r="C190" s="57" t="s">
        <v>3564</v>
      </c>
      <c r="D190" s="56" t="s">
        <v>5138</v>
      </c>
      <c r="E190" s="56" t="s">
        <v>2286</v>
      </c>
      <c r="F190" s="56" t="s">
        <v>379</v>
      </c>
      <c r="G190" s="56" t="s">
        <v>365</v>
      </c>
      <c r="H190" s="62" t="s">
        <v>366</v>
      </c>
      <c r="I190" s="59"/>
      <c r="J190" s="56" t="s">
        <v>4506</v>
      </c>
      <c r="K190" s="58">
        <v>0.0</v>
      </c>
      <c r="L190" s="59"/>
      <c r="M190" s="56" t="s">
        <v>5139</v>
      </c>
      <c r="N190" s="56" t="s">
        <v>1288</v>
      </c>
      <c r="O190" s="59"/>
      <c r="P190" s="56" t="s">
        <v>4508</v>
      </c>
      <c r="Q190" s="61" t="s">
        <v>394</v>
      </c>
      <c r="R190" s="58" t="s">
        <v>5140</v>
      </c>
      <c r="T190" s="55" t="b">
        <f t="shared" si="1"/>
        <v>0</v>
      </c>
    </row>
    <row r="191" ht="15.0" customHeight="1">
      <c r="A191" s="56" t="s">
        <v>5141</v>
      </c>
      <c r="B191" s="56" t="s">
        <v>5142</v>
      </c>
      <c r="C191" s="57" t="s">
        <v>5143</v>
      </c>
      <c r="D191" s="56" t="s">
        <v>5144</v>
      </c>
      <c r="E191" s="56" t="s">
        <v>2287</v>
      </c>
      <c r="F191" s="56" t="s">
        <v>399</v>
      </c>
      <c r="G191" s="56" t="s">
        <v>365</v>
      </c>
      <c r="H191" s="62" t="s">
        <v>513</v>
      </c>
      <c r="I191" s="59"/>
      <c r="J191" s="62" t="s">
        <v>381</v>
      </c>
      <c r="K191" s="59"/>
      <c r="L191" s="59"/>
      <c r="M191" s="56" t="s">
        <v>5145</v>
      </c>
      <c r="N191" s="56" t="s">
        <v>2347</v>
      </c>
      <c r="O191" s="59"/>
      <c r="P191" s="56" t="s">
        <v>4496</v>
      </c>
      <c r="Q191" s="61" t="s">
        <v>2362</v>
      </c>
      <c r="R191" s="56" t="s">
        <v>4559</v>
      </c>
      <c r="T191" s="55" t="b">
        <f t="shared" si="1"/>
        <v>1</v>
      </c>
    </row>
    <row r="192" ht="15.0" customHeight="1">
      <c r="A192" s="56" t="s">
        <v>181</v>
      </c>
      <c r="B192" s="56" t="s">
        <v>5146</v>
      </c>
      <c r="C192" s="57" t="s">
        <v>5147</v>
      </c>
      <c r="D192" s="58">
        <v>8.326934546E9</v>
      </c>
      <c r="E192" s="56" t="s">
        <v>5148</v>
      </c>
      <c r="F192" s="56" t="s">
        <v>379</v>
      </c>
      <c r="G192" s="56" t="s">
        <v>412</v>
      </c>
      <c r="H192" s="62" t="s">
        <v>513</v>
      </c>
      <c r="I192" s="59"/>
      <c r="J192" s="62" t="s">
        <v>4499</v>
      </c>
      <c r="K192" s="59"/>
      <c r="L192" s="59"/>
      <c r="M192" s="56" t="s">
        <v>5146</v>
      </c>
      <c r="N192" s="56" t="s">
        <v>3843</v>
      </c>
      <c r="O192" s="59"/>
      <c r="P192" s="56" t="s">
        <v>4501</v>
      </c>
      <c r="Q192" s="61" t="s">
        <v>373</v>
      </c>
      <c r="R192" s="58" t="s">
        <v>5149</v>
      </c>
      <c r="T192" s="55" t="b">
        <f t="shared" si="1"/>
        <v>1</v>
      </c>
    </row>
    <row r="193" ht="15.0" customHeight="1">
      <c r="A193" s="56" t="s">
        <v>5150</v>
      </c>
      <c r="B193" s="56" t="s">
        <v>5151</v>
      </c>
      <c r="C193" s="57" t="s">
        <v>5152</v>
      </c>
      <c r="D193" s="56" t="s">
        <v>5153</v>
      </c>
      <c r="E193" s="56" t="s">
        <v>5154</v>
      </c>
      <c r="F193" s="56" t="s">
        <v>364</v>
      </c>
      <c r="G193" s="56" t="s">
        <v>405</v>
      </c>
      <c r="H193" s="62" t="s">
        <v>366</v>
      </c>
      <c r="I193" s="59"/>
      <c r="J193" s="62" t="s">
        <v>381</v>
      </c>
      <c r="K193" s="59"/>
      <c r="L193" s="59"/>
      <c r="M193" s="62" t="s">
        <v>5155</v>
      </c>
      <c r="N193" s="59"/>
      <c r="O193" s="59"/>
      <c r="P193" s="56" t="s">
        <v>4496</v>
      </c>
      <c r="Q193" s="61" t="s">
        <v>373</v>
      </c>
      <c r="R193" s="56" t="s">
        <v>4559</v>
      </c>
      <c r="T193" s="55" t="b">
        <f t="shared" si="1"/>
        <v>0</v>
      </c>
    </row>
    <row r="194" ht="15.0" customHeight="1">
      <c r="A194" s="56" t="s">
        <v>5156</v>
      </c>
      <c r="B194" s="56" t="s">
        <v>5157</v>
      </c>
      <c r="C194" s="57" t="s">
        <v>5158</v>
      </c>
      <c r="D194" s="56" t="s">
        <v>5159</v>
      </c>
      <c r="E194" s="56" t="s">
        <v>2614</v>
      </c>
      <c r="F194" s="56" t="s">
        <v>364</v>
      </c>
      <c r="G194" s="56" t="s">
        <v>365</v>
      </c>
      <c r="H194" s="62" t="s">
        <v>366</v>
      </c>
      <c r="I194" s="59"/>
      <c r="J194" s="62" t="s">
        <v>4506</v>
      </c>
      <c r="K194" s="59"/>
      <c r="L194" s="59"/>
      <c r="M194" s="56" t="s">
        <v>5160</v>
      </c>
      <c r="N194" s="56" t="s">
        <v>2281</v>
      </c>
      <c r="O194" s="59"/>
      <c r="P194" s="56" t="s">
        <v>4508</v>
      </c>
      <c r="Q194" s="61" t="s">
        <v>394</v>
      </c>
      <c r="R194" s="58" t="s">
        <v>5161</v>
      </c>
      <c r="T194" s="55" t="b">
        <f t="shared" si="1"/>
        <v>0</v>
      </c>
    </row>
    <row r="195" ht="15.0" customHeight="1">
      <c r="A195" s="56" t="s">
        <v>182</v>
      </c>
      <c r="B195" s="56" t="s">
        <v>1519</v>
      </c>
      <c r="C195" s="57" t="s">
        <v>3600</v>
      </c>
      <c r="D195" s="56" t="s">
        <v>5162</v>
      </c>
      <c r="E195" s="56" t="s">
        <v>676</v>
      </c>
      <c r="F195" s="56" t="s">
        <v>364</v>
      </c>
      <c r="G195" s="56" t="s">
        <v>365</v>
      </c>
      <c r="H195" s="62" t="s">
        <v>366</v>
      </c>
      <c r="I195" s="59"/>
      <c r="J195" s="62" t="s">
        <v>4573</v>
      </c>
      <c r="K195" s="59"/>
      <c r="L195" s="59"/>
      <c r="M195" s="56" t="s">
        <v>5163</v>
      </c>
      <c r="N195" s="56" t="s">
        <v>5164</v>
      </c>
      <c r="O195" s="59"/>
      <c r="P195" s="56" t="s">
        <v>4501</v>
      </c>
      <c r="Q195" s="61" t="s">
        <v>373</v>
      </c>
      <c r="R195" s="56" t="s">
        <v>4559</v>
      </c>
      <c r="T195" s="55" t="b">
        <f t="shared" si="1"/>
        <v>0</v>
      </c>
    </row>
    <row r="196" ht="15.0" customHeight="1">
      <c r="A196" s="56" t="s">
        <v>5165</v>
      </c>
      <c r="B196" s="56" t="s">
        <v>5166</v>
      </c>
      <c r="C196" s="57" t="s">
        <v>5167</v>
      </c>
      <c r="D196" s="56" t="s">
        <v>5168</v>
      </c>
      <c r="E196" s="56" t="s">
        <v>5169</v>
      </c>
      <c r="F196" s="56" t="s">
        <v>364</v>
      </c>
      <c r="G196" s="56" t="s">
        <v>365</v>
      </c>
      <c r="H196" s="62" t="s">
        <v>413</v>
      </c>
      <c r="I196" s="59"/>
      <c r="J196" s="56" t="s">
        <v>4499</v>
      </c>
      <c r="K196" s="58">
        <v>1.0</v>
      </c>
      <c r="L196" s="59"/>
      <c r="M196" s="56" t="s">
        <v>5170</v>
      </c>
      <c r="N196" s="56" t="s">
        <v>4121</v>
      </c>
      <c r="O196" s="59"/>
      <c r="P196" s="56" t="s">
        <v>4501</v>
      </c>
      <c r="Q196" s="61" t="s">
        <v>373</v>
      </c>
      <c r="R196" s="58" t="s">
        <v>5171</v>
      </c>
      <c r="T196" s="55" t="b">
        <f t="shared" si="1"/>
        <v>0</v>
      </c>
    </row>
    <row r="197" ht="15.0" customHeight="1">
      <c r="A197" s="56" t="s">
        <v>185</v>
      </c>
      <c r="B197" s="56" t="s">
        <v>3617</v>
      </c>
      <c r="C197" s="57" t="s">
        <v>3618</v>
      </c>
      <c r="D197" s="56" t="s">
        <v>5172</v>
      </c>
      <c r="E197" s="56" t="s">
        <v>2938</v>
      </c>
      <c r="F197" s="56" t="s">
        <v>379</v>
      </c>
      <c r="G197" s="56" t="s">
        <v>365</v>
      </c>
      <c r="H197" s="62" t="s">
        <v>366</v>
      </c>
      <c r="I197" s="59"/>
      <c r="J197" s="62" t="s">
        <v>483</v>
      </c>
      <c r="K197" s="59"/>
      <c r="L197" s="59"/>
      <c r="M197" s="56" t="s">
        <v>5173</v>
      </c>
      <c r="N197" s="56" t="s">
        <v>1785</v>
      </c>
      <c r="O197" s="59"/>
      <c r="P197" s="56" t="s">
        <v>4496</v>
      </c>
      <c r="Q197" s="61" t="s">
        <v>373</v>
      </c>
      <c r="R197" s="58" t="s">
        <v>4882</v>
      </c>
      <c r="T197" s="55" t="b">
        <f t="shared" si="1"/>
        <v>0</v>
      </c>
    </row>
    <row r="198" ht="15.0" customHeight="1">
      <c r="A198" s="56" t="s">
        <v>186</v>
      </c>
      <c r="B198" s="56" t="s">
        <v>3622</v>
      </c>
      <c r="C198" s="57" t="s">
        <v>3623</v>
      </c>
      <c r="D198" s="56" t="s">
        <v>5174</v>
      </c>
      <c r="E198" s="56" t="s">
        <v>5175</v>
      </c>
      <c r="F198" s="56" t="s">
        <v>379</v>
      </c>
      <c r="G198" s="56" t="s">
        <v>380</v>
      </c>
      <c r="H198" s="62" t="s">
        <v>366</v>
      </c>
      <c r="I198" s="59"/>
      <c r="J198" s="62" t="s">
        <v>4506</v>
      </c>
      <c r="K198" s="59"/>
      <c r="L198" s="59"/>
      <c r="M198" s="59"/>
      <c r="N198" s="59"/>
      <c r="O198" s="59"/>
      <c r="P198" s="56" t="s">
        <v>4508</v>
      </c>
      <c r="Q198" s="61" t="s">
        <v>394</v>
      </c>
      <c r="R198" s="58" t="s">
        <v>5176</v>
      </c>
      <c r="T198" s="55" t="b">
        <f t="shared" si="1"/>
        <v>0</v>
      </c>
    </row>
    <row r="199" ht="15.0" customHeight="1">
      <c r="A199" s="56" t="s">
        <v>187</v>
      </c>
      <c r="B199" s="56" t="s">
        <v>1528</v>
      </c>
      <c r="C199" s="57" t="s">
        <v>1529</v>
      </c>
      <c r="D199" s="56" t="s">
        <v>5177</v>
      </c>
      <c r="E199" s="56" t="s">
        <v>2886</v>
      </c>
      <c r="F199" s="56" t="s">
        <v>364</v>
      </c>
      <c r="G199" s="56" t="s">
        <v>365</v>
      </c>
      <c r="H199" s="62" t="s">
        <v>413</v>
      </c>
      <c r="I199" s="59"/>
      <c r="J199" s="56" t="s">
        <v>4499</v>
      </c>
      <c r="K199" s="58">
        <v>1.0</v>
      </c>
      <c r="L199" s="59"/>
      <c r="M199" s="56" t="s">
        <v>5178</v>
      </c>
      <c r="N199" s="56" t="s">
        <v>3376</v>
      </c>
      <c r="O199" s="59"/>
      <c r="P199" s="56" t="s">
        <v>4501</v>
      </c>
      <c r="Q199" s="61" t="s">
        <v>373</v>
      </c>
      <c r="R199" s="58" t="s">
        <v>5179</v>
      </c>
      <c r="T199" s="55" t="b">
        <f t="shared" si="1"/>
        <v>0</v>
      </c>
    </row>
    <row r="200" ht="15.0" customHeight="1">
      <c r="A200" s="56" t="s">
        <v>188</v>
      </c>
      <c r="B200" s="56" t="s">
        <v>3628</v>
      </c>
      <c r="C200" s="57" t="s">
        <v>3629</v>
      </c>
      <c r="D200" s="56" t="s">
        <v>5180</v>
      </c>
      <c r="E200" s="56" t="s">
        <v>2286</v>
      </c>
      <c r="F200" s="56" t="s">
        <v>379</v>
      </c>
      <c r="G200" s="56" t="s">
        <v>365</v>
      </c>
      <c r="H200" s="62" t="s">
        <v>366</v>
      </c>
      <c r="I200" s="59"/>
      <c r="J200" s="62" t="s">
        <v>4506</v>
      </c>
      <c r="K200" s="59"/>
      <c r="L200" s="59"/>
      <c r="M200" s="59"/>
      <c r="N200" s="59"/>
      <c r="O200" s="59"/>
      <c r="P200" s="56" t="s">
        <v>4508</v>
      </c>
      <c r="Q200" s="61" t="s">
        <v>394</v>
      </c>
      <c r="R200" s="58" t="s">
        <v>5181</v>
      </c>
      <c r="T200" s="55" t="b">
        <f t="shared" si="1"/>
        <v>0</v>
      </c>
    </row>
    <row r="201" ht="15.0" customHeight="1">
      <c r="A201" s="56" t="s">
        <v>190</v>
      </c>
      <c r="B201" s="56" t="s">
        <v>5182</v>
      </c>
      <c r="C201" s="57" t="s">
        <v>5183</v>
      </c>
      <c r="D201" s="58">
        <v>9.048210211E9</v>
      </c>
      <c r="E201" s="56" t="s">
        <v>3197</v>
      </c>
      <c r="F201" s="56" t="s">
        <v>379</v>
      </c>
      <c r="G201" s="56" t="s">
        <v>365</v>
      </c>
      <c r="H201" s="62" t="s">
        <v>413</v>
      </c>
      <c r="I201" s="59"/>
      <c r="J201" s="62" t="s">
        <v>381</v>
      </c>
      <c r="K201" s="59"/>
      <c r="L201" s="59"/>
      <c r="M201" s="56" t="s">
        <v>5184</v>
      </c>
      <c r="N201" s="56" t="s">
        <v>5185</v>
      </c>
      <c r="O201" s="59"/>
      <c r="P201" s="56" t="s">
        <v>4496</v>
      </c>
      <c r="Q201" s="61" t="s">
        <v>373</v>
      </c>
      <c r="R201" s="58" t="s">
        <v>5186</v>
      </c>
      <c r="T201" s="55" t="b">
        <f t="shared" si="1"/>
        <v>0</v>
      </c>
    </row>
    <row r="202" ht="15.0" customHeight="1">
      <c r="A202" s="56" t="s">
        <v>3635</v>
      </c>
      <c r="B202" s="56" t="s">
        <v>3636</v>
      </c>
      <c r="C202" s="57" t="s">
        <v>3637</v>
      </c>
      <c r="D202" s="58">
        <v>2.106267452E9</v>
      </c>
      <c r="E202" s="56" t="s">
        <v>2463</v>
      </c>
      <c r="F202" s="56" t="s">
        <v>379</v>
      </c>
      <c r="G202" s="56" t="s">
        <v>830</v>
      </c>
      <c r="H202" s="62" t="s">
        <v>366</v>
      </c>
      <c r="I202" s="59"/>
      <c r="J202" s="62" t="s">
        <v>4691</v>
      </c>
      <c r="K202" s="59"/>
      <c r="L202" s="59"/>
      <c r="M202" s="59"/>
      <c r="N202" s="56" t="s">
        <v>5187</v>
      </c>
      <c r="O202" s="59"/>
      <c r="P202" s="56" t="s">
        <v>4501</v>
      </c>
      <c r="Q202" s="61" t="s">
        <v>373</v>
      </c>
      <c r="R202" s="58" t="s">
        <v>5188</v>
      </c>
      <c r="T202" s="55" t="b">
        <f t="shared" si="1"/>
        <v>0</v>
      </c>
    </row>
    <row r="203" ht="15.0" customHeight="1">
      <c r="A203" s="56" t="s">
        <v>193</v>
      </c>
      <c r="B203" s="56" t="s">
        <v>1550</v>
      </c>
      <c r="C203" s="57" t="s">
        <v>1551</v>
      </c>
      <c r="D203" s="56" t="s">
        <v>1552</v>
      </c>
      <c r="E203" s="56" t="s">
        <v>2528</v>
      </c>
      <c r="F203" s="56" t="s">
        <v>364</v>
      </c>
      <c r="G203" s="56" t="s">
        <v>365</v>
      </c>
      <c r="H203" s="62" t="s">
        <v>869</v>
      </c>
      <c r="I203" s="59"/>
      <c r="J203" s="62" t="s">
        <v>497</v>
      </c>
      <c r="K203" s="59"/>
      <c r="L203" s="59"/>
      <c r="M203" s="59"/>
      <c r="N203" s="56" t="s">
        <v>5189</v>
      </c>
      <c r="O203" s="59"/>
      <c r="P203" s="56" t="s">
        <v>4496</v>
      </c>
      <c r="Q203" s="61" t="s">
        <v>373</v>
      </c>
      <c r="R203" s="58" t="s">
        <v>5190</v>
      </c>
      <c r="T203" s="55" t="b">
        <f t="shared" si="1"/>
        <v>0</v>
      </c>
    </row>
    <row r="204" ht="15.0" customHeight="1">
      <c r="A204" s="56" t="s">
        <v>5191</v>
      </c>
      <c r="B204" s="56" t="s">
        <v>5192</v>
      </c>
      <c r="C204" s="57" t="s">
        <v>1558</v>
      </c>
      <c r="D204" s="56" t="s">
        <v>5193</v>
      </c>
      <c r="E204" s="56" t="s">
        <v>2286</v>
      </c>
      <c r="F204" s="56" t="s">
        <v>399</v>
      </c>
      <c r="G204" s="56" t="s">
        <v>667</v>
      </c>
      <c r="H204" s="62" t="s">
        <v>413</v>
      </c>
      <c r="I204" s="59"/>
      <c r="J204" s="62" t="s">
        <v>4499</v>
      </c>
      <c r="K204" s="59"/>
      <c r="L204" s="59"/>
      <c r="M204" s="56" t="s">
        <v>5194</v>
      </c>
      <c r="N204" s="56" t="s">
        <v>454</v>
      </c>
      <c r="O204" s="59"/>
      <c r="P204" s="56" t="s">
        <v>4501</v>
      </c>
      <c r="Q204" s="61" t="s">
        <v>373</v>
      </c>
      <c r="R204" s="58" t="s">
        <v>5195</v>
      </c>
      <c r="T204" s="55" t="b">
        <f t="shared" si="1"/>
        <v>0</v>
      </c>
    </row>
    <row r="205" ht="15.0" customHeight="1">
      <c r="A205" s="56" t="s">
        <v>313</v>
      </c>
      <c r="B205" s="56" t="s">
        <v>1565</v>
      </c>
      <c r="C205" s="57" t="s">
        <v>1566</v>
      </c>
      <c r="D205" s="56" t="s">
        <v>5196</v>
      </c>
      <c r="E205" s="56" t="s">
        <v>5197</v>
      </c>
      <c r="F205" s="56" t="s">
        <v>379</v>
      </c>
      <c r="G205" s="56" t="s">
        <v>412</v>
      </c>
      <c r="H205" s="62" t="s">
        <v>413</v>
      </c>
      <c r="I205" s="59"/>
      <c r="J205" s="62" t="s">
        <v>4499</v>
      </c>
      <c r="K205" s="59"/>
      <c r="L205" s="59"/>
      <c r="M205" s="56" t="s">
        <v>1568</v>
      </c>
      <c r="N205" s="56" t="s">
        <v>988</v>
      </c>
      <c r="O205" s="59"/>
      <c r="P205" s="56" t="s">
        <v>4501</v>
      </c>
      <c r="Q205" s="61" t="s">
        <v>373</v>
      </c>
      <c r="R205" s="58" t="s">
        <v>5198</v>
      </c>
      <c r="T205" s="55" t="b">
        <f t="shared" si="1"/>
        <v>0</v>
      </c>
    </row>
    <row r="206" ht="15.0" customHeight="1">
      <c r="A206" s="56" t="s">
        <v>3657</v>
      </c>
      <c r="B206" s="56" t="s">
        <v>594</v>
      </c>
      <c r="C206" s="57" t="s">
        <v>3658</v>
      </c>
      <c r="D206" s="56" t="s">
        <v>5199</v>
      </c>
      <c r="E206" s="56" t="s">
        <v>2528</v>
      </c>
      <c r="F206" s="56" t="s">
        <v>379</v>
      </c>
      <c r="G206" s="56" t="s">
        <v>412</v>
      </c>
      <c r="H206" s="62" t="s">
        <v>513</v>
      </c>
      <c r="I206" s="59"/>
      <c r="J206" s="62" t="s">
        <v>4499</v>
      </c>
      <c r="K206" s="59"/>
      <c r="L206" s="59"/>
      <c r="M206" s="56" t="s">
        <v>5200</v>
      </c>
      <c r="N206" s="56" t="s">
        <v>1426</v>
      </c>
      <c r="O206" s="59"/>
      <c r="P206" s="56" t="s">
        <v>4501</v>
      </c>
      <c r="Q206" s="61" t="s">
        <v>373</v>
      </c>
      <c r="R206" s="58" t="s">
        <v>5201</v>
      </c>
      <c r="T206" s="55" t="b">
        <f t="shared" si="1"/>
        <v>1</v>
      </c>
    </row>
    <row r="207" ht="15.0" customHeight="1">
      <c r="A207" s="56" t="s">
        <v>196</v>
      </c>
      <c r="B207" s="56" t="s">
        <v>1571</v>
      </c>
      <c r="C207" s="57" t="s">
        <v>1572</v>
      </c>
      <c r="D207" s="56" t="s">
        <v>3661</v>
      </c>
      <c r="E207" s="56" t="s">
        <v>3647</v>
      </c>
      <c r="F207" s="56" t="s">
        <v>364</v>
      </c>
      <c r="G207" s="56" t="s">
        <v>380</v>
      </c>
      <c r="H207" s="62" t="s">
        <v>366</v>
      </c>
      <c r="I207" s="59"/>
      <c r="J207" s="62" t="s">
        <v>4573</v>
      </c>
      <c r="K207" s="59"/>
      <c r="L207" s="59"/>
      <c r="M207" s="56" t="s">
        <v>5202</v>
      </c>
      <c r="N207" s="56" t="s">
        <v>5203</v>
      </c>
      <c r="O207" s="59"/>
      <c r="P207" s="56" t="s">
        <v>4501</v>
      </c>
      <c r="Q207" s="61" t="s">
        <v>373</v>
      </c>
      <c r="R207" s="58" t="s">
        <v>5204</v>
      </c>
      <c r="T207" s="55" t="b">
        <f t="shared" si="1"/>
        <v>0</v>
      </c>
    </row>
    <row r="208" ht="15.0" customHeight="1">
      <c r="A208" s="56" t="s">
        <v>3664</v>
      </c>
      <c r="B208" s="56" t="s">
        <v>3665</v>
      </c>
      <c r="C208" s="57" t="s">
        <v>5205</v>
      </c>
      <c r="D208" s="58">
        <v>2.068328254E9</v>
      </c>
      <c r="E208" s="56" t="s">
        <v>5206</v>
      </c>
      <c r="F208" s="56" t="s">
        <v>379</v>
      </c>
      <c r="G208" s="56" t="s">
        <v>365</v>
      </c>
      <c r="H208" s="62" t="s">
        <v>413</v>
      </c>
      <c r="I208" s="59"/>
      <c r="J208" s="62" t="s">
        <v>381</v>
      </c>
      <c r="K208" s="59"/>
      <c r="L208" s="59"/>
      <c r="M208" s="59"/>
      <c r="N208" s="56" t="s">
        <v>424</v>
      </c>
      <c r="O208" s="59"/>
      <c r="P208" s="56" t="s">
        <v>4496</v>
      </c>
      <c r="Q208" s="61" t="s">
        <v>394</v>
      </c>
      <c r="R208" s="58" t="s">
        <v>5207</v>
      </c>
      <c r="T208" s="55" t="b">
        <f t="shared" si="1"/>
        <v>0</v>
      </c>
    </row>
    <row r="209" ht="15.0" customHeight="1">
      <c r="A209" s="56" t="s">
        <v>197</v>
      </c>
      <c r="B209" s="56" t="s">
        <v>1580</v>
      </c>
      <c r="C209" s="57" t="s">
        <v>1581</v>
      </c>
      <c r="D209" s="56" t="s">
        <v>5208</v>
      </c>
      <c r="E209" s="56" t="s">
        <v>1080</v>
      </c>
      <c r="F209" s="56" t="s">
        <v>379</v>
      </c>
      <c r="G209" s="56" t="s">
        <v>365</v>
      </c>
      <c r="H209" s="62" t="s">
        <v>413</v>
      </c>
      <c r="I209" s="59"/>
      <c r="J209" s="62" t="s">
        <v>4573</v>
      </c>
      <c r="K209" s="59"/>
      <c r="L209" s="59"/>
      <c r="M209" s="59"/>
      <c r="N209" s="56" t="s">
        <v>3777</v>
      </c>
      <c r="O209" s="59"/>
      <c r="P209" s="56" t="s">
        <v>4501</v>
      </c>
      <c r="Q209" s="61" t="s">
        <v>373</v>
      </c>
      <c r="R209" s="56" t="s">
        <v>4559</v>
      </c>
      <c r="T209" s="55" t="b">
        <f t="shared" si="1"/>
        <v>0</v>
      </c>
    </row>
    <row r="210" ht="15.0" customHeight="1">
      <c r="A210" s="56" t="s">
        <v>314</v>
      </c>
      <c r="B210" s="56" t="s">
        <v>5209</v>
      </c>
      <c r="C210" s="57" t="s">
        <v>5210</v>
      </c>
      <c r="D210" s="58">
        <v>2.083408943E9</v>
      </c>
      <c r="E210" s="56" t="s">
        <v>3323</v>
      </c>
      <c r="F210" s="56" t="s">
        <v>399</v>
      </c>
      <c r="G210" s="56" t="s">
        <v>405</v>
      </c>
      <c r="H210" s="62" t="s">
        <v>513</v>
      </c>
      <c r="I210" s="59"/>
      <c r="J210" s="62" t="s">
        <v>381</v>
      </c>
      <c r="K210" s="59"/>
      <c r="L210" s="59"/>
      <c r="M210" s="59"/>
      <c r="N210" s="56" t="s">
        <v>4358</v>
      </c>
      <c r="O210" s="59"/>
      <c r="P210" s="56" t="s">
        <v>4496</v>
      </c>
      <c r="Q210" s="61" t="s">
        <v>394</v>
      </c>
      <c r="R210" s="58" t="s">
        <v>5211</v>
      </c>
      <c r="T210" s="55" t="b">
        <f t="shared" si="1"/>
        <v>1</v>
      </c>
    </row>
    <row r="211" ht="15.0" customHeight="1">
      <c r="A211" s="56" t="s">
        <v>199</v>
      </c>
      <c r="B211" s="56" t="s">
        <v>3697</v>
      </c>
      <c r="C211" s="57" t="s">
        <v>3698</v>
      </c>
      <c r="D211" s="58">
        <v>8.174691671E9</v>
      </c>
      <c r="E211" s="56" t="s">
        <v>2286</v>
      </c>
      <c r="F211" s="56" t="s">
        <v>379</v>
      </c>
      <c r="G211" s="56" t="s">
        <v>365</v>
      </c>
      <c r="H211" s="62" t="s">
        <v>413</v>
      </c>
      <c r="I211" s="59"/>
      <c r="J211" s="56" t="s">
        <v>4499</v>
      </c>
      <c r="K211" s="58">
        <v>0.0</v>
      </c>
      <c r="L211" s="59"/>
      <c r="M211" s="56" t="s">
        <v>5212</v>
      </c>
      <c r="N211" s="56" t="s">
        <v>1007</v>
      </c>
      <c r="O211" s="59"/>
      <c r="P211" s="56" t="s">
        <v>4501</v>
      </c>
      <c r="Q211" s="61" t="s">
        <v>373</v>
      </c>
      <c r="R211" s="56" t="s">
        <v>4559</v>
      </c>
      <c r="T211" s="55" t="b">
        <f t="shared" si="1"/>
        <v>0</v>
      </c>
    </row>
    <row r="212" ht="15.0" customHeight="1">
      <c r="A212" s="56" t="s">
        <v>200</v>
      </c>
      <c r="B212" s="56" t="s">
        <v>650</v>
      </c>
      <c r="C212" s="57" t="s">
        <v>1591</v>
      </c>
      <c r="D212" s="58">
        <v>6.12426267E9</v>
      </c>
      <c r="E212" s="56" t="s">
        <v>3199</v>
      </c>
      <c r="F212" s="56" t="s">
        <v>379</v>
      </c>
      <c r="G212" s="56" t="s">
        <v>365</v>
      </c>
      <c r="H212" s="62" t="s">
        <v>413</v>
      </c>
      <c r="I212" s="59"/>
      <c r="J212" s="62" t="s">
        <v>483</v>
      </c>
      <c r="K212" s="59"/>
      <c r="L212" s="59"/>
      <c r="M212" s="59"/>
      <c r="N212" s="56" t="s">
        <v>1496</v>
      </c>
      <c r="O212" s="59"/>
      <c r="P212" s="56" t="s">
        <v>4496</v>
      </c>
      <c r="Q212" s="61" t="s">
        <v>373</v>
      </c>
      <c r="R212" s="58" t="s">
        <v>5213</v>
      </c>
      <c r="T212" s="55" t="b">
        <f t="shared" si="1"/>
        <v>0</v>
      </c>
    </row>
    <row r="213" ht="15.0" customHeight="1">
      <c r="A213" s="56" t="s">
        <v>201</v>
      </c>
      <c r="B213" s="56" t="s">
        <v>3712</v>
      </c>
      <c r="C213" s="57" t="s">
        <v>5214</v>
      </c>
      <c r="D213" s="56" t="s">
        <v>1597</v>
      </c>
      <c r="E213" s="56" t="s">
        <v>3111</v>
      </c>
      <c r="F213" s="56" t="s">
        <v>399</v>
      </c>
      <c r="G213" s="56" t="s">
        <v>412</v>
      </c>
      <c r="H213" s="62" t="s">
        <v>513</v>
      </c>
      <c r="I213" s="59"/>
      <c r="J213" s="62" t="s">
        <v>4499</v>
      </c>
      <c r="K213" s="59"/>
      <c r="L213" s="59"/>
      <c r="M213" s="56" t="s">
        <v>1595</v>
      </c>
      <c r="N213" s="56" t="s">
        <v>3109</v>
      </c>
      <c r="O213" s="59"/>
      <c r="P213" s="56" t="s">
        <v>4501</v>
      </c>
      <c r="Q213" s="61" t="s">
        <v>373</v>
      </c>
      <c r="R213" s="58" t="s">
        <v>4946</v>
      </c>
      <c r="T213" s="55" t="b">
        <f t="shared" si="1"/>
        <v>1</v>
      </c>
    </row>
    <row r="214" ht="15.0" customHeight="1">
      <c r="A214" s="56" t="s">
        <v>5215</v>
      </c>
      <c r="B214" s="56" t="s">
        <v>5216</v>
      </c>
      <c r="C214" s="57" t="s">
        <v>5217</v>
      </c>
      <c r="D214" s="58">
        <v>5.123279204E9</v>
      </c>
      <c r="E214" s="56" t="s">
        <v>2504</v>
      </c>
      <c r="F214" s="56" t="s">
        <v>364</v>
      </c>
      <c r="G214" s="56" t="s">
        <v>365</v>
      </c>
      <c r="H214" s="62" t="s">
        <v>513</v>
      </c>
      <c r="I214" s="59"/>
      <c r="J214" s="62" t="s">
        <v>497</v>
      </c>
      <c r="K214" s="59"/>
      <c r="L214" s="59"/>
      <c r="M214" s="56" t="s">
        <v>5218</v>
      </c>
      <c r="N214" s="56" t="s">
        <v>5219</v>
      </c>
      <c r="O214" s="59"/>
      <c r="P214" s="56" t="s">
        <v>4496</v>
      </c>
      <c r="Q214" s="61" t="s">
        <v>394</v>
      </c>
      <c r="R214" s="58" t="s">
        <v>5220</v>
      </c>
      <c r="T214" s="55" t="b">
        <f t="shared" si="1"/>
        <v>1</v>
      </c>
    </row>
    <row r="215" ht="15.0" customHeight="1">
      <c r="A215" s="56" t="s">
        <v>202</v>
      </c>
      <c r="B215" s="56" t="s">
        <v>3724</v>
      </c>
      <c r="C215" s="57" t="s">
        <v>3725</v>
      </c>
      <c r="D215" s="56" t="s">
        <v>5221</v>
      </c>
      <c r="E215" s="56" t="s">
        <v>3726</v>
      </c>
      <c r="F215" s="56" t="s">
        <v>399</v>
      </c>
      <c r="G215" s="56" t="s">
        <v>365</v>
      </c>
      <c r="H215" s="62" t="s">
        <v>413</v>
      </c>
      <c r="I215" s="59"/>
      <c r="J215" s="62" t="s">
        <v>4994</v>
      </c>
      <c r="K215" s="59"/>
      <c r="L215" s="59"/>
      <c r="M215" s="56" t="s">
        <v>5222</v>
      </c>
      <c r="N215" s="56" t="s">
        <v>5223</v>
      </c>
      <c r="O215" s="59"/>
      <c r="P215" s="56" t="s">
        <v>4508</v>
      </c>
      <c r="Q215" s="61" t="s">
        <v>394</v>
      </c>
      <c r="R215" s="56" t="s">
        <v>4559</v>
      </c>
      <c r="T215" s="55" t="b">
        <f t="shared" si="1"/>
        <v>0</v>
      </c>
    </row>
    <row r="216" ht="15.0" customHeight="1">
      <c r="A216" s="56" t="s">
        <v>5224</v>
      </c>
      <c r="B216" s="56" t="s">
        <v>5225</v>
      </c>
      <c r="C216" s="57" t="s">
        <v>5226</v>
      </c>
      <c r="D216" s="58">
        <v>2.816149908E9</v>
      </c>
      <c r="E216" s="56" t="s">
        <v>5227</v>
      </c>
      <c r="F216" s="56" t="s">
        <v>399</v>
      </c>
      <c r="G216" s="56" t="s">
        <v>380</v>
      </c>
      <c r="H216" s="62" t="s">
        <v>413</v>
      </c>
      <c r="I216" s="59"/>
      <c r="J216" s="56" t="s">
        <v>4499</v>
      </c>
      <c r="K216" s="58">
        <v>2.0</v>
      </c>
      <c r="L216" s="59"/>
      <c r="M216" s="56" t="s">
        <v>5228</v>
      </c>
      <c r="N216" s="56" t="s">
        <v>1131</v>
      </c>
      <c r="O216" s="59"/>
      <c r="P216" s="56" t="s">
        <v>4501</v>
      </c>
      <c r="Q216" s="61" t="s">
        <v>373</v>
      </c>
      <c r="R216" s="56" t="s">
        <v>4559</v>
      </c>
      <c r="T216" s="55" t="b">
        <f t="shared" si="1"/>
        <v>0</v>
      </c>
    </row>
    <row r="217" ht="15.0" customHeight="1">
      <c r="A217" s="56" t="s">
        <v>5229</v>
      </c>
      <c r="B217" s="56" t="s">
        <v>5230</v>
      </c>
      <c r="C217" s="57" t="s">
        <v>5231</v>
      </c>
      <c r="D217" s="56" t="s">
        <v>5232</v>
      </c>
      <c r="E217" s="56" t="s">
        <v>4180</v>
      </c>
      <c r="F217" s="56" t="s">
        <v>399</v>
      </c>
      <c r="G217" s="56" t="s">
        <v>412</v>
      </c>
      <c r="H217" s="62" t="s">
        <v>413</v>
      </c>
      <c r="I217" s="59"/>
      <c r="J217" s="62" t="s">
        <v>4506</v>
      </c>
      <c r="K217" s="59"/>
      <c r="L217" s="59"/>
      <c r="M217" s="56" t="s">
        <v>5233</v>
      </c>
      <c r="N217" s="56" t="s">
        <v>5234</v>
      </c>
      <c r="O217" s="59"/>
      <c r="P217" s="56" t="s">
        <v>4508</v>
      </c>
      <c r="Q217" s="61" t="s">
        <v>394</v>
      </c>
      <c r="R217" s="58" t="s">
        <v>5235</v>
      </c>
      <c r="T217" s="55" t="b">
        <f t="shared" si="1"/>
        <v>0</v>
      </c>
    </row>
    <row r="218" ht="15.0" customHeight="1">
      <c r="A218" s="56" t="s">
        <v>203</v>
      </c>
      <c r="B218" s="56" t="s">
        <v>5236</v>
      </c>
      <c r="C218" s="57" t="s">
        <v>5237</v>
      </c>
      <c r="D218" s="56" t="s">
        <v>5238</v>
      </c>
      <c r="E218" s="56" t="s">
        <v>5239</v>
      </c>
      <c r="F218" s="56" t="s">
        <v>364</v>
      </c>
      <c r="G218" s="56" t="s">
        <v>412</v>
      </c>
      <c r="H218" s="62" t="s">
        <v>413</v>
      </c>
      <c r="I218" s="59"/>
      <c r="J218" s="62" t="s">
        <v>4499</v>
      </c>
      <c r="K218" s="59"/>
      <c r="L218" s="58">
        <v>0.0</v>
      </c>
      <c r="M218" s="56" t="s">
        <v>5240</v>
      </c>
      <c r="N218" s="56" t="s">
        <v>3186</v>
      </c>
      <c r="O218" s="59"/>
      <c r="P218" s="56" t="s">
        <v>4501</v>
      </c>
      <c r="Q218" s="61" t="s">
        <v>373</v>
      </c>
      <c r="R218" s="58" t="s">
        <v>5241</v>
      </c>
      <c r="T218" s="55" t="b">
        <f t="shared" si="1"/>
        <v>0</v>
      </c>
    </row>
    <row r="219" ht="15.0" customHeight="1">
      <c r="A219" s="56" t="s">
        <v>5242</v>
      </c>
      <c r="B219" s="56" t="s">
        <v>5243</v>
      </c>
      <c r="C219" s="57" t="s">
        <v>5244</v>
      </c>
      <c r="D219" s="58">
        <v>7.606089645E9</v>
      </c>
      <c r="E219" s="56" t="s">
        <v>5245</v>
      </c>
      <c r="F219" s="56" t="s">
        <v>399</v>
      </c>
      <c r="G219" s="56" t="s">
        <v>365</v>
      </c>
      <c r="H219" s="62" t="s">
        <v>413</v>
      </c>
      <c r="I219" s="59"/>
      <c r="J219" s="62" t="s">
        <v>4499</v>
      </c>
      <c r="K219" s="59"/>
      <c r="L219" s="59"/>
      <c r="M219" s="59"/>
      <c r="N219" s="56" t="s">
        <v>3176</v>
      </c>
      <c r="O219" s="59"/>
      <c r="P219" s="56" t="s">
        <v>4501</v>
      </c>
      <c r="Q219" s="61" t="s">
        <v>373</v>
      </c>
      <c r="R219" s="58" t="s">
        <v>5246</v>
      </c>
      <c r="T219" s="55" t="b">
        <f t="shared" si="1"/>
        <v>0</v>
      </c>
    </row>
    <row r="220" ht="15.0" customHeight="1">
      <c r="A220" s="56" t="s">
        <v>5247</v>
      </c>
      <c r="B220" s="56" t="s">
        <v>5248</v>
      </c>
      <c r="C220" s="57" t="s">
        <v>5249</v>
      </c>
      <c r="D220" s="56" t="s">
        <v>5250</v>
      </c>
      <c r="E220" s="56" t="s">
        <v>5251</v>
      </c>
      <c r="F220" s="56" t="s">
        <v>399</v>
      </c>
      <c r="G220" s="56" t="s">
        <v>412</v>
      </c>
      <c r="H220" s="62" t="s">
        <v>413</v>
      </c>
      <c r="I220" s="59"/>
      <c r="J220" s="56" t="s">
        <v>4499</v>
      </c>
      <c r="K220" s="58">
        <v>0.0</v>
      </c>
      <c r="L220" s="59"/>
      <c r="M220" s="59"/>
      <c r="N220" s="56" t="s">
        <v>2331</v>
      </c>
      <c r="O220" s="59"/>
      <c r="P220" s="56" t="s">
        <v>4501</v>
      </c>
      <c r="Q220" s="61" t="s">
        <v>373</v>
      </c>
      <c r="R220" s="58" t="s">
        <v>5252</v>
      </c>
      <c r="T220" s="55" t="b">
        <f t="shared" si="1"/>
        <v>0</v>
      </c>
    </row>
    <row r="221" ht="15.0" customHeight="1">
      <c r="A221" s="56" t="s">
        <v>204</v>
      </c>
      <c r="B221" s="56" t="s">
        <v>1607</v>
      </c>
      <c r="C221" s="57" t="s">
        <v>1608</v>
      </c>
      <c r="D221" s="56" t="s">
        <v>5253</v>
      </c>
      <c r="E221" s="56" t="s">
        <v>2528</v>
      </c>
      <c r="F221" s="56" t="s">
        <v>399</v>
      </c>
      <c r="G221" s="56" t="s">
        <v>365</v>
      </c>
      <c r="H221" s="62" t="s">
        <v>413</v>
      </c>
      <c r="I221" s="59"/>
      <c r="J221" s="62" t="s">
        <v>4573</v>
      </c>
      <c r="K221" s="59"/>
      <c r="L221" s="59"/>
      <c r="M221" s="56" t="s">
        <v>5254</v>
      </c>
      <c r="N221" s="56" t="s">
        <v>2872</v>
      </c>
      <c r="O221" s="59"/>
      <c r="P221" s="56" t="s">
        <v>4501</v>
      </c>
      <c r="Q221" s="61" t="s">
        <v>373</v>
      </c>
      <c r="R221" s="58" t="s">
        <v>5255</v>
      </c>
      <c r="T221" s="55" t="b">
        <f t="shared" si="1"/>
        <v>0</v>
      </c>
    </row>
    <row r="222" ht="15.0" customHeight="1">
      <c r="A222" s="56" t="s">
        <v>205</v>
      </c>
      <c r="B222" s="56" t="s">
        <v>5256</v>
      </c>
      <c r="C222" s="57" t="s">
        <v>5257</v>
      </c>
      <c r="D222" s="58">
        <v>3.012192991E9</v>
      </c>
      <c r="E222" s="56" t="s">
        <v>5258</v>
      </c>
      <c r="F222" s="56" t="s">
        <v>399</v>
      </c>
      <c r="G222" s="56" t="s">
        <v>365</v>
      </c>
      <c r="H222" s="62" t="s">
        <v>413</v>
      </c>
      <c r="I222" s="59"/>
      <c r="J222" s="62" t="s">
        <v>4499</v>
      </c>
      <c r="K222" s="59"/>
      <c r="L222" s="59"/>
      <c r="M222" s="56" t="s">
        <v>5259</v>
      </c>
      <c r="N222" s="56" t="s">
        <v>4211</v>
      </c>
      <c r="O222" s="59"/>
      <c r="P222" s="56" t="s">
        <v>4501</v>
      </c>
      <c r="Q222" s="61" t="s">
        <v>373</v>
      </c>
      <c r="R222" s="58" t="s">
        <v>5260</v>
      </c>
      <c r="T222" s="55" t="b">
        <f t="shared" si="1"/>
        <v>0</v>
      </c>
    </row>
    <row r="223" ht="15.0" customHeight="1">
      <c r="A223" s="56" t="s">
        <v>331</v>
      </c>
      <c r="B223" s="56" t="s">
        <v>1621</v>
      </c>
      <c r="C223" s="57" t="s">
        <v>1622</v>
      </c>
      <c r="D223" s="58">
        <v>7.022664773E9</v>
      </c>
      <c r="E223" s="56" t="s">
        <v>5261</v>
      </c>
      <c r="F223" s="56" t="s">
        <v>399</v>
      </c>
      <c r="G223" s="56" t="s">
        <v>365</v>
      </c>
      <c r="H223" s="62" t="s">
        <v>366</v>
      </c>
      <c r="I223" s="59"/>
      <c r="J223" s="56" t="s">
        <v>4499</v>
      </c>
      <c r="K223" s="58">
        <v>2.0</v>
      </c>
      <c r="L223" s="59"/>
      <c r="M223" s="56" t="s">
        <v>5262</v>
      </c>
      <c r="N223" s="56" t="s">
        <v>1671</v>
      </c>
      <c r="O223" s="59"/>
      <c r="P223" s="56" t="s">
        <v>4501</v>
      </c>
      <c r="Q223" s="61" t="s">
        <v>394</v>
      </c>
      <c r="R223" s="56" t="s">
        <v>4559</v>
      </c>
      <c r="T223" s="55" t="b">
        <f t="shared" si="1"/>
        <v>0</v>
      </c>
    </row>
    <row r="224" ht="15.0" customHeight="1">
      <c r="A224" s="56" t="s">
        <v>207</v>
      </c>
      <c r="B224" s="56" t="s">
        <v>1625</v>
      </c>
      <c r="C224" s="57" t="s">
        <v>1626</v>
      </c>
      <c r="D224" s="56" t="s">
        <v>3750</v>
      </c>
      <c r="E224" s="56" t="s">
        <v>5263</v>
      </c>
      <c r="F224" s="56" t="s">
        <v>379</v>
      </c>
      <c r="G224" s="56" t="s">
        <v>412</v>
      </c>
      <c r="H224" s="62" t="s">
        <v>413</v>
      </c>
      <c r="I224" s="59"/>
      <c r="J224" s="56" t="s">
        <v>381</v>
      </c>
      <c r="K224" s="58">
        <v>0.0</v>
      </c>
      <c r="L224" s="58">
        <v>0.0</v>
      </c>
      <c r="M224" s="59"/>
      <c r="N224" s="56" t="s">
        <v>2953</v>
      </c>
      <c r="O224" s="59"/>
      <c r="P224" s="56" t="s">
        <v>4496</v>
      </c>
      <c r="Q224" s="61" t="s">
        <v>373</v>
      </c>
      <c r="R224" s="58" t="s">
        <v>5260</v>
      </c>
      <c r="T224" s="55" t="b">
        <f t="shared" si="1"/>
        <v>0</v>
      </c>
    </row>
    <row r="225" ht="15.0" customHeight="1">
      <c r="A225" s="56" t="s">
        <v>315</v>
      </c>
      <c r="B225" s="56" t="s">
        <v>5264</v>
      </c>
      <c r="C225" s="57" t="s">
        <v>5265</v>
      </c>
      <c r="D225" s="58">
        <v>7.13324944E9</v>
      </c>
      <c r="E225" s="56" t="s">
        <v>411</v>
      </c>
      <c r="F225" s="56" t="s">
        <v>379</v>
      </c>
      <c r="G225" s="56" t="s">
        <v>405</v>
      </c>
      <c r="H225" s="62" t="s">
        <v>366</v>
      </c>
      <c r="I225" s="59"/>
      <c r="J225" s="62" t="s">
        <v>4573</v>
      </c>
      <c r="K225" s="59"/>
      <c r="L225" s="59"/>
      <c r="M225" s="56" t="s">
        <v>5266</v>
      </c>
      <c r="N225" s="56" t="s">
        <v>5125</v>
      </c>
      <c r="O225" s="59"/>
      <c r="P225" s="56" t="s">
        <v>4501</v>
      </c>
      <c r="Q225" s="61" t="s">
        <v>373</v>
      </c>
      <c r="R225" s="56" t="s">
        <v>4559</v>
      </c>
      <c r="T225" s="55" t="b">
        <f t="shared" si="1"/>
        <v>0</v>
      </c>
    </row>
    <row r="226" ht="15.0" customHeight="1">
      <c r="A226" s="56" t="s">
        <v>208</v>
      </c>
      <c r="B226" s="56" t="s">
        <v>5267</v>
      </c>
      <c r="C226" s="57" t="s">
        <v>5268</v>
      </c>
      <c r="D226" s="58">
        <v>7.134193778E9</v>
      </c>
      <c r="E226" s="56" t="s">
        <v>5269</v>
      </c>
      <c r="F226" s="56" t="s">
        <v>364</v>
      </c>
      <c r="G226" s="56" t="s">
        <v>365</v>
      </c>
      <c r="H226" s="62" t="s">
        <v>366</v>
      </c>
      <c r="I226" s="59"/>
      <c r="J226" s="56" t="s">
        <v>4573</v>
      </c>
      <c r="K226" s="58">
        <v>0.0</v>
      </c>
      <c r="L226" s="58">
        <v>3.0</v>
      </c>
      <c r="M226" s="59"/>
      <c r="N226" s="56" t="s">
        <v>5270</v>
      </c>
      <c r="O226" s="59"/>
      <c r="P226" s="56" t="s">
        <v>4501</v>
      </c>
      <c r="Q226" s="61" t="s">
        <v>373</v>
      </c>
      <c r="R226" s="58" t="s">
        <v>5271</v>
      </c>
      <c r="T226" s="55" t="b">
        <f t="shared" si="1"/>
        <v>0</v>
      </c>
    </row>
    <row r="227" ht="15.0" customHeight="1">
      <c r="A227" s="56" t="s">
        <v>332</v>
      </c>
      <c r="B227" s="56" t="s">
        <v>1644</v>
      </c>
      <c r="C227" s="57" t="s">
        <v>1645</v>
      </c>
      <c r="D227" s="56" t="s">
        <v>5272</v>
      </c>
      <c r="E227" s="56" t="s">
        <v>5273</v>
      </c>
      <c r="F227" s="56" t="s">
        <v>364</v>
      </c>
      <c r="G227" s="56" t="s">
        <v>830</v>
      </c>
      <c r="H227" s="62" t="s">
        <v>366</v>
      </c>
      <c r="I227" s="59"/>
      <c r="J227" s="62" t="s">
        <v>4499</v>
      </c>
      <c r="K227" s="59"/>
      <c r="L227" s="59"/>
      <c r="M227" s="56" t="s">
        <v>5274</v>
      </c>
      <c r="N227" s="56" t="s">
        <v>725</v>
      </c>
      <c r="O227" s="59"/>
      <c r="P227" s="56" t="s">
        <v>4501</v>
      </c>
      <c r="Q227" s="61" t="s">
        <v>373</v>
      </c>
      <c r="R227" s="58" t="s">
        <v>5275</v>
      </c>
      <c r="T227" s="55" t="b">
        <f t="shared" si="1"/>
        <v>0</v>
      </c>
    </row>
    <row r="228" ht="15.0" customHeight="1">
      <c r="A228" s="56" t="s">
        <v>209</v>
      </c>
      <c r="B228" s="56" t="s">
        <v>5276</v>
      </c>
      <c r="C228" s="57" t="s">
        <v>5277</v>
      </c>
      <c r="D228" s="58">
        <v>4.699193802E9</v>
      </c>
      <c r="E228" s="56" t="s">
        <v>2614</v>
      </c>
      <c r="F228" s="56" t="s">
        <v>399</v>
      </c>
      <c r="G228" s="56" t="s">
        <v>412</v>
      </c>
      <c r="H228" s="62" t="s">
        <v>366</v>
      </c>
      <c r="I228" s="59"/>
      <c r="J228" s="62" t="s">
        <v>4499</v>
      </c>
      <c r="K228" s="59"/>
      <c r="L228" s="59"/>
      <c r="M228" s="56" t="s">
        <v>5278</v>
      </c>
      <c r="N228" s="59"/>
      <c r="O228" s="59"/>
      <c r="P228" s="56" t="s">
        <v>4496</v>
      </c>
      <c r="Q228" s="61" t="s">
        <v>394</v>
      </c>
      <c r="R228" s="58" t="s">
        <v>5279</v>
      </c>
      <c r="T228" s="55" t="b">
        <f t="shared" si="1"/>
        <v>0</v>
      </c>
    </row>
    <row r="229" ht="15.0" customHeight="1">
      <c r="A229" s="56" t="s">
        <v>5280</v>
      </c>
      <c r="B229" s="56" t="s">
        <v>5281</v>
      </c>
      <c r="C229" s="57" t="s">
        <v>5282</v>
      </c>
      <c r="D229" s="56" t="s">
        <v>5283</v>
      </c>
      <c r="E229" s="56" t="s">
        <v>2286</v>
      </c>
      <c r="F229" s="56" t="s">
        <v>379</v>
      </c>
      <c r="G229" s="56" t="s">
        <v>405</v>
      </c>
      <c r="H229" s="62" t="s">
        <v>869</v>
      </c>
      <c r="I229" s="59"/>
      <c r="J229" s="62" t="s">
        <v>4499</v>
      </c>
      <c r="K229" s="59"/>
      <c r="L229" s="59"/>
      <c r="M229" s="56" t="s">
        <v>5284</v>
      </c>
      <c r="N229" s="56" t="s">
        <v>1390</v>
      </c>
      <c r="O229" s="59"/>
      <c r="P229" s="56" t="s">
        <v>4501</v>
      </c>
      <c r="Q229" s="61" t="s">
        <v>394</v>
      </c>
      <c r="R229" s="56" t="s">
        <v>4559</v>
      </c>
      <c r="T229" s="55" t="b">
        <f t="shared" si="1"/>
        <v>0</v>
      </c>
    </row>
    <row r="230" ht="15.0" customHeight="1">
      <c r="A230" s="56" t="s">
        <v>210</v>
      </c>
      <c r="B230" s="56" t="s">
        <v>5285</v>
      </c>
      <c r="C230" s="57" t="s">
        <v>5286</v>
      </c>
      <c r="D230" s="58">
        <v>5.12965828E9</v>
      </c>
      <c r="E230" s="56" t="s">
        <v>5287</v>
      </c>
      <c r="F230" s="56" t="s">
        <v>399</v>
      </c>
      <c r="G230" s="56" t="s">
        <v>365</v>
      </c>
      <c r="H230" s="62" t="s">
        <v>513</v>
      </c>
      <c r="I230" s="59"/>
      <c r="J230" s="56" t="s">
        <v>4994</v>
      </c>
      <c r="K230" s="58">
        <v>2.0</v>
      </c>
      <c r="L230" s="59"/>
      <c r="M230" s="56" t="s">
        <v>5288</v>
      </c>
      <c r="N230" s="56" t="s">
        <v>5289</v>
      </c>
      <c r="O230" s="59"/>
      <c r="P230" s="56" t="s">
        <v>4508</v>
      </c>
      <c r="Q230" s="61" t="s">
        <v>394</v>
      </c>
      <c r="R230" s="56" t="s">
        <v>4559</v>
      </c>
      <c r="T230" s="55" t="b">
        <f t="shared" si="1"/>
        <v>1</v>
      </c>
    </row>
    <row r="231" ht="15.0" customHeight="1">
      <c r="A231" s="56" t="s">
        <v>211</v>
      </c>
      <c r="B231" s="56" t="s">
        <v>1653</v>
      </c>
      <c r="C231" s="57" t="s">
        <v>1654</v>
      </c>
      <c r="D231" s="56" t="s">
        <v>5290</v>
      </c>
      <c r="E231" s="56" t="s">
        <v>5291</v>
      </c>
      <c r="F231" s="56" t="s">
        <v>364</v>
      </c>
      <c r="G231" s="56" t="s">
        <v>365</v>
      </c>
      <c r="H231" s="62" t="s">
        <v>869</v>
      </c>
      <c r="I231" s="59"/>
      <c r="J231" s="62" t="s">
        <v>4573</v>
      </c>
      <c r="K231" s="59"/>
      <c r="L231" s="59"/>
      <c r="M231" s="56" t="s">
        <v>1653</v>
      </c>
      <c r="N231" s="56" t="s">
        <v>2454</v>
      </c>
      <c r="O231" s="59"/>
      <c r="P231" s="56" t="s">
        <v>4501</v>
      </c>
      <c r="Q231" s="61" t="s">
        <v>373</v>
      </c>
      <c r="R231" s="58" t="s">
        <v>5292</v>
      </c>
      <c r="T231" s="55" t="b">
        <f t="shared" si="1"/>
        <v>0</v>
      </c>
    </row>
    <row r="232" ht="15.0" customHeight="1">
      <c r="A232" s="56" t="s">
        <v>212</v>
      </c>
      <c r="B232" s="56" t="s">
        <v>1660</v>
      </c>
      <c r="C232" s="57" t="s">
        <v>1661</v>
      </c>
      <c r="D232" s="58">
        <v>9.163163844E9</v>
      </c>
      <c r="E232" s="56" t="s">
        <v>5293</v>
      </c>
      <c r="F232" s="56" t="s">
        <v>364</v>
      </c>
      <c r="G232" s="56" t="s">
        <v>365</v>
      </c>
      <c r="H232" s="62" t="s">
        <v>366</v>
      </c>
      <c r="I232" s="59"/>
      <c r="J232" s="62" t="s">
        <v>381</v>
      </c>
      <c r="K232" s="59"/>
      <c r="L232" s="59"/>
      <c r="M232" s="59"/>
      <c r="N232" s="56" t="s">
        <v>2317</v>
      </c>
      <c r="O232" s="59"/>
      <c r="P232" s="56" t="s">
        <v>4496</v>
      </c>
      <c r="Q232" s="61" t="s">
        <v>373</v>
      </c>
      <c r="R232" s="58" t="s">
        <v>5294</v>
      </c>
      <c r="T232" s="55" t="b">
        <f t="shared" si="1"/>
        <v>0</v>
      </c>
    </row>
    <row r="233" ht="15.0" customHeight="1">
      <c r="A233" s="56" t="s">
        <v>213</v>
      </c>
      <c r="B233" s="56" t="s">
        <v>1665</v>
      </c>
      <c r="C233" s="57" t="s">
        <v>1666</v>
      </c>
      <c r="D233" s="56" t="s">
        <v>5295</v>
      </c>
      <c r="E233" s="56" t="s">
        <v>5296</v>
      </c>
      <c r="F233" s="56" t="s">
        <v>399</v>
      </c>
      <c r="G233" s="56" t="s">
        <v>365</v>
      </c>
      <c r="H233" s="62" t="s">
        <v>366</v>
      </c>
      <c r="I233" s="59"/>
      <c r="J233" s="62" t="s">
        <v>4499</v>
      </c>
      <c r="K233" s="59"/>
      <c r="L233" s="59"/>
      <c r="M233" s="56" t="s">
        <v>5297</v>
      </c>
      <c r="N233" s="56" t="s">
        <v>3813</v>
      </c>
      <c r="O233" s="59"/>
      <c r="P233" s="56" t="s">
        <v>4501</v>
      </c>
      <c r="Q233" s="61" t="s">
        <v>373</v>
      </c>
      <c r="R233" s="56" t="s">
        <v>4559</v>
      </c>
      <c r="T233" s="55" t="b">
        <f t="shared" si="1"/>
        <v>0</v>
      </c>
    </row>
    <row r="234" ht="15.0" customHeight="1">
      <c r="A234" s="56" t="s">
        <v>214</v>
      </c>
      <c r="B234" s="56" t="s">
        <v>1673</v>
      </c>
      <c r="C234" s="57" t="s">
        <v>1674</v>
      </c>
      <c r="D234" s="56" t="s">
        <v>5298</v>
      </c>
      <c r="E234" s="56" t="s">
        <v>3333</v>
      </c>
      <c r="F234" s="56" t="s">
        <v>379</v>
      </c>
      <c r="G234" s="56" t="s">
        <v>365</v>
      </c>
      <c r="H234" s="62" t="s">
        <v>413</v>
      </c>
      <c r="I234" s="59"/>
      <c r="J234" s="62" t="s">
        <v>4499</v>
      </c>
      <c r="K234" s="59"/>
      <c r="L234" s="59"/>
      <c r="M234" s="59"/>
      <c r="N234" s="56" t="s">
        <v>2432</v>
      </c>
      <c r="O234" s="59"/>
      <c r="P234" s="56" t="s">
        <v>4501</v>
      </c>
      <c r="Q234" s="61" t="s">
        <v>373</v>
      </c>
      <c r="R234" s="58" t="s">
        <v>5299</v>
      </c>
      <c r="T234" s="55" t="b">
        <f t="shared" si="1"/>
        <v>0</v>
      </c>
    </row>
    <row r="235" ht="15.0" customHeight="1">
      <c r="A235" s="56" t="s">
        <v>215</v>
      </c>
      <c r="B235" s="56" t="s">
        <v>1678</v>
      </c>
      <c r="C235" s="57" t="s">
        <v>1679</v>
      </c>
      <c r="D235" s="58">
        <v>8.172155223E9</v>
      </c>
      <c r="E235" s="56" t="s">
        <v>3793</v>
      </c>
      <c r="F235" s="56" t="s">
        <v>364</v>
      </c>
      <c r="G235" s="56" t="s">
        <v>365</v>
      </c>
      <c r="H235" s="62" t="s">
        <v>366</v>
      </c>
      <c r="I235" s="59"/>
      <c r="J235" s="56" t="s">
        <v>497</v>
      </c>
      <c r="K235" s="58">
        <v>2.0</v>
      </c>
      <c r="L235" s="58">
        <v>2.0</v>
      </c>
      <c r="M235" s="56" t="s">
        <v>1681</v>
      </c>
      <c r="N235" s="56" t="s">
        <v>5300</v>
      </c>
      <c r="O235" s="59"/>
      <c r="P235" s="56" t="s">
        <v>4496</v>
      </c>
      <c r="Q235" s="61" t="s">
        <v>373</v>
      </c>
      <c r="R235" s="58" t="s">
        <v>5301</v>
      </c>
      <c r="T235" s="55" t="b">
        <f t="shared" si="1"/>
        <v>0</v>
      </c>
    </row>
    <row r="236" ht="15.0" customHeight="1">
      <c r="A236" s="56" t="s">
        <v>5302</v>
      </c>
      <c r="B236" s="56" t="s">
        <v>1692</v>
      </c>
      <c r="C236" s="57" t="s">
        <v>1693</v>
      </c>
      <c r="D236" s="56" t="s">
        <v>5303</v>
      </c>
      <c r="E236" s="56" t="s">
        <v>2614</v>
      </c>
      <c r="F236" s="56" t="s">
        <v>364</v>
      </c>
      <c r="G236" s="56" t="s">
        <v>365</v>
      </c>
      <c r="H236" s="62" t="s">
        <v>366</v>
      </c>
      <c r="I236" s="59"/>
      <c r="J236" s="56" t="s">
        <v>4506</v>
      </c>
      <c r="K236" s="58">
        <v>2.0</v>
      </c>
      <c r="L236" s="59"/>
      <c r="M236" s="59"/>
      <c r="N236" s="59"/>
      <c r="O236" s="59"/>
      <c r="P236" s="56" t="s">
        <v>4508</v>
      </c>
      <c r="Q236" s="61" t="s">
        <v>394</v>
      </c>
      <c r="R236" s="58" t="s">
        <v>5304</v>
      </c>
      <c r="T236" s="55" t="b">
        <f t="shared" si="1"/>
        <v>0</v>
      </c>
    </row>
    <row r="237" ht="15.0" customHeight="1">
      <c r="A237" s="56" t="s">
        <v>5305</v>
      </c>
      <c r="B237" s="56" t="s">
        <v>5306</v>
      </c>
      <c r="C237" s="57" t="s">
        <v>5307</v>
      </c>
      <c r="D237" s="56" t="s">
        <v>5308</v>
      </c>
      <c r="E237" s="56" t="s">
        <v>5309</v>
      </c>
      <c r="F237" s="56" t="s">
        <v>364</v>
      </c>
      <c r="G237" s="56" t="s">
        <v>365</v>
      </c>
      <c r="H237" s="62" t="s">
        <v>366</v>
      </c>
      <c r="I237" s="59"/>
      <c r="J237" s="62" t="s">
        <v>4499</v>
      </c>
      <c r="K237" s="59"/>
      <c r="L237" s="59"/>
      <c r="M237" s="56" t="s">
        <v>5310</v>
      </c>
      <c r="N237" s="56" t="s">
        <v>1619</v>
      </c>
      <c r="O237" s="59"/>
      <c r="P237" s="56" t="s">
        <v>4501</v>
      </c>
      <c r="Q237" s="61" t="s">
        <v>373</v>
      </c>
      <c r="R237" s="56" t="s">
        <v>4559</v>
      </c>
      <c r="T237" s="55" t="b">
        <f t="shared" si="1"/>
        <v>0</v>
      </c>
    </row>
    <row r="238" ht="15.0" customHeight="1">
      <c r="A238" s="56" t="s">
        <v>5311</v>
      </c>
      <c r="B238" s="56" t="s">
        <v>5312</v>
      </c>
      <c r="C238" s="57" t="s">
        <v>5313</v>
      </c>
      <c r="D238" s="58">
        <v>9.72717307E9</v>
      </c>
      <c r="E238" s="56" t="s">
        <v>5314</v>
      </c>
      <c r="F238" s="56" t="s">
        <v>364</v>
      </c>
      <c r="G238" s="56" t="s">
        <v>667</v>
      </c>
      <c r="H238" s="62" t="s">
        <v>513</v>
      </c>
      <c r="I238" s="59"/>
      <c r="J238" s="62" t="s">
        <v>4499</v>
      </c>
      <c r="K238" s="59"/>
      <c r="L238" s="59"/>
      <c r="M238" s="59"/>
      <c r="N238" s="56" t="s">
        <v>4046</v>
      </c>
      <c r="O238" s="59"/>
      <c r="P238" s="56" t="s">
        <v>4501</v>
      </c>
      <c r="Q238" s="61" t="s">
        <v>373</v>
      </c>
      <c r="R238" s="58" t="s">
        <v>5315</v>
      </c>
      <c r="T238" s="55" t="b">
        <f t="shared" si="1"/>
        <v>1</v>
      </c>
    </row>
    <row r="239" ht="15.0" customHeight="1">
      <c r="A239" s="56" t="s">
        <v>333</v>
      </c>
      <c r="B239" s="56" t="s">
        <v>5316</v>
      </c>
      <c r="C239" s="57" t="s">
        <v>5317</v>
      </c>
      <c r="D239" s="56" t="s">
        <v>5318</v>
      </c>
      <c r="E239" s="56" t="s">
        <v>5319</v>
      </c>
      <c r="F239" s="56" t="s">
        <v>399</v>
      </c>
      <c r="G239" s="56" t="s">
        <v>412</v>
      </c>
      <c r="H239" s="62" t="s">
        <v>413</v>
      </c>
      <c r="I239" s="59"/>
      <c r="J239" s="62" t="s">
        <v>4499</v>
      </c>
      <c r="K239" s="59"/>
      <c r="L239" s="59"/>
      <c r="M239" s="59"/>
      <c r="N239" s="56" t="s">
        <v>5320</v>
      </c>
      <c r="O239" s="59"/>
      <c r="P239" s="56" t="s">
        <v>4501</v>
      </c>
      <c r="Q239" s="61" t="s">
        <v>373</v>
      </c>
      <c r="R239" s="58" t="s">
        <v>5321</v>
      </c>
      <c r="T239" s="55" t="b">
        <f t="shared" si="1"/>
        <v>0</v>
      </c>
    </row>
    <row r="240" ht="15.0" customHeight="1">
      <c r="A240" s="56" t="s">
        <v>217</v>
      </c>
      <c r="B240" s="56" t="s">
        <v>5322</v>
      </c>
      <c r="C240" s="57" t="s">
        <v>1718</v>
      </c>
      <c r="D240" s="56" t="s">
        <v>5323</v>
      </c>
      <c r="E240" s="56" t="s">
        <v>2287</v>
      </c>
      <c r="F240" s="56" t="s">
        <v>364</v>
      </c>
      <c r="G240" s="56" t="s">
        <v>365</v>
      </c>
      <c r="H240" s="62" t="s">
        <v>413</v>
      </c>
      <c r="I240" s="59"/>
      <c r="J240" s="62" t="s">
        <v>5324</v>
      </c>
      <c r="K240" s="59"/>
      <c r="L240" s="59"/>
      <c r="M240" s="56" t="s">
        <v>5325</v>
      </c>
      <c r="N240" s="62" t="s">
        <v>5326</v>
      </c>
      <c r="O240" s="59"/>
      <c r="P240" s="56" t="s">
        <v>4501</v>
      </c>
      <c r="Q240" s="61" t="s">
        <v>373</v>
      </c>
      <c r="R240" s="56" t="s">
        <v>4559</v>
      </c>
      <c r="T240" s="55" t="b">
        <f t="shared" si="1"/>
        <v>0</v>
      </c>
    </row>
    <row r="241" ht="15.0" customHeight="1">
      <c r="A241" s="56" t="s">
        <v>5327</v>
      </c>
      <c r="B241" s="56" t="s">
        <v>1723</v>
      </c>
      <c r="C241" s="57" t="s">
        <v>5328</v>
      </c>
      <c r="D241" s="56" t="s">
        <v>1725</v>
      </c>
      <c r="E241" s="56" t="s">
        <v>5329</v>
      </c>
      <c r="F241" s="56" t="s">
        <v>364</v>
      </c>
      <c r="G241" s="56" t="s">
        <v>365</v>
      </c>
      <c r="H241" s="62" t="s">
        <v>413</v>
      </c>
      <c r="I241" s="59"/>
      <c r="J241" s="62" t="s">
        <v>5324</v>
      </c>
      <c r="K241" s="59"/>
      <c r="L241" s="59"/>
      <c r="M241" s="59"/>
      <c r="N241" s="62" t="s">
        <v>5330</v>
      </c>
      <c r="O241" s="59"/>
      <c r="P241" s="56" t="s">
        <v>4501</v>
      </c>
      <c r="Q241" s="61" t="s">
        <v>373</v>
      </c>
      <c r="R241" s="58" t="s">
        <v>5331</v>
      </c>
      <c r="T241" s="55" t="b">
        <f t="shared" si="1"/>
        <v>0</v>
      </c>
    </row>
    <row r="242" ht="15.0" customHeight="1">
      <c r="A242" s="56" t="s">
        <v>218</v>
      </c>
      <c r="B242" s="56" t="s">
        <v>3867</v>
      </c>
      <c r="C242" s="57" t="s">
        <v>3868</v>
      </c>
      <c r="D242" s="56" t="s">
        <v>5332</v>
      </c>
      <c r="E242" s="56" t="s">
        <v>2801</v>
      </c>
      <c r="F242" s="56" t="s">
        <v>364</v>
      </c>
      <c r="G242" s="56" t="s">
        <v>412</v>
      </c>
      <c r="H242" s="62" t="s">
        <v>366</v>
      </c>
      <c r="I242" s="59"/>
      <c r="J242" s="62" t="s">
        <v>4499</v>
      </c>
      <c r="K242" s="59"/>
      <c r="L242" s="59"/>
      <c r="M242" s="56" t="s">
        <v>5333</v>
      </c>
      <c r="N242" s="56" t="s">
        <v>1360</v>
      </c>
      <c r="O242" s="59"/>
      <c r="P242" s="56" t="s">
        <v>4501</v>
      </c>
      <c r="Q242" s="61" t="s">
        <v>373</v>
      </c>
      <c r="R242" s="58" t="s">
        <v>5334</v>
      </c>
      <c r="T242" s="55" t="b">
        <f t="shared" si="1"/>
        <v>0</v>
      </c>
    </row>
    <row r="243" ht="15.0" customHeight="1">
      <c r="A243" s="56" t="s">
        <v>5335</v>
      </c>
      <c r="B243" s="56" t="s">
        <v>5336</v>
      </c>
      <c r="C243" s="57" t="s">
        <v>5337</v>
      </c>
      <c r="D243" s="56" t="s">
        <v>5338</v>
      </c>
      <c r="E243" s="56" t="s">
        <v>1553</v>
      </c>
      <c r="F243" s="56" t="s">
        <v>379</v>
      </c>
      <c r="G243" s="56" t="s">
        <v>405</v>
      </c>
      <c r="H243" s="62" t="s">
        <v>413</v>
      </c>
      <c r="I243" s="59"/>
      <c r="J243" s="62" t="s">
        <v>4506</v>
      </c>
      <c r="K243" s="59"/>
      <c r="L243" s="59"/>
      <c r="M243" s="59"/>
      <c r="N243" s="56" t="s">
        <v>3843</v>
      </c>
      <c r="O243" s="59"/>
      <c r="P243" s="56" t="s">
        <v>4508</v>
      </c>
      <c r="Q243" s="61" t="s">
        <v>394</v>
      </c>
      <c r="R243" s="58" t="s">
        <v>5339</v>
      </c>
      <c r="T243" s="55" t="b">
        <f t="shared" si="1"/>
        <v>0</v>
      </c>
    </row>
    <row r="244" ht="15.0" customHeight="1">
      <c r="A244" s="56" t="s">
        <v>5340</v>
      </c>
      <c r="B244" s="56" t="s">
        <v>5341</v>
      </c>
      <c r="C244" s="57" t="s">
        <v>5342</v>
      </c>
      <c r="D244" s="56" t="s">
        <v>5343</v>
      </c>
      <c r="E244" s="56" t="s">
        <v>390</v>
      </c>
      <c r="F244" s="56" t="s">
        <v>379</v>
      </c>
      <c r="G244" s="56" t="s">
        <v>667</v>
      </c>
      <c r="H244" s="62" t="s">
        <v>366</v>
      </c>
      <c r="I244" s="59"/>
      <c r="J244" s="62" t="s">
        <v>4499</v>
      </c>
      <c r="K244" s="59"/>
      <c r="L244" s="59"/>
      <c r="M244" s="56" t="s">
        <v>5344</v>
      </c>
      <c r="N244" s="56" t="s">
        <v>2484</v>
      </c>
      <c r="O244" s="59"/>
      <c r="P244" s="56" t="s">
        <v>4501</v>
      </c>
      <c r="Q244" s="61" t="s">
        <v>373</v>
      </c>
      <c r="R244" s="56" t="s">
        <v>4559</v>
      </c>
      <c r="T244" s="55" t="b">
        <f t="shared" si="1"/>
        <v>0</v>
      </c>
    </row>
    <row r="245" ht="15.0" customHeight="1">
      <c r="A245" s="56" t="s">
        <v>5345</v>
      </c>
      <c r="B245" s="56" t="s">
        <v>3895</v>
      </c>
      <c r="C245" s="57" t="s">
        <v>3896</v>
      </c>
      <c r="D245" s="56" t="s">
        <v>3897</v>
      </c>
      <c r="E245" s="56" t="s">
        <v>5346</v>
      </c>
      <c r="F245" s="56" t="s">
        <v>379</v>
      </c>
      <c r="G245" s="56" t="s">
        <v>365</v>
      </c>
      <c r="H245" s="62" t="s">
        <v>366</v>
      </c>
      <c r="I245" s="59"/>
      <c r="J245" s="62" t="s">
        <v>4499</v>
      </c>
      <c r="K245" s="59"/>
      <c r="L245" s="59"/>
      <c r="M245" s="59"/>
      <c r="N245" s="56" t="s">
        <v>2095</v>
      </c>
      <c r="O245" s="59"/>
      <c r="P245" s="56" t="s">
        <v>4501</v>
      </c>
      <c r="Q245" s="61" t="s">
        <v>373</v>
      </c>
      <c r="R245" s="58" t="s">
        <v>5347</v>
      </c>
      <c r="T245" s="55" t="b">
        <f t="shared" si="1"/>
        <v>0</v>
      </c>
    </row>
    <row r="246" ht="15.0" customHeight="1">
      <c r="A246" s="56" t="s">
        <v>3900</v>
      </c>
      <c r="B246" s="56" t="s">
        <v>3901</v>
      </c>
      <c r="C246" s="57" t="s">
        <v>3902</v>
      </c>
      <c r="D246" s="58">
        <v>2.816061258E9</v>
      </c>
      <c r="E246" s="56" t="s">
        <v>5348</v>
      </c>
      <c r="F246" s="56" t="s">
        <v>364</v>
      </c>
      <c r="G246" s="56" t="s">
        <v>365</v>
      </c>
      <c r="H246" s="62" t="s">
        <v>366</v>
      </c>
      <c r="I246" s="59"/>
      <c r="J246" s="62" t="s">
        <v>4499</v>
      </c>
      <c r="K246" s="59"/>
      <c r="L246" s="59"/>
      <c r="M246" s="56" t="s">
        <v>5349</v>
      </c>
      <c r="N246" s="56" t="s">
        <v>1671</v>
      </c>
      <c r="O246" s="59"/>
      <c r="P246" s="56" t="s">
        <v>4501</v>
      </c>
      <c r="Q246" s="61" t="s">
        <v>373</v>
      </c>
      <c r="R246" s="56" t="s">
        <v>4559</v>
      </c>
      <c r="T246" s="55" t="b">
        <f t="shared" si="1"/>
        <v>0</v>
      </c>
    </row>
    <row r="247" ht="15.0" customHeight="1">
      <c r="A247" s="56" t="s">
        <v>221</v>
      </c>
      <c r="B247" s="56" t="s">
        <v>3905</v>
      </c>
      <c r="C247" s="57" t="s">
        <v>3906</v>
      </c>
      <c r="D247" s="56" t="s">
        <v>5350</v>
      </c>
      <c r="E247" s="56" t="s">
        <v>3574</v>
      </c>
      <c r="F247" s="56" t="s">
        <v>364</v>
      </c>
      <c r="G247" s="56" t="s">
        <v>365</v>
      </c>
      <c r="H247" s="62" t="s">
        <v>869</v>
      </c>
      <c r="I247" s="59"/>
      <c r="J247" s="62" t="s">
        <v>4499</v>
      </c>
      <c r="K247" s="59"/>
      <c r="L247" s="59"/>
      <c r="M247" s="56" t="s">
        <v>5351</v>
      </c>
      <c r="N247" s="56" t="s">
        <v>4500</v>
      </c>
      <c r="O247" s="59"/>
      <c r="P247" s="56" t="s">
        <v>4501</v>
      </c>
      <c r="Q247" s="61" t="s">
        <v>373</v>
      </c>
      <c r="R247" s="58" t="s">
        <v>5352</v>
      </c>
      <c r="T247" s="55" t="b">
        <f t="shared" si="1"/>
        <v>0</v>
      </c>
    </row>
    <row r="248" ht="15.0" customHeight="1">
      <c r="A248" s="56" t="s">
        <v>222</v>
      </c>
      <c r="B248" s="56" t="s">
        <v>2265</v>
      </c>
      <c r="C248" s="57" t="s">
        <v>5353</v>
      </c>
      <c r="D248" s="58">
        <v>2.082886645E9</v>
      </c>
      <c r="E248" s="56" t="s">
        <v>3431</v>
      </c>
      <c r="F248" s="56" t="s">
        <v>379</v>
      </c>
      <c r="G248" s="56" t="s">
        <v>365</v>
      </c>
      <c r="H248" s="62" t="s">
        <v>366</v>
      </c>
      <c r="I248" s="59"/>
      <c r="J248" s="56" t="s">
        <v>4573</v>
      </c>
      <c r="K248" s="58">
        <v>2.0</v>
      </c>
      <c r="L248" s="59"/>
      <c r="M248" s="59"/>
      <c r="N248" s="56" t="s">
        <v>5354</v>
      </c>
      <c r="O248" s="59"/>
      <c r="P248" s="56" t="s">
        <v>4501</v>
      </c>
      <c r="Q248" s="61" t="s">
        <v>373</v>
      </c>
      <c r="R248" s="56" t="s">
        <v>4559</v>
      </c>
      <c r="T248" s="55" t="b">
        <f t="shared" si="1"/>
        <v>0</v>
      </c>
    </row>
    <row r="249" ht="15.0" customHeight="1">
      <c r="A249" s="56" t="s">
        <v>1743</v>
      </c>
      <c r="B249" s="56" t="s">
        <v>1744</v>
      </c>
      <c r="C249" s="57" t="s">
        <v>1745</v>
      </c>
      <c r="D249" s="56" t="s">
        <v>5355</v>
      </c>
      <c r="E249" s="56" t="s">
        <v>5356</v>
      </c>
      <c r="F249" s="56" t="s">
        <v>379</v>
      </c>
      <c r="G249" s="56" t="s">
        <v>365</v>
      </c>
      <c r="H249" s="62" t="s">
        <v>366</v>
      </c>
      <c r="I249" s="59"/>
      <c r="J249" s="62" t="s">
        <v>4573</v>
      </c>
      <c r="K249" s="59"/>
      <c r="L249" s="59"/>
      <c r="M249" s="56" t="s">
        <v>5357</v>
      </c>
      <c r="N249" s="56" t="s">
        <v>774</v>
      </c>
      <c r="O249" s="59"/>
      <c r="P249" s="56" t="s">
        <v>4501</v>
      </c>
      <c r="Q249" s="61" t="s">
        <v>373</v>
      </c>
      <c r="R249" s="58" t="s">
        <v>5358</v>
      </c>
      <c r="T249" s="55" t="b">
        <f t="shared" si="1"/>
        <v>0</v>
      </c>
    </row>
    <row r="250" ht="15.0" customHeight="1">
      <c r="A250" s="56" t="s">
        <v>223</v>
      </c>
      <c r="B250" s="56" t="s">
        <v>1756</v>
      </c>
      <c r="C250" s="57" t="s">
        <v>1757</v>
      </c>
      <c r="D250" s="56" t="s">
        <v>1758</v>
      </c>
      <c r="E250" s="56" t="s">
        <v>2463</v>
      </c>
      <c r="F250" s="56" t="s">
        <v>379</v>
      </c>
      <c r="G250" s="56" t="s">
        <v>365</v>
      </c>
      <c r="H250" s="62" t="s">
        <v>413</v>
      </c>
      <c r="I250" s="59"/>
      <c r="J250" s="62" t="s">
        <v>4506</v>
      </c>
      <c r="K250" s="59"/>
      <c r="L250" s="59"/>
      <c r="M250" s="59"/>
      <c r="N250" s="56" t="s">
        <v>1214</v>
      </c>
      <c r="O250" s="59"/>
      <c r="P250" s="56" t="s">
        <v>4508</v>
      </c>
      <c r="Q250" s="61" t="s">
        <v>394</v>
      </c>
      <c r="R250" s="58" t="s">
        <v>5359</v>
      </c>
      <c r="T250" s="55" t="b">
        <f t="shared" si="1"/>
        <v>0</v>
      </c>
    </row>
    <row r="251" ht="15.0" customHeight="1">
      <c r="A251" s="63" t="s">
        <v>5360</v>
      </c>
      <c r="B251" s="63" t="s">
        <v>5361</v>
      </c>
      <c r="C251" s="53" t="s">
        <v>5362</v>
      </c>
      <c r="D251" s="64">
        <v>9.13433068E9</v>
      </c>
      <c r="E251" s="63" t="s">
        <v>5363</v>
      </c>
      <c r="F251" s="63" t="s">
        <v>364</v>
      </c>
      <c r="G251" s="63" t="s">
        <v>365</v>
      </c>
      <c r="H251" s="69" t="s">
        <v>366</v>
      </c>
      <c r="I251" s="65"/>
      <c r="J251" s="69" t="s">
        <v>4506</v>
      </c>
      <c r="K251" s="65"/>
      <c r="L251" s="65"/>
      <c r="M251" s="65"/>
      <c r="N251" s="63" t="s">
        <v>3173</v>
      </c>
      <c r="O251" s="65"/>
      <c r="P251" s="63" t="s">
        <v>4508</v>
      </c>
      <c r="Q251" s="67" t="s">
        <v>394</v>
      </c>
      <c r="R251" s="64" t="s">
        <v>5364</v>
      </c>
      <c r="T251" s="55" t="b">
        <f t="shared" si="1"/>
        <v>0</v>
      </c>
    </row>
    <row r="252" ht="15.0" customHeight="1">
      <c r="A252" s="56" t="s">
        <v>225</v>
      </c>
      <c r="B252" s="56" t="s">
        <v>1775</v>
      </c>
      <c r="C252" s="57" t="s">
        <v>1776</v>
      </c>
      <c r="D252" s="56" t="s">
        <v>5365</v>
      </c>
      <c r="E252" s="56" t="s">
        <v>2521</v>
      </c>
      <c r="F252" s="56" t="s">
        <v>364</v>
      </c>
      <c r="G252" s="56" t="s">
        <v>365</v>
      </c>
      <c r="H252" s="62" t="s">
        <v>366</v>
      </c>
      <c r="I252" s="59"/>
      <c r="J252" s="62" t="s">
        <v>4573</v>
      </c>
      <c r="K252" s="59"/>
      <c r="L252" s="59"/>
      <c r="M252" s="59"/>
      <c r="N252" s="56" t="s">
        <v>1109</v>
      </c>
      <c r="O252" s="59"/>
      <c r="P252" s="56" t="s">
        <v>4501</v>
      </c>
      <c r="Q252" s="61" t="s">
        <v>373</v>
      </c>
      <c r="R252" s="58" t="s">
        <v>5366</v>
      </c>
      <c r="T252" s="55" t="b">
        <f t="shared" si="1"/>
        <v>0</v>
      </c>
    </row>
    <row r="253" ht="15.0" customHeight="1">
      <c r="A253" s="56" t="s">
        <v>226</v>
      </c>
      <c r="B253" s="56" t="s">
        <v>3942</v>
      </c>
      <c r="C253" s="57" t="s">
        <v>3943</v>
      </c>
      <c r="D253" s="58">
        <v>9.037676183E9</v>
      </c>
      <c r="E253" s="56" t="s">
        <v>2286</v>
      </c>
      <c r="F253" s="56" t="s">
        <v>379</v>
      </c>
      <c r="G253" s="56" t="s">
        <v>365</v>
      </c>
      <c r="H253" s="62" t="s">
        <v>413</v>
      </c>
      <c r="I253" s="59"/>
      <c r="J253" s="62" t="s">
        <v>4499</v>
      </c>
      <c r="K253" s="59"/>
      <c r="L253" s="59"/>
      <c r="M253" s="59"/>
      <c r="N253" s="56" t="s">
        <v>816</v>
      </c>
      <c r="O253" s="59"/>
      <c r="P253" s="56" t="s">
        <v>4508</v>
      </c>
      <c r="Q253" s="61" t="s">
        <v>373</v>
      </c>
      <c r="R253" s="58" t="s">
        <v>5367</v>
      </c>
      <c r="T253" s="55" t="b">
        <f t="shared" si="1"/>
        <v>0</v>
      </c>
    </row>
    <row r="254" ht="15.0" customHeight="1">
      <c r="A254" s="56" t="s">
        <v>5368</v>
      </c>
      <c r="B254" s="56" t="s">
        <v>5369</v>
      </c>
      <c r="C254" s="57" t="s">
        <v>5370</v>
      </c>
      <c r="D254" s="56" t="s">
        <v>5371</v>
      </c>
      <c r="E254" s="56" t="s">
        <v>2286</v>
      </c>
      <c r="F254" s="56" t="s">
        <v>399</v>
      </c>
      <c r="G254" s="56" t="s">
        <v>520</v>
      </c>
      <c r="H254" s="62" t="s">
        <v>413</v>
      </c>
      <c r="I254" s="59"/>
      <c r="J254" s="62" t="s">
        <v>4499</v>
      </c>
      <c r="K254" s="59"/>
      <c r="L254" s="59"/>
      <c r="M254" s="56" t="s">
        <v>5372</v>
      </c>
      <c r="N254" s="56" t="s">
        <v>3941</v>
      </c>
      <c r="O254" s="59"/>
      <c r="P254" s="56" t="s">
        <v>4501</v>
      </c>
      <c r="Q254" s="61" t="s">
        <v>373</v>
      </c>
      <c r="R254" s="58" t="s">
        <v>5373</v>
      </c>
      <c r="T254" s="55" t="b">
        <f t="shared" si="1"/>
        <v>0</v>
      </c>
    </row>
    <row r="255" ht="15.0" customHeight="1">
      <c r="A255" s="56" t="s">
        <v>334</v>
      </c>
      <c r="B255" s="56" t="s">
        <v>1787</v>
      </c>
      <c r="C255" s="57" t="s">
        <v>1788</v>
      </c>
      <c r="D255" s="56" t="s">
        <v>5374</v>
      </c>
      <c r="E255" s="56" t="s">
        <v>5375</v>
      </c>
      <c r="F255" s="56" t="s">
        <v>399</v>
      </c>
      <c r="G255" s="56" t="s">
        <v>1791</v>
      </c>
      <c r="H255" s="62" t="s">
        <v>513</v>
      </c>
      <c r="I255" s="59"/>
      <c r="J255" s="62" t="s">
        <v>4506</v>
      </c>
      <c r="K255" s="59"/>
      <c r="L255" s="59"/>
      <c r="M255" s="56" t="s">
        <v>5376</v>
      </c>
      <c r="N255" s="56" t="s">
        <v>907</v>
      </c>
      <c r="O255" s="59"/>
      <c r="P255" s="56" t="s">
        <v>4508</v>
      </c>
      <c r="Q255" s="61" t="s">
        <v>394</v>
      </c>
      <c r="R255" s="58" t="s">
        <v>5377</v>
      </c>
      <c r="T255" s="55" t="b">
        <f t="shared" si="1"/>
        <v>1</v>
      </c>
    </row>
    <row r="256" ht="15.0" customHeight="1">
      <c r="A256" s="56" t="s">
        <v>3958</v>
      </c>
      <c r="B256" s="56" t="s">
        <v>5378</v>
      </c>
      <c r="C256" s="57" t="s">
        <v>5379</v>
      </c>
      <c r="D256" s="56" t="s">
        <v>5380</v>
      </c>
      <c r="E256" s="56" t="s">
        <v>2355</v>
      </c>
      <c r="F256" s="56" t="s">
        <v>364</v>
      </c>
      <c r="G256" s="56" t="s">
        <v>365</v>
      </c>
      <c r="H256" s="62" t="s">
        <v>513</v>
      </c>
      <c r="I256" s="59"/>
      <c r="J256" s="62" t="s">
        <v>381</v>
      </c>
      <c r="K256" s="59"/>
      <c r="L256" s="59"/>
      <c r="M256" s="56" t="s">
        <v>5381</v>
      </c>
      <c r="N256" s="56" t="s">
        <v>2655</v>
      </c>
      <c r="O256" s="59"/>
      <c r="P256" s="56" t="s">
        <v>4496</v>
      </c>
      <c r="Q256" s="61" t="s">
        <v>394</v>
      </c>
      <c r="R256" s="58" t="s">
        <v>5382</v>
      </c>
      <c r="T256" s="55" t="b">
        <f t="shared" si="1"/>
        <v>1</v>
      </c>
    </row>
    <row r="257" ht="15.0" customHeight="1">
      <c r="A257" s="56" t="s">
        <v>5383</v>
      </c>
      <c r="B257" s="56" t="s">
        <v>5384</v>
      </c>
      <c r="C257" s="57" t="s">
        <v>5385</v>
      </c>
      <c r="D257" s="58">
        <v>7.1346196E9</v>
      </c>
      <c r="E257" s="56" t="s">
        <v>2287</v>
      </c>
      <c r="F257" s="56" t="s">
        <v>399</v>
      </c>
      <c r="G257" s="56" t="s">
        <v>365</v>
      </c>
      <c r="H257" s="62" t="s">
        <v>366</v>
      </c>
      <c r="I257" s="59"/>
      <c r="J257" s="62" t="s">
        <v>4499</v>
      </c>
      <c r="K257" s="59"/>
      <c r="L257" s="59"/>
      <c r="M257" s="59"/>
      <c r="N257" s="56" t="s">
        <v>1233</v>
      </c>
      <c r="O257" s="59"/>
      <c r="P257" s="56" t="s">
        <v>4501</v>
      </c>
      <c r="Q257" s="61" t="s">
        <v>373</v>
      </c>
      <c r="R257" s="58" t="s">
        <v>5386</v>
      </c>
      <c r="T257" s="55" t="b">
        <f t="shared" si="1"/>
        <v>0</v>
      </c>
    </row>
    <row r="258" ht="15.0" customHeight="1">
      <c r="A258" s="56" t="s">
        <v>3970</v>
      </c>
      <c r="B258" s="56" t="s">
        <v>3971</v>
      </c>
      <c r="C258" s="57" t="s">
        <v>3972</v>
      </c>
      <c r="D258" s="58">
        <v>4.79388771E9</v>
      </c>
      <c r="E258" s="56" t="s">
        <v>5387</v>
      </c>
      <c r="F258" s="56" t="s">
        <v>399</v>
      </c>
      <c r="G258" s="56" t="s">
        <v>520</v>
      </c>
      <c r="H258" s="62" t="s">
        <v>413</v>
      </c>
      <c r="I258" s="59"/>
      <c r="J258" s="56" t="s">
        <v>4506</v>
      </c>
      <c r="K258" s="58">
        <v>0.0</v>
      </c>
      <c r="L258" s="58">
        <v>0.0</v>
      </c>
      <c r="M258" s="59"/>
      <c r="N258" s="56" t="s">
        <v>3439</v>
      </c>
      <c r="O258" s="59"/>
      <c r="P258" s="56" t="s">
        <v>4508</v>
      </c>
      <c r="Q258" s="61" t="s">
        <v>394</v>
      </c>
      <c r="R258" s="58" t="s">
        <v>5388</v>
      </c>
      <c r="T258" s="55" t="b">
        <f t="shared" si="1"/>
        <v>0</v>
      </c>
    </row>
    <row r="259" ht="15.0" customHeight="1">
      <c r="A259" s="56" t="s">
        <v>3975</v>
      </c>
      <c r="B259" s="56" t="s">
        <v>3976</v>
      </c>
      <c r="C259" s="57" t="s">
        <v>3977</v>
      </c>
      <c r="D259" s="58">
        <v>7.139066562E9</v>
      </c>
      <c r="E259" s="56" t="s">
        <v>3199</v>
      </c>
      <c r="F259" s="56" t="s">
        <v>364</v>
      </c>
      <c r="G259" s="56" t="s">
        <v>667</v>
      </c>
      <c r="H259" s="62" t="s">
        <v>413</v>
      </c>
      <c r="I259" s="59"/>
      <c r="J259" s="62" t="s">
        <v>4506</v>
      </c>
      <c r="K259" s="59"/>
      <c r="L259" s="59"/>
      <c r="M259" s="56" t="s">
        <v>5389</v>
      </c>
      <c r="N259" s="56" t="s">
        <v>2571</v>
      </c>
      <c r="O259" s="59"/>
      <c r="P259" s="56" t="s">
        <v>4508</v>
      </c>
      <c r="Q259" s="61" t="s">
        <v>394</v>
      </c>
      <c r="R259" s="58" t="s">
        <v>5390</v>
      </c>
      <c r="T259" s="55" t="b">
        <f t="shared" si="1"/>
        <v>0</v>
      </c>
    </row>
    <row r="260" ht="15.0" customHeight="1">
      <c r="A260" s="56" t="s">
        <v>3988</v>
      </c>
      <c r="B260" s="56" t="s">
        <v>3989</v>
      </c>
      <c r="C260" s="57" t="s">
        <v>5391</v>
      </c>
      <c r="D260" s="58">
        <v>7.132815875E9</v>
      </c>
      <c r="E260" s="56" t="s">
        <v>421</v>
      </c>
      <c r="F260" s="56" t="s">
        <v>379</v>
      </c>
      <c r="G260" s="56" t="s">
        <v>412</v>
      </c>
      <c r="H260" s="62" t="s">
        <v>366</v>
      </c>
      <c r="I260" s="59"/>
      <c r="J260" s="62" t="s">
        <v>4506</v>
      </c>
      <c r="K260" s="59"/>
      <c r="L260" s="59"/>
      <c r="M260" s="59"/>
      <c r="N260" s="56" t="s">
        <v>2148</v>
      </c>
      <c r="O260" s="59"/>
      <c r="P260" s="56" t="s">
        <v>4508</v>
      </c>
      <c r="Q260" s="61" t="s">
        <v>394</v>
      </c>
      <c r="R260" s="58" t="s">
        <v>5392</v>
      </c>
      <c r="T260" s="55" t="b">
        <f t="shared" si="1"/>
        <v>0</v>
      </c>
    </row>
    <row r="261" ht="15.0" customHeight="1">
      <c r="A261" s="56" t="s">
        <v>5393</v>
      </c>
      <c r="B261" s="56" t="s">
        <v>5394</v>
      </c>
      <c r="C261" s="57" t="s">
        <v>5395</v>
      </c>
      <c r="D261" s="58">
        <v>8.322668227E9</v>
      </c>
      <c r="E261" s="56" t="s">
        <v>3017</v>
      </c>
      <c r="F261" s="56" t="s">
        <v>379</v>
      </c>
      <c r="G261" s="56" t="s">
        <v>412</v>
      </c>
      <c r="H261" s="62" t="s">
        <v>366</v>
      </c>
      <c r="I261" s="59"/>
      <c r="J261" s="62" t="s">
        <v>4499</v>
      </c>
      <c r="K261" s="59"/>
      <c r="L261" s="59"/>
      <c r="M261" s="56" t="s">
        <v>5394</v>
      </c>
      <c r="N261" s="56" t="s">
        <v>5396</v>
      </c>
      <c r="O261" s="59"/>
      <c r="P261" s="56" t="s">
        <v>4501</v>
      </c>
      <c r="Q261" s="61" t="s">
        <v>373</v>
      </c>
      <c r="R261" s="56" t="s">
        <v>4559</v>
      </c>
      <c r="T261" s="55" t="b">
        <f t="shared" si="1"/>
        <v>0</v>
      </c>
    </row>
    <row r="262" ht="15.0" customHeight="1">
      <c r="A262" s="56" t="s">
        <v>229</v>
      </c>
      <c r="B262" s="56" t="s">
        <v>5397</v>
      </c>
      <c r="C262" s="57" t="s">
        <v>5398</v>
      </c>
      <c r="D262" s="56" t="s">
        <v>5399</v>
      </c>
      <c r="E262" s="56" t="s">
        <v>4213</v>
      </c>
      <c r="F262" s="56" t="s">
        <v>379</v>
      </c>
      <c r="G262" s="56" t="s">
        <v>365</v>
      </c>
      <c r="H262" s="62" t="s">
        <v>413</v>
      </c>
      <c r="I262" s="59"/>
      <c r="J262" s="62" t="s">
        <v>4499</v>
      </c>
      <c r="K262" s="59"/>
      <c r="L262" s="59"/>
      <c r="M262" s="56" t="s">
        <v>5400</v>
      </c>
      <c r="N262" s="56" t="s">
        <v>5401</v>
      </c>
      <c r="O262" s="59"/>
      <c r="P262" s="56" t="s">
        <v>4501</v>
      </c>
      <c r="Q262" s="61" t="s">
        <v>373</v>
      </c>
      <c r="R262" s="58" t="s">
        <v>5402</v>
      </c>
      <c r="T262" s="55" t="b">
        <f t="shared" si="1"/>
        <v>0</v>
      </c>
    </row>
    <row r="263" ht="15.0" customHeight="1">
      <c r="A263" s="56" t="s">
        <v>5403</v>
      </c>
      <c r="B263" s="56" t="s">
        <v>5404</v>
      </c>
      <c r="C263" s="57" t="s">
        <v>5405</v>
      </c>
      <c r="D263" s="56" t="s">
        <v>5406</v>
      </c>
      <c r="E263" s="56" t="s">
        <v>2287</v>
      </c>
      <c r="F263" s="56" t="s">
        <v>379</v>
      </c>
      <c r="G263" s="56" t="s">
        <v>412</v>
      </c>
      <c r="H263" s="62" t="s">
        <v>366</v>
      </c>
      <c r="I263" s="59"/>
      <c r="J263" s="62" t="s">
        <v>4499</v>
      </c>
      <c r="K263" s="59"/>
      <c r="L263" s="59"/>
      <c r="M263" s="56" t="s">
        <v>5407</v>
      </c>
      <c r="N263" s="56" t="s">
        <v>446</v>
      </c>
      <c r="O263" s="59"/>
      <c r="P263" s="56" t="s">
        <v>4501</v>
      </c>
      <c r="Q263" s="61" t="s">
        <v>373</v>
      </c>
      <c r="R263" s="58" t="s">
        <v>5408</v>
      </c>
      <c r="T263" s="55" t="b">
        <f t="shared" si="1"/>
        <v>0</v>
      </c>
    </row>
    <row r="264" ht="15.0" customHeight="1">
      <c r="A264" s="56" t="s">
        <v>230</v>
      </c>
      <c r="B264" s="56" t="s">
        <v>4006</v>
      </c>
      <c r="C264" s="57" t="s">
        <v>1813</v>
      </c>
      <c r="D264" s="56" t="s">
        <v>5409</v>
      </c>
      <c r="E264" s="56" t="s">
        <v>5410</v>
      </c>
      <c r="F264" s="56" t="s">
        <v>379</v>
      </c>
      <c r="G264" s="56" t="s">
        <v>822</v>
      </c>
      <c r="H264" s="62" t="s">
        <v>366</v>
      </c>
      <c r="I264" s="59"/>
      <c r="J264" s="56" t="s">
        <v>4499</v>
      </c>
      <c r="K264" s="58">
        <v>0.0</v>
      </c>
      <c r="L264" s="58">
        <v>0.0</v>
      </c>
      <c r="M264" s="56" t="s">
        <v>5411</v>
      </c>
      <c r="N264" s="56" t="s">
        <v>5412</v>
      </c>
      <c r="O264" s="59"/>
      <c r="P264" s="56" t="s">
        <v>4508</v>
      </c>
      <c r="Q264" s="61" t="s">
        <v>373</v>
      </c>
      <c r="R264" s="58" t="s">
        <v>5413</v>
      </c>
      <c r="T264" s="55" t="b">
        <f t="shared" si="1"/>
        <v>0</v>
      </c>
    </row>
    <row r="265" ht="15.0" customHeight="1">
      <c r="A265" s="56" t="s">
        <v>316</v>
      </c>
      <c r="B265" s="56" t="s">
        <v>1826</v>
      </c>
      <c r="C265" s="57" t="s">
        <v>1827</v>
      </c>
      <c r="D265" s="56" t="s">
        <v>5414</v>
      </c>
      <c r="E265" s="56" t="s">
        <v>5415</v>
      </c>
      <c r="F265" s="56" t="s">
        <v>364</v>
      </c>
      <c r="G265" s="56" t="s">
        <v>380</v>
      </c>
      <c r="H265" s="62" t="s">
        <v>366</v>
      </c>
      <c r="I265" s="59"/>
      <c r="J265" s="56" t="s">
        <v>4994</v>
      </c>
      <c r="K265" s="58">
        <v>0.0</v>
      </c>
      <c r="L265" s="58">
        <v>0.0</v>
      </c>
      <c r="M265" s="59"/>
      <c r="N265" s="59"/>
      <c r="O265" s="59"/>
      <c r="P265" s="56" t="s">
        <v>4508</v>
      </c>
      <c r="Q265" s="61" t="s">
        <v>394</v>
      </c>
      <c r="R265" s="58" t="s">
        <v>5416</v>
      </c>
      <c r="T265" s="55" t="b">
        <f t="shared" si="1"/>
        <v>0</v>
      </c>
    </row>
    <row r="266" ht="15.0" customHeight="1">
      <c r="A266" s="56" t="s">
        <v>5417</v>
      </c>
      <c r="B266" s="56" t="s">
        <v>5418</v>
      </c>
      <c r="C266" s="57" t="s">
        <v>5419</v>
      </c>
      <c r="D266" s="58">
        <v>5.0722649E9</v>
      </c>
      <c r="E266" s="56" t="s">
        <v>2286</v>
      </c>
      <c r="F266" s="56" t="s">
        <v>379</v>
      </c>
      <c r="G266" s="56" t="s">
        <v>380</v>
      </c>
      <c r="H266" s="62" t="s">
        <v>366</v>
      </c>
      <c r="I266" s="59"/>
      <c r="J266" s="62" t="s">
        <v>4506</v>
      </c>
      <c r="K266" s="59"/>
      <c r="L266" s="59"/>
      <c r="M266" s="59"/>
      <c r="N266" s="56" t="s">
        <v>4223</v>
      </c>
      <c r="O266" s="59"/>
      <c r="P266" s="56" t="s">
        <v>4508</v>
      </c>
      <c r="Q266" s="61" t="s">
        <v>394</v>
      </c>
      <c r="R266" s="58" t="s">
        <v>5420</v>
      </c>
      <c r="T266" s="55" t="b">
        <f t="shared" si="1"/>
        <v>0</v>
      </c>
    </row>
    <row r="267" ht="15.0" customHeight="1">
      <c r="A267" s="56" t="s">
        <v>231</v>
      </c>
      <c r="B267" s="56" t="s">
        <v>5421</v>
      </c>
      <c r="C267" s="57" t="s">
        <v>5422</v>
      </c>
      <c r="D267" s="56" t="s">
        <v>5423</v>
      </c>
      <c r="E267" s="56" t="s">
        <v>4239</v>
      </c>
      <c r="F267" s="56" t="s">
        <v>364</v>
      </c>
      <c r="G267" s="56" t="s">
        <v>667</v>
      </c>
      <c r="H267" s="62" t="s">
        <v>413</v>
      </c>
      <c r="I267" s="59"/>
      <c r="J267" s="56" t="s">
        <v>4691</v>
      </c>
      <c r="K267" s="58">
        <v>0.0</v>
      </c>
      <c r="L267" s="59"/>
      <c r="M267" s="59"/>
      <c r="N267" s="56" t="s">
        <v>5424</v>
      </c>
      <c r="O267" s="59"/>
      <c r="P267" s="56" t="s">
        <v>4501</v>
      </c>
      <c r="Q267" s="61" t="s">
        <v>373</v>
      </c>
      <c r="R267" s="58" t="s">
        <v>5425</v>
      </c>
      <c r="T267" s="55" t="b">
        <f t="shared" si="1"/>
        <v>0</v>
      </c>
    </row>
    <row r="268" ht="15.0" customHeight="1">
      <c r="A268" s="56" t="s">
        <v>232</v>
      </c>
      <c r="B268" s="56" t="s">
        <v>4026</v>
      </c>
      <c r="C268" s="57" t="s">
        <v>4027</v>
      </c>
      <c r="D268" s="58">
        <v>7.132229102E9</v>
      </c>
      <c r="E268" s="56" t="s">
        <v>3935</v>
      </c>
      <c r="F268" s="56" t="s">
        <v>364</v>
      </c>
      <c r="G268" s="56" t="s">
        <v>405</v>
      </c>
      <c r="H268" s="62" t="s">
        <v>413</v>
      </c>
      <c r="I268" s="59"/>
      <c r="J268" s="62" t="s">
        <v>4506</v>
      </c>
      <c r="K268" s="59"/>
      <c r="L268" s="59"/>
      <c r="M268" s="56" t="s">
        <v>5426</v>
      </c>
      <c r="N268" s="56" t="s">
        <v>2648</v>
      </c>
      <c r="O268" s="59"/>
      <c r="P268" s="56" t="s">
        <v>4508</v>
      </c>
      <c r="Q268" s="61" t="s">
        <v>394</v>
      </c>
      <c r="R268" s="58" t="s">
        <v>5427</v>
      </c>
      <c r="T268" s="55" t="b">
        <f t="shared" si="1"/>
        <v>0</v>
      </c>
    </row>
    <row r="269" ht="15.0" customHeight="1">
      <c r="A269" s="56" t="s">
        <v>317</v>
      </c>
      <c r="B269" s="56" t="s">
        <v>1845</v>
      </c>
      <c r="C269" s="57" t="s">
        <v>1846</v>
      </c>
      <c r="D269" s="58">
        <v>2.813833677E9</v>
      </c>
      <c r="E269" s="56" t="s">
        <v>5428</v>
      </c>
      <c r="F269" s="56" t="s">
        <v>379</v>
      </c>
      <c r="G269" s="56" t="s">
        <v>412</v>
      </c>
      <c r="H269" s="62" t="s">
        <v>413</v>
      </c>
      <c r="I269" s="59"/>
      <c r="J269" s="62" t="s">
        <v>4499</v>
      </c>
      <c r="K269" s="59"/>
      <c r="L269" s="59"/>
      <c r="M269" s="56" t="s">
        <v>5429</v>
      </c>
      <c r="N269" s="56" t="s">
        <v>2944</v>
      </c>
      <c r="O269" s="59"/>
      <c r="P269" s="56" t="s">
        <v>4501</v>
      </c>
      <c r="Q269" s="61" t="s">
        <v>373</v>
      </c>
      <c r="R269" s="56" t="s">
        <v>4559</v>
      </c>
      <c r="T269" s="55" t="b">
        <f t="shared" si="1"/>
        <v>0</v>
      </c>
    </row>
    <row r="270" ht="15.0" customHeight="1">
      <c r="A270" s="56" t="s">
        <v>318</v>
      </c>
      <c r="B270" s="56" t="s">
        <v>4042</v>
      </c>
      <c r="C270" s="57" t="s">
        <v>4043</v>
      </c>
      <c r="D270" s="56" t="s">
        <v>4044</v>
      </c>
      <c r="E270" s="56" t="s">
        <v>3351</v>
      </c>
      <c r="F270" s="56" t="s">
        <v>364</v>
      </c>
      <c r="G270" s="56" t="s">
        <v>365</v>
      </c>
      <c r="H270" s="62" t="s">
        <v>366</v>
      </c>
      <c r="I270" s="59"/>
      <c r="J270" s="62" t="s">
        <v>4499</v>
      </c>
      <c r="K270" s="59"/>
      <c r="L270" s="59"/>
      <c r="M270" s="56" t="s">
        <v>5430</v>
      </c>
      <c r="N270" s="56" t="s">
        <v>5431</v>
      </c>
      <c r="O270" s="59"/>
      <c r="P270" s="56" t="s">
        <v>4501</v>
      </c>
      <c r="Q270" s="61" t="s">
        <v>373</v>
      </c>
      <c r="R270" s="58" t="s">
        <v>5432</v>
      </c>
      <c r="T270" s="55" t="b">
        <f t="shared" si="1"/>
        <v>0</v>
      </c>
    </row>
    <row r="271" ht="15.0" customHeight="1">
      <c r="A271" s="56" t="s">
        <v>233</v>
      </c>
      <c r="B271" s="56" t="s">
        <v>4048</v>
      </c>
      <c r="C271" s="57" t="s">
        <v>4049</v>
      </c>
      <c r="D271" s="58">
        <v>5.052640876E9</v>
      </c>
      <c r="E271" s="56" t="s">
        <v>4050</v>
      </c>
      <c r="F271" s="56" t="s">
        <v>399</v>
      </c>
      <c r="G271" s="56" t="s">
        <v>365</v>
      </c>
      <c r="H271" s="62" t="s">
        <v>413</v>
      </c>
      <c r="I271" s="59"/>
      <c r="J271" s="56" t="s">
        <v>4506</v>
      </c>
      <c r="K271" s="58">
        <v>2.0</v>
      </c>
      <c r="L271" s="59"/>
      <c r="M271" s="59"/>
      <c r="N271" s="56" t="s">
        <v>2406</v>
      </c>
      <c r="O271" s="59"/>
      <c r="P271" s="56" t="s">
        <v>4508</v>
      </c>
      <c r="Q271" s="61" t="s">
        <v>394</v>
      </c>
      <c r="R271" s="58" t="s">
        <v>5433</v>
      </c>
      <c r="T271" s="55" t="b">
        <f t="shared" si="1"/>
        <v>0</v>
      </c>
    </row>
    <row r="272" ht="15.0" customHeight="1">
      <c r="A272" s="56" t="s">
        <v>235</v>
      </c>
      <c r="B272" s="56" t="s">
        <v>1859</v>
      </c>
      <c r="C272" s="57" t="s">
        <v>1860</v>
      </c>
      <c r="D272" s="56" t="s">
        <v>1861</v>
      </c>
      <c r="E272" s="56" t="s">
        <v>3968</v>
      </c>
      <c r="F272" s="56" t="s">
        <v>364</v>
      </c>
      <c r="G272" s="56" t="s">
        <v>365</v>
      </c>
      <c r="H272" s="62" t="s">
        <v>366</v>
      </c>
      <c r="I272" s="59"/>
      <c r="J272" s="62" t="s">
        <v>4499</v>
      </c>
      <c r="K272" s="59"/>
      <c r="L272" s="59"/>
      <c r="M272" s="56" t="s">
        <v>1862</v>
      </c>
      <c r="N272" s="56" t="s">
        <v>5434</v>
      </c>
      <c r="O272" s="59"/>
      <c r="P272" s="56" t="s">
        <v>4501</v>
      </c>
      <c r="Q272" s="61" t="s">
        <v>373</v>
      </c>
      <c r="R272" s="58" t="s">
        <v>5435</v>
      </c>
      <c r="T272" s="55" t="b">
        <f t="shared" si="1"/>
        <v>0</v>
      </c>
    </row>
    <row r="273" ht="15.0" customHeight="1">
      <c r="A273" s="56" t="s">
        <v>5436</v>
      </c>
      <c r="B273" s="56" t="s">
        <v>1865</v>
      </c>
      <c r="C273" s="57" t="s">
        <v>1866</v>
      </c>
      <c r="D273" s="56" t="s">
        <v>5437</v>
      </c>
      <c r="E273" s="56" t="s">
        <v>2286</v>
      </c>
      <c r="F273" s="56" t="s">
        <v>364</v>
      </c>
      <c r="G273" s="56" t="s">
        <v>365</v>
      </c>
      <c r="H273" s="62" t="s">
        <v>513</v>
      </c>
      <c r="I273" s="59"/>
      <c r="J273" s="62" t="s">
        <v>4499</v>
      </c>
      <c r="K273" s="59"/>
      <c r="L273" s="59"/>
      <c r="M273" s="59"/>
      <c r="N273" s="56" t="s">
        <v>1584</v>
      </c>
      <c r="O273" s="59"/>
      <c r="P273" s="56" t="s">
        <v>4501</v>
      </c>
      <c r="Q273" s="61" t="s">
        <v>373</v>
      </c>
      <c r="R273" s="58" t="s">
        <v>5438</v>
      </c>
      <c r="T273" s="55" t="b">
        <f t="shared" si="1"/>
        <v>1</v>
      </c>
    </row>
    <row r="274" ht="15.0" customHeight="1">
      <c r="A274" s="56" t="s">
        <v>237</v>
      </c>
      <c r="B274" s="56" t="s">
        <v>5439</v>
      </c>
      <c r="C274" s="57" t="s">
        <v>1872</v>
      </c>
      <c r="D274" s="56" t="s">
        <v>5440</v>
      </c>
      <c r="E274" s="56" t="s">
        <v>5103</v>
      </c>
      <c r="F274" s="56" t="s">
        <v>399</v>
      </c>
      <c r="G274" s="56" t="s">
        <v>365</v>
      </c>
      <c r="H274" s="62" t="s">
        <v>513</v>
      </c>
      <c r="I274" s="59"/>
      <c r="J274" s="56" t="s">
        <v>4506</v>
      </c>
      <c r="K274" s="58">
        <v>1.0</v>
      </c>
      <c r="L274" s="59"/>
      <c r="M274" s="59"/>
      <c r="N274" s="56" t="s">
        <v>5441</v>
      </c>
      <c r="O274" s="59"/>
      <c r="P274" s="56" t="s">
        <v>4508</v>
      </c>
      <c r="Q274" s="61" t="s">
        <v>394</v>
      </c>
      <c r="R274" s="58" t="s">
        <v>5442</v>
      </c>
      <c r="T274" s="55" t="b">
        <f t="shared" si="1"/>
        <v>1</v>
      </c>
    </row>
    <row r="275" ht="15.0" customHeight="1">
      <c r="A275" s="56" t="s">
        <v>238</v>
      </c>
      <c r="B275" s="56" t="s">
        <v>1876</v>
      </c>
      <c r="C275" s="57" t="s">
        <v>1877</v>
      </c>
      <c r="D275" s="58">
        <v>8.323855573E9</v>
      </c>
      <c r="E275" s="56" t="s">
        <v>5443</v>
      </c>
      <c r="F275" s="56" t="s">
        <v>379</v>
      </c>
      <c r="G275" s="56" t="s">
        <v>365</v>
      </c>
      <c r="H275" s="62" t="s">
        <v>413</v>
      </c>
      <c r="I275" s="59"/>
      <c r="J275" s="62" t="s">
        <v>4506</v>
      </c>
      <c r="K275" s="59"/>
      <c r="L275" s="59"/>
      <c r="M275" s="59"/>
      <c r="N275" s="56" t="s">
        <v>2884</v>
      </c>
      <c r="O275" s="59"/>
      <c r="P275" s="56" t="s">
        <v>4508</v>
      </c>
      <c r="Q275" s="61" t="s">
        <v>394</v>
      </c>
      <c r="R275" s="56" t="s">
        <v>4559</v>
      </c>
      <c r="T275" s="55" t="b">
        <f t="shared" si="1"/>
        <v>0</v>
      </c>
    </row>
    <row r="276" ht="15.0" customHeight="1">
      <c r="A276" s="56" t="s">
        <v>5444</v>
      </c>
      <c r="B276" s="56" t="s">
        <v>5445</v>
      </c>
      <c r="C276" s="57" t="s">
        <v>5446</v>
      </c>
      <c r="D276" s="56" t="s">
        <v>5447</v>
      </c>
      <c r="E276" s="56" t="s">
        <v>2282</v>
      </c>
      <c r="F276" s="56" t="s">
        <v>379</v>
      </c>
      <c r="G276" s="56" t="s">
        <v>412</v>
      </c>
      <c r="H276" s="62" t="s">
        <v>513</v>
      </c>
      <c r="I276" s="59"/>
      <c r="J276" s="62" t="s">
        <v>4499</v>
      </c>
      <c r="K276" s="59"/>
      <c r="L276" s="59"/>
      <c r="M276" s="56" t="s">
        <v>5448</v>
      </c>
      <c r="N276" s="56" t="s">
        <v>2916</v>
      </c>
      <c r="O276" s="59"/>
      <c r="P276" s="56" t="s">
        <v>4501</v>
      </c>
      <c r="Q276" s="61" t="s">
        <v>373</v>
      </c>
      <c r="R276" s="58" t="s">
        <v>5449</v>
      </c>
      <c r="T276" s="55" t="b">
        <f t="shared" si="1"/>
        <v>1</v>
      </c>
    </row>
    <row r="277" ht="15.0" customHeight="1">
      <c r="A277" s="56" t="s">
        <v>1882</v>
      </c>
      <c r="B277" s="56" t="s">
        <v>1883</v>
      </c>
      <c r="C277" s="57" t="s">
        <v>1884</v>
      </c>
      <c r="D277" s="56" t="s">
        <v>5450</v>
      </c>
      <c r="E277" s="56" t="s">
        <v>459</v>
      </c>
      <c r="F277" s="56" t="s">
        <v>5451</v>
      </c>
      <c r="G277" s="56" t="s">
        <v>520</v>
      </c>
      <c r="H277" s="62" t="s">
        <v>513</v>
      </c>
      <c r="I277" s="59"/>
      <c r="J277" s="62" t="s">
        <v>4506</v>
      </c>
      <c r="K277" s="59"/>
      <c r="L277" s="59"/>
      <c r="M277" s="59"/>
      <c r="N277" s="59"/>
      <c r="O277" s="59"/>
      <c r="P277" s="56" t="s">
        <v>4508</v>
      </c>
      <c r="Q277" s="61" t="s">
        <v>373</v>
      </c>
      <c r="R277" s="58" t="s">
        <v>5452</v>
      </c>
      <c r="T277" s="55" t="b">
        <f t="shared" si="1"/>
        <v>1</v>
      </c>
    </row>
    <row r="278" ht="15.0" customHeight="1">
      <c r="A278" s="56" t="s">
        <v>5453</v>
      </c>
      <c r="B278" s="56" t="s">
        <v>5454</v>
      </c>
      <c r="C278" s="57" t="s">
        <v>5455</v>
      </c>
      <c r="D278" s="56" t="s">
        <v>5456</v>
      </c>
      <c r="E278" s="56" t="s">
        <v>2938</v>
      </c>
      <c r="F278" s="56" t="s">
        <v>399</v>
      </c>
      <c r="G278" s="56" t="s">
        <v>365</v>
      </c>
      <c r="H278" s="62" t="s">
        <v>366</v>
      </c>
      <c r="I278" s="59"/>
      <c r="J278" s="62" t="s">
        <v>4499</v>
      </c>
      <c r="K278" s="59"/>
      <c r="L278" s="59"/>
      <c r="M278" s="59"/>
      <c r="N278" s="56" t="s">
        <v>2236</v>
      </c>
      <c r="O278" s="59"/>
      <c r="P278" s="56" t="s">
        <v>4501</v>
      </c>
      <c r="Q278" s="61" t="s">
        <v>394</v>
      </c>
      <c r="R278" s="58" t="s">
        <v>5457</v>
      </c>
      <c r="T278" s="55" t="b">
        <f t="shared" si="1"/>
        <v>0</v>
      </c>
    </row>
    <row r="279" ht="15.0" customHeight="1">
      <c r="A279" s="56" t="s">
        <v>240</v>
      </c>
      <c r="B279" s="56" t="s">
        <v>1900</v>
      </c>
      <c r="C279" s="57" t="s">
        <v>1901</v>
      </c>
      <c r="D279" s="56" t="s">
        <v>5458</v>
      </c>
      <c r="E279" s="56" t="s">
        <v>676</v>
      </c>
      <c r="F279" s="56" t="s">
        <v>364</v>
      </c>
      <c r="G279" s="56" t="s">
        <v>365</v>
      </c>
      <c r="H279" s="62" t="s">
        <v>366</v>
      </c>
      <c r="I279" s="59"/>
      <c r="J279" s="62" t="s">
        <v>483</v>
      </c>
      <c r="K279" s="59"/>
      <c r="L279" s="59"/>
      <c r="M279" s="56" t="s">
        <v>5459</v>
      </c>
      <c r="N279" s="56" t="s">
        <v>3000</v>
      </c>
      <c r="O279" s="59"/>
      <c r="P279" s="56" t="s">
        <v>4496</v>
      </c>
      <c r="Q279" s="61" t="s">
        <v>394</v>
      </c>
      <c r="R279" s="58" t="s">
        <v>5460</v>
      </c>
      <c r="T279" s="55" t="b">
        <f t="shared" si="1"/>
        <v>0</v>
      </c>
    </row>
    <row r="280" ht="15.0" customHeight="1">
      <c r="A280" s="56" t="s">
        <v>1906</v>
      </c>
      <c r="B280" s="56" t="s">
        <v>4095</v>
      </c>
      <c r="C280" s="57" t="s">
        <v>4096</v>
      </c>
      <c r="D280" s="58">
        <v>8.65250999E9</v>
      </c>
      <c r="E280" s="56" t="s">
        <v>453</v>
      </c>
      <c r="F280" s="56" t="s">
        <v>379</v>
      </c>
      <c r="G280" s="56" t="s">
        <v>365</v>
      </c>
      <c r="H280" s="62" t="s">
        <v>366</v>
      </c>
      <c r="I280" s="59"/>
      <c r="J280" s="62" t="s">
        <v>4499</v>
      </c>
      <c r="K280" s="59"/>
      <c r="L280" s="59"/>
      <c r="M280" s="56" t="s">
        <v>4095</v>
      </c>
      <c r="N280" s="56" t="s">
        <v>1967</v>
      </c>
      <c r="O280" s="59"/>
      <c r="P280" s="56" t="s">
        <v>4501</v>
      </c>
      <c r="Q280" s="61" t="s">
        <v>373</v>
      </c>
      <c r="R280" s="58" t="s">
        <v>5461</v>
      </c>
      <c r="T280" s="55" t="b">
        <f t="shared" si="1"/>
        <v>0</v>
      </c>
    </row>
    <row r="281" ht="15.0" customHeight="1">
      <c r="A281" s="56" t="s">
        <v>5462</v>
      </c>
      <c r="B281" s="56" t="s">
        <v>1912</v>
      </c>
      <c r="C281" s="57" t="s">
        <v>1913</v>
      </c>
      <c r="D281" s="58">
        <v>4.325597698E9</v>
      </c>
      <c r="E281" s="56" t="s">
        <v>5463</v>
      </c>
      <c r="F281" s="56" t="s">
        <v>364</v>
      </c>
      <c r="G281" s="56" t="s">
        <v>365</v>
      </c>
      <c r="H281" s="62" t="s">
        <v>366</v>
      </c>
      <c r="I281" s="59"/>
      <c r="J281" s="62" t="s">
        <v>4499</v>
      </c>
      <c r="K281" s="59"/>
      <c r="L281" s="59"/>
      <c r="M281" s="56" t="s">
        <v>1912</v>
      </c>
      <c r="N281" s="56" t="s">
        <v>401</v>
      </c>
      <c r="O281" s="59"/>
      <c r="P281" s="56" t="s">
        <v>4501</v>
      </c>
      <c r="Q281" s="61" t="s">
        <v>373</v>
      </c>
      <c r="R281" s="58" t="s">
        <v>5464</v>
      </c>
      <c r="T281" s="55" t="b">
        <f t="shared" si="1"/>
        <v>0</v>
      </c>
    </row>
    <row r="282" ht="15.0" customHeight="1">
      <c r="A282" s="56" t="s">
        <v>241</v>
      </c>
      <c r="B282" s="56" t="s">
        <v>5465</v>
      </c>
      <c r="C282" s="57" t="s">
        <v>5466</v>
      </c>
      <c r="D282" s="56" t="s">
        <v>5467</v>
      </c>
      <c r="E282" s="56" t="s">
        <v>5468</v>
      </c>
      <c r="F282" s="56" t="s">
        <v>364</v>
      </c>
      <c r="G282" s="56" t="s">
        <v>412</v>
      </c>
      <c r="H282" s="62" t="s">
        <v>366</v>
      </c>
      <c r="I282" s="59"/>
      <c r="J282" s="56" t="s">
        <v>4499</v>
      </c>
      <c r="K282" s="58">
        <v>0.0</v>
      </c>
      <c r="L282" s="58">
        <v>1.0</v>
      </c>
      <c r="M282" s="56" t="s">
        <v>5469</v>
      </c>
      <c r="N282" s="56" t="s">
        <v>2922</v>
      </c>
      <c r="O282" s="59"/>
      <c r="P282" s="56" t="s">
        <v>4501</v>
      </c>
      <c r="Q282" s="61" t="s">
        <v>373</v>
      </c>
      <c r="R282" s="56" t="s">
        <v>4559</v>
      </c>
      <c r="T282" s="55" t="b">
        <f t="shared" si="1"/>
        <v>0</v>
      </c>
    </row>
    <row r="283" ht="15.0" customHeight="1">
      <c r="A283" s="56" t="s">
        <v>5470</v>
      </c>
      <c r="B283" s="56" t="s">
        <v>5471</v>
      </c>
      <c r="C283" s="57" t="s">
        <v>5472</v>
      </c>
      <c r="D283" s="56" t="s">
        <v>5473</v>
      </c>
      <c r="E283" s="56" t="s">
        <v>410</v>
      </c>
      <c r="F283" s="56" t="s">
        <v>364</v>
      </c>
      <c r="G283" s="56" t="s">
        <v>830</v>
      </c>
      <c r="H283" s="62" t="s">
        <v>366</v>
      </c>
      <c r="I283" s="59"/>
      <c r="J283" s="62" t="s">
        <v>4506</v>
      </c>
      <c r="K283" s="59"/>
      <c r="L283" s="59"/>
      <c r="M283" s="56" t="s">
        <v>5474</v>
      </c>
      <c r="N283" s="56" t="s">
        <v>4266</v>
      </c>
      <c r="O283" s="59"/>
      <c r="P283" s="56" t="s">
        <v>4508</v>
      </c>
      <c r="Q283" s="61" t="s">
        <v>394</v>
      </c>
      <c r="R283" s="58" t="s">
        <v>5475</v>
      </c>
      <c r="T283" s="55" t="b">
        <f t="shared" si="1"/>
        <v>0</v>
      </c>
    </row>
    <row r="284" ht="15.0" customHeight="1">
      <c r="A284" s="56" t="s">
        <v>242</v>
      </c>
      <c r="B284" s="56" t="s">
        <v>1242</v>
      </c>
      <c r="C284" s="57" t="s">
        <v>4136</v>
      </c>
      <c r="D284" s="56" t="s">
        <v>1244</v>
      </c>
      <c r="E284" s="56" t="s">
        <v>5476</v>
      </c>
      <c r="F284" s="56" t="s">
        <v>364</v>
      </c>
      <c r="G284" s="56" t="s">
        <v>365</v>
      </c>
      <c r="H284" s="62" t="s">
        <v>366</v>
      </c>
      <c r="I284" s="59"/>
      <c r="J284" s="62" t="s">
        <v>4978</v>
      </c>
      <c r="K284" s="59"/>
      <c r="L284" s="59"/>
      <c r="M284" s="59"/>
      <c r="N284" s="56" t="s">
        <v>4865</v>
      </c>
      <c r="O284" s="59"/>
      <c r="P284" s="56" t="s">
        <v>4508</v>
      </c>
      <c r="Q284" s="61" t="s">
        <v>394</v>
      </c>
      <c r="R284" s="58" t="s">
        <v>5477</v>
      </c>
      <c r="T284" s="55" t="b">
        <f t="shared" si="1"/>
        <v>0</v>
      </c>
    </row>
    <row r="285" ht="15.0" customHeight="1">
      <c r="A285" s="56" t="s">
        <v>243</v>
      </c>
      <c r="B285" s="56" t="s">
        <v>4164</v>
      </c>
      <c r="C285" s="57" t="s">
        <v>1939</v>
      </c>
      <c r="D285" s="58">
        <v>5.123124336E9</v>
      </c>
      <c r="E285" s="56" t="s">
        <v>2287</v>
      </c>
      <c r="F285" s="56" t="s">
        <v>399</v>
      </c>
      <c r="G285" s="56" t="s">
        <v>365</v>
      </c>
      <c r="H285" s="62" t="s">
        <v>513</v>
      </c>
      <c r="I285" s="59"/>
      <c r="J285" s="62" t="s">
        <v>4499</v>
      </c>
      <c r="K285" s="59"/>
      <c r="L285" s="59"/>
      <c r="M285" s="56" t="s">
        <v>5478</v>
      </c>
      <c r="N285" s="56" t="s">
        <v>1773</v>
      </c>
      <c r="O285" s="59"/>
      <c r="P285" s="56" t="s">
        <v>4501</v>
      </c>
      <c r="Q285" s="61" t="s">
        <v>373</v>
      </c>
      <c r="R285" s="58" t="s">
        <v>5479</v>
      </c>
      <c r="T285" s="55" t="b">
        <f t="shared" si="1"/>
        <v>1</v>
      </c>
    </row>
    <row r="286" ht="15.0" customHeight="1">
      <c r="A286" s="56" t="s">
        <v>244</v>
      </c>
      <c r="B286" s="56" t="s">
        <v>1940</v>
      </c>
      <c r="C286" s="57" t="s">
        <v>1941</v>
      </c>
      <c r="D286" s="56" t="s">
        <v>5480</v>
      </c>
      <c r="E286" s="56" t="s">
        <v>2851</v>
      </c>
      <c r="F286" s="56" t="s">
        <v>399</v>
      </c>
      <c r="G286" s="56" t="s">
        <v>365</v>
      </c>
      <c r="H286" s="62" t="s">
        <v>366</v>
      </c>
      <c r="I286" s="59"/>
      <c r="J286" s="56" t="s">
        <v>4499</v>
      </c>
      <c r="K286" s="58">
        <v>1.0</v>
      </c>
      <c r="L286" s="59"/>
      <c r="M286" s="56" t="s">
        <v>5481</v>
      </c>
      <c r="N286" s="56" t="s">
        <v>3385</v>
      </c>
      <c r="O286" s="59"/>
      <c r="P286" s="56" t="s">
        <v>4501</v>
      </c>
      <c r="Q286" s="61" t="s">
        <v>373</v>
      </c>
      <c r="R286" s="56" t="s">
        <v>4559</v>
      </c>
      <c r="T286" s="55" t="b">
        <f t="shared" si="1"/>
        <v>0</v>
      </c>
    </row>
    <row r="287" ht="15.0" customHeight="1">
      <c r="A287" s="56" t="s">
        <v>245</v>
      </c>
      <c r="B287" s="56" t="s">
        <v>4169</v>
      </c>
      <c r="C287" s="57" t="s">
        <v>4170</v>
      </c>
      <c r="D287" s="58">
        <v>2.147978805E9</v>
      </c>
      <c r="E287" s="56" t="s">
        <v>2286</v>
      </c>
      <c r="F287" s="56" t="s">
        <v>364</v>
      </c>
      <c r="G287" s="56" t="s">
        <v>667</v>
      </c>
      <c r="H287" s="62" t="s">
        <v>413</v>
      </c>
      <c r="I287" s="59"/>
      <c r="J287" s="62" t="s">
        <v>4499</v>
      </c>
      <c r="K287" s="59"/>
      <c r="L287" s="59"/>
      <c r="M287" s="56" t="s">
        <v>5482</v>
      </c>
      <c r="N287" s="56" t="s">
        <v>5483</v>
      </c>
      <c r="O287" s="59"/>
      <c r="P287" s="56" t="s">
        <v>4508</v>
      </c>
      <c r="Q287" s="61" t="s">
        <v>373</v>
      </c>
      <c r="R287" s="58" t="s">
        <v>5484</v>
      </c>
      <c r="T287" s="55" t="b">
        <f t="shared" si="1"/>
        <v>0</v>
      </c>
    </row>
    <row r="288" ht="15.0" customHeight="1">
      <c r="A288" s="56" t="s">
        <v>246</v>
      </c>
      <c r="B288" s="56" t="s">
        <v>5485</v>
      </c>
      <c r="C288" s="57" t="s">
        <v>5486</v>
      </c>
      <c r="D288" s="58">
        <v>2.144732474E9</v>
      </c>
      <c r="E288" s="56" t="s">
        <v>5487</v>
      </c>
      <c r="F288" s="56" t="s">
        <v>399</v>
      </c>
      <c r="G288" s="56" t="s">
        <v>380</v>
      </c>
      <c r="H288" s="62" t="s">
        <v>366</v>
      </c>
      <c r="I288" s="59"/>
      <c r="J288" s="62" t="s">
        <v>4506</v>
      </c>
      <c r="K288" s="59"/>
      <c r="L288" s="59"/>
      <c r="M288" s="59"/>
      <c r="N288" s="56" t="s">
        <v>1164</v>
      </c>
      <c r="O288" s="59"/>
      <c r="P288" s="56" t="s">
        <v>4508</v>
      </c>
      <c r="Q288" s="61" t="s">
        <v>394</v>
      </c>
      <c r="R288" s="58" t="s">
        <v>5488</v>
      </c>
      <c r="T288" s="55" t="b">
        <f t="shared" si="1"/>
        <v>0</v>
      </c>
    </row>
    <row r="289" ht="15.0" customHeight="1">
      <c r="A289" s="56" t="s">
        <v>247</v>
      </c>
      <c r="B289" s="56" t="s">
        <v>4175</v>
      </c>
      <c r="C289" s="57" t="s">
        <v>4176</v>
      </c>
      <c r="D289" s="56" t="s">
        <v>5489</v>
      </c>
      <c r="E289" s="56" t="s">
        <v>2938</v>
      </c>
      <c r="F289" s="56" t="s">
        <v>364</v>
      </c>
      <c r="G289" s="56" t="s">
        <v>412</v>
      </c>
      <c r="H289" s="62" t="s">
        <v>869</v>
      </c>
      <c r="I289" s="59"/>
      <c r="J289" s="62" t="s">
        <v>4573</v>
      </c>
      <c r="K289" s="59"/>
      <c r="L289" s="58">
        <v>0.0</v>
      </c>
      <c r="M289" s="56" t="s">
        <v>5490</v>
      </c>
      <c r="N289" s="56" t="s">
        <v>3662</v>
      </c>
      <c r="O289" s="59"/>
      <c r="P289" s="56" t="s">
        <v>4501</v>
      </c>
      <c r="Q289" s="61" t="s">
        <v>373</v>
      </c>
      <c r="R289" s="58" t="s">
        <v>5491</v>
      </c>
      <c r="T289" s="55" t="b">
        <f t="shared" si="1"/>
        <v>0</v>
      </c>
    </row>
    <row r="290" ht="15.0" customHeight="1">
      <c r="A290" s="56" t="s">
        <v>5492</v>
      </c>
      <c r="B290" s="56" t="s">
        <v>5493</v>
      </c>
      <c r="C290" s="57" t="s">
        <v>5494</v>
      </c>
      <c r="D290" s="56" t="s">
        <v>5495</v>
      </c>
      <c r="E290" s="56" t="s">
        <v>2901</v>
      </c>
      <c r="F290" s="56" t="s">
        <v>364</v>
      </c>
      <c r="G290" s="56" t="s">
        <v>365</v>
      </c>
      <c r="H290" s="62" t="s">
        <v>366</v>
      </c>
      <c r="I290" s="59"/>
      <c r="J290" s="62" t="s">
        <v>381</v>
      </c>
      <c r="K290" s="59"/>
      <c r="L290" s="59"/>
      <c r="M290" s="56" t="s">
        <v>5496</v>
      </c>
      <c r="N290" s="56" t="s">
        <v>1404</v>
      </c>
      <c r="O290" s="59"/>
      <c r="P290" s="56" t="s">
        <v>4496</v>
      </c>
      <c r="Q290" s="61" t="s">
        <v>373</v>
      </c>
      <c r="R290" s="56" t="s">
        <v>4559</v>
      </c>
      <c r="T290" s="55" t="b">
        <f t="shared" si="1"/>
        <v>0</v>
      </c>
    </row>
    <row r="291" ht="15.0" customHeight="1">
      <c r="A291" s="56" t="s">
        <v>248</v>
      </c>
      <c r="B291" s="56" t="s">
        <v>4178</v>
      </c>
      <c r="C291" s="57" t="s">
        <v>4179</v>
      </c>
      <c r="D291" s="56" t="s">
        <v>5497</v>
      </c>
      <c r="E291" s="56" t="s">
        <v>4180</v>
      </c>
      <c r="F291" s="56" t="s">
        <v>379</v>
      </c>
      <c r="G291" s="56" t="s">
        <v>405</v>
      </c>
      <c r="H291" s="62" t="s">
        <v>413</v>
      </c>
      <c r="I291" s="59"/>
      <c r="J291" s="62" t="s">
        <v>4499</v>
      </c>
      <c r="K291" s="59"/>
      <c r="L291" s="59"/>
      <c r="M291" s="59"/>
      <c r="N291" s="56" t="s">
        <v>2771</v>
      </c>
      <c r="O291" s="59"/>
      <c r="P291" s="56" t="s">
        <v>4501</v>
      </c>
      <c r="Q291" s="61" t="s">
        <v>373</v>
      </c>
      <c r="R291" s="58" t="s">
        <v>5498</v>
      </c>
      <c r="T291" s="55" t="b">
        <f t="shared" si="1"/>
        <v>0</v>
      </c>
    </row>
    <row r="292" ht="15.0" customHeight="1">
      <c r="A292" s="56" t="s">
        <v>251</v>
      </c>
      <c r="B292" s="56" t="s">
        <v>1974</v>
      </c>
      <c r="C292" s="57" t="s">
        <v>1975</v>
      </c>
      <c r="D292" s="58">
        <v>3.466029089E9</v>
      </c>
      <c r="E292" s="56" t="s">
        <v>5499</v>
      </c>
      <c r="F292" s="56" t="s">
        <v>364</v>
      </c>
      <c r="G292" s="56" t="s">
        <v>365</v>
      </c>
      <c r="H292" s="62" t="s">
        <v>413</v>
      </c>
      <c r="I292" s="59"/>
      <c r="J292" s="62" t="s">
        <v>4691</v>
      </c>
      <c r="K292" s="59"/>
      <c r="L292" s="59"/>
      <c r="M292" s="56" t="s">
        <v>5500</v>
      </c>
      <c r="N292" s="56" t="s">
        <v>5501</v>
      </c>
      <c r="O292" s="59"/>
      <c r="P292" s="56" t="s">
        <v>4501</v>
      </c>
      <c r="Q292" s="61" t="s">
        <v>394</v>
      </c>
      <c r="R292" s="58" t="s">
        <v>5502</v>
      </c>
      <c r="T292" s="55" t="b">
        <f t="shared" si="1"/>
        <v>0</v>
      </c>
    </row>
    <row r="293" ht="15.0" customHeight="1">
      <c r="A293" s="56" t="s">
        <v>253</v>
      </c>
      <c r="B293" s="56" t="s">
        <v>5503</v>
      </c>
      <c r="C293" s="57" t="s">
        <v>5504</v>
      </c>
      <c r="D293" s="56" t="s">
        <v>5505</v>
      </c>
      <c r="E293" s="56" t="s">
        <v>452</v>
      </c>
      <c r="F293" s="56" t="s">
        <v>364</v>
      </c>
      <c r="G293" s="56" t="s">
        <v>412</v>
      </c>
      <c r="H293" s="62" t="s">
        <v>366</v>
      </c>
      <c r="I293" s="59"/>
      <c r="J293" s="62" t="s">
        <v>4499</v>
      </c>
      <c r="K293" s="59"/>
      <c r="L293" s="59"/>
      <c r="M293" s="56" t="s">
        <v>5506</v>
      </c>
      <c r="N293" s="56" t="s">
        <v>1759</v>
      </c>
      <c r="O293" s="59"/>
      <c r="P293" s="56" t="s">
        <v>4501</v>
      </c>
      <c r="Q293" s="61" t="s">
        <v>373</v>
      </c>
      <c r="R293" s="56" t="s">
        <v>4559</v>
      </c>
      <c r="T293" s="55" t="b">
        <f t="shared" si="1"/>
        <v>0</v>
      </c>
    </row>
    <row r="294" ht="15.0" customHeight="1">
      <c r="A294" s="56" t="s">
        <v>5507</v>
      </c>
      <c r="B294" s="56" t="s">
        <v>5508</v>
      </c>
      <c r="C294" s="57" t="s">
        <v>5509</v>
      </c>
      <c r="D294" s="58">
        <v>8.172234795E9</v>
      </c>
      <c r="E294" s="56" t="s">
        <v>2286</v>
      </c>
      <c r="F294" s="56" t="s">
        <v>364</v>
      </c>
      <c r="G294" s="56" t="s">
        <v>365</v>
      </c>
      <c r="H294" s="62" t="s">
        <v>413</v>
      </c>
      <c r="I294" s="59"/>
      <c r="J294" s="62" t="s">
        <v>4499</v>
      </c>
      <c r="K294" s="59"/>
      <c r="L294" s="59"/>
      <c r="M294" s="56" t="s">
        <v>5508</v>
      </c>
      <c r="N294" s="56" t="s">
        <v>1527</v>
      </c>
      <c r="O294" s="59"/>
      <c r="P294" s="56" t="s">
        <v>4508</v>
      </c>
      <c r="Q294" s="61" t="s">
        <v>373</v>
      </c>
      <c r="R294" s="58" t="s">
        <v>5510</v>
      </c>
      <c r="T294" s="55" t="b">
        <f t="shared" si="1"/>
        <v>0</v>
      </c>
    </row>
    <row r="295" ht="15.0" customHeight="1">
      <c r="A295" s="56" t="s">
        <v>5511</v>
      </c>
      <c r="B295" s="56" t="s">
        <v>5512</v>
      </c>
      <c r="C295" s="57" t="s">
        <v>5513</v>
      </c>
      <c r="D295" s="56" t="s">
        <v>5514</v>
      </c>
      <c r="E295" s="56" t="s">
        <v>5515</v>
      </c>
      <c r="F295" s="56" t="s">
        <v>364</v>
      </c>
      <c r="G295" s="56" t="s">
        <v>365</v>
      </c>
      <c r="H295" s="62" t="s">
        <v>366</v>
      </c>
      <c r="I295" s="59"/>
      <c r="J295" s="62" t="s">
        <v>4499</v>
      </c>
      <c r="K295" s="59"/>
      <c r="L295" s="59"/>
      <c r="M295" s="56" t="s">
        <v>5516</v>
      </c>
      <c r="N295" s="56" t="s">
        <v>5517</v>
      </c>
      <c r="O295" s="59"/>
      <c r="P295" s="56" t="s">
        <v>4501</v>
      </c>
      <c r="Q295" s="61" t="s">
        <v>373</v>
      </c>
      <c r="R295" s="56" t="s">
        <v>4559</v>
      </c>
      <c r="T295" s="55" t="b">
        <f t="shared" si="1"/>
        <v>0</v>
      </c>
    </row>
    <row r="296" ht="15.0" customHeight="1">
      <c r="A296" s="56" t="s">
        <v>4231</v>
      </c>
      <c r="B296" s="56" t="s">
        <v>4232</v>
      </c>
      <c r="C296" s="57" t="s">
        <v>4233</v>
      </c>
      <c r="D296" s="58">
        <v>5.879330988E9</v>
      </c>
      <c r="E296" s="56" t="s">
        <v>5518</v>
      </c>
      <c r="F296" s="56" t="s">
        <v>399</v>
      </c>
      <c r="G296" s="56" t="s">
        <v>830</v>
      </c>
      <c r="H296" s="62" t="s">
        <v>366</v>
      </c>
      <c r="I296" s="59"/>
      <c r="J296" s="62" t="s">
        <v>4506</v>
      </c>
      <c r="K296" s="59"/>
      <c r="L296" s="59"/>
      <c r="M296" s="56" t="s">
        <v>5519</v>
      </c>
      <c r="N296" s="56" t="s">
        <v>5520</v>
      </c>
      <c r="O296" s="59"/>
      <c r="P296" s="56" t="s">
        <v>4508</v>
      </c>
      <c r="Q296" s="61" t="s">
        <v>394</v>
      </c>
      <c r="R296" s="58" t="s">
        <v>5521</v>
      </c>
      <c r="T296" s="55" t="b">
        <f t="shared" si="1"/>
        <v>0</v>
      </c>
    </row>
    <row r="297" ht="15.0" customHeight="1">
      <c r="A297" s="56" t="s">
        <v>254</v>
      </c>
      <c r="B297" s="56" t="s">
        <v>4236</v>
      </c>
      <c r="C297" s="57" t="s">
        <v>4237</v>
      </c>
      <c r="D297" s="56" t="s">
        <v>4238</v>
      </c>
      <c r="E297" s="56" t="s">
        <v>5522</v>
      </c>
      <c r="F297" s="56" t="s">
        <v>399</v>
      </c>
      <c r="G297" s="56" t="s">
        <v>365</v>
      </c>
      <c r="H297" s="62" t="s">
        <v>366</v>
      </c>
      <c r="I297" s="59"/>
      <c r="J297" s="62" t="s">
        <v>4573</v>
      </c>
      <c r="K297" s="59"/>
      <c r="L297" s="59"/>
      <c r="M297" s="59"/>
      <c r="N297" s="56" t="s">
        <v>2511</v>
      </c>
      <c r="O297" s="59"/>
      <c r="P297" s="56" t="s">
        <v>4501</v>
      </c>
      <c r="Q297" s="61" t="s">
        <v>373</v>
      </c>
      <c r="R297" s="58" t="s">
        <v>5523</v>
      </c>
      <c r="T297" s="55" t="b">
        <f t="shared" si="1"/>
        <v>0</v>
      </c>
    </row>
    <row r="298" ht="15.0" customHeight="1">
      <c r="A298" s="56" t="s">
        <v>255</v>
      </c>
      <c r="B298" s="56" t="s">
        <v>4242</v>
      </c>
      <c r="C298" s="57" t="s">
        <v>4243</v>
      </c>
      <c r="D298" s="56" t="s">
        <v>5524</v>
      </c>
      <c r="E298" s="56" t="s">
        <v>5525</v>
      </c>
      <c r="F298" s="56" t="s">
        <v>379</v>
      </c>
      <c r="G298" s="56" t="s">
        <v>365</v>
      </c>
      <c r="H298" s="62" t="s">
        <v>366</v>
      </c>
      <c r="I298" s="59"/>
      <c r="J298" s="62" t="s">
        <v>4573</v>
      </c>
      <c r="K298" s="59"/>
      <c r="L298" s="59"/>
      <c r="M298" s="56" t="s">
        <v>5526</v>
      </c>
      <c r="N298" s="56" t="s">
        <v>5527</v>
      </c>
      <c r="O298" s="59"/>
      <c r="P298" s="56" t="s">
        <v>4501</v>
      </c>
      <c r="Q298" s="61" t="s">
        <v>373</v>
      </c>
      <c r="R298" s="56" t="s">
        <v>4559</v>
      </c>
      <c r="T298" s="55" t="b">
        <f t="shared" si="1"/>
        <v>0</v>
      </c>
    </row>
    <row r="299" ht="15.0" customHeight="1">
      <c r="A299" s="56" t="s">
        <v>256</v>
      </c>
      <c r="B299" s="56" t="s">
        <v>5528</v>
      </c>
      <c r="C299" s="57" t="s">
        <v>5529</v>
      </c>
      <c r="D299" s="56" t="s">
        <v>5530</v>
      </c>
      <c r="E299" s="56" t="s">
        <v>5531</v>
      </c>
      <c r="F299" s="56" t="s">
        <v>399</v>
      </c>
      <c r="G299" s="56" t="s">
        <v>520</v>
      </c>
      <c r="H299" s="62" t="s">
        <v>413</v>
      </c>
      <c r="I299" s="59"/>
      <c r="J299" s="62" t="s">
        <v>381</v>
      </c>
      <c r="K299" s="59"/>
      <c r="L299" s="59"/>
      <c r="M299" s="59"/>
      <c r="N299" s="56" t="s">
        <v>2299</v>
      </c>
      <c r="O299" s="59"/>
      <c r="P299" s="56" t="s">
        <v>4496</v>
      </c>
      <c r="Q299" s="61" t="s">
        <v>394</v>
      </c>
      <c r="R299" s="58" t="s">
        <v>5532</v>
      </c>
      <c r="T299" s="55" t="b">
        <f t="shared" si="1"/>
        <v>0</v>
      </c>
    </row>
    <row r="300" ht="15.0" customHeight="1">
      <c r="A300" s="56" t="s">
        <v>5533</v>
      </c>
      <c r="B300" s="56" t="s">
        <v>5534</v>
      </c>
      <c r="C300" s="57" t="s">
        <v>5535</v>
      </c>
      <c r="D300" s="56" t="s">
        <v>5536</v>
      </c>
      <c r="E300" s="56" t="s">
        <v>2286</v>
      </c>
      <c r="F300" s="56" t="s">
        <v>399</v>
      </c>
      <c r="G300" s="56" t="s">
        <v>365</v>
      </c>
      <c r="H300" s="62" t="s">
        <v>366</v>
      </c>
      <c r="I300" s="59"/>
      <c r="J300" s="62" t="s">
        <v>4499</v>
      </c>
      <c r="K300" s="59"/>
      <c r="L300" s="59"/>
      <c r="M300" s="56" t="s">
        <v>5537</v>
      </c>
      <c r="N300" s="56" t="s">
        <v>5538</v>
      </c>
      <c r="O300" s="59"/>
      <c r="P300" s="56" t="s">
        <v>4501</v>
      </c>
      <c r="Q300" s="61" t="s">
        <v>373</v>
      </c>
      <c r="R300" s="58" t="s">
        <v>5539</v>
      </c>
      <c r="T300" s="55" t="b">
        <f t="shared" si="1"/>
        <v>0</v>
      </c>
    </row>
    <row r="301" ht="15.0" customHeight="1">
      <c r="A301" s="56" t="s">
        <v>258</v>
      </c>
      <c r="B301" s="56" t="s">
        <v>2040</v>
      </c>
      <c r="C301" s="57" t="s">
        <v>2041</v>
      </c>
      <c r="D301" s="56" t="s">
        <v>2042</v>
      </c>
      <c r="E301" s="56" t="s">
        <v>2528</v>
      </c>
      <c r="F301" s="56" t="s">
        <v>364</v>
      </c>
      <c r="G301" s="56" t="s">
        <v>412</v>
      </c>
      <c r="H301" s="62" t="s">
        <v>366</v>
      </c>
      <c r="I301" s="59"/>
      <c r="J301" s="62" t="s">
        <v>4499</v>
      </c>
      <c r="K301" s="59"/>
      <c r="L301" s="59"/>
      <c r="M301" s="56" t="s">
        <v>2040</v>
      </c>
      <c r="N301" s="56" t="s">
        <v>5024</v>
      </c>
      <c r="O301" s="59"/>
      <c r="P301" s="56" t="s">
        <v>4501</v>
      </c>
      <c r="Q301" s="61" t="s">
        <v>373</v>
      </c>
      <c r="R301" s="58" t="s">
        <v>5540</v>
      </c>
      <c r="T301" s="55" t="b">
        <f t="shared" si="1"/>
        <v>0</v>
      </c>
    </row>
    <row r="302" ht="15.0" customHeight="1">
      <c r="A302" s="56" t="s">
        <v>5541</v>
      </c>
      <c r="B302" s="56" t="s">
        <v>2047</v>
      </c>
      <c r="C302" s="57" t="s">
        <v>2048</v>
      </c>
      <c r="D302" s="58">
        <v>9.794369359E9</v>
      </c>
      <c r="E302" s="56" t="s">
        <v>2528</v>
      </c>
      <c r="F302" s="56" t="s">
        <v>379</v>
      </c>
      <c r="G302" s="56" t="s">
        <v>412</v>
      </c>
      <c r="H302" s="62" t="s">
        <v>366</v>
      </c>
      <c r="I302" s="59"/>
      <c r="J302" s="56" t="s">
        <v>4499</v>
      </c>
      <c r="K302" s="58">
        <v>0.0</v>
      </c>
      <c r="L302" s="58">
        <v>3.0</v>
      </c>
      <c r="M302" s="56" t="s">
        <v>5542</v>
      </c>
      <c r="N302" s="56" t="s">
        <v>1960</v>
      </c>
      <c r="O302" s="59"/>
      <c r="P302" s="56" t="s">
        <v>4501</v>
      </c>
      <c r="Q302" s="61" t="s">
        <v>373</v>
      </c>
      <c r="R302" s="56" t="s">
        <v>4559</v>
      </c>
      <c r="T302" s="55" t="b">
        <f t="shared" si="1"/>
        <v>0</v>
      </c>
    </row>
    <row r="303" ht="15.0" customHeight="1">
      <c r="A303" s="56" t="s">
        <v>260</v>
      </c>
      <c r="B303" s="56" t="s">
        <v>5543</v>
      </c>
      <c r="C303" s="57" t="s">
        <v>4269</v>
      </c>
      <c r="D303" s="58">
        <v>9.794581015E9</v>
      </c>
      <c r="E303" s="56" t="s">
        <v>2528</v>
      </c>
      <c r="F303" s="56" t="s">
        <v>399</v>
      </c>
      <c r="G303" s="56" t="s">
        <v>1791</v>
      </c>
      <c r="H303" s="62" t="s">
        <v>513</v>
      </c>
      <c r="I303" s="59"/>
      <c r="J303" s="62" t="s">
        <v>4499</v>
      </c>
      <c r="K303" s="59"/>
      <c r="L303" s="59"/>
      <c r="M303" s="56" t="s">
        <v>5544</v>
      </c>
      <c r="N303" s="56" t="s">
        <v>1569</v>
      </c>
      <c r="O303" s="59"/>
      <c r="P303" s="56" t="s">
        <v>4501</v>
      </c>
      <c r="Q303" s="61" t="s">
        <v>373</v>
      </c>
      <c r="R303" s="58" t="s">
        <v>5545</v>
      </c>
      <c r="T303" s="55" t="b">
        <f t="shared" si="1"/>
        <v>1</v>
      </c>
    </row>
    <row r="304" ht="15.0" customHeight="1">
      <c r="A304" s="56" t="s">
        <v>4271</v>
      </c>
      <c r="B304" s="56" t="s">
        <v>4272</v>
      </c>
      <c r="C304" s="57" t="s">
        <v>4273</v>
      </c>
      <c r="D304" s="58">
        <v>9.794360609E9</v>
      </c>
      <c r="E304" s="56" t="s">
        <v>5546</v>
      </c>
      <c r="F304" s="56" t="s">
        <v>399</v>
      </c>
      <c r="G304" s="56" t="s">
        <v>412</v>
      </c>
      <c r="H304" s="62" t="s">
        <v>513</v>
      </c>
      <c r="I304" s="59"/>
      <c r="J304" s="62" t="s">
        <v>4499</v>
      </c>
      <c r="K304" s="59"/>
      <c r="L304" s="59"/>
      <c r="M304" s="56" t="s">
        <v>4272</v>
      </c>
      <c r="N304" s="56" t="s">
        <v>596</v>
      </c>
      <c r="O304" s="59"/>
      <c r="P304" s="56" t="s">
        <v>4501</v>
      </c>
      <c r="Q304" s="61" t="s">
        <v>373</v>
      </c>
      <c r="R304" s="58" t="s">
        <v>5547</v>
      </c>
      <c r="T304" s="55" t="b">
        <f t="shared" si="1"/>
        <v>1</v>
      </c>
    </row>
    <row r="305" ht="15.0" customHeight="1">
      <c r="A305" s="56" t="s">
        <v>5548</v>
      </c>
      <c r="B305" s="56" t="s">
        <v>5549</v>
      </c>
      <c r="C305" s="57" t="s">
        <v>5550</v>
      </c>
      <c r="D305" s="58">
        <v>2.147132251E9</v>
      </c>
      <c r="E305" s="56" t="s">
        <v>2387</v>
      </c>
      <c r="F305" s="56" t="s">
        <v>399</v>
      </c>
      <c r="G305" s="56" t="s">
        <v>380</v>
      </c>
      <c r="H305" s="62" t="s">
        <v>413</v>
      </c>
      <c r="I305" s="59"/>
      <c r="J305" s="56" t="s">
        <v>4506</v>
      </c>
      <c r="K305" s="58">
        <v>1.0</v>
      </c>
      <c r="L305" s="59"/>
      <c r="M305" s="56" t="s">
        <v>5551</v>
      </c>
      <c r="N305" s="56" t="s">
        <v>3699</v>
      </c>
      <c r="O305" s="59"/>
      <c r="P305" s="56" t="s">
        <v>4508</v>
      </c>
      <c r="Q305" s="61" t="s">
        <v>394</v>
      </c>
      <c r="R305" s="58" t="s">
        <v>5552</v>
      </c>
      <c r="T305" s="55" t="b">
        <f t="shared" si="1"/>
        <v>0</v>
      </c>
    </row>
    <row r="306" ht="15.0" customHeight="1">
      <c r="A306" s="56" t="s">
        <v>5553</v>
      </c>
      <c r="B306" s="56" t="s">
        <v>5554</v>
      </c>
      <c r="C306" s="57" t="s">
        <v>5555</v>
      </c>
      <c r="D306" s="58">
        <v>5.124633848E9</v>
      </c>
      <c r="E306" s="56" t="s">
        <v>5556</v>
      </c>
      <c r="F306" s="56" t="s">
        <v>399</v>
      </c>
      <c r="G306" s="56" t="s">
        <v>365</v>
      </c>
      <c r="H306" s="62" t="s">
        <v>366</v>
      </c>
      <c r="I306" s="59"/>
      <c r="J306" s="62" t="s">
        <v>381</v>
      </c>
      <c r="K306" s="59"/>
      <c r="L306" s="59"/>
      <c r="M306" s="56" t="s">
        <v>5557</v>
      </c>
      <c r="N306" s="56" t="s">
        <v>384</v>
      </c>
      <c r="O306" s="59"/>
      <c r="P306" s="56" t="s">
        <v>4496</v>
      </c>
      <c r="Q306" s="61" t="s">
        <v>373</v>
      </c>
      <c r="R306" s="58" t="s">
        <v>5558</v>
      </c>
      <c r="T306" s="55" t="b">
        <f t="shared" si="1"/>
        <v>0</v>
      </c>
    </row>
    <row r="307" ht="15.0" customHeight="1">
      <c r="A307" s="56" t="s">
        <v>261</v>
      </c>
      <c r="B307" s="56" t="s">
        <v>2059</v>
      </c>
      <c r="C307" s="57" t="s">
        <v>2060</v>
      </c>
      <c r="D307" s="56" t="s">
        <v>5559</v>
      </c>
      <c r="E307" s="56" t="s">
        <v>5560</v>
      </c>
      <c r="F307" s="56" t="s">
        <v>399</v>
      </c>
      <c r="G307" s="56" t="s">
        <v>365</v>
      </c>
      <c r="H307" s="62" t="s">
        <v>413</v>
      </c>
      <c r="I307" s="59"/>
      <c r="J307" s="62" t="s">
        <v>4691</v>
      </c>
      <c r="K307" s="59"/>
      <c r="L307" s="59"/>
      <c r="M307" s="56" t="s">
        <v>5561</v>
      </c>
      <c r="N307" s="56" t="s">
        <v>5562</v>
      </c>
      <c r="O307" s="59"/>
      <c r="P307" s="56" t="s">
        <v>4501</v>
      </c>
      <c r="Q307" s="61" t="s">
        <v>373</v>
      </c>
      <c r="R307" s="56" t="s">
        <v>4559</v>
      </c>
      <c r="T307" s="55" t="b">
        <f t="shared" si="1"/>
        <v>0</v>
      </c>
    </row>
    <row r="308" ht="15.0" customHeight="1">
      <c r="A308" s="56" t="s">
        <v>262</v>
      </c>
      <c r="B308" s="56" t="s">
        <v>2064</v>
      </c>
      <c r="C308" s="57" t="s">
        <v>2065</v>
      </c>
      <c r="D308" s="56" t="s">
        <v>919</v>
      </c>
      <c r="E308" s="56" t="s">
        <v>5563</v>
      </c>
      <c r="F308" s="56" t="s">
        <v>364</v>
      </c>
      <c r="G308" s="56" t="s">
        <v>365</v>
      </c>
      <c r="H308" s="62" t="s">
        <v>413</v>
      </c>
      <c r="I308" s="59"/>
      <c r="J308" s="56" t="s">
        <v>4691</v>
      </c>
      <c r="K308" s="58">
        <v>0.0</v>
      </c>
      <c r="L308" s="58">
        <v>2.0</v>
      </c>
      <c r="M308" s="56" t="s">
        <v>5564</v>
      </c>
      <c r="N308" s="56" t="s">
        <v>1651</v>
      </c>
      <c r="O308" s="59"/>
      <c r="P308" s="56" t="s">
        <v>4501</v>
      </c>
      <c r="Q308" s="61" t="s">
        <v>373</v>
      </c>
      <c r="R308" s="56" t="s">
        <v>4559</v>
      </c>
      <c r="T308" s="55" t="b">
        <f t="shared" si="1"/>
        <v>0</v>
      </c>
    </row>
    <row r="309" ht="15.0" customHeight="1">
      <c r="A309" s="56" t="s">
        <v>263</v>
      </c>
      <c r="B309" s="56" t="s">
        <v>5565</v>
      </c>
      <c r="C309" s="57" t="s">
        <v>5566</v>
      </c>
      <c r="D309" s="58">
        <v>2.106070565E9</v>
      </c>
      <c r="E309" s="56" t="s">
        <v>5567</v>
      </c>
      <c r="F309" s="56" t="s">
        <v>379</v>
      </c>
      <c r="G309" s="56" t="s">
        <v>380</v>
      </c>
      <c r="H309" s="62" t="s">
        <v>413</v>
      </c>
      <c r="I309" s="59"/>
      <c r="J309" s="62" t="s">
        <v>4506</v>
      </c>
      <c r="K309" s="59"/>
      <c r="L309" s="59"/>
      <c r="M309" s="56" t="s">
        <v>5568</v>
      </c>
      <c r="N309" s="56" t="s">
        <v>5569</v>
      </c>
      <c r="O309" s="59"/>
      <c r="P309" s="56" t="s">
        <v>4508</v>
      </c>
      <c r="Q309" s="61" t="s">
        <v>2362</v>
      </c>
      <c r="R309" s="56" t="s">
        <v>4559</v>
      </c>
      <c r="T309" s="55" t="b">
        <f t="shared" si="1"/>
        <v>0</v>
      </c>
    </row>
    <row r="310" ht="15.0" customHeight="1">
      <c r="A310" s="56" t="s">
        <v>5570</v>
      </c>
      <c r="B310" s="56" t="s">
        <v>5571</v>
      </c>
      <c r="C310" s="57" t="s">
        <v>5572</v>
      </c>
      <c r="D310" s="56" t="s">
        <v>5573</v>
      </c>
      <c r="E310" s="56" t="s">
        <v>4987</v>
      </c>
      <c r="F310" s="56" t="s">
        <v>379</v>
      </c>
      <c r="G310" s="56" t="s">
        <v>380</v>
      </c>
      <c r="H310" s="62" t="s">
        <v>366</v>
      </c>
      <c r="I310" s="59"/>
      <c r="J310" s="56" t="s">
        <v>4506</v>
      </c>
      <c r="K310" s="58">
        <v>1.0</v>
      </c>
      <c r="L310" s="59"/>
      <c r="M310" s="59"/>
      <c r="N310" s="56" t="s">
        <v>1335</v>
      </c>
      <c r="O310" s="59"/>
      <c r="P310" s="56" t="s">
        <v>4508</v>
      </c>
      <c r="Q310" s="61" t="s">
        <v>394</v>
      </c>
      <c r="R310" s="58" t="s">
        <v>5574</v>
      </c>
      <c r="T310" s="55" t="b">
        <f t="shared" si="1"/>
        <v>0</v>
      </c>
    </row>
    <row r="311" ht="15.0" customHeight="1">
      <c r="A311" s="56" t="s">
        <v>265</v>
      </c>
      <c r="B311" s="56" t="s">
        <v>5575</v>
      </c>
      <c r="C311" s="57" t="s">
        <v>5576</v>
      </c>
      <c r="D311" s="58">
        <v>2.102325746E9</v>
      </c>
      <c r="E311" s="56" t="s">
        <v>2851</v>
      </c>
      <c r="F311" s="56" t="s">
        <v>364</v>
      </c>
      <c r="G311" s="56" t="s">
        <v>365</v>
      </c>
      <c r="H311" s="62" t="s">
        <v>413</v>
      </c>
      <c r="I311" s="59"/>
      <c r="J311" s="56" t="s">
        <v>4499</v>
      </c>
      <c r="K311" s="58">
        <v>0.0</v>
      </c>
      <c r="L311" s="58">
        <v>1.0</v>
      </c>
      <c r="M311" s="59"/>
      <c r="N311" s="56" t="s">
        <v>3445</v>
      </c>
      <c r="O311" s="59"/>
      <c r="P311" s="56" t="s">
        <v>4501</v>
      </c>
      <c r="Q311" s="61" t="s">
        <v>373</v>
      </c>
      <c r="R311" s="58" t="s">
        <v>5577</v>
      </c>
      <c r="T311" s="55" t="b">
        <f t="shared" si="1"/>
        <v>0</v>
      </c>
    </row>
    <row r="312" ht="15.0" customHeight="1">
      <c r="A312" s="56" t="s">
        <v>266</v>
      </c>
      <c r="B312" s="56" t="s">
        <v>5578</v>
      </c>
      <c r="C312" s="57" t="s">
        <v>5579</v>
      </c>
      <c r="D312" s="56" t="s">
        <v>5580</v>
      </c>
      <c r="E312" s="56" t="s">
        <v>2938</v>
      </c>
      <c r="F312" s="56" t="s">
        <v>364</v>
      </c>
      <c r="G312" s="56" t="s">
        <v>412</v>
      </c>
      <c r="H312" s="62" t="s">
        <v>413</v>
      </c>
      <c r="I312" s="59"/>
      <c r="J312" s="62" t="s">
        <v>4499</v>
      </c>
      <c r="K312" s="59"/>
      <c r="L312" s="59"/>
      <c r="M312" s="56" t="s">
        <v>5578</v>
      </c>
      <c r="N312" s="56" t="s">
        <v>2965</v>
      </c>
      <c r="O312" s="59"/>
      <c r="P312" s="56" t="s">
        <v>4501</v>
      </c>
      <c r="Q312" s="61" t="s">
        <v>394</v>
      </c>
      <c r="R312" s="58" t="s">
        <v>5581</v>
      </c>
      <c r="T312" s="55" t="b">
        <f t="shared" si="1"/>
        <v>0</v>
      </c>
    </row>
    <row r="313" ht="15.0" customHeight="1">
      <c r="A313" s="56" t="s">
        <v>267</v>
      </c>
      <c r="B313" s="56" t="s">
        <v>267</v>
      </c>
      <c r="C313" s="57" t="s">
        <v>4314</v>
      </c>
      <c r="D313" s="56" t="s">
        <v>5582</v>
      </c>
      <c r="E313" s="56" t="s">
        <v>2286</v>
      </c>
      <c r="F313" s="56" t="s">
        <v>364</v>
      </c>
      <c r="G313" s="56" t="s">
        <v>830</v>
      </c>
      <c r="H313" s="62" t="s">
        <v>413</v>
      </c>
      <c r="I313" s="59"/>
      <c r="J313" s="62" t="s">
        <v>4499</v>
      </c>
      <c r="K313" s="59"/>
      <c r="L313" s="59"/>
      <c r="M313" s="56" t="s">
        <v>5583</v>
      </c>
      <c r="N313" s="56" t="s">
        <v>1689</v>
      </c>
      <c r="O313" s="59"/>
      <c r="P313" s="56" t="s">
        <v>4508</v>
      </c>
      <c r="Q313" s="61" t="s">
        <v>373</v>
      </c>
      <c r="R313" s="58" t="s">
        <v>5584</v>
      </c>
      <c r="T313" s="55" t="b">
        <f t="shared" si="1"/>
        <v>0</v>
      </c>
    </row>
    <row r="314" ht="15.0" customHeight="1">
      <c r="A314" s="56" t="s">
        <v>268</v>
      </c>
      <c r="B314" s="56" t="s">
        <v>5585</v>
      </c>
      <c r="C314" s="57" t="s">
        <v>5586</v>
      </c>
      <c r="D314" s="58">
        <v>7.134660277E9</v>
      </c>
      <c r="E314" s="56" t="s">
        <v>3154</v>
      </c>
      <c r="F314" s="56" t="s">
        <v>364</v>
      </c>
      <c r="G314" s="56" t="s">
        <v>380</v>
      </c>
      <c r="H314" s="62" t="s">
        <v>366</v>
      </c>
      <c r="I314" s="59"/>
      <c r="J314" s="56" t="s">
        <v>4499</v>
      </c>
      <c r="K314" s="58">
        <v>0.0</v>
      </c>
      <c r="L314" s="58">
        <v>2.0</v>
      </c>
      <c r="M314" s="56" t="s">
        <v>2098</v>
      </c>
      <c r="N314" s="56" t="s">
        <v>583</v>
      </c>
      <c r="O314" s="59"/>
      <c r="P314" s="56" t="s">
        <v>4501</v>
      </c>
      <c r="Q314" s="61" t="s">
        <v>373</v>
      </c>
      <c r="R314" s="56" t="s">
        <v>4559</v>
      </c>
      <c r="T314" s="55" t="b">
        <f t="shared" si="1"/>
        <v>0</v>
      </c>
    </row>
    <row r="315" ht="15.0" customHeight="1">
      <c r="A315" s="56" t="s">
        <v>269</v>
      </c>
      <c r="B315" s="56" t="s">
        <v>2110</v>
      </c>
      <c r="C315" s="57" t="s">
        <v>2111</v>
      </c>
      <c r="D315" s="58">
        <v>8.173710502E9</v>
      </c>
      <c r="E315" s="56" t="s">
        <v>5587</v>
      </c>
      <c r="F315" s="56" t="s">
        <v>364</v>
      </c>
      <c r="G315" s="56" t="s">
        <v>710</v>
      </c>
      <c r="H315" s="62" t="s">
        <v>366</v>
      </c>
      <c r="I315" s="59"/>
      <c r="J315" s="56" t="s">
        <v>4499</v>
      </c>
      <c r="K315" s="58">
        <v>0.0</v>
      </c>
      <c r="L315" s="58">
        <v>1.0</v>
      </c>
      <c r="M315" s="56" t="s">
        <v>5588</v>
      </c>
      <c r="N315" s="56" t="s">
        <v>4084</v>
      </c>
      <c r="O315" s="59"/>
      <c r="P315" s="56" t="s">
        <v>4501</v>
      </c>
      <c r="Q315" s="61" t="s">
        <v>373</v>
      </c>
      <c r="R315" s="56" t="s">
        <v>4559</v>
      </c>
      <c r="T315" s="55" t="b">
        <f t="shared" si="1"/>
        <v>0</v>
      </c>
    </row>
    <row r="316" ht="15.0" customHeight="1">
      <c r="A316" s="56" t="s">
        <v>322</v>
      </c>
      <c r="B316" s="56" t="s">
        <v>5589</v>
      </c>
      <c r="C316" s="57" t="s">
        <v>5590</v>
      </c>
      <c r="D316" s="58">
        <v>9.177943697E9</v>
      </c>
      <c r="E316" s="56" t="s">
        <v>3199</v>
      </c>
      <c r="F316" s="56" t="s">
        <v>379</v>
      </c>
      <c r="G316" s="56" t="s">
        <v>365</v>
      </c>
      <c r="H316" s="62" t="s">
        <v>366</v>
      </c>
      <c r="I316" s="59"/>
      <c r="J316" s="62" t="s">
        <v>4499</v>
      </c>
      <c r="K316" s="59"/>
      <c r="L316" s="59"/>
      <c r="M316" s="59"/>
      <c r="N316" s="56" t="s">
        <v>1194</v>
      </c>
      <c r="O316" s="59"/>
      <c r="P316" s="56" t="s">
        <v>4501</v>
      </c>
      <c r="Q316" s="61" t="s">
        <v>373</v>
      </c>
      <c r="R316" s="58" t="s">
        <v>5591</v>
      </c>
      <c r="T316" s="55" t="b">
        <f t="shared" si="1"/>
        <v>0</v>
      </c>
    </row>
    <row r="317" ht="15.0" customHeight="1">
      <c r="A317" s="56" t="s">
        <v>2115</v>
      </c>
      <c r="B317" s="56" t="s">
        <v>5592</v>
      </c>
      <c r="C317" s="57" t="s">
        <v>5593</v>
      </c>
      <c r="D317" s="58">
        <v>2.1050318E9</v>
      </c>
      <c r="E317" s="56" t="s">
        <v>2291</v>
      </c>
      <c r="F317" s="56" t="s">
        <v>379</v>
      </c>
      <c r="G317" s="56" t="s">
        <v>405</v>
      </c>
      <c r="H317" s="62" t="s">
        <v>413</v>
      </c>
      <c r="I317" s="59"/>
      <c r="J317" s="62" t="s">
        <v>4499</v>
      </c>
      <c r="K317" s="59"/>
      <c r="L317" s="59"/>
      <c r="M317" s="59"/>
      <c r="N317" s="56" t="s">
        <v>4254</v>
      </c>
      <c r="O317" s="59"/>
      <c r="P317" s="56" t="s">
        <v>4501</v>
      </c>
      <c r="Q317" s="61" t="s">
        <v>394</v>
      </c>
      <c r="R317" s="58" t="s">
        <v>5594</v>
      </c>
      <c r="T317" s="55" t="b">
        <f t="shared" si="1"/>
        <v>0</v>
      </c>
    </row>
    <row r="318" ht="15.0" customHeight="1">
      <c r="A318" s="56" t="s">
        <v>5595</v>
      </c>
      <c r="B318" s="56" t="s">
        <v>5596</v>
      </c>
      <c r="C318" s="57" t="s">
        <v>5597</v>
      </c>
      <c r="D318" s="58">
        <v>9.038749559E9</v>
      </c>
      <c r="E318" s="56" t="s">
        <v>2528</v>
      </c>
      <c r="F318" s="56" t="s">
        <v>364</v>
      </c>
      <c r="G318" s="56" t="s">
        <v>365</v>
      </c>
      <c r="H318" s="62" t="s">
        <v>366</v>
      </c>
      <c r="I318" s="59"/>
      <c r="J318" s="56" t="s">
        <v>381</v>
      </c>
      <c r="K318" s="58">
        <v>1.0</v>
      </c>
      <c r="L318" s="59"/>
      <c r="M318" s="56" t="s">
        <v>5598</v>
      </c>
      <c r="N318" s="56" t="s">
        <v>1642</v>
      </c>
      <c r="O318" s="59"/>
      <c r="P318" s="56" t="s">
        <v>4496</v>
      </c>
      <c r="Q318" s="61" t="s">
        <v>394</v>
      </c>
      <c r="R318" s="58" t="s">
        <v>5599</v>
      </c>
      <c r="T318" s="55" t="b">
        <f t="shared" si="1"/>
        <v>0</v>
      </c>
    </row>
    <row r="319" ht="15.0" customHeight="1">
      <c r="A319" s="56" t="s">
        <v>2123</v>
      </c>
      <c r="B319" s="56" t="s">
        <v>4346</v>
      </c>
      <c r="C319" s="57" t="s">
        <v>4347</v>
      </c>
      <c r="D319" s="56" t="s">
        <v>5600</v>
      </c>
      <c r="E319" s="56" t="s">
        <v>3968</v>
      </c>
      <c r="F319" s="56" t="s">
        <v>364</v>
      </c>
      <c r="G319" s="56" t="s">
        <v>365</v>
      </c>
      <c r="H319" s="62" t="s">
        <v>413</v>
      </c>
      <c r="I319" s="59"/>
      <c r="J319" s="62" t="s">
        <v>4499</v>
      </c>
      <c r="K319" s="59"/>
      <c r="L319" s="59"/>
      <c r="M319" s="56" t="s">
        <v>5601</v>
      </c>
      <c r="N319" s="56" t="s">
        <v>606</v>
      </c>
      <c r="O319" s="59"/>
      <c r="P319" s="56" t="s">
        <v>4501</v>
      </c>
      <c r="Q319" s="61" t="s">
        <v>373</v>
      </c>
      <c r="R319" s="56" t="s">
        <v>4559</v>
      </c>
      <c r="T319" s="55" t="b">
        <f t="shared" si="1"/>
        <v>0</v>
      </c>
    </row>
    <row r="320" ht="15.0" customHeight="1">
      <c r="A320" s="56" t="s">
        <v>5602</v>
      </c>
      <c r="B320" s="56" t="s">
        <v>5603</v>
      </c>
      <c r="C320" s="57" t="s">
        <v>5604</v>
      </c>
      <c r="D320" s="58">
        <v>8.064331494E9</v>
      </c>
      <c r="E320" s="56" t="s">
        <v>5605</v>
      </c>
      <c r="F320" s="56" t="s">
        <v>379</v>
      </c>
      <c r="G320" s="56" t="s">
        <v>365</v>
      </c>
      <c r="H320" s="62" t="s">
        <v>366</v>
      </c>
      <c r="I320" s="59"/>
      <c r="J320" s="62" t="s">
        <v>4499</v>
      </c>
      <c r="K320" s="59"/>
      <c r="L320" s="59"/>
      <c r="M320" s="56" t="s">
        <v>5606</v>
      </c>
      <c r="N320" s="56" t="s">
        <v>5607</v>
      </c>
      <c r="O320" s="59"/>
      <c r="P320" s="56" t="s">
        <v>4501</v>
      </c>
      <c r="Q320" s="61" t="s">
        <v>373</v>
      </c>
      <c r="R320" s="58" t="s">
        <v>5608</v>
      </c>
      <c r="T320" s="55" t="b">
        <f t="shared" si="1"/>
        <v>0</v>
      </c>
    </row>
    <row r="321" ht="15.0" customHeight="1">
      <c r="A321" s="56" t="s">
        <v>4354</v>
      </c>
      <c r="B321" s="56" t="s">
        <v>5609</v>
      </c>
      <c r="C321" s="57" t="s">
        <v>5610</v>
      </c>
      <c r="D321" s="56" t="s">
        <v>5611</v>
      </c>
      <c r="E321" s="56" t="s">
        <v>5612</v>
      </c>
      <c r="F321" s="56" t="s">
        <v>399</v>
      </c>
      <c r="G321" s="56" t="s">
        <v>365</v>
      </c>
      <c r="H321" s="62" t="s">
        <v>513</v>
      </c>
      <c r="I321" s="59"/>
      <c r="J321" s="62" t="s">
        <v>4573</v>
      </c>
      <c r="K321" s="59"/>
      <c r="L321" s="59"/>
      <c r="M321" s="59"/>
      <c r="N321" s="56" t="s">
        <v>995</v>
      </c>
      <c r="O321" s="59"/>
      <c r="P321" s="56" t="s">
        <v>4501</v>
      </c>
      <c r="Q321" s="61" t="s">
        <v>373</v>
      </c>
      <c r="R321" s="58" t="s">
        <v>5613</v>
      </c>
      <c r="T321" s="55" t="b">
        <f t="shared" si="1"/>
        <v>1</v>
      </c>
    </row>
    <row r="322" ht="15.0" customHeight="1">
      <c r="A322" s="56" t="s">
        <v>272</v>
      </c>
      <c r="B322" s="56" t="s">
        <v>2143</v>
      </c>
      <c r="C322" s="57" t="s">
        <v>2144</v>
      </c>
      <c r="D322" s="56" t="s">
        <v>5614</v>
      </c>
      <c r="E322" s="56" t="s">
        <v>5615</v>
      </c>
      <c r="F322" s="56" t="s">
        <v>364</v>
      </c>
      <c r="G322" s="56" t="s">
        <v>365</v>
      </c>
      <c r="H322" s="62" t="s">
        <v>366</v>
      </c>
      <c r="I322" s="59"/>
      <c r="J322" s="62" t="s">
        <v>4499</v>
      </c>
      <c r="K322" s="59"/>
      <c r="L322" s="59"/>
      <c r="M322" s="56" t="s">
        <v>5616</v>
      </c>
      <c r="N322" s="56" t="s">
        <v>5617</v>
      </c>
      <c r="O322" s="59"/>
      <c r="P322" s="56" t="s">
        <v>4501</v>
      </c>
      <c r="Q322" s="61" t="s">
        <v>373</v>
      </c>
      <c r="R322" s="56" t="s">
        <v>4559</v>
      </c>
      <c r="T322" s="55" t="b">
        <f t="shared" si="1"/>
        <v>0</v>
      </c>
    </row>
    <row r="323" ht="15.0" customHeight="1">
      <c r="A323" s="56" t="s">
        <v>5618</v>
      </c>
      <c r="B323" s="56" t="s">
        <v>5619</v>
      </c>
      <c r="C323" s="57" t="s">
        <v>5620</v>
      </c>
      <c r="D323" s="58">
        <v>3.126109708E9</v>
      </c>
      <c r="E323" s="56" t="s">
        <v>2291</v>
      </c>
      <c r="F323" s="56" t="s">
        <v>379</v>
      </c>
      <c r="G323" s="56" t="s">
        <v>365</v>
      </c>
      <c r="H323" s="62" t="s">
        <v>366</v>
      </c>
      <c r="I323" s="59"/>
      <c r="J323" s="62" t="s">
        <v>4499</v>
      </c>
      <c r="K323" s="59"/>
      <c r="L323" s="59"/>
      <c r="M323" s="56" t="s">
        <v>5619</v>
      </c>
      <c r="N323" s="56" t="s">
        <v>5621</v>
      </c>
      <c r="O323" s="59"/>
      <c r="P323" s="56" t="s">
        <v>4501</v>
      </c>
      <c r="Q323" s="61" t="s">
        <v>394</v>
      </c>
      <c r="R323" s="58" t="s">
        <v>5622</v>
      </c>
      <c r="T323" s="55" t="b">
        <f t="shared" si="1"/>
        <v>0</v>
      </c>
    </row>
    <row r="324" ht="15.0" customHeight="1">
      <c r="A324" s="56" t="s">
        <v>5623</v>
      </c>
      <c r="B324" s="56" t="s">
        <v>5624</v>
      </c>
      <c r="C324" s="57" t="s">
        <v>5625</v>
      </c>
      <c r="D324" s="56" t="s">
        <v>5626</v>
      </c>
      <c r="E324" s="56" t="s">
        <v>3199</v>
      </c>
      <c r="F324" s="56" t="s">
        <v>399</v>
      </c>
      <c r="G324" s="56" t="s">
        <v>365</v>
      </c>
      <c r="H324" s="62" t="s">
        <v>413</v>
      </c>
      <c r="I324" s="59"/>
      <c r="J324" s="62" t="s">
        <v>4506</v>
      </c>
      <c r="K324" s="59"/>
      <c r="L324" s="59"/>
      <c r="M324" s="59"/>
      <c r="N324" s="56" t="s">
        <v>3941</v>
      </c>
      <c r="O324" s="59"/>
      <c r="P324" s="56" t="s">
        <v>4508</v>
      </c>
      <c r="Q324" s="61" t="s">
        <v>394</v>
      </c>
      <c r="R324" s="58" t="s">
        <v>5627</v>
      </c>
      <c r="T324" s="55" t="b">
        <f t="shared" si="1"/>
        <v>0</v>
      </c>
    </row>
    <row r="325" ht="15.0" customHeight="1">
      <c r="A325" s="56" t="s">
        <v>273</v>
      </c>
      <c r="B325" s="56" t="s">
        <v>5628</v>
      </c>
      <c r="C325" s="57" t="s">
        <v>5629</v>
      </c>
      <c r="D325" s="56" t="s">
        <v>5630</v>
      </c>
      <c r="E325" s="56" t="s">
        <v>3333</v>
      </c>
      <c r="F325" s="56" t="s">
        <v>399</v>
      </c>
      <c r="G325" s="56" t="s">
        <v>365</v>
      </c>
      <c r="H325" s="62" t="s">
        <v>413</v>
      </c>
      <c r="I325" s="59"/>
      <c r="J325" s="62" t="s">
        <v>381</v>
      </c>
      <c r="K325" s="59"/>
      <c r="L325" s="59"/>
      <c r="M325" s="59"/>
      <c r="N325" s="56" t="s">
        <v>1178</v>
      </c>
      <c r="O325" s="59"/>
      <c r="P325" s="56" t="s">
        <v>4496</v>
      </c>
      <c r="Q325" s="61" t="s">
        <v>394</v>
      </c>
      <c r="R325" s="58" t="s">
        <v>5631</v>
      </c>
      <c r="T325" s="55" t="b">
        <f t="shared" si="1"/>
        <v>0</v>
      </c>
    </row>
    <row r="326" ht="15.0" customHeight="1">
      <c r="A326" s="56" t="s">
        <v>323</v>
      </c>
      <c r="B326" s="56" t="s">
        <v>4368</v>
      </c>
      <c r="C326" s="57" t="s">
        <v>4369</v>
      </c>
      <c r="D326" s="56" t="s">
        <v>5632</v>
      </c>
      <c r="E326" s="56" t="s">
        <v>3323</v>
      </c>
      <c r="F326" s="56" t="s">
        <v>379</v>
      </c>
      <c r="G326" s="56" t="s">
        <v>365</v>
      </c>
      <c r="H326" s="62" t="s">
        <v>413</v>
      </c>
      <c r="I326" s="59"/>
      <c r="J326" s="62" t="s">
        <v>4499</v>
      </c>
      <c r="K326" s="59"/>
      <c r="L326" s="59"/>
      <c r="M326" s="56" t="s">
        <v>5633</v>
      </c>
      <c r="N326" s="56" t="s">
        <v>5634</v>
      </c>
      <c r="O326" s="59"/>
      <c r="P326" s="56" t="s">
        <v>4501</v>
      </c>
      <c r="Q326" s="61" t="s">
        <v>373</v>
      </c>
      <c r="R326" s="56" t="s">
        <v>4559</v>
      </c>
      <c r="T326" s="55" t="b">
        <f t="shared" si="1"/>
        <v>0</v>
      </c>
    </row>
    <row r="327" ht="15.0" customHeight="1">
      <c r="A327" s="56" t="s">
        <v>5635</v>
      </c>
      <c r="B327" s="56" t="s">
        <v>5636</v>
      </c>
      <c r="C327" s="57" t="s">
        <v>5637</v>
      </c>
      <c r="D327" s="56" t="s">
        <v>5638</v>
      </c>
      <c r="E327" s="56" t="s">
        <v>2975</v>
      </c>
      <c r="F327" s="56" t="s">
        <v>364</v>
      </c>
      <c r="G327" s="56" t="s">
        <v>405</v>
      </c>
      <c r="H327" s="62" t="s">
        <v>413</v>
      </c>
      <c r="I327" s="59"/>
      <c r="J327" s="56" t="s">
        <v>4499</v>
      </c>
      <c r="K327" s="58">
        <v>0.0</v>
      </c>
      <c r="L327" s="58">
        <v>0.0</v>
      </c>
      <c r="M327" s="59"/>
      <c r="N327" s="56" t="s">
        <v>880</v>
      </c>
      <c r="O327" s="59"/>
      <c r="P327" s="56" t="s">
        <v>4501</v>
      </c>
      <c r="Q327" s="61" t="s">
        <v>373</v>
      </c>
      <c r="R327" s="58" t="s">
        <v>5639</v>
      </c>
      <c r="T327" s="55" t="b">
        <f t="shared" si="1"/>
        <v>0</v>
      </c>
    </row>
    <row r="328" ht="15.0" customHeight="1">
      <c r="A328" s="56" t="s">
        <v>324</v>
      </c>
      <c r="B328" s="56" t="s">
        <v>4385</v>
      </c>
      <c r="C328" s="57" t="s">
        <v>4386</v>
      </c>
      <c r="D328" s="58">
        <v>2.103456053E9</v>
      </c>
      <c r="E328" s="56" t="s">
        <v>411</v>
      </c>
      <c r="F328" s="56" t="s">
        <v>379</v>
      </c>
      <c r="G328" s="56" t="s">
        <v>405</v>
      </c>
      <c r="H328" s="62" t="s">
        <v>413</v>
      </c>
      <c r="I328" s="59"/>
      <c r="J328" s="56" t="s">
        <v>4506</v>
      </c>
      <c r="K328" s="58">
        <v>2.0</v>
      </c>
      <c r="L328" s="59"/>
      <c r="M328" s="59"/>
      <c r="N328" s="56" t="s">
        <v>5640</v>
      </c>
      <c r="O328" s="59"/>
      <c r="P328" s="56" t="s">
        <v>4508</v>
      </c>
      <c r="Q328" s="61" t="s">
        <v>394</v>
      </c>
      <c r="R328" s="58" t="s">
        <v>5641</v>
      </c>
      <c r="T328" s="55" t="b">
        <f t="shared" si="1"/>
        <v>0</v>
      </c>
    </row>
    <row r="329" ht="15.0" customHeight="1">
      <c r="A329" s="56" t="s">
        <v>5642</v>
      </c>
      <c r="B329" s="56" t="s">
        <v>5643</v>
      </c>
      <c r="C329" s="57" t="s">
        <v>5644</v>
      </c>
      <c r="D329" s="56" t="s">
        <v>5645</v>
      </c>
      <c r="E329" s="56" t="s">
        <v>2975</v>
      </c>
      <c r="F329" s="56" t="s">
        <v>364</v>
      </c>
      <c r="G329" s="56" t="s">
        <v>365</v>
      </c>
      <c r="H329" s="62" t="s">
        <v>366</v>
      </c>
      <c r="I329" s="59"/>
      <c r="J329" s="62" t="s">
        <v>381</v>
      </c>
      <c r="K329" s="59"/>
      <c r="L329" s="59"/>
      <c r="M329" s="56" t="s">
        <v>5643</v>
      </c>
      <c r="N329" s="59"/>
      <c r="O329" s="59"/>
      <c r="P329" s="56" t="s">
        <v>4496</v>
      </c>
      <c r="Q329" s="61" t="s">
        <v>394</v>
      </c>
      <c r="R329" s="58" t="s">
        <v>5646</v>
      </c>
      <c r="T329" s="55" t="b">
        <f t="shared" si="1"/>
        <v>0</v>
      </c>
    </row>
    <row r="330" ht="15.0" customHeight="1">
      <c r="A330" s="56" t="s">
        <v>276</v>
      </c>
      <c r="B330" s="56" t="s">
        <v>2177</v>
      </c>
      <c r="C330" s="57" t="s">
        <v>2178</v>
      </c>
      <c r="D330" s="56" t="s">
        <v>5647</v>
      </c>
      <c r="E330" s="56" t="s">
        <v>2463</v>
      </c>
      <c r="F330" s="56" t="s">
        <v>379</v>
      </c>
      <c r="G330" s="56" t="s">
        <v>412</v>
      </c>
      <c r="H330" s="62" t="s">
        <v>869</v>
      </c>
      <c r="I330" s="59"/>
      <c r="J330" s="62" t="s">
        <v>381</v>
      </c>
      <c r="K330" s="59"/>
      <c r="L330" s="59"/>
      <c r="M330" s="56" t="s">
        <v>2177</v>
      </c>
      <c r="N330" s="56" t="s">
        <v>3480</v>
      </c>
      <c r="O330" s="59"/>
      <c r="P330" s="56" t="s">
        <v>4496</v>
      </c>
      <c r="Q330" s="61" t="s">
        <v>394</v>
      </c>
      <c r="R330" s="58" t="s">
        <v>5648</v>
      </c>
      <c r="T330" s="55" t="b">
        <f t="shared" si="1"/>
        <v>0</v>
      </c>
    </row>
    <row r="331" ht="15.0" customHeight="1">
      <c r="A331" s="56" t="s">
        <v>277</v>
      </c>
      <c r="B331" s="56" t="s">
        <v>4405</v>
      </c>
      <c r="C331" s="57" t="s">
        <v>4406</v>
      </c>
      <c r="D331" s="56" t="s">
        <v>5649</v>
      </c>
      <c r="E331" s="56" t="s">
        <v>5650</v>
      </c>
      <c r="F331" s="56" t="s">
        <v>379</v>
      </c>
      <c r="G331" s="56" t="s">
        <v>365</v>
      </c>
      <c r="H331" s="62" t="s">
        <v>366</v>
      </c>
      <c r="I331" s="59"/>
      <c r="J331" s="62" t="s">
        <v>4506</v>
      </c>
      <c r="K331" s="59"/>
      <c r="L331" s="59"/>
      <c r="M331" s="56" t="s">
        <v>5651</v>
      </c>
      <c r="N331" s="56" t="s">
        <v>3530</v>
      </c>
      <c r="O331" s="59"/>
      <c r="P331" s="56" t="s">
        <v>4508</v>
      </c>
      <c r="Q331" s="61" t="s">
        <v>394</v>
      </c>
      <c r="R331" s="56" t="s">
        <v>4559</v>
      </c>
      <c r="T331" s="55" t="b">
        <f t="shared" si="1"/>
        <v>0</v>
      </c>
    </row>
    <row r="332" ht="15.0" customHeight="1">
      <c r="A332" s="56" t="s">
        <v>325</v>
      </c>
      <c r="B332" s="56" t="s">
        <v>4413</v>
      </c>
      <c r="C332" s="57" t="s">
        <v>4414</v>
      </c>
      <c r="D332" s="58">
        <v>2.816507661E9</v>
      </c>
      <c r="E332" s="56" t="s">
        <v>5652</v>
      </c>
      <c r="F332" s="56" t="s">
        <v>2194</v>
      </c>
      <c r="G332" s="56" t="s">
        <v>412</v>
      </c>
      <c r="H332" s="62" t="s">
        <v>513</v>
      </c>
      <c r="I332" s="59"/>
      <c r="J332" s="56" t="s">
        <v>4506</v>
      </c>
      <c r="K332" s="58">
        <v>1.0</v>
      </c>
      <c r="L332" s="59"/>
      <c r="M332" s="56" t="s">
        <v>2190</v>
      </c>
      <c r="N332" s="56" t="s">
        <v>1064</v>
      </c>
      <c r="O332" s="59"/>
      <c r="P332" s="56" t="s">
        <v>4508</v>
      </c>
      <c r="Q332" s="61" t="s">
        <v>394</v>
      </c>
      <c r="R332" s="58" t="s">
        <v>5653</v>
      </c>
      <c r="T332" s="55" t="b">
        <f t="shared" si="1"/>
        <v>1</v>
      </c>
    </row>
    <row r="333" ht="15.0" customHeight="1">
      <c r="A333" s="56" t="s">
        <v>5654</v>
      </c>
      <c r="B333" s="56" t="s">
        <v>5655</v>
      </c>
      <c r="C333" s="57" t="s">
        <v>5656</v>
      </c>
      <c r="D333" s="58">
        <v>2.548976041E9</v>
      </c>
      <c r="E333" s="56" t="s">
        <v>5657</v>
      </c>
      <c r="F333" s="56" t="s">
        <v>364</v>
      </c>
      <c r="G333" s="56" t="s">
        <v>365</v>
      </c>
      <c r="H333" s="62" t="s">
        <v>366</v>
      </c>
      <c r="I333" s="59"/>
      <c r="J333" s="62" t="s">
        <v>4499</v>
      </c>
      <c r="K333" s="59"/>
      <c r="L333" s="59"/>
      <c r="M333" s="56" t="s">
        <v>5658</v>
      </c>
      <c r="N333" s="56" t="s">
        <v>3392</v>
      </c>
      <c r="O333" s="59"/>
      <c r="P333" s="56" t="s">
        <v>4501</v>
      </c>
      <c r="Q333" s="61" t="s">
        <v>373</v>
      </c>
      <c r="R333" s="58" t="s">
        <v>5659</v>
      </c>
      <c r="T333" s="55" t="b">
        <f t="shared" si="1"/>
        <v>0</v>
      </c>
    </row>
    <row r="334" ht="15.0" customHeight="1">
      <c r="A334" s="56" t="s">
        <v>5660</v>
      </c>
      <c r="B334" s="56" t="s">
        <v>5661</v>
      </c>
      <c r="C334" s="57" t="s">
        <v>5662</v>
      </c>
      <c r="D334" s="58">
        <v>7.137820042E9</v>
      </c>
      <c r="E334" s="56" t="s">
        <v>2286</v>
      </c>
      <c r="F334" s="56" t="s">
        <v>379</v>
      </c>
      <c r="G334" s="56" t="s">
        <v>667</v>
      </c>
      <c r="H334" s="62" t="s">
        <v>366</v>
      </c>
      <c r="I334" s="59"/>
      <c r="J334" s="62" t="s">
        <v>4506</v>
      </c>
      <c r="K334" s="59"/>
      <c r="L334" s="59"/>
      <c r="M334" s="59"/>
      <c r="N334" s="56" t="s">
        <v>1930</v>
      </c>
      <c r="O334" s="59"/>
      <c r="P334" s="56" t="s">
        <v>4508</v>
      </c>
      <c r="Q334" s="61" t="s">
        <v>394</v>
      </c>
      <c r="R334" s="58" t="s">
        <v>5663</v>
      </c>
      <c r="T334" s="55" t="b">
        <f t="shared" si="1"/>
        <v>0</v>
      </c>
    </row>
    <row r="335" ht="15.0" customHeight="1">
      <c r="A335" s="56" t="s">
        <v>278</v>
      </c>
      <c r="B335" s="56" t="s">
        <v>2204</v>
      </c>
      <c r="C335" s="57" t="s">
        <v>2205</v>
      </c>
      <c r="D335" s="58">
        <v>2.547141402E9</v>
      </c>
      <c r="E335" s="56" t="s">
        <v>2286</v>
      </c>
      <c r="F335" s="56" t="s">
        <v>364</v>
      </c>
      <c r="G335" s="56" t="s">
        <v>412</v>
      </c>
      <c r="H335" s="62" t="s">
        <v>413</v>
      </c>
      <c r="I335" s="59"/>
      <c r="J335" s="62" t="s">
        <v>4499</v>
      </c>
      <c r="K335" s="59"/>
      <c r="L335" s="59"/>
      <c r="M335" s="56" t="s">
        <v>5664</v>
      </c>
      <c r="N335" s="56" t="s">
        <v>5665</v>
      </c>
      <c r="O335" s="59"/>
      <c r="P335" s="56" t="s">
        <v>4501</v>
      </c>
      <c r="Q335" s="61" t="s">
        <v>373</v>
      </c>
      <c r="R335" s="58" t="s">
        <v>5666</v>
      </c>
      <c r="T335" s="55" t="b">
        <f t="shared" si="1"/>
        <v>0</v>
      </c>
    </row>
    <row r="336" ht="15.0" customHeight="1">
      <c r="A336" s="56" t="s">
        <v>2208</v>
      </c>
      <c r="B336" s="56" t="s">
        <v>2209</v>
      </c>
      <c r="C336" s="57" t="s">
        <v>2210</v>
      </c>
      <c r="D336" s="56" t="s">
        <v>5667</v>
      </c>
      <c r="E336" s="56" t="s">
        <v>4213</v>
      </c>
      <c r="F336" s="56" t="s">
        <v>399</v>
      </c>
      <c r="G336" s="56" t="s">
        <v>365</v>
      </c>
      <c r="H336" s="62" t="s">
        <v>513</v>
      </c>
      <c r="I336" s="59"/>
      <c r="J336" s="62" t="s">
        <v>4499</v>
      </c>
      <c r="K336" s="59"/>
      <c r="L336" s="59"/>
      <c r="M336" s="56" t="s">
        <v>5668</v>
      </c>
      <c r="N336" s="56" t="s">
        <v>662</v>
      </c>
      <c r="O336" s="59"/>
      <c r="P336" s="56" t="s">
        <v>4501</v>
      </c>
      <c r="Q336" s="61" t="s">
        <v>373</v>
      </c>
      <c r="R336" s="56" t="s">
        <v>4559</v>
      </c>
      <c r="T336" s="55" t="b">
        <f t="shared" si="1"/>
        <v>1</v>
      </c>
    </row>
    <row r="337" ht="15.0" customHeight="1">
      <c r="A337" s="56" t="s">
        <v>279</v>
      </c>
      <c r="B337" s="56" t="s">
        <v>4434</v>
      </c>
      <c r="C337" s="57" t="s">
        <v>4435</v>
      </c>
      <c r="D337" s="56" t="s">
        <v>5669</v>
      </c>
      <c r="E337" s="56" t="s">
        <v>2287</v>
      </c>
      <c r="F337" s="56" t="s">
        <v>379</v>
      </c>
      <c r="G337" s="56" t="s">
        <v>365</v>
      </c>
      <c r="H337" s="62" t="s">
        <v>413</v>
      </c>
      <c r="I337" s="59"/>
      <c r="J337" s="62" t="s">
        <v>4506</v>
      </c>
      <c r="K337" s="59"/>
      <c r="L337" s="59"/>
      <c r="M337" s="59"/>
      <c r="N337" s="56" t="s">
        <v>743</v>
      </c>
      <c r="O337" s="59"/>
      <c r="P337" s="56" t="s">
        <v>4508</v>
      </c>
      <c r="Q337" s="61" t="s">
        <v>394</v>
      </c>
      <c r="R337" s="58" t="s">
        <v>5670</v>
      </c>
      <c r="T337" s="55" t="b">
        <f t="shared" si="1"/>
        <v>0</v>
      </c>
    </row>
    <row r="338" ht="15.0" customHeight="1">
      <c r="A338" s="56" t="s">
        <v>5671</v>
      </c>
      <c r="B338" s="56" t="s">
        <v>5672</v>
      </c>
      <c r="C338" s="57" t="s">
        <v>2219</v>
      </c>
      <c r="D338" s="58">
        <v>3.466726318E9</v>
      </c>
      <c r="E338" s="56" t="s">
        <v>2938</v>
      </c>
      <c r="F338" s="56" t="s">
        <v>364</v>
      </c>
      <c r="G338" s="56" t="s">
        <v>365</v>
      </c>
      <c r="H338" s="62" t="s">
        <v>1822</v>
      </c>
      <c r="I338" s="59"/>
      <c r="J338" s="62" t="s">
        <v>4499</v>
      </c>
      <c r="K338" s="59"/>
      <c r="L338" s="59"/>
      <c r="M338" s="59"/>
      <c r="N338" s="56" t="s">
        <v>1295</v>
      </c>
      <c r="O338" s="59"/>
      <c r="P338" s="56" t="s">
        <v>4501</v>
      </c>
      <c r="Q338" s="61" t="s">
        <v>373</v>
      </c>
      <c r="R338" s="58" t="s">
        <v>5673</v>
      </c>
      <c r="T338" s="55" t="b">
        <f t="shared" si="1"/>
        <v>0</v>
      </c>
    </row>
    <row r="339" ht="15.0" customHeight="1">
      <c r="A339" s="56" t="s">
        <v>335</v>
      </c>
      <c r="B339" s="56" t="s">
        <v>5674</v>
      </c>
      <c r="C339" s="57" t="s">
        <v>5675</v>
      </c>
      <c r="D339" s="58">
        <v>4.147951011E9</v>
      </c>
      <c r="E339" s="56" t="s">
        <v>5676</v>
      </c>
      <c r="F339" s="56" t="s">
        <v>364</v>
      </c>
      <c r="G339" s="56" t="s">
        <v>365</v>
      </c>
      <c r="H339" s="62" t="s">
        <v>413</v>
      </c>
      <c r="I339" s="59"/>
      <c r="J339" s="62" t="s">
        <v>4499</v>
      </c>
      <c r="K339" s="59"/>
      <c r="L339" s="59"/>
      <c r="M339" s="56" t="s">
        <v>5677</v>
      </c>
      <c r="N339" s="56" t="s">
        <v>5678</v>
      </c>
      <c r="O339" s="59"/>
      <c r="P339" s="56" t="s">
        <v>4501</v>
      </c>
      <c r="Q339" s="61" t="s">
        <v>373</v>
      </c>
      <c r="R339" s="56" t="s">
        <v>4559</v>
      </c>
      <c r="T339" s="55" t="b">
        <f t="shared" si="1"/>
        <v>0</v>
      </c>
    </row>
    <row r="340" ht="15.0" customHeight="1">
      <c r="A340" s="56" t="s">
        <v>2230</v>
      </c>
      <c r="B340" s="56" t="s">
        <v>2231</v>
      </c>
      <c r="C340" s="57" t="s">
        <v>2232</v>
      </c>
      <c r="D340" s="58">
        <v>2.14473464E9</v>
      </c>
      <c r="E340" s="56" t="s">
        <v>2521</v>
      </c>
      <c r="F340" s="56" t="s">
        <v>364</v>
      </c>
      <c r="G340" s="56" t="s">
        <v>520</v>
      </c>
      <c r="H340" s="62" t="s">
        <v>366</v>
      </c>
      <c r="I340" s="59"/>
      <c r="J340" s="62" t="s">
        <v>4691</v>
      </c>
      <c r="K340" s="59"/>
      <c r="L340" s="59"/>
      <c r="M340" s="56" t="s">
        <v>2231</v>
      </c>
      <c r="N340" s="56" t="s">
        <v>1837</v>
      </c>
      <c r="O340" s="59"/>
      <c r="P340" s="56" t="s">
        <v>4501</v>
      </c>
      <c r="Q340" s="61" t="s">
        <v>373</v>
      </c>
      <c r="R340" s="58" t="s">
        <v>5679</v>
      </c>
      <c r="T340" s="55" t="b">
        <f t="shared" si="1"/>
        <v>0</v>
      </c>
    </row>
    <row r="341" ht="15.0" customHeight="1">
      <c r="A341" s="56" t="s">
        <v>282</v>
      </c>
      <c r="B341" s="56" t="s">
        <v>4447</v>
      </c>
      <c r="C341" s="57" t="s">
        <v>4448</v>
      </c>
      <c r="D341" s="56" t="s">
        <v>5680</v>
      </c>
      <c r="E341" s="56" t="s">
        <v>3968</v>
      </c>
      <c r="F341" s="56" t="s">
        <v>3677</v>
      </c>
      <c r="G341" s="56" t="s">
        <v>380</v>
      </c>
      <c r="H341" s="62" t="s">
        <v>513</v>
      </c>
      <c r="I341" s="59"/>
      <c r="J341" s="56" t="s">
        <v>4691</v>
      </c>
      <c r="K341" s="58">
        <v>0.0</v>
      </c>
      <c r="L341" s="58">
        <v>0.0</v>
      </c>
      <c r="M341" s="56" t="s">
        <v>5681</v>
      </c>
      <c r="N341" s="56" t="s">
        <v>5682</v>
      </c>
      <c r="O341" s="59"/>
      <c r="P341" s="56" t="s">
        <v>4501</v>
      </c>
      <c r="Q341" s="61" t="s">
        <v>373</v>
      </c>
      <c r="R341" s="56" t="s">
        <v>4559</v>
      </c>
      <c r="T341" s="55" t="b">
        <f t="shared" si="1"/>
        <v>1</v>
      </c>
    </row>
    <row r="342" ht="15.0" customHeight="1">
      <c r="A342" s="56" t="s">
        <v>326</v>
      </c>
      <c r="B342" s="56" t="s">
        <v>2251</v>
      </c>
      <c r="C342" s="57" t="s">
        <v>2252</v>
      </c>
      <c r="D342" s="58">
        <v>4.43224154E9</v>
      </c>
      <c r="E342" s="56" t="s">
        <v>2491</v>
      </c>
      <c r="F342" s="56" t="s">
        <v>379</v>
      </c>
      <c r="G342" s="56" t="s">
        <v>667</v>
      </c>
      <c r="H342" s="62" t="s">
        <v>413</v>
      </c>
      <c r="I342" s="59"/>
      <c r="J342" s="62" t="s">
        <v>4499</v>
      </c>
      <c r="K342" s="59"/>
      <c r="L342" s="59"/>
      <c r="M342" s="56" t="s">
        <v>5683</v>
      </c>
      <c r="N342" s="56" t="s">
        <v>1282</v>
      </c>
      <c r="O342" s="59"/>
      <c r="P342" s="56" t="s">
        <v>4501</v>
      </c>
      <c r="Q342" s="61" t="s">
        <v>373</v>
      </c>
      <c r="R342" s="56" t="s">
        <v>4559</v>
      </c>
      <c r="T342" s="55" t="b">
        <f t="shared" si="1"/>
        <v>0</v>
      </c>
    </row>
    <row r="343" ht="15.0" customHeight="1">
      <c r="A343" s="56" t="s">
        <v>284</v>
      </c>
      <c r="B343" s="56" t="s">
        <v>2253</v>
      </c>
      <c r="C343" s="57" t="s">
        <v>5684</v>
      </c>
      <c r="D343" s="58">
        <v>8.327244086E9</v>
      </c>
      <c r="E343" s="56" t="s">
        <v>5685</v>
      </c>
      <c r="F343" s="56" t="s">
        <v>364</v>
      </c>
      <c r="G343" s="56" t="s">
        <v>365</v>
      </c>
      <c r="H343" s="62" t="s">
        <v>366</v>
      </c>
      <c r="I343" s="59"/>
      <c r="J343" s="62" t="s">
        <v>4691</v>
      </c>
      <c r="K343" s="59"/>
      <c r="L343" s="59"/>
      <c r="M343" s="56" t="s">
        <v>5686</v>
      </c>
      <c r="N343" s="56" t="s">
        <v>5687</v>
      </c>
      <c r="O343" s="59"/>
      <c r="P343" s="56" t="s">
        <v>4501</v>
      </c>
      <c r="Q343" s="61" t="s">
        <v>373</v>
      </c>
      <c r="R343" s="56" t="s">
        <v>4559</v>
      </c>
      <c r="T343" s="55" t="b">
        <f t="shared" si="1"/>
        <v>0</v>
      </c>
    </row>
    <row r="344" ht="15.0" customHeight="1">
      <c r="A344" s="56" t="s">
        <v>285</v>
      </c>
      <c r="B344" s="56" t="s">
        <v>2259</v>
      </c>
      <c r="C344" s="57" t="s">
        <v>2260</v>
      </c>
      <c r="D344" s="56" t="s">
        <v>2261</v>
      </c>
      <c r="E344" s="56" t="s">
        <v>2463</v>
      </c>
      <c r="F344" s="56" t="s">
        <v>379</v>
      </c>
      <c r="G344" s="56" t="s">
        <v>365</v>
      </c>
      <c r="H344" s="62" t="s">
        <v>413</v>
      </c>
      <c r="I344" s="59"/>
      <c r="J344" s="62" t="s">
        <v>4596</v>
      </c>
      <c r="K344" s="59"/>
      <c r="L344" s="59"/>
      <c r="M344" s="56" t="s">
        <v>2259</v>
      </c>
      <c r="N344" s="56" t="s">
        <v>4302</v>
      </c>
      <c r="O344" s="59"/>
      <c r="P344" s="56" t="s">
        <v>4508</v>
      </c>
      <c r="Q344" s="61" t="s">
        <v>394</v>
      </c>
      <c r="R344" s="58" t="s">
        <v>5688</v>
      </c>
      <c r="T344" s="55" t="b">
        <f t="shared" si="1"/>
        <v>0</v>
      </c>
    </row>
    <row r="345" ht="15.0" customHeight="1">
      <c r="A345" s="56" t="s">
        <v>4475</v>
      </c>
      <c r="B345" s="56" t="s">
        <v>5689</v>
      </c>
      <c r="C345" s="57" t="s">
        <v>5690</v>
      </c>
      <c r="D345" s="56" t="s">
        <v>5691</v>
      </c>
      <c r="E345" s="56" t="s">
        <v>3333</v>
      </c>
      <c r="F345" s="56" t="s">
        <v>399</v>
      </c>
      <c r="G345" s="56" t="s">
        <v>365</v>
      </c>
      <c r="H345" s="62" t="s">
        <v>513</v>
      </c>
      <c r="I345" s="59"/>
      <c r="J345" s="56" t="s">
        <v>4499</v>
      </c>
      <c r="K345" s="58">
        <v>0.0</v>
      </c>
      <c r="L345" s="58">
        <v>2.0</v>
      </c>
      <c r="M345" s="59"/>
      <c r="N345" s="59"/>
      <c r="O345" s="59"/>
      <c r="P345" s="56" t="s">
        <v>4501</v>
      </c>
      <c r="Q345" s="61" t="s">
        <v>373</v>
      </c>
      <c r="R345" s="58" t="s">
        <v>5692</v>
      </c>
      <c r="T345" s="55" t="b">
        <f t="shared" si="1"/>
        <v>1</v>
      </c>
    </row>
    <row r="346" ht="15.0" customHeight="1">
      <c r="A346" s="56" t="s">
        <v>4475</v>
      </c>
      <c r="B346" s="56" t="s">
        <v>4476</v>
      </c>
      <c r="C346" s="57" t="s">
        <v>4477</v>
      </c>
      <c r="D346" s="58">
        <v>2.142737445E9</v>
      </c>
      <c r="E346" s="56" t="s">
        <v>2491</v>
      </c>
      <c r="F346" s="56" t="s">
        <v>399</v>
      </c>
      <c r="G346" s="56" t="s">
        <v>520</v>
      </c>
      <c r="H346" s="62" t="s">
        <v>513</v>
      </c>
      <c r="I346" s="59"/>
      <c r="J346" s="56" t="s">
        <v>381</v>
      </c>
      <c r="K346" s="58">
        <v>4.0</v>
      </c>
      <c r="L346" s="58">
        <v>4.0</v>
      </c>
      <c r="M346" s="56" t="s">
        <v>5693</v>
      </c>
      <c r="N346" s="56" t="s">
        <v>4302</v>
      </c>
      <c r="O346" s="59"/>
      <c r="P346" s="56" t="s">
        <v>4496</v>
      </c>
      <c r="Q346" s="61" t="s">
        <v>373</v>
      </c>
      <c r="R346" s="56" t="s">
        <v>4559</v>
      </c>
      <c r="T346" s="55" t="b">
        <f t="shared" si="1"/>
        <v>1</v>
      </c>
    </row>
    <row r="347" ht="15.0" customHeight="1">
      <c r="A347" s="56" t="s">
        <v>287</v>
      </c>
      <c r="B347" s="56" t="s">
        <v>5694</v>
      </c>
      <c r="C347" s="57" t="s">
        <v>5695</v>
      </c>
      <c r="D347" s="56" t="s">
        <v>5696</v>
      </c>
      <c r="E347" s="56" t="s">
        <v>5697</v>
      </c>
      <c r="F347" s="56" t="s">
        <v>364</v>
      </c>
      <c r="G347" s="56" t="s">
        <v>380</v>
      </c>
      <c r="H347" s="62" t="s">
        <v>366</v>
      </c>
      <c r="I347" s="59"/>
      <c r="J347" s="62" t="s">
        <v>4499</v>
      </c>
      <c r="K347" s="59"/>
      <c r="L347" s="59"/>
      <c r="M347" s="56" t="s">
        <v>5698</v>
      </c>
      <c r="N347" s="56" t="s">
        <v>4240</v>
      </c>
      <c r="O347" s="59"/>
      <c r="P347" s="56" t="s">
        <v>4501</v>
      </c>
      <c r="Q347" s="61" t="s">
        <v>373</v>
      </c>
      <c r="R347" s="56" t="s">
        <v>4559</v>
      </c>
      <c r="T347" s="55" t="b">
        <f t="shared" si="1"/>
        <v>0</v>
      </c>
    </row>
    <row r="348" ht="15.0" customHeight="1">
      <c r="A348" s="56" t="s">
        <v>2275</v>
      </c>
      <c r="B348" s="56" t="s">
        <v>2276</v>
      </c>
      <c r="C348" s="57" t="s">
        <v>2277</v>
      </c>
      <c r="D348" s="58">
        <v>2.549535353E9</v>
      </c>
      <c r="E348" s="56" t="s">
        <v>3175</v>
      </c>
      <c r="F348" s="56" t="s">
        <v>379</v>
      </c>
      <c r="G348" s="56" t="s">
        <v>365</v>
      </c>
      <c r="H348" s="62" t="s">
        <v>413</v>
      </c>
      <c r="I348" s="59"/>
      <c r="J348" s="62" t="s">
        <v>381</v>
      </c>
      <c r="K348" s="59"/>
      <c r="L348" s="59"/>
      <c r="M348" s="59"/>
      <c r="N348" s="56" t="s">
        <v>1409</v>
      </c>
      <c r="O348" s="59"/>
      <c r="P348" s="56" t="s">
        <v>4496</v>
      </c>
      <c r="Q348" s="61" t="s">
        <v>373</v>
      </c>
      <c r="R348" s="58" t="s">
        <v>5699</v>
      </c>
      <c r="T348" s="55" t="b">
        <f t="shared" si="1"/>
        <v>0</v>
      </c>
    </row>
    <row r="349" ht="15.0" customHeight="1">
      <c r="A349" s="63" t="s">
        <v>5700</v>
      </c>
      <c r="B349" s="63" t="s">
        <v>5701</v>
      </c>
      <c r="C349" s="53" t="s">
        <v>5702</v>
      </c>
      <c r="D349" s="63" t="s">
        <v>5703</v>
      </c>
      <c r="E349" s="63" t="s">
        <v>5704</v>
      </c>
      <c r="F349" s="63" t="s">
        <v>379</v>
      </c>
      <c r="G349" s="63" t="s">
        <v>520</v>
      </c>
      <c r="H349" s="69" t="s">
        <v>413</v>
      </c>
      <c r="I349" s="65"/>
      <c r="J349" s="69" t="s">
        <v>4499</v>
      </c>
      <c r="K349" s="65"/>
      <c r="L349" s="65"/>
      <c r="M349" s="63" t="s">
        <v>5705</v>
      </c>
      <c r="N349" s="63" t="s">
        <v>1613</v>
      </c>
      <c r="O349" s="65"/>
      <c r="P349" s="63" t="s">
        <v>4501</v>
      </c>
      <c r="Q349" s="67" t="s">
        <v>373</v>
      </c>
      <c r="R349" s="64" t="s">
        <v>5706</v>
      </c>
      <c r="T349" s="55" t="b">
        <f t="shared" si="1"/>
        <v>0</v>
      </c>
    </row>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A$349"/>
  <hyperlinks>
    <hyperlink r:id="rId1" ref="A1"/>
    <hyperlink r:id="rId2" ref="B1"/>
    <hyperlink r:id="rId3" ref="D1"/>
    <hyperlink r:id="rId4" ref="K1"/>
    <hyperlink r:id="rId5" ref="L1"/>
    <hyperlink r:id="rId6" ref="N1"/>
    <hyperlink r:id="rId7" ref="O1"/>
    <hyperlink r:id="rId8" ref="R1"/>
    <hyperlink r:id="rId9" ref="C2"/>
    <hyperlink r:id="rId10" ref="C3"/>
    <hyperlink r:id="rId11" ref="C4"/>
    <hyperlink r:id="rId12" ref="C5"/>
    <hyperlink r:id="rId13" ref="C6"/>
    <hyperlink r:id="rId14" ref="C7"/>
    <hyperlink r:id="rId15" ref="C8"/>
    <hyperlink r:id="rId16" ref="C9"/>
    <hyperlink r:id="rId17" ref="C10"/>
    <hyperlink r:id="rId18" ref="C11"/>
    <hyperlink r:id="rId19" ref="C12"/>
    <hyperlink r:id="rId20" ref="C13"/>
    <hyperlink r:id="rId21" ref="C14"/>
    <hyperlink r:id="rId22" ref="C15"/>
    <hyperlink r:id="rId23" ref="C16"/>
    <hyperlink r:id="rId24" ref="C17"/>
    <hyperlink r:id="rId25" ref="C18"/>
    <hyperlink r:id="rId26" ref="C19"/>
    <hyperlink r:id="rId27" ref="C20"/>
    <hyperlink r:id="rId28" ref="C21"/>
    <hyperlink r:id="rId29" ref="C22"/>
    <hyperlink r:id="rId30" ref="C23"/>
    <hyperlink r:id="rId31" ref="C24"/>
    <hyperlink r:id="rId32" ref="C25"/>
    <hyperlink r:id="rId33" ref="C26"/>
    <hyperlink r:id="rId34" ref="C27"/>
    <hyperlink r:id="rId35" ref="C28"/>
    <hyperlink r:id="rId36" ref="C29"/>
    <hyperlink r:id="rId37" ref="C30"/>
    <hyperlink r:id="rId38" ref="C31"/>
    <hyperlink r:id="rId39" ref="C32"/>
    <hyperlink r:id="rId40" ref="C33"/>
    <hyperlink r:id="rId41" ref="C34"/>
    <hyperlink r:id="rId42" ref="C35"/>
    <hyperlink r:id="rId43" ref="C36"/>
    <hyperlink r:id="rId44" ref="C37"/>
    <hyperlink r:id="rId45" ref="C38"/>
    <hyperlink r:id="rId46" ref="C39"/>
    <hyperlink r:id="rId47" ref="C40"/>
    <hyperlink r:id="rId48" ref="C41"/>
    <hyperlink r:id="rId49" ref="C42"/>
    <hyperlink r:id="rId50" ref="C43"/>
    <hyperlink r:id="rId51" ref="C44"/>
    <hyperlink r:id="rId52" ref="C45"/>
    <hyperlink r:id="rId53" ref="C46"/>
    <hyperlink r:id="rId54" ref="C47"/>
    <hyperlink r:id="rId55" ref="C48"/>
    <hyperlink r:id="rId56" ref="C49"/>
    <hyperlink r:id="rId57" ref="C50"/>
    <hyperlink r:id="rId58" ref="C51"/>
    <hyperlink r:id="rId59" ref="C52"/>
    <hyperlink r:id="rId60" ref="C53"/>
    <hyperlink r:id="rId61" ref="C54"/>
    <hyperlink r:id="rId62" ref="C55"/>
    <hyperlink r:id="rId63" ref="C56"/>
    <hyperlink r:id="rId64" ref="C57"/>
    <hyperlink r:id="rId65" ref="C58"/>
    <hyperlink r:id="rId66" ref="C59"/>
    <hyperlink r:id="rId67" ref="C60"/>
    <hyperlink r:id="rId68" ref="C61"/>
    <hyperlink r:id="rId69" ref="C62"/>
    <hyperlink r:id="rId70" ref="C63"/>
    <hyperlink r:id="rId71" ref="C64"/>
    <hyperlink r:id="rId72" ref="C65"/>
    <hyperlink r:id="rId73" ref="C66"/>
    <hyperlink r:id="rId74" ref="C67"/>
    <hyperlink r:id="rId75" ref="C68"/>
    <hyperlink r:id="rId76" ref="C69"/>
    <hyperlink r:id="rId77" ref="C70"/>
    <hyperlink r:id="rId78" ref="C71"/>
    <hyperlink r:id="rId79" ref="C72"/>
    <hyperlink r:id="rId80" ref="C73"/>
    <hyperlink r:id="rId81" ref="C74"/>
    <hyperlink r:id="rId82" ref="C75"/>
    <hyperlink r:id="rId83" ref="C76"/>
    <hyperlink r:id="rId84" ref="C77"/>
    <hyperlink r:id="rId85" ref="C78"/>
    <hyperlink r:id="rId86" ref="C79"/>
    <hyperlink r:id="rId87" ref="C80"/>
    <hyperlink r:id="rId88" ref="C81"/>
    <hyperlink r:id="rId89" ref="C82"/>
    <hyperlink r:id="rId90" ref="C83"/>
    <hyperlink r:id="rId91" ref="C84"/>
    <hyperlink r:id="rId92" ref="C85"/>
    <hyperlink r:id="rId93" ref="C86"/>
    <hyperlink r:id="rId94" ref="C87"/>
    <hyperlink r:id="rId95" ref="C88"/>
    <hyperlink r:id="rId96" ref="C89"/>
    <hyperlink r:id="rId97" ref="C90"/>
    <hyperlink r:id="rId98" ref="C91"/>
    <hyperlink r:id="rId99" ref="C92"/>
    <hyperlink r:id="rId100" ref="C93"/>
    <hyperlink r:id="rId101" ref="C94"/>
    <hyperlink r:id="rId102" ref="C95"/>
    <hyperlink r:id="rId103" ref="C96"/>
    <hyperlink r:id="rId104" ref="C97"/>
    <hyperlink r:id="rId105" ref="C98"/>
    <hyperlink r:id="rId106" ref="C99"/>
    <hyperlink r:id="rId107" ref="C100"/>
    <hyperlink r:id="rId108" ref="C101"/>
    <hyperlink r:id="rId109" ref="C102"/>
    <hyperlink r:id="rId110" ref="C103"/>
    <hyperlink r:id="rId111" ref="C104"/>
    <hyperlink r:id="rId112" ref="C105"/>
    <hyperlink r:id="rId113" ref="C106"/>
    <hyperlink r:id="rId114" ref="C107"/>
    <hyperlink r:id="rId115" ref="C108"/>
    <hyperlink r:id="rId116" ref="C109"/>
    <hyperlink r:id="rId117" ref="C110"/>
    <hyperlink r:id="rId118" ref="C111"/>
    <hyperlink r:id="rId119" ref="C112"/>
    <hyperlink r:id="rId120" ref="C113"/>
    <hyperlink r:id="rId121" ref="C114"/>
    <hyperlink r:id="rId122" ref="C115"/>
    <hyperlink r:id="rId123" ref="C116"/>
    <hyperlink r:id="rId124" ref="C117"/>
    <hyperlink r:id="rId125" ref="C118"/>
    <hyperlink r:id="rId126" ref="C119"/>
    <hyperlink r:id="rId127" ref="C120"/>
    <hyperlink r:id="rId128" ref="C121"/>
    <hyperlink r:id="rId129" ref="C122"/>
    <hyperlink r:id="rId130" ref="C123"/>
    <hyperlink r:id="rId131" ref="C124"/>
    <hyperlink r:id="rId132" ref="C125"/>
    <hyperlink r:id="rId133" ref="C126"/>
    <hyperlink r:id="rId134" ref="C127"/>
    <hyperlink r:id="rId135" ref="C128"/>
    <hyperlink r:id="rId136" ref="C129"/>
    <hyperlink r:id="rId137" ref="C130"/>
    <hyperlink r:id="rId138" ref="C131"/>
    <hyperlink r:id="rId139" ref="C132"/>
    <hyperlink r:id="rId140" ref="C133"/>
    <hyperlink r:id="rId141" ref="C134"/>
    <hyperlink r:id="rId142" ref="C135"/>
    <hyperlink r:id="rId143" ref="C136"/>
    <hyperlink r:id="rId144" ref="C137"/>
    <hyperlink r:id="rId145" ref="C138"/>
    <hyperlink r:id="rId146" ref="C139"/>
    <hyperlink r:id="rId147" ref="C140"/>
    <hyperlink r:id="rId148" ref="C141"/>
    <hyperlink r:id="rId149" ref="C142"/>
    <hyperlink r:id="rId150" ref="C143"/>
    <hyperlink r:id="rId151" ref="C144"/>
    <hyperlink r:id="rId152" ref="C145"/>
    <hyperlink r:id="rId153" ref="C146"/>
    <hyperlink r:id="rId154" ref="C147"/>
    <hyperlink r:id="rId155" ref="C148"/>
    <hyperlink r:id="rId156" ref="C149"/>
    <hyperlink r:id="rId157" ref="C150"/>
    <hyperlink r:id="rId158" ref="C151"/>
    <hyperlink r:id="rId159" ref="C152"/>
    <hyperlink r:id="rId160" ref="C153"/>
    <hyperlink r:id="rId161" ref="C154"/>
    <hyperlink r:id="rId162" ref="C155"/>
    <hyperlink r:id="rId163" ref="C156"/>
    <hyperlink r:id="rId164" ref="C157"/>
    <hyperlink r:id="rId165" ref="C158"/>
    <hyperlink r:id="rId166" ref="C159"/>
    <hyperlink r:id="rId167" ref="C160"/>
    <hyperlink r:id="rId168" ref="C161"/>
    <hyperlink r:id="rId169" ref="C162"/>
    <hyperlink r:id="rId170" ref="C163"/>
    <hyperlink r:id="rId171" ref="C164"/>
    <hyperlink r:id="rId172" ref="C165"/>
    <hyperlink r:id="rId173" ref="C166"/>
    <hyperlink r:id="rId174" ref="C167"/>
    <hyperlink r:id="rId175" ref="C168"/>
    <hyperlink r:id="rId176" ref="C169"/>
    <hyperlink r:id="rId177" ref="C170"/>
    <hyperlink r:id="rId178" ref="C171"/>
    <hyperlink r:id="rId179" ref="C172"/>
    <hyperlink r:id="rId180" ref="C173"/>
    <hyperlink r:id="rId181" ref="C174"/>
    <hyperlink r:id="rId182" ref="C175"/>
    <hyperlink r:id="rId183" ref="C176"/>
    <hyperlink r:id="rId184" ref="C177"/>
    <hyperlink r:id="rId185" ref="C178"/>
    <hyperlink r:id="rId186" ref="C179"/>
    <hyperlink r:id="rId187" ref="C180"/>
    <hyperlink r:id="rId188" ref="C181"/>
    <hyperlink r:id="rId189" ref="C182"/>
    <hyperlink r:id="rId190" ref="C183"/>
    <hyperlink r:id="rId191" ref="C184"/>
    <hyperlink r:id="rId192" ref="C185"/>
    <hyperlink r:id="rId193" ref="C186"/>
    <hyperlink r:id="rId194" ref="C187"/>
    <hyperlink r:id="rId195" ref="C188"/>
    <hyperlink r:id="rId196" ref="C189"/>
    <hyperlink r:id="rId197" ref="C190"/>
    <hyperlink r:id="rId198" ref="C191"/>
    <hyperlink r:id="rId199" ref="C192"/>
    <hyperlink r:id="rId200" ref="C193"/>
    <hyperlink r:id="rId201" ref="C194"/>
    <hyperlink r:id="rId202" ref="C195"/>
    <hyperlink r:id="rId203" ref="C196"/>
    <hyperlink r:id="rId204" ref="C197"/>
    <hyperlink r:id="rId205" ref="C198"/>
    <hyperlink r:id="rId206" ref="C199"/>
    <hyperlink r:id="rId207" ref="C200"/>
    <hyperlink r:id="rId208" ref="C201"/>
    <hyperlink r:id="rId209" ref="C202"/>
    <hyperlink r:id="rId210" ref="C203"/>
    <hyperlink r:id="rId211" ref="C204"/>
    <hyperlink r:id="rId212" ref="C205"/>
    <hyperlink r:id="rId213" ref="C206"/>
    <hyperlink r:id="rId214" ref="C207"/>
    <hyperlink r:id="rId215" ref="C208"/>
    <hyperlink r:id="rId216" ref="C209"/>
    <hyperlink r:id="rId217" ref="C210"/>
    <hyperlink r:id="rId218" ref="C211"/>
    <hyperlink r:id="rId219" ref="C212"/>
    <hyperlink r:id="rId220" ref="C213"/>
    <hyperlink r:id="rId221" ref="C214"/>
    <hyperlink r:id="rId222" ref="C215"/>
    <hyperlink r:id="rId223" ref="C216"/>
    <hyperlink r:id="rId224" ref="C217"/>
    <hyperlink r:id="rId225" ref="C218"/>
    <hyperlink r:id="rId226" ref="C219"/>
    <hyperlink r:id="rId227" ref="C220"/>
    <hyperlink r:id="rId228" ref="C221"/>
    <hyperlink r:id="rId229" ref="C222"/>
    <hyperlink r:id="rId230" ref="C223"/>
    <hyperlink r:id="rId231" ref="C224"/>
    <hyperlink r:id="rId232" ref="C225"/>
    <hyperlink r:id="rId233" ref="C226"/>
    <hyperlink r:id="rId234" ref="C227"/>
    <hyperlink r:id="rId235" ref="C228"/>
    <hyperlink r:id="rId236" ref="C229"/>
    <hyperlink r:id="rId237" ref="C230"/>
    <hyperlink r:id="rId238" ref="C231"/>
    <hyperlink r:id="rId239" ref="C232"/>
    <hyperlink r:id="rId240" ref="C233"/>
    <hyperlink r:id="rId241" ref="C234"/>
    <hyperlink r:id="rId242" ref="C235"/>
    <hyperlink r:id="rId243" ref="C236"/>
    <hyperlink r:id="rId244" ref="C237"/>
    <hyperlink r:id="rId245" ref="C238"/>
    <hyperlink r:id="rId246" ref="C239"/>
    <hyperlink r:id="rId247" ref="C240"/>
    <hyperlink r:id="rId248" ref="C241"/>
    <hyperlink r:id="rId249" ref="C242"/>
    <hyperlink r:id="rId250" ref="C243"/>
    <hyperlink r:id="rId251" ref="C244"/>
    <hyperlink r:id="rId252" ref="C245"/>
    <hyperlink r:id="rId253" ref="C246"/>
    <hyperlink r:id="rId254" ref="C247"/>
    <hyperlink r:id="rId255" ref="C248"/>
    <hyperlink r:id="rId256" ref="C249"/>
    <hyperlink r:id="rId257" ref="C250"/>
    <hyperlink r:id="rId258" ref="C251"/>
    <hyperlink r:id="rId259" ref="C252"/>
    <hyperlink r:id="rId260" ref="C253"/>
    <hyperlink r:id="rId261" ref="C254"/>
    <hyperlink r:id="rId262" ref="C255"/>
    <hyperlink r:id="rId263" ref="C256"/>
    <hyperlink r:id="rId264" ref="C257"/>
    <hyperlink r:id="rId265" ref="C258"/>
    <hyperlink r:id="rId266" ref="C259"/>
    <hyperlink r:id="rId267" ref="C260"/>
    <hyperlink r:id="rId268" ref="C261"/>
    <hyperlink r:id="rId269" ref="C262"/>
    <hyperlink r:id="rId270" ref="C263"/>
    <hyperlink r:id="rId271" ref="C264"/>
    <hyperlink r:id="rId272" ref="C265"/>
    <hyperlink r:id="rId273" ref="C266"/>
    <hyperlink r:id="rId274" ref="C267"/>
    <hyperlink r:id="rId275" ref="C268"/>
    <hyperlink r:id="rId276" ref="C269"/>
    <hyperlink r:id="rId277" ref="C270"/>
    <hyperlink r:id="rId278" ref="C271"/>
    <hyperlink r:id="rId279" ref="C272"/>
    <hyperlink r:id="rId280" ref="C273"/>
    <hyperlink r:id="rId281" ref="C274"/>
    <hyperlink r:id="rId282" ref="C275"/>
    <hyperlink r:id="rId283" ref="C276"/>
    <hyperlink r:id="rId284" ref="C277"/>
    <hyperlink r:id="rId285" ref="C278"/>
    <hyperlink r:id="rId286" ref="C279"/>
    <hyperlink r:id="rId287" ref="C280"/>
    <hyperlink r:id="rId288" ref="C281"/>
    <hyperlink r:id="rId289" ref="C282"/>
    <hyperlink r:id="rId290" ref="C283"/>
    <hyperlink r:id="rId291" ref="C284"/>
    <hyperlink r:id="rId292" ref="C285"/>
    <hyperlink r:id="rId293" ref="C286"/>
    <hyperlink r:id="rId294" ref="C287"/>
    <hyperlink r:id="rId295" ref="C288"/>
    <hyperlink r:id="rId296" ref="C289"/>
    <hyperlink r:id="rId297" ref="C290"/>
    <hyperlink r:id="rId298" ref="C291"/>
    <hyperlink r:id="rId299" ref="C292"/>
    <hyperlink r:id="rId300" ref="C293"/>
    <hyperlink r:id="rId301" ref="C294"/>
    <hyperlink r:id="rId302" ref="C295"/>
    <hyperlink r:id="rId303" ref="C296"/>
    <hyperlink r:id="rId304" ref="C297"/>
    <hyperlink r:id="rId305" ref="C298"/>
    <hyperlink r:id="rId306" ref="C299"/>
    <hyperlink r:id="rId307" ref="C300"/>
    <hyperlink r:id="rId308" ref="C301"/>
    <hyperlink r:id="rId309" ref="C302"/>
    <hyperlink r:id="rId310" ref="C303"/>
    <hyperlink r:id="rId311" ref="C304"/>
    <hyperlink r:id="rId312" ref="C305"/>
    <hyperlink r:id="rId313" ref="C306"/>
    <hyperlink r:id="rId314" ref="C307"/>
    <hyperlink r:id="rId315" ref="C308"/>
    <hyperlink r:id="rId316" ref="C309"/>
    <hyperlink r:id="rId317" ref="C310"/>
    <hyperlink r:id="rId318" ref="C311"/>
    <hyperlink r:id="rId319" ref="C312"/>
    <hyperlink r:id="rId320" ref="C313"/>
    <hyperlink r:id="rId321" ref="C314"/>
    <hyperlink r:id="rId322" ref="C315"/>
    <hyperlink r:id="rId323" ref="C316"/>
    <hyperlink r:id="rId324" ref="C317"/>
    <hyperlink r:id="rId325" ref="C318"/>
    <hyperlink r:id="rId326" ref="C319"/>
    <hyperlink r:id="rId327" ref="C320"/>
    <hyperlink r:id="rId328" ref="C321"/>
    <hyperlink r:id="rId329" ref="C322"/>
    <hyperlink r:id="rId330" ref="C323"/>
    <hyperlink r:id="rId331" ref="C324"/>
    <hyperlink r:id="rId332" ref="C325"/>
    <hyperlink r:id="rId333" ref="C326"/>
    <hyperlink r:id="rId334" ref="C327"/>
    <hyperlink r:id="rId335" ref="C328"/>
    <hyperlink r:id="rId336" ref="C329"/>
    <hyperlink r:id="rId337" ref="C330"/>
    <hyperlink r:id="rId338" ref="C331"/>
    <hyperlink r:id="rId339" ref="C332"/>
    <hyperlink r:id="rId340" ref="C333"/>
    <hyperlink r:id="rId341" ref="C334"/>
    <hyperlink r:id="rId342" ref="C335"/>
    <hyperlink r:id="rId343" ref="C336"/>
    <hyperlink r:id="rId344" ref="C337"/>
    <hyperlink r:id="rId345" ref="C338"/>
    <hyperlink r:id="rId346" ref="C339"/>
    <hyperlink r:id="rId347" ref="C340"/>
    <hyperlink r:id="rId348" ref="C341"/>
    <hyperlink r:id="rId349" ref="C342"/>
    <hyperlink r:id="rId350" ref="C343"/>
    <hyperlink r:id="rId351" ref="C344"/>
    <hyperlink r:id="rId352" ref="C345"/>
    <hyperlink r:id="rId353" ref="C346"/>
    <hyperlink r:id="rId354" ref="C347"/>
    <hyperlink r:id="rId355" ref="C348"/>
    <hyperlink r:id="rId356" ref="C349"/>
  </hyperlinks>
  <printOptions/>
  <pageMargins bottom="0.75" footer="0.0" header="0.0" left="0.7" right="0.7" top="0.75"/>
  <pageSetup orientation="landscape"/>
  <drawing r:id="rId35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21" width="15.75"/>
    <col customWidth="1" min="22" max="26" width="8.63"/>
  </cols>
  <sheetData>
    <row r="1" ht="15.0" customHeight="1">
      <c r="A1" s="53" t="s">
        <v>336</v>
      </c>
      <c r="B1" s="53" t="s">
        <v>337</v>
      </c>
      <c r="C1" s="54" t="s">
        <v>338</v>
      </c>
      <c r="D1" s="53" t="s">
        <v>4490</v>
      </c>
      <c r="E1" s="53" t="s">
        <v>5707</v>
      </c>
      <c r="F1" s="54" t="s">
        <v>5708</v>
      </c>
      <c r="G1" s="54" t="s">
        <v>5709</v>
      </c>
      <c r="H1" s="54" t="s">
        <v>5710</v>
      </c>
      <c r="I1" s="54" t="s">
        <v>5711</v>
      </c>
      <c r="J1" s="54" t="s">
        <v>5712</v>
      </c>
      <c r="K1" s="54" t="s">
        <v>343</v>
      </c>
      <c r="L1" s="54" t="s">
        <v>344</v>
      </c>
      <c r="M1" s="54" t="s">
        <v>5713</v>
      </c>
      <c r="N1" s="54" t="s">
        <v>24</v>
      </c>
      <c r="O1" s="53" t="s">
        <v>347</v>
      </c>
      <c r="P1" s="53" t="s">
        <v>348</v>
      </c>
      <c r="Q1" s="53" t="s">
        <v>352</v>
      </c>
      <c r="R1" s="53" t="s">
        <v>353</v>
      </c>
      <c r="S1" s="54" t="s">
        <v>354</v>
      </c>
      <c r="T1" s="54" t="s">
        <v>355</v>
      </c>
      <c r="U1" s="53" t="s">
        <v>356</v>
      </c>
      <c r="W1" s="55" t="s">
        <v>357</v>
      </c>
    </row>
    <row r="2" ht="15.0" customHeight="1">
      <c r="A2" s="56" t="s">
        <v>5714</v>
      </c>
      <c r="B2" s="56" t="s">
        <v>3518</v>
      </c>
      <c r="C2" s="57" t="s">
        <v>3519</v>
      </c>
      <c r="D2" s="56" t="s">
        <v>3520</v>
      </c>
      <c r="E2" s="56" t="s">
        <v>368</v>
      </c>
      <c r="F2" s="56" t="s">
        <v>2286</v>
      </c>
      <c r="G2" s="56" t="s">
        <v>5715</v>
      </c>
      <c r="H2" s="56" t="s">
        <v>362</v>
      </c>
      <c r="I2" s="56" t="s">
        <v>634</v>
      </c>
      <c r="J2" s="56" t="s">
        <v>2291</v>
      </c>
      <c r="K2" s="56" t="s">
        <v>379</v>
      </c>
      <c r="L2" s="56" t="s">
        <v>365</v>
      </c>
      <c r="M2" s="56" t="s">
        <v>413</v>
      </c>
      <c r="N2" s="62" t="s">
        <v>5716</v>
      </c>
      <c r="O2" s="59"/>
      <c r="P2" s="59"/>
      <c r="Q2" s="59"/>
      <c r="R2" s="59"/>
      <c r="S2" s="56" t="s">
        <v>5717</v>
      </c>
      <c r="T2" s="61" t="s">
        <v>394</v>
      </c>
      <c r="U2" s="58" t="s">
        <v>5718</v>
      </c>
      <c r="W2" s="55" t="b">
        <f t="shared" ref="W2:W587" si="1">IF(M2="US Citizen or US National, Legally authorized to work in US (Permanent US Resident, Political Asylee, Refugee or DACA), Will now or in the future require visa sponsorship",TRUE,FALSE)</f>
        <v>0</v>
      </c>
    </row>
    <row r="3" ht="15.0" customHeight="1">
      <c r="A3" s="56" t="s">
        <v>1</v>
      </c>
      <c r="B3" s="56" t="s">
        <v>375</v>
      </c>
      <c r="C3" s="57" t="s">
        <v>376</v>
      </c>
      <c r="D3" s="56" t="s">
        <v>4498</v>
      </c>
      <c r="E3" s="56" t="s">
        <v>368</v>
      </c>
      <c r="F3" s="56" t="s">
        <v>2286</v>
      </c>
      <c r="G3" s="56" t="s">
        <v>5719</v>
      </c>
      <c r="H3" s="62" t="s">
        <v>1789</v>
      </c>
      <c r="I3" s="59"/>
      <c r="J3" s="59"/>
      <c r="K3" s="56" t="s">
        <v>379</v>
      </c>
      <c r="L3" s="56" t="s">
        <v>380</v>
      </c>
      <c r="M3" s="56" t="s">
        <v>366</v>
      </c>
      <c r="N3" s="56" t="s">
        <v>5720</v>
      </c>
      <c r="O3" s="58">
        <v>0.0</v>
      </c>
      <c r="P3" s="58">
        <v>0.0</v>
      </c>
      <c r="Q3" s="56" t="s">
        <v>5721</v>
      </c>
      <c r="R3" s="59"/>
      <c r="S3" s="56" t="s">
        <v>5722</v>
      </c>
      <c r="T3" s="61" t="s">
        <v>373</v>
      </c>
      <c r="U3" s="58" t="s">
        <v>5723</v>
      </c>
      <c r="W3" s="55" t="b">
        <f t="shared" si="1"/>
        <v>0</v>
      </c>
    </row>
    <row r="4" ht="15.0" customHeight="1">
      <c r="A4" s="56" t="s">
        <v>53</v>
      </c>
      <c r="B4" s="56" t="s">
        <v>387</v>
      </c>
      <c r="C4" s="57" t="s">
        <v>388</v>
      </c>
      <c r="D4" s="58">
        <v>2.164103573E9</v>
      </c>
      <c r="E4" s="56" t="s">
        <v>368</v>
      </c>
      <c r="F4" s="56" t="s">
        <v>452</v>
      </c>
      <c r="G4" s="56" t="s">
        <v>421</v>
      </c>
      <c r="H4" s="56" t="s">
        <v>2291</v>
      </c>
      <c r="I4" s="56" t="s">
        <v>5715</v>
      </c>
      <c r="J4" s="56" t="s">
        <v>362</v>
      </c>
      <c r="K4" s="56" t="s">
        <v>364</v>
      </c>
      <c r="L4" s="56" t="s">
        <v>365</v>
      </c>
      <c r="M4" s="56" t="s">
        <v>413</v>
      </c>
      <c r="N4" s="62" t="s">
        <v>5724</v>
      </c>
      <c r="O4" s="59"/>
      <c r="P4" s="59"/>
      <c r="Q4" s="56" t="s">
        <v>5725</v>
      </c>
      <c r="R4" s="59"/>
      <c r="S4" s="56" t="s">
        <v>5717</v>
      </c>
      <c r="T4" s="61" t="s">
        <v>373</v>
      </c>
      <c r="U4" s="58" t="s">
        <v>5726</v>
      </c>
      <c r="W4" s="55" t="b">
        <f t="shared" si="1"/>
        <v>0</v>
      </c>
    </row>
    <row r="5" ht="15.0" customHeight="1">
      <c r="A5" s="56" t="s">
        <v>2295</v>
      </c>
      <c r="B5" s="56" t="s">
        <v>5727</v>
      </c>
      <c r="C5" s="57" t="s">
        <v>5728</v>
      </c>
      <c r="D5" s="56" t="s">
        <v>5729</v>
      </c>
      <c r="E5" s="56" t="s">
        <v>368</v>
      </c>
      <c r="F5" s="56" t="s">
        <v>443</v>
      </c>
      <c r="G5" s="56" t="s">
        <v>5715</v>
      </c>
      <c r="H5" s="56" t="s">
        <v>362</v>
      </c>
      <c r="I5" s="56" t="s">
        <v>410</v>
      </c>
      <c r="J5" s="56" t="s">
        <v>5715</v>
      </c>
      <c r="K5" s="56" t="s">
        <v>364</v>
      </c>
      <c r="L5" s="56" t="s">
        <v>830</v>
      </c>
      <c r="M5" s="56" t="s">
        <v>413</v>
      </c>
      <c r="N5" s="62" t="s">
        <v>5716</v>
      </c>
      <c r="O5" s="59"/>
      <c r="P5" s="59"/>
      <c r="Q5" s="56" t="s">
        <v>2373</v>
      </c>
      <c r="R5" s="59"/>
      <c r="S5" s="56" t="s">
        <v>5717</v>
      </c>
      <c r="T5" s="61" t="s">
        <v>373</v>
      </c>
      <c r="U5" s="58" t="s">
        <v>5730</v>
      </c>
      <c r="W5" s="55" t="b">
        <f t="shared" si="1"/>
        <v>0</v>
      </c>
    </row>
    <row r="6" ht="15.0" customHeight="1">
      <c r="A6" s="56" t="s">
        <v>2301</v>
      </c>
      <c r="B6" s="56" t="s">
        <v>2302</v>
      </c>
      <c r="C6" s="57" t="s">
        <v>5731</v>
      </c>
      <c r="D6" s="56" t="s">
        <v>5732</v>
      </c>
      <c r="E6" s="56" t="s">
        <v>368</v>
      </c>
      <c r="F6" s="56" t="s">
        <v>877</v>
      </c>
      <c r="G6" s="56" t="s">
        <v>390</v>
      </c>
      <c r="H6" s="56" t="s">
        <v>362</v>
      </c>
      <c r="I6" s="56" t="s">
        <v>2291</v>
      </c>
      <c r="J6" s="56" t="s">
        <v>452</v>
      </c>
      <c r="K6" s="56" t="s">
        <v>364</v>
      </c>
      <c r="L6" s="56" t="s">
        <v>365</v>
      </c>
      <c r="M6" s="56" t="s">
        <v>366</v>
      </c>
      <c r="N6" s="62" t="s">
        <v>483</v>
      </c>
      <c r="O6" s="59"/>
      <c r="P6" s="59"/>
      <c r="Q6" s="56" t="s">
        <v>1863</v>
      </c>
      <c r="R6" s="59"/>
      <c r="S6" s="56" t="s">
        <v>5733</v>
      </c>
      <c r="T6" s="61" t="s">
        <v>373</v>
      </c>
      <c r="U6" s="58" t="s">
        <v>5734</v>
      </c>
      <c r="W6" s="55" t="b">
        <f t="shared" si="1"/>
        <v>0</v>
      </c>
    </row>
    <row r="7" ht="15.0" customHeight="1">
      <c r="A7" s="56" t="s">
        <v>5735</v>
      </c>
      <c r="B7" s="56" t="s">
        <v>5736</v>
      </c>
      <c r="C7" s="57" t="s">
        <v>5737</v>
      </c>
      <c r="D7" s="56" t="s">
        <v>5738</v>
      </c>
      <c r="E7" s="56" t="s">
        <v>368</v>
      </c>
      <c r="F7" s="56" t="s">
        <v>390</v>
      </c>
      <c r="G7" s="56" t="s">
        <v>459</v>
      </c>
      <c r="H7" s="56" t="s">
        <v>5715</v>
      </c>
      <c r="I7" s="62" t="s">
        <v>421</v>
      </c>
      <c r="J7" s="59"/>
      <c r="K7" s="56" t="s">
        <v>364</v>
      </c>
      <c r="L7" s="56" t="s">
        <v>365</v>
      </c>
      <c r="M7" s="56" t="s">
        <v>413</v>
      </c>
      <c r="N7" s="62" t="s">
        <v>5716</v>
      </c>
      <c r="O7" s="59"/>
      <c r="P7" s="59"/>
      <c r="Q7" s="56" t="s">
        <v>2516</v>
      </c>
      <c r="R7" s="59"/>
      <c r="S7" s="56" t="s">
        <v>5717</v>
      </c>
      <c r="T7" s="61" t="s">
        <v>373</v>
      </c>
      <c r="U7" s="58" t="s">
        <v>5739</v>
      </c>
      <c r="W7" s="55" t="b">
        <f t="shared" si="1"/>
        <v>0</v>
      </c>
    </row>
    <row r="8" ht="15.0" customHeight="1">
      <c r="A8" s="56" t="s">
        <v>5740</v>
      </c>
      <c r="B8" s="56" t="s">
        <v>4401</v>
      </c>
      <c r="C8" s="57" t="s">
        <v>5741</v>
      </c>
      <c r="D8" s="56" t="s">
        <v>5742</v>
      </c>
      <c r="E8" s="56" t="s">
        <v>368</v>
      </c>
      <c r="F8" s="56" t="s">
        <v>675</v>
      </c>
      <c r="G8" s="56" t="s">
        <v>2286</v>
      </c>
      <c r="H8" s="56" t="s">
        <v>1789</v>
      </c>
      <c r="I8" s="56" t="s">
        <v>452</v>
      </c>
      <c r="J8" s="56" t="s">
        <v>390</v>
      </c>
      <c r="K8" s="56" t="s">
        <v>364</v>
      </c>
      <c r="L8" s="56" t="s">
        <v>365</v>
      </c>
      <c r="M8" s="56" t="s">
        <v>869</v>
      </c>
      <c r="N8" s="56" t="s">
        <v>5716</v>
      </c>
      <c r="O8" s="58">
        <v>0.0</v>
      </c>
      <c r="P8" s="58">
        <v>0.0</v>
      </c>
      <c r="Q8" s="56" t="s">
        <v>1378</v>
      </c>
      <c r="R8" s="59"/>
      <c r="S8" s="56" t="s">
        <v>5717</v>
      </c>
      <c r="T8" s="61" t="s">
        <v>373</v>
      </c>
      <c r="U8" s="58" t="s">
        <v>5743</v>
      </c>
      <c r="W8" s="55" t="b">
        <f t="shared" si="1"/>
        <v>0</v>
      </c>
    </row>
    <row r="9" ht="15.0" customHeight="1">
      <c r="A9" s="56" t="s">
        <v>2319</v>
      </c>
      <c r="B9" s="56" t="s">
        <v>2320</v>
      </c>
      <c r="C9" s="57" t="s">
        <v>2321</v>
      </c>
      <c r="D9" s="58">
        <v>1.2818236425E10</v>
      </c>
      <c r="E9" s="56" t="s">
        <v>368</v>
      </c>
      <c r="F9" s="56" t="s">
        <v>459</v>
      </c>
      <c r="G9" s="56" t="s">
        <v>452</v>
      </c>
      <c r="H9" s="56" t="s">
        <v>443</v>
      </c>
      <c r="I9" s="62" t="s">
        <v>5715</v>
      </c>
      <c r="J9" s="59"/>
      <c r="K9" s="56" t="s">
        <v>399</v>
      </c>
      <c r="L9" s="56" t="s">
        <v>412</v>
      </c>
      <c r="M9" s="56" t="s">
        <v>413</v>
      </c>
      <c r="N9" s="62" t="s">
        <v>5716</v>
      </c>
      <c r="O9" s="59"/>
      <c r="P9" s="59"/>
      <c r="Q9" s="56" t="s">
        <v>3515</v>
      </c>
      <c r="R9" s="59"/>
      <c r="S9" s="56" t="s">
        <v>5717</v>
      </c>
      <c r="T9" s="61" t="s">
        <v>373</v>
      </c>
      <c r="U9" s="58" t="s">
        <v>5744</v>
      </c>
      <c r="W9" s="55" t="b">
        <f t="shared" si="1"/>
        <v>0</v>
      </c>
    </row>
    <row r="10" ht="15.0" customHeight="1">
      <c r="A10" s="56" t="s">
        <v>2325</v>
      </c>
      <c r="B10" s="56" t="s">
        <v>2326</v>
      </c>
      <c r="C10" s="57" t="s">
        <v>2327</v>
      </c>
      <c r="D10" s="58">
        <v>6.024295828E9</v>
      </c>
      <c r="E10" s="56" t="s">
        <v>368</v>
      </c>
      <c r="F10" s="56" t="s">
        <v>452</v>
      </c>
      <c r="G10" s="56" t="s">
        <v>390</v>
      </c>
      <c r="H10" s="56" t="s">
        <v>675</v>
      </c>
      <c r="I10" s="62" t="s">
        <v>410</v>
      </c>
      <c r="J10" s="59"/>
      <c r="K10" s="56" t="s">
        <v>364</v>
      </c>
      <c r="L10" s="56" t="s">
        <v>365</v>
      </c>
      <c r="M10" s="56" t="s">
        <v>366</v>
      </c>
      <c r="N10" s="56" t="s">
        <v>5720</v>
      </c>
      <c r="O10" s="58">
        <v>0.0</v>
      </c>
      <c r="P10" s="59"/>
      <c r="Q10" s="56" t="s">
        <v>454</v>
      </c>
      <c r="R10" s="59"/>
      <c r="S10" s="56" t="s">
        <v>5722</v>
      </c>
      <c r="T10" s="61" t="s">
        <v>373</v>
      </c>
      <c r="U10" s="58" t="s">
        <v>5745</v>
      </c>
      <c r="W10" s="55" t="b">
        <f t="shared" si="1"/>
        <v>0</v>
      </c>
    </row>
    <row r="11" ht="15.0" customHeight="1">
      <c r="A11" s="56" t="s">
        <v>56</v>
      </c>
      <c r="B11" s="56" t="s">
        <v>403</v>
      </c>
      <c r="C11" s="57" t="s">
        <v>404</v>
      </c>
      <c r="D11" s="58">
        <v>2.812072055E9</v>
      </c>
      <c r="E11" s="56" t="s">
        <v>368</v>
      </c>
      <c r="F11" s="56" t="s">
        <v>2286</v>
      </c>
      <c r="G11" s="56" t="s">
        <v>2286</v>
      </c>
      <c r="H11" s="56" t="s">
        <v>2286</v>
      </c>
      <c r="I11" s="62" t="s">
        <v>2286</v>
      </c>
      <c r="J11" s="59"/>
      <c r="K11" s="56" t="s">
        <v>364</v>
      </c>
      <c r="L11" s="56" t="s">
        <v>365</v>
      </c>
      <c r="M11" s="56" t="s">
        <v>413</v>
      </c>
      <c r="N11" s="62" t="s">
        <v>5720</v>
      </c>
      <c r="O11" s="59"/>
      <c r="P11" s="59"/>
      <c r="Q11" s="56" t="s">
        <v>5746</v>
      </c>
      <c r="R11" s="59"/>
      <c r="S11" s="56" t="s">
        <v>5722</v>
      </c>
      <c r="T11" s="61" t="s">
        <v>373</v>
      </c>
      <c r="U11" s="58" t="s">
        <v>5747</v>
      </c>
      <c r="W11" s="55" t="b">
        <f t="shared" si="1"/>
        <v>0</v>
      </c>
    </row>
    <row r="12" ht="15.0" customHeight="1">
      <c r="A12" s="56" t="s">
        <v>57</v>
      </c>
      <c r="B12" s="56" t="s">
        <v>407</v>
      </c>
      <c r="C12" s="57" t="s">
        <v>408</v>
      </c>
      <c r="D12" s="56" t="s">
        <v>4512</v>
      </c>
      <c r="E12" s="56" t="s">
        <v>368</v>
      </c>
      <c r="F12" s="56" t="s">
        <v>452</v>
      </c>
      <c r="G12" s="56" t="s">
        <v>410</v>
      </c>
      <c r="H12" s="62" t="s">
        <v>390</v>
      </c>
      <c r="I12" s="59"/>
      <c r="J12" s="59"/>
      <c r="K12" s="56" t="s">
        <v>379</v>
      </c>
      <c r="L12" s="56" t="s">
        <v>365</v>
      </c>
      <c r="M12" s="56" t="s">
        <v>413</v>
      </c>
      <c r="N12" s="56" t="s">
        <v>5716</v>
      </c>
      <c r="O12" s="58">
        <v>1.0</v>
      </c>
      <c r="P12" s="59"/>
      <c r="Q12" s="56" t="s">
        <v>3109</v>
      </c>
      <c r="R12" s="59"/>
      <c r="S12" s="56" t="s">
        <v>5717</v>
      </c>
      <c r="T12" s="61" t="s">
        <v>373</v>
      </c>
      <c r="U12" s="58" t="s">
        <v>5748</v>
      </c>
      <c r="W12" s="55" t="b">
        <f t="shared" si="1"/>
        <v>0</v>
      </c>
    </row>
    <row r="13" ht="15.0" customHeight="1">
      <c r="A13" s="56" t="s">
        <v>5749</v>
      </c>
      <c r="B13" s="56" t="s">
        <v>5750</v>
      </c>
      <c r="C13" s="57" t="s">
        <v>5751</v>
      </c>
      <c r="D13" s="56" t="s">
        <v>5752</v>
      </c>
      <c r="E13" s="56" t="s">
        <v>368</v>
      </c>
      <c r="F13" s="56" t="s">
        <v>410</v>
      </c>
      <c r="G13" s="56" t="s">
        <v>390</v>
      </c>
      <c r="H13" s="62" t="s">
        <v>362</v>
      </c>
      <c r="I13" s="59"/>
      <c r="J13" s="59"/>
      <c r="K13" s="56" t="s">
        <v>399</v>
      </c>
      <c r="L13" s="56" t="s">
        <v>365</v>
      </c>
      <c r="M13" s="56" t="s">
        <v>413</v>
      </c>
      <c r="N13" s="56" t="s">
        <v>5716</v>
      </c>
      <c r="O13" s="58">
        <v>1.0</v>
      </c>
      <c r="P13" s="59"/>
      <c r="Q13" s="56" t="s">
        <v>4500</v>
      </c>
      <c r="R13" s="59"/>
      <c r="S13" s="56" t="s">
        <v>5717</v>
      </c>
      <c r="T13" s="61" t="s">
        <v>373</v>
      </c>
      <c r="U13" s="58" t="s">
        <v>5753</v>
      </c>
      <c r="W13" s="55" t="b">
        <f t="shared" si="1"/>
        <v>0</v>
      </c>
    </row>
    <row r="14" ht="15.0" customHeight="1">
      <c r="A14" s="56" t="s">
        <v>5754</v>
      </c>
      <c r="B14" s="56" t="s">
        <v>2334</v>
      </c>
      <c r="C14" s="57" t="s">
        <v>2335</v>
      </c>
      <c r="D14" s="58">
        <v>9.802281527E9</v>
      </c>
      <c r="E14" s="56" t="s">
        <v>368</v>
      </c>
      <c r="F14" s="56" t="s">
        <v>410</v>
      </c>
      <c r="G14" s="56" t="s">
        <v>390</v>
      </c>
      <c r="H14" s="56" t="s">
        <v>452</v>
      </c>
      <c r="I14" s="62" t="s">
        <v>362</v>
      </c>
      <c r="J14" s="59"/>
      <c r="K14" s="56" t="s">
        <v>379</v>
      </c>
      <c r="L14" s="56" t="s">
        <v>830</v>
      </c>
      <c r="M14" s="56" t="s">
        <v>413</v>
      </c>
      <c r="N14" s="56" t="s">
        <v>5716</v>
      </c>
      <c r="O14" s="58">
        <v>1.0</v>
      </c>
      <c r="P14" s="59"/>
      <c r="Q14" s="56" t="s">
        <v>4082</v>
      </c>
      <c r="R14" s="59"/>
      <c r="S14" s="56" t="s">
        <v>5717</v>
      </c>
      <c r="T14" s="61" t="s">
        <v>373</v>
      </c>
      <c r="U14" s="58" t="s">
        <v>5755</v>
      </c>
      <c r="W14" s="55" t="b">
        <f t="shared" si="1"/>
        <v>0</v>
      </c>
    </row>
    <row r="15" ht="15.0" customHeight="1">
      <c r="A15" s="56" t="s">
        <v>58</v>
      </c>
      <c r="B15" s="56" t="s">
        <v>2337</v>
      </c>
      <c r="C15" s="57" t="s">
        <v>5756</v>
      </c>
      <c r="D15" s="58">
        <v>9.729989507E9</v>
      </c>
      <c r="E15" s="56" t="s">
        <v>368</v>
      </c>
      <c r="F15" s="56" t="s">
        <v>459</v>
      </c>
      <c r="G15" s="56" t="s">
        <v>390</v>
      </c>
      <c r="H15" s="62" t="s">
        <v>452</v>
      </c>
      <c r="I15" s="59"/>
      <c r="J15" s="59"/>
      <c r="K15" s="56" t="s">
        <v>364</v>
      </c>
      <c r="L15" s="56" t="s">
        <v>365</v>
      </c>
      <c r="M15" s="56" t="s">
        <v>413</v>
      </c>
      <c r="N15" s="62" t="s">
        <v>381</v>
      </c>
      <c r="O15" s="59"/>
      <c r="P15" s="59"/>
      <c r="Q15" s="56" t="s">
        <v>2719</v>
      </c>
      <c r="R15" s="59"/>
      <c r="S15" s="56" t="s">
        <v>5733</v>
      </c>
      <c r="T15" s="61" t="s">
        <v>373</v>
      </c>
      <c r="U15" s="58" t="s">
        <v>5757</v>
      </c>
      <c r="W15" s="55" t="b">
        <f t="shared" si="1"/>
        <v>0</v>
      </c>
    </row>
    <row r="16" ht="15.0" customHeight="1">
      <c r="A16" s="56" t="s">
        <v>2342</v>
      </c>
      <c r="B16" s="56" t="s">
        <v>2343</v>
      </c>
      <c r="C16" s="57" t="s">
        <v>2344</v>
      </c>
      <c r="D16" s="56" t="s">
        <v>2345</v>
      </c>
      <c r="E16" s="56" t="s">
        <v>368</v>
      </c>
      <c r="F16" s="56" t="s">
        <v>443</v>
      </c>
      <c r="G16" s="56" t="s">
        <v>362</v>
      </c>
      <c r="H16" s="56" t="s">
        <v>5715</v>
      </c>
      <c r="I16" s="56" t="s">
        <v>452</v>
      </c>
      <c r="J16" s="56" t="s">
        <v>390</v>
      </c>
      <c r="K16" s="56" t="s">
        <v>399</v>
      </c>
      <c r="L16" s="56" t="s">
        <v>405</v>
      </c>
      <c r="M16" s="56" t="s">
        <v>513</v>
      </c>
      <c r="N16" s="62" t="s">
        <v>5716</v>
      </c>
      <c r="O16" s="59"/>
      <c r="P16" s="59"/>
      <c r="Q16" s="56" t="s">
        <v>970</v>
      </c>
      <c r="R16" s="59"/>
      <c r="S16" s="56" t="s">
        <v>5717</v>
      </c>
      <c r="T16" s="61" t="s">
        <v>373</v>
      </c>
      <c r="U16" s="58" t="s">
        <v>5758</v>
      </c>
      <c r="W16" s="55" t="b">
        <f t="shared" si="1"/>
        <v>1</v>
      </c>
    </row>
    <row r="17" ht="15.0" customHeight="1">
      <c r="A17" s="56" t="s">
        <v>289</v>
      </c>
      <c r="B17" s="56" t="s">
        <v>4517</v>
      </c>
      <c r="C17" s="57" t="s">
        <v>4518</v>
      </c>
      <c r="D17" s="58">
        <v>7.044655947E9</v>
      </c>
      <c r="E17" s="56" t="s">
        <v>368</v>
      </c>
      <c r="F17" s="56" t="s">
        <v>390</v>
      </c>
      <c r="G17" s="56" t="s">
        <v>410</v>
      </c>
      <c r="H17" s="56" t="s">
        <v>1553</v>
      </c>
      <c r="I17" s="56" t="s">
        <v>2291</v>
      </c>
      <c r="J17" s="56" t="s">
        <v>421</v>
      </c>
      <c r="K17" s="56" t="s">
        <v>379</v>
      </c>
      <c r="L17" s="56" t="s">
        <v>365</v>
      </c>
      <c r="M17" s="56" t="s">
        <v>366</v>
      </c>
      <c r="N17" s="62" t="s">
        <v>5716</v>
      </c>
      <c r="O17" s="59"/>
      <c r="P17" s="59"/>
      <c r="Q17" s="56" t="s">
        <v>4051</v>
      </c>
      <c r="R17" s="59"/>
      <c r="S17" s="56" t="s">
        <v>5717</v>
      </c>
      <c r="T17" s="61" t="s">
        <v>373</v>
      </c>
      <c r="U17" s="58" t="s">
        <v>5759</v>
      </c>
      <c r="W17" s="55" t="b">
        <f t="shared" si="1"/>
        <v>0</v>
      </c>
    </row>
    <row r="18" ht="15.0" customHeight="1">
      <c r="A18" s="56" t="s">
        <v>59</v>
      </c>
      <c r="B18" s="56" t="s">
        <v>4522</v>
      </c>
      <c r="C18" s="57" t="s">
        <v>4523</v>
      </c>
      <c r="D18" s="58">
        <v>2.81201125E9</v>
      </c>
      <c r="E18" s="56" t="s">
        <v>368</v>
      </c>
      <c r="F18" s="56" t="s">
        <v>410</v>
      </c>
      <c r="G18" s="56" t="s">
        <v>1789</v>
      </c>
      <c r="H18" s="56" t="s">
        <v>2286</v>
      </c>
      <c r="I18" s="62" t="s">
        <v>390</v>
      </c>
      <c r="J18" s="59"/>
      <c r="K18" s="56" t="s">
        <v>399</v>
      </c>
      <c r="L18" s="56" t="s">
        <v>412</v>
      </c>
      <c r="M18" s="56" t="s">
        <v>366</v>
      </c>
      <c r="N18" s="62" t="s">
        <v>5720</v>
      </c>
      <c r="O18" s="59"/>
      <c r="P18" s="59"/>
      <c r="Q18" s="56" t="s">
        <v>1584</v>
      </c>
      <c r="R18" s="59"/>
      <c r="S18" s="56" t="s">
        <v>5722</v>
      </c>
      <c r="T18" s="61" t="s">
        <v>373</v>
      </c>
      <c r="U18" s="58" t="s">
        <v>5760</v>
      </c>
      <c r="W18" s="55" t="b">
        <f t="shared" si="1"/>
        <v>0</v>
      </c>
    </row>
    <row r="19" ht="15.0" customHeight="1">
      <c r="A19" s="56" t="s">
        <v>2352</v>
      </c>
      <c r="B19" s="56" t="s">
        <v>2353</v>
      </c>
      <c r="C19" s="57" t="s">
        <v>2354</v>
      </c>
      <c r="D19" s="58">
        <v>6.176200261E9</v>
      </c>
      <c r="E19" s="56" t="s">
        <v>368</v>
      </c>
      <c r="F19" s="56" t="s">
        <v>452</v>
      </c>
      <c r="G19" s="62" t="s">
        <v>5715</v>
      </c>
      <c r="H19" s="59"/>
      <c r="I19" s="59"/>
      <c r="J19" s="59"/>
      <c r="K19" s="56" t="s">
        <v>399</v>
      </c>
      <c r="L19" s="56" t="s">
        <v>365</v>
      </c>
      <c r="M19" s="56" t="s">
        <v>513</v>
      </c>
      <c r="N19" s="56" t="s">
        <v>5716</v>
      </c>
      <c r="O19" s="58">
        <v>0.0</v>
      </c>
      <c r="P19" s="59"/>
      <c r="Q19" s="56" t="s">
        <v>907</v>
      </c>
      <c r="R19" s="59"/>
      <c r="S19" s="56" t="s">
        <v>5717</v>
      </c>
      <c r="T19" s="61" t="s">
        <v>373</v>
      </c>
      <c r="U19" s="58" t="s">
        <v>5761</v>
      </c>
      <c r="W19" s="55" t="b">
        <f t="shared" si="1"/>
        <v>1</v>
      </c>
    </row>
    <row r="20" ht="15.0" customHeight="1">
      <c r="A20" s="56" t="s">
        <v>5762</v>
      </c>
      <c r="B20" s="56" t="s">
        <v>5763</v>
      </c>
      <c r="C20" s="57" t="s">
        <v>5764</v>
      </c>
      <c r="D20" s="58">
        <v>5.128212081E9</v>
      </c>
      <c r="E20" s="56" t="s">
        <v>368</v>
      </c>
      <c r="F20" s="62" t="s">
        <v>2286</v>
      </c>
      <c r="G20" s="59"/>
      <c r="H20" s="59"/>
      <c r="I20" s="59"/>
      <c r="J20" s="59"/>
      <c r="K20" s="56" t="s">
        <v>399</v>
      </c>
      <c r="L20" s="56" t="s">
        <v>380</v>
      </c>
      <c r="M20" s="56" t="s">
        <v>513</v>
      </c>
      <c r="N20" s="56" t="s">
        <v>5720</v>
      </c>
      <c r="O20" s="58">
        <v>0.0</v>
      </c>
      <c r="P20" s="59"/>
      <c r="Q20" s="56" t="s">
        <v>5765</v>
      </c>
      <c r="R20" s="59"/>
      <c r="S20" s="56" t="s">
        <v>5722</v>
      </c>
      <c r="T20" s="61" t="s">
        <v>373</v>
      </c>
      <c r="U20" s="58" t="s">
        <v>5766</v>
      </c>
      <c r="W20" s="55" t="b">
        <f t="shared" si="1"/>
        <v>1</v>
      </c>
    </row>
    <row r="21" ht="15.0" customHeight="1">
      <c r="A21" s="56" t="s">
        <v>2364</v>
      </c>
      <c r="B21" s="56" t="s">
        <v>5767</v>
      </c>
      <c r="C21" s="57" t="s">
        <v>5768</v>
      </c>
      <c r="D21" s="56" t="s">
        <v>5769</v>
      </c>
      <c r="E21" s="56" t="s">
        <v>368</v>
      </c>
      <c r="F21" s="56" t="s">
        <v>390</v>
      </c>
      <c r="G21" s="56" t="s">
        <v>1789</v>
      </c>
      <c r="H21" s="62" t="s">
        <v>2286</v>
      </c>
      <c r="I21" s="59"/>
      <c r="J21" s="59"/>
      <c r="K21" s="56" t="s">
        <v>364</v>
      </c>
      <c r="L21" s="56" t="s">
        <v>412</v>
      </c>
      <c r="M21" s="56" t="s">
        <v>366</v>
      </c>
      <c r="N21" s="62" t="s">
        <v>5770</v>
      </c>
      <c r="O21" s="59"/>
      <c r="P21" s="59"/>
      <c r="Q21" s="56" t="s">
        <v>5771</v>
      </c>
      <c r="R21" s="59"/>
      <c r="S21" s="56" t="s">
        <v>5722</v>
      </c>
      <c r="T21" s="61" t="s">
        <v>373</v>
      </c>
      <c r="U21" s="58" t="s">
        <v>5772</v>
      </c>
      <c r="W21" s="55" t="b">
        <f t="shared" si="1"/>
        <v>0</v>
      </c>
    </row>
    <row r="22" ht="15.0" customHeight="1">
      <c r="A22" s="56" t="s">
        <v>2369</v>
      </c>
      <c r="B22" s="56" t="s">
        <v>508</v>
      </c>
      <c r="C22" s="57" t="s">
        <v>509</v>
      </c>
      <c r="D22" s="58">
        <v>2.146083239E9</v>
      </c>
      <c r="E22" s="56" t="s">
        <v>368</v>
      </c>
      <c r="F22" s="56" t="s">
        <v>2286</v>
      </c>
      <c r="G22" s="62" t="s">
        <v>421</v>
      </c>
      <c r="H22" s="59"/>
      <c r="I22" s="59"/>
      <c r="J22" s="59"/>
      <c r="K22" s="56" t="s">
        <v>364</v>
      </c>
      <c r="L22" s="56" t="s">
        <v>380</v>
      </c>
      <c r="M22" s="56" t="s">
        <v>513</v>
      </c>
      <c r="N22" s="62" t="s">
        <v>5716</v>
      </c>
      <c r="O22" s="59"/>
      <c r="P22" s="59"/>
      <c r="Q22" s="56" t="s">
        <v>4468</v>
      </c>
      <c r="R22" s="59"/>
      <c r="S22" s="56" t="s">
        <v>5717</v>
      </c>
      <c r="T22" s="61" t="s">
        <v>373</v>
      </c>
      <c r="U22" s="58" t="s">
        <v>5773</v>
      </c>
      <c r="W22" s="55" t="b">
        <f t="shared" si="1"/>
        <v>1</v>
      </c>
    </row>
    <row r="23" ht="15.0" customHeight="1">
      <c r="A23" s="56" t="s">
        <v>60</v>
      </c>
      <c r="B23" s="56" t="s">
        <v>5774</v>
      </c>
      <c r="C23" s="57" t="s">
        <v>4541</v>
      </c>
      <c r="D23" s="56" t="s">
        <v>4542</v>
      </c>
      <c r="E23" s="56" t="s">
        <v>368</v>
      </c>
      <c r="F23" s="56" t="s">
        <v>709</v>
      </c>
      <c r="G23" s="56" t="s">
        <v>2286</v>
      </c>
      <c r="H23" s="56" t="s">
        <v>362</v>
      </c>
      <c r="I23" s="56" t="s">
        <v>452</v>
      </c>
      <c r="J23" s="56" t="s">
        <v>2931</v>
      </c>
      <c r="K23" s="56" t="s">
        <v>364</v>
      </c>
      <c r="L23" s="56" t="s">
        <v>412</v>
      </c>
      <c r="M23" s="56" t="s">
        <v>413</v>
      </c>
      <c r="N23" s="56" t="s">
        <v>381</v>
      </c>
      <c r="O23" s="58">
        <v>2.0</v>
      </c>
      <c r="P23" s="58">
        <v>2.0</v>
      </c>
      <c r="Q23" s="56" t="s">
        <v>2878</v>
      </c>
      <c r="R23" s="59"/>
      <c r="S23" s="56" t="s">
        <v>5733</v>
      </c>
      <c r="T23" s="61" t="s">
        <v>373</v>
      </c>
      <c r="U23" s="58" t="s">
        <v>5775</v>
      </c>
      <c r="W23" s="55" t="b">
        <f t="shared" si="1"/>
        <v>0</v>
      </c>
    </row>
    <row r="24" ht="15.0" customHeight="1">
      <c r="A24" s="56" t="s">
        <v>2379</v>
      </c>
      <c r="B24" s="56" t="s">
        <v>5776</v>
      </c>
      <c r="C24" s="57" t="s">
        <v>5777</v>
      </c>
      <c r="D24" s="58">
        <v>6.822782232E9</v>
      </c>
      <c r="E24" s="56" t="s">
        <v>368</v>
      </c>
      <c r="F24" s="56" t="s">
        <v>459</v>
      </c>
      <c r="G24" s="56" t="s">
        <v>5715</v>
      </c>
      <c r="H24" s="56" t="s">
        <v>2291</v>
      </c>
      <c r="I24" s="56" t="s">
        <v>390</v>
      </c>
      <c r="J24" s="56" t="s">
        <v>2286</v>
      </c>
      <c r="K24" s="56" t="s">
        <v>364</v>
      </c>
      <c r="L24" s="56" t="s">
        <v>380</v>
      </c>
      <c r="M24" s="56" t="s">
        <v>366</v>
      </c>
      <c r="N24" s="56" t="s">
        <v>5724</v>
      </c>
      <c r="O24" s="58">
        <v>4.0</v>
      </c>
      <c r="P24" s="59"/>
      <c r="Q24" s="56" t="s">
        <v>5778</v>
      </c>
      <c r="R24" s="59"/>
      <c r="S24" s="56" t="s">
        <v>5717</v>
      </c>
      <c r="T24" s="61" t="s">
        <v>373</v>
      </c>
      <c r="U24" s="58" t="s">
        <v>5779</v>
      </c>
      <c r="W24" s="55" t="b">
        <f t="shared" si="1"/>
        <v>0</v>
      </c>
    </row>
    <row r="25" ht="15.0" customHeight="1">
      <c r="A25" s="56" t="s">
        <v>5780</v>
      </c>
      <c r="B25" s="56" t="s">
        <v>5781</v>
      </c>
      <c r="C25" s="57" t="s">
        <v>5782</v>
      </c>
      <c r="D25" s="56" t="s">
        <v>5783</v>
      </c>
      <c r="E25" s="56" t="s">
        <v>368</v>
      </c>
      <c r="F25" s="56" t="s">
        <v>2286</v>
      </c>
      <c r="G25" s="62" t="s">
        <v>1789</v>
      </c>
      <c r="H25" s="59"/>
      <c r="I25" s="59"/>
      <c r="J25" s="59"/>
      <c r="K25" s="56" t="s">
        <v>364</v>
      </c>
      <c r="L25" s="56" t="s">
        <v>380</v>
      </c>
      <c r="M25" s="56" t="s">
        <v>513</v>
      </c>
      <c r="N25" s="62" t="s">
        <v>381</v>
      </c>
      <c r="O25" s="59"/>
      <c r="P25" s="59"/>
      <c r="Q25" s="59"/>
      <c r="R25" s="59"/>
      <c r="S25" s="56" t="s">
        <v>5733</v>
      </c>
      <c r="T25" s="61" t="s">
        <v>394</v>
      </c>
      <c r="U25" s="58" t="s">
        <v>5784</v>
      </c>
      <c r="W25" s="55" t="b">
        <f t="shared" si="1"/>
        <v>1</v>
      </c>
    </row>
    <row r="26" ht="15.0" customHeight="1">
      <c r="A26" s="56" t="s">
        <v>5785</v>
      </c>
      <c r="B26" s="56" t="s">
        <v>5786</v>
      </c>
      <c r="C26" s="57" t="s">
        <v>5787</v>
      </c>
      <c r="D26" s="58">
        <v>9.195613452E9</v>
      </c>
      <c r="E26" s="56" t="s">
        <v>368</v>
      </c>
      <c r="F26" s="56" t="s">
        <v>452</v>
      </c>
      <c r="G26" s="56" t="s">
        <v>5715</v>
      </c>
      <c r="H26" s="56" t="s">
        <v>362</v>
      </c>
      <c r="I26" s="62" t="s">
        <v>3730</v>
      </c>
      <c r="J26" s="59"/>
      <c r="K26" s="56" t="s">
        <v>399</v>
      </c>
      <c r="L26" s="56" t="s">
        <v>365</v>
      </c>
      <c r="M26" s="56" t="s">
        <v>513</v>
      </c>
      <c r="N26" s="62" t="s">
        <v>381</v>
      </c>
      <c r="O26" s="59"/>
      <c r="P26" s="59"/>
      <c r="Q26" s="56" t="s">
        <v>1869</v>
      </c>
      <c r="R26" s="59"/>
      <c r="S26" s="56" t="s">
        <v>5733</v>
      </c>
      <c r="T26" s="61" t="s">
        <v>373</v>
      </c>
      <c r="U26" s="58" t="s">
        <v>5788</v>
      </c>
      <c r="W26" s="55" t="b">
        <f t="shared" si="1"/>
        <v>1</v>
      </c>
    </row>
    <row r="27" ht="15.0" customHeight="1">
      <c r="A27" s="56" t="s">
        <v>62</v>
      </c>
      <c r="B27" s="56" t="s">
        <v>4545</v>
      </c>
      <c r="C27" s="57" t="s">
        <v>4546</v>
      </c>
      <c r="D27" s="58">
        <v>6.122099917E9</v>
      </c>
      <c r="E27" s="56" t="s">
        <v>368</v>
      </c>
      <c r="F27" s="56" t="s">
        <v>390</v>
      </c>
      <c r="G27" s="56" t="s">
        <v>410</v>
      </c>
      <c r="H27" s="56" t="s">
        <v>2291</v>
      </c>
      <c r="I27" s="62" t="s">
        <v>1598</v>
      </c>
      <c r="J27" s="59"/>
      <c r="K27" s="56" t="s">
        <v>379</v>
      </c>
      <c r="L27" s="56" t="s">
        <v>365</v>
      </c>
      <c r="M27" s="56" t="s">
        <v>513</v>
      </c>
      <c r="N27" s="62" t="s">
        <v>497</v>
      </c>
      <c r="O27" s="59"/>
      <c r="P27" s="59"/>
      <c r="Q27" s="56" t="s">
        <v>5789</v>
      </c>
      <c r="R27" s="59"/>
      <c r="S27" s="56" t="s">
        <v>5733</v>
      </c>
      <c r="T27" s="61" t="s">
        <v>373</v>
      </c>
      <c r="U27" s="58" t="s">
        <v>5790</v>
      </c>
      <c r="W27" s="55" t="b">
        <f t="shared" si="1"/>
        <v>1</v>
      </c>
    </row>
    <row r="28" ht="15.0" customHeight="1">
      <c r="A28" s="56" t="s">
        <v>5791</v>
      </c>
      <c r="B28" s="56" t="s">
        <v>5792</v>
      </c>
      <c r="C28" s="57" t="s">
        <v>5793</v>
      </c>
      <c r="D28" s="58">
        <v>4.252307126E9</v>
      </c>
      <c r="E28" s="56" t="s">
        <v>368</v>
      </c>
      <c r="F28" s="56" t="s">
        <v>2286</v>
      </c>
      <c r="G28" s="62" t="s">
        <v>390</v>
      </c>
      <c r="H28" s="59"/>
      <c r="I28" s="59"/>
      <c r="J28" s="59"/>
      <c r="K28" s="56" t="s">
        <v>399</v>
      </c>
      <c r="L28" s="56" t="s">
        <v>380</v>
      </c>
      <c r="M28" s="56" t="s">
        <v>513</v>
      </c>
      <c r="N28" s="62" t="s">
        <v>5716</v>
      </c>
      <c r="O28" s="59"/>
      <c r="P28" s="59"/>
      <c r="Q28" s="56" t="s">
        <v>2419</v>
      </c>
      <c r="R28" s="59"/>
      <c r="S28" s="56" t="s">
        <v>5717</v>
      </c>
      <c r="T28" s="61" t="s">
        <v>373</v>
      </c>
      <c r="U28" s="58" t="s">
        <v>5794</v>
      </c>
      <c r="W28" s="55" t="b">
        <f t="shared" si="1"/>
        <v>1</v>
      </c>
    </row>
    <row r="29" ht="15.0" customHeight="1">
      <c r="A29" s="56" t="s">
        <v>5795</v>
      </c>
      <c r="B29" s="56" t="s">
        <v>5796</v>
      </c>
      <c r="C29" s="57" t="s">
        <v>5797</v>
      </c>
      <c r="D29" s="58">
        <v>8.177234013E9</v>
      </c>
      <c r="E29" s="56" t="s">
        <v>368</v>
      </c>
      <c r="F29" s="56" t="s">
        <v>1553</v>
      </c>
      <c r="G29" s="56" t="s">
        <v>390</v>
      </c>
      <c r="H29" s="62" t="s">
        <v>410</v>
      </c>
      <c r="I29" s="59"/>
      <c r="J29" s="59"/>
      <c r="K29" s="56" t="s">
        <v>379</v>
      </c>
      <c r="L29" s="56" t="s">
        <v>405</v>
      </c>
      <c r="M29" s="56" t="s">
        <v>413</v>
      </c>
      <c r="N29" s="62" t="s">
        <v>5798</v>
      </c>
      <c r="O29" s="59"/>
      <c r="P29" s="58">
        <v>0.0</v>
      </c>
      <c r="Q29" s="56" t="s">
        <v>4727</v>
      </c>
      <c r="R29" s="59"/>
      <c r="S29" s="56" t="s">
        <v>5722</v>
      </c>
      <c r="T29" s="61" t="s">
        <v>373</v>
      </c>
      <c r="U29" s="58" t="s">
        <v>5799</v>
      </c>
      <c r="W29" s="55" t="b">
        <f t="shared" si="1"/>
        <v>0</v>
      </c>
    </row>
    <row r="30" ht="15.0" customHeight="1">
      <c r="A30" s="56" t="s">
        <v>2408</v>
      </c>
      <c r="B30" s="56" t="s">
        <v>5800</v>
      </c>
      <c r="C30" s="57" t="s">
        <v>5801</v>
      </c>
      <c r="D30" s="58">
        <v>4.062494277E9</v>
      </c>
      <c r="E30" s="56" t="s">
        <v>368</v>
      </c>
      <c r="F30" s="56" t="s">
        <v>1598</v>
      </c>
      <c r="G30" s="56" t="s">
        <v>390</v>
      </c>
      <c r="H30" s="56" t="s">
        <v>421</v>
      </c>
      <c r="I30" s="56" t="s">
        <v>410</v>
      </c>
      <c r="J30" s="56" t="s">
        <v>452</v>
      </c>
      <c r="K30" s="56" t="s">
        <v>364</v>
      </c>
      <c r="L30" s="56" t="s">
        <v>365</v>
      </c>
      <c r="M30" s="56" t="s">
        <v>513</v>
      </c>
      <c r="N30" s="62" t="s">
        <v>5716</v>
      </c>
      <c r="O30" s="59"/>
      <c r="P30" s="59"/>
      <c r="Q30" s="56" t="s">
        <v>477</v>
      </c>
      <c r="R30" s="59"/>
      <c r="S30" s="56" t="s">
        <v>5717</v>
      </c>
      <c r="T30" s="61" t="s">
        <v>373</v>
      </c>
      <c r="U30" s="58" t="s">
        <v>5802</v>
      </c>
      <c r="W30" s="55" t="b">
        <f t="shared" si="1"/>
        <v>1</v>
      </c>
    </row>
    <row r="31" ht="15.0" customHeight="1">
      <c r="A31" s="56" t="s">
        <v>2415</v>
      </c>
      <c r="B31" s="56" t="s">
        <v>2416</v>
      </c>
      <c r="C31" s="57" t="s">
        <v>2417</v>
      </c>
      <c r="D31" s="58">
        <v>5.058833636E9</v>
      </c>
      <c r="E31" s="56" t="s">
        <v>368</v>
      </c>
      <c r="F31" s="56" t="s">
        <v>390</v>
      </c>
      <c r="G31" s="56" t="s">
        <v>410</v>
      </c>
      <c r="H31" s="56" t="s">
        <v>459</v>
      </c>
      <c r="I31" s="56" t="s">
        <v>452</v>
      </c>
      <c r="J31" s="56" t="s">
        <v>2286</v>
      </c>
      <c r="K31" s="56" t="s">
        <v>399</v>
      </c>
      <c r="L31" s="56" t="s">
        <v>667</v>
      </c>
      <c r="M31" s="56" t="s">
        <v>413</v>
      </c>
      <c r="N31" s="56" t="s">
        <v>381</v>
      </c>
      <c r="O31" s="58">
        <v>0.0</v>
      </c>
      <c r="P31" s="58">
        <v>0.0</v>
      </c>
      <c r="Q31" s="56" t="s">
        <v>1355</v>
      </c>
      <c r="R31" s="59"/>
      <c r="S31" s="56" t="s">
        <v>5733</v>
      </c>
      <c r="T31" s="61" t="s">
        <v>394</v>
      </c>
      <c r="U31" s="58" t="s">
        <v>5803</v>
      </c>
      <c r="W31" s="55" t="b">
        <f t="shared" si="1"/>
        <v>0</v>
      </c>
    </row>
    <row r="32" ht="15.0" customHeight="1">
      <c r="A32" s="56" t="s">
        <v>63</v>
      </c>
      <c r="B32" s="56" t="s">
        <v>4560</v>
      </c>
      <c r="C32" s="57" t="s">
        <v>5804</v>
      </c>
      <c r="D32" s="58">
        <v>5.128353782E9</v>
      </c>
      <c r="E32" s="56" t="s">
        <v>368</v>
      </c>
      <c r="F32" s="56" t="s">
        <v>459</v>
      </c>
      <c r="G32" s="56" t="s">
        <v>452</v>
      </c>
      <c r="H32" s="56" t="s">
        <v>390</v>
      </c>
      <c r="I32" s="62" t="s">
        <v>5715</v>
      </c>
      <c r="J32" s="59"/>
      <c r="K32" s="56" t="s">
        <v>399</v>
      </c>
      <c r="L32" s="56" t="s">
        <v>365</v>
      </c>
      <c r="M32" s="56" t="s">
        <v>413</v>
      </c>
      <c r="N32" s="62" t="s">
        <v>497</v>
      </c>
      <c r="O32" s="59"/>
      <c r="P32" s="59"/>
      <c r="Q32" s="56" t="s">
        <v>5805</v>
      </c>
      <c r="R32" s="59"/>
      <c r="S32" s="56" t="s">
        <v>5733</v>
      </c>
      <c r="T32" s="61" t="s">
        <v>373</v>
      </c>
      <c r="U32" s="58" t="s">
        <v>5806</v>
      </c>
      <c r="W32" s="55" t="b">
        <f t="shared" si="1"/>
        <v>0</v>
      </c>
    </row>
    <row r="33" ht="15.0" customHeight="1">
      <c r="A33" s="56" t="s">
        <v>65</v>
      </c>
      <c r="B33" s="56" t="s">
        <v>4563</v>
      </c>
      <c r="C33" s="57" t="s">
        <v>5807</v>
      </c>
      <c r="D33" s="56" t="s">
        <v>4565</v>
      </c>
      <c r="E33" s="56" t="s">
        <v>368</v>
      </c>
      <c r="F33" s="56" t="s">
        <v>452</v>
      </c>
      <c r="G33" s="56" t="s">
        <v>362</v>
      </c>
      <c r="H33" s="56" t="s">
        <v>390</v>
      </c>
      <c r="I33" s="56" t="s">
        <v>421</v>
      </c>
      <c r="J33" s="56" t="s">
        <v>2931</v>
      </c>
      <c r="K33" s="56" t="s">
        <v>399</v>
      </c>
      <c r="L33" s="56" t="s">
        <v>412</v>
      </c>
      <c r="M33" s="56" t="s">
        <v>513</v>
      </c>
      <c r="N33" s="56" t="s">
        <v>497</v>
      </c>
      <c r="O33" s="58">
        <v>4.0</v>
      </c>
      <c r="P33" s="58">
        <v>4.0</v>
      </c>
      <c r="Q33" s="56" t="s">
        <v>2802</v>
      </c>
      <c r="R33" s="59"/>
      <c r="S33" s="56" t="s">
        <v>5733</v>
      </c>
      <c r="T33" s="61" t="s">
        <v>373</v>
      </c>
      <c r="U33" s="58" t="s">
        <v>5808</v>
      </c>
      <c r="W33" s="55" t="b">
        <f t="shared" si="1"/>
        <v>1</v>
      </c>
    </row>
    <row r="34" ht="15.0" customHeight="1">
      <c r="A34" s="56" t="s">
        <v>5809</v>
      </c>
      <c r="B34" s="56" t="s">
        <v>5810</v>
      </c>
      <c r="C34" s="57" t="s">
        <v>5811</v>
      </c>
      <c r="D34" s="58">
        <v>4.797856498E9</v>
      </c>
      <c r="E34" s="56" t="s">
        <v>368</v>
      </c>
      <c r="F34" s="62" t="s">
        <v>2291</v>
      </c>
      <c r="G34" s="59"/>
      <c r="H34" s="59"/>
      <c r="I34" s="59"/>
      <c r="J34" s="59"/>
      <c r="K34" s="56" t="s">
        <v>364</v>
      </c>
      <c r="L34" s="56" t="s">
        <v>365</v>
      </c>
      <c r="M34" s="56" t="s">
        <v>366</v>
      </c>
      <c r="N34" s="62" t="s">
        <v>381</v>
      </c>
      <c r="O34" s="59"/>
      <c r="P34" s="59"/>
      <c r="Q34" s="56" t="s">
        <v>1759</v>
      </c>
      <c r="R34" s="59"/>
      <c r="S34" s="56" t="s">
        <v>5733</v>
      </c>
      <c r="T34" s="61" t="s">
        <v>394</v>
      </c>
      <c r="U34" s="58" t="s">
        <v>5812</v>
      </c>
      <c r="W34" s="55" t="b">
        <f t="shared" si="1"/>
        <v>0</v>
      </c>
    </row>
    <row r="35" ht="15.0" customHeight="1">
      <c r="A35" s="56" t="s">
        <v>66</v>
      </c>
      <c r="B35" s="56" t="s">
        <v>2370</v>
      </c>
      <c r="C35" s="57" t="s">
        <v>2371</v>
      </c>
      <c r="D35" s="56" t="s">
        <v>5813</v>
      </c>
      <c r="E35" s="56" t="s">
        <v>368</v>
      </c>
      <c r="F35" s="56" t="s">
        <v>2286</v>
      </c>
      <c r="G35" s="56" t="s">
        <v>390</v>
      </c>
      <c r="H35" s="62" t="s">
        <v>675</v>
      </c>
      <c r="I35" s="59"/>
      <c r="J35" s="59"/>
      <c r="K35" s="56" t="s">
        <v>379</v>
      </c>
      <c r="L35" s="56" t="s">
        <v>365</v>
      </c>
      <c r="M35" s="56" t="s">
        <v>513</v>
      </c>
      <c r="N35" s="62" t="s">
        <v>381</v>
      </c>
      <c r="O35" s="59"/>
      <c r="P35" s="59"/>
      <c r="Q35" s="56" t="s">
        <v>5814</v>
      </c>
      <c r="R35" s="59"/>
      <c r="S35" s="56" t="s">
        <v>5733</v>
      </c>
      <c r="T35" s="61" t="s">
        <v>373</v>
      </c>
      <c r="U35" s="58" t="s">
        <v>5815</v>
      </c>
      <c r="W35" s="55" t="b">
        <f t="shared" si="1"/>
        <v>1</v>
      </c>
    </row>
    <row r="36" ht="15.0" customHeight="1">
      <c r="A36" s="56" t="s">
        <v>67</v>
      </c>
      <c r="B36" s="56" t="s">
        <v>4571</v>
      </c>
      <c r="C36" s="57" t="s">
        <v>4572</v>
      </c>
      <c r="D36" s="58">
        <v>6.196332539E9</v>
      </c>
      <c r="E36" s="56" t="s">
        <v>368</v>
      </c>
      <c r="F36" s="56" t="s">
        <v>2286</v>
      </c>
      <c r="G36" s="56" t="s">
        <v>410</v>
      </c>
      <c r="H36" s="56" t="s">
        <v>452</v>
      </c>
      <c r="I36" s="56" t="s">
        <v>1789</v>
      </c>
      <c r="J36" s="56" t="s">
        <v>390</v>
      </c>
      <c r="K36" s="56" t="s">
        <v>399</v>
      </c>
      <c r="L36" s="56" t="s">
        <v>667</v>
      </c>
      <c r="M36" s="56" t="s">
        <v>366</v>
      </c>
      <c r="N36" s="62" t="s">
        <v>5798</v>
      </c>
      <c r="O36" s="59"/>
      <c r="P36" s="59"/>
      <c r="Q36" s="59"/>
      <c r="R36" s="59"/>
      <c r="S36" s="56" t="s">
        <v>5722</v>
      </c>
      <c r="T36" s="61" t="s">
        <v>394</v>
      </c>
      <c r="U36" s="58" t="s">
        <v>5816</v>
      </c>
      <c r="W36" s="55" t="b">
        <f t="shared" si="1"/>
        <v>0</v>
      </c>
    </row>
    <row r="37" ht="15.0" customHeight="1">
      <c r="A37" s="56" t="s">
        <v>5817</v>
      </c>
      <c r="B37" s="56" t="s">
        <v>5818</v>
      </c>
      <c r="C37" s="57" t="s">
        <v>5819</v>
      </c>
      <c r="D37" s="56" t="s">
        <v>5820</v>
      </c>
      <c r="E37" s="56" t="s">
        <v>368</v>
      </c>
      <c r="F37" s="56" t="s">
        <v>1553</v>
      </c>
      <c r="G37" s="62" t="s">
        <v>390</v>
      </c>
      <c r="H37" s="59"/>
      <c r="I37" s="59"/>
      <c r="J37" s="59"/>
      <c r="K37" s="56" t="s">
        <v>364</v>
      </c>
      <c r="L37" s="56" t="s">
        <v>365</v>
      </c>
      <c r="M37" s="56" t="s">
        <v>366</v>
      </c>
      <c r="N37" s="56" t="s">
        <v>5720</v>
      </c>
      <c r="O37" s="58">
        <v>0.0</v>
      </c>
      <c r="P37" s="58">
        <v>1.0</v>
      </c>
      <c r="Q37" s="59"/>
      <c r="R37" s="59"/>
      <c r="S37" s="56" t="s">
        <v>5722</v>
      </c>
      <c r="T37" s="61" t="s">
        <v>394</v>
      </c>
      <c r="U37" s="58" t="s">
        <v>5821</v>
      </c>
      <c r="W37" s="55" t="b">
        <f t="shared" si="1"/>
        <v>0</v>
      </c>
    </row>
    <row r="38" ht="15.0" customHeight="1">
      <c r="A38" s="56" t="s">
        <v>5822</v>
      </c>
      <c r="B38" s="56" t="s">
        <v>2440</v>
      </c>
      <c r="C38" s="57" t="s">
        <v>5823</v>
      </c>
      <c r="D38" s="56" t="s">
        <v>4575</v>
      </c>
      <c r="E38" s="56" t="s">
        <v>368</v>
      </c>
      <c r="F38" s="56" t="s">
        <v>390</v>
      </c>
      <c r="G38" s="56" t="s">
        <v>410</v>
      </c>
      <c r="H38" s="56" t="s">
        <v>452</v>
      </c>
      <c r="I38" s="56" t="s">
        <v>1598</v>
      </c>
      <c r="J38" s="56" t="s">
        <v>2286</v>
      </c>
      <c r="K38" s="56" t="s">
        <v>379</v>
      </c>
      <c r="L38" s="56" t="s">
        <v>365</v>
      </c>
      <c r="M38" s="56" t="s">
        <v>366</v>
      </c>
      <c r="N38" s="62" t="s">
        <v>5716</v>
      </c>
      <c r="O38" s="59"/>
      <c r="P38" s="59"/>
      <c r="Q38" s="56" t="s">
        <v>3813</v>
      </c>
      <c r="R38" s="59"/>
      <c r="S38" s="56" t="s">
        <v>5717</v>
      </c>
      <c r="T38" s="61" t="s">
        <v>373</v>
      </c>
      <c r="U38" s="58" t="s">
        <v>5824</v>
      </c>
      <c r="W38" s="55" t="b">
        <f t="shared" si="1"/>
        <v>0</v>
      </c>
    </row>
    <row r="39" ht="15.0" customHeight="1">
      <c r="A39" s="56" t="s">
        <v>2444</v>
      </c>
      <c r="B39" s="56" t="s">
        <v>5825</v>
      </c>
      <c r="C39" s="57" t="s">
        <v>5826</v>
      </c>
      <c r="D39" s="68" t="s">
        <v>4156</v>
      </c>
      <c r="E39" s="56" t="s">
        <v>368</v>
      </c>
      <c r="F39" s="56" t="s">
        <v>362</v>
      </c>
      <c r="G39" s="56" t="s">
        <v>5715</v>
      </c>
      <c r="H39" s="62" t="s">
        <v>452</v>
      </c>
      <c r="I39" s="59"/>
      <c r="J39" s="59"/>
      <c r="K39" s="56" t="s">
        <v>364</v>
      </c>
      <c r="L39" s="56" t="s">
        <v>365</v>
      </c>
      <c r="M39" s="56" t="s">
        <v>513</v>
      </c>
      <c r="N39" s="62" t="s">
        <v>5724</v>
      </c>
      <c r="O39" s="59"/>
      <c r="P39" s="59"/>
      <c r="Q39" s="56" t="s">
        <v>2257</v>
      </c>
      <c r="R39" s="59"/>
      <c r="S39" s="56" t="s">
        <v>5717</v>
      </c>
      <c r="T39" s="61" t="s">
        <v>373</v>
      </c>
      <c r="U39" s="58" t="s">
        <v>5827</v>
      </c>
      <c r="W39" s="55" t="b">
        <f t="shared" si="1"/>
        <v>1</v>
      </c>
    </row>
    <row r="40" ht="15.0" customHeight="1">
      <c r="A40" s="56" t="s">
        <v>5828</v>
      </c>
      <c r="B40" s="56" t="s">
        <v>5829</v>
      </c>
      <c r="C40" s="57" t="s">
        <v>5830</v>
      </c>
      <c r="D40" s="58">
        <v>7.138241389E9</v>
      </c>
      <c r="E40" s="56" t="s">
        <v>368</v>
      </c>
      <c r="F40" s="56" t="s">
        <v>390</v>
      </c>
      <c r="G40" s="56" t="s">
        <v>410</v>
      </c>
      <c r="H40" s="56" t="s">
        <v>452</v>
      </c>
      <c r="I40" s="62" t="s">
        <v>390</v>
      </c>
      <c r="J40" s="59"/>
      <c r="K40" s="56" t="s">
        <v>364</v>
      </c>
      <c r="L40" s="56" t="s">
        <v>405</v>
      </c>
      <c r="M40" s="56" t="s">
        <v>413</v>
      </c>
      <c r="N40" s="62" t="s">
        <v>483</v>
      </c>
      <c r="O40" s="59"/>
      <c r="P40" s="59"/>
      <c r="Q40" s="56" t="s">
        <v>3915</v>
      </c>
      <c r="R40" s="59"/>
      <c r="S40" s="56" t="s">
        <v>5733</v>
      </c>
      <c r="T40" s="61" t="s">
        <v>373</v>
      </c>
      <c r="U40" s="58" t="s">
        <v>5831</v>
      </c>
      <c r="W40" s="55" t="b">
        <f t="shared" si="1"/>
        <v>0</v>
      </c>
    </row>
    <row r="41" ht="15.0" customHeight="1">
      <c r="A41" s="56" t="s">
        <v>2450</v>
      </c>
      <c r="B41" s="56" t="s">
        <v>5829</v>
      </c>
      <c r="C41" s="57" t="s">
        <v>5830</v>
      </c>
      <c r="D41" s="56" t="s">
        <v>5832</v>
      </c>
      <c r="E41" s="56" t="s">
        <v>368</v>
      </c>
      <c r="F41" s="56" t="s">
        <v>410</v>
      </c>
      <c r="G41" s="56" t="s">
        <v>452</v>
      </c>
      <c r="H41" s="62" t="s">
        <v>390</v>
      </c>
      <c r="I41" s="59"/>
      <c r="J41" s="59"/>
      <c r="K41" s="56" t="s">
        <v>364</v>
      </c>
      <c r="L41" s="56" t="s">
        <v>365</v>
      </c>
      <c r="M41" s="56" t="s">
        <v>366</v>
      </c>
      <c r="N41" s="62" t="s">
        <v>381</v>
      </c>
      <c r="O41" s="59"/>
      <c r="P41" s="59"/>
      <c r="Q41" s="59"/>
      <c r="R41" s="59"/>
      <c r="S41" s="56" t="s">
        <v>5733</v>
      </c>
      <c r="T41" s="61" t="s">
        <v>2362</v>
      </c>
      <c r="U41" s="58" t="s">
        <v>5833</v>
      </c>
      <c r="W41" s="55" t="b">
        <f t="shared" si="1"/>
        <v>0</v>
      </c>
    </row>
    <row r="42" ht="15.0" customHeight="1">
      <c r="A42" s="56" t="s">
        <v>5834</v>
      </c>
      <c r="B42" s="56" t="s">
        <v>5835</v>
      </c>
      <c r="C42" s="57" t="s">
        <v>5836</v>
      </c>
      <c r="D42" s="58">
        <v>7.207734623E9</v>
      </c>
      <c r="E42" s="56" t="s">
        <v>368</v>
      </c>
      <c r="F42" s="56" t="s">
        <v>452</v>
      </c>
      <c r="G42" s="56" t="s">
        <v>2286</v>
      </c>
      <c r="H42" s="62" t="s">
        <v>390</v>
      </c>
      <c r="I42" s="59"/>
      <c r="J42" s="59"/>
      <c r="K42" s="56" t="s">
        <v>364</v>
      </c>
      <c r="L42" s="56" t="s">
        <v>380</v>
      </c>
      <c r="M42" s="56" t="s">
        <v>513</v>
      </c>
      <c r="N42" s="62" t="s">
        <v>5720</v>
      </c>
      <c r="O42" s="59"/>
      <c r="P42" s="59"/>
      <c r="Q42" s="56" t="s">
        <v>2095</v>
      </c>
      <c r="R42" s="59"/>
      <c r="S42" s="56" t="s">
        <v>5722</v>
      </c>
      <c r="T42" s="61" t="s">
        <v>373</v>
      </c>
      <c r="U42" s="58" t="s">
        <v>5837</v>
      </c>
      <c r="W42" s="55" t="b">
        <f t="shared" si="1"/>
        <v>1</v>
      </c>
    </row>
    <row r="43" ht="15.0" customHeight="1">
      <c r="A43" s="56" t="s">
        <v>5838</v>
      </c>
      <c r="B43" s="56" t="s">
        <v>5839</v>
      </c>
      <c r="C43" s="57" t="s">
        <v>5840</v>
      </c>
      <c r="D43" s="56" t="s">
        <v>5841</v>
      </c>
      <c r="E43" s="56" t="s">
        <v>368</v>
      </c>
      <c r="F43" s="56" t="s">
        <v>410</v>
      </c>
      <c r="G43" s="56" t="s">
        <v>390</v>
      </c>
      <c r="H43" s="62" t="s">
        <v>452</v>
      </c>
      <c r="I43" s="59"/>
      <c r="J43" s="59"/>
      <c r="K43" s="56" t="s">
        <v>379</v>
      </c>
      <c r="L43" s="56" t="s">
        <v>830</v>
      </c>
      <c r="M43" s="56" t="s">
        <v>366</v>
      </c>
      <c r="N43" s="62" t="s">
        <v>381</v>
      </c>
      <c r="O43" s="59"/>
      <c r="P43" s="59"/>
      <c r="Q43" s="56" t="s">
        <v>4020</v>
      </c>
      <c r="R43" s="59"/>
      <c r="S43" s="56" t="s">
        <v>5733</v>
      </c>
      <c r="T43" s="61" t="s">
        <v>373</v>
      </c>
      <c r="U43" s="58" t="s">
        <v>5842</v>
      </c>
      <c r="W43" s="55" t="b">
        <f t="shared" si="1"/>
        <v>0</v>
      </c>
    </row>
    <row r="44" ht="15.0" customHeight="1">
      <c r="A44" s="56" t="s">
        <v>5843</v>
      </c>
      <c r="B44" s="56" t="s">
        <v>5844</v>
      </c>
      <c r="C44" s="57" t="s">
        <v>5845</v>
      </c>
      <c r="D44" s="56" t="s">
        <v>5846</v>
      </c>
      <c r="E44" s="56" t="s">
        <v>368</v>
      </c>
      <c r="F44" s="56" t="s">
        <v>459</v>
      </c>
      <c r="G44" s="62" t="s">
        <v>390</v>
      </c>
      <c r="H44" s="59"/>
      <c r="I44" s="59"/>
      <c r="J44" s="59"/>
      <c r="K44" s="56" t="s">
        <v>399</v>
      </c>
      <c r="L44" s="56" t="s">
        <v>365</v>
      </c>
      <c r="M44" s="56" t="s">
        <v>366</v>
      </c>
      <c r="N44" s="62" t="s">
        <v>5716</v>
      </c>
      <c r="O44" s="59"/>
      <c r="P44" s="59"/>
      <c r="Q44" s="56" t="s">
        <v>3668</v>
      </c>
      <c r="R44" s="59"/>
      <c r="S44" s="56" t="s">
        <v>5717</v>
      </c>
      <c r="T44" s="61" t="s">
        <v>373</v>
      </c>
      <c r="U44" s="58" t="s">
        <v>5847</v>
      </c>
      <c r="W44" s="55" t="b">
        <f t="shared" si="1"/>
        <v>0</v>
      </c>
    </row>
    <row r="45" ht="15.0" customHeight="1">
      <c r="A45" s="56" t="s">
        <v>69</v>
      </c>
      <c r="B45" s="56" t="s">
        <v>5848</v>
      </c>
      <c r="C45" s="57" t="s">
        <v>5849</v>
      </c>
      <c r="D45" s="58">
        <v>9.72588317E9</v>
      </c>
      <c r="E45" s="56" t="s">
        <v>368</v>
      </c>
      <c r="F45" s="56" t="s">
        <v>2286</v>
      </c>
      <c r="G45" s="56" t="s">
        <v>675</v>
      </c>
      <c r="H45" s="56" t="s">
        <v>5719</v>
      </c>
      <c r="I45" s="62" t="s">
        <v>1789</v>
      </c>
      <c r="J45" s="59"/>
      <c r="K45" s="56" t="s">
        <v>379</v>
      </c>
      <c r="L45" s="56" t="s">
        <v>365</v>
      </c>
      <c r="M45" s="56" t="s">
        <v>366</v>
      </c>
      <c r="N45" s="56" t="s">
        <v>5716</v>
      </c>
      <c r="O45" s="58">
        <v>2.0</v>
      </c>
      <c r="P45" s="59"/>
      <c r="Q45" s="56" t="s">
        <v>4695</v>
      </c>
      <c r="R45" s="59"/>
      <c r="S45" s="56" t="s">
        <v>5717</v>
      </c>
      <c r="T45" s="61" t="s">
        <v>373</v>
      </c>
      <c r="U45" s="58" t="s">
        <v>5850</v>
      </c>
      <c r="W45" s="55" t="b">
        <f t="shared" si="1"/>
        <v>0</v>
      </c>
    </row>
    <row r="46" ht="15.0" customHeight="1">
      <c r="A46" s="56" t="s">
        <v>70</v>
      </c>
      <c r="B46" s="56" t="s">
        <v>5851</v>
      </c>
      <c r="C46" s="57" t="s">
        <v>5852</v>
      </c>
      <c r="D46" s="56" t="s">
        <v>5853</v>
      </c>
      <c r="E46" s="56" t="s">
        <v>368</v>
      </c>
      <c r="F46" s="56" t="s">
        <v>2931</v>
      </c>
      <c r="G46" s="56" t="s">
        <v>421</v>
      </c>
      <c r="H46" s="56" t="s">
        <v>410</v>
      </c>
      <c r="I46" s="56" t="s">
        <v>452</v>
      </c>
      <c r="J46" s="56" t="s">
        <v>716</v>
      </c>
      <c r="K46" s="56" t="s">
        <v>364</v>
      </c>
      <c r="L46" s="56" t="s">
        <v>667</v>
      </c>
      <c r="M46" s="56" t="s">
        <v>366</v>
      </c>
      <c r="N46" s="56" t="s">
        <v>5716</v>
      </c>
      <c r="O46" s="58">
        <v>2.0</v>
      </c>
      <c r="P46" s="59"/>
      <c r="Q46" s="56" t="s">
        <v>3777</v>
      </c>
      <c r="R46" s="59"/>
      <c r="S46" s="56" t="s">
        <v>5717</v>
      </c>
      <c r="T46" s="61" t="s">
        <v>373</v>
      </c>
      <c r="U46" s="58" t="s">
        <v>5854</v>
      </c>
      <c r="W46" s="55" t="b">
        <f t="shared" si="1"/>
        <v>0</v>
      </c>
    </row>
    <row r="47" ht="15.0" customHeight="1">
      <c r="A47" s="56" t="s">
        <v>71</v>
      </c>
      <c r="B47" s="56" t="s">
        <v>5855</v>
      </c>
      <c r="C47" s="57" t="s">
        <v>5856</v>
      </c>
      <c r="D47" s="56" t="s">
        <v>5857</v>
      </c>
      <c r="E47" s="56" t="s">
        <v>368</v>
      </c>
      <c r="F47" s="56" t="s">
        <v>390</v>
      </c>
      <c r="G47" s="56" t="s">
        <v>2286</v>
      </c>
      <c r="H47" s="62" t="s">
        <v>1553</v>
      </c>
      <c r="I47" s="59"/>
      <c r="J47" s="59"/>
      <c r="K47" s="56" t="s">
        <v>364</v>
      </c>
      <c r="L47" s="56" t="s">
        <v>412</v>
      </c>
      <c r="M47" s="56" t="s">
        <v>366</v>
      </c>
      <c r="N47" s="62" t="s">
        <v>483</v>
      </c>
      <c r="O47" s="59"/>
      <c r="P47" s="59"/>
      <c r="Q47" s="56" t="s">
        <v>2347</v>
      </c>
      <c r="R47" s="59"/>
      <c r="S47" s="56" t="s">
        <v>5733</v>
      </c>
      <c r="T47" s="61" t="s">
        <v>373</v>
      </c>
      <c r="U47" s="58" t="s">
        <v>5858</v>
      </c>
      <c r="W47" s="55" t="b">
        <f t="shared" si="1"/>
        <v>0</v>
      </c>
    </row>
    <row r="48" ht="15.0" customHeight="1">
      <c r="A48" s="56" t="s">
        <v>72</v>
      </c>
      <c r="B48" s="56" t="s">
        <v>549</v>
      </c>
      <c r="C48" s="57" t="s">
        <v>5859</v>
      </c>
      <c r="D48" s="56" t="s">
        <v>551</v>
      </c>
      <c r="E48" s="56" t="s">
        <v>368</v>
      </c>
      <c r="F48" s="56" t="s">
        <v>390</v>
      </c>
      <c r="G48" s="56" t="s">
        <v>452</v>
      </c>
      <c r="H48" s="56" t="s">
        <v>410</v>
      </c>
      <c r="I48" s="62" t="s">
        <v>1553</v>
      </c>
      <c r="J48" s="59"/>
      <c r="K48" s="56" t="s">
        <v>379</v>
      </c>
      <c r="L48" s="56" t="s">
        <v>365</v>
      </c>
      <c r="M48" s="56" t="s">
        <v>366</v>
      </c>
      <c r="N48" s="62" t="s">
        <v>5716</v>
      </c>
      <c r="O48" s="59"/>
      <c r="P48" s="59"/>
      <c r="Q48" s="56" t="s">
        <v>3601</v>
      </c>
      <c r="R48" s="59"/>
      <c r="S48" s="56" t="s">
        <v>5717</v>
      </c>
      <c r="T48" s="61" t="s">
        <v>373</v>
      </c>
      <c r="U48" s="58" t="s">
        <v>5860</v>
      </c>
      <c r="W48" s="55" t="b">
        <f t="shared" si="1"/>
        <v>0</v>
      </c>
    </row>
    <row r="49" ht="15.0" customHeight="1">
      <c r="A49" s="56" t="s">
        <v>73</v>
      </c>
      <c r="B49" s="56" t="s">
        <v>564</v>
      </c>
      <c r="C49" s="57" t="s">
        <v>5861</v>
      </c>
      <c r="D49" s="58">
        <v>5.04390835E9</v>
      </c>
      <c r="E49" s="56" t="s">
        <v>368</v>
      </c>
      <c r="F49" s="56" t="s">
        <v>410</v>
      </c>
      <c r="G49" s="56" t="s">
        <v>2286</v>
      </c>
      <c r="H49" s="56" t="s">
        <v>452</v>
      </c>
      <c r="I49" s="62" t="s">
        <v>390</v>
      </c>
      <c r="J49" s="59"/>
      <c r="K49" s="56" t="s">
        <v>364</v>
      </c>
      <c r="L49" s="56" t="s">
        <v>365</v>
      </c>
      <c r="M49" s="56" t="s">
        <v>366</v>
      </c>
      <c r="N49" s="62" t="s">
        <v>5716</v>
      </c>
      <c r="O49" s="59"/>
      <c r="P49" s="59"/>
      <c r="Q49" s="56" t="s">
        <v>2522</v>
      </c>
      <c r="R49" s="59"/>
      <c r="S49" s="56" t="s">
        <v>5717</v>
      </c>
      <c r="T49" s="61" t="s">
        <v>373</v>
      </c>
      <c r="U49" s="58" t="s">
        <v>5862</v>
      </c>
      <c r="W49" s="55" t="b">
        <f t="shared" si="1"/>
        <v>0</v>
      </c>
    </row>
    <row r="50" ht="15.0" customHeight="1">
      <c r="A50" s="56" t="s">
        <v>5863</v>
      </c>
      <c r="B50" s="56" t="s">
        <v>5864</v>
      </c>
      <c r="C50" s="57" t="s">
        <v>5865</v>
      </c>
      <c r="D50" s="58">
        <v>7.37292405E9</v>
      </c>
      <c r="E50" s="56" t="s">
        <v>368</v>
      </c>
      <c r="F50" s="56" t="s">
        <v>716</v>
      </c>
      <c r="G50" s="56" t="s">
        <v>1789</v>
      </c>
      <c r="H50" s="56" t="s">
        <v>362</v>
      </c>
      <c r="I50" s="62" t="s">
        <v>3730</v>
      </c>
      <c r="J50" s="59"/>
      <c r="K50" s="56" t="s">
        <v>399</v>
      </c>
      <c r="L50" s="56" t="s">
        <v>412</v>
      </c>
      <c r="M50" s="56" t="s">
        <v>513</v>
      </c>
      <c r="N50" s="56" t="s">
        <v>5716</v>
      </c>
      <c r="O50" s="58">
        <v>0.0</v>
      </c>
      <c r="P50" s="59"/>
      <c r="Q50" s="56" t="s">
        <v>2009</v>
      </c>
      <c r="R50" s="59"/>
      <c r="S50" s="56" t="s">
        <v>5717</v>
      </c>
      <c r="T50" s="61" t="s">
        <v>373</v>
      </c>
      <c r="U50" s="58" t="s">
        <v>5866</v>
      </c>
      <c r="W50" s="55" t="b">
        <f t="shared" si="1"/>
        <v>1</v>
      </c>
    </row>
    <row r="51" ht="15.0" customHeight="1">
      <c r="A51" s="56" t="s">
        <v>74</v>
      </c>
      <c r="B51" s="56" t="s">
        <v>5867</v>
      </c>
      <c r="C51" s="57" t="s">
        <v>5868</v>
      </c>
      <c r="D51" s="58">
        <v>9.723583191E9</v>
      </c>
      <c r="E51" s="56" t="s">
        <v>368</v>
      </c>
      <c r="F51" s="62" t="s">
        <v>2286</v>
      </c>
      <c r="G51" s="59"/>
      <c r="H51" s="59"/>
      <c r="I51" s="59"/>
      <c r="J51" s="59"/>
      <c r="K51" s="56" t="s">
        <v>364</v>
      </c>
      <c r="L51" s="56" t="s">
        <v>365</v>
      </c>
      <c r="M51" s="56" t="s">
        <v>366</v>
      </c>
      <c r="N51" s="62" t="s">
        <v>5770</v>
      </c>
      <c r="O51" s="59"/>
      <c r="P51" s="59"/>
      <c r="Q51" s="59"/>
      <c r="R51" s="59"/>
      <c r="S51" s="56" t="s">
        <v>5722</v>
      </c>
      <c r="T51" s="61" t="s">
        <v>394</v>
      </c>
      <c r="U51" s="58" t="s">
        <v>5869</v>
      </c>
      <c r="W51" s="55" t="b">
        <f t="shared" si="1"/>
        <v>0</v>
      </c>
    </row>
    <row r="52" ht="15.0" customHeight="1">
      <c r="A52" s="56" t="s">
        <v>5870</v>
      </c>
      <c r="B52" s="56" t="s">
        <v>5871</v>
      </c>
      <c r="C52" s="57" t="s">
        <v>5872</v>
      </c>
      <c r="D52" s="58">
        <v>8.325722694E9</v>
      </c>
      <c r="E52" s="56" t="s">
        <v>368</v>
      </c>
      <c r="F52" s="56" t="s">
        <v>2286</v>
      </c>
      <c r="G52" s="56" t="s">
        <v>452</v>
      </c>
      <c r="H52" s="56" t="s">
        <v>421</v>
      </c>
      <c r="I52" s="62" t="s">
        <v>390</v>
      </c>
      <c r="J52" s="59"/>
      <c r="K52" s="56" t="s">
        <v>379</v>
      </c>
      <c r="L52" s="56" t="s">
        <v>365</v>
      </c>
      <c r="M52" s="56" t="s">
        <v>413</v>
      </c>
      <c r="N52" s="62" t="s">
        <v>5720</v>
      </c>
      <c r="O52" s="59"/>
      <c r="P52" s="59"/>
      <c r="Q52" s="56" t="s">
        <v>3625</v>
      </c>
      <c r="R52" s="59"/>
      <c r="S52" s="56" t="s">
        <v>5722</v>
      </c>
      <c r="T52" s="61" t="s">
        <v>373</v>
      </c>
      <c r="U52" s="58" t="s">
        <v>5873</v>
      </c>
      <c r="W52" s="55" t="b">
        <f t="shared" si="1"/>
        <v>0</v>
      </c>
    </row>
    <row r="53" ht="15.0" customHeight="1">
      <c r="A53" s="56" t="s">
        <v>5874</v>
      </c>
      <c r="B53" s="56" t="s">
        <v>5875</v>
      </c>
      <c r="C53" s="57" t="s">
        <v>5876</v>
      </c>
      <c r="D53" s="56" t="s">
        <v>5877</v>
      </c>
      <c r="E53" s="56" t="s">
        <v>368</v>
      </c>
      <c r="F53" s="56" t="s">
        <v>452</v>
      </c>
      <c r="G53" s="56" t="s">
        <v>390</v>
      </c>
      <c r="H53" s="62" t="s">
        <v>5715</v>
      </c>
      <c r="I53" s="59"/>
      <c r="J53" s="59"/>
      <c r="K53" s="56" t="s">
        <v>379</v>
      </c>
      <c r="L53" s="56" t="s">
        <v>365</v>
      </c>
      <c r="M53" s="56" t="s">
        <v>366</v>
      </c>
      <c r="N53" s="62" t="s">
        <v>5720</v>
      </c>
      <c r="O53" s="59"/>
      <c r="P53" s="59"/>
      <c r="Q53" s="56" t="s">
        <v>5878</v>
      </c>
      <c r="R53" s="59"/>
      <c r="S53" s="56" t="s">
        <v>5722</v>
      </c>
      <c r="T53" s="61" t="s">
        <v>373</v>
      </c>
      <c r="U53" s="58" t="s">
        <v>5879</v>
      </c>
      <c r="W53" s="55" t="b">
        <f t="shared" si="1"/>
        <v>0</v>
      </c>
    </row>
    <row r="54" ht="15.0" customHeight="1">
      <c r="A54" s="56" t="s">
        <v>290</v>
      </c>
      <c r="B54" s="56" t="s">
        <v>585</v>
      </c>
      <c r="C54" s="57" t="s">
        <v>586</v>
      </c>
      <c r="D54" s="56" t="s">
        <v>4595</v>
      </c>
      <c r="E54" s="56" t="s">
        <v>368</v>
      </c>
      <c r="F54" s="56" t="s">
        <v>390</v>
      </c>
      <c r="G54" s="56" t="s">
        <v>421</v>
      </c>
      <c r="H54" s="62" t="s">
        <v>2291</v>
      </c>
      <c r="I54" s="59"/>
      <c r="J54" s="59"/>
      <c r="K54" s="56" t="s">
        <v>379</v>
      </c>
      <c r="L54" s="56" t="s">
        <v>365</v>
      </c>
      <c r="M54" s="56" t="s">
        <v>366</v>
      </c>
      <c r="N54" s="56" t="s">
        <v>5720</v>
      </c>
      <c r="O54" s="58">
        <v>2.0</v>
      </c>
      <c r="P54" s="59"/>
      <c r="Q54" s="56" t="s">
        <v>2419</v>
      </c>
      <c r="R54" s="59"/>
      <c r="S54" s="56" t="s">
        <v>5722</v>
      </c>
      <c r="T54" s="61" t="s">
        <v>373</v>
      </c>
      <c r="U54" s="58" t="s">
        <v>5880</v>
      </c>
      <c r="W54" s="55" t="b">
        <f t="shared" si="1"/>
        <v>0</v>
      </c>
    </row>
    <row r="55" ht="15.0" customHeight="1">
      <c r="A55" s="56" t="s">
        <v>75</v>
      </c>
      <c r="B55" s="56" t="s">
        <v>598</v>
      </c>
      <c r="C55" s="57" t="s">
        <v>599</v>
      </c>
      <c r="D55" s="56" t="s">
        <v>5881</v>
      </c>
      <c r="E55" s="56" t="s">
        <v>368</v>
      </c>
      <c r="F55" s="56" t="s">
        <v>2286</v>
      </c>
      <c r="G55" s="56" t="s">
        <v>390</v>
      </c>
      <c r="H55" s="56" t="s">
        <v>675</v>
      </c>
      <c r="I55" s="62" t="s">
        <v>452</v>
      </c>
      <c r="J55" s="59"/>
      <c r="K55" s="56" t="s">
        <v>364</v>
      </c>
      <c r="L55" s="56" t="s">
        <v>365</v>
      </c>
      <c r="M55" s="56" t="s">
        <v>366</v>
      </c>
      <c r="N55" s="62" t="s">
        <v>5720</v>
      </c>
      <c r="O55" s="59"/>
      <c r="P55" s="59"/>
      <c r="Q55" s="56" t="s">
        <v>2784</v>
      </c>
      <c r="R55" s="59"/>
      <c r="S55" s="56" t="s">
        <v>5722</v>
      </c>
      <c r="T55" s="61" t="s">
        <v>373</v>
      </c>
      <c r="U55" s="58" t="s">
        <v>5882</v>
      </c>
      <c r="W55" s="55" t="b">
        <f t="shared" si="1"/>
        <v>0</v>
      </c>
    </row>
    <row r="56" ht="15.0" customHeight="1">
      <c r="A56" s="56" t="s">
        <v>76</v>
      </c>
      <c r="B56" s="56" t="s">
        <v>5883</v>
      </c>
      <c r="C56" s="57" t="s">
        <v>5884</v>
      </c>
      <c r="D56" s="56" t="s">
        <v>5885</v>
      </c>
      <c r="E56" s="56" t="s">
        <v>368</v>
      </c>
      <c r="F56" s="62" t="s">
        <v>2286</v>
      </c>
      <c r="G56" s="59"/>
      <c r="H56" s="59"/>
      <c r="I56" s="59"/>
      <c r="J56" s="59"/>
      <c r="K56" s="56" t="s">
        <v>364</v>
      </c>
      <c r="L56" s="56" t="s">
        <v>380</v>
      </c>
      <c r="M56" s="56" t="s">
        <v>513</v>
      </c>
      <c r="N56" s="62" t="s">
        <v>381</v>
      </c>
      <c r="O56" s="59"/>
      <c r="P56" s="59"/>
      <c r="Q56" s="56" t="s">
        <v>2698</v>
      </c>
      <c r="R56" s="59"/>
      <c r="S56" s="56" t="s">
        <v>5733</v>
      </c>
      <c r="T56" s="61" t="s">
        <v>373</v>
      </c>
      <c r="U56" s="58" t="s">
        <v>5886</v>
      </c>
      <c r="W56" s="55" t="b">
        <f t="shared" si="1"/>
        <v>1</v>
      </c>
    </row>
    <row r="57" ht="15.0" customHeight="1">
      <c r="A57" s="56" t="s">
        <v>76</v>
      </c>
      <c r="B57" s="56" t="s">
        <v>5887</v>
      </c>
      <c r="C57" s="57" t="s">
        <v>5888</v>
      </c>
      <c r="D57" s="58">
        <v>2.816386626E9</v>
      </c>
      <c r="E57" s="56" t="s">
        <v>368</v>
      </c>
      <c r="F57" s="62" t="s">
        <v>2286</v>
      </c>
      <c r="G57" s="59"/>
      <c r="H57" s="59"/>
      <c r="I57" s="59"/>
      <c r="J57" s="59"/>
      <c r="K57" s="56" t="s">
        <v>364</v>
      </c>
      <c r="L57" s="56" t="s">
        <v>380</v>
      </c>
      <c r="M57" s="56" t="s">
        <v>366</v>
      </c>
      <c r="N57" s="62" t="s">
        <v>381</v>
      </c>
      <c r="O57" s="59"/>
      <c r="P57" s="59"/>
      <c r="Q57" s="56" t="s">
        <v>2698</v>
      </c>
      <c r="R57" s="59"/>
      <c r="S57" s="56" t="s">
        <v>5733</v>
      </c>
      <c r="T57" s="61" t="s">
        <v>394</v>
      </c>
      <c r="U57" s="58" t="s">
        <v>5889</v>
      </c>
      <c r="W57" s="55" t="b">
        <f t="shared" si="1"/>
        <v>0</v>
      </c>
    </row>
    <row r="58" ht="15.0" customHeight="1">
      <c r="A58" s="56" t="s">
        <v>77</v>
      </c>
      <c r="B58" s="56" t="s">
        <v>5890</v>
      </c>
      <c r="C58" s="57" t="s">
        <v>5891</v>
      </c>
      <c r="D58" s="58">
        <v>7.134471136E9</v>
      </c>
      <c r="E58" s="56" t="s">
        <v>368</v>
      </c>
      <c r="F58" s="56" t="s">
        <v>390</v>
      </c>
      <c r="G58" s="56" t="s">
        <v>1553</v>
      </c>
      <c r="H58" s="56" t="s">
        <v>452</v>
      </c>
      <c r="I58" s="56" t="s">
        <v>410</v>
      </c>
      <c r="J58" s="56" t="s">
        <v>362</v>
      </c>
      <c r="K58" s="56" t="s">
        <v>364</v>
      </c>
      <c r="L58" s="56" t="s">
        <v>365</v>
      </c>
      <c r="M58" s="56" t="s">
        <v>869</v>
      </c>
      <c r="N58" s="56" t="s">
        <v>483</v>
      </c>
      <c r="O58" s="58">
        <v>3.0</v>
      </c>
      <c r="P58" s="58">
        <v>2.0</v>
      </c>
      <c r="Q58" s="56" t="s">
        <v>2438</v>
      </c>
      <c r="R58" s="59"/>
      <c r="S58" s="56" t="s">
        <v>5733</v>
      </c>
      <c r="T58" s="61" t="s">
        <v>373</v>
      </c>
      <c r="U58" s="58" t="s">
        <v>5892</v>
      </c>
      <c r="W58" s="55" t="b">
        <f t="shared" si="1"/>
        <v>0</v>
      </c>
    </row>
    <row r="59" ht="15.0" customHeight="1">
      <c r="A59" s="56" t="s">
        <v>5893</v>
      </c>
      <c r="B59" s="56" t="s">
        <v>2495</v>
      </c>
      <c r="C59" s="57" t="s">
        <v>5894</v>
      </c>
      <c r="D59" s="56" t="s">
        <v>5895</v>
      </c>
      <c r="E59" s="56" t="s">
        <v>368</v>
      </c>
      <c r="F59" s="56" t="s">
        <v>390</v>
      </c>
      <c r="G59" s="56" t="s">
        <v>410</v>
      </c>
      <c r="H59" s="56" t="s">
        <v>709</v>
      </c>
      <c r="I59" s="56" t="s">
        <v>421</v>
      </c>
      <c r="J59" s="56" t="s">
        <v>1598</v>
      </c>
      <c r="K59" s="56" t="s">
        <v>399</v>
      </c>
      <c r="L59" s="56" t="s">
        <v>822</v>
      </c>
      <c r="M59" s="56" t="s">
        <v>366</v>
      </c>
      <c r="N59" s="62" t="s">
        <v>483</v>
      </c>
      <c r="O59" s="59"/>
      <c r="P59" s="59"/>
      <c r="Q59" s="56" t="s">
        <v>461</v>
      </c>
      <c r="R59" s="59"/>
      <c r="S59" s="56" t="s">
        <v>5733</v>
      </c>
      <c r="T59" s="61" t="s">
        <v>373</v>
      </c>
      <c r="U59" s="58" t="s">
        <v>5896</v>
      </c>
      <c r="W59" s="55" t="b">
        <f t="shared" si="1"/>
        <v>0</v>
      </c>
    </row>
    <row r="60" ht="15.0" customHeight="1">
      <c r="A60" s="56" t="s">
        <v>5897</v>
      </c>
      <c r="B60" s="56" t="s">
        <v>5898</v>
      </c>
      <c r="C60" s="57" t="s">
        <v>5899</v>
      </c>
      <c r="D60" s="56" t="s">
        <v>5900</v>
      </c>
      <c r="E60" s="56" t="s">
        <v>368</v>
      </c>
      <c r="F60" s="56" t="s">
        <v>2286</v>
      </c>
      <c r="G60" s="56" t="s">
        <v>390</v>
      </c>
      <c r="H60" s="56" t="s">
        <v>1789</v>
      </c>
      <c r="I60" s="62" t="s">
        <v>2286</v>
      </c>
      <c r="J60" s="59"/>
      <c r="K60" s="56" t="s">
        <v>379</v>
      </c>
      <c r="L60" s="56" t="s">
        <v>365</v>
      </c>
      <c r="M60" s="56" t="s">
        <v>366</v>
      </c>
      <c r="N60" s="62" t="s">
        <v>5720</v>
      </c>
      <c r="O60" s="59"/>
      <c r="P60" s="59"/>
      <c r="Q60" s="59"/>
      <c r="R60" s="59"/>
      <c r="S60" s="56" t="s">
        <v>5722</v>
      </c>
      <c r="T60" s="61" t="s">
        <v>394</v>
      </c>
      <c r="U60" s="58" t="s">
        <v>5901</v>
      </c>
      <c r="W60" s="55" t="b">
        <f t="shared" si="1"/>
        <v>0</v>
      </c>
    </row>
    <row r="61" ht="15.0" customHeight="1">
      <c r="A61" s="56" t="s">
        <v>5902</v>
      </c>
      <c r="B61" s="56" t="s">
        <v>5903</v>
      </c>
      <c r="C61" s="57" t="s">
        <v>5904</v>
      </c>
      <c r="D61" s="58">
        <v>8.329220442E9</v>
      </c>
      <c r="E61" s="56" t="s">
        <v>368</v>
      </c>
      <c r="F61" s="56" t="s">
        <v>390</v>
      </c>
      <c r="G61" s="56" t="s">
        <v>2286</v>
      </c>
      <c r="H61" s="56" t="s">
        <v>452</v>
      </c>
      <c r="I61" s="62" t="s">
        <v>1598</v>
      </c>
      <c r="J61" s="59"/>
      <c r="K61" s="56" t="s">
        <v>364</v>
      </c>
      <c r="L61" s="56" t="s">
        <v>365</v>
      </c>
      <c r="M61" s="56" t="s">
        <v>413</v>
      </c>
      <c r="N61" s="62" t="s">
        <v>5720</v>
      </c>
      <c r="O61" s="59"/>
      <c r="P61" s="59"/>
      <c r="Q61" s="56" t="s">
        <v>863</v>
      </c>
      <c r="R61" s="59"/>
      <c r="S61" s="56" t="s">
        <v>5722</v>
      </c>
      <c r="T61" s="61" t="s">
        <v>373</v>
      </c>
      <c r="U61" s="58" t="s">
        <v>5905</v>
      </c>
      <c r="W61" s="55" t="b">
        <f t="shared" si="1"/>
        <v>0</v>
      </c>
    </row>
    <row r="62" ht="15.0" customHeight="1">
      <c r="A62" s="56" t="s">
        <v>5906</v>
      </c>
      <c r="B62" s="56" t="s">
        <v>4620</v>
      </c>
      <c r="C62" s="57" t="s">
        <v>4621</v>
      </c>
      <c r="D62" s="56" t="s">
        <v>5907</v>
      </c>
      <c r="E62" s="56" t="s">
        <v>368</v>
      </c>
      <c r="F62" s="56" t="s">
        <v>390</v>
      </c>
      <c r="G62" s="56" t="s">
        <v>2286</v>
      </c>
      <c r="H62" s="62" t="s">
        <v>2291</v>
      </c>
      <c r="I62" s="59"/>
      <c r="J62" s="59"/>
      <c r="K62" s="56" t="s">
        <v>379</v>
      </c>
      <c r="L62" s="56" t="s">
        <v>412</v>
      </c>
      <c r="M62" s="56" t="s">
        <v>366</v>
      </c>
      <c r="N62" s="56" t="s">
        <v>5716</v>
      </c>
      <c r="O62" s="58">
        <v>1.0</v>
      </c>
      <c r="P62" s="59"/>
      <c r="Q62" s="56" t="s">
        <v>1385</v>
      </c>
      <c r="R62" s="59"/>
      <c r="S62" s="56" t="s">
        <v>5717</v>
      </c>
      <c r="T62" s="61" t="s">
        <v>373</v>
      </c>
      <c r="U62" s="58" t="s">
        <v>5908</v>
      </c>
      <c r="W62" s="55" t="b">
        <f t="shared" si="1"/>
        <v>0</v>
      </c>
    </row>
    <row r="63" ht="15.0" customHeight="1">
      <c r="A63" s="56" t="s">
        <v>5909</v>
      </c>
      <c r="B63" s="56" t="s">
        <v>713</v>
      </c>
      <c r="C63" s="57" t="s">
        <v>714</v>
      </c>
      <c r="D63" s="56" t="s">
        <v>4705</v>
      </c>
      <c r="E63" s="56" t="s">
        <v>368</v>
      </c>
      <c r="F63" s="62" t="s">
        <v>452</v>
      </c>
      <c r="G63" s="59"/>
      <c r="H63" s="59"/>
      <c r="I63" s="59"/>
      <c r="J63" s="59"/>
      <c r="K63" s="56" t="s">
        <v>379</v>
      </c>
      <c r="L63" s="56" t="s">
        <v>380</v>
      </c>
      <c r="M63" s="56" t="s">
        <v>366</v>
      </c>
      <c r="N63" s="56" t="s">
        <v>5716</v>
      </c>
      <c r="O63" s="58">
        <v>3.0</v>
      </c>
      <c r="P63" s="59"/>
      <c r="Q63" s="56" t="s">
        <v>5517</v>
      </c>
      <c r="R63" s="59"/>
      <c r="S63" s="56" t="s">
        <v>5717</v>
      </c>
      <c r="T63" s="61" t="s">
        <v>373</v>
      </c>
      <c r="U63" s="58" t="s">
        <v>5910</v>
      </c>
      <c r="W63" s="55" t="b">
        <f t="shared" si="1"/>
        <v>0</v>
      </c>
    </row>
    <row r="64" ht="15.0" customHeight="1">
      <c r="A64" s="56" t="s">
        <v>2507</v>
      </c>
      <c r="B64" s="56" t="s">
        <v>5911</v>
      </c>
      <c r="C64" s="57" t="s">
        <v>5912</v>
      </c>
      <c r="D64" s="58">
        <v>2.817269031E9</v>
      </c>
      <c r="E64" s="56" t="s">
        <v>368</v>
      </c>
      <c r="F64" s="56" t="s">
        <v>410</v>
      </c>
      <c r="G64" s="56" t="s">
        <v>390</v>
      </c>
      <c r="H64" s="62" t="s">
        <v>452</v>
      </c>
      <c r="I64" s="59"/>
      <c r="J64" s="59"/>
      <c r="K64" s="56" t="s">
        <v>379</v>
      </c>
      <c r="L64" s="56" t="s">
        <v>365</v>
      </c>
      <c r="M64" s="56" t="s">
        <v>366</v>
      </c>
      <c r="N64" s="56" t="s">
        <v>497</v>
      </c>
      <c r="O64" s="58">
        <v>0.0</v>
      </c>
      <c r="P64" s="58">
        <v>0.0</v>
      </c>
      <c r="Q64" s="56" t="s">
        <v>5913</v>
      </c>
      <c r="R64" s="59"/>
      <c r="S64" s="56" t="s">
        <v>5733</v>
      </c>
      <c r="T64" s="61" t="s">
        <v>373</v>
      </c>
      <c r="U64" s="58" t="s">
        <v>5914</v>
      </c>
      <c r="W64" s="55" t="b">
        <f t="shared" si="1"/>
        <v>0</v>
      </c>
    </row>
    <row r="65" ht="15.0" customHeight="1">
      <c r="A65" s="56" t="s">
        <v>2518</v>
      </c>
      <c r="B65" s="56" t="s">
        <v>5915</v>
      </c>
      <c r="C65" s="57" t="s">
        <v>5916</v>
      </c>
      <c r="D65" s="58">
        <v>8.154205656E9</v>
      </c>
      <c r="E65" s="56" t="s">
        <v>368</v>
      </c>
      <c r="F65" s="56" t="s">
        <v>2286</v>
      </c>
      <c r="G65" s="56" t="s">
        <v>452</v>
      </c>
      <c r="H65" s="62" t="s">
        <v>1789</v>
      </c>
      <c r="I65" s="59"/>
      <c r="J65" s="59"/>
      <c r="K65" s="56" t="s">
        <v>379</v>
      </c>
      <c r="L65" s="56" t="s">
        <v>365</v>
      </c>
      <c r="M65" s="56" t="s">
        <v>366</v>
      </c>
      <c r="N65" s="62" t="s">
        <v>5720</v>
      </c>
      <c r="O65" s="59"/>
      <c r="P65" s="59"/>
      <c r="Q65" s="56" t="s">
        <v>3148</v>
      </c>
      <c r="R65" s="59"/>
      <c r="S65" s="56" t="s">
        <v>5722</v>
      </c>
      <c r="T65" s="61" t="s">
        <v>373</v>
      </c>
      <c r="U65" s="58" t="s">
        <v>5806</v>
      </c>
      <c r="W65" s="55" t="b">
        <f t="shared" si="1"/>
        <v>0</v>
      </c>
    </row>
    <row r="66" ht="15.0" customHeight="1">
      <c r="A66" s="56" t="s">
        <v>78</v>
      </c>
      <c r="B66" s="56" t="s">
        <v>2535</v>
      </c>
      <c r="C66" s="57" t="s">
        <v>2536</v>
      </c>
      <c r="D66" s="56" t="s">
        <v>5917</v>
      </c>
      <c r="E66" s="56" t="s">
        <v>368</v>
      </c>
      <c r="F66" s="56" t="s">
        <v>716</v>
      </c>
      <c r="G66" s="56" t="s">
        <v>421</v>
      </c>
      <c r="H66" s="56" t="s">
        <v>2931</v>
      </c>
      <c r="I66" s="56" t="s">
        <v>5715</v>
      </c>
      <c r="J66" s="56" t="s">
        <v>443</v>
      </c>
      <c r="K66" s="56" t="s">
        <v>379</v>
      </c>
      <c r="L66" s="56" t="s">
        <v>365</v>
      </c>
      <c r="M66" s="56" t="s">
        <v>366</v>
      </c>
      <c r="N66" s="62" t="s">
        <v>483</v>
      </c>
      <c r="O66" s="59"/>
      <c r="P66" s="59"/>
      <c r="Q66" s="56" t="s">
        <v>1426</v>
      </c>
      <c r="R66" s="59"/>
      <c r="S66" s="56" t="s">
        <v>5733</v>
      </c>
      <c r="T66" s="61" t="s">
        <v>373</v>
      </c>
      <c r="U66" s="58" t="s">
        <v>5918</v>
      </c>
      <c r="W66" s="55" t="b">
        <f t="shared" si="1"/>
        <v>0</v>
      </c>
    </row>
    <row r="67" ht="15.0" customHeight="1">
      <c r="A67" s="56" t="s">
        <v>79</v>
      </c>
      <c r="B67" s="56" t="s">
        <v>991</v>
      </c>
      <c r="C67" s="57" t="s">
        <v>2544</v>
      </c>
      <c r="D67" s="58">
        <v>2.257062209E9</v>
      </c>
      <c r="E67" s="56" t="s">
        <v>368</v>
      </c>
      <c r="F67" s="56" t="s">
        <v>390</v>
      </c>
      <c r="G67" s="56" t="s">
        <v>452</v>
      </c>
      <c r="H67" s="62" t="s">
        <v>2291</v>
      </c>
      <c r="I67" s="59"/>
      <c r="J67" s="59"/>
      <c r="K67" s="56" t="s">
        <v>364</v>
      </c>
      <c r="L67" s="56" t="s">
        <v>380</v>
      </c>
      <c r="M67" s="56" t="s">
        <v>413</v>
      </c>
      <c r="N67" s="62" t="s">
        <v>5716</v>
      </c>
      <c r="O67" s="59"/>
      <c r="P67" s="59"/>
      <c r="Q67" s="56" t="s">
        <v>1511</v>
      </c>
      <c r="R67" s="59"/>
      <c r="S67" s="56" t="s">
        <v>5717</v>
      </c>
      <c r="T67" s="61" t="s">
        <v>373</v>
      </c>
      <c r="U67" s="58" t="s">
        <v>5919</v>
      </c>
      <c r="W67" s="55" t="b">
        <f t="shared" si="1"/>
        <v>0</v>
      </c>
    </row>
    <row r="68" ht="15.0" customHeight="1">
      <c r="A68" s="56" t="s">
        <v>80</v>
      </c>
      <c r="B68" s="56" t="s">
        <v>5920</v>
      </c>
      <c r="C68" s="57" t="s">
        <v>2548</v>
      </c>
      <c r="D68" s="56" t="s">
        <v>4630</v>
      </c>
      <c r="E68" s="56" t="s">
        <v>368</v>
      </c>
      <c r="F68" s="62" t="s">
        <v>2286</v>
      </c>
      <c r="G68" s="59"/>
      <c r="H68" s="59"/>
      <c r="I68" s="59"/>
      <c r="J68" s="59"/>
      <c r="K68" s="56" t="s">
        <v>379</v>
      </c>
      <c r="L68" s="56" t="s">
        <v>365</v>
      </c>
      <c r="M68" s="56" t="s">
        <v>366</v>
      </c>
      <c r="N68" s="62" t="s">
        <v>497</v>
      </c>
      <c r="O68" s="59"/>
      <c r="P68" s="59"/>
      <c r="Q68" s="56" t="s">
        <v>5921</v>
      </c>
      <c r="R68" s="59"/>
      <c r="S68" s="56" t="s">
        <v>5733</v>
      </c>
      <c r="T68" s="61" t="s">
        <v>373</v>
      </c>
      <c r="U68" s="58" t="s">
        <v>5886</v>
      </c>
      <c r="W68" s="55" t="b">
        <f t="shared" si="1"/>
        <v>0</v>
      </c>
    </row>
    <row r="69" ht="15.0" customHeight="1">
      <c r="A69" s="56" t="s">
        <v>5922</v>
      </c>
      <c r="B69" s="56" t="s">
        <v>903</v>
      </c>
      <c r="C69" s="57" t="s">
        <v>5923</v>
      </c>
      <c r="D69" s="56" t="s">
        <v>4633</v>
      </c>
      <c r="E69" s="56" t="s">
        <v>368</v>
      </c>
      <c r="F69" s="62" t="s">
        <v>2286</v>
      </c>
      <c r="G69" s="59"/>
      <c r="H69" s="59"/>
      <c r="I69" s="59"/>
      <c r="J69" s="59"/>
      <c r="K69" s="56" t="s">
        <v>379</v>
      </c>
      <c r="L69" s="56" t="s">
        <v>667</v>
      </c>
      <c r="M69" s="56" t="s">
        <v>366</v>
      </c>
      <c r="N69" s="56" t="s">
        <v>5720</v>
      </c>
      <c r="O69" s="58">
        <v>0.0</v>
      </c>
      <c r="P69" s="58">
        <v>1.0</v>
      </c>
      <c r="Q69" s="56" t="s">
        <v>1511</v>
      </c>
      <c r="R69" s="59"/>
      <c r="S69" s="56" t="s">
        <v>5722</v>
      </c>
      <c r="T69" s="61" t="s">
        <v>373</v>
      </c>
      <c r="U69" s="58" t="s">
        <v>5924</v>
      </c>
      <c r="W69" s="55" t="b">
        <f t="shared" si="1"/>
        <v>0</v>
      </c>
    </row>
    <row r="70" ht="15.0" customHeight="1">
      <c r="A70" s="56" t="s">
        <v>81</v>
      </c>
      <c r="B70" s="56" t="s">
        <v>4636</v>
      </c>
      <c r="C70" s="57" t="s">
        <v>4637</v>
      </c>
      <c r="D70" s="56" t="s">
        <v>4638</v>
      </c>
      <c r="E70" s="56" t="s">
        <v>368</v>
      </c>
      <c r="F70" s="56" t="s">
        <v>452</v>
      </c>
      <c r="G70" s="56" t="s">
        <v>2286</v>
      </c>
      <c r="H70" s="56" t="s">
        <v>390</v>
      </c>
      <c r="I70" s="56" t="s">
        <v>410</v>
      </c>
      <c r="J70" s="56" t="s">
        <v>1789</v>
      </c>
      <c r="K70" s="56" t="s">
        <v>364</v>
      </c>
      <c r="L70" s="56" t="s">
        <v>365</v>
      </c>
      <c r="M70" s="56" t="s">
        <v>5925</v>
      </c>
      <c r="N70" s="62" t="s">
        <v>5716</v>
      </c>
      <c r="O70" s="59"/>
      <c r="P70" s="59"/>
      <c r="Q70" s="56" t="s">
        <v>446</v>
      </c>
      <c r="R70" s="59"/>
      <c r="S70" s="56" t="s">
        <v>5717</v>
      </c>
      <c r="T70" s="61" t="s">
        <v>373</v>
      </c>
      <c r="U70" s="58" t="s">
        <v>5926</v>
      </c>
      <c r="W70" s="55" t="b">
        <f t="shared" si="1"/>
        <v>0</v>
      </c>
    </row>
    <row r="71" ht="15.0" customHeight="1">
      <c r="A71" s="56" t="s">
        <v>4646</v>
      </c>
      <c r="B71" s="56" t="s">
        <v>4647</v>
      </c>
      <c r="C71" s="57" t="s">
        <v>4648</v>
      </c>
      <c r="D71" s="56" t="s">
        <v>4649</v>
      </c>
      <c r="E71" s="56" t="s">
        <v>368</v>
      </c>
      <c r="F71" s="56" t="s">
        <v>410</v>
      </c>
      <c r="G71" s="56" t="s">
        <v>390</v>
      </c>
      <c r="H71" s="62" t="s">
        <v>2291</v>
      </c>
      <c r="I71" s="59"/>
      <c r="J71" s="59"/>
      <c r="K71" s="56" t="s">
        <v>364</v>
      </c>
      <c r="L71" s="56" t="s">
        <v>822</v>
      </c>
      <c r="M71" s="56" t="s">
        <v>366</v>
      </c>
      <c r="N71" s="62" t="s">
        <v>5720</v>
      </c>
      <c r="O71" s="59"/>
      <c r="P71" s="59"/>
      <c r="Q71" s="56" t="s">
        <v>2746</v>
      </c>
      <c r="R71" s="59"/>
      <c r="S71" s="56" t="s">
        <v>5722</v>
      </c>
      <c r="T71" s="61" t="s">
        <v>373</v>
      </c>
      <c r="U71" s="58" t="s">
        <v>5927</v>
      </c>
      <c r="W71" s="55" t="b">
        <f t="shared" si="1"/>
        <v>0</v>
      </c>
    </row>
    <row r="72" ht="15.0" customHeight="1">
      <c r="A72" s="56" t="s">
        <v>5928</v>
      </c>
      <c r="B72" s="56" t="s">
        <v>5929</v>
      </c>
      <c r="C72" s="57" t="s">
        <v>5930</v>
      </c>
      <c r="D72" s="58">
        <v>2.143738222E9</v>
      </c>
      <c r="E72" s="56" t="s">
        <v>368</v>
      </c>
      <c r="F72" s="56" t="s">
        <v>675</v>
      </c>
      <c r="G72" s="56" t="s">
        <v>452</v>
      </c>
      <c r="H72" s="62" t="s">
        <v>390</v>
      </c>
      <c r="I72" s="59"/>
      <c r="J72" s="59"/>
      <c r="K72" s="56" t="s">
        <v>379</v>
      </c>
      <c r="L72" s="56" t="s">
        <v>365</v>
      </c>
      <c r="M72" s="56" t="s">
        <v>513</v>
      </c>
      <c r="N72" s="62" t="s">
        <v>5720</v>
      </c>
      <c r="O72" s="59"/>
      <c r="P72" s="59"/>
      <c r="Q72" s="59"/>
      <c r="R72" s="59"/>
      <c r="S72" s="56" t="s">
        <v>5722</v>
      </c>
      <c r="T72" s="61" t="s">
        <v>394</v>
      </c>
      <c r="U72" s="58" t="s">
        <v>5931</v>
      </c>
      <c r="W72" s="55" t="b">
        <f t="shared" si="1"/>
        <v>1</v>
      </c>
    </row>
    <row r="73" ht="15.0" customHeight="1">
      <c r="A73" s="56" t="s">
        <v>82</v>
      </c>
      <c r="B73" s="56" t="s">
        <v>5932</v>
      </c>
      <c r="C73" s="57" t="s">
        <v>5933</v>
      </c>
      <c r="D73" s="58">
        <v>8.173523685E9</v>
      </c>
      <c r="E73" s="56" t="s">
        <v>368</v>
      </c>
      <c r="F73" s="56" t="s">
        <v>2286</v>
      </c>
      <c r="G73" s="56" t="s">
        <v>2291</v>
      </c>
      <c r="H73" s="56" t="s">
        <v>452</v>
      </c>
      <c r="I73" s="56" t="s">
        <v>5715</v>
      </c>
      <c r="J73" s="56" t="s">
        <v>390</v>
      </c>
      <c r="K73" s="56" t="s">
        <v>364</v>
      </c>
      <c r="L73" s="56" t="s">
        <v>365</v>
      </c>
      <c r="M73" s="56" t="s">
        <v>366</v>
      </c>
      <c r="N73" s="62" t="s">
        <v>5716</v>
      </c>
      <c r="O73" s="59"/>
      <c r="P73" s="59"/>
      <c r="Q73" s="56" t="s">
        <v>2627</v>
      </c>
      <c r="R73" s="59"/>
      <c r="S73" s="56" t="s">
        <v>5717</v>
      </c>
      <c r="T73" s="61" t="s">
        <v>373</v>
      </c>
      <c r="U73" s="58" t="s">
        <v>5934</v>
      </c>
      <c r="W73" s="55" t="b">
        <f t="shared" si="1"/>
        <v>0</v>
      </c>
    </row>
    <row r="74" ht="15.0" customHeight="1">
      <c r="A74" s="56" t="s">
        <v>2573</v>
      </c>
      <c r="B74" s="56" t="s">
        <v>2574</v>
      </c>
      <c r="C74" s="57" t="s">
        <v>2575</v>
      </c>
      <c r="D74" s="58">
        <v>4.693451125E9</v>
      </c>
      <c r="E74" s="56" t="s">
        <v>368</v>
      </c>
      <c r="F74" s="62" t="s">
        <v>1598</v>
      </c>
      <c r="G74" s="59"/>
      <c r="H74" s="59"/>
      <c r="I74" s="59"/>
      <c r="J74" s="59"/>
      <c r="K74" s="56" t="s">
        <v>379</v>
      </c>
      <c r="L74" s="56" t="s">
        <v>412</v>
      </c>
      <c r="M74" s="56" t="s">
        <v>413</v>
      </c>
      <c r="N74" s="56" t="s">
        <v>5716</v>
      </c>
      <c r="O74" s="58">
        <v>0.0</v>
      </c>
      <c r="P74" s="59"/>
      <c r="Q74" s="56" t="s">
        <v>2944</v>
      </c>
      <c r="R74" s="59"/>
      <c r="S74" s="56" t="s">
        <v>5717</v>
      </c>
      <c r="T74" s="61" t="s">
        <v>373</v>
      </c>
      <c r="U74" s="58" t="s">
        <v>5935</v>
      </c>
      <c r="W74" s="55" t="b">
        <f t="shared" si="1"/>
        <v>0</v>
      </c>
    </row>
    <row r="75" ht="15.0" customHeight="1">
      <c r="A75" s="56" t="s">
        <v>291</v>
      </c>
      <c r="B75" s="56" t="s">
        <v>664</v>
      </c>
      <c r="C75" s="57" t="s">
        <v>2577</v>
      </c>
      <c r="D75" s="56" t="s">
        <v>4652</v>
      </c>
      <c r="E75" s="56" t="s">
        <v>368</v>
      </c>
      <c r="F75" s="62" t="s">
        <v>2286</v>
      </c>
      <c r="G75" s="59"/>
      <c r="H75" s="59"/>
      <c r="I75" s="59"/>
      <c r="J75" s="59"/>
      <c r="K75" s="56" t="s">
        <v>364</v>
      </c>
      <c r="L75" s="56" t="s">
        <v>520</v>
      </c>
      <c r="M75" s="56" t="s">
        <v>366</v>
      </c>
      <c r="N75" s="62" t="s">
        <v>5720</v>
      </c>
      <c r="O75" s="59"/>
      <c r="P75" s="59"/>
      <c r="Q75" s="56" t="s">
        <v>1378</v>
      </c>
      <c r="R75" s="59"/>
      <c r="S75" s="56" t="s">
        <v>5722</v>
      </c>
      <c r="T75" s="61" t="s">
        <v>373</v>
      </c>
      <c r="U75" s="58" t="s">
        <v>5936</v>
      </c>
      <c r="W75" s="55" t="b">
        <f t="shared" si="1"/>
        <v>0</v>
      </c>
    </row>
    <row r="76" ht="15.0" customHeight="1">
      <c r="A76" s="56" t="s">
        <v>84</v>
      </c>
      <c r="B76" s="56" t="s">
        <v>5937</v>
      </c>
      <c r="C76" s="57" t="s">
        <v>5938</v>
      </c>
      <c r="D76" s="58">
        <v>4.705796004E9</v>
      </c>
      <c r="E76" s="56" t="s">
        <v>368</v>
      </c>
      <c r="F76" s="56" t="s">
        <v>2286</v>
      </c>
      <c r="G76" s="62" t="s">
        <v>1789</v>
      </c>
      <c r="H76" s="59"/>
      <c r="I76" s="59"/>
      <c r="J76" s="59"/>
      <c r="K76" s="56" t="s">
        <v>379</v>
      </c>
      <c r="L76" s="56" t="s">
        <v>365</v>
      </c>
      <c r="M76" s="56" t="s">
        <v>513</v>
      </c>
      <c r="N76" s="62" t="s">
        <v>381</v>
      </c>
      <c r="O76" s="59"/>
      <c r="P76" s="59"/>
      <c r="Q76" s="59"/>
      <c r="R76" s="59"/>
      <c r="S76" s="56" t="s">
        <v>5733</v>
      </c>
      <c r="T76" s="61" t="s">
        <v>394</v>
      </c>
      <c r="U76" s="58" t="s">
        <v>5939</v>
      </c>
      <c r="W76" s="55" t="b">
        <f t="shared" si="1"/>
        <v>1</v>
      </c>
    </row>
    <row r="77" ht="15.0" customHeight="1">
      <c r="A77" s="56" t="s">
        <v>2584</v>
      </c>
      <c r="B77" s="56" t="s">
        <v>5940</v>
      </c>
      <c r="C77" s="57" t="s">
        <v>5941</v>
      </c>
      <c r="D77" s="56" t="s">
        <v>5942</v>
      </c>
      <c r="E77" s="56" t="s">
        <v>368</v>
      </c>
      <c r="F77" s="56" t="s">
        <v>1553</v>
      </c>
      <c r="G77" s="56" t="s">
        <v>390</v>
      </c>
      <c r="H77" s="56" t="s">
        <v>452</v>
      </c>
      <c r="I77" s="56" t="s">
        <v>410</v>
      </c>
      <c r="J77" s="56" t="s">
        <v>2286</v>
      </c>
      <c r="K77" s="56" t="s">
        <v>399</v>
      </c>
      <c r="L77" s="56" t="s">
        <v>380</v>
      </c>
      <c r="M77" s="56" t="s">
        <v>366</v>
      </c>
      <c r="N77" s="62" t="s">
        <v>5943</v>
      </c>
      <c r="O77" s="59"/>
      <c r="P77" s="59"/>
      <c r="Q77" s="62" t="s">
        <v>5944</v>
      </c>
      <c r="R77" s="59"/>
      <c r="S77" s="56" t="s">
        <v>5717</v>
      </c>
      <c r="T77" s="61" t="s">
        <v>373</v>
      </c>
      <c r="U77" s="58" t="s">
        <v>5945</v>
      </c>
      <c r="W77" s="55" t="b">
        <f t="shared" si="1"/>
        <v>0</v>
      </c>
    </row>
    <row r="78" ht="15.0" customHeight="1">
      <c r="A78" s="56" t="s">
        <v>85</v>
      </c>
      <c r="B78" s="56" t="s">
        <v>4662</v>
      </c>
      <c r="C78" s="57" t="s">
        <v>4663</v>
      </c>
      <c r="D78" s="58">
        <v>8.17201995E9</v>
      </c>
      <c r="E78" s="56" t="s">
        <v>368</v>
      </c>
      <c r="F78" s="56" t="s">
        <v>2286</v>
      </c>
      <c r="G78" s="62" t="s">
        <v>390</v>
      </c>
      <c r="H78" s="59"/>
      <c r="I78" s="59"/>
      <c r="J78" s="59"/>
      <c r="K78" s="56" t="s">
        <v>379</v>
      </c>
      <c r="L78" s="56" t="s">
        <v>380</v>
      </c>
      <c r="M78" s="56" t="s">
        <v>413</v>
      </c>
      <c r="N78" s="62" t="s">
        <v>5946</v>
      </c>
      <c r="O78" s="59"/>
      <c r="P78" s="59"/>
      <c r="Q78" s="56" t="s">
        <v>5947</v>
      </c>
      <c r="R78" s="59"/>
      <c r="S78" s="56" t="s">
        <v>5717</v>
      </c>
      <c r="T78" s="61" t="s">
        <v>373</v>
      </c>
      <c r="U78" s="58" t="s">
        <v>5948</v>
      </c>
      <c r="W78" s="55" t="b">
        <f t="shared" si="1"/>
        <v>0</v>
      </c>
    </row>
    <row r="79" ht="15.0" customHeight="1">
      <c r="A79" s="56" t="s">
        <v>5949</v>
      </c>
      <c r="B79" s="56" t="s">
        <v>5950</v>
      </c>
      <c r="C79" s="57" t="s">
        <v>5951</v>
      </c>
      <c r="D79" s="58">
        <v>7.246126104E9</v>
      </c>
      <c r="E79" s="56" t="s">
        <v>368</v>
      </c>
      <c r="F79" s="56" t="s">
        <v>410</v>
      </c>
      <c r="G79" s="62" t="s">
        <v>390</v>
      </c>
      <c r="H79" s="59"/>
      <c r="I79" s="59"/>
      <c r="J79" s="59"/>
      <c r="K79" s="56" t="s">
        <v>379</v>
      </c>
      <c r="L79" s="56" t="s">
        <v>365</v>
      </c>
      <c r="M79" s="56" t="s">
        <v>413</v>
      </c>
      <c r="N79" s="56" t="s">
        <v>5716</v>
      </c>
      <c r="O79" s="58">
        <v>1.0</v>
      </c>
      <c r="P79" s="59"/>
      <c r="Q79" s="56" t="s">
        <v>5607</v>
      </c>
      <c r="R79" s="59"/>
      <c r="S79" s="56" t="s">
        <v>5717</v>
      </c>
      <c r="T79" s="61" t="s">
        <v>373</v>
      </c>
      <c r="U79" s="58" t="s">
        <v>5952</v>
      </c>
      <c r="W79" s="55" t="b">
        <f t="shared" si="1"/>
        <v>0</v>
      </c>
    </row>
    <row r="80" ht="15.0" customHeight="1">
      <c r="A80" s="56" t="s">
        <v>86</v>
      </c>
      <c r="B80" s="56" t="s">
        <v>5953</v>
      </c>
      <c r="C80" s="57" t="s">
        <v>5954</v>
      </c>
      <c r="D80" s="58">
        <v>2.818945454E9</v>
      </c>
      <c r="E80" s="56" t="s">
        <v>368</v>
      </c>
      <c r="F80" s="56" t="s">
        <v>390</v>
      </c>
      <c r="G80" s="56" t="s">
        <v>452</v>
      </c>
      <c r="H80" s="56" t="s">
        <v>2291</v>
      </c>
      <c r="I80" s="56" t="s">
        <v>5715</v>
      </c>
      <c r="J80" s="56" t="s">
        <v>421</v>
      </c>
      <c r="K80" s="56" t="s">
        <v>379</v>
      </c>
      <c r="L80" s="56" t="s">
        <v>365</v>
      </c>
      <c r="M80" s="56" t="s">
        <v>513</v>
      </c>
      <c r="N80" s="56" t="s">
        <v>483</v>
      </c>
      <c r="O80" s="58">
        <v>0.0</v>
      </c>
      <c r="P80" s="58">
        <v>0.0</v>
      </c>
      <c r="Q80" s="56" t="s">
        <v>4211</v>
      </c>
      <c r="R80" s="59"/>
      <c r="S80" s="56" t="s">
        <v>5733</v>
      </c>
      <c r="T80" s="61" t="s">
        <v>373</v>
      </c>
      <c r="U80" s="58" t="s">
        <v>5955</v>
      </c>
      <c r="W80" s="55" t="b">
        <f t="shared" si="1"/>
        <v>1</v>
      </c>
    </row>
    <row r="81" ht="15.0" customHeight="1">
      <c r="A81" s="56" t="s">
        <v>87</v>
      </c>
      <c r="B81" s="56" t="s">
        <v>5956</v>
      </c>
      <c r="C81" s="57" t="s">
        <v>5957</v>
      </c>
      <c r="D81" s="58">
        <v>2.262437923E9</v>
      </c>
      <c r="E81" s="56" t="s">
        <v>368</v>
      </c>
      <c r="F81" s="56" t="s">
        <v>5715</v>
      </c>
      <c r="G81" s="56" t="s">
        <v>452</v>
      </c>
      <c r="H81" s="56" t="s">
        <v>2291</v>
      </c>
      <c r="I81" s="56" t="s">
        <v>362</v>
      </c>
      <c r="J81" s="56" t="s">
        <v>421</v>
      </c>
      <c r="K81" s="56" t="s">
        <v>364</v>
      </c>
      <c r="L81" s="56" t="s">
        <v>380</v>
      </c>
      <c r="M81" s="56" t="s">
        <v>366</v>
      </c>
      <c r="N81" s="62" t="s">
        <v>5720</v>
      </c>
      <c r="O81" s="59"/>
      <c r="P81" s="59"/>
      <c r="Q81" s="56" t="s">
        <v>1233</v>
      </c>
      <c r="R81" s="59"/>
      <c r="S81" s="56" t="s">
        <v>5722</v>
      </c>
      <c r="T81" s="61" t="s">
        <v>373</v>
      </c>
      <c r="U81" s="58" t="s">
        <v>5958</v>
      </c>
      <c r="W81" s="55" t="b">
        <f t="shared" si="1"/>
        <v>0</v>
      </c>
    </row>
    <row r="82" ht="15.0" customHeight="1">
      <c r="A82" s="56" t="s">
        <v>292</v>
      </c>
      <c r="B82" s="56" t="s">
        <v>5959</v>
      </c>
      <c r="C82" s="57" t="s">
        <v>687</v>
      </c>
      <c r="D82" s="58">
        <v>9.56983647E9</v>
      </c>
      <c r="E82" s="56" t="s">
        <v>368</v>
      </c>
      <c r="F82" s="56" t="s">
        <v>452</v>
      </c>
      <c r="G82" s="56" t="s">
        <v>2286</v>
      </c>
      <c r="H82" s="56" t="s">
        <v>2291</v>
      </c>
      <c r="I82" s="62" t="s">
        <v>390</v>
      </c>
      <c r="J82" s="59"/>
      <c r="K82" s="56" t="s">
        <v>399</v>
      </c>
      <c r="L82" s="56" t="s">
        <v>412</v>
      </c>
      <c r="M82" s="56" t="s">
        <v>413</v>
      </c>
      <c r="N82" s="56" t="s">
        <v>5720</v>
      </c>
      <c r="O82" s="58">
        <v>0.0</v>
      </c>
      <c r="P82" s="58">
        <v>2.0</v>
      </c>
      <c r="Q82" s="56" t="s">
        <v>2680</v>
      </c>
      <c r="R82" s="59"/>
      <c r="S82" s="56" t="s">
        <v>5722</v>
      </c>
      <c r="T82" s="61" t="s">
        <v>373</v>
      </c>
      <c r="U82" s="58" t="s">
        <v>5960</v>
      </c>
      <c r="W82" s="55" t="b">
        <f t="shared" si="1"/>
        <v>0</v>
      </c>
    </row>
    <row r="83" ht="15.0" customHeight="1">
      <c r="A83" s="56" t="s">
        <v>88</v>
      </c>
      <c r="B83" s="56" t="s">
        <v>693</v>
      </c>
      <c r="C83" s="57" t="s">
        <v>694</v>
      </c>
      <c r="D83" s="56" t="s">
        <v>4692</v>
      </c>
      <c r="E83" s="56" t="s">
        <v>368</v>
      </c>
      <c r="F83" s="56" t="s">
        <v>410</v>
      </c>
      <c r="G83" s="62" t="s">
        <v>362</v>
      </c>
      <c r="H83" s="59"/>
      <c r="I83" s="59"/>
      <c r="J83" s="59"/>
      <c r="K83" s="56" t="s">
        <v>399</v>
      </c>
      <c r="L83" s="56" t="s">
        <v>365</v>
      </c>
      <c r="M83" s="56" t="s">
        <v>869</v>
      </c>
      <c r="N83" s="56" t="s">
        <v>5724</v>
      </c>
      <c r="O83" s="58">
        <v>1.0</v>
      </c>
      <c r="P83" s="59"/>
      <c r="Q83" s="56" t="s">
        <v>5024</v>
      </c>
      <c r="R83" s="59"/>
      <c r="S83" s="56" t="s">
        <v>5717</v>
      </c>
      <c r="T83" s="61" t="s">
        <v>373</v>
      </c>
      <c r="U83" s="58" t="s">
        <v>5961</v>
      </c>
      <c r="W83" s="55" t="b">
        <f t="shared" si="1"/>
        <v>0</v>
      </c>
    </row>
    <row r="84" ht="15.0" customHeight="1">
      <c r="A84" s="56" t="s">
        <v>5962</v>
      </c>
      <c r="B84" s="56" t="s">
        <v>5963</v>
      </c>
      <c r="C84" s="57" t="s">
        <v>5964</v>
      </c>
      <c r="D84" s="56" t="s">
        <v>5965</v>
      </c>
      <c r="E84" s="56" t="s">
        <v>368</v>
      </c>
      <c r="F84" s="56" t="s">
        <v>2286</v>
      </c>
      <c r="G84" s="56" t="s">
        <v>1553</v>
      </c>
      <c r="H84" s="56" t="s">
        <v>410</v>
      </c>
      <c r="I84" s="62" t="s">
        <v>5719</v>
      </c>
      <c r="J84" s="59"/>
      <c r="K84" s="56" t="s">
        <v>399</v>
      </c>
      <c r="L84" s="56" t="s">
        <v>365</v>
      </c>
      <c r="M84" s="56" t="s">
        <v>413</v>
      </c>
      <c r="N84" s="62" t="s">
        <v>5720</v>
      </c>
      <c r="O84" s="59"/>
      <c r="P84" s="59"/>
      <c r="Q84" s="56" t="s">
        <v>5966</v>
      </c>
      <c r="R84" s="59"/>
      <c r="S84" s="56" t="s">
        <v>5722</v>
      </c>
      <c r="T84" s="61" t="s">
        <v>373</v>
      </c>
      <c r="U84" s="58" t="s">
        <v>5967</v>
      </c>
      <c r="W84" s="55" t="b">
        <f t="shared" si="1"/>
        <v>0</v>
      </c>
    </row>
    <row r="85" ht="15.0" customHeight="1">
      <c r="A85" s="56" t="s">
        <v>89</v>
      </c>
      <c r="B85" s="56" t="s">
        <v>5968</v>
      </c>
      <c r="C85" s="57" t="s">
        <v>5969</v>
      </c>
      <c r="D85" s="58">
        <v>8.164487416E9</v>
      </c>
      <c r="E85" s="56" t="s">
        <v>368</v>
      </c>
      <c r="F85" s="56" t="s">
        <v>2286</v>
      </c>
      <c r="G85" s="56" t="s">
        <v>452</v>
      </c>
      <c r="H85" s="62" t="s">
        <v>390</v>
      </c>
      <c r="I85" s="59"/>
      <c r="J85" s="59"/>
      <c r="K85" s="56" t="s">
        <v>364</v>
      </c>
      <c r="L85" s="56" t="s">
        <v>365</v>
      </c>
      <c r="M85" s="56" t="s">
        <v>413</v>
      </c>
      <c r="N85" s="62" t="s">
        <v>497</v>
      </c>
      <c r="O85" s="59"/>
      <c r="P85" s="59"/>
      <c r="Q85" s="56" t="s">
        <v>4444</v>
      </c>
      <c r="R85" s="59"/>
      <c r="S85" s="56" t="s">
        <v>5733</v>
      </c>
      <c r="T85" s="61" t="s">
        <v>373</v>
      </c>
      <c r="U85" s="58" t="s">
        <v>5790</v>
      </c>
      <c r="W85" s="55" t="b">
        <f t="shared" si="1"/>
        <v>0</v>
      </c>
    </row>
    <row r="86" ht="15.0" customHeight="1">
      <c r="A86" s="56" t="s">
        <v>5970</v>
      </c>
      <c r="B86" s="56" t="s">
        <v>5971</v>
      </c>
      <c r="C86" s="57" t="s">
        <v>5972</v>
      </c>
      <c r="D86" s="56" t="s">
        <v>5973</v>
      </c>
      <c r="E86" s="56" t="s">
        <v>368</v>
      </c>
      <c r="F86" s="56" t="s">
        <v>390</v>
      </c>
      <c r="G86" s="56" t="s">
        <v>410</v>
      </c>
      <c r="H86" s="56" t="s">
        <v>2286</v>
      </c>
      <c r="I86" s="56" t="s">
        <v>452</v>
      </c>
      <c r="J86" s="56" t="s">
        <v>2291</v>
      </c>
      <c r="K86" s="56" t="s">
        <v>399</v>
      </c>
      <c r="L86" s="56" t="s">
        <v>412</v>
      </c>
      <c r="M86" s="56" t="s">
        <v>366</v>
      </c>
      <c r="N86" s="62" t="s">
        <v>5720</v>
      </c>
      <c r="O86" s="59"/>
      <c r="P86" s="59"/>
      <c r="Q86" s="56" t="s">
        <v>3306</v>
      </c>
      <c r="R86" s="59"/>
      <c r="S86" s="56" t="s">
        <v>5722</v>
      </c>
      <c r="T86" s="61" t="s">
        <v>373</v>
      </c>
      <c r="U86" s="58" t="s">
        <v>5974</v>
      </c>
      <c r="W86" s="55" t="b">
        <f t="shared" si="1"/>
        <v>0</v>
      </c>
    </row>
    <row r="87" ht="15.0" customHeight="1">
      <c r="A87" s="56" t="s">
        <v>293</v>
      </c>
      <c r="B87" s="56" t="s">
        <v>705</v>
      </c>
      <c r="C87" s="57" t="s">
        <v>706</v>
      </c>
      <c r="D87" s="58">
        <v>9.798628843E9</v>
      </c>
      <c r="E87" s="56" t="s">
        <v>368</v>
      </c>
      <c r="F87" s="56" t="s">
        <v>634</v>
      </c>
      <c r="G87" s="56" t="s">
        <v>709</v>
      </c>
      <c r="H87" s="56" t="s">
        <v>2286</v>
      </c>
      <c r="I87" s="56" t="s">
        <v>459</v>
      </c>
      <c r="J87" s="56" t="s">
        <v>362</v>
      </c>
      <c r="K87" s="56" t="s">
        <v>399</v>
      </c>
      <c r="L87" s="56" t="s">
        <v>520</v>
      </c>
      <c r="M87" s="56" t="s">
        <v>513</v>
      </c>
      <c r="N87" s="56" t="s">
        <v>5720</v>
      </c>
      <c r="O87" s="58">
        <v>0.0</v>
      </c>
      <c r="P87" s="58">
        <v>0.0</v>
      </c>
      <c r="Q87" s="56" t="s">
        <v>4500</v>
      </c>
      <c r="R87" s="59"/>
      <c r="S87" s="56" t="s">
        <v>5722</v>
      </c>
      <c r="T87" s="61" t="s">
        <v>373</v>
      </c>
      <c r="U87" s="58" t="s">
        <v>5975</v>
      </c>
      <c r="W87" s="55" t="b">
        <f t="shared" si="1"/>
        <v>1</v>
      </c>
    </row>
    <row r="88" ht="15.0" customHeight="1">
      <c r="A88" s="56" t="s">
        <v>2643</v>
      </c>
      <c r="B88" s="56" t="s">
        <v>2644</v>
      </c>
      <c r="C88" s="57" t="s">
        <v>2645</v>
      </c>
      <c r="D88" s="56" t="s">
        <v>2646</v>
      </c>
      <c r="E88" s="56" t="s">
        <v>368</v>
      </c>
      <c r="F88" s="56" t="s">
        <v>410</v>
      </c>
      <c r="G88" s="56" t="s">
        <v>5715</v>
      </c>
      <c r="H88" s="56" t="s">
        <v>362</v>
      </c>
      <c r="I88" s="56" t="s">
        <v>452</v>
      </c>
      <c r="J88" s="56" t="s">
        <v>390</v>
      </c>
      <c r="K88" s="56" t="s">
        <v>364</v>
      </c>
      <c r="L88" s="56" t="s">
        <v>365</v>
      </c>
      <c r="M88" s="56" t="s">
        <v>366</v>
      </c>
      <c r="N88" s="62" t="s">
        <v>5720</v>
      </c>
      <c r="O88" s="59"/>
      <c r="P88" s="59"/>
      <c r="Q88" s="56" t="s">
        <v>5483</v>
      </c>
      <c r="R88" s="59"/>
      <c r="S88" s="56" t="s">
        <v>5722</v>
      </c>
      <c r="T88" s="61" t="s">
        <v>373</v>
      </c>
      <c r="U88" s="58" t="s">
        <v>5976</v>
      </c>
      <c r="W88" s="55" t="b">
        <f t="shared" si="1"/>
        <v>0</v>
      </c>
    </row>
    <row r="89" ht="15.0" customHeight="1">
      <c r="A89" s="56" t="s">
        <v>5977</v>
      </c>
      <c r="B89" s="56" t="s">
        <v>5978</v>
      </c>
      <c r="C89" s="57" t="s">
        <v>5979</v>
      </c>
      <c r="D89" s="56" t="s">
        <v>5980</v>
      </c>
      <c r="E89" s="56" t="s">
        <v>368</v>
      </c>
      <c r="F89" s="56" t="s">
        <v>459</v>
      </c>
      <c r="G89" s="56" t="s">
        <v>5715</v>
      </c>
      <c r="H89" s="56" t="s">
        <v>452</v>
      </c>
      <c r="I89" s="56" t="s">
        <v>390</v>
      </c>
      <c r="J89" s="56" t="s">
        <v>362</v>
      </c>
      <c r="K89" s="56" t="s">
        <v>399</v>
      </c>
      <c r="L89" s="56" t="s">
        <v>365</v>
      </c>
      <c r="M89" s="56" t="s">
        <v>413</v>
      </c>
      <c r="N89" s="62" t="s">
        <v>381</v>
      </c>
      <c r="O89" s="59"/>
      <c r="P89" s="59"/>
      <c r="Q89" s="56" t="s">
        <v>2621</v>
      </c>
      <c r="R89" s="59"/>
      <c r="S89" s="56" t="s">
        <v>5733</v>
      </c>
      <c r="T89" s="61" t="s">
        <v>373</v>
      </c>
      <c r="U89" s="58" t="s">
        <v>5886</v>
      </c>
      <c r="W89" s="55" t="b">
        <f t="shared" si="1"/>
        <v>0</v>
      </c>
    </row>
    <row r="90" ht="15.0" customHeight="1">
      <c r="A90" s="56" t="s">
        <v>5981</v>
      </c>
      <c r="B90" s="56" t="s">
        <v>5982</v>
      </c>
      <c r="C90" s="57" t="s">
        <v>5983</v>
      </c>
      <c r="D90" s="56" t="s">
        <v>5984</v>
      </c>
      <c r="E90" s="56" t="s">
        <v>368</v>
      </c>
      <c r="F90" s="56" t="s">
        <v>362</v>
      </c>
      <c r="G90" s="56" t="s">
        <v>5715</v>
      </c>
      <c r="H90" s="56" t="s">
        <v>459</v>
      </c>
      <c r="I90" s="56" t="s">
        <v>452</v>
      </c>
      <c r="J90" s="56" t="s">
        <v>390</v>
      </c>
      <c r="K90" s="56" t="s">
        <v>379</v>
      </c>
      <c r="L90" s="56" t="s">
        <v>830</v>
      </c>
      <c r="M90" s="56" t="s">
        <v>413</v>
      </c>
      <c r="N90" s="56" t="s">
        <v>5716</v>
      </c>
      <c r="O90" s="58">
        <v>1.0</v>
      </c>
      <c r="P90" s="59"/>
      <c r="Q90" s="56" t="s">
        <v>3112</v>
      </c>
      <c r="R90" s="59"/>
      <c r="S90" s="56" t="s">
        <v>5717</v>
      </c>
      <c r="T90" s="61" t="s">
        <v>373</v>
      </c>
      <c r="U90" s="58" t="s">
        <v>5985</v>
      </c>
      <c r="W90" s="55" t="b">
        <f t="shared" si="1"/>
        <v>0</v>
      </c>
    </row>
    <row r="91" ht="15.0" customHeight="1">
      <c r="A91" s="56" t="s">
        <v>91</v>
      </c>
      <c r="B91" s="56" t="s">
        <v>5986</v>
      </c>
      <c r="C91" s="57" t="s">
        <v>5987</v>
      </c>
      <c r="D91" s="58">
        <v>7.133159315E9</v>
      </c>
      <c r="E91" s="56" t="s">
        <v>368</v>
      </c>
      <c r="F91" s="56" t="s">
        <v>390</v>
      </c>
      <c r="G91" s="56" t="s">
        <v>452</v>
      </c>
      <c r="H91" s="56" t="s">
        <v>5715</v>
      </c>
      <c r="I91" s="56" t="s">
        <v>3730</v>
      </c>
      <c r="J91" s="56" t="s">
        <v>459</v>
      </c>
      <c r="K91" s="56" t="s">
        <v>364</v>
      </c>
      <c r="L91" s="56" t="s">
        <v>365</v>
      </c>
      <c r="M91" s="56" t="s">
        <v>366</v>
      </c>
      <c r="N91" s="62" t="s">
        <v>5946</v>
      </c>
      <c r="O91" s="59"/>
      <c r="P91" s="59"/>
      <c r="Q91" s="56" t="s">
        <v>4736</v>
      </c>
      <c r="R91" s="59"/>
      <c r="S91" s="56" t="s">
        <v>5717</v>
      </c>
      <c r="T91" s="61" t="s">
        <v>373</v>
      </c>
      <c r="U91" s="58" t="s">
        <v>5988</v>
      </c>
      <c r="W91" s="55" t="b">
        <f t="shared" si="1"/>
        <v>0</v>
      </c>
    </row>
    <row r="92" ht="15.0" customHeight="1">
      <c r="A92" s="56" t="s">
        <v>92</v>
      </c>
      <c r="B92" s="56" t="s">
        <v>5989</v>
      </c>
      <c r="C92" s="57" t="s">
        <v>5990</v>
      </c>
      <c r="D92" s="56" t="s">
        <v>5991</v>
      </c>
      <c r="E92" s="56" t="s">
        <v>368</v>
      </c>
      <c r="F92" s="56" t="s">
        <v>362</v>
      </c>
      <c r="G92" s="56" t="s">
        <v>5715</v>
      </c>
      <c r="H92" s="56" t="s">
        <v>2931</v>
      </c>
      <c r="I92" s="62" t="s">
        <v>1553</v>
      </c>
      <c r="J92" s="59"/>
      <c r="K92" s="56" t="s">
        <v>379</v>
      </c>
      <c r="L92" s="56" t="s">
        <v>365</v>
      </c>
      <c r="M92" s="56" t="s">
        <v>413</v>
      </c>
      <c r="N92" s="62" t="s">
        <v>5716</v>
      </c>
      <c r="O92" s="59"/>
      <c r="P92" s="59"/>
      <c r="Q92" s="56" t="s">
        <v>4945</v>
      </c>
      <c r="R92" s="59"/>
      <c r="S92" s="56" t="s">
        <v>5717</v>
      </c>
      <c r="T92" s="61" t="s">
        <v>373</v>
      </c>
      <c r="U92" s="58" t="s">
        <v>5992</v>
      </c>
      <c r="W92" s="55" t="b">
        <f t="shared" si="1"/>
        <v>0</v>
      </c>
    </row>
    <row r="93" ht="15.0" customHeight="1">
      <c r="A93" s="56" t="s">
        <v>2674</v>
      </c>
      <c r="B93" s="56" t="s">
        <v>5993</v>
      </c>
      <c r="C93" s="57" t="s">
        <v>5994</v>
      </c>
      <c r="D93" s="58">
        <v>2.108716125E9</v>
      </c>
      <c r="E93" s="56" t="s">
        <v>368</v>
      </c>
      <c r="F93" s="56" t="s">
        <v>390</v>
      </c>
      <c r="G93" s="56" t="s">
        <v>2286</v>
      </c>
      <c r="H93" s="56" t="s">
        <v>452</v>
      </c>
      <c r="I93" s="56" t="s">
        <v>1789</v>
      </c>
      <c r="J93" s="56" t="s">
        <v>410</v>
      </c>
      <c r="K93" s="56" t="s">
        <v>379</v>
      </c>
      <c r="L93" s="56" t="s">
        <v>405</v>
      </c>
      <c r="M93" s="56" t="s">
        <v>413</v>
      </c>
      <c r="N93" s="56" t="s">
        <v>5770</v>
      </c>
      <c r="O93" s="58">
        <v>0.0</v>
      </c>
      <c r="P93" s="59"/>
      <c r="Q93" s="56" t="s">
        <v>4759</v>
      </c>
      <c r="R93" s="59"/>
      <c r="S93" s="56" t="s">
        <v>5722</v>
      </c>
      <c r="T93" s="61" t="s">
        <v>373</v>
      </c>
      <c r="U93" s="58" t="s">
        <v>5995</v>
      </c>
      <c r="W93" s="55" t="b">
        <f t="shared" si="1"/>
        <v>0</v>
      </c>
    </row>
    <row r="94" ht="15.0" customHeight="1">
      <c r="A94" s="56" t="s">
        <v>93</v>
      </c>
      <c r="B94" s="56" t="s">
        <v>751</v>
      </c>
      <c r="C94" s="57" t="s">
        <v>752</v>
      </c>
      <c r="D94" s="58">
        <v>9.79776752E9</v>
      </c>
      <c r="E94" s="56" t="s">
        <v>368</v>
      </c>
      <c r="F94" s="62" t="s">
        <v>362</v>
      </c>
      <c r="G94" s="59"/>
      <c r="H94" s="59"/>
      <c r="I94" s="59"/>
      <c r="J94" s="59"/>
      <c r="K94" s="56" t="s">
        <v>379</v>
      </c>
      <c r="L94" s="56" t="s">
        <v>365</v>
      </c>
      <c r="M94" s="56" t="s">
        <v>366</v>
      </c>
      <c r="N94" s="62" t="s">
        <v>381</v>
      </c>
      <c r="O94" s="59"/>
      <c r="P94" s="59"/>
      <c r="Q94" s="56" t="s">
        <v>655</v>
      </c>
      <c r="R94" s="59"/>
      <c r="S94" s="56" t="s">
        <v>5733</v>
      </c>
      <c r="T94" s="61" t="s">
        <v>373</v>
      </c>
      <c r="U94" s="58" t="s">
        <v>5996</v>
      </c>
      <c r="W94" s="55" t="b">
        <f t="shared" si="1"/>
        <v>0</v>
      </c>
    </row>
    <row r="95" ht="15.0" customHeight="1">
      <c r="A95" s="56" t="s">
        <v>2682</v>
      </c>
      <c r="B95" s="56" t="s">
        <v>5997</v>
      </c>
      <c r="C95" s="57" t="s">
        <v>5998</v>
      </c>
      <c r="D95" s="56" t="s">
        <v>5999</v>
      </c>
      <c r="E95" s="56" t="s">
        <v>368</v>
      </c>
      <c r="F95" s="56" t="s">
        <v>1553</v>
      </c>
      <c r="G95" s="56" t="s">
        <v>2291</v>
      </c>
      <c r="H95" s="56" t="s">
        <v>362</v>
      </c>
      <c r="I95" s="56" t="s">
        <v>3730</v>
      </c>
      <c r="J95" s="56" t="s">
        <v>5715</v>
      </c>
      <c r="K95" s="56" t="s">
        <v>379</v>
      </c>
      <c r="L95" s="56" t="s">
        <v>412</v>
      </c>
      <c r="M95" s="56" t="s">
        <v>366</v>
      </c>
      <c r="N95" s="62" t="s">
        <v>5720</v>
      </c>
      <c r="O95" s="59"/>
      <c r="P95" s="58">
        <v>1.0</v>
      </c>
      <c r="Q95" s="56" t="s">
        <v>2134</v>
      </c>
      <c r="R95" s="59"/>
      <c r="S95" s="56" t="s">
        <v>5722</v>
      </c>
      <c r="T95" s="61" t="s">
        <v>373</v>
      </c>
      <c r="U95" s="58" t="s">
        <v>6000</v>
      </c>
      <c r="W95" s="55" t="b">
        <f t="shared" si="1"/>
        <v>0</v>
      </c>
    </row>
    <row r="96" ht="15.0" customHeight="1">
      <c r="A96" s="56" t="s">
        <v>94</v>
      </c>
      <c r="B96" s="56" t="s">
        <v>764</v>
      </c>
      <c r="C96" s="57" t="s">
        <v>765</v>
      </c>
      <c r="D96" s="56" t="s">
        <v>766</v>
      </c>
      <c r="E96" s="56" t="s">
        <v>368</v>
      </c>
      <c r="F96" s="56" t="s">
        <v>410</v>
      </c>
      <c r="G96" s="56" t="s">
        <v>390</v>
      </c>
      <c r="H96" s="56" t="s">
        <v>452</v>
      </c>
      <c r="I96" s="56" t="s">
        <v>2291</v>
      </c>
      <c r="J96" s="56" t="s">
        <v>1789</v>
      </c>
      <c r="K96" s="56" t="s">
        <v>364</v>
      </c>
      <c r="L96" s="56" t="s">
        <v>380</v>
      </c>
      <c r="M96" s="56" t="s">
        <v>413</v>
      </c>
      <c r="N96" s="62" t="s">
        <v>497</v>
      </c>
      <c r="O96" s="59"/>
      <c r="P96" s="59"/>
      <c r="Q96" s="56" t="s">
        <v>1488</v>
      </c>
      <c r="R96" s="59"/>
      <c r="S96" s="56" t="s">
        <v>5733</v>
      </c>
      <c r="T96" s="61" t="s">
        <v>373</v>
      </c>
      <c r="U96" s="58" t="s">
        <v>5886</v>
      </c>
      <c r="W96" s="55" t="b">
        <f t="shared" si="1"/>
        <v>0</v>
      </c>
    </row>
    <row r="97" ht="15.0" customHeight="1">
      <c r="A97" s="56" t="s">
        <v>294</v>
      </c>
      <c r="B97" s="56" t="s">
        <v>777</v>
      </c>
      <c r="C97" s="57" t="s">
        <v>6001</v>
      </c>
      <c r="D97" s="58">
        <v>3.096429176E9</v>
      </c>
      <c r="E97" s="56" t="s">
        <v>368</v>
      </c>
      <c r="F97" s="56" t="s">
        <v>390</v>
      </c>
      <c r="G97" s="56" t="s">
        <v>452</v>
      </c>
      <c r="H97" s="56" t="s">
        <v>5715</v>
      </c>
      <c r="I97" s="56" t="s">
        <v>1598</v>
      </c>
      <c r="J97" s="56" t="s">
        <v>362</v>
      </c>
      <c r="K97" s="56" t="s">
        <v>364</v>
      </c>
      <c r="L97" s="56" t="s">
        <v>380</v>
      </c>
      <c r="M97" s="56" t="s">
        <v>413</v>
      </c>
      <c r="N97" s="62" t="s">
        <v>497</v>
      </c>
      <c r="O97" s="59"/>
      <c r="P97" s="59"/>
      <c r="Q97" s="56" t="s">
        <v>6002</v>
      </c>
      <c r="R97" s="59"/>
      <c r="S97" s="56" t="s">
        <v>5733</v>
      </c>
      <c r="T97" s="61" t="s">
        <v>373</v>
      </c>
      <c r="U97" s="58" t="s">
        <v>6003</v>
      </c>
      <c r="W97" s="55" t="b">
        <f t="shared" si="1"/>
        <v>0</v>
      </c>
    </row>
    <row r="98" ht="15.0" customHeight="1">
      <c r="A98" s="56" t="s">
        <v>95</v>
      </c>
      <c r="B98" s="56" t="s">
        <v>782</v>
      </c>
      <c r="C98" s="57" t="s">
        <v>783</v>
      </c>
      <c r="D98" s="56" t="s">
        <v>6004</v>
      </c>
      <c r="E98" s="56" t="s">
        <v>368</v>
      </c>
      <c r="F98" s="56" t="s">
        <v>2286</v>
      </c>
      <c r="G98" s="62" t="s">
        <v>390</v>
      </c>
      <c r="H98" s="59"/>
      <c r="I98" s="59"/>
      <c r="J98" s="59"/>
      <c r="K98" s="56" t="s">
        <v>364</v>
      </c>
      <c r="L98" s="56" t="s">
        <v>365</v>
      </c>
      <c r="M98" s="56" t="s">
        <v>413</v>
      </c>
      <c r="N98" s="62" t="s">
        <v>5716</v>
      </c>
      <c r="O98" s="59"/>
      <c r="P98" s="59"/>
      <c r="Q98" s="59"/>
      <c r="R98" s="59"/>
      <c r="S98" s="56" t="s">
        <v>5717</v>
      </c>
      <c r="T98" s="61" t="s">
        <v>394</v>
      </c>
      <c r="U98" s="58" t="s">
        <v>6005</v>
      </c>
      <c r="W98" s="55" t="b">
        <f t="shared" si="1"/>
        <v>0</v>
      </c>
    </row>
    <row r="99" ht="15.0" customHeight="1">
      <c r="A99" s="56" t="s">
        <v>295</v>
      </c>
      <c r="B99" s="56" t="s">
        <v>793</v>
      </c>
      <c r="C99" s="57" t="s">
        <v>794</v>
      </c>
      <c r="D99" s="58">
        <v>8.16285321E9</v>
      </c>
      <c r="E99" s="56" t="s">
        <v>368</v>
      </c>
      <c r="F99" s="62" t="s">
        <v>2286</v>
      </c>
      <c r="G99" s="59"/>
      <c r="H99" s="59"/>
      <c r="I99" s="59"/>
      <c r="J99" s="59"/>
      <c r="K99" s="56" t="s">
        <v>399</v>
      </c>
      <c r="L99" s="56" t="s">
        <v>380</v>
      </c>
      <c r="M99" s="56" t="s">
        <v>413</v>
      </c>
      <c r="N99" s="62" t="s">
        <v>5720</v>
      </c>
      <c r="O99" s="59"/>
      <c r="P99" s="59"/>
      <c r="Q99" s="56" t="s">
        <v>2872</v>
      </c>
      <c r="R99" s="59"/>
      <c r="S99" s="56" t="s">
        <v>5722</v>
      </c>
      <c r="T99" s="61" t="s">
        <v>373</v>
      </c>
      <c r="U99" s="58" t="s">
        <v>6006</v>
      </c>
      <c r="W99" s="55" t="b">
        <f t="shared" si="1"/>
        <v>0</v>
      </c>
    </row>
    <row r="100" ht="15.0" customHeight="1">
      <c r="A100" s="56" t="s">
        <v>2700</v>
      </c>
      <c r="B100" s="56" t="s">
        <v>2701</v>
      </c>
      <c r="C100" s="57" t="s">
        <v>2702</v>
      </c>
      <c r="D100" s="56" t="s">
        <v>6007</v>
      </c>
      <c r="E100" s="56" t="s">
        <v>368</v>
      </c>
      <c r="F100" s="56" t="s">
        <v>410</v>
      </c>
      <c r="G100" s="56" t="s">
        <v>390</v>
      </c>
      <c r="H100" s="56" t="s">
        <v>452</v>
      </c>
      <c r="I100" s="56" t="s">
        <v>1598</v>
      </c>
      <c r="J100" s="56" t="s">
        <v>2291</v>
      </c>
      <c r="K100" s="56" t="s">
        <v>379</v>
      </c>
      <c r="L100" s="56" t="s">
        <v>365</v>
      </c>
      <c r="M100" s="56" t="s">
        <v>413</v>
      </c>
      <c r="N100" s="56" t="s">
        <v>5716</v>
      </c>
      <c r="O100" s="58">
        <v>2.0</v>
      </c>
      <c r="P100" s="59"/>
      <c r="Q100" s="56" t="s">
        <v>3376</v>
      </c>
      <c r="R100" s="59"/>
      <c r="S100" s="56" t="s">
        <v>5717</v>
      </c>
      <c r="T100" s="61" t="s">
        <v>373</v>
      </c>
      <c r="U100" s="58" t="s">
        <v>6008</v>
      </c>
      <c r="W100" s="55" t="b">
        <f t="shared" si="1"/>
        <v>0</v>
      </c>
    </row>
    <row r="101" ht="15.0" customHeight="1">
      <c r="A101" s="56" t="s">
        <v>96</v>
      </c>
      <c r="B101" s="56" t="s">
        <v>798</v>
      </c>
      <c r="C101" s="57" t="s">
        <v>799</v>
      </c>
      <c r="D101" s="56" t="s">
        <v>800</v>
      </c>
      <c r="E101" s="56" t="s">
        <v>368</v>
      </c>
      <c r="F101" s="56" t="s">
        <v>390</v>
      </c>
      <c r="G101" s="56" t="s">
        <v>452</v>
      </c>
      <c r="H101" s="62" t="s">
        <v>2286</v>
      </c>
      <c r="I101" s="59"/>
      <c r="J101" s="59"/>
      <c r="K101" s="56" t="s">
        <v>364</v>
      </c>
      <c r="L101" s="56" t="s">
        <v>380</v>
      </c>
      <c r="M101" s="56" t="s">
        <v>413</v>
      </c>
      <c r="N101" s="62" t="s">
        <v>5946</v>
      </c>
      <c r="O101" s="59"/>
      <c r="P101" s="59"/>
      <c r="Q101" s="56" t="s">
        <v>506</v>
      </c>
      <c r="R101" s="59"/>
      <c r="S101" s="56" t="s">
        <v>5717</v>
      </c>
      <c r="T101" s="61" t="s">
        <v>373</v>
      </c>
      <c r="U101" s="58" t="s">
        <v>6009</v>
      </c>
      <c r="W101" s="55" t="b">
        <f t="shared" si="1"/>
        <v>0</v>
      </c>
    </row>
    <row r="102" ht="15.0" customHeight="1">
      <c r="A102" s="56" t="s">
        <v>97</v>
      </c>
      <c r="B102" s="56" t="s">
        <v>818</v>
      </c>
      <c r="C102" s="57" t="s">
        <v>819</v>
      </c>
      <c r="D102" s="56" t="s">
        <v>4734</v>
      </c>
      <c r="E102" s="56" t="s">
        <v>368</v>
      </c>
      <c r="F102" s="56" t="s">
        <v>452</v>
      </c>
      <c r="G102" s="56" t="s">
        <v>5715</v>
      </c>
      <c r="H102" s="56" t="s">
        <v>362</v>
      </c>
      <c r="I102" s="56" t="s">
        <v>390</v>
      </c>
      <c r="J102" s="56" t="s">
        <v>2291</v>
      </c>
      <c r="K102" s="56" t="s">
        <v>364</v>
      </c>
      <c r="L102" s="56" t="s">
        <v>520</v>
      </c>
      <c r="M102" s="56" t="s">
        <v>366</v>
      </c>
      <c r="N102" s="56" t="s">
        <v>381</v>
      </c>
      <c r="O102" s="58">
        <v>5.0</v>
      </c>
      <c r="P102" s="58">
        <v>5.0</v>
      </c>
      <c r="Q102" s="56" t="s">
        <v>3270</v>
      </c>
      <c r="R102" s="59"/>
      <c r="S102" s="56" t="s">
        <v>5733</v>
      </c>
      <c r="T102" s="61" t="s">
        <v>373</v>
      </c>
      <c r="U102" s="58" t="s">
        <v>6010</v>
      </c>
      <c r="W102" s="55" t="b">
        <f t="shared" si="1"/>
        <v>0</v>
      </c>
    </row>
    <row r="103" ht="15.0" customHeight="1">
      <c r="A103" s="56" t="s">
        <v>6011</v>
      </c>
      <c r="B103" s="56" t="s">
        <v>6012</v>
      </c>
      <c r="C103" s="57" t="s">
        <v>6013</v>
      </c>
      <c r="D103" s="56" t="s">
        <v>6014</v>
      </c>
      <c r="E103" s="56" t="s">
        <v>368</v>
      </c>
      <c r="F103" s="56" t="s">
        <v>410</v>
      </c>
      <c r="G103" s="56" t="s">
        <v>634</v>
      </c>
      <c r="H103" s="62" t="s">
        <v>390</v>
      </c>
      <c r="I103" s="59"/>
      <c r="J103" s="59"/>
      <c r="K103" s="56" t="s">
        <v>379</v>
      </c>
      <c r="L103" s="56" t="s">
        <v>365</v>
      </c>
      <c r="M103" s="56" t="s">
        <v>366</v>
      </c>
      <c r="N103" s="62" t="s">
        <v>5716</v>
      </c>
      <c r="O103" s="59"/>
      <c r="P103" s="59"/>
      <c r="Q103" s="56" t="s">
        <v>2965</v>
      </c>
      <c r="R103" s="59"/>
      <c r="S103" s="56" t="s">
        <v>5717</v>
      </c>
      <c r="T103" s="61" t="s">
        <v>373</v>
      </c>
      <c r="U103" s="58" t="s">
        <v>6015</v>
      </c>
      <c r="W103" s="55" t="b">
        <f t="shared" si="1"/>
        <v>0</v>
      </c>
    </row>
    <row r="104" ht="15.0" customHeight="1">
      <c r="A104" s="56" t="s">
        <v>98</v>
      </c>
      <c r="B104" s="56" t="s">
        <v>826</v>
      </c>
      <c r="C104" s="57" t="s">
        <v>827</v>
      </c>
      <c r="D104" s="56" t="s">
        <v>6016</v>
      </c>
      <c r="E104" s="56" t="s">
        <v>368</v>
      </c>
      <c r="F104" s="56" t="s">
        <v>421</v>
      </c>
      <c r="G104" s="56" t="s">
        <v>410</v>
      </c>
      <c r="H104" s="56" t="s">
        <v>2291</v>
      </c>
      <c r="I104" s="56" t="s">
        <v>452</v>
      </c>
      <c r="J104" s="56" t="s">
        <v>459</v>
      </c>
      <c r="K104" s="56" t="s">
        <v>379</v>
      </c>
      <c r="L104" s="56" t="s">
        <v>380</v>
      </c>
      <c r="M104" s="56" t="s">
        <v>366</v>
      </c>
      <c r="N104" s="56" t="s">
        <v>381</v>
      </c>
      <c r="O104" s="58">
        <v>0.0</v>
      </c>
      <c r="P104" s="58">
        <v>0.0</v>
      </c>
      <c r="Q104" s="56" t="s">
        <v>3952</v>
      </c>
      <c r="R104" s="59"/>
      <c r="S104" s="56" t="s">
        <v>5733</v>
      </c>
      <c r="T104" s="61" t="s">
        <v>373</v>
      </c>
      <c r="U104" s="58" t="s">
        <v>6017</v>
      </c>
      <c r="W104" s="55" t="b">
        <f t="shared" si="1"/>
        <v>0</v>
      </c>
    </row>
    <row r="105" ht="15.0" customHeight="1">
      <c r="A105" s="56" t="s">
        <v>6018</v>
      </c>
      <c r="B105" s="56" t="s">
        <v>6019</v>
      </c>
      <c r="C105" s="57" t="s">
        <v>6020</v>
      </c>
      <c r="D105" s="56" t="s">
        <v>6021</v>
      </c>
      <c r="E105" s="56" t="s">
        <v>368</v>
      </c>
      <c r="F105" s="56" t="s">
        <v>410</v>
      </c>
      <c r="G105" s="56" t="s">
        <v>390</v>
      </c>
      <c r="H105" s="56" t="s">
        <v>2931</v>
      </c>
      <c r="I105" s="56" t="s">
        <v>421</v>
      </c>
      <c r="J105" s="56" t="s">
        <v>452</v>
      </c>
      <c r="K105" s="56" t="s">
        <v>364</v>
      </c>
      <c r="L105" s="56" t="s">
        <v>520</v>
      </c>
      <c r="M105" s="56" t="s">
        <v>366</v>
      </c>
      <c r="N105" s="62" t="s">
        <v>5720</v>
      </c>
      <c r="O105" s="59"/>
      <c r="P105" s="59"/>
      <c r="Q105" s="56" t="s">
        <v>4614</v>
      </c>
      <c r="R105" s="59"/>
      <c r="S105" s="56" t="s">
        <v>5722</v>
      </c>
      <c r="T105" s="61" t="s">
        <v>373</v>
      </c>
      <c r="U105" s="58" t="s">
        <v>6022</v>
      </c>
      <c r="W105" s="55" t="b">
        <f t="shared" si="1"/>
        <v>0</v>
      </c>
    </row>
    <row r="106" ht="15.0" customHeight="1">
      <c r="A106" s="56" t="s">
        <v>2721</v>
      </c>
      <c r="B106" s="56" t="s">
        <v>2722</v>
      </c>
      <c r="C106" s="57" t="s">
        <v>2723</v>
      </c>
      <c r="D106" s="56" t="s">
        <v>6023</v>
      </c>
      <c r="E106" s="56" t="s">
        <v>368</v>
      </c>
      <c r="F106" s="56" t="s">
        <v>1553</v>
      </c>
      <c r="G106" s="56" t="s">
        <v>390</v>
      </c>
      <c r="H106" s="56" t="s">
        <v>1789</v>
      </c>
      <c r="I106" s="56" t="s">
        <v>2291</v>
      </c>
      <c r="J106" s="56" t="s">
        <v>2286</v>
      </c>
      <c r="K106" s="56" t="s">
        <v>364</v>
      </c>
      <c r="L106" s="56" t="s">
        <v>412</v>
      </c>
      <c r="M106" s="56" t="s">
        <v>413</v>
      </c>
      <c r="N106" s="56" t="s">
        <v>1464</v>
      </c>
      <c r="O106" s="58">
        <v>1.0</v>
      </c>
      <c r="P106" s="58">
        <v>1.0</v>
      </c>
      <c r="Q106" s="56" t="s">
        <v>6024</v>
      </c>
      <c r="R106" s="59"/>
      <c r="S106" s="56" t="s">
        <v>5733</v>
      </c>
      <c r="T106" s="61" t="s">
        <v>373</v>
      </c>
      <c r="U106" s="58" t="s">
        <v>6025</v>
      </c>
      <c r="W106" s="55" t="b">
        <f t="shared" si="1"/>
        <v>0</v>
      </c>
    </row>
    <row r="107" ht="15.0" customHeight="1">
      <c r="A107" s="56" t="s">
        <v>6026</v>
      </c>
      <c r="B107" s="56" t="s">
        <v>6027</v>
      </c>
      <c r="C107" s="57" t="s">
        <v>6028</v>
      </c>
      <c r="D107" s="56" t="s">
        <v>6029</v>
      </c>
      <c r="E107" s="56" t="s">
        <v>368</v>
      </c>
      <c r="F107" s="56" t="s">
        <v>410</v>
      </c>
      <c r="G107" s="56" t="s">
        <v>390</v>
      </c>
      <c r="H107" s="56" t="s">
        <v>452</v>
      </c>
      <c r="I107" s="56" t="s">
        <v>5715</v>
      </c>
      <c r="J107" s="56" t="s">
        <v>362</v>
      </c>
      <c r="K107" s="56" t="s">
        <v>364</v>
      </c>
      <c r="L107" s="56" t="s">
        <v>365</v>
      </c>
      <c r="M107" s="56" t="s">
        <v>366</v>
      </c>
      <c r="N107" s="56" t="s">
        <v>497</v>
      </c>
      <c r="O107" s="58">
        <v>1.0</v>
      </c>
      <c r="P107" s="58">
        <v>0.0</v>
      </c>
      <c r="Q107" s="56" t="s">
        <v>3263</v>
      </c>
      <c r="R107" s="59"/>
      <c r="S107" s="56" t="s">
        <v>5733</v>
      </c>
      <c r="T107" s="61" t="s">
        <v>373</v>
      </c>
      <c r="U107" s="58" t="s">
        <v>6030</v>
      </c>
      <c r="W107" s="55" t="b">
        <f t="shared" si="1"/>
        <v>0</v>
      </c>
    </row>
    <row r="108" ht="15.0" customHeight="1">
      <c r="A108" s="56" t="s">
        <v>6031</v>
      </c>
      <c r="B108" s="56" t="s">
        <v>6032</v>
      </c>
      <c r="C108" s="57" t="s">
        <v>6033</v>
      </c>
      <c r="D108" s="58">
        <v>5.128515515E9</v>
      </c>
      <c r="E108" s="56" t="s">
        <v>368</v>
      </c>
      <c r="F108" s="56" t="s">
        <v>452</v>
      </c>
      <c r="G108" s="62" t="s">
        <v>5715</v>
      </c>
      <c r="H108" s="59"/>
      <c r="I108" s="59"/>
      <c r="J108" s="59"/>
      <c r="K108" s="56" t="s">
        <v>399</v>
      </c>
      <c r="L108" s="56" t="s">
        <v>830</v>
      </c>
      <c r="M108" s="56" t="s">
        <v>513</v>
      </c>
      <c r="N108" s="56" t="s">
        <v>5724</v>
      </c>
      <c r="O108" s="58">
        <v>0.0</v>
      </c>
      <c r="P108" s="59"/>
      <c r="Q108" s="59"/>
      <c r="R108" s="59"/>
      <c r="S108" s="56" t="s">
        <v>5717</v>
      </c>
      <c r="T108" s="61" t="s">
        <v>394</v>
      </c>
      <c r="U108" s="58" t="s">
        <v>6034</v>
      </c>
      <c r="W108" s="55" t="b">
        <f t="shared" si="1"/>
        <v>1</v>
      </c>
    </row>
    <row r="109" ht="15.0" customHeight="1">
      <c r="A109" s="56" t="s">
        <v>6035</v>
      </c>
      <c r="B109" s="56" t="s">
        <v>2733</v>
      </c>
      <c r="C109" s="57" t="s">
        <v>2734</v>
      </c>
      <c r="D109" s="58">
        <v>3.618444506E9</v>
      </c>
      <c r="E109" s="56" t="s">
        <v>368</v>
      </c>
      <c r="F109" s="56" t="s">
        <v>410</v>
      </c>
      <c r="G109" s="56" t="s">
        <v>390</v>
      </c>
      <c r="H109" s="56" t="s">
        <v>452</v>
      </c>
      <c r="I109" s="56" t="s">
        <v>2291</v>
      </c>
      <c r="J109" s="56" t="s">
        <v>1789</v>
      </c>
      <c r="K109" s="56" t="s">
        <v>364</v>
      </c>
      <c r="L109" s="56" t="s">
        <v>365</v>
      </c>
      <c r="M109" s="56" t="s">
        <v>366</v>
      </c>
      <c r="N109" s="56" t="s">
        <v>6036</v>
      </c>
      <c r="O109" s="58">
        <v>0.0</v>
      </c>
      <c r="P109" s="58">
        <v>0.0</v>
      </c>
      <c r="Q109" s="56" t="s">
        <v>6037</v>
      </c>
      <c r="R109" s="59"/>
      <c r="S109" s="56" t="s">
        <v>5733</v>
      </c>
      <c r="T109" s="61" t="s">
        <v>373</v>
      </c>
      <c r="U109" s="58" t="s">
        <v>6038</v>
      </c>
      <c r="W109" s="55" t="b">
        <f t="shared" si="1"/>
        <v>0</v>
      </c>
    </row>
    <row r="110" ht="15.0" customHeight="1">
      <c r="A110" s="56" t="s">
        <v>6039</v>
      </c>
      <c r="B110" s="56" t="s">
        <v>833</v>
      </c>
      <c r="C110" s="57" t="s">
        <v>834</v>
      </c>
      <c r="D110" s="58">
        <v>1.4129966237E10</v>
      </c>
      <c r="E110" s="56" t="s">
        <v>368</v>
      </c>
      <c r="F110" s="56" t="s">
        <v>2286</v>
      </c>
      <c r="G110" s="56" t="s">
        <v>1789</v>
      </c>
      <c r="H110" s="62" t="s">
        <v>2286</v>
      </c>
      <c r="I110" s="59"/>
      <c r="J110" s="59"/>
      <c r="K110" s="56" t="s">
        <v>364</v>
      </c>
      <c r="L110" s="56" t="s">
        <v>380</v>
      </c>
      <c r="M110" s="56" t="s">
        <v>513</v>
      </c>
      <c r="N110" s="62" t="s">
        <v>5720</v>
      </c>
      <c r="O110" s="59"/>
      <c r="P110" s="59"/>
      <c r="Q110" s="56" t="s">
        <v>4468</v>
      </c>
      <c r="R110" s="59"/>
      <c r="S110" s="56" t="s">
        <v>5722</v>
      </c>
      <c r="T110" s="61" t="s">
        <v>373</v>
      </c>
      <c r="U110" s="58" t="s">
        <v>6040</v>
      </c>
      <c r="W110" s="55" t="b">
        <f t="shared" si="1"/>
        <v>1</v>
      </c>
    </row>
    <row r="111" ht="15.0" customHeight="1">
      <c r="A111" s="56" t="s">
        <v>6041</v>
      </c>
      <c r="B111" s="56" t="s">
        <v>6042</v>
      </c>
      <c r="C111" s="57" t="s">
        <v>6043</v>
      </c>
      <c r="D111" s="58">
        <v>9.253099951E9</v>
      </c>
      <c r="E111" s="56" t="s">
        <v>368</v>
      </c>
      <c r="F111" s="56" t="s">
        <v>2286</v>
      </c>
      <c r="G111" s="56" t="s">
        <v>452</v>
      </c>
      <c r="H111" s="56" t="s">
        <v>390</v>
      </c>
      <c r="I111" s="56" t="s">
        <v>421</v>
      </c>
      <c r="J111" s="56" t="s">
        <v>3730</v>
      </c>
      <c r="K111" s="56" t="s">
        <v>379</v>
      </c>
      <c r="L111" s="56" t="s">
        <v>365</v>
      </c>
      <c r="M111" s="56" t="s">
        <v>513</v>
      </c>
      <c r="N111" s="62" t="s">
        <v>6044</v>
      </c>
      <c r="O111" s="59"/>
      <c r="P111" s="59"/>
      <c r="Q111" s="56" t="s">
        <v>6045</v>
      </c>
      <c r="R111" s="59"/>
      <c r="S111" s="56" t="s">
        <v>5717</v>
      </c>
      <c r="T111" s="61" t="s">
        <v>394</v>
      </c>
      <c r="U111" s="58" t="s">
        <v>6046</v>
      </c>
      <c r="W111" s="55" t="b">
        <f t="shared" si="1"/>
        <v>1</v>
      </c>
    </row>
    <row r="112" ht="15.0" customHeight="1">
      <c r="A112" s="56" t="s">
        <v>100</v>
      </c>
      <c r="B112" s="56" t="s">
        <v>4751</v>
      </c>
      <c r="C112" s="57" t="s">
        <v>4752</v>
      </c>
      <c r="D112" s="58">
        <v>8.303728246E9</v>
      </c>
      <c r="E112" s="56" t="s">
        <v>368</v>
      </c>
      <c r="F112" s="56" t="s">
        <v>452</v>
      </c>
      <c r="G112" s="62" t="s">
        <v>390</v>
      </c>
      <c r="H112" s="59"/>
      <c r="I112" s="59"/>
      <c r="J112" s="59"/>
      <c r="K112" s="56" t="s">
        <v>379</v>
      </c>
      <c r="L112" s="56" t="s">
        <v>405</v>
      </c>
      <c r="M112" s="56" t="s">
        <v>413</v>
      </c>
      <c r="N112" s="56" t="s">
        <v>5716</v>
      </c>
      <c r="O112" s="58">
        <v>1.0</v>
      </c>
      <c r="P112" s="59"/>
      <c r="Q112" s="56" t="s">
        <v>4223</v>
      </c>
      <c r="R112" s="59"/>
      <c r="S112" s="56" t="s">
        <v>5717</v>
      </c>
      <c r="T112" s="61" t="s">
        <v>373</v>
      </c>
      <c r="U112" s="58" t="s">
        <v>6047</v>
      </c>
      <c r="W112" s="55" t="b">
        <f t="shared" si="1"/>
        <v>0</v>
      </c>
    </row>
    <row r="113" ht="15.0" customHeight="1">
      <c r="A113" s="56" t="s">
        <v>296</v>
      </c>
      <c r="B113" s="56" t="s">
        <v>2744</v>
      </c>
      <c r="C113" s="57" t="s">
        <v>2745</v>
      </c>
      <c r="D113" s="58">
        <v>2.183365894E9</v>
      </c>
      <c r="E113" s="56" t="s">
        <v>368</v>
      </c>
      <c r="F113" s="56" t="s">
        <v>675</v>
      </c>
      <c r="G113" s="56" t="s">
        <v>452</v>
      </c>
      <c r="H113" s="62" t="s">
        <v>390</v>
      </c>
      <c r="I113" s="59"/>
      <c r="J113" s="59"/>
      <c r="K113" s="56" t="s">
        <v>379</v>
      </c>
      <c r="L113" s="56" t="s">
        <v>830</v>
      </c>
      <c r="M113" s="56" t="s">
        <v>413</v>
      </c>
      <c r="N113" s="62" t="s">
        <v>381</v>
      </c>
      <c r="O113" s="59"/>
      <c r="P113" s="59"/>
      <c r="Q113" s="56" t="s">
        <v>618</v>
      </c>
      <c r="R113" s="59"/>
      <c r="S113" s="56" t="s">
        <v>5733</v>
      </c>
      <c r="T113" s="61" t="s">
        <v>373</v>
      </c>
      <c r="U113" s="58" t="s">
        <v>6048</v>
      </c>
      <c r="W113" s="55" t="b">
        <f t="shared" si="1"/>
        <v>0</v>
      </c>
    </row>
    <row r="114" ht="15.0" customHeight="1">
      <c r="A114" s="56" t="s">
        <v>6049</v>
      </c>
      <c r="B114" s="56" t="s">
        <v>5316</v>
      </c>
      <c r="C114" s="57" t="s">
        <v>6050</v>
      </c>
      <c r="D114" s="56" t="s">
        <v>6051</v>
      </c>
      <c r="E114" s="56" t="s">
        <v>368</v>
      </c>
      <c r="F114" s="56" t="s">
        <v>709</v>
      </c>
      <c r="G114" s="56" t="s">
        <v>390</v>
      </c>
      <c r="H114" s="56" t="s">
        <v>5715</v>
      </c>
      <c r="I114" s="56" t="s">
        <v>421</v>
      </c>
      <c r="J114" s="56" t="s">
        <v>2291</v>
      </c>
      <c r="K114" s="56" t="s">
        <v>399</v>
      </c>
      <c r="L114" s="56" t="s">
        <v>365</v>
      </c>
      <c r="M114" s="56" t="s">
        <v>366</v>
      </c>
      <c r="N114" s="56" t="s">
        <v>381</v>
      </c>
      <c r="O114" s="58">
        <v>2.0</v>
      </c>
      <c r="P114" s="58">
        <v>2.0</v>
      </c>
      <c r="Q114" s="56" t="s">
        <v>3432</v>
      </c>
      <c r="R114" s="59"/>
      <c r="S114" s="56" t="s">
        <v>5733</v>
      </c>
      <c r="T114" s="61" t="s">
        <v>373</v>
      </c>
      <c r="U114" s="58" t="s">
        <v>6052</v>
      </c>
      <c r="W114" s="55" t="b">
        <f t="shared" si="1"/>
        <v>0</v>
      </c>
    </row>
    <row r="115" ht="15.0" customHeight="1">
      <c r="A115" s="56" t="s">
        <v>2756</v>
      </c>
      <c r="B115" s="56" t="s">
        <v>2757</v>
      </c>
      <c r="C115" s="57" t="s">
        <v>2758</v>
      </c>
      <c r="D115" s="56" t="s">
        <v>6053</v>
      </c>
      <c r="E115" s="56" t="s">
        <v>368</v>
      </c>
      <c r="F115" s="56" t="s">
        <v>452</v>
      </c>
      <c r="G115" s="56" t="s">
        <v>390</v>
      </c>
      <c r="H115" s="62" t="s">
        <v>2931</v>
      </c>
      <c r="I115" s="59"/>
      <c r="J115" s="59"/>
      <c r="K115" s="56" t="s">
        <v>364</v>
      </c>
      <c r="L115" s="56" t="s">
        <v>365</v>
      </c>
      <c r="M115" s="56" t="s">
        <v>366</v>
      </c>
      <c r="N115" s="62" t="s">
        <v>5720</v>
      </c>
      <c r="O115" s="59"/>
      <c r="P115" s="58">
        <v>2.0</v>
      </c>
      <c r="Q115" s="56" t="s">
        <v>3555</v>
      </c>
      <c r="R115" s="59"/>
      <c r="S115" s="56" t="s">
        <v>5722</v>
      </c>
      <c r="T115" s="61" t="s">
        <v>373</v>
      </c>
      <c r="U115" s="58" t="s">
        <v>6054</v>
      </c>
      <c r="W115" s="55" t="b">
        <f t="shared" si="1"/>
        <v>0</v>
      </c>
    </row>
    <row r="116" ht="15.0" customHeight="1">
      <c r="A116" s="56" t="s">
        <v>102</v>
      </c>
      <c r="B116" s="56" t="s">
        <v>847</v>
      </c>
      <c r="C116" s="57" t="s">
        <v>6055</v>
      </c>
      <c r="D116" s="58">
        <v>7.173765833E9</v>
      </c>
      <c r="E116" s="56" t="s">
        <v>368</v>
      </c>
      <c r="F116" s="56" t="s">
        <v>2286</v>
      </c>
      <c r="G116" s="56" t="s">
        <v>1789</v>
      </c>
      <c r="H116" s="62" t="s">
        <v>675</v>
      </c>
      <c r="I116" s="59"/>
      <c r="J116" s="59"/>
      <c r="K116" s="56" t="s">
        <v>364</v>
      </c>
      <c r="L116" s="56" t="s">
        <v>365</v>
      </c>
      <c r="M116" s="56" t="s">
        <v>513</v>
      </c>
      <c r="N116" s="62" t="s">
        <v>5716</v>
      </c>
      <c r="O116" s="59"/>
      <c r="P116" s="59"/>
      <c r="Q116" s="56" t="s">
        <v>3535</v>
      </c>
      <c r="R116" s="59"/>
      <c r="S116" s="56" t="s">
        <v>5717</v>
      </c>
      <c r="T116" s="61" t="s">
        <v>373</v>
      </c>
      <c r="U116" s="58" t="s">
        <v>6056</v>
      </c>
      <c r="W116" s="55" t="b">
        <f t="shared" si="1"/>
        <v>1</v>
      </c>
    </row>
    <row r="117" ht="15.0" customHeight="1">
      <c r="A117" s="56" t="s">
        <v>6057</v>
      </c>
      <c r="B117" s="56" t="s">
        <v>1826</v>
      </c>
      <c r="C117" s="57" t="s">
        <v>6058</v>
      </c>
      <c r="D117" s="56" t="s">
        <v>5414</v>
      </c>
      <c r="E117" s="56" t="s">
        <v>368</v>
      </c>
      <c r="F117" s="56" t="s">
        <v>459</v>
      </c>
      <c r="G117" s="56" t="s">
        <v>390</v>
      </c>
      <c r="H117" s="56" t="s">
        <v>452</v>
      </c>
      <c r="I117" s="56" t="s">
        <v>390</v>
      </c>
      <c r="J117" s="56" t="s">
        <v>2291</v>
      </c>
      <c r="K117" s="56" t="s">
        <v>364</v>
      </c>
      <c r="L117" s="56" t="s">
        <v>380</v>
      </c>
      <c r="M117" s="56" t="s">
        <v>413</v>
      </c>
      <c r="N117" s="56" t="s">
        <v>5724</v>
      </c>
      <c r="O117" s="58">
        <v>2.0</v>
      </c>
      <c r="P117" s="59"/>
      <c r="Q117" s="56" t="s">
        <v>6059</v>
      </c>
      <c r="R117" s="59"/>
      <c r="S117" s="56" t="s">
        <v>5717</v>
      </c>
      <c r="T117" s="61" t="s">
        <v>373</v>
      </c>
      <c r="U117" s="58" t="s">
        <v>6060</v>
      </c>
      <c r="W117" s="55" t="b">
        <f t="shared" si="1"/>
        <v>0</v>
      </c>
    </row>
    <row r="118" ht="15.0" customHeight="1">
      <c r="A118" s="56" t="s">
        <v>6061</v>
      </c>
      <c r="B118" s="56" t="s">
        <v>6062</v>
      </c>
      <c r="C118" s="57" t="s">
        <v>6063</v>
      </c>
      <c r="D118" s="58">
        <v>9.794650333E9</v>
      </c>
      <c r="E118" s="56" t="s">
        <v>368</v>
      </c>
      <c r="F118" s="56" t="s">
        <v>675</v>
      </c>
      <c r="G118" s="56" t="s">
        <v>5715</v>
      </c>
      <c r="H118" s="62" t="s">
        <v>2286</v>
      </c>
      <c r="I118" s="59"/>
      <c r="J118" s="59"/>
      <c r="K118" s="56" t="s">
        <v>379</v>
      </c>
      <c r="L118" s="56" t="s">
        <v>412</v>
      </c>
      <c r="M118" s="56" t="s">
        <v>413</v>
      </c>
      <c r="N118" s="62" t="s">
        <v>5720</v>
      </c>
      <c r="O118" s="59"/>
      <c r="P118" s="59"/>
      <c r="Q118" s="56" t="s">
        <v>2944</v>
      </c>
      <c r="R118" s="59"/>
      <c r="S118" s="56" t="s">
        <v>5722</v>
      </c>
      <c r="T118" s="61" t="s">
        <v>373</v>
      </c>
      <c r="U118" s="58" t="s">
        <v>6064</v>
      </c>
      <c r="W118" s="55" t="b">
        <f t="shared" si="1"/>
        <v>0</v>
      </c>
    </row>
    <row r="119" ht="15.0" customHeight="1">
      <c r="A119" s="56" t="s">
        <v>6065</v>
      </c>
      <c r="B119" s="56" t="s">
        <v>6066</v>
      </c>
      <c r="C119" s="57" t="s">
        <v>6067</v>
      </c>
      <c r="D119" s="56" t="s">
        <v>6068</v>
      </c>
      <c r="E119" s="56" t="s">
        <v>368</v>
      </c>
      <c r="F119" s="56" t="s">
        <v>421</v>
      </c>
      <c r="G119" s="56" t="s">
        <v>2291</v>
      </c>
      <c r="H119" s="56" t="s">
        <v>390</v>
      </c>
      <c r="I119" s="56" t="s">
        <v>634</v>
      </c>
      <c r="J119" s="56" t="s">
        <v>452</v>
      </c>
      <c r="K119" s="56" t="s">
        <v>379</v>
      </c>
      <c r="L119" s="56" t="s">
        <v>365</v>
      </c>
      <c r="M119" s="56" t="s">
        <v>413</v>
      </c>
      <c r="N119" s="62" t="s">
        <v>497</v>
      </c>
      <c r="O119" s="59"/>
      <c r="P119" s="59"/>
      <c r="Q119" s="59"/>
      <c r="R119" s="59"/>
      <c r="S119" s="56" t="s">
        <v>5733</v>
      </c>
      <c r="T119" s="61" t="s">
        <v>394</v>
      </c>
      <c r="U119" s="58" t="s">
        <v>6069</v>
      </c>
      <c r="W119" s="55" t="b">
        <f t="shared" si="1"/>
        <v>0</v>
      </c>
    </row>
    <row r="120" ht="15.0" customHeight="1">
      <c r="A120" s="56" t="s">
        <v>6070</v>
      </c>
      <c r="B120" s="56" t="s">
        <v>6071</v>
      </c>
      <c r="C120" s="57" t="s">
        <v>6072</v>
      </c>
      <c r="D120" s="56" t="s">
        <v>6073</v>
      </c>
      <c r="E120" s="56" t="s">
        <v>368</v>
      </c>
      <c r="F120" s="56" t="s">
        <v>2286</v>
      </c>
      <c r="G120" s="56" t="s">
        <v>452</v>
      </c>
      <c r="H120" s="56" t="s">
        <v>390</v>
      </c>
      <c r="I120" s="56" t="s">
        <v>2291</v>
      </c>
      <c r="J120" s="56" t="s">
        <v>675</v>
      </c>
      <c r="K120" s="56" t="s">
        <v>399</v>
      </c>
      <c r="L120" s="56" t="s">
        <v>380</v>
      </c>
      <c r="M120" s="56" t="s">
        <v>513</v>
      </c>
      <c r="N120" s="56" t="s">
        <v>5716</v>
      </c>
      <c r="O120" s="58">
        <v>1.0</v>
      </c>
      <c r="P120" s="59"/>
      <c r="Q120" s="56" t="s">
        <v>2074</v>
      </c>
      <c r="R120" s="59"/>
      <c r="S120" s="56" t="s">
        <v>5717</v>
      </c>
      <c r="T120" s="61" t="s">
        <v>373</v>
      </c>
      <c r="U120" s="58" t="s">
        <v>6074</v>
      </c>
      <c r="W120" s="55" t="b">
        <f t="shared" si="1"/>
        <v>1</v>
      </c>
    </row>
    <row r="121" ht="15.0" customHeight="1">
      <c r="A121" s="56" t="s">
        <v>2761</v>
      </c>
      <c r="B121" s="56" t="s">
        <v>2762</v>
      </c>
      <c r="C121" s="57" t="s">
        <v>2763</v>
      </c>
      <c r="D121" s="58">
        <v>9.186610098E9</v>
      </c>
      <c r="E121" s="56" t="s">
        <v>368</v>
      </c>
      <c r="F121" s="56" t="s">
        <v>410</v>
      </c>
      <c r="G121" s="56" t="s">
        <v>390</v>
      </c>
      <c r="H121" s="56" t="s">
        <v>1553</v>
      </c>
      <c r="I121" s="56" t="s">
        <v>452</v>
      </c>
      <c r="J121" s="56" t="s">
        <v>5715</v>
      </c>
      <c r="K121" s="56" t="s">
        <v>364</v>
      </c>
      <c r="L121" s="56" t="s">
        <v>365</v>
      </c>
      <c r="M121" s="56" t="s">
        <v>366</v>
      </c>
      <c r="N121" s="56" t="s">
        <v>497</v>
      </c>
      <c r="O121" s="58">
        <v>2.0</v>
      </c>
      <c r="P121" s="58">
        <v>2.0</v>
      </c>
      <c r="Q121" s="56" t="s">
        <v>6075</v>
      </c>
      <c r="R121" s="59"/>
      <c r="S121" s="56" t="s">
        <v>5733</v>
      </c>
      <c r="T121" s="61" t="s">
        <v>373</v>
      </c>
      <c r="U121" s="58" t="s">
        <v>6076</v>
      </c>
      <c r="W121" s="55" t="b">
        <f t="shared" si="1"/>
        <v>0</v>
      </c>
    </row>
    <row r="122" ht="15.0" customHeight="1">
      <c r="A122" s="56" t="s">
        <v>859</v>
      </c>
      <c r="B122" s="56" t="s">
        <v>6077</v>
      </c>
      <c r="C122" s="57" t="s">
        <v>6078</v>
      </c>
      <c r="D122" s="56" t="s">
        <v>6079</v>
      </c>
      <c r="E122" s="56" t="s">
        <v>368</v>
      </c>
      <c r="F122" s="56" t="s">
        <v>2286</v>
      </c>
      <c r="G122" s="56" t="s">
        <v>2286</v>
      </c>
      <c r="H122" s="62" t="s">
        <v>2286</v>
      </c>
      <c r="I122" s="59"/>
      <c r="J122" s="56" t="s">
        <v>2286</v>
      </c>
      <c r="K122" s="56" t="s">
        <v>364</v>
      </c>
      <c r="L122" s="56" t="s">
        <v>365</v>
      </c>
      <c r="M122" s="56" t="s">
        <v>513</v>
      </c>
      <c r="N122" s="62" t="s">
        <v>5720</v>
      </c>
      <c r="O122" s="59"/>
      <c r="P122" s="59"/>
      <c r="Q122" s="56" t="s">
        <v>506</v>
      </c>
      <c r="R122" s="59"/>
      <c r="S122" s="56" t="s">
        <v>5722</v>
      </c>
      <c r="T122" s="61" t="s">
        <v>394</v>
      </c>
      <c r="U122" s="58" t="s">
        <v>6080</v>
      </c>
      <c r="W122" s="55" t="b">
        <f t="shared" si="1"/>
        <v>1</v>
      </c>
    </row>
    <row r="123" ht="15.0" customHeight="1">
      <c r="A123" s="56" t="s">
        <v>103</v>
      </c>
      <c r="B123" s="56" t="s">
        <v>865</v>
      </c>
      <c r="C123" s="57" t="s">
        <v>866</v>
      </c>
      <c r="D123" s="58">
        <v>8.32217218E9</v>
      </c>
      <c r="E123" s="56" t="s">
        <v>368</v>
      </c>
      <c r="F123" s="56" t="s">
        <v>716</v>
      </c>
      <c r="G123" s="56" t="s">
        <v>410</v>
      </c>
      <c r="H123" s="56" t="s">
        <v>5715</v>
      </c>
      <c r="I123" s="56" t="s">
        <v>452</v>
      </c>
      <c r="J123" s="56" t="s">
        <v>2931</v>
      </c>
      <c r="K123" s="56" t="s">
        <v>379</v>
      </c>
      <c r="L123" s="56" t="s">
        <v>412</v>
      </c>
      <c r="M123" s="56" t="s">
        <v>869</v>
      </c>
      <c r="N123" s="62" t="s">
        <v>5720</v>
      </c>
      <c r="O123" s="59"/>
      <c r="P123" s="59"/>
      <c r="Q123" s="56" t="s">
        <v>6081</v>
      </c>
      <c r="R123" s="59"/>
      <c r="S123" s="56" t="s">
        <v>5722</v>
      </c>
      <c r="T123" s="61" t="s">
        <v>373</v>
      </c>
      <c r="U123" s="58" t="s">
        <v>6082</v>
      </c>
      <c r="W123" s="55" t="b">
        <f t="shared" si="1"/>
        <v>0</v>
      </c>
    </row>
    <row r="124" ht="15.0" customHeight="1">
      <c r="A124" s="56" t="s">
        <v>6083</v>
      </c>
      <c r="B124" s="56" t="s">
        <v>6084</v>
      </c>
      <c r="C124" s="57" t="s">
        <v>6085</v>
      </c>
      <c r="D124" s="56" t="s">
        <v>6086</v>
      </c>
      <c r="E124" s="56" t="s">
        <v>368</v>
      </c>
      <c r="F124" s="56" t="s">
        <v>390</v>
      </c>
      <c r="G124" s="56" t="s">
        <v>2291</v>
      </c>
      <c r="H124" s="56" t="s">
        <v>362</v>
      </c>
      <c r="I124" s="62" t="s">
        <v>634</v>
      </c>
      <c r="J124" s="59"/>
      <c r="K124" s="56" t="s">
        <v>364</v>
      </c>
      <c r="L124" s="56" t="s">
        <v>405</v>
      </c>
      <c r="M124" s="56" t="s">
        <v>869</v>
      </c>
      <c r="N124" s="62" t="s">
        <v>5716</v>
      </c>
      <c r="O124" s="59"/>
      <c r="P124" s="59"/>
      <c r="Q124" s="56" t="s">
        <v>3530</v>
      </c>
      <c r="R124" s="59"/>
      <c r="S124" s="56" t="s">
        <v>5717</v>
      </c>
      <c r="T124" s="61" t="s">
        <v>373</v>
      </c>
      <c r="U124" s="58" t="s">
        <v>6087</v>
      </c>
      <c r="W124" s="55" t="b">
        <f t="shared" si="1"/>
        <v>0</v>
      </c>
    </row>
    <row r="125" ht="15.0" customHeight="1">
      <c r="A125" s="56" t="s">
        <v>6088</v>
      </c>
      <c r="B125" s="56" t="s">
        <v>6089</v>
      </c>
      <c r="C125" s="57" t="s">
        <v>6090</v>
      </c>
      <c r="D125" s="58">
        <v>8.323145565E9</v>
      </c>
      <c r="E125" s="56" t="s">
        <v>368</v>
      </c>
      <c r="F125" s="56" t="s">
        <v>1553</v>
      </c>
      <c r="G125" s="56" t="s">
        <v>390</v>
      </c>
      <c r="H125" s="56" t="s">
        <v>452</v>
      </c>
      <c r="I125" s="62" t="s">
        <v>410</v>
      </c>
      <c r="J125" s="59"/>
      <c r="K125" s="56" t="s">
        <v>364</v>
      </c>
      <c r="L125" s="56" t="s">
        <v>365</v>
      </c>
      <c r="M125" s="56" t="s">
        <v>366</v>
      </c>
      <c r="N125" s="56" t="s">
        <v>497</v>
      </c>
      <c r="O125" s="58">
        <v>2.0</v>
      </c>
      <c r="P125" s="58">
        <v>2.0</v>
      </c>
      <c r="Q125" s="59"/>
      <c r="R125" s="59"/>
      <c r="S125" s="56" t="s">
        <v>5733</v>
      </c>
      <c r="T125" s="61" t="s">
        <v>394</v>
      </c>
      <c r="U125" s="58" t="s">
        <v>6091</v>
      </c>
      <c r="W125" s="55" t="b">
        <f t="shared" si="1"/>
        <v>0</v>
      </c>
    </row>
    <row r="126" ht="15.0" customHeight="1">
      <c r="A126" s="56" t="s">
        <v>2786</v>
      </c>
      <c r="B126" s="56" t="s">
        <v>2787</v>
      </c>
      <c r="C126" s="57" t="s">
        <v>2788</v>
      </c>
      <c r="D126" s="56" t="s">
        <v>6092</v>
      </c>
      <c r="E126" s="56" t="s">
        <v>368</v>
      </c>
      <c r="F126" s="56" t="s">
        <v>410</v>
      </c>
      <c r="G126" s="56" t="s">
        <v>452</v>
      </c>
      <c r="H126" s="56" t="s">
        <v>390</v>
      </c>
      <c r="I126" s="62" t="s">
        <v>421</v>
      </c>
      <c r="J126" s="59"/>
      <c r="K126" s="56" t="s">
        <v>379</v>
      </c>
      <c r="L126" s="56" t="s">
        <v>405</v>
      </c>
      <c r="M126" s="56" t="s">
        <v>413</v>
      </c>
      <c r="N126" s="56" t="s">
        <v>5716</v>
      </c>
      <c r="O126" s="58">
        <v>2.0</v>
      </c>
      <c r="P126" s="59"/>
      <c r="Q126" s="56" t="s">
        <v>5621</v>
      </c>
      <c r="R126" s="59"/>
      <c r="S126" s="56" t="s">
        <v>5717</v>
      </c>
      <c r="T126" s="61" t="s">
        <v>373</v>
      </c>
      <c r="U126" s="58" t="s">
        <v>6093</v>
      </c>
      <c r="W126" s="55" t="b">
        <f t="shared" si="1"/>
        <v>0</v>
      </c>
    </row>
    <row r="127" ht="15.0" customHeight="1">
      <c r="A127" s="56" t="s">
        <v>6094</v>
      </c>
      <c r="B127" s="56" t="s">
        <v>6095</v>
      </c>
      <c r="C127" s="57" t="s">
        <v>6096</v>
      </c>
      <c r="D127" s="56" t="s">
        <v>6097</v>
      </c>
      <c r="E127" s="56" t="s">
        <v>368</v>
      </c>
      <c r="F127" s="56" t="s">
        <v>421</v>
      </c>
      <c r="G127" s="56" t="s">
        <v>2291</v>
      </c>
      <c r="H127" s="62" t="s">
        <v>390</v>
      </c>
      <c r="I127" s="59"/>
      <c r="J127" s="59"/>
      <c r="K127" s="56" t="s">
        <v>364</v>
      </c>
      <c r="L127" s="56" t="s">
        <v>405</v>
      </c>
      <c r="M127" s="56" t="s">
        <v>366</v>
      </c>
      <c r="N127" s="62" t="s">
        <v>5946</v>
      </c>
      <c r="O127" s="59"/>
      <c r="P127" s="59"/>
      <c r="Q127" s="59"/>
      <c r="R127" s="59"/>
      <c r="S127" s="56" t="s">
        <v>5717</v>
      </c>
      <c r="T127" s="61" t="s">
        <v>394</v>
      </c>
      <c r="U127" s="58" t="s">
        <v>6098</v>
      </c>
      <c r="W127" s="55" t="b">
        <f t="shared" si="1"/>
        <v>0</v>
      </c>
    </row>
    <row r="128" ht="15.0" customHeight="1">
      <c r="A128" s="56" t="s">
        <v>6099</v>
      </c>
      <c r="B128" s="56" t="s">
        <v>2793</v>
      </c>
      <c r="C128" s="57" t="s">
        <v>2794</v>
      </c>
      <c r="D128" s="58">
        <v>2.816861892E9</v>
      </c>
      <c r="E128" s="56" t="s">
        <v>368</v>
      </c>
      <c r="F128" s="56" t="s">
        <v>390</v>
      </c>
      <c r="G128" s="56" t="s">
        <v>452</v>
      </c>
      <c r="H128" s="62" t="s">
        <v>675</v>
      </c>
      <c r="I128" s="59"/>
      <c r="J128" s="59"/>
      <c r="K128" s="56" t="s">
        <v>379</v>
      </c>
      <c r="L128" s="56" t="s">
        <v>365</v>
      </c>
      <c r="M128" s="56" t="s">
        <v>366</v>
      </c>
      <c r="N128" s="56" t="s">
        <v>5716</v>
      </c>
      <c r="O128" s="58">
        <v>0.0</v>
      </c>
      <c r="P128" s="59"/>
      <c r="Q128" s="56" t="s">
        <v>2884</v>
      </c>
      <c r="R128" s="59"/>
      <c r="S128" s="56" t="s">
        <v>5717</v>
      </c>
      <c r="T128" s="61" t="s">
        <v>373</v>
      </c>
      <c r="U128" s="58" t="s">
        <v>6100</v>
      </c>
      <c r="W128" s="55" t="b">
        <f t="shared" si="1"/>
        <v>0</v>
      </c>
    </row>
    <row r="129" ht="15.0" customHeight="1">
      <c r="A129" s="56" t="s">
        <v>2798</v>
      </c>
      <c r="B129" s="56" t="s">
        <v>6101</v>
      </c>
      <c r="C129" s="57" t="s">
        <v>6102</v>
      </c>
      <c r="D129" s="58">
        <v>9.015813109E9</v>
      </c>
      <c r="E129" s="56" t="s">
        <v>368</v>
      </c>
      <c r="F129" s="56" t="s">
        <v>362</v>
      </c>
      <c r="G129" s="56" t="s">
        <v>634</v>
      </c>
      <c r="H129" s="56" t="s">
        <v>2291</v>
      </c>
      <c r="I129" s="62" t="s">
        <v>3730</v>
      </c>
      <c r="J129" s="59"/>
      <c r="K129" s="56" t="s">
        <v>379</v>
      </c>
      <c r="L129" s="56" t="s">
        <v>405</v>
      </c>
      <c r="M129" s="56" t="s">
        <v>366</v>
      </c>
      <c r="N129" s="62" t="s">
        <v>5946</v>
      </c>
      <c r="O129" s="59"/>
      <c r="P129" s="59"/>
      <c r="Q129" s="56" t="s">
        <v>2174</v>
      </c>
      <c r="R129" s="59"/>
      <c r="S129" s="56" t="s">
        <v>5717</v>
      </c>
      <c r="T129" s="61" t="s">
        <v>373</v>
      </c>
      <c r="U129" s="58" t="s">
        <v>6103</v>
      </c>
      <c r="W129" s="55" t="b">
        <f t="shared" si="1"/>
        <v>0</v>
      </c>
    </row>
    <row r="130" ht="15.0" customHeight="1">
      <c r="A130" s="56" t="s">
        <v>6104</v>
      </c>
      <c r="B130" s="56" t="s">
        <v>6105</v>
      </c>
      <c r="C130" s="57" t="s">
        <v>6106</v>
      </c>
      <c r="D130" s="58">
        <v>7.133539452E9</v>
      </c>
      <c r="E130" s="56" t="s">
        <v>368</v>
      </c>
      <c r="F130" s="56" t="s">
        <v>2286</v>
      </c>
      <c r="G130" s="56" t="s">
        <v>5715</v>
      </c>
      <c r="H130" s="56" t="s">
        <v>452</v>
      </c>
      <c r="I130" s="62" t="s">
        <v>390</v>
      </c>
      <c r="J130" s="59"/>
      <c r="K130" s="56" t="s">
        <v>379</v>
      </c>
      <c r="L130" s="56" t="s">
        <v>365</v>
      </c>
      <c r="M130" s="56" t="s">
        <v>366</v>
      </c>
      <c r="N130" s="62" t="s">
        <v>5716</v>
      </c>
      <c r="O130" s="59"/>
      <c r="P130" s="59"/>
      <c r="Q130" s="59"/>
      <c r="R130" s="59"/>
      <c r="S130" s="56" t="s">
        <v>5717</v>
      </c>
      <c r="T130" s="61" t="s">
        <v>394</v>
      </c>
      <c r="U130" s="58" t="s">
        <v>6107</v>
      </c>
      <c r="W130" s="55" t="b">
        <f t="shared" si="1"/>
        <v>0</v>
      </c>
    </row>
    <row r="131" ht="15.0" customHeight="1">
      <c r="A131" s="56" t="s">
        <v>6108</v>
      </c>
      <c r="B131" s="56" t="s">
        <v>6109</v>
      </c>
      <c r="C131" s="57" t="s">
        <v>6110</v>
      </c>
      <c r="D131" s="56" t="s">
        <v>6111</v>
      </c>
      <c r="E131" s="56" t="s">
        <v>368</v>
      </c>
      <c r="F131" s="62" t="s">
        <v>2286</v>
      </c>
      <c r="G131" s="59"/>
      <c r="H131" s="59"/>
      <c r="I131" s="59"/>
      <c r="J131" s="59"/>
      <c r="K131" s="56" t="s">
        <v>399</v>
      </c>
      <c r="L131" s="56" t="s">
        <v>365</v>
      </c>
      <c r="M131" s="56" t="s">
        <v>366</v>
      </c>
      <c r="N131" s="62" t="s">
        <v>5720</v>
      </c>
      <c r="O131" s="59"/>
      <c r="P131" s="59"/>
      <c r="Q131" s="59"/>
      <c r="R131" s="59"/>
      <c r="S131" s="56" t="s">
        <v>5722</v>
      </c>
      <c r="T131" s="61" t="s">
        <v>394</v>
      </c>
      <c r="U131" s="58" t="s">
        <v>6112</v>
      </c>
      <c r="W131" s="55" t="b">
        <f t="shared" si="1"/>
        <v>0</v>
      </c>
    </row>
    <row r="132" ht="15.0" customHeight="1">
      <c r="A132" s="56" t="s">
        <v>2812</v>
      </c>
      <c r="B132" s="56" t="s">
        <v>6113</v>
      </c>
      <c r="C132" s="57" t="s">
        <v>6114</v>
      </c>
      <c r="D132" s="56" t="s">
        <v>6115</v>
      </c>
      <c r="E132" s="56" t="s">
        <v>368</v>
      </c>
      <c r="F132" s="56" t="s">
        <v>390</v>
      </c>
      <c r="G132" s="56" t="s">
        <v>421</v>
      </c>
      <c r="H132" s="56" t="s">
        <v>2291</v>
      </c>
      <c r="I132" s="56" t="s">
        <v>452</v>
      </c>
      <c r="J132" s="56" t="s">
        <v>362</v>
      </c>
      <c r="K132" s="56" t="s">
        <v>364</v>
      </c>
      <c r="L132" s="56" t="s">
        <v>365</v>
      </c>
      <c r="M132" s="56" t="s">
        <v>366</v>
      </c>
      <c r="N132" s="56" t="s">
        <v>381</v>
      </c>
      <c r="O132" s="58">
        <v>2.0</v>
      </c>
      <c r="P132" s="58">
        <v>2.0</v>
      </c>
      <c r="Q132" s="56" t="s">
        <v>4779</v>
      </c>
      <c r="R132" s="59"/>
      <c r="S132" s="56" t="s">
        <v>5733</v>
      </c>
      <c r="T132" s="61" t="s">
        <v>373</v>
      </c>
      <c r="U132" s="58" t="s">
        <v>6116</v>
      </c>
      <c r="W132" s="55" t="b">
        <f t="shared" si="1"/>
        <v>0</v>
      </c>
    </row>
    <row r="133" ht="15.0" customHeight="1">
      <c r="A133" s="56" t="s">
        <v>106</v>
      </c>
      <c r="B133" s="56" t="s">
        <v>897</v>
      </c>
      <c r="C133" s="57" t="s">
        <v>898</v>
      </c>
      <c r="D133" s="58">
        <v>7.135786244E9</v>
      </c>
      <c r="E133" s="56" t="s">
        <v>368</v>
      </c>
      <c r="F133" s="56" t="s">
        <v>2286</v>
      </c>
      <c r="G133" s="56" t="s">
        <v>452</v>
      </c>
      <c r="H133" s="62" t="s">
        <v>2931</v>
      </c>
      <c r="I133" s="59"/>
      <c r="J133" s="59"/>
      <c r="K133" s="56" t="s">
        <v>379</v>
      </c>
      <c r="L133" s="56" t="s">
        <v>380</v>
      </c>
      <c r="M133" s="56" t="s">
        <v>413</v>
      </c>
      <c r="N133" s="62" t="s">
        <v>497</v>
      </c>
      <c r="O133" s="59"/>
      <c r="P133" s="59"/>
      <c r="Q133" s="56" t="s">
        <v>6117</v>
      </c>
      <c r="R133" s="59"/>
      <c r="S133" s="56" t="s">
        <v>5733</v>
      </c>
      <c r="T133" s="61" t="s">
        <v>373</v>
      </c>
      <c r="U133" s="58" t="s">
        <v>6118</v>
      </c>
      <c r="W133" s="55" t="b">
        <f t="shared" si="1"/>
        <v>0</v>
      </c>
    </row>
    <row r="134" ht="15.0" customHeight="1">
      <c r="A134" s="56" t="s">
        <v>6119</v>
      </c>
      <c r="B134" s="56" t="s">
        <v>4786</v>
      </c>
      <c r="C134" s="57" t="s">
        <v>4787</v>
      </c>
      <c r="D134" s="56" t="s">
        <v>4788</v>
      </c>
      <c r="E134" s="56" t="s">
        <v>368</v>
      </c>
      <c r="F134" s="56" t="s">
        <v>675</v>
      </c>
      <c r="G134" s="62" t="s">
        <v>2286</v>
      </c>
      <c r="H134" s="59"/>
      <c r="I134" s="59"/>
      <c r="J134" s="59"/>
      <c r="K134" s="56" t="s">
        <v>399</v>
      </c>
      <c r="L134" s="56" t="s">
        <v>365</v>
      </c>
      <c r="M134" s="56" t="s">
        <v>366</v>
      </c>
      <c r="N134" s="62" t="s">
        <v>5720</v>
      </c>
      <c r="O134" s="59"/>
      <c r="P134" s="59"/>
      <c r="Q134" s="56" t="s">
        <v>3376</v>
      </c>
      <c r="R134" s="59"/>
      <c r="S134" s="56" t="s">
        <v>5722</v>
      </c>
      <c r="T134" s="61" t="s">
        <v>373</v>
      </c>
      <c r="U134" s="58" t="s">
        <v>6120</v>
      </c>
      <c r="W134" s="55" t="b">
        <f t="shared" si="1"/>
        <v>0</v>
      </c>
    </row>
    <row r="135" ht="15.0" customHeight="1">
      <c r="A135" s="56" t="s">
        <v>6121</v>
      </c>
      <c r="B135" s="56" t="s">
        <v>6122</v>
      </c>
      <c r="C135" s="57" t="s">
        <v>6123</v>
      </c>
      <c r="D135" s="56" t="s">
        <v>6124</v>
      </c>
      <c r="E135" s="56" t="s">
        <v>368</v>
      </c>
      <c r="F135" s="56" t="s">
        <v>2286</v>
      </c>
      <c r="G135" s="62" t="s">
        <v>452</v>
      </c>
      <c r="H135" s="59"/>
      <c r="I135" s="59"/>
      <c r="J135" s="59"/>
      <c r="K135" s="56" t="s">
        <v>364</v>
      </c>
      <c r="L135" s="56" t="s">
        <v>365</v>
      </c>
      <c r="M135" s="56" t="s">
        <v>366</v>
      </c>
      <c r="N135" s="62" t="s">
        <v>5720</v>
      </c>
      <c r="O135" s="59"/>
      <c r="P135" s="59"/>
      <c r="Q135" s="56" t="s">
        <v>3324</v>
      </c>
      <c r="R135" s="59"/>
      <c r="S135" s="56" t="s">
        <v>5722</v>
      </c>
      <c r="T135" s="61" t="s">
        <v>373</v>
      </c>
      <c r="U135" s="58" t="s">
        <v>6125</v>
      </c>
      <c r="W135" s="55" t="b">
        <f t="shared" si="1"/>
        <v>0</v>
      </c>
    </row>
    <row r="136" ht="15.0" customHeight="1">
      <c r="A136" s="56" t="s">
        <v>107</v>
      </c>
      <c r="B136" s="56" t="s">
        <v>4791</v>
      </c>
      <c r="C136" s="57" t="s">
        <v>4792</v>
      </c>
      <c r="D136" s="56" t="s">
        <v>4793</v>
      </c>
      <c r="E136" s="56" t="s">
        <v>368</v>
      </c>
      <c r="F136" s="56" t="s">
        <v>2286</v>
      </c>
      <c r="G136" s="62" t="s">
        <v>675</v>
      </c>
      <c r="H136" s="59"/>
      <c r="I136" s="59"/>
      <c r="J136" s="59"/>
      <c r="K136" s="56" t="s">
        <v>379</v>
      </c>
      <c r="L136" s="56" t="s">
        <v>412</v>
      </c>
      <c r="M136" s="56" t="s">
        <v>413</v>
      </c>
      <c r="N136" s="56" t="s">
        <v>5720</v>
      </c>
      <c r="O136" s="58">
        <v>0.0</v>
      </c>
      <c r="P136" s="58">
        <v>0.0</v>
      </c>
      <c r="Q136" s="56" t="s">
        <v>4614</v>
      </c>
      <c r="R136" s="59"/>
      <c r="S136" s="56" t="s">
        <v>5722</v>
      </c>
      <c r="T136" s="61" t="s">
        <v>373</v>
      </c>
      <c r="U136" s="58" t="s">
        <v>6126</v>
      </c>
      <c r="W136" s="55" t="b">
        <f t="shared" si="1"/>
        <v>0</v>
      </c>
    </row>
    <row r="137" ht="15.0" customHeight="1">
      <c r="A137" s="56" t="s">
        <v>6127</v>
      </c>
      <c r="B137" s="56" t="s">
        <v>6128</v>
      </c>
      <c r="C137" s="57" t="s">
        <v>6129</v>
      </c>
      <c r="D137" s="56" t="s">
        <v>6130</v>
      </c>
      <c r="E137" s="56" t="s">
        <v>368</v>
      </c>
      <c r="F137" s="56" t="s">
        <v>675</v>
      </c>
      <c r="G137" s="62" t="s">
        <v>2286</v>
      </c>
      <c r="H137" s="59"/>
      <c r="I137" s="59"/>
      <c r="J137" s="59"/>
      <c r="K137" s="56" t="s">
        <v>364</v>
      </c>
      <c r="L137" s="56" t="s">
        <v>365</v>
      </c>
      <c r="M137" s="56" t="s">
        <v>366</v>
      </c>
      <c r="N137" s="62" t="s">
        <v>5720</v>
      </c>
      <c r="O137" s="59"/>
      <c r="P137" s="59"/>
      <c r="Q137" s="56" t="s">
        <v>401</v>
      </c>
      <c r="R137" s="59"/>
      <c r="S137" s="56" t="s">
        <v>5722</v>
      </c>
      <c r="T137" s="61" t="s">
        <v>394</v>
      </c>
      <c r="U137" s="58" t="s">
        <v>6131</v>
      </c>
      <c r="W137" s="55" t="b">
        <f t="shared" si="1"/>
        <v>0</v>
      </c>
    </row>
    <row r="138" ht="15.0" customHeight="1">
      <c r="A138" s="56" t="s">
        <v>2832</v>
      </c>
      <c r="B138" s="56" t="s">
        <v>2833</v>
      </c>
      <c r="C138" s="57" t="s">
        <v>2834</v>
      </c>
      <c r="D138" s="58">
        <v>5.126146171E9</v>
      </c>
      <c r="E138" s="56" t="s">
        <v>368</v>
      </c>
      <c r="F138" s="62" t="s">
        <v>2286</v>
      </c>
      <c r="G138" s="59"/>
      <c r="H138" s="59"/>
      <c r="I138" s="59"/>
      <c r="J138" s="59"/>
      <c r="K138" s="56" t="s">
        <v>364</v>
      </c>
      <c r="L138" s="56" t="s">
        <v>412</v>
      </c>
      <c r="M138" s="56" t="s">
        <v>366</v>
      </c>
      <c r="N138" s="62" t="s">
        <v>5716</v>
      </c>
      <c r="O138" s="59"/>
      <c r="P138" s="59"/>
      <c r="Q138" s="59"/>
      <c r="R138" s="59"/>
      <c r="S138" s="56" t="s">
        <v>5717</v>
      </c>
      <c r="T138" s="61" t="s">
        <v>394</v>
      </c>
      <c r="U138" s="58" t="s">
        <v>6132</v>
      </c>
      <c r="W138" s="55" t="b">
        <f t="shared" si="1"/>
        <v>0</v>
      </c>
    </row>
    <row r="139" ht="15.0" customHeight="1">
      <c r="A139" s="56" t="s">
        <v>108</v>
      </c>
      <c r="B139" s="56" t="s">
        <v>4795</v>
      </c>
      <c r="C139" s="57" t="s">
        <v>4796</v>
      </c>
      <c r="D139" s="56" t="s">
        <v>4797</v>
      </c>
      <c r="E139" s="56" t="s">
        <v>368</v>
      </c>
      <c r="F139" s="56" t="s">
        <v>5715</v>
      </c>
      <c r="G139" s="56" t="s">
        <v>362</v>
      </c>
      <c r="H139" s="62" t="s">
        <v>452</v>
      </c>
      <c r="I139" s="59"/>
      <c r="J139" s="59"/>
      <c r="K139" s="56" t="s">
        <v>399</v>
      </c>
      <c r="L139" s="56" t="s">
        <v>380</v>
      </c>
      <c r="M139" s="56" t="s">
        <v>413</v>
      </c>
      <c r="N139" s="62" t="s">
        <v>5716</v>
      </c>
      <c r="O139" s="59"/>
      <c r="P139" s="59"/>
      <c r="Q139" s="56" t="s">
        <v>2818</v>
      </c>
      <c r="R139" s="59"/>
      <c r="S139" s="56" t="s">
        <v>5717</v>
      </c>
      <c r="T139" s="61" t="s">
        <v>373</v>
      </c>
      <c r="U139" s="58" t="s">
        <v>6133</v>
      </c>
      <c r="W139" s="55" t="b">
        <f t="shared" si="1"/>
        <v>0</v>
      </c>
    </row>
    <row r="140" ht="15.0" customHeight="1">
      <c r="A140" s="56" t="s">
        <v>916</v>
      </c>
      <c r="B140" s="56" t="s">
        <v>2848</v>
      </c>
      <c r="C140" s="57" t="s">
        <v>918</v>
      </c>
      <c r="D140" s="56" t="s">
        <v>6134</v>
      </c>
      <c r="E140" s="56" t="s">
        <v>368</v>
      </c>
      <c r="F140" s="56" t="s">
        <v>5715</v>
      </c>
      <c r="G140" s="56" t="s">
        <v>452</v>
      </c>
      <c r="H140" s="56" t="s">
        <v>362</v>
      </c>
      <c r="I140" s="62" t="s">
        <v>2291</v>
      </c>
      <c r="J140" s="59"/>
      <c r="K140" s="56" t="s">
        <v>364</v>
      </c>
      <c r="L140" s="56" t="s">
        <v>365</v>
      </c>
      <c r="M140" s="56" t="s">
        <v>513</v>
      </c>
      <c r="N140" s="62" t="s">
        <v>5716</v>
      </c>
      <c r="O140" s="59"/>
      <c r="P140" s="59"/>
      <c r="Q140" s="56" t="s">
        <v>6135</v>
      </c>
      <c r="R140" s="59"/>
      <c r="S140" s="56" t="s">
        <v>5717</v>
      </c>
      <c r="T140" s="61" t="s">
        <v>373</v>
      </c>
      <c r="U140" s="58" t="s">
        <v>6136</v>
      </c>
      <c r="W140" s="55" t="b">
        <f t="shared" si="1"/>
        <v>1</v>
      </c>
    </row>
    <row r="141" ht="15.0" customHeight="1">
      <c r="A141" s="56" t="s">
        <v>6137</v>
      </c>
      <c r="B141" s="56" t="s">
        <v>6138</v>
      </c>
      <c r="C141" s="57" t="s">
        <v>6139</v>
      </c>
      <c r="D141" s="58">
        <v>6.782965748E9</v>
      </c>
      <c r="E141" s="56" t="s">
        <v>368</v>
      </c>
      <c r="F141" s="56" t="s">
        <v>459</v>
      </c>
      <c r="G141" s="56" t="s">
        <v>452</v>
      </c>
      <c r="H141" s="56" t="s">
        <v>390</v>
      </c>
      <c r="I141" s="56" t="s">
        <v>362</v>
      </c>
      <c r="J141" s="56" t="s">
        <v>2291</v>
      </c>
      <c r="K141" s="56" t="s">
        <v>379</v>
      </c>
      <c r="L141" s="56" t="s">
        <v>710</v>
      </c>
      <c r="M141" s="56" t="s">
        <v>366</v>
      </c>
      <c r="N141" s="56" t="s">
        <v>381</v>
      </c>
      <c r="O141" s="58">
        <v>1.0</v>
      </c>
      <c r="P141" s="58">
        <v>1.0</v>
      </c>
      <c r="Q141" s="59"/>
      <c r="R141" s="59"/>
      <c r="S141" s="56" t="s">
        <v>5733</v>
      </c>
      <c r="T141" s="61" t="s">
        <v>394</v>
      </c>
      <c r="U141" s="58" t="s">
        <v>6140</v>
      </c>
      <c r="W141" s="55" t="b">
        <f t="shared" si="1"/>
        <v>0</v>
      </c>
    </row>
    <row r="142" ht="15.0" customHeight="1">
      <c r="A142" s="56" t="s">
        <v>6141</v>
      </c>
      <c r="B142" s="56" t="s">
        <v>6142</v>
      </c>
      <c r="C142" s="57" t="s">
        <v>6143</v>
      </c>
      <c r="D142" s="58">
        <v>8.555733537E9</v>
      </c>
      <c r="E142" s="56" t="s">
        <v>368</v>
      </c>
      <c r="F142" s="56" t="s">
        <v>421</v>
      </c>
      <c r="G142" s="56" t="s">
        <v>390</v>
      </c>
      <c r="H142" s="56" t="s">
        <v>5715</v>
      </c>
      <c r="I142" s="56" t="s">
        <v>362</v>
      </c>
      <c r="J142" s="56" t="s">
        <v>410</v>
      </c>
      <c r="K142" s="56" t="s">
        <v>379</v>
      </c>
      <c r="L142" s="56" t="s">
        <v>380</v>
      </c>
      <c r="M142" s="56" t="s">
        <v>366</v>
      </c>
      <c r="N142" s="56" t="s">
        <v>381</v>
      </c>
      <c r="O142" s="58">
        <v>2.0</v>
      </c>
      <c r="P142" s="58">
        <v>2.0</v>
      </c>
      <c r="Q142" s="56" t="s">
        <v>1436</v>
      </c>
      <c r="R142" s="59"/>
      <c r="S142" s="56" t="s">
        <v>5733</v>
      </c>
      <c r="T142" s="61" t="s">
        <v>373</v>
      </c>
      <c r="U142" s="58" t="s">
        <v>6144</v>
      </c>
      <c r="W142" s="55" t="b">
        <f t="shared" si="1"/>
        <v>0</v>
      </c>
    </row>
    <row r="143" ht="15.0" customHeight="1">
      <c r="A143" s="56" t="s">
        <v>6145</v>
      </c>
      <c r="B143" s="56" t="s">
        <v>6146</v>
      </c>
      <c r="C143" s="57" t="s">
        <v>6147</v>
      </c>
      <c r="D143" s="56" t="s">
        <v>6148</v>
      </c>
      <c r="E143" s="56" t="s">
        <v>368</v>
      </c>
      <c r="F143" s="56" t="s">
        <v>1553</v>
      </c>
      <c r="G143" s="56" t="s">
        <v>390</v>
      </c>
      <c r="H143" s="56" t="s">
        <v>410</v>
      </c>
      <c r="I143" s="56" t="s">
        <v>452</v>
      </c>
      <c r="J143" s="56" t="s">
        <v>634</v>
      </c>
      <c r="K143" s="56" t="s">
        <v>364</v>
      </c>
      <c r="L143" s="56" t="s">
        <v>405</v>
      </c>
      <c r="M143" s="56" t="s">
        <v>413</v>
      </c>
      <c r="N143" s="56" t="s">
        <v>5724</v>
      </c>
      <c r="O143" s="58">
        <v>2.0</v>
      </c>
      <c r="P143" s="59"/>
      <c r="Q143" s="56" t="s">
        <v>6149</v>
      </c>
      <c r="R143" s="59"/>
      <c r="S143" s="56" t="s">
        <v>5717</v>
      </c>
      <c r="T143" s="61" t="s">
        <v>373</v>
      </c>
      <c r="U143" s="58" t="s">
        <v>6150</v>
      </c>
      <c r="W143" s="55" t="b">
        <f t="shared" si="1"/>
        <v>0</v>
      </c>
    </row>
    <row r="144" ht="15.0" customHeight="1">
      <c r="A144" s="56" t="s">
        <v>297</v>
      </c>
      <c r="B144" s="56" t="s">
        <v>2864</v>
      </c>
      <c r="C144" s="57" t="s">
        <v>2865</v>
      </c>
      <c r="D144" s="56" t="s">
        <v>4806</v>
      </c>
      <c r="E144" s="56" t="s">
        <v>368</v>
      </c>
      <c r="F144" s="56" t="s">
        <v>716</v>
      </c>
      <c r="G144" s="56" t="s">
        <v>2931</v>
      </c>
      <c r="H144" s="62" t="s">
        <v>390</v>
      </c>
      <c r="I144" s="59"/>
      <c r="J144" s="59"/>
      <c r="K144" s="56" t="s">
        <v>364</v>
      </c>
      <c r="L144" s="56" t="s">
        <v>412</v>
      </c>
      <c r="M144" s="56" t="s">
        <v>366</v>
      </c>
      <c r="N144" s="56" t="s">
        <v>5716</v>
      </c>
      <c r="O144" s="58">
        <v>0.0</v>
      </c>
      <c r="P144" s="58">
        <v>0.0</v>
      </c>
      <c r="Q144" s="56" t="s">
        <v>4358</v>
      </c>
      <c r="R144" s="59"/>
      <c r="S144" s="56" t="s">
        <v>5717</v>
      </c>
      <c r="T144" s="61" t="s">
        <v>373</v>
      </c>
      <c r="U144" s="58" t="s">
        <v>6151</v>
      </c>
      <c r="W144" s="55" t="b">
        <f t="shared" si="1"/>
        <v>0</v>
      </c>
    </row>
    <row r="145" ht="15.0" customHeight="1">
      <c r="A145" s="56" t="s">
        <v>6152</v>
      </c>
      <c r="B145" s="56" t="s">
        <v>6153</v>
      </c>
      <c r="C145" s="57" t="s">
        <v>6154</v>
      </c>
      <c r="D145" s="58">
        <v>8.04912572E9</v>
      </c>
      <c r="E145" s="56" t="s">
        <v>368</v>
      </c>
      <c r="F145" s="56" t="s">
        <v>452</v>
      </c>
      <c r="G145" s="56" t="s">
        <v>2286</v>
      </c>
      <c r="H145" s="56" t="s">
        <v>390</v>
      </c>
      <c r="I145" s="56" t="s">
        <v>709</v>
      </c>
      <c r="J145" s="56" t="s">
        <v>2291</v>
      </c>
      <c r="K145" s="56" t="s">
        <v>399</v>
      </c>
      <c r="L145" s="56" t="s">
        <v>520</v>
      </c>
      <c r="M145" s="56" t="s">
        <v>513</v>
      </c>
      <c r="N145" s="62" t="s">
        <v>483</v>
      </c>
      <c r="O145" s="59"/>
      <c r="P145" s="59"/>
      <c r="Q145" s="56" t="s">
        <v>1409</v>
      </c>
      <c r="R145" s="59"/>
      <c r="S145" s="56" t="s">
        <v>5733</v>
      </c>
      <c r="T145" s="61" t="s">
        <v>373</v>
      </c>
      <c r="U145" s="58" t="s">
        <v>6155</v>
      </c>
      <c r="W145" s="55" t="b">
        <f t="shared" si="1"/>
        <v>1</v>
      </c>
    </row>
    <row r="146" ht="15.0" customHeight="1">
      <c r="A146" s="56" t="s">
        <v>6156</v>
      </c>
      <c r="B146" s="56" t="s">
        <v>2869</v>
      </c>
      <c r="C146" s="57" t="s">
        <v>2870</v>
      </c>
      <c r="D146" s="58">
        <v>2.103169696E9</v>
      </c>
      <c r="E146" s="56" t="s">
        <v>368</v>
      </c>
      <c r="F146" s="56" t="s">
        <v>410</v>
      </c>
      <c r="G146" s="56" t="s">
        <v>390</v>
      </c>
      <c r="H146" s="56" t="s">
        <v>2291</v>
      </c>
      <c r="I146" s="62" t="s">
        <v>452</v>
      </c>
      <c r="J146" s="59"/>
      <c r="K146" s="56" t="s">
        <v>379</v>
      </c>
      <c r="L146" s="56" t="s">
        <v>380</v>
      </c>
      <c r="M146" s="56" t="s">
        <v>366</v>
      </c>
      <c r="N146" s="62" t="s">
        <v>5946</v>
      </c>
      <c r="O146" s="59"/>
      <c r="P146" s="59"/>
      <c r="Q146" s="56" t="s">
        <v>2790</v>
      </c>
      <c r="R146" s="59"/>
      <c r="S146" s="56" t="s">
        <v>5717</v>
      </c>
      <c r="T146" s="61" t="s">
        <v>373</v>
      </c>
      <c r="U146" s="58" t="s">
        <v>6157</v>
      </c>
      <c r="W146" s="55" t="b">
        <f t="shared" si="1"/>
        <v>0</v>
      </c>
    </row>
    <row r="147" ht="15.0" customHeight="1">
      <c r="A147" s="56" t="s">
        <v>2874</v>
      </c>
      <c r="B147" s="56" t="s">
        <v>2875</v>
      </c>
      <c r="C147" s="57" t="s">
        <v>2876</v>
      </c>
      <c r="D147" s="58">
        <v>6.178178949E9</v>
      </c>
      <c r="E147" s="56" t="s">
        <v>368</v>
      </c>
      <c r="F147" s="56" t="s">
        <v>390</v>
      </c>
      <c r="G147" s="56" t="s">
        <v>452</v>
      </c>
      <c r="H147" s="56" t="s">
        <v>459</v>
      </c>
      <c r="I147" s="56" t="s">
        <v>362</v>
      </c>
      <c r="J147" s="56" t="s">
        <v>443</v>
      </c>
      <c r="K147" s="56" t="s">
        <v>399</v>
      </c>
      <c r="L147" s="56" t="s">
        <v>380</v>
      </c>
      <c r="M147" s="56" t="s">
        <v>413</v>
      </c>
      <c r="N147" s="56" t="s">
        <v>5720</v>
      </c>
      <c r="O147" s="58">
        <v>0.0</v>
      </c>
      <c r="P147" s="58">
        <v>1.0</v>
      </c>
      <c r="Q147" s="56" t="s">
        <v>6158</v>
      </c>
      <c r="R147" s="59"/>
      <c r="S147" s="56" t="s">
        <v>5722</v>
      </c>
      <c r="T147" s="61" t="s">
        <v>373</v>
      </c>
      <c r="U147" s="58" t="s">
        <v>6159</v>
      </c>
      <c r="W147" s="55" t="b">
        <f t="shared" si="1"/>
        <v>0</v>
      </c>
    </row>
    <row r="148" ht="15.0" customHeight="1">
      <c r="A148" s="56" t="s">
        <v>6160</v>
      </c>
      <c r="B148" s="56" t="s">
        <v>6161</v>
      </c>
      <c r="C148" s="57" t="s">
        <v>6162</v>
      </c>
      <c r="D148" s="58">
        <v>7.136737701E9</v>
      </c>
      <c r="E148" s="56" t="s">
        <v>368</v>
      </c>
      <c r="F148" s="56" t="s">
        <v>421</v>
      </c>
      <c r="G148" s="56" t="s">
        <v>390</v>
      </c>
      <c r="H148" s="62" t="s">
        <v>1553</v>
      </c>
      <c r="I148" s="59"/>
      <c r="J148" s="59"/>
      <c r="K148" s="56" t="s">
        <v>399</v>
      </c>
      <c r="L148" s="56" t="s">
        <v>520</v>
      </c>
      <c r="M148" s="56" t="s">
        <v>513</v>
      </c>
      <c r="N148" s="62" t="s">
        <v>5720</v>
      </c>
      <c r="O148" s="59"/>
      <c r="P148" s="59"/>
      <c r="Q148" s="56" t="s">
        <v>2516</v>
      </c>
      <c r="R148" s="59"/>
      <c r="S148" s="56" t="s">
        <v>5722</v>
      </c>
      <c r="T148" s="61" t="s">
        <v>373</v>
      </c>
      <c r="U148" s="58" t="s">
        <v>6163</v>
      </c>
      <c r="W148" s="55" t="b">
        <f t="shared" si="1"/>
        <v>1</v>
      </c>
    </row>
    <row r="149" ht="15.0" customHeight="1">
      <c r="A149" s="56" t="s">
        <v>6164</v>
      </c>
      <c r="B149" s="56" t="s">
        <v>6165</v>
      </c>
      <c r="C149" s="57" t="s">
        <v>6166</v>
      </c>
      <c r="D149" s="58">
        <v>7.139964813E9</v>
      </c>
      <c r="E149" s="56" t="s">
        <v>368</v>
      </c>
      <c r="F149" s="56" t="s">
        <v>634</v>
      </c>
      <c r="G149" s="56" t="s">
        <v>716</v>
      </c>
      <c r="H149" s="56" t="s">
        <v>2931</v>
      </c>
      <c r="I149" s="56" t="s">
        <v>390</v>
      </c>
      <c r="J149" s="56" t="s">
        <v>421</v>
      </c>
      <c r="K149" s="56" t="s">
        <v>364</v>
      </c>
      <c r="L149" s="56" t="s">
        <v>412</v>
      </c>
      <c r="M149" s="56" t="s">
        <v>413</v>
      </c>
      <c r="N149" s="56" t="s">
        <v>381</v>
      </c>
      <c r="O149" s="58">
        <v>1.0</v>
      </c>
      <c r="P149" s="58">
        <v>1.0</v>
      </c>
      <c r="Q149" s="56" t="s">
        <v>432</v>
      </c>
      <c r="R149" s="59"/>
      <c r="S149" s="56" t="s">
        <v>5733</v>
      </c>
      <c r="T149" s="61" t="s">
        <v>373</v>
      </c>
      <c r="U149" s="58" t="s">
        <v>6167</v>
      </c>
      <c r="W149" s="55" t="b">
        <f t="shared" si="1"/>
        <v>0</v>
      </c>
    </row>
    <row r="150" ht="15.0" customHeight="1">
      <c r="A150" s="56" t="s">
        <v>111</v>
      </c>
      <c r="B150" s="56" t="s">
        <v>2881</v>
      </c>
      <c r="C150" s="57" t="s">
        <v>2882</v>
      </c>
      <c r="D150" s="56" t="s">
        <v>4816</v>
      </c>
      <c r="E150" s="56" t="s">
        <v>368</v>
      </c>
      <c r="F150" s="62" t="s">
        <v>2286</v>
      </c>
      <c r="G150" s="59"/>
      <c r="H150" s="59"/>
      <c r="I150" s="59"/>
      <c r="J150" s="59"/>
      <c r="K150" s="56" t="s">
        <v>379</v>
      </c>
      <c r="L150" s="56" t="s">
        <v>380</v>
      </c>
      <c r="M150" s="56" t="s">
        <v>413</v>
      </c>
      <c r="N150" s="62" t="s">
        <v>5716</v>
      </c>
      <c r="O150" s="59"/>
      <c r="P150" s="59"/>
      <c r="Q150" s="59"/>
      <c r="R150" s="59"/>
      <c r="S150" s="56" t="s">
        <v>5717</v>
      </c>
      <c r="T150" s="61" t="s">
        <v>394</v>
      </c>
      <c r="U150" s="58" t="s">
        <v>6168</v>
      </c>
      <c r="W150" s="55" t="b">
        <f t="shared" si="1"/>
        <v>0</v>
      </c>
    </row>
    <row r="151" ht="15.0" customHeight="1">
      <c r="A151" s="56" t="s">
        <v>112</v>
      </c>
      <c r="B151" s="56" t="s">
        <v>4818</v>
      </c>
      <c r="C151" s="57" t="s">
        <v>947</v>
      </c>
      <c r="D151" s="56" t="s">
        <v>4819</v>
      </c>
      <c r="E151" s="56" t="s">
        <v>368</v>
      </c>
      <c r="F151" s="56" t="s">
        <v>390</v>
      </c>
      <c r="G151" s="56" t="s">
        <v>2291</v>
      </c>
      <c r="H151" s="56" t="s">
        <v>421</v>
      </c>
      <c r="I151" s="56" t="s">
        <v>452</v>
      </c>
      <c r="J151" s="56" t="s">
        <v>634</v>
      </c>
      <c r="K151" s="56" t="s">
        <v>379</v>
      </c>
      <c r="L151" s="56" t="s">
        <v>380</v>
      </c>
      <c r="M151" s="56" t="s">
        <v>413</v>
      </c>
      <c r="N151" s="62" t="s">
        <v>483</v>
      </c>
      <c r="O151" s="59"/>
      <c r="P151" s="59"/>
      <c r="Q151" s="56" t="s">
        <v>1857</v>
      </c>
      <c r="R151" s="59"/>
      <c r="S151" s="56" t="s">
        <v>5733</v>
      </c>
      <c r="T151" s="61" t="s">
        <v>373</v>
      </c>
      <c r="U151" s="58" t="s">
        <v>6169</v>
      </c>
      <c r="W151" s="55" t="b">
        <f t="shared" si="1"/>
        <v>0</v>
      </c>
    </row>
    <row r="152" ht="15.0" customHeight="1">
      <c r="A152" s="56" t="s">
        <v>298</v>
      </c>
      <c r="B152" s="56" t="s">
        <v>6170</v>
      </c>
      <c r="C152" s="57" t="s">
        <v>6171</v>
      </c>
      <c r="D152" s="56" t="s">
        <v>6172</v>
      </c>
      <c r="E152" s="56" t="s">
        <v>368</v>
      </c>
      <c r="F152" s="56" t="s">
        <v>410</v>
      </c>
      <c r="G152" s="56" t="s">
        <v>390</v>
      </c>
      <c r="H152" s="56" t="s">
        <v>452</v>
      </c>
      <c r="I152" s="56" t="s">
        <v>2286</v>
      </c>
      <c r="J152" s="56" t="s">
        <v>1598</v>
      </c>
      <c r="K152" s="56" t="s">
        <v>364</v>
      </c>
      <c r="L152" s="56" t="s">
        <v>365</v>
      </c>
      <c r="M152" s="56" t="s">
        <v>413</v>
      </c>
      <c r="N152" s="62" t="s">
        <v>497</v>
      </c>
      <c r="O152" s="59"/>
      <c r="P152" s="59"/>
      <c r="Q152" s="56" t="s">
        <v>6173</v>
      </c>
      <c r="R152" s="59"/>
      <c r="S152" s="56" t="s">
        <v>5733</v>
      </c>
      <c r="T152" s="61" t="s">
        <v>373</v>
      </c>
      <c r="U152" s="58" t="s">
        <v>6174</v>
      </c>
      <c r="W152" s="55" t="b">
        <f t="shared" si="1"/>
        <v>0</v>
      </c>
    </row>
    <row r="153" ht="15.0" customHeight="1">
      <c r="A153" s="56" t="s">
        <v>2894</v>
      </c>
      <c r="B153" s="56" t="s">
        <v>6175</v>
      </c>
      <c r="C153" s="57" t="s">
        <v>6176</v>
      </c>
      <c r="D153" s="58">
        <v>7.632800268E9</v>
      </c>
      <c r="E153" s="56" t="s">
        <v>368</v>
      </c>
      <c r="F153" s="56" t="s">
        <v>410</v>
      </c>
      <c r="G153" s="56" t="s">
        <v>390</v>
      </c>
      <c r="H153" s="56" t="s">
        <v>5719</v>
      </c>
      <c r="I153" s="56" t="s">
        <v>452</v>
      </c>
      <c r="J153" s="56" t="s">
        <v>2291</v>
      </c>
      <c r="K153" s="56" t="s">
        <v>379</v>
      </c>
      <c r="L153" s="56" t="s">
        <v>405</v>
      </c>
      <c r="M153" s="56" t="s">
        <v>366</v>
      </c>
      <c r="N153" s="56" t="s">
        <v>5716</v>
      </c>
      <c r="O153" s="58">
        <v>2.0</v>
      </c>
      <c r="P153" s="59"/>
      <c r="Q153" s="56" t="s">
        <v>4764</v>
      </c>
      <c r="R153" s="59"/>
      <c r="S153" s="56" t="s">
        <v>5717</v>
      </c>
      <c r="T153" s="61" t="s">
        <v>373</v>
      </c>
      <c r="U153" s="58" t="s">
        <v>6177</v>
      </c>
      <c r="W153" s="55" t="b">
        <f t="shared" si="1"/>
        <v>0</v>
      </c>
    </row>
    <row r="154" ht="15.0" customHeight="1">
      <c r="A154" s="56" t="s">
        <v>6178</v>
      </c>
      <c r="B154" s="56" t="s">
        <v>953</v>
      </c>
      <c r="C154" s="57" t="s">
        <v>954</v>
      </c>
      <c r="D154" s="58">
        <v>8.652161559E9</v>
      </c>
      <c r="E154" s="56" t="s">
        <v>368</v>
      </c>
      <c r="F154" s="56" t="s">
        <v>5715</v>
      </c>
      <c r="G154" s="56" t="s">
        <v>452</v>
      </c>
      <c r="H154" s="56" t="s">
        <v>421</v>
      </c>
      <c r="I154" s="56" t="s">
        <v>390</v>
      </c>
      <c r="J154" s="56" t="s">
        <v>5715</v>
      </c>
      <c r="K154" s="56" t="s">
        <v>364</v>
      </c>
      <c r="L154" s="56" t="s">
        <v>365</v>
      </c>
      <c r="M154" s="56" t="s">
        <v>366</v>
      </c>
      <c r="N154" s="62" t="s">
        <v>5946</v>
      </c>
      <c r="O154" s="59"/>
      <c r="P154" s="59"/>
      <c r="Q154" s="56" t="s">
        <v>583</v>
      </c>
      <c r="R154" s="59"/>
      <c r="S154" s="56" t="s">
        <v>5717</v>
      </c>
      <c r="T154" s="61" t="s">
        <v>373</v>
      </c>
      <c r="U154" s="58" t="s">
        <v>6179</v>
      </c>
      <c r="W154" s="55" t="b">
        <f t="shared" si="1"/>
        <v>0</v>
      </c>
    </row>
    <row r="155" ht="15.0" customHeight="1">
      <c r="A155" s="56" t="s">
        <v>6180</v>
      </c>
      <c r="B155" s="56" t="s">
        <v>6181</v>
      </c>
      <c r="C155" s="57" t="s">
        <v>4827</v>
      </c>
      <c r="D155" s="58">
        <v>5.0419342221E10</v>
      </c>
      <c r="E155" s="56" t="s">
        <v>368</v>
      </c>
      <c r="F155" s="56" t="s">
        <v>452</v>
      </c>
      <c r="G155" s="56" t="s">
        <v>390</v>
      </c>
      <c r="H155" s="56" t="s">
        <v>2286</v>
      </c>
      <c r="I155" s="56" t="s">
        <v>2286</v>
      </c>
      <c r="J155" s="56" t="s">
        <v>2931</v>
      </c>
      <c r="K155" s="56" t="s">
        <v>364</v>
      </c>
      <c r="L155" s="56" t="s">
        <v>365</v>
      </c>
      <c r="M155" s="56" t="s">
        <v>366</v>
      </c>
      <c r="N155" s="56" t="s">
        <v>5720</v>
      </c>
      <c r="O155" s="58">
        <v>0.0</v>
      </c>
      <c r="P155" s="58">
        <v>2.0</v>
      </c>
      <c r="Q155" s="56" t="s">
        <v>2790</v>
      </c>
      <c r="R155" s="59"/>
      <c r="S155" s="56" t="s">
        <v>5722</v>
      </c>
      <c r="T155" s="61" t="s">
        <v>373</v>
      </c>
      <c r="U155" s="58" t="s">
        <v>6169</v>
      </c>
      <c r="W155" s="55" t="b">
        <f t="shared" si="1"/>
        <v>0</v>
      </c>
    </row>
    <row r="156" ht="15.0" customHeight="1">
      <c r="A156" s="56" t="s">
        <v>6182</v>
      </c>
      <c r="B156" s="56" t="s">
        <v>6183</v>
      </c>
      <c r="C156" s="57" t="s">
        <v>6184</v>
      </c>
      <c r="D156" s="58">
        <v>3.616337869E9</v>
      </c>
      <c r="E156" s="56" t="s">
        <v>368</v>
      </c>
      <c r="F156" s="56" t="s">
        <v>362</v>
      </c>
      <c r="G156" s="56" t="s">
        <v>5715</v>
      </c>
      <c r="H156" s="56" t="s">
        <v>3730</v>
      </c>
      <c r="I156" s="62" t="s">
        <v>452</v>
      </c>
      <c r="J156" s="59"/>
      <c r="K156" s="56" t="s">
        <v>364</v>
      </c>
      <c r="L156" s="56" t="s">
        <v>412</v>
      </c>
      <c r="M156" s="56" t="s">
        <v>413</v>
      </c>
      <c r="N156" s="62" t="s">
        <v>5716</v>
      </c>
      <c r="O156" s="59"/>
      <c r="P156" s="59"/>
      <c r="Q156" s="56" t="s">
        <v>1443</v>
      </c>
      <c r="R156" s="59"/>
      <c r="S156" s="56" t="s">
        <v>5717</v>
      </c>
      <c r="T156" s="61" t="s">
        <v>373</v>
      </c>
      <c r="U156" s="58" t="s">
        <v>6185</v>
      </c>
      <c r="W156" s="55" t="b">
        <f t="shared" si="1"/>
        <v>0</v>
      </c>
    </row>
    <row r="157" ht="15.0" customHeight="1">
      <c r="A157" s="56" t="s">
        <v>2903</v>
      </c>
      <c r="B157" s="56" t="s">
        <v>6186</v>
      </c>
      <c r="C157" s="57" t="s">
        <v>6187</v>
      </c>
      <c r="D157" s="58">
        <v>7.133377484E9</v>
      </c>
      <c r="E157" s="56" t="s">
        <v>368</v>
      </c>
      <c r="F157" s="56" t="s">
        <v>2286</v>
      </c>
      <c r="G157" s="62" t="s">
        <v>2286</v>
      </c>
      <c r="H157" s="59"/>
      <c r="I157" s="59"/>
      <c r="J157" s="59"/>
      <c r="K157" s="56" t="s">
        <v>379</v>
      </c>
      <c r="L157" s="56" t="s">
        <v>365</v>
      </c>
      <c r="M157" s="56" t="s">
        <v>366</v>
      </c>
      <c r="N157" s="62" t="s">
        <v>5770</v>
      </c>
      <c r="O157" s="59"/>
      <c r="P157" s="59"/>
      <c r="Q157" s="56" t="s">
        <v>5517</v>
      </c>
      <c r="R157" s="59"/>
      <c r="S157" s="56" t="s">
        <v>5722</v>
      </c>
      <c r="T157" s="61" t="s">
        <v>373</v>
      </c>
      <c r="U157" s="58" t="s">
        <v>6188</v>
      </c>
      <c r="W157" s="55" t="b">
        <f t="shared" si="1"/>
        <v>0</v>
      </c>
    </row>
    <row r="158" ht="15.0" customHeight="1">
      <c r="A158" s="56" t="s">
        <v>2908</v>
      </c>
      <c r="B158" s="56" t="s">
        <v>2909</v>
      </c>
      <c r="C158" s="57" t="s">
        <v>2910</v>
      </c>
      <c r="D158" s="56" t="s">
        <v>2911</v>
      </c>
      <c r="E158" s="56" t="s">
        <v>368</v>
      </c>
      <c r="F158" s="56" t="s">
        <v>452</v>
      </c>
      <c r="G158" s="56" t="s">
        <v>390</v>
      </c>
      <c r="H158" s="62" t="s">
        <v>5715</v>
      </c>
      <c r="I158" s="59"/>
      <c r="J158" s="59"/>
      <c r="K158" s="56" t="s">
        <v>399</v>
      </c>
      <c r="L158" s="56" t="s">
        <v>365</v>
      </c>
      <c r="M158" s="56" t="s">
        <v>413</v>
      </c>
      <c r="N158" s="62" t="s">
        <v>5798</v>
      </c>
      <c r="O158" s="59"/>
      <c r="P158" s="59"/>
      <c r="Q158" s="59"/>
      <c r="R158" s="59"/>
      <c r="S158" s="56" t="s">
        <v>5722</v>
      </c>
      <c r="T158" s="61" t="s">
        <v>394</v>
      </c>
      <c r="U158" s="58" t="s">
        <v>6189</v>
      </c>
      <c r="W158" s="55" t="b">
        <f t="shared" si="1"/>
        <v>0</v>
      </c>
    </row>
    <row r="159" ht="15.0" customHeight="1">
      <c r="A159" s="56" t="s">
        <v>114</v>
      </c>
      <c r="B159" s="56" t="s">
        <v>960</v>
      </c>
      <c r="C159" s="57" t="s">
        <v>961</v>
      </c>
      <c r="D159" s="56" t="s">
        <v>962</v>
      </c>
      <c r="E159" s="56" t="s">
        <v>368</v>
      </c>
      <c r="F159" s="56" t="s">
        <v>452</v>
      </c>
      <c r="G159" s="56" t="s">
        <v>5715</v>
      </c>
      <c r="H159" s="56" t="s">
        <v>362</v>
      </c>
      <c r="I159" s="62" t="s">
        <v>3730</v>
      </c>
      <c r="J159" s="59"/>
      <c r="K159" s="56" t="s">
        <v>399</v>
      </c>
      <c r="L159" s="56" t="s">
        <v>365</v>
      </c>
      <c r="M159" s="56" t="s">
        <v>413</v>
      </c>
      <c r="N159" s="56" t="s">
        <v>5716</v>
      </c>
      <c r="O159" s="58">
        <v>2.0</v>
      </c>
      <c r="P159" s="58">
        <v>0.0</v>
      </c>
      <c r="Q159" s="56" t="s">
        <v>3176</v>
      </c>
      <c r="R159" s="59"/>
      <c r="S159" s="56" t="s">
        <v>5717</v>
      </c>
      <c r="T159" s="61" t="s">
        <v>373</v>
      </c>
      <c r="U159" s="58" t="s">
        <v>6190</v>
      </c>
      <c r="W159" s="55" t="b">
        <f t="shared" si="1"/>
        <v>0</v>
      </c>
    </row>
    <row r="160" ht="15.0" customHeight="1">
      <c r="A160" s="56" t="s">
        <v>6191</v>
      </c>
      <c r="B160" s="56" t="s">
        <v>6192</v>
      </c>
      <c r="C160" s="57" t="s">
        <v>6193</v>
      </c>
      <c r="D160" s="56" t="s">
        <v>6194</v>
      </c>
      <c r="E160" s="56" t="s">
        <v>368</v>
      </c>
      <c r="F160" s="56" t="s">
        <v>452</v>
      </c>
      <c r="G160" s="56" t="s">
        <v>2286</v>
      </c>
      <c r="H160" s="56" t="s">
        <v>390</v>
      </c>
      <c r="I160" s="62" t="s">
        <v>2291</v>
      </c>
      <c r="J160" s="59"/>
      <c r="K160" s="56" t="s">
        <v>379</v>
      </c>
      <c r="L160" s="56" t="s">
        <v>412</v>
      </c>
      <c r="M160" s="56" t="s">
        <v>413</v>
      </c>
      <c r="N160" s="62" t="s">
        <v>5716</v>
      </c>
      <c r="O160" s="59"/>
      <c r="P160" s="59"/>
      <c r="Q160" s="56" t="s">
        <v>2784</v>
      </c>
      <c r="R160" s="59"/>
      <c r="S160" s="56" t="s">
        <v>5717</v>
      </c>
      <c r="T160" s="61" t="s">
        <v>373</v>
      </c>
      <c r="U160" s="58" t="s">
        <v>6195</v>
      </c>
      <c r="W160" s="55" t="b">
        <f t="shared" si="1"/>
        <v>0</v>
      </c>
    </row>
    <row r="161" ht="15.0" customHeight="1">
      <c r="A161" s="56" t="s">
        <v>117</v>
      </c>
      <c r="B161" s="56" t="s">
        <v>4838</v>
      </c>
      <c r="C161" s="57" t="s">
        <v>4839</v>
      </c>
      <c r="D161" s="56" t="s">
        <v>4840</v>
      </c>
      <c r="E161" s="56" t="s">
        <v>368</v>
      </c>
      <c r="F161" s="62" t="s">
        <v>2286</v>
      </c>
      <c r="G161" s="59"/>
      <c r="H161" s="59"/>
      <c r="I161" s="59"/>
      <c r="J161" s="59"/>
      <c r="K161" s="56" t="s">
        <v>399</v>
      </c>
      <c r="L161" s="56" t="s">
        <v>667</v>
      </c>
      <c r="M161" s="56" t="s">
        <v>366</v>
      </c>
      <c r="N161" s="56" t="s">
        <v>5716</v>
      </c>
      <c r="O161" s="58">
        <v>1.0</v>
      </c>
      <c r="P161" s="59"/>
      <c r="Q161" s="56" t="s">
        <v>1109</v>
      </c>
      <c r="R161" s="59"/>
      <c r="S161" s="56" t="s">
        <v>5717</v>
      </c>
      <c r="T161" s="61" t="s">
        <v>373</v>
      </c>
      <c r="U161" s="58" t="s">
        <v>6196</v>
      </c>
      <c r="W161" s="55" t="b">
        <f t="shared" si="1"/>
        <v>0</v>
      </c>
    </row>
    <row r="162" ht="15.0" customHeight="1">
      <c r="A162" s="56" t="s">
        <v>6197</v>
      </c>
      <c r="B162" s="56" t="s">
        <v>6198</v>
      </c>
      <c r="C162" s="57" t="s">
        <v>6199</v>
      </c>
      <c r="D162" s="56" t="s">
        <v>6200</v>
      </c>
      <c r="E162" s="56" t="s">
        <v>368</v>
      </c>
      <c r="F162" s="56" t="s">
        <v>421</v>
      </c>
      <c r="G162" s="56" t="s">
        <v>452</v>
      </c>
      <c r="H162" s="56" t="s">
        <v>390</v>
      </c>
      <c r="I162" s="56" t="s">
        <v>5715</v>
      </c>
      <c r="J162" s="56" t="s">
        <v>2931</v>
      </c>
      <c r="K162" s="56" t="s">
        <v>379</v>
      </c>
      <c r="L162" s="56" t="s">
        <v>830</v>
      </c>
      <c r="M162" s="56" t="s">
        <v>413</v>
      </c>
      <c r="N162" s="56" t="s">
        <v>5720</v>
      </c>
      <c r="O162" s="58">
        <v>2.0</v>
      </c>
      <c r="P162" s="58">
        <v>0.0</v>
      </c>
      <c r="Q162" s="56" t="s">
        <v>988</v>
      </c>
      <c r="R162" s="59"/>
      <c r="S162" s="56" t="s">
        <v>5722</v>
      </c>
      <c r="T162" s="61" t="s">
        <v>373</v>
      </c>
      <c r="U162" s="58" t="s">
        <v>6201</v>
      </c>
      <c r="W162" s="55" t="b">
        <f t="shared" si="1"/>
        <v>0</v>
      </c>
    </row>
    <row r="163" ht="15.0" customHeight="1">
      <c r="A163" s="56" t="s">
        <v>299</v>
      </c>
      <c r="B163" s="56" t="s">
        <v>983</v>
      </c>
      <c r="C163" s="57" t="s">
        <v>2934</v>
      </c>
      <c r="D163" s="58">
        <v>5.126268703E9</v>
      </c>
      <c r="E163" s="56" t="s">
        <v>368</v>
      </c>
      <c r="F163" s="56" t="s">
        <v>2286</v>
      </c>
      <c r="G163" s="62" t="s">
        <v>421</v>
      </c>
      <c r="H163" s="59"/>
      <c r="I163" s="59"/>
      <c r="J163" s="59"/>
      <c r="K163" s="56" t="s">
        <v>379</v>
      </c>
      <c r="L163" s="56" t="s">
        <v>365</v>
      </c>
      <c r="M163" s="56" t="s">
        <v>413</v>
      </c>
      <c r="N163" s="56" t="s">
        <v>5720</v>
      </c>
      <c r="O163" s="58">
        <v>0.0</v>
      </c>
      <c r="P163" s="59"/>
      <c r="Q163" s="56" t="s">
        <v>2174</v>
      </c>
      <c r="R163" s="59"/>
      <c r="S163" s="56" t="s">
        <v>5722</v>
      </c>
      <c r="T163" s="61" t="s">
        <v>373</v>
      </c>
      <c r="U163" s="58" t="s">
        <v>6202</v>
      </c>
      <c r="W163" s="55" t="b">
        <f t="shared" si="1"/>
        <v>0</v>
      </c>
    </row>
    <row r="164" ht="15.0" customHeight="1">
      <c r="A164" s="56" t="s">
        <v>118</v>
      </c>
      <c r="B164" s="56" t="s">
        <v>986</v>
      </c>
      <c r="C164" s="57" t="s">
        <v>987</v>
      </c>
      <c r="D164" s="56" t="s">
        <v>4844</v>
      </c>
      <c r="E164" s="56" t="s">
        <v>368</v>
      </c>
      <c r="F164" s="56" t="s">
        <v>452</v>
      </c>
      <c r="G164" s="56" t="s">
        <v>2286</v>
      </c>
      <c r="H164" s="56" t="s">
        <v>390</v>
      </c>
      <c r="I164" s="62" t="s">
        <v>709</v>
      </c>
      <c r="J164" s="59"/>
      <c r="K164" s="56" t="s">
        <v>364</v>
      </c>
      <c r="L164" s="56" t="s">
        <v>365</v>
      </c>
      <c r="M164" s="56" t="s">
        <v>413</v>
      </c>
      <c r="N164" s="56" t="s">
        <v>5720</v>
      </c>
      <c r="O164" s="58">
        <v>1.0</v>
      </c>
      <c r="P164" s="59"/>
      <c r="Q164" s="56" t="s">
        <v>1263</v>
      </c>
      <c r="R164" s="59"/>
      <c r="S164" s="56" t="s">
        <v>5722</v>
      </c>
      <c r="T164" s="61" t="s">
        <v>373</v>
      </c>
      <c r="U164" s="58" t="s">
        <v>6203</v>
      </c>
      <c r="W164" s="55" t="b">
        <f t="shared" si="1"/>
        <v>0</v>
      </c>
    </row>
    <row r="165" ht="15.0" customHeight="1">
      <c r="A165" s="56" t="s">
        <v>300</v>
      </c>
      <c r="B165" s="56" t="s">
        <v>2946</v>
      </c>
      <c r="C165" s="57" t="s">
        <v>2947</v>
      </c>
      <c r="D165" s="56" t="s">
        <v>4847</v>
      </c>
      <c r="E165" s="56" t="s">
        <v>368</v>
      </c>
      <c r="F165" s="62" t="s">
        <v>410</v>
      </c>
      <c r="G165" s="59"/>
      <c r="H165" s="56" t="s">
        <v>2286</v>
      </c>
      <c r="I165" s="56" t="s">
        <v>452</v>
      </c>
      <c r="J165" s="56" t="s">
        <v>390</v>
      </c>
      <c r="K165" s="56" t="s">
        <v>379</v>
      </c>
      <c r="L165" s="56" t="s">
        <v>405</v>
      </c>
      <c r="M165" s="56" t="s">
        <v>413</v>
      </c>
      <c r="N165" s="62" t="s">
        <v>5946</v>
      </c>
      <c r="O165" s="59"/>
      <c r="P165" s="59"/>
      <c r="Q165" s="56" t="s">
        <v>6204</v>
      </c>
      <c r="R165" s="59"/>
      <c r="S165" s="56" t="s">
        <v>5717</v>
      </c>
      <c r="T165" s="61" t="s">
        <v>373</v>
      </c>
      <c r="U165" s="58" t="s">
        <v>6205</v>
      </c>
      <c r="W165" s="55" t="b">
        <f t="shared" si="1"/>
        <v>0</v>
      </c>
    </row>
    <row r="166" ht="15.0" customHeight="1">
      <c r="A166" s="56" t="s">
        <v>119</v>
      </c>
      <c r="B166" s="56" t="s">
        <v>2951</v>
      </c>
      <c r="C166" s="57" t="s">
        <v>998</v>
      </c>
      <c r="D166" s="56" t="s">
        <v>6206</v>
      </c>
      <c r="E166" s="56" t="s">
        <v>368</v>
      </c>
      <c r="F166" s="56" t="s">
        <v>2286</v>
      </c>
      <c r="G166" s="56" t="s">
        <v>675</v>
      </c>
      <c r="H166" s="56" t="s">
        <v>1598</v>
      </c>
      <c r="I166" s="62" t="s">
        <v>390</v>
      </c>
      <c r="J166" s="59"/>
      <c r="K166" s="56" t="s">
        <v>364</v>
      </c>
      <c r="L166" s="56" t="s">
        <v>380</v>
      </c>
      <c r="M166" s="56" t="s">
        <v>366</v>
      </c>
      <c r="N166" s="56" t="s">
        <v>5720</v>
      </c>
      <c r="O166" s="58">
        <v>0.0</v>
      </c>
      <c r="P166" s="58">
        <v>0.0</v>
      </c>
      <c r="Q166" s="56" t="s">
        <v>3535</v>
      </c>
      <c r="R166" s="59"/>
      <c r="S166" s="56" t="s">
        <v>5722</v>
      </c>
      <c r="T166" s="61" t="s">
        <v>373</v>
      </c>
      <c r="U166" s="58" t="s">
        <v>6207</v>
      </c>
      <c r="W166" s="55" t="b">
        <f t="shared" si="1"/>
        <v>0</v>
      </c>
    </row>
    <row r="167" ht="15.0" customHeight="1">
      <c r="A167" s="56" t="s">
        <v>120</v>
      </c>
      <c r="B167" s="56" t="s">
        <v>4852</v>
      </c>
      <c r="C167" s="57" t="s">
        <v>4853</v>
      </c>
      <c r="D167" s="56" t="s">
        <v>4854</v>
      </c>
      <c r="E167" s="56" t="s">
        <v>368</v>
      </c>
      <c r="F167" s="62" t="s">
        <v>390</v>
      </c>
      <c r="G167" s="59"/>
      <c r="H167" s="59"/>
      <c r="I167" s="59"/>
      <c r="J167" s="59"/>
      <c r="K167" s="56" t="s">
        <v>364</v>
      </c>
      <c r="L167" s="56" t="s">
        <v>412</v>
      </c>
      <c r="M167" s="56" t="s">
        <v>413</v>
      </c>
      <c r="N167" s="62" t="s">
        <v>5720</v>
      </c>
      <c r="O167" s="59"/>
      <c r="P167" s="59"/>
      <c r="Q167" s="56" t="s">
        <v>4820</v>
      </c>
      <c r="R167" s="59"/>
      <c r="S167" s="56" t="s">
        <v>5722</v>
      </c>
      <c r="T167" s="61" t="s">
        <v>373</v>
      </c>
      <c r="U167" s="58" t="s">
        <v>6208</v>
      </c>
      <c r="W167" s="55" t="b">
        <f t="shared" si="1"/>
        <v>0</v>
      </c>
    </row>
    <row r="168" ht="15.0" customHeight="1">
      <c r="A168" s="56" t="s">
        <v>6209</v>
      </c>
      <c r="B168" s="56" t="s">
        <v>6210</v>
      </c>
      <c r="C168" s="57" t="s">
        <v>6211</v>
      </c>
      <c r="D168" s="58">
        <v>2.144585066E9</v>
      </c>
      <c r="E168" s="56" t="s">
        <v>368</v>
      </c>
      <c r="F168" s="56" t="s">
        <v>390</v>
      </c>
      <c r="G168" s="56" t="s">
        <v>452</v>
      </c>
      <c r="H168" s="56" t="s">
        <v>443</v>
      </c>
      <c r="I168" s="62" t="s">
        <v>410</v>
      </c>
      <c r="J168" s="59"/>
      <c r="K168" s="56" t="s">
        <v>379</v>
      </c>
      <c r="L168" s="56" t="s">
        <v>405</v>
      </c>
      <c r="M168" s="56" t="s">
        <v>413</v>
      </c>
      <c r="N168" s="56" t="s">
        <v>381</v>
      </c>
      <c r="O168" s="58">
        <v>2.0</v>
      </c>
      <c r="P168" s="58">
        <v>2.0</v>
      </c>
      <c r="Q168" s="56" t="s">
        <v>2317</v>
      </c>
      <c r="R168" s="59"/>
      <c r="S168" s="56" t="s">
        <v>5733</v>
      </c>
      <c r="T168" s="61" t="s">
        <v>373</v>
      </c>
      <c r="U168" s="58" t="s">
        <v>6212</v>
      </c>
      <c r="W168" s="55" t="b">
        <f t="shared" si="1"/>
        <v>0</v>
      </c>
    </row>
    <row r="169" ht="15.0" customHeight="1">
      <c r="A169" s="56" t="s">
        <v>121</v>
      </c>
      <c r="B169" s="56" t="s">
        <v>6213</v>
      </c>
      <c r="C169" s="57" t="s">
        <v>1003</v>
      </c>
      <c r="D169" s="58">
        <v>6.302545522E9</v>
      </c>
      <c r="E169" s="56" t="s">
        <v>368</v>
      </c>
      <c r="F169" s="56" t="s">
        <v>2286</v>
      </c>
      <c r="G169" s="56" t="s">
        <v>1789</v>
      </c>
      <c r="H169" s="56" t="s">
        <v>410</v>
      </c>
      <c r="I169" s="56" t="s">
        <v>390</v>
      </c>
      <c r="J169" s="56" t="s">
        <v>1553</v>
      </c>
      <c r="K169" s="56" t="s">
        <v>379</v>
      </c>
      <c r="L169" s="56" t="s">
        <v>412</v>
      </c>
      <c r="M169" s="56" t="s">
        <v>366</v>
      </c>
      <c r="N169" s="62" t="s">
        <v>5798</v>
      </c>
      <c r="O169" s="59"/>
      <c r="P169" s="59"/>
      <c r="Q169" s="56" t="s">
        <v>1830</v>
      </c>
      <c r="R169" s="59"/>
      <c r="S169" s="56" t="s">
        <v>5722</v>
      </c>
      <c r="T169" s="61" t="s">
        <v>373</v>
      </c>
      <c r="U169" s="58" t="s">
        <v>6214</v>
      </c>
      <c r="W169" s="55" t="b">
        <f t="shared" si="1"/>
        <v>0</v>
      </c>
    </row>
    <row r="170" ht="15.0" customHeight="1">
      <c r="A170" s="56" t="s">
        <v>6215</v>
      </c>
      <c r="B170" s="56" t="s">
        <v>6216</v>
      </c>
      <c r="C170" s="57" t="s">
        <v>6217</v>
      </c>
      <c r="D170" s="58">
        <v>2.819450069E9</v>
      </c>
      <c r="E170" s="56" t="s">
        <v>368</v>
      </c>
      <c r="F170" s="62" t="s">
        <v>2286</v>
      </c>
      <c r="G170" s="59"/>
      <c r="H170" s="59"/>
      <c r="I170" s="59"/>
      <c r="J170" s="59"/>
      <c r="K170" s="56" t="s">
        <v>364</v>
      </c>
      <c r="L170" s="56" t="s">
        <v>365</v>
      </c>
      <c r="M170" s="56" t="s">
        <v>366</v>
      </c>
      <c r="N170" s="62" t="s">
        <v>5720</v>
      </c>
      <c r="O170" s="59"/>
      <c r="P170" s="59"/>
      <c r="Q170" s="56" t="s">
        <v>1341</v>
      </c>
      <c r="R170" s="59"/>
      <c r="S170" s="56" t="s">
        <v>5722</v>
      </c>
      <c r="T170" s="61" t="s">
        <v>373</v>
      </c>
      <c r="U170" s="58" t="s">
        <v>6218</v>
      </c>
      <c r="W170" s="55" t="b">
        <f t="shared" si="1"/>
        <v>0</v>
      </c>
    </row>
    <row r="171" ht="15.0" customHeight="1">
      <c r="A171" s="56" t="s">
        <v>301</v>
      </c>
      <c r="B171" s="56" t="s">
        <v>1010</v>
      </c>
      <c r="C171" s="57" t="s">
        <v>1011</v>
      </c>
      <c r="D171" s="58">
        <v>7.605754602E9</v>
      </c>
      <c r="E171" s="56" t="s">
        <v>368</v>
      </c>
      <c r="F171" s="56" t="s">
        <v>390</v>
      </c>
      <c r="G171" s="56" t="s">
        <v>410</v>
      </c>
      <c r="H171" s="56" t="s">
        <v>1598</v>
      </c>
      <c r="I171" s="56" t="s">
        <v>421</v>
      </c>
      <c r="J171" s="56" t="s">
        <v>1789</v>
      </c>
      <c r="K171" s="56" t="s">
        <v>379</v>
      </c>
      <c r="L171" s="56" t="s">
        <v>380</v>
      </c>
      <c r="M171" s="56" t="s">
        <v>513</v>
      </c>
      <c r="N171" s="62" t="s">
        <v>5716</v>
      </c>
      <c r="O171" s="59"/>
      <c r="P171" s="59"/>
      <c r="Q171" s="56" t="s">
        <v>2542</v>
      </c>
      <c r="R171" s="59"/>
      <c r="S171" s="56" t="s">
        <v>5717</v>
      </c>
      <c r="T171" s="61" t="s">
        <v>373</v>
      </c>
      <c r="U171" s="58" t="s">
        <v>6219</v>
      </c>
      <c r="W171" s="55" t="b">
        <f t="shared" si="1"/>
        <v>1</v>
      </c>
    </row>
    <row r="172" ht="15.0" customHeight="1">
      <c r="A172" s="56" t="s">
        <v>1015</v>
      </c>
      <c r="B172" s="56" t="s">
        <v>1016</v>
      </c>
      <c r="C172" s="57" t="s">
        <v>1017</v>
      </c>
      <c r="D172" s="56" t="s">
        <v>4862</v>
      </c>
      <c r="E172" s="56" t="s">
        <v>368</v>
      </c>
      <c r="F172" s="56" t="s">
        <v>452</v>
      </c>
      <c r="G172" s="56" t="s">
        <v>390</v>
      </c>
      <c r="H172" s="56" t="s">
        <v>2286</v>
      </c>
      <c r="I172" s="56" t="s">
        <v>709</v>
      </c>
      <c r="J172" s="56" t="s">
        <v>1553</v>
      </c>
      <c r="K172" s="56" t="s">
        <v>364</v>
      </c>
      <c r="L172" s="56" t="s">
        <v>365</v>
      </c>
      <c r="M172" s="56" t="s">
        <v>413</v>
      </c>
      <c r="N172" s="56" t="s">
        <v>6220</v>
      </c>
      <c r="O172" s="58">
        <v>5.0</v>
      </c>
      <c r="P172" s="59"/>
      <c r="Q172" s="56" t="s">
        <v>6221</v>
      </c>
      <c r="R172" s="59"/>
      <c r="S172" s="56" t="s">
        <v>5717</v>
      </c>
      <c r="T172" s="61" t="s">
        <v>373</v>
      </c>
      <c r="U172" s="58" t="s">
        <v>6222</v>
      </c>
      <c r="W172" s="55" t="b">
        <f t="shared" si="1"/>
        <v>0</v>
      </c>
    </row>
    <row r="173" ht="15.0" customHeight="1">
      <c r="A173" s="56" t="s">
        <v>123</v>
      </c>
      <c r="B173" s="56" t="s">
        <v>6223</v>
      </c>
      <c r="C173" s="57" t="s">
        <v>1024</v>
      </c>
      <c r="D173" s="56" t="s">
        <v>4867</v>
      </c>
      <c r="E173" s="56" t="s">
        <v>368</v>
      </c>
      <c r="F173" s="56" t="s">
        <v>410</v>
      </c>
      <c r="G173" s="56" t="s">
        <v>390</v>
      </c>
      <c r="H173" s="56" t="s">
        <v>452</v>
      </c>
      <c r="I173" s="56" t="s">
        <v>2291</v>
      </c>
      <c r="J173" s="56" t="s">
        <v>2286</v>
      </c>
      <c r="K173" s="56" t="s">
        <v>379</v>
      </c>
      <c r="L173" s="56" t="s">
        <v>365</v>
      </c>
      <c r="M173" s="56" t="s">
        <v>413</v>
      </c>
      <c r="N173" s="56" t="s">
        <v>5724</v>
      </c>
      <c r="O173" s="58">
        <v>2.0</v>
      </c>
      <c r="P173" s="59"/>
      <c r="Q173" s="56" t="s">
        <v>6224</v>
      </c>
      <c r="R173" s="59"/>
      <c r="S173" s="56" t="s">
        <v>5717</v>
      </c>
      <c r="T173" s="61" t="s">
        <v>373</v>
      </c>
      <c r="U173" s="58" t="s">
        <v>6225</v>
      </c>
      <c r="W173" s="55" t="b">
        <f t="shared" si="1"/>
        <v>0</v>
      </c>
    </row>
    <row r="174" ht="15.0" customHeight="1">
      <c r="A174" s="56" t="s">
        <v>6226</v>
      </c>
      <c r="B174" s="56" t="s">
        <v>6227</v>
      </c>
      <c r="C174" s="57" t="s">
        <v>6228</v>
      </c>
      <c r="D174" s="58">
        <v>2.8171529E9</v>
      </c>
      <c r="E174" s="56" t="s">
        <v>368</v>
      </c>
      <c r="F174" s="56" t="s">
        <v>410</v>
      </c>
      <c r="G174" s="62" t="s">
        <v>1789</v>
      </c>
      <c r="H174" s="59"/>
      <c r="I174" s="59"/>
      <c r="J174" s="59"/>
      <c r="K174" s="56" t="s">
        <v>364</v>
      </c>
      <c r="L174" s="56" t="s">
        <v>365</v>
      </c>
      <c r="M174" s="56" t="s">
        <v>366</v>
      </c>
      <c r="N174" s="62" t="s">
        <v>5720</v>
      </c>
      <c r="O174" s="59"/>
      <c r="P174" s="59"/>
      <c r="Q174" s="56" t="s">
        <v>3474</v>
      </c>
      <c r="R174" s="59"/>
      <c r="S174" s="56" t="s">
        <v>5722</v>
      </c>
      <c r="T174" s="61" t="s">
        <v>373</v>
      </c>
      <c r="U174" s="58" t="s">
        <v>6229</v>
      </c>
      <c r="W174" s="55" t="b">
        <f t="shared" si="1"/>
        <v>0</v>
      </c>
    </row>
    <row r="175" ht="15.0" customHeight="1">
      <c r="A175" s="56" t="s">
        <v>124</v>
      </c>
      <c r="B175" s="56" t="s">
        <v>1028</v>
      </c>
      <c r="C175" s="57" t="s">
        <v>1029</v>
      </c>
      <c r="D175" s="56" t="s">
        <v>4870</v>
      </c>
      <c r="E175" s="56" t="s">
        <v>368</v>
      </c>
      <c r="F175" s="56" t="s">
        <v>362</v>
      </c>
      <c r="G175" s="56" t="s">
        <v>390</v>
      </c>
      <c r="H175" s="56" t="s">
        <v>5715</v>
      </c>
      <c r="I175" s="56" t="s">
        <v>443</v>
      </c>
      <c r="J175" s="56" t="s">
        <v>452</v>
      </c>
      <c r="K175" s="56" t="s">
        <v>364</v>
      </c>
      <c r="L175" s="56" t="s">
        <v>365</v>
      </c>
      <c r="M175" s="56" t="s">
        <v>366</v>
      </c>
      <c r="N175" s="56" t="s">
        <v>381</v>
      </c>
      <c r="O175" s="58">
        <v>0.0</v>
      </c>
      <c r="P175" s="58">
        <v>0.0</v>
      </c>
      <c r="Q175" s="56" t="s">
        <v>596</v>
      </c>
      <c r="R175" s="59"/>
      <c r="S175" s="56" t="s">
        <v>5733</v>
      </c>
      <c r="T175" s="61" t="s">
        <v>373</v>
      </c>
      <c r="U175" s="58" t="s">
        <v>6230</v>
      </c>
      <c r="W175" s="55" t="b">
        <f t="shared" si="1"/>
        <v>0</v>
      </c>
    </row>
    <row r="176" ht="15.0" customHeight="1">
      <c r="A176" s="56" t="s">
        <v>2977</v>
      </c>
      <c r="B176" s="56" t="s">
        <v>2978</v>
      </c>
      <c r="C176" s="57" t="s">
        <v>2979</v>
      </c>
      <c r="D176" s="58">
        <v>8.048954476E9</v>
      </c>
      <c r="E176" s="56" t="s">
        <v>368</v>
      </c>
      <c r="F176" s="56" t="s">
        <v>410</v>
      </c>
      <c r="G176" s="56" t="s">
        <v>390</v>
      </c>
      <c r="H176" s="62" t="s">
        <v>1789</v>
      </c>
      <c r="I176" s="59"/>
      <c r="J176" s="59"/>
      <c r="K176" s="56" t="s">
        <v>399</v>
      </c>
      <c r="L176" s="56" t="s">
        <v>365</v>
      </c>
      <c r="M176" s="56" t="s">
        <v>413</v>
      </c>
      <c r="N176" s="62" t="s">
        <v>497</v>
      </c>
      <c r="O176" s="59"/>
      <c r="P176" s="59"/>
      <c r="Q176" s="56" t="s">
        <v>6231</v>
      </c>
      <c r="R176" s="59"/>
      <c r="S176" s="56" t="s">
        <v>5733</v>
      </c>
      <c r="T176" s="61" t="s">
        <v>373</v>
      </c>
      <c r="U176" s="58" t="s">
        <v>6232</v>
      </c>
      <c r="W176" s="55" t="b">
        <f t="shared" si="1"/>
        <v>0</v>
      </c>
    </row>
    <row r="177" ht="15.0" customHeight="1">
      <c r="A177" s="56" t="s">
        <v>2982</v>
      </c>
      <c r="B177" s="56" t="s">
        <v>6233</v>
      </c>
      <c r="C177" s="57" t="s">
        <v>6234</v>
      </c>
      <c r="D177" s="58">
        <v>2.8167939E9</v>
      </c>
      <c r="E177" s="56" t="s">
        <v>368</v>
      </c>
      <c r="F177" s="56" t="s">
        <v>877</v>
      </c>
      <c r="G177" s="62" t="s">
        <v>2286</v>
      </c>
      <c r="H177" s="59"/>
      <c r="I177" s="59"/>
      <c r="J177" s="59"/>
      <c r="K177" s="56" t="s">
        <v>399</v>
      </c>
      <c r="L177" s="56" t="s">
        <v>380</v>
      </c>
      <c r="M177" s="56" t="s">
        <v>513</v>
      </c>
      <c r="N177" s="56" t="s">
        <v>5720</v>
      </c>
      <c r="O177" s="58">
        <v>0.0</v>
      </c>
      <c r="P177" s="58">
        <v>0.0</v>
      </c>
      <c r="Q177" s="56" t="s">
        <v>2660</v>
      </c>
      <c r="R177" s="59"/>
      <c r="S177" s="56" t="s">
        <v>5722</v>
      </c>
      <c r="T177" s="61" t="s">
        <v>373</v>
      </c>
      <c r="U177" s="58" t="s">
        <v>6235</v>
      </c>
      <c r="W177" s="55" t="b">
        <f t="shared" si="1"/>
        <v>1</v>
      </c>
    </row>
    <row r="178" ht="15.0" customHeight="1">
      <c r="A178" s="56" t="s">
        <v>2987</v>
      </c>
      <c r="B178" s="56" t="s">
        <v>6236</v>
      </c>
      <c r="C178" s="57" t="s">
        <v>6237</v>
      </c>
      <c r="D178" s="56" t="s">
        <v>6238</v>
      </c>
      <c r="E178" s="56" t="s">
        <v>368</v>
      </c>
      <c r="F178" s="56" t="s">
        <v>410</v>
      </c>
      <c r="G178" s="56" t="s">
        <v>1553</v>
      </c>
      <c r="H178" s="56" t="s">
        <v>390</v>
      </c>
      <c r="I178" s="56" t="s">
        <v>452</v>
      </c>
      <c r="J178" s="56" t="s">
        <v>1789</v>
      </c>
      <c r="K178" s="56" t="s">
        <v>399</v>
      </c>
      <c r="L178" s="56" t="s">
        <v>380</v>
      </c>
      <c r="M178" s="56" t="s">
        <v>413</v>
      </c>
      <c r="N178" s="62" t="s">
        <v>1301</v>
      </c>
      <c r="O178" s="59"/>
      <c r="P178" s="59"/>
      <c r="Q178" s="56" t="s">
        <v>6239</v>
      </c>
      <c r="R178" s="59"/>
      <c r="S178" s="56" t="s">
        <v>5733</v>
      </c>
      <c r="T178" s="61" t="s">
        <v>373</v>
      </c>
      <c r="U178" s="58" t="s">
        <v>6240</v>
      </c>
      <c r="W178" s="55" t="b">
        <f t="shared" si="1"/>
        <v>0</v>
      </c>
    </row>
    <row r="179" ht="15.0" customHeight="1">
      <c r="A179" s="56" t="s">
        <v>125</v>
      </c>
      <c r="B179" s="56" t="s">
        <v>1033</v>
      </c>
      <c r="C179" s="57" t="s">
        <v>1034</v>
      </c>
      <c r="D179" s="56" t="s">
        <v>1035</v>
      </c>
      <c r="E179" s="56" t="s">
        <v>368</v>
      </c>
      <c r="F179" s="56" t="s">
        <v>2286</v>
      </c>
      <c r="G179" s="62" t="s">
        <v>675</v>
      </c>
      <c r="H179" s="59"/>
      <c r="I179" s="59"/>
      <c r="J179" s="59"/>
      <c r="K179" s="56" t="s">
        <v>379</v>
      </c>
      <c r="L179" s="56" t="s">
        <v>365</v>
      </c>
      <c r="M179" s="56" t="s">
        <v>413</v>
      </c>
      <c r="N179" s="62" t="s">
        <v>5720</v>
      </c>
      <c r="O179" s="59"/>
      <c r="P179" s="59"/>
      <c r="Q179" s="56" t="s">
        <v>2377</v>
      </c>
      <c r="R179" s="59"/>
      <c r="S179" s="56" t="s">
        <v>5722</v>
      </c>
      <c r="T179" s="61" t="s">
        <v>373</v>
      </c>
      <c r="U179" s="58" t="s">
        <v>6241</v>
      </c>
      <c r="W179" s="55" t="b">
        <f t="shared" si="1"/>
        <v>0</v>
      </c>
    </row>
    <row r="180" ht="15.0" customHeight="1">
      <c r="A180" s="56" t="s">
        <v>6242</v>
      </c>
      <c r="B180" s="56" t="s">
        <v>6243</v>
      </c>
      <c r="C180" s="57" t="s">
        <v>6244</v>
      </c>
      <c r="D180" s="58">
        <v>9.794366144E9</v>
      </c>
      <c r="E180" s="56" t="s">
        <v>368</v>
      </c>
      <c r="F180" s="56" t="s">
        <v>675</v>
      </c>
      <c r="G180" s="56" t="s">
        <v>421</v>
      </c>
      <c r="H180" s="56" t="s">
        <v>2286</v>
      </c>
      <c r="I180" s="56" t="s">
        <v>1789</v>
      </c>
      <c r="J180" s="56" t="s">
        <v>390</v>
      </c>
      <c r="K180" s="56" t="s">
        <v>399</v>
      </c>
      <c r="L180" s="56" t="s">
        <v>667</v>
      </c>
      <c r="M180" s="56" t="s">
        <v>366</v>
      </c>
      <c r="N180" s="56" t="s">
        <v>483</v>
      </c>
      <c r="O180" s="58">
        <v>2.0</v>
      </c>
      <c r="P180" s="58">
        <v>2.0</v>
      </c>
      <c r="Q180" s="56" t="s">
        <v>1936</v>
      </c>
      <c r="R180" s="59"/>
      <c r="S180" s="56" t="s">
        <v>5733</v>
      </c>
      <c r="T180" s="61" t="s">
        <v>373</v>
      </c>
      <c r="U180" s="58" t="s">
        <v>6245</v>
      </c>
      <c r="W180" s="55" t="b">
        <f t="shared" si="1"/>
        <v>0</v>
      </c>
    </row>
    <row r="181" ht="15.0" customHeight="1">
      <c r="A181" s="56" t="s">
        <v>6246</v>
      </c>
      <c r="B181" s="56" t="s">
        <v>6247</v>
      </c>
      <c r="C181" s="57" t="s">
        <v>6248</v>
      </c>
      <c r="D181" s="56" t="s">
        <v>6249</v>
      </c>
      <c r="E181" s="56" t="s">
        <v>368</v>
      </c>
      <c r="F181" s="62" t="s">
        <v>362</v>
      </c>
      <c r="G181" s="59"/>
      <c r="H181" s="59"/>
      <c r="I181" s="59"/>
      <c r="J181" s="59"/>
      <c r="K181" s="56" t="s">
        <v>364</v>
      </c>
      <c r="L181" s="56" t="s">
        <v>365</v>
      </c>
      <c r="M181" s="56" t="s">
        <v>413</v>
      </c>
      <c r="N181" s="56" t="s">
        <v>5716</v>
      </c>
      <c r="O181" s="58">
        <v>0.0</v>
      </c>
      <c r="P181" s="59"/>
      <c r="Q181" s="56" t="s">
        <v>1037</v>
      </c>
      <c r="R181" s="59"/>
      <c r="S181" s="56" t="s">
        <v>5717</v>
      </c>
      <c r="T181" s="61" t="s">
        <v>373</v>
      </c>
      <c r="U181" s="58" t="s">
        <v>6250</v>
      </c>
      <c r="W181" s="55" t="b">
        <f t="shared" si="1"/>
        <v>0</v>
      </c>
    </row>
    <row r="182" ht="15.0" customHeight="1">
      <c r="A182" s="56" t="s">
        <v>126</v>
      </c>
      <c r="B182" s="56" t="s">
        <v>3004</v>
      </c>
      <c r="C182" s="57" t="s">
        <v>6251</v>
      </c>
      <c r="D182" s="56" t="s">
        <v>3006</v>
      </c>
      <c r="E182" s="56" t="s">
        <v>368</v>
      </c>
      <c r="F182" s="56" t="s">
        <v>2286</v>
      </c>
      <c r="G182" s="56" t="s">
        <v>452</v>
      </c>
      <c r="H182" s="62" t="s">
        <v>390</v>
      </c>
      <c r="I182" s="59"/>
      <c r="J182" s="59"/>
      <c r="K182" s="56" t="s">
        <v>379</v>
      </c>
      <c r="L182" s="56" t="s">
        <v>412</v>
      </c>
      <c r="M182" s="56" t="s">
        <v>366</v>
      </c>
      <c r="N182" s="62" t="s">
        <v>497</v>
      </c>
      <c r="O182" s="59"/>
      <c r="P182" s="59"/>
      <c r="Q182" s="56" t="s">
        <v>6252</v>
      </c>
      <c r="R182" s="59"/>
      <c r="S182" s="56" t="s">
        <v>5733</v>
      </c>
      <c r="T182" s="61" t="s">
        <v>373</v>
      </c>
      <c r="U182" s="58" t="s">
        <v>6253</v>
      </c>
      <c r="W182" s="55" t="b">
        <f t="shared" si="1"/>
        <v>0</v>
      </c>
    </row>
    <row r="183" ht="15.0" customHeight="1">
      <c r="A183" s="56" t="s">
        <v>126</v>
      </c>
      <c r="B183" s="56" t="s">
        <v>6254</v>
      </c>
      <c r="C183" s="57" t="s">
        <v>6255</v>
      </c>
      <c r="D183" s="56" t="s">
        <v>6256</v>
      </c>
      <c r="E183" s="56" t="s">
        <v>368</v>
      </c>
      <c r="F183" s="56" t="s">
        <v>459</v>
      </c>
      <c r="G183" s="56" t="s">
        <v>390</v>
      </c>
      <c r="H183" s="56" t="s">
        <v>452</v>
      </c>
      <c r="I183" s="62" t="s">
        <v>1598</v>
      </c>
      <c r="J183" s="59"/>
      <c r="K183" s="56" t="s">
        <v>399</v>
      </c>
      <c r="L183" s="56" t="s">
        <v>380</v>
      </c>
      <c r="M183" s="56" t="s">
        <v>413</v>
      </c>
      <c r="N183" s="56" t="s">
        <v>5716</v>
      </c>
      <c r="O183" s="58">
        <v>0.0</v>
      </c>
      <c r="P183" s="59"/>
      <c r="Q183" s="59"/>
      <c r="R183" s="59"/>
      <c r="S183" s="56" t="s">
        <v>5717</v>
      </c>
      <c r="T183" s="61" t="s">
        <v>394</v>
      </c>
      <c r="U183" s="58" t="s">
        <v>6257</v>
      </c>
      <c r="W183" s="55" t="b">
        <f t="shared" si="1"/>
        <v>0</v>
      </c>
    </row>
    <row r="184" ht="15.0" customHeight="1">
      <c r="A184" s="56" t="s">
        <v>6258</v>
      </c>
      <c r="B184" s="56" t="s">
        <v>6259</v>
      </c>
      <c r="C184" s="57" t="s">
        <v>6260</v>
      </c>
      <c r="D184" s="58">
        <v>7.139367359E9</v>
      </c>
      <c r="E184" s="56" t="s">
        <v>368</v>
      </c>
      <c r="F184" s="56" t="s">
        <v>362</v>
      </c>
      <c r="G184" s="56" t="s">
        <v>2931</v>
      </c>
      <c r="H184" s="56" t="s">
        <v>716</v>
      </c>
      <c r="I184" s="56" t="s">
        <v>5715</v>
      </c>
      <c r="J184" s="56" t="s">
        <v>3730</v>
      </c>
      <c r="K184" s="56" t="s">
        <v>399</v>
      </c>
      <c r="L184" s="56" t="s">
        <v>365</v>
      </c>
      <c r="M184" s="56" t="s">
        <v>413</v>
      </c>
      <c r="N184" s="62" t="s">
        <v>5770</v>
      </c>
      <c r="O184" s="59"/>
      <c r="P184" s="59"/>
      <c r="Q184" s="56" t="s">
        <v>2399</v>
      </c>
      <c r="R184" s="59"/>
      <c r="S184" s="56" t="s">
        <v>5722</v>
      </c>
      <c r="T184" s="61" t="s">
        <v>373</v>
      </c>
      <c r="U184" s="58" t="s">
        <v>6261</v>
      </c>
      <c r="W184" s="55" t="b">
        <f t="shared" si="1"/>
        <v>0</v>
      </c>
    </row>
    <row r="185" ht="15.0" customHeight="1">
      <c r="A185" s="56" t="s">
        <v>3009</v>
      </c>
      <c r="B185" s="56" t="s">
        <v>1538</v>
      </c>
      <c r="C185" s="57" t="s">
        <v>3010</v>
      </c>
      <c r="D185" s="56" t="s">
        <v>6262</v>
      </c>
      <c r="E185" s="56" t="s">
        <v>368</v>
      </c>
      <c r="F185" s="62" t="s">
        <v>2286</v>
      </c>
      <c r="G185" s="59"/>
      <c r="H185" s="59"/>
      <c r="I185" s="59"/>
      <c r="J185" s="59"/>
      <c r="K185" s="56" t="s">
        <v>399</v>
      </c>
      <c r="L185" s="56" t="s">
        <v>667</v>
      </c>
      <c r="M185" s="56" t="s">
        <v>513</v>
      </c>
      <c r="N185" s="62" t="s">
        <v>5716</v>
      </c>
      <c r="O185" s="59"/>
      <c r="P185" s="59"/>
      <c r="Q185" s="59"/>
      <c r="R185" s="59"/>
      <c r="S185" s="56" t="s">
        <v>5717</v>
      </c>
      <c r="T185" s="61" t="s">
        <v>394</v>
      </c>
      <c r="U185" s="58" t="s">
        <v>6263</v>
      </c>
      <c r="W185" s="55" t="b">
        <f t="shared" si="1"/>
        <v>1</v>
      </c>
    </row>
    <row r="186" ht="15.0" customHeight="1">
      <c r="A186" s="56" t="s">
        <v>127</v>
      </c>
      <c r="B186" s="56" t="s">
        <v>6264</v>
      </c>
      <c r="C186" s="57" t="s">
        <v>6265</v>
      </c>
      <c r="D186" s="56" t="s">
        <v>6266</v>
      </c>
      <c r="E186" s="56" t="s">
        <v>368</v>
      </c>
      <c r="F186" s="56" t="s">
        <v>2286</v>
      </c>
      <c r="G186" s="62" t="s">
        <v>1789</v>
      </c>
      <c r="H186" s="59"/>
      <c r="I186" s="59"/>
      <c r="J186" s="59"/>
      <c r="K186" s="56" t="s">
        <v>399</v>
      </c>
      <c r="L186" s="56" t="s">
        <v>380</v>
      </c>
      <c r="M186" s="56" t="s">
        <v>5925</v>
      </c>
      <c r="N186" s="62" t="s">
        <v>381</v>
      </c>
      <c r="O186" s="59"/>
      <c r="P186" s="59"/>
      <c r="Q186" s="56" t="s">
        <v>1268</v>
      </c>
      <c r="R186" s="59"/>
      <c r="S186" s="56" t="s">
        <v>5733</v>
      </c>
      <c r="T186" s="61" t="s">
        <v>373</v>
      </c>
      <c r="U186" s="58" t="s">
        <v>6267</v>
      </c>
      <c r="W186" s="55" t="b">
        <f t="shared" si="1"/>
        <v>0</v>
      </c>
    </row>
    <row r="187" ht="15.0" customHeight="1">
      <c r="A187" s="56" t="s">
        <v>4888</v>
      </c>
      <c r="B187" s="56" t="s">
        <v>6268</v>
      </c>
      <c r="C187" s="57" t="s">
        <v>6269</v>
      </c>
      <c r="D187" s="58">
        <v>3.4914185692E10</v>
      </c>
      <c r="E187" s="56" t="s">
        <v>368</v>
      </c>
      <c r="F187" s="62" t="s">
        <v>2291</v>
      </c>
      <c r="G187" s="59"/>
      <c r="H187" s="59"/>
      <c r="I187" s="59"/>
      <c r="J187" s="59"/>
      <c r="K187" s="56" t="s">
        <v>364</v>
      </c>
      <c r="L187" s="56" t="s">
        <v>365</v>
      </c>
      <c r="M187" s="56" t="s">
        <v>366</v>
      </c>
      <c r="N187" s="56" t="s">
        <v>381</v>
      </c>
      <c r="O187" s="58">
        <v>1.0</v>
      </c>
      <c r="P187" s="58">
        <v>1.0</v>
      </c>
      <c r="Q187" s="56" t="s">
        <v>547</v>
      </c>
      <c r="R187" s="59"/>
      <c r="S187" s="56" t="s">
        <v>5733</v>
      </c>
      <c r="T187" s="61" t="s">
        <v>373</v>
      </c>
      <c r="U187" s="58" t="s">
        <v>6270</v>
      </c>
      <c r="W187" s="55" t="b">
        <f t="shared" si="1"/>
        <v>0</v>
      </c>
    </row>
    <row r="188" ht="15.0" customHeight="1">
      <c r="A188" s="56" t="s">
        <v>3029</v>
      </c>
      <c r="B188" s="56" t="s">
        <v>3030</v>
      </c>
      <c r="C188" s="57" t="s">
        <v>3031</v>
      </c>
      <c r="D188" s="56" t="s">
        <v>6271</v>
      </c>
      <c r="E188" s="56" t="s">
        <v>368</v>
      </c>
      <c r="F188" s="56" t="s">
        <v>1553</v>
      </c>
      <c r="G188" s="56" t="s">
        <v>452</v>
      </c>
      <c r="H188" s="56" t="s">
        <v>390</v>
      </c>
      <c r="I188" s="62" t="s">
        <v>3730</v>
      </c>
      <c r="J188" s="59"/>
      <c r="K188" s="56" t="s">
        <v>399</v>
      </c>
      <c r="L188" s="56" t="s">
        <v>405</v>
      </c>
      <c r="M188" s="56" t="s">
        <v>513</v>
      </c>
      <c r="N188" s="56" t="s">
        <v>5716</v>
      </c>
      <c r="O188" s="58">
        <v>1.0</v>
      </c>
      <c r="P188" s="59"/>
      <c r="Q188" s="56" t="s">
        <v>2268</v>
      </c>
      <c r="R188" s="59"/>
      <c r="S188" s="56" t="s">
        <v>5717</v>
      </c>
      <c r="T188" s="61" t="s">
        <v>373</v>
      </c>
      <c r="U188" s="58" t="s">
        <v>6272</v>
      </c>
      <c r="W188" s="55" t="b">
        <f t="shared" si="1"/>
        <v>1</v>
      </c>
    </row>
    <row r="189" ht="15.0" customHeight="1">
      <c r="A189" s="56" t="s">
        <v>4892</v>
      </c>
      <c r="B189" s="56" t="s">
        <v>3039</v>
      </c>
      <c r="C189" s="57" t="s">
        <v>3040</v>
      </c>
      <c r="D189" s="58">
        <v>6.788441034E9</v>
      </c>
      <c r="E189" s="56" t="s">
        <v>368</v>
      </c>
      <c r="F189" s="56" t="s">
        <v>390</v>
      </c>
      <c r="G189" s="56" t="s">
        <v>452</v>
      </c>
      <c r="H189" s="56" t="s">
        <v>2291</v>
      </c>
      <c r="I189" s="56" t="s">
        <v>2931</v>
      </c>
      <c r="J189" s="56" t="s">
        <v>1553</v>
      </c>
      <c r="K189" s="56" t="s">
        <v>379</v>
      </c>
      <c r="L189" s="56" t="s">
        <v>412</v>
      </c>
      <c r="M189" s="56" t="s">
        <v>366</v>
      </c>
      <c r="N189" s="62" t="s">
        <v>5720</v>
      </c>
      <c r="O189" s="59"/>
      <c r="P189" s="59"/>
      <c r="Q189" s="56" t="s">
        <v>6273</v>
      </c>
      <c r="R189" s="59"/>
      <c r="S189" s="56" t="s">
        <v>5722</v>
      </c>
      <c r="T189" s="61" t="s">
        <v>394</v>
      </c>
      <c r="U189" s="58" t="s">
        <v>6274</v>
      </c>
      <c r="W189" s="55" t="b">
        <f t="shared" si="1"/>
        <v>0</v>
      </c>
    </row>
    <row r="190" ht="15.0" customHeight="1">
      <c r="A190" s="56" t="s">
        <v>1058</v>
      </c>
      <c r="B190" s="56" t="s">
        <v>3043</v>
      </c>
      <c r="C190" s="57" t="s">
        <v>3044</v>
      </c>
      <c r="D190" s="58">
        <v>5.419055625E9</v>
      </c>
      <c r="E190" s="56" t="s">
        <v>368</v>
      </c>
      <c r="F190" s="56" t="s">
        <v>459</v>
      </c>
      <c r="G190" s="56" t="s">
        <v>390</v>
      </c>
      <c r="H190" s="56" t="s">
        <v>452</v>
      </c>
      <c r="I190" s="56" t="s">
        <v>2291</v>
      </c>
      <c r="J190" s="56" t="s">
        <v>1598</v>
      </c>
      <c r="K190" s="56" t="s">
        <v>379</v>
      </c>
      <c r="L190" s="56" t="s">
        <v>365</v>
      </c>
      <c r="M190" s="56" t="s">
        <v>366</v>
      </c>
      <c r="N190" s="56" t="s">
        <v>381</v>
      </c>
      <c r="O190" s="58">
        <v>2.0</v>
      </c>
      <c r="P190" s="58">
        <v>2.0</v>
      </c>
      <c r="Q190" s="56" t="s">
        <v>3064</v>
      </c>
      <c r="R190" s="59"/>
      <c r="S190" s="56" t="s">
        <v>5733</v>
      </c>
      <c r="T190" s="61" t="s">
        <v>394</v>
      </c>
      <c r="U190" s="58" t="s">
        <v>6275</v>
      </c>
      <c r="W190" s="55" t="b">
        <f t="shared" si="1"/>
        <v>0</v>
      </c>
    </row>
    <row r="191" ht="15.0" customHeight="1">
      <c r="A191" s="56" t="s">
        <v>6276</v>
      </c>
      <c r="B191" s="56" t="s">
        <v>6277</v>
      </c>
      <c r="C191" s="57" t="s">
        <v>6278</v>
      </c>
      <c r="D191" s="56" t="s">
        <v>6279</v>
      </c>
      <c r="E191" s="56" t="s">
        <v>368</v>
      </c>
      <c r="F191" s="56" t="s">
        <v>2286</v>
      </c>
      <c r="G191" s="56" t="s">
        <v>5719</v>
      </c>
      <c r="H191" s="62" t="s">
        <v>1789</v>
      </c>
      <c r="I191" s="59"/>
      <c r="J191" s="59"/>
      <c r="K191" s="56" t="s">
        <v>399</v>
      </c>
      <c r="L191" s="56" t="s">
        <v>380</v>
      </c>
      <c r="M191" s="56" t="s">
        <v>366</v>
      </c>
      <c r="N191" s="62" t="s">
        <v>5716</v>
      </c>
      <c r="O191" s="59"/>
      <c r="P191" s="59"/>
      <c r="Q191" s="56" t="s">
        <v>4856</v>
      </c>
      <c r="R191" s="59"/>
      <c r="S191" s="56" t="s">
        <v>5717</v>
      </c>
      <c r="T191" s="61" t="s">
        <v>373</v>
      </c>
      <c r="U191" s="58" t="s">
        <v>6280</v>
      </c>
      <c r="W191" s="55" t="b">
        <f t="shared" si="1"/>
        <v>0</v>
      </c>
    </row>
    <row r="192" ht="15.0" customHeight="1">
      <c r="A192" s="56" t="s">
        <v>6281</v>
      </c>
      <c r="B192" s="56" t="s">
        <v>3055</v>
      </c>
      <c r="C192" s="57" t="s">
        <v>3056</v>
      </c>
      <c r="D192" s="56" t="s">
        <v>6282</v>
      </c>
      <c r="E192" s="56" t="s">
        <v>368</v>
      </c>
      <c r="F192" s="62" t="s">
        <v>2286</v>
      </c>
      <c r="G192" s="59"/>
      <c r="H192" s="59"/>
      <c r="I192" s="59"/>
      <c r="J192" s="59"/>
      <c r="K192" s="56" t="s">
        <v>379</v>
      </c>
      <c r="L192" s="56" t="s">
        <v>365</v>
      </c>
      <c r="M192" s="56" t="s">
        <v>413</v>
      </c>
      <c r="N192" s="62" t="s">
        <v>5770</v>
      </c>
      <c r="O192" s="59"/>
      <c r="P192" s="59"/>
      <c r="Q192" s="56" t="s">
        <v>1007</v>
      </c>
      <c r="R192" s="59"/>
      <c r="S192" s="56" t="s">
        <v>5722</v>
      </c>
      <c r="T192" s="61" t="s">
        <v>373</v>
      </c>
      <c r="U192" s="58" t="s">
        <v>6283</v>
      </c>
      <c r="W192" s="55" t="b">
        <f t="shared" si="1"/>
        <v>0</v>
      </c>
    </row>
    <row r="193" ht="15.0" customHeight="1">
      <c r="A193" s="56" t="s">
        <v>128</v>
      </c>
      <c r="B193" s="56" t="s">
        <v>6284</v>
      </c>
      <c r="C193" s="57" t="s">
        <v>6285</v>
      </c>
      <c r="D193" s="56" t="s">
        <v>6286</v>
      </c>
      <c r="E193" s="56" t="s">
        <v>368</v>
      </c>
      <c r="F193" s="56" t="s">
        <v>390</v>
      </c>
      <c r="G193" s="56" t="s">
        <v>421</v>
      </c>
      <c r="H193" s="56" t="s">
        <v>410</v>
      </c>
      <c r="I193" s="56" t="s">
        <v>2291</v>
      </c>
      <c r="J193" s="56" t="s">
        <v>459</v>
      </c>
      <c r="K193" s="56" t="s">
        <v>379</v>
      </c>
      <c r="L193" s="56" t="s">
        <v>822</v>
      </c>
      <c r="M193" s="56" t="s">
        <v>413</v>
      </c>
      <c r="N193" s="62" t="s">
        <v>497</v>
      </c>
      <c r="O193" s="59"/>
      <c r="P193" s="59"/>
      <c r="Q193" s="56" t="s">
        <v>4890</v>
      </c>
      <c r="R193" s="59"/>
      <c r="S193" s="56" t="s">
        <v>5733</v>
      </c>
      <c r="T193" s="61" t="s">
        <v>373</v>
      </c>
      <c r="U193" s="58" t="s">
        <v>6287</v>
      </c>
      <c r="W193" s="55" t="b">
        <f t="shared" si="1"/>
        <v>0</v>
      </c>
    </row>
    <row r="194" ht="15.0" customHeight="1">
      <c r="A194" s="56" t="s">
        <v>129</v>
      </c>
      <c r="B194" s="56" t="s">
        <v>1072</v>
      </c>
      <c r="C194" s="57" t="s">
        <v>1073</v>
      </c>
      <c r="D194" s="56" t="s">
        <v>1074</v>
      </c>
      <c r="E194" s="56" t="s">
        <v>368</v>
      </c>
      <c r="F194" s="56" t="s">
        <v>410</v>
      </c>
      <c r="G194" s="56" t="s">
        <v>2286</v>
      </c>
      <c r="H194" s="56" t="s">
        <v>390</v>
      </c>
      <c r="I194" s="56" t="s">
        <v>452</v>
      </c>
      <c r="J194" s="56" t="s">
        <v>459</v>
      </c>
      <c r="K194" s="56" t="s">
        <v>364</v>
      </c>
      <c r="L194" s="56" t="s">
        <v>365</v>
      </c>
      <c r="M194" s="56" t="s">
        <v>1822</v>
      </c>
      <c r="N194" s="62" t="s">
        <v>483</v>
      </c>
      <c r="O194" s="59"/>
      <c r="P194" s="59"/>
      <c r="Q194" s="56" t="s">
        <v>1773</v>
      </c>
      <c r="R194" s="59"/>
      <c r="S194" s="56" t="s">
        <v>5733</v>
      </c>
      <c r="T194" s="61" t="s">
        <v>373</v>
      </c>
      <c r="U194" s="58" t="s">
        <v>6010</v>
      </c>
      <c r="W194" s="55" t="b">
        <f t="shared" si="1"/>
        <v>0</v>
      </c>
    </row>
    <row r="195" ht="15.0" customHeight="1">
      <c r="A195" s="56" t="s">
        <v>3073</v>
      </c>
      <c r="B195" s="56" t="s">
        <v>3074</v>
      </c>
      <c r="C195" s="57" t="s">
        <v>3075</v>
      </c>
      <c r="D195" s="56" t="s">
        <v>6288</v>
      </c>
      <c r="E195" s="56" t="s">
        <v>368</v>
      </c>
      <c r="F195" s="56" t="s">
        <v>2286</v>
      </c>
      <c r="G195" s="56" t="s">
        <v>452</v>
      </c>
      <c r="H195" s="56" t="s">
        <v>390</v>
      </c>
      <c r="I195" s="56" t="s">
        <v>2291</v>
      </c>
      <c r="J195" s="56" t="s">
        <v>410</v>
      </c>
      <c r="K195" s="56" t="s">
        <v>379</v>
      </c>
      <c r="L195" s="56" t="s">
        <v>365</v>
      </c>
      <c r="M195" s="56" t="s">
        <v>413</v>
      </c>
      <c r="N195" s="56" t="s">
        <v>5946</v>
      </c>
      <c r="O195" s="58">
        <v>1.0</v>
      </c>
      <c r="P195" s="59"/>
      <c r="Q195" s="56" t="s">
        <v>1282</v>
      </c>
      <c r="R195" s="59"/>
      <c r="S195" s="56" t="s">
        <v>5717</v>
      </c>
      <c r="T195" s="61" t="s">
        <v>373</v>
      </c>
      <c r="U195" s="58" t="s">
        <v>6289</v>
      </c>
      <c r="W195" s="55" t="b">
        <f t="shared" si="1"/>
        <v>0</v>
      </c>
    </row>
    <row r="196" ht="15.0" customHeight="1">
      <c r="A196" s="56" t="s">
        <v>131</v>
      </c>
      <c r="B196" s="56" t="s">
        <v>3090</v>
      </c>
      <c r="C196" s="57" t="s">
        <v>3091</v>
      </c>
      <c r="D196" s="58">
        <v>8.177524014E9</v>
      </c>
      <c r="E196" s="56" t="s">
        <v>368</v>
      </c>
      <c r="F196" s="56" t="s">
        <v>2286</v>
      </c>
      <c r="G196" s="56" t="s">
        <v>1789</v>
      </c>
      <c r="H196" s="56" t="s">
        <v>452</v>
      </c>
      <c r="I196" s="56" t="s">
        <v>675</v>
      </c>
      <c r="J196" s="56" t="s">
        <v>390</v>
      </c>
      <c r="K196" s="56" t="s">
        <v>364</v>
      </c>
      <c r="L196" s="56" t="s">
        <v>365</v>
      </c>
      <c r="M196" s="56" t="s">
        <v>513</v>
      </c>
      <c r="N196" s="62" t="s">
        <v>497</v>
      </c>
      <c r="O196" s="59"/>
      <c r="P196" s="59"/>
      <c r="Q196" s="56" t="s">
        <v>6290</v>
      </c>
      <c r="R196" s="59"/>
      <c r="S196" s="56" t="s">
        <v>5733</v>
      </c>
      <c r="T196" s="61" t="s">
        <v>373</v>
      </c>
      <c r="U196" s="58" t="s">
        <v>6069</v>
      </c>
      <c r="W196" s="55" t="b">
        <f t="shared" si="1"/>
        <v>1</v>
      </c>
    </row>
    <row r="197" ht="15.0" customHeight="1">
      <c r="A197" s="56" t="s">
        <v>4898</v>
      </c>
      <c r="B197" s="56" t="s">
        <v>4899</v>
      </c>
      <c r="C197" s="57" t="s">
        <v>6291</v>
      </c>
      <c r="D197" s="58">
        <v>8.105990254E9</v>
      </c>
      <c r="E197" s="56" t="s">
        <v>368</v>
      </c>
      <c r="F197" s="56" t="s">
        <v>1598</v>
      </c>
      <c r="G197" s="56" t="s">
        <v>421</v>
      </c>
      <c r="H197" s="56" t="s">
        <v>390</v>
      </c>
      <c r="I197" s="62" t="s">
        <v>716</v>
      </c>
      <c r="J197" s="59"/>
      <c r="K197" s="56" t="s">
        <v>364</v>
      </c>
      <c r="L197" s="56" t="s">
        <v>365</v>
      </c>
      <c r="M197" s="56" t="s">
        <v>366</v>
      </c>
      <c r="N197" s="56" t="s">
        <v>381</v>
      </c>
      <c r="O197" s="58">
        <v>2.0</v>
      </c>
      <c r="P197" s="58">
        <v>2.0</v>
      </c>
      <c r="Q197" s="59"/>
      <c r="R197" s="59"/>
      <c r="S197" s="56" t="s">
        <v>5733</v>
      </c>
      <c r="T197" s="61" t="s">
        <v>394</v>
      </c>
      <c r="U197" s="58" t="s">
        <v>6292</v>
      </c>
      <c r="W197" s="55" t="b">
        <f t="shared" si="1"/>
        <v>0</v>
      </c>
    </row>
    <row r="198" ht="15.0" customHeight="1">
      <c r="A198" s="56" t="s">
        <v>132</v>
      </c>
      <c r="B198" s="56" t="s">
        <v>3101</v>
      </c>
      <c r="C198" s="57" t="s">
        <v>3102</v>
      </c>
      <c r="D198" s="58">
        <v>5.865650801E9</v>
      </c>
      <c r="E198" s="56" t="s">
        <v>368</v>
      </c>
      <c r="F198" s="56" t="s">
        <v>2286</v>
      </c>
      <c r="G198" s="56" t="s">
        <v>716</v>
      </c>
      <c r="H198" s="56" t="s">
        <v>390</v>
      </c>
      <c r="I198" s="56" t="s">
        <v>452</v>
      </c>
      <c r="J198" s="56" t="s">
        <v>675</v>
      </c>
      <c r="K198" s="56" t="s">
        <v>379</v>
      </c>
      <c r="L198" s="56" t="s">
        <v>365</v>
      </c>
      <c r="M198" s="56" t="s">
        <v>366</v>
      </c>
      <c r="N198" s="62" t="s">
        <v>5720</v>
      </c>
      <c r="O198" s="59"/>
      <c r="P198" s="59"/>
      <c r="Q198" s="56" t="s">
        <v>2340</v>
      </c>
      <c r="R198" s="59"/>
      <c r="S198" s="56" t="s">
        <v>5722</v>
      </c>
      <c r="T198" s="61" t="s">
        <v>373</v>
      </c>
      <c r="U198" s="58" t="s">
        <v>6293</v>
      </c>
      <c r="W198" s="55" t="b">
        <f t="shared" si="1"/>
        <v>0</v>
      </c>
    </row>
    <row r="199" ht="15.0" customHeight="1">
      <c r="A199" s="56" t="s">
        <v>6294</v>
      </c>
      <c r="B199" s="56" t="s">
        <v>6295</v>
      </c>
      <c r="C199" s="57" t="s">
        <v>6296</v>
      </c>
      <c r="D199" s="58">
        <v>7.138852092E9</v>
      </c>
      <c r="E199" s="56" t="s">
        <v>368</v>
      </c>
      <c r="F199" s="56" t="s">
        <v>2286</v>
      </c>
      <c r="G199" s="62" t="s">
        <v>877</v>
      </c>
      <c r="H199" s="59"/>
      <c r="I199" s="59"/>
      <c r="J199" s="59"/>
      <c r="K199" s="56" t="s">
        <v>399</v>
      </c>
      <c r="L199" s="56" t="s">
        <v>380</v>
      </c>
      <c r="M199" s="56" t="s">
        <v>513</v>
      </c>
      <c r="N199" s="62" t="s">
        <v>5716</v>
      </c>
      <c r="O199" s="59"/>
      <c r="P199" s="59"/>
      <c r="Q199" s="59"/>
      <c r="R199" s="59"/>
      <c r="S199" s="56" t="s">
        <v>5717</v>
      </c>
      <c r="T199" s="61" t="s">
        <v>394</v>
      </c>
      <c r="U199" s="58" t="s">
        <v>6297</v>
      </c>
      <c r="W199" s="55" t="b">
        <f t="shared" si="1"/>
        <v>1</v>
      </c>
    </row>
    <row r="200" ht="15.0" customHeight="1">
      <c r="A200" s="56" t="s">
        <v>6298</v>
      </c>
      <c r="B200" s="56" t="s">
        <v>359</v>
      </c>
      <c r="C200" s="57" t="s">
        <v>360</v>
      </c>
      <c r="D200" s="58">
        <v>9.722026317E9</v>
      </c>
      <c r="E200" s="56" t="s">
        <v>368</v>
      </c>
      <c r="F200" s="56" t="s">
        <v>5715</v>
      </c>
      <c r="G200" s="56" t="s">
        <v>362</v>
      </c>
      <c r="H200" s="62" t="s">
        <v>452</v>
      </c>
      <c r="I200" s="59"/>
      <c r="J200" s="59"/>
      <c r="K200" s="56" t="s">
        <v>364</v>
      </c>
      <c r="L200" s="56" t="s">
        <v>412</v>
      </c>
      <c r="M200" s="56" t="s">
        <v>513</v>
      </c>
      <c r="N200" s="56" t="s">
        <v>5716</v>
      </c>
      <c r="O200" s="58">
        <v>0.0</v>
      </c>
      <c r="P200" s="58">
        <v>0.0</v>
      </c>
      <c r="Q200" s="56" t="s">
        <v>785</v>
      </c>
      <c r="R200" s="59"/>
      <c r="S200" s="56" t="s">
        <v>5722</v>
      </c>
      <c r="T200" s="61" t="s">
        <v>373</v>
      </c>
      <c r="U200" s="58" t="s">
        <v>6299</v>
      </c>
      <c r="W200" s="55" t="b">
        <f t="shared" si="1"/>
        <v>1</v>
      </c>
    </row>
    <row r="201" ht="15.0" customHeight="1">
      <c r="A201" s="56" t="s">
        <v>6300</v>
      </c>
      <c r="B201" s="56" t="s">
        <v>6301</v>
      </c>
      <c r="C201" s="57" t="s">
        <v>6302</v>
      </c>
      <c r="D201" s="56" t="s">
        <v>6303</v>
      </c>
      <c r="E201" s="56" t="s">
        <v>368</v>
      </c>
      <c r="F201" s="56" t="s">
        <v>362</v>
      </c>
      <c r="G201" s="56" t="s">
        <v>3730</v>
      </c>
      <c r="H201" s="62" t="s">
        <v>5715</v>
      </c>
      <c r="I201" s="59"/>
      <c r="J201" s="59"/>
      <c r="K201" s="56" t="s">
        <v>364</v>
      </c>
      <c r="L201" s="56" t="s">
        <v>412</v>
      </c>
      <c r="M201" s="56" t="s">
        <v>366</v>
      </c>
      <c r="N201" s="62" t="s">
        <v>5724</v>
      </c>
      <c r="O201" s="59"/>
      <c r="P201" s="59"/>
      <c r="Q201" s="56" t="s">
        <v>6304</v>
      </c>
      <c r="R201" s="59"/>
      <c r="S201" s="56" t="s">
        <v>5717</v>
      </c>
      <c r="T201" s="61" t="s">
        <v>373</v>
      </c>
      <c r="U201" s="58" t="s">
        <v>6305</v>
      </c>
      <c r="W201" s="55" t="b">
        <f t="shared" si="1"/>
        <v>0</v>
      </c>
    </row>
    <row r="202" ht="15.0" customHeight="1">
      <c r="A202" s="56" t="s">
        <v>133</v>
      </c>
      <c r="B202" s="56" t="s">
        <v>6306</v>
      </c>
      <c r="C202" s="57" t="s">
        <v>1106</v>
      </c>
      <c r="D202" s="58">
        <v>9.735312836E9</v>
      </c>
      <c r="E202" s="56" t="s">
        <v>368</v>
      </c>
      <c r="F202" s="56" t="s">
        <v>390</v>
      </c>
      <c r="G202" s="56" t="s">
        <v>452</v>
      </c>
      <c r="H202" s="56" t="s">
        <v>410</v>
      </c>
      <c r="I202" s="56" t="s">
        <v>2291</v>
      </c>
      <c r="J202" s="56" t="s">
        <v>421</v>
      </c>
      <c r="K202" s="56" t="s">
        <v>364</v>
      </c>
      <c r="L202" s="56" t="s">
        <v>822</v>
      </c>
      <c r="M202" s="56" t="s">
        <v>366</v>
      </c>
      <c r="N202" s="62" t="s">
        <v>381</v>
      </c>
      <c r="O202" s="59"/>
      <c r="P202" s="58">
        <v>2.0</v>
      </c>
      <c r="Q202" s="56" t="s">
        <v>1898</v>
      </c>
      <c r="R202" s="59"/>
      <c r="S202" s="56" t="s">
        <v>5733</v>
      </c>
      <c r="T202" s="61" t="s">
        <v>373</v>
      </c>
      <c r="U202" s="58" t="s">
        <v>6307</v>
      </c>
      <c r="W202" s="55" t="b">
        <f t="shared" si="1"/>
        <v>0</v>
      </c>
    </row>
    <row r="203" ht="15.0" customHeight="1">
      <c r="A203" s="56" t="s">
        <v>3114</v>
      </c>
      <c r="B203" s="56" t="s">
        <v>3115</v>
      </c>
      <c r="C203" s="57" t="s">
        <v>3116</v>
      </c>
      <c r="D203" s="56" t="s">
        <v>6308</v>
      </c>
      <c r="E203" s="56" t="s">
        <v>368</v>
      </c>
      <c r="F203" s="56" t="s">
        <v>459</v>
      </c>
      <c r="G203" s="56" t="s">
        <v>362</v>
      </c>
      <c r="H203" s="56" t="s">
        <v>5715</v>
      </c>
      <c r="I203" s="56" t="s">
        <v>452</v>
      </c>
      <c r="J203" s="56" t="s">
        <v>390</v>
      </c>
      <c r="K203" s="56" t="s">
        <v>364</v>
      </c>
      <c r="L203" s="56" t="s">
        <v>365</v>
      </c>
      <c r="M203" s="56" t="s">
        <v>413</v>
      </c>
      <c r="N203" s="62" t="s">
        <v>5724</v>
      </c>
      <c r="O203" s="59"/>
      <c r="P203" s="59"/>
      <c r="Q203" s="56" t="s">
        <v>3117</v>
      </c>
      <c r="R203" s="59"/>
      <c r="S203" s="56" t="s">
        <v>5717</v>
      </c>
      <c r="T203" s="61" t="s">
        <v>373</v>
      </c>
      <c r="U203" s="58" t="s">
        <v>6309</v>
      </c>
      <c r="W203" s="55" t="b">
        <f t="shared" si="1"/>
        <v>0</v>
      </c>
    </row>
    <row r="204" ht="15.0" customHeight="1">
      <c r="A204" s="56" t="s">
        <v>6310</v>
      </c>
      <c r="B204" s="56" t="s">
        <v>6311</v>
      </c>
      <c r="C204" s="57" t="s">
        <v>6312</v>
      </c>
      <c r="D204" s="58">
        <v>7.048043221E9</v>
      </c>
      <c r="E204" s="56" t="s">
        <v>368</v>
      </c>
      <c r="F204" s="56" t="s">
        <v>2286</v>
      </c>
      <c r="G204" s="62" t="s">
        <v>390</v>
      </c>
      <c r="H204" s="59"/>
      <c r="I204" s="59"/>
      <c r="J204" s="59"/>
      <c r="K204" s="56" t="s">
        <v>379</v>
      </c>
      <c r="L204" s="56" t="s">
        <v>380</v>
      </c>
      <c r="M204" s="56" t="s">
        <v>413</v>
      </c>
      <c r="N204" s="56" t="s">
        <v>381</v>
      </c>
      <c r="O204" s="58">
        <v>0.0</v>
      </c>
      <c r="P204" s="59"/>
      <c r="Q204" s="59"/>
      <c r="R204" s="59"/>
      <c r="S204" s="56" t="s">
        <v>5733</v>
      </c>
      <c r="T204" s="61" t="s">
        <v>394</v>
      </c>
      <c r="U204" s="58" t="s">
        <v>6313</v>
      </c>
      <c r="W204" s="55" t="b">
        <f t="shared" si="1"/>
        <v>0</v>
      </c>
    </row>
    <row r="205" ht="15.0" customHeight="1">
      <c r="A205" s="56" t="s">
        <v>4916</v>
      </c>
      <c r="B205" s="56" t="s">
        <v>6314</v>
      </c>
      <c r="C205" s="57" t="s">
        <v>4918</v>
      </c>
      <c r="D205" s="56" t="s">
        <v>6315</v>
      </c>
      <c r="E205" s="56" t="s">
        <v>368</v>
      </c>
      <c r="F205" s="56" t="s">
        <v>390</v>
      </c>
      <c r="G205" s="56" t="s">
        <v>1553</v>
      </c>
      <c r="H205" s="56" t="s">
        <v>452</v>
      </c>
      <c r="I205" s="56" t="s">
        <v>2291</v>
      </c>
      <c r="J205" s="56" t="s">
        <v>410</v>
      </c>
      <c r="K205" s="56" t="s">
        <v>364</v>
      </c>
      <c r="L205" s="56" t="s">
        <v>412</v>
      </c>
      <c r="M205" s="56" t="s">
        <v>413</v>
      </c>
      <c r="N205" s="62" t="s">
        <v>5720</v>
      </c>
      <c r="O205" s="59"/>
      <c r="P205" s="59"/>
      <c r="Q205" s="56" t="s">
        <v>816</v>
      </c>
      <c r="R205" s="59"/>
      <c r="S205" s="56" t="s">
        <v>5722</v>
      </c>
      <c r="T205" s="61" t="s">
        <v>373</v>
      </c>
      <c r="U205" s="58" t="s">
        <v>6287</v>
      </c>
      <c r="W205" s="55" t="b">
        <f t="shared" si="1"/>
        <v>0</v>
      </c>
    </row>
    <row r="206" ht="15.0" customHeight="1">
      <c r="A206" s="56" t="s">
        <v>134</v>
      </c>
      <c r="B206" s="56" t="s">
        <v>6316</v>
      </c>
      <c r="C206" s="57" t="s">
        <v>6317</v>
      </c>
      <c r="D206" s="58">
        <v>9.135778496E9</v>
      </c>
      <c r="E206" s="56" t="s">
        <v>368</v>
      </c>
      <c r="F206" s="56" t="s">
        <v>2286</v>
      </c>
      <c r="G206" s="56" t="s">
        <v>877</v>
      </c>
      <c r="H206" s="62" t="s">
        <v>675</v>
      </c>
      <c r="I206" s="59"/>
      <c r="J206" s="59"/>
      <c r="K206" s="56" t="s">
        <v>364</v>
      </c>
      <c r="L206" s="56" t="s">
        <v>365</v>
      </c>
      <c r="M206" s="56" t="s">
        <v>5925</v>
      </c>
      <c r="N206" s="62" t="s">
        <v>5716</v>
      </c>
      <c r="O206" s="59"/>
      <c r="P206" s="59"/>
      <c r="Q206" s="56" t="s">
        <v>2329</v>
      </c>
      <c r="R206" s="59"/>
      <c r="S206" s="56" t="s">
        <v>5717</v>
      </c>
      <c r="T206" s="61" t="s">
        <v>373</v>
      </c>
      <c r="U206" s="58" t="s">
        <v>5790</v>
      </c>
      <c r="W206" s="55" t="b">
        <f t="shared" si="1"/>
        <v>0</v>
      </c>
    </row>
    <row r="207" ht="15.0" customHeight="1">
      <c r="A207" s="56" t="s">
        <v>135</v>
      </c>
      <c r="B207" s="56" t="s">
        <v>1139</v>
      </c>
      <c r="C207" s="57" t="s">
        <v>6318</v>
      </c>
      <c r="D207" s="56" t="s">
        <v>4929</v>
      </c>
      <c r="E207" s="56" t="s">
        <v>368</v>
      </c>
      <c r="F207" s="56" t="s">
        <v>452</v>
      </c>
      <c r="G207" s="56" t="s">
        <v>390</v>
      </c>
      <c r="H207" s="56" t="s">
        <v>877</v>
      </c>
      <c r="I207" s="56" t="s">
        <v>2291</v>
      </c>
      <c r="J207" s="56" t="s">
        <v>5715</v>
      </c>
      <c r="K207" s="56" t="s">
        <v>364</v>
      </c>
      <c r="L207" s="56" t="s">
        <v>380</v>
      </c>
      <c r="M207" s="56" t="s">
        <v>413</v>
      </c>
      <c r="N207" s="56" t="s">
        <v>5716</v>
      </c>
      <c r="O207" s="58">
        <v>1.0</v>
      </c>
      <c r="P207" s="58">
        <v>1.0</v>
      </c>
      <c r="Q207" s="56" t="s">
        <v>2660</v>
      </c>
      <c r="R207" s="59"/>
      <c r="S207" s="56" t="s">
        <v>5717</v>
      </c>
      <c r="T207" s="61" t="s">
        <v>373</v>
      </c>
      <c r="U207" s="58" t="s">
        <v>6319</v>
      </c>
      <c r="W207" s="55" t="b">
        <f t="shared" si="1"/>
        <v>0</v>
      </c>
    </row>
    <row r="208" ht="15.0" customHeight="1">
      <c r="A208" s="56" t="s">
        <v>3144</v>
      </c>
      <c r="B208" s="56" t="s">
        <v>3145</v>
      </c>
      <c r="C208" s="57" t="s">
        <v>3146</v>
      </c>
      <c r="D208" s="56" t="s">
        <v>6320</v>
      </c>
      <c r="E208" s="56" t="s">
        <v>368</v>
      </c>
      <c r="F208" s="56" t="s">
        <v>459</v>
      </c>
      <c r="G208" s="56" t="s">
        <v>452</v>
      </c>
      <c r="H208" s="62" t="s">
        <v>362</v>
      </c>
      <c r="I208" s="59"/>
      <c r="J208" s="59"/>
      <c r="K208" s="56" t="s">
        <v>379</v>
      </c>
      <c r="L208" s="56" t="s">
        <v>365</v>
      </c>
      <c r="M208" s="56" t="s">
        <v>366</v>
      </c>
      <c r="N208" s="62" t="s">
        <v>5946</v>
      </c>
      <c r="O208" s="59"/>
      <c r="P208" s="59"/>
      <c r="Q208" s="56" t="s">
        <v>3965</v>
      </c>
      <c r="R208" s="59"/>
      <c r="S208" s="56" t="s">
        <v>5717</v>
      </c>
      <c r="T208" s="61" t="s">
        <v>373</v>
      </c>
      <c r="U208" s="58" t="s">
        <v>6321</v>
      </c>
      <c r="W208" s="55" t="b">
        <f t="shared" si="1"/>
        <v>0</v>
      </c>
    </row>
    <row r="209" ht="15.0" customHeight="1">
      <c r="A209" s="56" t="s">
        <v>6322</v>
      </c>
      <c r="B209" s="56" t="s">
        <v>6323</v>
      </c>
      <c r="C209" s="57" t="s">
        <v>6324</v>
      </c>
      <c r="D209" s="58">
        <v>9.362088267E9</v>
      </c>
      <c r="E209" s="56" t="s">
        <v>368</v>
      </c>
      <c r="F209" s="56" t="s">
        <v>390</v>
      </c>
      <c r="G209" s="56" t="s">
        <v>421</v>
      </c>
      <c r="H209" s="62" t="s">
        <v>716</v>
      </c>
      <c r="I209" s="59"/>
      <c r="J209" s="59"/>
      <c r="K209" s="56" t="s">
        <v>379</v>
      </c>
      <c r="L209" s="56" t="s">
        <v>412</v>
      </c>
      <c r="M209" s="56" t="s">
        <v>413</v>
      </c>
      <c r="N209" s="62" t="s">
        <v>483</v>
      </c>
      <c r="O209" s="59"/>
      <c r="P209" s="59"/>
      <c r="Q209" s="56" t="s">
        <v>6325</v>
      </c>
      <c r="R209" s="59"/>
      <c r="S209" s="56" t="s">
        <v>5733</v>
      </c>
      <c r="T209" s="61" t="s">
        <v>373</v>
      </c>
      <c r="U209" s="58" t="s">
        <v>6326</v>
      </c>
      <c r="W209" s="55" t="b">
        <f t="shared" si="1"/>
        <v>0</v>
      </c>
    </row>
    <row r="210" ht="15.0" customHeight="1">
      <c r="A210" s="56" t="s">
        <v>6322</v>
      </c>
      <c r="B210" s="56" t="s">
        <v>6327</v>
      </c>
      <c r="C210" s="57" t="s">
        <v>6328</v>
      </c>
      <c r="D210" s="56" t="s">
        <v>6329</v>
      </c>
      <c r="E210" s="56" t="s">
        <v>368</v>
      </c>
      <c r="F210" s="56" t="s">
        <v>452</v>
      </c>
      <c r="G210" s="56" t="s">
        <v>2291</v>
      </c>
      <c r="H210" s="62" t="s">
        <v>390</v>
      </c>
      <c r="I210" s="59"/>
      <c r="J210" s="59"/>
      <c r="K210" s="56" t="s">
        <v>379</v>
      </c>
      <c r="L210" s="56" t="s">
        <v>380</v>
      </c>
      <c r="M210" s="56" t="s">
        <v>413</v>
      </c>
      <c r="N210" s="56" t="s">
        <v>5716</v>
      </c>
      <c r="O210" s="58">
        <v>1.0</v>
      </c>
      <c r="P210" s="59"/>
      <c r="Q210" s="59"/>
      <c r="R210" s="59"/>
      <c r="S210" s="56" t="s">
        <v>5717</v>
      </c>
      <c r="T210" s="61" t="s">
        <v>394</v>
      </c>
      <c r="U210" s="58" t="s">
        <v>6330</v>
      </c>
      <c r="W210" s="55" t="b">
        <f t="shared" si="1"/>
        <v>0</v>
      </c>
    </row>
    <row r="211" ht="15.0" customHeight="1">
      <c r="A211" s="56" t="s">
        <v>3150</v>
      </c>
      <c r="B211" s="56" t="s">
        <v>6331</v>
      </c>
      <c r="C211" s="57" t="s">
        <v>6332</v>
      </c>
      <c r="D211" s="58">
        <v>9.727797012E9</v>
      </c>
      <c r="E211" s="56" t="s">
        <v>368</v>
      </c>
      <c r="F211" s="56" t="s">
        <v>452</v>
      </c>
      <c r="G211" s="56" t="s">
        <v>390</v>
      </c>
      <c r="H211" s="56" t="s">
        <v>1598</v>
      </c>
      <c r="I211" s="62" t="s">
        <v>634</v>
      </c>
      <c r="J211" s="59"/>
      <c r="K211" s="56" t="s">
        <v>379</v>
      </c>
      <c r="L211" s="56" t="s">
        <v>365</v>
      </c>
      <c r="M211" s="56" t="s">
        <v>413</v>
      </c>
      <c r="N211" s="56" t="s">
        <v>381</v>
      </c>
      <c r="O211" s="58">
        <v>1.0</v>
      </c>
      <c r="P211" s="59"/>
      <c r="Q211" s="56" t="s">
        <v>1172</v>
      </c>
      <c r="R211" s="59"/>
      <c r="S211" s="56" t="s">
        <v>5733</v>
      </c>
      <c r="T211" s="61" t="s">
        <v>373</v>
      </c>
      <c r="U211" s="58" t="s">
        <v>6333</v>
      </c>
      <c r="W211" s="55" t="b">
        <f t="shared" si="1"/>
        <v>0</v>
      </c>
    </row>
    <row r="212" ht="15.0" customHeight="1">
      <c r="A212" s="56" t="s">
        <v>6334</v>
      </c>
      <c r="B212" s="56" t="s">
        <v>6335</v>
      </c>
      <c r="C212" s="57" t="s">
        <v>6336</v>
      </c>
      <c r="D212" s="58">
        <v>2.147364252E9</v>
      </c>
      <c r="E212" s="56" t="s">
        <v>368</v>
      </c>
      <c r="F212" s="56" t="s">
        <v>634</v>
      </c>
      <c r="G212" s="56" t="s">
        <v>390</v>
      </c>
      <c r="H212" s="56" t="s">
        <v>452</v>
      </c>
      <c r="I212" s="62" t="s">
        <v>2291</v>
      </c>
      <c r="J212" s="59"/>
      <c r="K212" s="56" t="s">
        <v>364</v>
      </c>
      <c r="L212" s="56" t="s">
        <v>412</v>
      </c>
      <c r="M212" s="56" t="s">
        <v>413</v>
      </c>
      <c r="N212" s="62" t="s">
        <v>381</v>
      </c>
      <c r="O212" s="59"/>
      <c r="P212" s="59"/>
      <c r="Q212" s="56" t="s">
        <v>19</v>
      </c>
      <c r="R212" s="59"/>
      <c r="S212" s="56" t="s">
        <v>5733</v>
      </c>
      <c r="T212" s="61" t="s">
        <v>373</v>
      </c>
      <c r="U212" s="58" t="s">
        <v>6337</v>
      </c>
      <c r="W212" s="55" t="b">
        <f t="shared" si="1"/>
        <v>0</v>
      </c>
    </row>
    <row r="213" ht="15.0" customHeight="1">
      <c r="A213" s="56" t="s">
        <v>3168</v>
      </c>
      <c r="B213" s="56" t="s">
        <v>6338</v>
      </c>
      <c r="C213" s="57" t="s">
        <v>6339</v>
      </c>
      <c r="D213" s="58">
        <v>8.027343273E9</v>
      </c>
      <c r="E213" s="56" t="s">
        <v>368</v>
      </c>
      <c r="F213" s="56" t="s">
        <v>452</v>
      </c>
      <c r="G213" s="56" t="s">
        <v>2931</v>
      </c>
      <c r="H213" s="56" t="s">
        <v>1598</v>
      </c>
      <c r="I213" s="56" t="s">
        <v>410</v>
      </c>
      <c r="J213" s="56" t="s">
        <v>2291</v>
      </c>
      <c r="K213" s="56" t="s">
        <v>364</v>
      </c>
      <c r="L213" s="56" t="s">
        <v>365</v>
      </c>
      <c r="M213" s="56" t="s">
        <v>366</v>
      </c>
      <c r="N213" s="62" t="s">
        <v>381</v>
      </c>
      <c r="O213" s="59"/>
      <c r="P213" s="59"/>
      <c r="Q213" s="56" t="s">
        <v>1056</v>
      </c>
      <c r="R213" s="59"/>
      <c r="S213" s="56" t="s">
        <v>5733</v>
      </c>
      <c r="T213" s="61" t="s">
        <v>373</v>
      </c>
      <c r="U213" s="58" t="s">
        <v>6340</v>
      </c>
      <c r="W213" s="55" t="b">
        <f t="shared" si="1"/>
        <v>0</v>
      </c>
    </row>
    <row r="214" ht="15.0" customHeight="1">
      <c r="A214" s="56" t="s">
        <v>136</v>
      </c>
      <c r="B214" s="56" t="s">
        <v>1149</v>
      </c>
      <c r="C214" s="57" t="s">
        <v>1150</v>
      </c>
      <c r="D214" s="56" t="s">
        <v>4936</v>
      </c>
      <c r="E214" s="56" t="s">
        <v>368</v>
      </c>
      <c r="F214" s="56" t="s">
        <v>2286</v>
      </c>
      <c r="G214" s="56" t="s">
        <v>877</v>
      </c>
      <c r="H214" s="56" t="s">
        <v>5719</v>
      </c>
      <c r="I214" s="62" t="s">
        <v>1789</v>
      </c>
      <c r="J214" s="59"/>
      <c r="K214" s="56" t="s">
        <v>379</v>
      </c>
      <c r="L214" s="56" t="s">
        <v>830</v>
      </c>
      <c r="M214" s="56" t="s">
        <v>413</v>
      </c>
      <c r="N214" s="62" t="s">
        <v>483</v>
      </c>
      <c r="O214" s="59"/>
      <c r="P214" s="59"/>
      <c r="Q214" s="56" t="s">
        <v>1200</v>
      </c>
      <c r="R214" s="59"/>
      <c r="S214" s="56" t="s">
        <v>5733</v>
      </c>
      <c r="T214" s="61" t="s">
        <v>373</v>
      </c>
      <c r="U214" s="58" t="s">
        <v>6341</v>
      </c>
      <c r="W214" s="55" t="b">
        <f t="shared" si="1"/>
        <v>0</v>
      </c>
    </row>
    <row r="215" ht="15.0" customHeight="1">
      <c r="A215" s="56" t="s">
        <v>3182</v>
      </c>
      <c r="B215" s="56" t="s">
        <v>3183</v>
      </c>
      <c r="C215" s="57" t="s">
        <v>3184</v>
      </c>
      <c r="D215" s="56" t="s">
        <v>6342</v>
      </c>
      <c r="E215" s="56" t="s">
        <v>368</v>
      </c>
      <c r="F215" s="62" t="s">
        <v>2286</v>
      </c>
      <c r="G215" s="59"/>
      <c r="H215" s="59"/>
      <c r="I215" s="59"/>
      <c r="J215" s="59"/>
      <c r="K215" s="56" t="s">
        <v>379</v>
      </c>
      <c r="L215" s="56" t="s">
        <v>365</v>
      </c>
      <c r="M215" s="56" t="s">
        <v>366</v>
      </c>
      <c r="N215" s="62" t="s">
        <v>5798</v>
      </c>
      <c r="O215" s="59"/>
      <c r="P215" s="59"/>
      <c r="Q215" s="56" t="s">
        <v>6343</v>
      </c>
      <c r="R215" s="59"/>
      <c r="S215" s="56" t="s">
        <v>5722</v>
      </c>
      <c r="T215" s="61" t="s">
        <v>373</v>
      </c>
      <c r="U215" s="58" t="s">
        <v>6344</v>
      </c>
      <c r="W215" s="55" t="b">
        <f t="shared" si="1"/>
        <v>0</v>
      </c>
    </row>
    <row r="216" ht="15.0" customHeight="1">
      <c r="A216" s="56" t="s">
        <v>3188</v>
      </c>
      <c r="B216" s="56" t="s">
        <v>6345</v>
      </c>
      <c r="C216" s="57" t="s">
        <v>6346</v>
      </c>
      <c r="D216" s="58">
        <v>4.699675235E9</v>
      </c>
      <c r="E216" s="56" t="s">
        <v>368</v>
      </c>
      <c r="F216" s="56" t="s">
        <v>2286</v>
      </c>
      <c r="G216" s="62" t="s">
        <v>1789</v>
      </c>
      <c r="H216" s="59"/>
      <c r="I216" s="62" t="s">
        <v>390</v>
      </c>
      <c r="J216" s="59"/>
      <c r="K216" s="56" t="s">
        <v>364</v>
      </c>
      <c r="L216" s="56" t="s">
        <v>365</v>
      </c>
      <c r="M216" s="56" t="s">
        <v>413</v>
      </c>
      <c r="N216" s="56" t="s">
        <v>5720</v>
      </c>
      <c r="O216" s="58">
        <v>2.0</v>
      </c>
      <c r="P216" s="59"/>
      <c r="Q216" s="56" t="s">
        <v>3699</v>
      </c>
      <c r="R216" s="59"/>
      <c r="S216" s="56" t="s">
        <v>5722</v>
      </c>
      <c r="T216" s="61" t="s">
        <v>373</v>
      </c>
      <c r="U216" s="58" t="s">
        <v>6347</v>
      </c>
      <c r="W216" s="55" t="b">
        <f t="shared" si="1"/>
        <v>0</v>
      </c>
    </row>
    <row r="217" ht="15.0" customHeight="1">
      <c r="A217" s="56" t="s">
        <v>6348</v>
      </c>
      <c r="B217" s="56" t="s">
        <v>1154</v>
      </c>
      <c r="C217" s="57" t="s">
        <v>6349</v>
      </c>
      <c r="D217" s="58">
        <v>5.124520371E9</v>
      </c>
      <c r="E217" s="56" t="s">
        <v>368</v>
      </c>
      <c r="F217" s="56" t="s">
        <v>2286</v>
      </c>
      <c r="G217" s="56" t="s">
        <v>1789</v>
      </c>
      <c r="H217" s="62" t="s">
        <v>1598</v>
      </c>
      <c r="I217" s="59"/>
      <c r="J217" s="59"/>
      <c r="K217" s="56" t="s">
        <v>364</v>
      </c>
      <c r="L217" s="56" t="s">
        <v>365</v>
      </c>
      <c r="M217" s="56" t="s">
        <v>366</v>
      </c>
      <c r="N217" s="62" t="s">
        <v>5770</v>
      </c>
      <c r="O217" s="59"/>
      <c r="P217" s="59"/>
      <c r="Q217" s="56" t="s">
        <v>1365</v>
      </c>
      <c r="R217" s="59"/>
      <c r="S217" s="56" t="s">
        <v>5722</v>
      </c>
      <c r="T217" s="61" t="s">
        <v>373</v>
      </c>
      <c r="U217" s="58" t="s">
        <v>6350</v>
      </c>
      <c r="W217" s="55" t="b">
        <f t="shared" si="1"/>
        <v>0</v>
      </c>
    </row>
    <row r="218" ht="15.0" customHeight="1">
      <c r="A218" s="56" t="s">
        <v>137</v>
      </c>
      <c r="B218" s="56" t="s">
        <v>3195</v>
      </c>
      <c r="C218" s="57" t="s">
        <v>3196</v>
      </c>
      <c r="D218" s="56" t="s">
        <v>6351</v>
      </c>
      <c r="E218" s="56" t="s">
        <v>368</v>
      </c>
      <c r="F218" s="56" t="s">
        <v>877</v>
      </c>
      <c r="G218" s="56" t="s">
        <v>2286</v>
      </c>
      <c r="H218" s="62" t="s">
        <v>390</v>
      </c>
      <c r="I218" s="59"/>
      <c r="J218" s="59"/>
      <c r="K218" s="56" t="s">
        <v>364</v>
      </c>
      <c r="L218" s="56" t="s">
        <v>380</v>
      </c>
      <c r="M218" s="56" t="s">
        <v>366</v>
      </c>
      <c r="N218" s="62" t="s">
        <v>5720</v>
      </c>
      <c r="O218" s="59"/>
      <c r="P218" s="59"/>
      <c r="Q218" s="56" t="s">
        <v>4084</v>
      </c>
      <c r="R218" s="59"/>
      <c r="S218" s="56" t="s">
        <v>5722</v>
      </c>
      <c r="T218" s="61" t="s">
        <v>373</v>
      </c>
      <c r="U218" s="58" t="s">
        <v>6352</v>
      </c>
      <c r="W218" s="55" t="b">
        <f t="shared" si="1"/>
        <v>0</v>
      </c>
    </row>
    <row r="219" ht="15.0" customHeight="1">
      <c r="A219" s="56" t="s">
        <v>302</v>
      </c>
      <c r="B219" s="56" t="s">
        <v>1166</v>
      </c>
      <c r="C219" s="57" t="s">
        <v>1167</v>
      </c>
      <c r="D219" s="56" t="s">
        <v>4943</v>
      </c>
      <c r="E219" s="56" t="s">
        <v>368</v>
      </c>
      <c r="F219" s="56" t="s">
        <v>390</v>
      </c>
      <c r="G219" s="56" t="s">
        <v>421</v>
      </c>
      <c r="H219" s="56" t="s">
        <v>452</v>
      </c>
      <c r="I219" s="56" t="s">
        <v>5719</v>
      </c>
      <c r="J219" s="56" t="s">
        <v>2291</v>
      </c>
      <c r="K219" s="56" t="s">
        <v>379</v>
      </c>
      <c r="L219" s="56" t="s">
        <v>365</v>
      </c>
      <c r="M219" s="56" t="s">
        <v>366</v>
      </c>
      <c r="N219" s="56" t="s">
        <v>381</v>
      </c>
      <c r="O219" s="58">
        <v>1.0</v>
      </c>
      <c r="P219" s="58">
        <v>1.0</v>
      </c>
      <c r="Q219" s="56" t="s">
        <v>1355</v>
      </c>
      <c r="R219" s="59"/>
      <c r="S219" s="56" t="s">
        <v>5733</v>
      </c>
      <c r="T219" s="61" t="s">
        <v>373</v>
      </c>
      <c r="U219" s="58" t="s">
        <v>6353</v>
      </c>
      <c r="W219" s="55" t="b">
        <f t="shared" si="1"/>
        <v>0</v>
      </c>
    </row>
    <row r="220" ht="15.0" customHeight="1">
      <c r="A220" s="56" t="s">
        <v>6354</v>
      </c>
      <c r="B220" s="56" t="s">
        <v>6355</v>
      </c>
      <c r="C220" s="57" t="s">
        <v>6356</v>
      </c>
      <c r="D220" s="58">
        <v>2.676634543E9</v>
      </c>
      <c r="E220" s="56" t="s">
        <v>368</v>
      </c>
      <c r="F220" s="56" t="s">
        <v>459</v>
      </c>
      <c r="G220" s="56" t="s">
        <v>1598</v>
      </c>
      <c r="H220" s="56" t="s">
        <v>390</v>
      </c>
      <c r="I220" s="56" t="s">
        <v>421</v>
      </c>
      <c r="J220" s="56" t="s">
        <v>716</v>
      </c>
      <c r="K220" s="56" t="s">
        <v>379</v>
      </c>
      <c r="L220" s="56" t="s">
        <v>412</v>
      </c>
      <c r="M220" s="56" t="s">
        <v>366</v>
      </c>
      <c r="N220" s="62" t="s">
        <v>5770</v>
      </c>
      <c r="O220" s="59"/>
      <c r="P220" s="59"/>
      <c r="Q220" s="56" t="s">
        <v>1843</v>
      </c>
      <c r="R220" s="59"/>
      <c r="S220" s="56" t="s">
        <v>5722</v>
      </c>
      <c r="T220" s="61" t="s">
        <v>373</v>
      </c>
      <c r="U220" s="58" t="s">
        <v>6357</v>
      </c>
      <c r="W220" s="55" t="b">
        <f t="shared" si="1"/>
        <v>0</v>
      </c>
    </row>
    <row r="221" ht="15.0" customHeight="1">
      <c r="A221" s="56" t="s">
        <v>6358</v>
      </c>
      <c r="B221" s="56" t="s">
        <v>6359</v>
      </c>
      <c r="C221" s="57" t="s">
        <v>6360</v>
      </c>
      <c r="D221" s="58">
        <v>2.817779025E9</v>
      </c>
      <c r="E221" s="56" t="s">
        <v>368</v>
      </c>
      <c r="F221" s="56" t="s">
        <v>421</v>
      </c>
      <c r="G221" s="56" t="s">
        <v>5715</v>
      </c>
      <c r="H221" s="56" t="s">
        <v>452</v>
      </c>
      <c r="I221" s="62" t="s">
        <v>716</v>
      </c>
      <c r="J221" s="59"/>
      <c r="K221" s="56" t="s">
        <v>379</v>
      </c>
      <c r="L221" s="56" t="s">
        <v>412</v>
      </c>
      <c r="M221" s="56" t="s">
        <v>413</v>
      </c>
      <c r="N221" s="62" t="s">
        <v>5716</v>
      </c>
      <c r="O221" s="59"/>
      <c r="P221" s="59"/>
      <c r="Q221" s="56" t="s">
        <v>5483</v>
      </c>
      <c r="R221" s="59"/>
      <c r="S221" s="56" t="s">
        <v>5717</v>
      </c>
      <c r="T221" s="61" t="s">
        <v>373</v>
      </c>
      <c r="U221" s="58" t="s">
        <v>6361</v>
      </c>
      <c r="W221" s="55" t="b">
        <f t="shared" si="1"/>
        <v>0</v>
      </c>
    </row>
    <row r="222" ht="15.0" customHeight="1">
      <c r="A222" s="56" t="s">
        <v>6362</v>
      </c>
      <c r="B222" s="56" t="s">
        <v>6363</v>
      </c>
      <c r="C222" s="57" t="s">
        <v>6364</v>
      </c>
      <c r="D222" s="58">
        <v>8.477680745E9</v>
      </c>
      <c r="E222" s="56" t="s">
        <v>368</v>
      </c>
      <c r="F222" s="56" t="s">
        <v>390</v>
      </c>
      <c r="G222" s="56" t="s">
        <v>410</v>
      </c>
      <c r="H222" s="56" t="s">
        <v>452</v>
      </c>
      <c r="I222" s="56" t="s">
        <v>1598</v>
      </c>
      <c r="J222" s="56" t="s">
        <v>2291</v>
      </c>
      <c r="K222" s="56" t="s">
        <v>364</v>
      </c>
      <c r="L222" s="56" t="s">
        <v>667</v>
      </c>
      <c r="M222" s="56" t="s">
        <v>513</v>
      </c>
      <c r="N222" s="56" t="s">
        <v>5720</v>
      </c>
      <c r="O222" s="58">
        <v>0.0</v>
      </c>
      <c r="P222" s="59"/>
      <c r="Q222" s="56" t="s">
        <v>6135</v>
      </c>
      <c r="R222" s="59"/>
      <c r="S222" s="56" t="s">
        <v>5722</v>
      </c>
      <c r="T222" s="61" t="s">
        <v>373</v>
      </c>
      <c r="U222" s="58" t="s">
        <v>6365</v>
      </c>
      <c r="W222" s="55" t="b">
        <f t="shared" si="1"/>
        <v>1</v>
      </c>
    </row>
    <row r="223" ht="15.0" customHeight="1">
      <c r="A223" s="56" t="s">
        <v>138</v>
      </c>
      <c r="B223" s="56" t="s">
        <v>1174</v>
      </c>
      <c r="C223" s="57" t="s">
        <v>1175</v>
      </c>
      <c r="D223" s="56" t="s">
        <v>4947</v>
      </c>
      <c r="E223" s="56" t="s">
        <v>368</v>
      </c>
      <c r="F223" s="56" t="s">
        <v>390</v>
      </c>
      <c r="G223" s="56" t="s">
        <v>452</v>
      </c>
      <c r="H223" s="62" t="s">
        <v>2286</v>
      </c>
      <c r="I223" s="59"/>
      <c r="J223" s="59"/>
      <c r="K223" s="56" t="s">
        <v>364</v>
      </c>
      <c r="L223" s="56" t="s">
        <v>365</v>
      </c>
      <c r="M223" s="56" t="s">
        <v>366</v>
      </c>
      <c r="N223" s="62" t="s">
        <v>5720</v>
      </c>
      <c r="O223" s="59"/>
      <c r="P223" s="59"/>
      <c r="Q223" s="56" t="s">
        <v>5678</v>
      </c>
      <c r="R223" s="59"/>
      <c r="S223" s="56" t="s">
        <v>5722</v>
      </c>
      <c r="T223" s="61" t="s">
        <v>373</v>
      </c>
      <c r="U223" s="58" t="s">
        <v>6366</v>
      </c>
      <c r="W223" s="55" t="b">
        <f t="shared" si="1"/>
        <v>0</v>
      </c>
    </row>
    <row r="224" ht="15.0" customHeight="1">
      <c r="A224" s="56" t="s">
        <v>6367</v>
      </c>
      <c r="B224" s="56" t="s">
        <v>6368</v>
      </c>
      <c r="C224" s="57" t="s">
        <v>3207</v>
      </c>
      <c r="D224" s="56" t="s">
        <v>6369</v>
      </c>
      <c r="E224" s="56" t="s">
        <v>368</v>
      </c>
      <c r="F224" s="56" t="s">
        <v>459</v>
      </c>
      <c r="G224" s="56" t="s">
        <v>452</v>
      </c>
      <c r="H224" s="56" t="s">
        <v>390</v>
      </c>
      <c r="I224" s="62" t="s">
        <v>5715</v>
      </c>
      <c r="J224" s="59"/>
      <c r="K224" s="56" t="s">
        <v>364</v>
      </c>
      <c r="L224" s="56" t="s">
        <v>365</v>
      </c>
      <c r="M224" s="56" t="s">
        <v>366</v>
      </c>
      <c r="N224" s="62" t="s">
        <v>5946</v>
      </c>
      <c r="O224" s="59"/>
      <c r="P224" s="59"/>
      <c r="Q224" s="56" t="s">
        <v>3148</v>
      </c>
      <c r="R224" s="59"/>
      <c r="S224" s="56" t="s">
        <v>5717</v>
      </c>
      <c r="T224" s="61" t="s">
        <v>373</v>
      </c>
      <c r="U224" s="58" t="s">
        <v>6370</v>
      </c>
      <c r="W224" s="55" t="b">
        <f t="shared" si="1"/>
        <v>0</v>
      </c>
    </row>
    <row r="225" ht="15.0" customHeight="1">
      <c r="A225" s="56" t="s">
        <v>6371</v>
      </c>
      <c r="B225" s="56" t="s">
        <v>6372</v>
      </c>
      <c r="C225" s="57" t="s">
        <v>6373</v>
      </c>
      <c r="D225" s="58">
        <v>9.492175595E9</v>
      </c>
      <c r="E225" s="56" t="s">
        <v>368</v>
      </c>
      <c r="F225" s="62" t="s">
        <v>2286</v>
      </c>
      <c r="G225" s="59"/>
      <c r="H225" s="59"/>
      <c r="I225" s="59"/>
      <c r="J225" s="59"/>
      <c r="K225" s="56" t="s">
        <v>364</v>
      </c>
      <c r="L225" s="56" t="s">
        <v>365</v>
      </c>
      <c r="M225" s="56" t="s">
        <v>366</v>
      </c>
      <c r="N225" s="62" t="s">
        <v>5720</v>
      </c>
      <c r="O225" s="59"/>
      <c r="P225" s="59"/>
      <c r="Q225" s="56" t="s">
        <v>831</v>
      </c>
      <c r="R225" s="59"/>
      <c r="S225" s="56" t="s">
        <v>5722</v>
      </c>
      <c r="T225" s="61" t="s">
        <v>373</v>
      </c>
      <c r="U225" s="58" t="s">
        <v>6374</v>
      </c>
      <c r="W225" s="55" t="b">
        <f t="shared" si="1"/>
        <v>0</v>
      </c>
    </row>
    <row r="226" ht="15.0" customHeight="1">
      <c r="A226" s="56" t="s">
        <v>303</v>
      </c>
      <c r="B226" s="56" t="s">
        <v>1180</v>
      </c>
      <c r="C226" s="57" t="s">
        <v>1181</v>
      </c>
      <c r="D226" s="56" t="s">
        <v>6375</v>
      </c>
      <c r="E226" s="56" t="s">
        <v>368</v>
      </c>
      <c r="F226" s="56" t="s">
        <v>390</v>
      </c>
      <c r="G226" s="56" t="s">
        <v>2286</v>
      </c>
      <c r="H226" s="56" t="s">
        <v>2291</v>
      </c>
      <c r="I226" s="56" t="s">
        <v>421</v>
      </c>
      <c r="J226" s="56" t="s">
        <v>452</v>
      </c>
      <c r="K226" s="56" t="s">
        <v>364</v>
      </c>
      <c r="L226" s="56" t="s">
        <v>412</v>
      </c>
      <c r="M226" s="56" t="s">
        <v>366</v>
      </c>
      <c r="N226" s="62" t="s">
        <v>5720</v>
      </c>
      <c r="O226" s="59"/>
      <c r="P226" s="58">
        <v>2.0</v>
      </c>
      <c r="Q226" s="56" t="s">
        <v>1748</v>
      </c>
      <c r="R226" s="59"/>
      <c r="S226" s="56" t="s">
        <v>5722</v>
      </c>
      <c r="T226" s="61" t="s">
        <v>373</v>
      </c>
      <c r="U226" s="58" t="s">
        <v>6376</v>
      </c>
      <c r="W226" s="55" t="b">
        <f t="shared" si="1"/>
        <v>0</v>
      </c>
    </row>
    <row r="227" ht="15.0" customHeight="1">
      <c r="A227" s="56" t="s">
        <v>6377</v>
      </c>
      <c r="B227" s="56" t="s">
        <v>4951</v>
      </c>
      <c r="C227" s="57" t="s">
        <v>4952</v>
      </c>
      <c r="D227" s="58">
        <v>9.367883884E9</v>
      </c>
      <c r="E227" s="56" t="s">
        <v>368</v>
      </c>
      <c r="F227" s="56" t="s">
        <v>2286</v>
      </c>
      <c r="G227" s="56" t="s">
        <v>675</v>
      </c>
      <c r="H227" s="62" t="s">
        <v>2286</v>
      </c>
      <c r="I227" s="59"/>
      <c r="J227" s="59"/>
      <c r="K227" s="56" t="s">
        <v>399</v>
      </c>
      <c r="L227" s="56" t="s">
        <v>667</v>
      </c>
      <c r="M227" s="56" t="s">
        <v>366</v>
      </c>
      <c r="N227" s="56" t="s">
        <v>5720</v>
      </c>
      <c r="O227" s="58">
        <v>1.0</v>
      </c>
      <c r="P227" s="59"/>
      <c r="Q227" s="56" t="s">
        <v>2121</v>
      </c>
      <c r="R227" s="59"/>
      <c r="S227" s="56" t="s">
        <v>5722</v>
      </c>
      <c r="T227" s="61" t="s">
        <v>373</v>
      </c>
      <c r="U227" s="58" t="s">
        <v>6378</v>
      </c>
      <c r="W227" s="55" t="b">
        <f t="shared" si="1"/>
        <v>0</v>
      </c>
    </row>
    <row r="228" ht="15.0" customHeight="1">
      <c r="A228" s="56" t="s">
        <v>1196</v>
      </c>
      <c r="B228" s="56" t="s">
        <v>4954</v>
      </c>
      <c r="C228" s="57" t="s">
        <v>4955</v>
      </c>
      <c r="D228" s="58">
        <v>7.133804375E9</v>
      </c>
      <c r="E228" s="56" t="s">
        <v>368</v>
      </c>
      <c r="F228" s="56" t="s">
        <v>2286</v>
      </c>
      <c r="G228" s="62" t="s">
        <v>1789</v>
      </c>
      <c r="H228" s="59"/>
      <c r="I228" s="59"/>
      <c r="J228" s="59"/>
      <c r="K228" s="56" t="s">
        <v>364</v>
      </c>
      <c r="L228" s="56" t="s">
        <v>667</v>
      </c>
      <c r="M228" s="56" t="s">
        <v>366</v>
      </c>
      <c r="N228" s="62" t="s">
        <v>5770</v>
      </c>
      <c r="O228" s="59"/>
      <c r="P228" s="59"/>
      <c r="Q228" s="56" t="s">
        <v>2884</v>
      </c>
      <c r="R228" s="59"/>
      <c r="S228" s="56" t="s">
        <v>5722</v>
      </c>
      <c r="T228" s="61" t="s">
        <v>373</v>
      </c>
      <c r="U228" s="58" t="s">
        <v>6379</v>
      </c>
      <c r="W228" s="55" t="b">
        <f t="shared" si="1"/>
        <v>0</v>
      </c>
    </row>
    <row r="229" ht="15.0" customHeight="1">
      <c r="A229" s="56" t="s">
        <v>1202</v>
      </c>
      <c r="B229" s="56" t="s">
        <v>4957</v>
      </c>
      <c r="C229" s="57" t="s">
        <v>1204</v>
      </c>
      <c r="D229" s="58">
        <v>2.817066169E9</v>
      </c>
      <c r="E229" s="56" t="s">
        <v>368</v>
      </c>
      <c r="F229" s="56" t="s">
        <v>452</v>
      </c>
      <c r="G229" s="56" t="s">
        <v>390</v>
      </c>
      <c r="H229" s="56" t="s">
        <v>634</v>
      </c>
      <c r="I229" s="56" t="s">
        <v>5715</v>
      </c>
      <c r="J229" s="56" t="s">
        <v>1553</v>
      </c>
      <c r="K229" s="56" t="s">
        <v>399</v>
      </c>
      <c r="L229" s="56" t="s">
        <v>365</v>
      </c>
      <c r="M229" s="56" t="s">
        <v>413</v>
      </c>
      <c r="N229" s="56" t="s">
        <v>497</v>
      </c>
      <c r="O229" s="58">
        <v>2.0</v>
      </c>
      <c r="P229" s="58">
        <v>2.0</v>
      </c>
      <c r="Q229" s="56" t="s">
        <v>6380</v>
      </c>
      <c r="R229" s="59"/>
      <c r="S229" s="56" t="s">
        <v>5733</v>
      </c>
      <c r="T229" s="61" t="s">
        <v>373</v>
      </c>
      <c r="U229" s="58" t="s">
        <v>6381</v>
      </c>
      <c r="W229" s="55" t="b">
        <f t="shared" si="1"/>
        <v>0</v>
      </c>
    </row>
    <row r="230" ht="15.0" customHeight="1">
      <c r="A230" s="56" t="s">
        <v>3225</v>
      </c>
      <c r="B230" s="56" t="s">
        <v>6382</v>
      </c>
      <c r="C230" s="57" t="s">
        <v>6383</v>
      </c>
      <c r="D230" s="58">
        <v>1.2177479375E10</v>
      </c>
      <c r="E230" s="56" t="s">
        <v>368</v>
      </c>
      <c r="F230" s="56" t="s">
        <v>2286</v>
      </c>
      <c r="G230" s="56" t="s">
        <v>1789</v>
      </c>
      <c r="H230" s="56" t="s">
        <v>452</v>
      </c>
      <c r="I230" s="62" t="s">
        <v>390</v>
      </c>
      <c r="J230" s="59"/>
      <c r="K230" s="56" t="s">
        <v>399</v>
      </c>
      <c r="L230" s="56" t="s">
        <v>365</v>
      </c>
      <c r="M230" s="56" t="s">
        <v>413</v>
      </c>
      <c r="N230" s="62" t="s">
        <v>5724</v>
      </c>
      <c r="O230" s="59"/>
      <c r="P230" s="59"/>
      <c r="Q230" s="56" t="s">
        <v>6384</v>
      </c>
      <c r="R230" s="59"/>
      <c r="S230" s="56" t="s">
        <v>5717</v>
      </c>
      <c r="T230" s="61" t="s">
        <v>373</v>
      </c>
      <c r="U230" s="58" t="s">
        <v>6385</v>
      </c>
      <c r="W230" s="55" t="b">
        <f t="shared" si="1"/>
        <v>0</v>
      </c>
    </row>
    <row r="231" ht="15.0" customHeight="1">
      <c r="A231" s="56" t="s">
        <v>6386</v>
      </c>
      <c r="B231" s="56" t="s">
        <v>4961</v>
      </c>
      <c r="C231" s="57" t="s">
        <v>4962</v>
      </c>
      <c r="D231" s="58">
        <v>9.85789895E9</v>
      </c>
      <c r="E231" s="56" t="s">
        <v>368</v>
      </c>
      <c r="F231" s="56" t="s">
        <v>410</v>
      </c>
      <c r="G231" s="56" t="s">
        <v>2286</v>
      </c>
      <c r="H231" s="56" t="s">
        <v>452</v>
      </c>
      <c r="I231" s="62" t="s">
        <v>390</v>
      </c>
      <c r="J231" s="59"/>
      <c r="K231" s="56" t="s">
        <v>399</v>
      </c>
      <c r="L231" s="56" t="s">
        <v>520</v>
      </c>
      <c r="M231" s="56" t="s">
        <v>513</v>
      </c>
      <c r="N231" s="62" t="s">
        <v>5720</v>
      </c>
      <c r="O231" s="59"/>
      <c r="P231" s="59"/>
      <c r="Q231" s="56" t="s">
        <v>2141</v>
      </c>
      <c r="R231" s="59"/>
      <c r="S231" s="56" t="s">
        <v>5722</v>
      </c>
      <c r="T231" s="61" t="s">
        <v>373</v>
      </c>
      <c r="U231" s="58" t="s">
        <v>6387</v>
      </c>
      <c r="W231" s="55" t="b">
        <f t="shared" si="1"/>
        <v>1</v>
      </c>
    </row>
    <row r="232" ht="15.0" customHeight="1">
      <c r="A232" s="56" t="s">
        <v>304</v>
      </c>
      <c r="B232" s="56" t="s">
        <v>4965</v>
      </c>
      <c r="C232" s="57" t="s">
        <v>4966</v>
      </c>
      <c r="D232" s="56" t="s">
        <v>4967</v>
      </c>
      <c r="E232" s="56" t="s">
        <v>368</v>
      </c>
      <c r="F232" s="56" t="s">
        <v>2286</v>
      </c>
      <c r="G232" s="56" t="s">
        <v>5715</v>
      </c>
      <c r="H232" s="62" t="s">
        <v>362</v>
      </c>
      <c r="I232" s="59"/>
      <c r="J232" s="59"/>
      <c r="K232" s="56" t="s">
        <v>364</v>
      </c>
      <c r="L232" s="56" t="s">
        <v>365</v>
      </c>
      <c r="M232" s="56" t="s">
        <v>366</v>
      </c>
      <c r="N232" s="62" t="s">
        <v>5720</v>
      </c>
      <c r="O232" s="59"/>
      <c r="P232" s="59"/>
      <c r="Q232" s="56" t="s">
        <v>6388</v>
      </c>
      <c r="R232" s="59"/>
      <c r="S232" s="56" t="s">
        <v>5722</v>
      </c>
      <c r="T232" s="61" t="s">
        <v>373</v>
      </c>
      <c r="U232" s="58" t="s">
        <v>6389</v>
      </c>
      <c r="W232" s="55" t="b">
        <f t="shared" si="1"/>
        <v>0</v>
      </c>
    </row>
    <row r="233" ht="15.0" customHeight="1">
      <c r="A233" s="56" t="s">
        <v>3230</v>
      </c>
      <c r="B233" s="56" t="s">
        <v>6390</v>
      </c>
      <c r="C233" s="57" t="s">
        <v>6391</v>
      </c>
      <c r="D233" s="56" t="s">
        <v>6392</v>
      </c>
      <c r="E233" s="56" t="s">
        <v>368</v>
      </c>
      <c r="F233" s="56" t="s">
        <v>390</v>
      </c>
      <c r="G233" s="62" t="s">
        <v>410</v>
      </c>
      <c r="H233" s="59"/>
      <c r="I233" s="59"/>
      <c r="J233" s="59"/>
      <c r="K233" s="56" t="s">
        <v>379</v>
      </c>
      <c r="L233" s="56" t="s">
        <v>405</v>
      </c>
      <c r="M233" s="56" t="s">
        <v>366</v>
      </c>
      <c r="N233" s="56" t="s">
        <v>5716</v>
      </c>
      <c r="O233" s="58">
        <v>1.0</v>
      </c>
      <c r="P233" s="59"/>
      <c r="Q233" s="56" t="s">
        <v>3474</v>
      </c>
      <c r="R233" s="59"/>
      <c r="S233" s="56" t="s">
        <v>5717</v>
      </c>
      <c r="T233" s="61" t="s">
        <v>373</v>
      </c>
      <c r="U233" s="58" t="s">
        <v>6393</v>
      </c>
      <c r="W233" s="55" t="b">
        <f t="shared" si="1"/>
        <v>0</v>
      </c>
    </row>
    <row r="234" ht="15.0" customHeight="1">
      <c r="A234" s="56" t="s">
        <v>305</v>
      </c>
      <c r="B234" s="56" t="s">
        <v>1221</v>
      </c>
      <c r="C234" s="57" t="s">
        <v>1222</v>
      </c>
      <c r="D234" s="58">
        <v>9.047914569E9</v>
      </c>
      <c r="E234" s="56" t="s">
        <v>368</v>
      </c>
      <c r="F234" s="56" t="s">
        <v>421</v>
      </c>
      <c r="G234" s="56" t="s">
        <v>2286</v>
      </c>
      <c r="H234" s="56" t="s">
        <v>452</v>
      </c>
      <c r="I234" s="56" t="s">
        <v>390</v>
      </c>
      <c r="J234" s="56" t="s">
        <v>1789</v>
      </c>
      <c r="K234" s="56" t="s">
        <v>364</v>
      </c>
      <c r="L234" s="56" t="s">
        <v>380</v>
      </c>
      <c r="M234" s="56" t="s">
        <v>413</v>
      </c>
      <c r="N234" s="56" t="s">
        <v>5724</v>
      </c>
      <c r="O234" s="58">
        <v>1.0</v>
      </c>
      <c r="P234" s="59"/>
      <c r="Q234" s="56" t="s">
        <v>1633</v>
      </c>
      <c r="R234" s="59"/>
      <c r="S234" s="56" t="s">
        <v>5717</v>
      </c>
      <c r="T234" s="61" t="s">
        <v>373</v>
      </c>
      <c r="U234" s="58" t="s">
        <v>6394</v>
      </c>
      <c r="W234" s="55" t="b">
        <f t="shared" si="1"/>
        <v>0</v>
      </c>
    </row>
    <row r="235" ht="15.0" customHeight="1">
      <c r="A235" s="56" t="s">
        <v>144</v>
      </c>
      <c r="B235" s="56" t="s">
        <v>3238</v>
      </c>
      <c r="C235" s="57" t="s">
        <v>3239</v>
      </c>
      <c r="D235" s="56" t="s">
        <v>6395</v>
      </c>
      <c r="E235" s="56" t="s">
        <v>368</v>
      </c>
      <c r="F235" s="56" t="s">
        <v>452</v>
      </c>
      <c r="G235" s="56" t="s">
        <v>2286</v>
      </c>
      <c r="H235" s="56" t="s">
        <v>410</v>
      </c>
      <c r="I235" s="56" t="s">
        <v>390</v>
      </c>
      <c r="J235" s="56" t="s">
        <v>1598</v>
      </c>
      <c r="K235" s="56" t="s">
        <v>364</v>
      </c>
      <c r="L235" s="56" t="s">
        <v>520</v>
      </c>
      <c r="M235" s="56" t="s">
        <v>413</v>
      </c>
      <c r="N235" s="56" t="s">
        <v>381</v>
      </c>
      <c r="O235" s="58">
        <v>1.0</v>
      </c>
      <c r="P235" s="58">
        <v>1.0</v>
      </c>
      <c r="Q235" s="56" t="s">
        <v>1659</v>
      </c>
      <c r="R235" s="59"/>
      <c r="S235" s="56" t="s">
        <v>5733</v>
      </c>
      <c r="T235" s="61" t="s">
        <v>373</v>
      </c>
      <c r="U235" s="58" t="s">
        <v>6396</v>
      </c>
      <c r="W235" s="55" t="b">
        <f t="shared" si="1"/>
        <v>0</v>
      </c>
    </row>
    <row r="236" ht="15.0" customHeight="1">
      <c r="A236" s="56" t="s">
        <v>6397</v>
      </c>
      <c r="B236" s="56" t="s">
        <v>6398</v>
      </c>
      <c r="C236" s="57" t="s">
        <v>6399</v>
      </c>
      <c r="D236" s="58">
        <v>9.037850303E9</v>
      </c>
      <c r="E236" s="56" t="s">
        <v>368</v>
      </c>
      <c r="F236" s="56" t="s">
        <v>2286</v>
      </c>
      <c r="G236" s="56" t="s">
        <v>2286</v>
      </c>
      <c r="H236" s="62" t="s">
        <v>2286</v>
      </c>
      <c r="I236" s="59"/>
      <c r="J236" s="59"/>
      <c r="K236" s="56" t="s">
        <v>5451</v>
      </c>
      <c r="L236" s="56" t="s">
        <v>412</v>
      </c>
      <c r="M236" s="56" t="s">
        <v>366</v>
      </c>
      <c r="N236" s="62" t="s">
        <v>5720</v>
      </c>
      <c r="O236" s="59"/>
      <c r="P236" s="59"/>
      <c r="Q236" s="56" t="s">
        <v>2704</v>
      </c>
      <c r="R236" s="59"/>
      <c r="S236" s="56" t="s">
        <v>5722</v>
      </c>
      <c r="T236" s="61" t="s">
        <v>373</v>
      </c>
      <c r="U236" s="58" t="s">
        <v>6400</v>
      </c>
      <c r="W236" s="55" t="b">
        <f t="shared" si="1"/>
        <v>0</v>
      </c>
    </row>
    <row r="237" ht="15.0" customHeight="1">
      <c r="A237" s="56" t="s">
        <v>6401</v>
      </c>
      <c r="B237" s="56" t="s">
        <v>3255</v>
      </c>
      <c r="C237" s="57" t="s">
        <v>3256</v>
      </c>
      <c r="D237" s="56" t="s">
        <v>6402</v>
      </c>
      <c r="E237" s="56" t="s">
        <v>368</v>
      </c>
      <c r="F237" s="56" t="s">
        <v>452</v>
      </c>
      <c r="G237" s="56" t="s">
        <v>2931</v>
      </c>
      <c r="H237" s="56" t="s">
        <v>716</v>
      </c>
      <c r="I237" s="56" t="s">
        <v>452</v>
      </c>
      <c r="J237" s="56" t="s">
        <v>390</v>
      </c>
      <c r="K237" s="56" t="s">
        <v>364</v>
      </c>
      <c r="L237" s="56" t="s">
        <v>380</v>
      </c>
      <c r="M237" s="56" t="s">
        <v>366</v>
      </c>
      <c r="N237" s="56" t="s">
        <v>5720</v>
      </c>
      <c r="O237" s="58">
        <v>2.0</v>
      </c>
      <c r="P237" s="59"/>
      <c r="Q237" s="56" t="s">
        <v>3541</v>
      </c>
      <c r="R237" s="59"/>
      <c r="S237" s="56" t="s">
        <v>5722</v>
      </c>
      <c r="T237" s="61" t="s">
        <v>373</v>
      </c>
      <c r="U237" s="58" t="s">
        <v>6403</v>
      </c>
      <c r="W237" s="55" t="b">
        <f t="shared" si="1"/>
        <v>0</v>
      </c>
    </row>
    <row r="238" ht="15.0" customHeight="1">
      <c r="A238" s="56" t="s">
        <v>6404</v>
      </c>
      <c r="B238" s="56" t="s">
        <v>1235</v>
      </c>
      <c r="C238" s="57" t="s">
        <v>1236</v>
      </c>
      <c r="D238" s="58">
        <v>1.2108412881E10</v>
      </c>
      <c r="E238" s="56" t="s">
        <v>368</v>
      </c>
      <c r="F238" s="56" t="s">
        <v>2286</v>
      </c>
      <c r="G238" s="56" t="s">
        <v>1789</v>
      </c>
      <c r="H238" s="56" t="s">
        <v>675</v>
      </c>
      <c r="I238" s="56" t="s">
        <v>390</v>
      </c>
      <c r="J238" s="56" t="s">
        <v>2286</v>
      </c>
      <c r="K238" s="56" t="s">
        <v>399</v>
      </c>
      <c r="L238" s="56" t="s">
        <v>365</v>
      </c>
      <c r="M238" s="56" t="s">
        <v>366</v>
      </c>
      <c r="N238" s="62" t="s">
        <v>497</v>
      </c>
      <c r="O238" s="59"/>
      <c r="P238" s="59"/>
      <c r="Q238" s="56" t="s">
        <v>4618</v>
      </c>
      <c r="R238" s="59"/>
      <c r="S238" s="56" t="s">
        <v>5733</v>
      </c>
      <c r="T238" s="61" t="s">
        <v>373</v>
      </c>
      <c r="U238" s="58" t="s">
        <v>6100</v>
      </c>
      <c r="W238" s="55" t="b">
        <f t="shared" si="1"/>
        <v>0</v>
      </c>
    </row>
    <row r="239" ht="15.0" customHeight="1">
      <c r="A239" s="56" t="s">
        <v>6405</v>
      </c>
      <c r="B239" s="56" t="s">
        <v>6406</v>
      </c>
      <c r="C239" s="57" t="s">
        <v>1186</v>
      </c>
      <c r="D239" s="56" t="s">
        <v>3213</v>
      </c>
      <c r="E239" s="56" t="s">
        <v>368</v>
      </c>
      <c r="F239" s="56" t="s">
        <v>634</v>
      </c>
      <c r="G239" s="62" t="s">
        <v>634</v>
      </c>
      <c r="H239" s="59"/>
      <c r="I239" s="59"/>
      <c r="J239" s="59"/>
      <c r="K239" s="56" t="s">
        <v>364</v>
      </c>
      <c r="L239" s="56" t="s">
        <v>405</v>
      </c>
      <c r="M239" s="56" t="s">
        <v>413</v>
      </c>
      <c r="N239" s="56" t="s">
        <v>5716</v>
      </c>
      <c r="O239" s="58">
        <v>2.0</v>
      </c>
      <c r="P239" s="59"/>
      <c r="Q239" s="56" t="s">
        <v>4328</v>
      </c>
      <c r="R239" s="59"/>
      <c r="S239" s="56" t="s">
        <v>5717</v>
      </c>
      <c r="T239" s="61" t="s">
        <v>373</v>
      </c>
      <c r="U239" s="58" t="s">
        <v>6407</v>
      </c>
      <c r="W239" s="55" t="b">
        <f t="shared" si="1"/>
        <v>0</v>
      </c>
    </row>
    <row r="240" ht="15.0" customHeight="1">
      <c r="A240" s="56" t="s">
        <v>306</v>
      </c>
      <c r="B240" s="56" t="s">
        <v>3272</v>
      </c>
      <c r="C240" s="57" t="s">
        <v>3273</v>
      </c>
      <c r="D240" s="56" t="s">
        <v>3274</v>
      </c>
      <c r="E240" s="56" t="s">
        <v>368</v>
      </c>
      <c r="F240" s="56" t="s">
        <v>421</v>
      </c>
      <c r="G240" s="56" t="s">
        <v>390</v>
      </c>
      <c r="H240" s="56" t="s">
        <v>2286</v>
      </c>
      <c r="I240" s="56" t="s">
        <v>410</v>
      </c>
      <c r="J240" s="56" t="s">
        <v>452</v>
      </c>
      <c r="K240" s="56" t="s">
        <v>379</v>
      </c>
      <c r="L240" s="56" t="s">
        <v>365</v>
      </c>
      <c r="M240" s="56" t="s">
        <v>413</v>
      </c>
      <c r="N240" s="56" t="s">
        <v>5716</v>
      </c>
      <c r="O240" s="58">
        <v>0.0</v>
      </c>
      <c r="P240" s="58">
        <v>0.0</v>
      </c>
      <c r="Q240" s="56" t="s">
        <v>3662</v>
      </c>
      <c r="R240" s="59"/>
      <c r="S240" s="56" t="s">
        <v>5717</v>
      </c>
      <c r="T240" s="61" t="s">
        <v>373</v>
      </c>
      <c r="U240" s="58" t="s">
        <v>6408</v>
      </c>
      <c r="W240" s="55" t="b">
        <f t="shared" si="1"/>
        <v>0</v>
      </c>
    </row>
    <row r="241" ht="15.0" customHeight="1">
      <c r="A241" s="56" t="s">
        <v>146</v>
      </c>
      <c r="B241" s="56" t="s">
        <v>4989</v>
      </c>
      <c r="C241" s="57" t="s">
        <v>4990</v>
      </c>
      <c r="D241" s="56" t="s">
        <v>4991</v>
      </c>
      <c r="E241" s="56" t="s">
        <v>368</v>
      </c>
      <c r="F241" s="62" t="s">
        <v>2286</v>
      </c>
      <c r="G241" s="59"/>
      <c r="H241" s="59"/>
      <c r="I241" s="59"/>
      <c r="J241" s="59"/>
      <c r="K241" s="56" t="s">
        <v>364</v>
      </c>
      <c r="L241" s="56" t="s">
        <v>412</v>
      </c>
      <c r="M241" s="56" t="s">
        <v>366</v>
      </c>
      <c r="N241" s="62" t="s">
        <v>5770</v>
      </c>
      <c r="O241" s="59"/>
      <c r="P241" s="59"/>
      <c r="Q241" s="56" t="s">
        <v>6409</v>
      </c>
      <c r="R241" s="59"/>
      <c r="S241" s="56" t="s">
        <v>5722</v>
      </c>
      <c r="T241" s="61" t="s">
        <v>373</v>
      </c>
      <c r="U241" s="58" t="s">
        <v>6410</v>
      </c>
      <c r="W241" s="55" t="b">
        <f t="shared" si="1"/>
        <v>0</v>
      </c>
    </row>
    <row r="242" ht="15.0" customHeight="1">
      <c r="A242" s="56" t="s">
        <v>3281</v>
      </c>
      <c r="B242" s="56" t="s">
        <v>3282</v>
      </c>
      <c r="C242" s="57" t="s">
        <v>3283</v>
      </c>
      <c r="D242" s="58">
        <v>7.134966508E9</v>
      </c>
      <c r="E242" s="56" t="s">
        <v>368</v>
      </c>
      <c r="F242" s="56" t="s">
        <v>410</v>
      </c>
      <c r="G242" s="56" t="s">
        <v>390</v>
      </c>
      <c r="H242" s="62" t="s">
        <v>1553</v>
      </c>
      <c r="I242" s="59"/>
      <c r="J242" s="59"/>
      <c r="K242" s="56" t="s">
        <v>399</v>
      </c>
      <c r="L242" s="56" t="s">
        <v>365</v>
      </c>
      <c r="M242" s="56" t="s">
        <v>413</v>
      </c>
      <c r="N242" s="62" t="s">
        <v>381</v>
      </c>
      <c r="O242" s="59"/>
      <c r="P242" s="59"/>
      <c r="Q242" s="56" t="s">
        <v>4240</v>
      </c>
      <c r="R242" s="59"/>
      <c r="S242" s="56" t="s">
        <v>5733</v>
      </c>
      <c r="T242" s="61" t="s">
        <v>373</v>
      </c>
      <c r="U242" s="58" t="s">
        <v>6411</v>
      </c>
      <c r="W242" s="55" t="b">
        <f t="shared" si="1"/>
        <v>0</v>
      </c>
    </row>
    <row r="243" ht="15.0" customHeight="1">
      <c r="A243" s="56" t="s">
        <v>307</v>
      </c>
      <c r="B243" s="56" t="s">
        <v>1460</v>
      </c>
      <c r="C243" s="57" t="s">
        <v>1243</v>
      </c>
      <c r="D243" s="56" t="s">
        <v>4993</v>
      </c>
      <c r="E243" s="56" t="s">
        <v>368</v>
      </c>
      <c r="F243" s="56" t="s">
        <v>5715</v>
      </c>
      <c r="G243" s="56" t="s">
        <v>362</v>
      </c>
      <c r="H243" s="62" t="s">
        <v>3730</v>
      </c>
      <c r="I243" s="59"/>
      <c r="J243" s="59"/>
      <c r="K243" s="56" t="s">
        <v>379</v>
      </c>
      <c r="L243" s="56" t="s">
        <v>365</v>
      </c>
      <c r="M243" s="56" t="s">
        <v>366</v>
      </c>
      <c r="N243" s="62" t="s">
        <v>6044</v>
      </c>
      <c r="O243" s="59"/>
      <c r="P243" s="59"/>
      <c r="Q243" s="56" t="s">
        <v>3287</v>
      </c>
      <c r="R243" s="59"/>
      <c r="S243" s="56" t="s">
        <v>5717</v>
      </c>
      <c r="T243" s="61" t="s">
        <v>373</v>
      </c>
      <c r="U243" s="58" t="s">
        <v>6412</v>
      </c>
      <c r="W243" s="55" t="b">
        <f t="shared" si="1"/>
        <v>0</v>
      </c>
    </row>
    <row r="244" ht="15.0" customHeight="1">
      <c r="A244" s="56" t="s">
        <v>4998</v>
      </c>
      <c r="B244" s="56" t="s">
        <v>1251</v>
      </c>
      <c r="C244" s="57" t="s">
        <v>5000</v>
      </c>
      <c r="D244" s="58">
        <v>4.796403325E9</v>
      </c>
      <c r="E244" s="56" t="s">
        <v>368</v>
      </c>
      <c r="F244" s="56" t="s">
        <v>675</v>
      </c>
      <c r="G244" s="56" t="s">
        <v>2286</v>
      </c>
      <c r="H244" s="56" t="s">
        <v>452</v>
      </c>
      <c r="I244" s="62" t="s">
        <v>390</v>
      </c>
      <c r="J244" s="59"/>
      <c r="K244" s="56" t="s">
        <v>364</v>
      </c>
      <c r="L244" s="56" t="s">
        <v>365</v>
      </c>
      <c r="M244" s="56" t="s">
        <v>413</v>
      </c>
      <c r="N244" s="56" t="s">
        <v>5720</v>
      </c>
      <c r="O244" s="58">
        <v>2.0</v>
      </c>
      <c r="P244" s="58">
        <v>2.0</v>
      </c>
      <c r="Q244" s="56" t="s">
        <v>4060</v>
      </c>
      <c r="R244" s="59"/>
      <c r="S244" s="56" t="s">
        <v>5722</v>
      </c>
      <c r="T244" s="61" t="s">
        <v>373</v>
      </c>
      <c r="U244" s="58" t="s">
        <v>6413</v>
      </c>
      <c r="W244" s="55" t="b">
        <f t="shared" si="1"/>
        <v>0</v>
      </c>
    </row>
    <row r="245" ht="15.0" customHeight="1">
      <c r="A245" s="56" t="s">
        <v>6414</v>
      </c>
      <c r="B245" s="56" t="s">
        <v>6415</v>
      </c>
      <c r="C245" s="57" t="s">
        <v>6416</v>
      </c>
      <c r="D245" s="56" t="s">
        <v>6417</v>
      </c>
      <c r="E245" s="56" t="s">
        <v>368</v>
      </c>
      <c r="F245" s="56" t="s">
        <v>452</v>
      </c>
      <c r="G245" s="56" t="s">
        <v>2931</v>
      </c>
      <c r="H245" s="56" t="s">
        <v>421</v>
      </c>
      <c r="I245" s="56" t="s">
        <v>390</v>
      </c>
      <c r="J245" s="56" t="s">
        <v>709</v>
      </c>
      <c r="K245" s="56" t="s">
        <v>364</v>
      </c>
      <c r="L245" s="56" t="s">
        <v>365</v>
      </c>
      <c r="M245" s="56" t="s">
        <v>413</v>
      </c>
      <c r="N245" s="62" t="s">
        <v>381</v>
      </c>
      <c r="O245" s="59"/>
      <c r="P245" s="59"/>
      <c r="Q245" s="56" t="s">
        <v>3202</v>
      </c>
      <c r="R245" s="59"/>
      <c r="S245" s="56" t="s">
        <v>5733</v>
      </c>
      <c r="T245" s="61" t="s">
        <v>373</v>
      </c>
      <c r="U245" s="58" t="s">
        <v>6418</v>
      </c>
      <c r="W245" s="55" t="b">
        <f t="shared" si="1"/>
        <v>0</v>
      </c>
    </row>
    <row r="246" ht="15.0" customHeight="1">
      <c r="A246" s="56" t="s">
        <v>6419</v>
      </c>
      <c r="B246" s="56" t="s">
        <v>6420</v>
      </c>
      <c r="C246" s="57" t="s">
        <v>6421</v>
      </c>
      <c r="D246" s="56" t="s">
        <v>6422</v>
      </c>
      <c r="E246" s="56" t="s">
        <v>368</v>
      </c>
      <c r="F246" s="56" t="s">
        <v>390</v>
      </c>
      <c r="G246" s="56" t="s">
        <v>452</v>
      </c>
      <c r="H246" s="56" t="s">
        <v>2291</v>
      </c>
      <c r="I246" s="56" t="s">
        <v>1598</v>
      </c>
      <c r="J246" s="56" t="s">
        <v>709</v>
      </c>
      <c r="K246" s="56" t="s">
        <v>399</v>
      </c>
      <c r="L246" s="56" t="s">
        <v>380</v>
      </c>
      <c r="M246" s="56" t="s">
        <v>413</v>
      </c>
      <c r="N246" s="56" t="s">
        <v>381</v>
      </c>
      <c r="O246" s="58">
        <v>2.0</v>
      </c>
      <c r="P246" s="58">
        <v>2.0</v>
      </c>
      <c r="Q246" s="56" t="s">
        <v>2663</v>
      </c>
      <c r="R246" s="59"/>
      <c r="S246" s="56" t="s">
        <v>5733</v>
      </c>
      <c r="T246" s="61" t="s">
        <v>373</v>
      </c>
      <c r="U246" s="58" t="s">
        <v>6423</v>
      </c>
      <c r="W246" s="55" t="b">
        <f t="shared" si="1"/>
        <v>0</v>
      </c>
    </row>
    <row r="247" ht="15.0" customHeight="1">
      <c r="A247" s="56" t="s">
        <v>6424</v>
      </c>
      <c r="B247" s="56" t="s">
        <v>6425</v>
      </c>
      <c r="C247" s="57" t="s">
        <v>6426</v>
      </c>
      <c r="D247" s="58">
        <v>9.134019225E9</v>
      </c>
      <c r="E247" s="56" t="s">
        <v>368</v>
      </c>
      <c r="F247" s="56" t="s">
        <v>410</v>
      </c>
      <c r="G247" s="56" t="s">
        <v>452</v>
      </c>
      <c r="H247" s="56" t="s">
        <v>421</v>
      </c>
      <c r="I247" s="56" t="s">
        <v>390</v>
      </c>
      <c r="J247" s="56" t="s">
        <v>443</v>
      </c>
      <c r="K247" s="56" t="s">
        <v>364</v>
      </c>
      <c r="L247" s="56" t="s">
        <v>380</v>
      </c>
      <c r="M247" s="56" t="s">
        <v>366</v>
      </c>
      <c r="N247" s="62" t="s">
        <v>497</v>
      </c>
      <c r="O247" s="59"/>
      <c r="P247" s="59"/>
      <c r="Q247" s="59"/>
      <c r="R247" s="59"/>
      <c r="S247" s="56" t="s">
        <v>5733</v>
      </c>
      <c r="T247" s="61" t="s">
        <v>394</v>
      </c>
      <c r="U247" s="58" t="s">
        <v>6427</v>
      </c>
      <c r="W247" s="55" t="b">
        <f t="shared" si="1"/>
        <v>0</v>
      </c>
    </row>
    <row r="248" ht="15.0" customHeight="1">
      <c r="A248" s="56" t="s">
        <v>6428</v>
      </c>
      <c r="B248" s="56" t="s">
        <v>6429</v>
      </c>
      <c r="C248" s="57" t="s">
        <v>6430</v>
      </c>
      <c r="D248" s="58">
        <v>4.697324985E9</v>
      </c>
      <c r="E248" s="56" t="s">
        <v>368</v>
      </c>
      <c r="F248" s="56" t="s">
        <v>2286</v>
      </c>
      <c r="G248" s="56" t="s">
        <v>390</v>
      </c>
      <c r="H248" s="62" t="s">
        <v>410</v>
      </c>
      <c r="I248" s="59"/>
      <c r="J248" s="59"/>
      <c r="K248" s="56" t="s">
        <v>364</v>
      </c>
      <c r="L248" s="56" t="s">
        <v>365</v>
      </c>
      <c r="M248" s="56" t="s">
        <v>366</v>
      </c>
      <c r="N248" s="62" t="s">
        <v>5716</v>
      </c>
      <c r="O248" s="59"/>
      <c r="P248" s="59"/>
      <c r="Q248" s="56" t="s">
        <v>1031</v>
      </c>
      <c r="R248" s="59"/>
      <c r="S248" s="56" t="s">
        <v>5717</v>
      </c>
      <c r="T248" s="61" t="s">
        <v>373</v>
      </c>
      <c r="U248" s="58" t="s">
        <v>6431</v>
      </c>
      <c r="W248" s="55" t="b">
        <f t="shared" si="1"/>
        <v>0</v>
      </c>
    </row>
    <row r="249" ht="15.0" customHeight="1">
      <c r="A249" s="56" t="s">
        <v>6432</v>
      </c>
      <c r="B249" s="56" t="s">
        <v>2308</v>
      </c>
      <c r="C249" s="57" t="s">
        <v>6433</v>
      </c>
      <c r="D249" s="58">
        <v>4.698931049E9</v>
      </c>
      <c r="E249" s="56" t="s">
        <v>368</v>
      </c>
      <c r="F249" s="56" t="s">
        <v>2286</v>
      </c>
      <c r="G249" s="56" t="s">
        <v>390</v>
      </c>
      <c r="H249" s="56" t="s">
        <v>2291</v>
      </c>
      <c r="I249" s="62" t="s">
        <v>410</v>
      </c>
      <c r="J249" s="59"/>
      <c r="K249" s="56" t="s">
        <v>379</v>
      </c>
      <c r="L249" s="56" t="s">
        <v>365</v>
      </c>
      <c r="M249" s="56" t="s">
        <v>366</v>
      </c>
      <c r="N249" s="56" t="s">
        <v>5720</v>
      </c>
      <c r="O249" s="58">
        <v>0.0</v>
      </c>
      <c r="P249" s="58">
        <v>0.0</v>
      </c>
      <c r="Q249" s="56" t="s">
        <v>4051</v>
      </c>
      <c r="R249" s="59"/>
      <c r="S249" s="56" t="s">
        <v>5722</v>
      </c>
      <c r="T249" s="61" t="s">
        <v>394</v>
      </c>
      <c r="U249" s="58" t="s">
        <v>6434</v>
      </c>
      <c r="W249" s="55" t="b">
        <f t="shared" si="1"/>
        <v>0</v>
      </c>
    </row>
    <row r="250" ht="15.0" customHeight="1">
      <c r="A250" s="56" t="s">
        <v>3295</v>
      </c>
      <c r="B250" s="56" t="s">
        <v>3296</v>
      </c>
      <c r="C250" s="57" t="s">
        <v>3297</v>
      </c>
      <c r="D250" s="56" t="s">
        <v>6435</v>
      </c>
      <c r="E250" s="56" t="s">
        <v>368</v>
      </c>
      <c r="F250" s="56" t="s">
        <v>421</v>
      </c>
      <c r="G250" s="56" t="s">
        <v>452</v>
      </c>
      <c r="H250" s="62" t="s">
        <v>5715</v>
      </c>
      <c r="I250" s="59"/>
      <c r="J250" s="59"/>
      <c r="K250" s="56" t="s">
        <v>364</v>
      </c>
      <c r="L250" s="56" t="s">
        <v>365</v>
      </c>
      <c r="M250" s="56" t="s">
        <v>366</v>
      </c>
      <c r="N250" s="56" t="s">
        <v>5720</v>
      </c>
      <c r="O250" s="58">
        <v>0.0</v>
      </c>
      <c r="P250" s="58">
        <v>1.0</v>
      </c>
      <c r="Q250" s="56" t="s">
        <v>2953</v>
      </c>
      <c r="R250" s="59"/>
      <c r="S250" s="56" t="s">
        <v>5722</v>
      </c>
      <c r="T250" s="61" t="s">
        <v>373</v>
      </c>
      <c r="U250" s="58" t="s">
        <v>6436</v>
      </c>
      <c r="W250" s="55" t="b">
        <f t="shared" si="1"/>
        <v>0</v>
      </c>
    </row>
    <row r="251" ht="15.0" customHeight="1">
      <c r="A251" s="63" t="s">
        <v>308</v>
      </c>
      <c r="B251" s="63" t="s">
        <v>3309</v>
      </c>
      <c r="C251" s="53" t="s">
        <v>3310</v>
      </c>
      <c r="D251" s="64">
        <v>9.719174229E9</v>
      </c>
      <c r="E251" s="63" t="s">
        <v>368</v>
      </c>
      <c r="F251" s="63" t="s">
        <v>452</v>
      </c>
      <c r="G251" s="63" t="s">
        <v>675</v>
      </c>
      <c r="H251" s="63" t="s">
        <v>2286</v>
      </c>
      <c r="I251" s="63" t="s">
        <v>390</v>
      </c>
      <c r="J251" s="63" t="s">
        <v>2291</v>
      </c>
      <c r="K251" s="63" t="s">
        <v>379</v>
      </c>
      <c r="L251" s="63" t="s">
        <v>365</v>
      </c>
      <c r="M251" s="63" t="s">
        <v>413</v>
      </c>
      <c r="N251" s="63" t="s">
        <v>5720</v>
      </c>
      <c r="O251" s="64">
        <v>0.0</v>
      </c>
      <c r="P251" s="64">
        <v>0.0</v>
      </c>
      <c r="Q251" s="63" t="s">
        <v>643</v>
      </c>
      <c r="R251" s="65"/>
      <c r="S251" s="63" t="s">
        <v>5722</v>
      </c>
      <c r="T251" s="67" t="s">
        <v>373</v>
      </c>
      <c r="U251" s="64" t="s">
        <v>6437</v>
      </c>
      <c r="W251" s="55" t="b">
        <f t="shared" si="1"/>
        <v>0</v>
      </c>
    </row>
    <row r="252" ht="15.0" customHeight="1">
      <c r="A252" s="56" t="s">
        <v>3313</v>
      </c>
      <c r="B252" s="56" t="s">
        <v>3314</v>
      </c>
      <c r="C252" s="57" t="s">
        <v>3315</v>
      </c>
      <c r="D252" s="56" t="s">
        <v>6438</v>
      </c>
      <c r="E252" s="56" t="s">
        <v>368</v>
      </c>
      <c r="F252" s="56" t="s">
        <v>410</v>
      </c>
      <c r="G252" s="56" t="s">
        <v>452</v>
      </c>
      <c r="H252" s="56" t="s">
        <v>390</v>
      </c>
      <c r="I252" s="62" t="s">
        <v>459</v>
      </c>
      <c r="J252" s="59"/>
      <c r="K252" s="56" t="s">
        <v>379</v>
      </c>
      <c r="L252" s="56" t="s">
        <v>365</v>
      </c>
      <c r="M252" s="56" t="s">
        <v>366</v>
      </c>
      <c r="N252" s="62" t="s">
        <v>497</v>
      </c>
      <c r="O252" s="59"/>
      <c r="P252" s="59"/>
      <c r="Q252" s="56" t="s">
        <v>3318</v>
      </c>
      <c r="R252" s="59"/>
      <c r="S252" s="56" t="s">
        <v>5733</v>
      </c>
      <c r="T252" s="61" t="s">
        <v>373</v>
      </c>
      <c r="U252" s="58" t="s">
        <v>6439</v>
      </c>
      <c r="W252" s="55" t="b">
        <f t="shared" si="1"/>
        <v>0</v>
      </c>
    </row>
    <row r="253" ht="15.0" customHeight="1">
      <c r="A253" s="56" t="s">
        <v>6440</v>
      </c>
      <c r="B253" s="56" t="s">
        <v>6441</v>
      </c>
      <c r="C253" s="57" t="s">
        <v>6442</v>
      </c>
      <c r="D253" s="56" t="s">
        <v>6443</v>
      </c>
      <c r="E253" s="56" t="s">
        <v>368</v>
      </c>
      <c r="F253" s="56" t="s">
        <v>2286</v>
      </c>
      <c r="G253" s="62" t="s">
        <v>2286</v>
      </c>
      <c r="H253" s="59"/>
      <c r="I253" s="59"/>
      <c r="J253" s="59"/>
      <c r="K253" s="56" t="s">
        <v>399</v>
      </c>
      <c r="L253" s="56" t="s">
        <v>667</v>
      </c>
      <c r="M253" s="56" t="s">
        <v>513</v>
      </c>
      <c r="N253" s="62" t="s">
        <v>5716</v>
      </c>
      <c r="O253" s="59"/>
      <c r="P253" s="59"/>
      <c r="Q253" s="59"/>
      <c r="R253" s="59"/>
      <c r="S253" s="56" t="s">
        <v>5717</v>
      </c>
      <c r="T253" s="61" t="s">
        <v>394</v>
      </c>
      <c r="U253" s="58" t="s">
        <v>6444</v>
      </c>
      <c r="W253" s="55" t="b">
        <f t="shared" si="1"/>
        <v>1</v>
      </c>
    </row>
    <row r="254" ht="15.0" customHeight="1">
      <c r="A254" s="56" t="s">
        <v>6445</v>
      </c>
      <c r="B254" s="56" t="s">
        <v>6446</v>
      </c>
      <c r="C254" s="57" t="s">
        <v>6447</v>
      </c>
      <c r="D254" s="58">
        <v>6.015771967E9</v>
      </c>
      <c r="E254" s="56" t="s">
        <v>368</v>
      </c>
      <c r="F254" s="56" t="s">
        <v>421</v>
      </c>
      <c r="G254" s="56" t="s">
        <v>452</v>
      </c>
      <c r="H254" s="62" t="s">
        <v>2931</v>
      </c>
      <c r="I254" s="59"/>
      <c r="J254" s="56" t="s">
        <v>2291</v>
      </c>
      <c r="K254" s="56" t="s">
        <v>364</v>
      </c>
      <c r="L254" s="56" t="s">
        <v>412</v>
      </c>
      <c r="M254" s="56" t="s">
        <v>513</v>
      </c>
      <c r="N254" s="56" t="s">
        <v>5720</v>
      </c>
      <c r="O254" s="58">
        <v>4.0</v>
      </c>
      <c r="P254" s="58">
        <v>4.0</v>
      </c>
      <c r="Q254" s="56" t="s">
        <v>761</v>
      </c>
      <c r="R254" s="59"/>
      <c r="S254" s="56" t="s">
        <v>5722</v>
      </c>
      <c r="T254" s="61" t="s">
        <v>373</v>
      </c>
      <c r="U254" s="58" t="s">
        <v>6448</v>
      </c>
      <c r="W254" s="55" t="b">
        <f t="shared" si="1"/>
        <v>1</v>
      </c>
    </row>
    <row r="255" ht="15.0" customHeight="1">
      <c r="A255" s="56" t="s">
        <v>3320</v>
      </c>
      <c r="B255" s="56" t="s">
        <v>6449</v>
      </c>
      <c r="C255" s="57" t="s">
        <v>6450</v>
      </c>
      <c r="D255" s="58">
        <v>2.16440807E9</v>
      </c>
      <c r="E255" s="56" t="s">
        <v>368</v>
      </c>
      <c r="F255" s="56" t="s">
        <v>1598</v>
      </c>
      <c r="G255" s="56" t="s">
        <v>421</v>
      </c>
      <c r="H255" s="56" t="s">
        <v>2291</v>
      </c>
      <c r="I255" s="62" t="s">
        <v>390</v>
      </c>
      <c r="J255" s="59"/>
      <c r="K255" s="56" t="s">
        <v>364</v>
      </c>
      <c r="L255" s="56" t="s">
        <v>365</v>
      </c>
      <c r="M255" s="56" t="s">
        <v>366</v>
      </c>
      <c r="N255" s="62" t="s">
        <v>483</v>
      </c>
      <c r="O255" s="59"/>
      <c r="P255" s="59"/>
      <c r="Q255" s="56" t="s">
        <v>3945</v>
      </c>
      <c r="R255" s="59"/>
      <c r="S255" s="56" t="s">
        <v>5733</v>
      </c>
      <c r="T255" s="61" t="s">
        <v>373</v>
      </c>
      <c r="U255" s="58" t="s">
        <v>6451</v>
      </c>
      <c r="W255" s="55" t="b">
        <f t="shared" si="1"/>
        <v>0</v>
      </c>
    </row>
    <row r="256" ht="15.0" customHeight="1">
      <c r="A256" s="56" t="s">
        <v>6452</v>
      </c>
      <c r="B256" s="56" t="s">
        <v>6453</v>
      </c>
      <c r="C256" s="57" t="s">
        <v>6454</v>
      </c>
      <c r="D256" s="58">
        <v>2.817366792E9</v>
      </c>
      <c r="E256" s="56" t="s">
        <v>368</v>
      </c>
      <c r="F256" s="56" t="s">
        <v>362</v>
      </c>
      <c r="G256" s="56" t="s">
        <v>390</v>
      </c>
      <c r="H256" s="62" t="s">
        <v>452</v>
      </c>
      <c r="I256" s="59"/>
      <c r="J256" s="59"/>
      <c r="K256" s="56" t="s">
        <v>364</v>
      </c>
      <c r="L256" s="56" t="s">
        <v>405</v>
      </c>
      <c r="M256" s="56" t="s">
        <v>413</v>
      </c>
      <c r="N256" s="62" t="s">
        <v>5798</v>
      </c>
      <c r="O256" s="59"/>
      <c r="P256" s="59"/>
      <c r="Q256" s="56" t="s">
        <v>6455</v>
      </c>
      <c r="R256" s="59"/>
      <c r="S256" s="56" t="s">
        <v>5722</v>
      </c>
      <c r="T256" s="61" t="s">
        <v>373</v>
      </c>
      <c r="U256" s="58" t="s">
        <v>6456</v>
      </c>
      <c r="W256" s="55" t="b">
        <f t="shared" si="1"/>
        <v>0</v>
      </c>
    </row>
    <row r="257" ht="15.0" customHeight="1">
      <c r="A257" s="56" t="s">
        <v>151</v>
      </c>
      <c r="B257" s="56" t="s">
        <v>1274</v>
      </c>
      <c r="C257" s="57" t="s">
        <v>1275</v>
      </c>
      <c r="D257" s="56" t="s">
        <v>5013</v>
      </c>
      <c r="E257" s="56" t="s">
        <v>368</v>
      </c>
      <c r="F257" s="56" t="s">
        <v>390</v>
      </c>
      <c r="G257" s="56" t="s">
        <v>634</v>
      </c>
      <c r="H257" s="56" t="s">
        <v>2286</v>
      </c>
      <c r="I257" s="62" t="s">
        <v>452</v>
      </c>
      <c r="J257" s="59"/>
      <c r="K257" s="56" t="s">
        <v>379</v>
      </c>
      <c r="L257" s="56" t="s">
        <v>380</v>
      </c>
      <c r="M257" s="56" t="s">
        <v>413</v>
      </c>
      <c r="N257" s="56" t="s">
        <v>497</v>
      </c>
      <c r="O257" s="58">
        <v>0.0</v>
      </c>
      <c r="P257" s="58">
        <v>0.0</v>
      </c>
      <c r="Q257" s="56" t="s">
        <v>6457</v>
      </c>
      <c r="R257" s="59"/>
      <c r="S257" s="56" t="s">
        <v>5733</v>
      </c>
      <c r="T257" s="61" t="s">
        <v>373</v>
      </c>
      <c r="U257" s="58" t="s">
        <v>6458</v>
      </c>
      <c r="W257" s="55" t="b">
        <f t="shared" si="1"/>
        <v>0</v>
      </c>
    </row>
    <row r="258" ht="15.0" customHeight="1">
      <c r="A258" s="56" t="s">
        <v>152</v>
      </c>
      <c r="B258" s="56" t="s">
        <v>3331</v>
      </c>
      <c r="C258" s="57" t="s">
        <v>3332</v>
      </c>
      <c r="D258" s="56" t="s">
        <v>5016</v>
      </c>
      <c r="E258" s="56" t="s">
        <v>368</v>
      </c>
      <c r="F258" s="56" t="s">
        <v>2286</v>
      </c>
      <c r="G258" s="56" t="s">
        <v>675</v>
      </c>
      <c r="H258" s="56" t="s">
        <v>452</v>
      </c>
      <c r="I258" s="62" t="s">
        <v>390</v>
      </c>
      <c r="J258" s="59"/>
      <c r="K258" s="56" t="s">
        <v>364</v>
      </c>
      <c r="L258" s="56" t="s">
        <v>520</v>
      </c>
      <c r="M258" s="56" t="s">
        <v>366</v>
      </c>
      <c r="N258" s="62" t="s">
        <v>5720</v>
      </c>
      <c r="O258" s="59"/>
      <c r="P258" s="59"/>
      <c r="Q258" s="56" t="s">
        <v>1117</v>
      </c>
      <c r="R258" s="59"/>
      <c r="S258" s="56" t="s">
        <v>5722</v>
      </c>
      <c r="T258" s="61" t="s">
        <v>373</v>
      </c>
      <c r="U258" s="58" t="s">
        <v>6459</v>
      </c>
      <c r="W258" s="55" t="b">
        <f t="shared" si="1"/>
        <v>0</v>
      </c>
    </row>
    <row r="259" ht="15.0" customHeight="1">
      <c r="A259" s="56" t="s">
        <v>6460</v>
      </c>
      <c r="B259" s="56" t="s">
        <v>6461</v>
      </c>
      <c r="C259" s="57" t="s">
        <v>3337</v>
      </c>
      <c r="D259" s="58">
        <v>3.046682858E9</v>
      </c>
      <c r="E259" s="56" t="s">
        <v>368</v>
      </c>
      <c r="F259" s="56" t="s">
        <v>410</v>
      </c>
      <c r="G259" s="62" t="s">
        <v>390</v>
      </c>
      <c r="H259" s="59"/>
      <c r="I259" s="59"/>
      <c r="J259" s="59"/>
      <c r="K259" s="56" t="s">
        <v>364</v>
      </c>
      <c r="L259" s="56" t="s">
        <v>365</v>
      </c>
      <c r="M259" s="56" t="s">
        <v>366</v>
      </c>
      <c r="N259" s="62" t="s">
        <v>381</v>
      </c>
      <c r="O259" s="59"/>
      <c r="P259" s="59"/>
      <c r="Q259" s="56" t="s">
        <v>2331</v>
      </c>
      <c r="R259" s="59"/>
      <c r="S259" s="56" t="s">
        <v>5733</v>
      </c>
      <c r="T259" s="61" t="s">
        <v>373</v>
      </c>
      <c r="U259" s="58" t="s">
        <v>6462</v>
      </c>
      <c r="W259" s="55" t="b">
        <f t="shared" si="1"/>
        <v>0</v>
      </c>
    </row>
    <row r="260" ht="15.0" customHeight="1">
      <c r="A260" s="56" t="s">
        <v>1983</v>
      </c>
      <c r="B260" s="56" t="s">
        <v>6463</v>
      </c>
      <c r="C260" s="57" t="s">
        <v>6464</v>
      </c>
      <c r="D260" s="58">
        <v>3.347825389E9</v>
      </c>
      <c r="E260" s="56" t="s">
        <v>368</v>
      </c>
      <c r="F260" s="56" t="s">
        <v>452</v>
      </c>
      <c r="G260" s="56" t="s">
        <v>390</v>
      </c>
      <c r="H260" s="56" t="s">
        <v>421</v>
      </c>
      <c r="I260" s="56" t="s">
        <v>2931</v>
      </c>
      <c r="J260" s="56" t="s">
        <v>2291</v>
      </c>
      <c r="K260" s="56" t="s">
        <v>379</v>
      </c>
      <c r="L260" s="56" t="s">
        <v>365</v>
      </c>
      <c r="M260" s="56" t="s">
        <v>413</v>
      </c>
      <c r="N260" s="62" t="s">
        <v>5720</v>
      </c>
      <c r="O260" s="59"/>
      <c r="P260" s="59"/>
      <c r="Q260" s="56" t="s">
        <v>2505</v>
      </c>
      <c r="R260" s="59"/>
      <c r="S260" s="56" t="s">
        <v>5722</v>
      </c>
      <c r="T260" s="61" t="s">
        <v>373</v>
      </c>
      <c r="U260" s="58" t="s">
        <v>6465</v>
      </c>
      <c r="W260" s="55" t="b">
        <f t="shared" si="1"/>
        <v>0</v>
      </c>
    </row>
    <row r="261" ht="15.0" customHeight="1">
      <c r="A261" s="56" t="s">
        <v>153</v>
      </c>
      <c r="B261" s="56" t="s">
        <v>6466</v>
      </c>
      <c r="C261" s="57" t="s">
        <v>6467</v>
      </c>
      <c r="D261" s="58">
        <v>8.065352052E9</v>
      </c>
      <c r="E261" s="56" t="s">
        <v>368</v>
      </c>
      <c r="F261" s="56" t="s">
        <v>5715</v>
      </c>
      <c r="G261" s="56" t="s">
        <v>452</v>
      </c>
      <c r="H261" s="62" t="s">
        <v>362</v>
      </c>
      <c r="I261" s="59"/>
      <c r="J261" s="59"/>
      <c r="K261" s="56" t="s">
        <v>364</v>
      </c>
      <c r="L261" s="56" t="s">
        <v>822</v>
      </c>
      <c r="M261" s="56" t="s">
        <v>366</v>
      </c>
      <c r="N261" s="56" t="s">
        <v>381</v>
      </c>
      <c r="O261" s="58">
        <v>0.0</v>
      </c>
      <c r="P261" s="58">
        <v>0.0</v>
      </c>
      <c r="Q261" s="56" t="s">
        <v>1732</v>
      </c>
      <c r="R261" s="59"/>
      <c r="S261" s="56" t="s">
        <v>5733</v>
      </c>
      <c r="T261" s="61" t="s">
        <v>373</v>
      </c>
      <c r="U261" s="58" t="s">
        <v>6468</v>
      </c>
      <c r="W261" s="55" t="b">
        <f t="shared" si="1"/>
        <v>0</v>
      </c>
    </row>
    <row r="262" ht="15.0" customHeight="1">
      <c r="A262" s="56" t="s">
        <v>3344</v>
      </c>
      <c r="B262" s="56" t="s">
        <v>3345</v>
      </c>
      <c r="C262" s="57" t="s">
        <v>3346</v>
      </c>
      <c r="D262" s="56" t="s">
        <v>6469</v>
      </c>
      <c r="E262" s="56" t="s">
        <v>368</v>
      </c>
      <c r="F262" s="56" t="s">
        <v>709</v>
      </c>
      <c r="G262" s="56" t="s">
        <v>5715</v>
      </c>
      <c r="H262" s="56" t="s">
        <v>421</v>
      </c>
      <c r="I262" s="56" t="s">
        <v>1598</v>
      </c>
      <c r="J262" s="56" t="s">
        <v>410</v>
      </c>
      <c r="K262" s="56" t="s">
        <v>399</v>
      </c>
      <c r="L262" s="56" t="s">
        <v>520</v>
      </c>
      <c r="M262" s="56" t="s">
        <v>513</v>
      </c>
      <c r="N262" s="62" t="s">
        <v>5716</v>
      </c>
      <c r="O262" s="59"/>
      <c r="P262" s="59"/>
      <c r="Q262" s="56" t="s">
        <v>21</v>
      </c>
      <c r="R262" s="59"/>
      <c r="S262" s="56" t="s">
        <v>5717</v>
      </c>
      <c r="T262" s="61" t="s">
        <v>373</v>
      </c>
      <c r="U262" s="58" t="s">
        <v>6470</v>
      </c>
      <c r="W262" s="55" t="b">
        <f t="shared" si="1"/>
        <v>1</v>
      </c>
    </row>
    <row r="263" ht="15.0" customHeight="1">
      <c r="A263" s="56" t="s">
        <v>155</v>
      </c>
      <c r="B263" s="56" t="s">
        <v>1297</v>
      </c>
      <c r="C263" s="57" t="s">
        <v>1298</v>
      </c>
      <c r="D263" s="56" t="s">
        <v>6471</v>
      </c>
      <c r="E263" s="56" t="s">
        <v>368</v>
      </c>
      <c r="F263" s="56" t="s">
        <v>2286</v>
      </c>
      <c r="G263" s="56" t="s">
        <v>5719</v>
      </c>
      <c r="H263" s="62" t="s">
        <v>1789</v>
      </c>
      <c r="I263" s="59"/>
      <c r="J263" s="59"/>
      <c r="K263" s="56" t="s">
        <v>364</v>
      </c>
      <c r="L263" s="56" t="s">
        <v>365</v>
      </c>
      <c r="M263" s="56" t="s">
        <v>413</v>
      </c>
      <c r="N263" s="56" t="s">
        <v>1301</v>
      </c>
      <c r="O263" s="58">
        <v>0.0</v>
      </c>
      <c r="P263" s="58">
        <v>0.0</v>
      </c>
      <c r="Q263" s="56" t="s">
        <v>900</v>
      </c>
      <c r="R263" s="59"/>
      <c r="S263" s="56" t="s">
        <v>5733</v>
      </c>
      <c r="T263" s="61" t="s">
        <v>373</v>
      </c>
      <c r="U263" s="58" t="s">
        <v>6472</v>
      </c>
      <c r="W263" s="55" t="b">
        <f t="shared" si="1"/>
        <v>0</v>
      </c>
    </row>
    <row r="264" ht="15.0" customHeight="1">
      <c r="A264" s="56" t="s">
        <v>156</v>
      </c>
      <c r="B264" s="56" t="s">
        <v>5027</v>
      </c>
      <c r="C264" s="57" t="s">
        <v>5028</v>
      </c>
      <c r="D264" s="56" t="s">
        <v>5029</v>
      </c>
      <c r="E264" s="56" t="s">
        <v>368</v>
      </c>
      <c r="F264" s="62" t="s">
        <v>2286</v>
      </c>
      <c r="G264" s="59"/>
      <c r="H264" s="59"/>
      <c r="I264" s="59"/>
      <c r="J264" s="59"/>
      <c r="K264" s="56" t="s">
        <v>399</v>
      </c>
      <c r="L264" s="56" t="s">
        <v>520</v>
      </c>
      <c r="M264" s="56" t="s">
        <v>513</v>
      </c>
      <c r="N264" s="62" t="s">
        <v>5720</v>
      </c>
      <c r="O264" s="59"/>
      <c r="P264" s="59"/>
      <c r="Q264" s="56" t="s">
        <v>5320</v>
      </c>
      <c r="R264" s="59"/>
      <c r="S264" s="56" t="s">
        <v>5722</v>
      </c>
      <c r="T264" s="61" t="s">
        <v>373</v>
      </c>
      <c r="U264" s="58" t="s">
        <v>6473</v>
      </c>
      <c r="W264" s="55" t="b">
        <f t="shared" si="1"/>
        <v>1</v>
      </c>
    </row>
    <row r="265" ht="15.0" customHeight="1">
      <c r="A265" s="56" t="s">
        <v>5036</v>
      </c>
      <c r="B265" s="56" t="s">
        <v>3360</v>
      </c>
      <c r="C265" s="57" t="s">
        <v>3361</v>
      </c>
      <c r="D265" s="56" t="s">
        <v>6474</v>
      </c>
      <c r="E265" s="56" t="s">
        <v>368</v>
      </c>
      <c r="F265" s="56" t="s">
        <v>675</v>
      </c>
      <c r="G265" s="56" t="s">
        <v>452</v>
      </c>
      <c r="H265" s="62" t="s">
        <v>390</v>
      </c>
      <c r="I265" s="59"/>
      <c r="J265" s="59"/>
      <c r="K265" s="56" t="s">
        <v>379</v>
      </c>
      <c r="L265" s="56" t="s">
        <v>365</v>
      </c>
      <c r="M265" s="56" t="s">
        <v>413</v>
      </c>
      <c r="N265" s="62" t="s">
        <v>5720</v>
      </c>
      <c r="O265" s="59"/>
      <c r="P265" s="58">
        <v>1.0</v>
      </c>
      <c r="Q265" s="56" t="s">
        <v>5527</v>
      </c>
      <c r="R265" s="59"/>
      <c r="S265" s="56" t="s">
        <v>5722</v>
      </c>
      <c r="T265" s="61" t="s">
        <v>373</v>
      </c>
      <c r="U265" s="58" t="s">
        <v>6475</v>
      </c>
      <c r="W265" s="55" t="b">
        <f t="shared" si="1"/>
        <v>0</v>
      </c>
    </row>
    <row r="266" ht="15.0" customHeight="1">
      <c r="A266" s="56" t="s">
        <v>309</v>
      </c>
      <c r="B266" s="56" t="s">
        <v>3363</v>
      </c>
      <c r="C266" s="57" t="s">
        <v>6476</v>
      </c>
      <c r="D266" s="56" t="s">
        <v>6477</v>
      </c>
      <c r="E266" s="56" t="s">
        <v>368</v>
      </c>
      <c r="F266" s="56" t="s">
        <v>410</v>
      </c>
      <c r="G266" s="56" t="s">
        <v>452</v>
      </c>
      <c r="H266" s="56" t="s">
        <v>390</v>
      </c>
      <c r="I266" s="56" t="s">
        <v>1789</v>
      </c>
      <c r="J266" s="56" t="s">
        <v>2286</v>
      </c>
      <c r="K266" s="56" t="s">
        <v>379</v>
      </c>
      <c r="L266" s="56" t="s">
        <v>365</v>
      </c>
      <c r="M266" s="56" t="s">
        <v>366</v>
      </c>
      <c r="N266" s="62" t="s">
        <v>5720</v>
      </c>
      <c r="O266" s="59"/>
      <c r="P266" s="59"/>
      <c r="Q266" s="56" t="s">
        <v>2168</v>
      </c>
      <c r="R266" s="59"/>
      <c r="S266" s="56" t="s">
        <v>5722</v>
      </c>
      <c r="T266" s="61" t="s">
        <v>373</v>
      </c>
      <c r="U266" s="58" t="s">
        <v>6131</v>
      </c>
      <c r="W266" s="55" t="b">
        <f t="shared" si="1"/>
        <v>0</v>
      </c>
    </row>
    <row r="267" ht="15.0" customHeight="1">
      <c r="A267" s="56" t="s">
        <v>157</v>
      </c>
      <c r="B267" s="56" t="s">
        <v>3373</v>
      </c>
      <c r="C267" s="57" t="s">
        <v>6478</v>
      </c>
      <c r="D267" s="56" t="s">
        <v>6479</v>
      </c>
      <c r="E267" s="56" t="s">
        <v>368</v>
      </c>
      <c r="F267" s="56" t="s">
        <v>410</v>
      </c>
      <c r="G267" s="56" t="s">
        <v>452</v>
      </c>
      <c r="H267" s="56" t="s">
        <v>390</v>
      </c>
      <c r="I267" s="56" t="s">
        <v>410</v>
      </c>
      <c r="J267" s="56" t="s">
        <v>410</v>
      </c>
      <c r="K267" s="56" t="s">
        <v>379</v>
      </c>
      <c r="L267" s="56" t="s">
        <v>365</v>
      </c>
      <c r="M267" s="56" t="s">
        <v>413</v>
      </c>
      <c r="N267" s="62" t="s">
        <v>497</v>
      </c>
      <c r="O267" s="59"/>
      <c r="P267" s="59"/>
      <c r="Q267" s="56" t="s">
        <v>6480</v>
      </c>
      <c r="R267" s="59"/>
      <c r="S267" s="56" t="s">
        <v>5733</v>
      </c>
      <c r="T267" s="61" t="s">
        <v>373</v>
      </c>
      <c r="U267" s="58" t="s">
        <v>6481</v>
      </c>
      <c r="W267" s="55" t="b">
        <f t="shared" si="1"/>
        <v>0</v>
      </c>
    </row>
    <row r="268" ht="15.0" customHeight="1">
      <c r="A268" s="56" t="s">
        <v>310</v>
      </c>
      <c r="B268" s="56" t="s">
        <v>1313</v>
      </c>
      <c r="C268" s="57" t="s">
        <v>1314</v>
      </c>
      <c r="D268" s="56" t="s">
        <v>6482</v>
      </c>
      <c r="E268" s="56" t="s">
        <v>368</v>
      </c>
      <c r="F268" s="56" t="s">
        <v>452</v>
      </c>
      <c r="G268" s="62" t="s">
        <v>410</v>
      </c>
      <c r="H268" s="59"/>
      <c r="I268" s="59"/>
      <c r="J268" s="59"/>
      <c r="K268" s="56" t="s">
        <v>379</v>
      </c>
      <c r="L268" s="56" t="s">
        <v>405</v>
      </c>
      <c r="M268" s="56" t="s">
        <v>366</v>
      </c>
      <c r="N268" s="56" t="s">
        <v>5720</v>
      </c>
      <c r="O268" s="58">
        <v>0.0</v>
      </c>
      <c r="P268" s="58">
        <v>2.0</v>
      </c>
      <c r="Q268" s="56" t="s">
        <v>554</v>
      </c>
      <c r="R268" s="59"/>
      <c r="S268" s="56" t="s">
        <v>5722</v>
      </c>
      <c r="T268" s="61" t="s">
        <v>373</v>
      </c>
      <c r="U268" s="58" t="s">
        <v>6483</v>
      </c>
      <c r="W268" s="55" t="b">
        <f t="shared" si="1"/>
        <v>0</v>
      </c>
    </row>
    <row r="269" ht="15.0" customHeight="1">
      <c r="A269" s="56" t="s">
        <v>3380</v>
      </c>
      <c r="B269" s="56" t="s">
        <v>3381</v>
      </c>
      <c r="C269" s="57" t="s">
        <v>3382</v>
      </c>
      <c r="D269" s="56" t="s">
        <v>3383</v>
      </c>
      <c r="E269" s="56" t="s">
        <v>368</v>
      </c>
      <c r="F269" s="56" t="s">
        <v>421</v>
      </c>
      <c r="G269" s="56" t="s">
        <v>390</v>
      </c>
      <c r="H269" s="56" t="s">
        <v>452</v>
      </c>
      <c r="I269" s="62" t="s">
        <v>1598</v>
      </c>
      <c r="J269" s="59"/>
      <c r="K269" s="56" t="s">
        <v>399</v>
      </c>
      <c r="L269" s="56" t="s">
        <v>380</v>
      </c>
      <c r="M269" s="56" t="s">
        <v>366</v>
      </c>
      <c r="N269" s="62" t="s">
        <v>5720</v>
      </c>
      <c r="O269" s="59"/>
      <c r="P269" s="59"/>
      <c r="Q269" s="56" t="s">
        <v>3211</v>
      </c>
      <c r="R269" s="59"/>
      <c r="S269" s="56" t="s">
        <v>5722</v>
      </c>
      <c r="T269" s="61" t="s">
        <v>373</v>
      </c>
      <c r="U269" s="58" t="s">
        <v>6484</v>
      </c>
      <c r="W269" s="55" t="b">
        <f t="shared" si="1"/>
        <v>0</v>
      </c>
    </row>
    <row r="270" ht="15.0" customHeight="1">
      <c r="A270" s="56" t="s">
        <v>6485</v>
      </c>
      <c r="B270" s="56" t="s">
        <v>6486</v>
      </c>
      <c r="C270" s="57" t="s">
        <v>6487</v>
      </c>
      <c r="D270" s="56" t="s">
        <v>6488</v>
      </c>
      <c r="E270" s="56" t="s">
        <v>368</v>
      </c>
      <c r="F270" s="56" t="s">
        <v>2291</v>
      </c>
      <c r="G270" s="56" t="s">
        <v>390</v>
      </c>
      <c r="H270" s="56" t="s">
        <v>421</v>
      </c>
      <c r="I270" s="62" t="s">
        <v>452</v>
      </c>
      <c r="J270" s="59"/>
      <c r="K270" s="56" t="s">
        <v>379</v>
      </c>
      <c r="L270" s="56" t="s">
        <v>412</v>
      </c>
      <c r="M270" s="56" t="s">
        <v>413</v>
      </c>
      <c r="N270" s="62" t="s">
        <v>5770</v>
      </c>
      <c r="O270" s="59"/>
      <c r="P270" s="59"/>
      <c r="Q270" s="56" t="s">
        <v>3357</v>
      </c>
      <c r="R270" s="59"/>
      <c r="S270" s="56" t="s">
        <v>5722</v>
      </c>
      <c r="T270" s="61" t="s">
        <v>373</v>
      </c>
      <c r="U270" s="58" t="s">
        <v>6489</v>
      </c>
      <c r="W270" s="55" t="b">
        <f t="shared" si="1"/>
        <v>0</v>
      </c>
    </row>
    <row r="271" ht="15.0" customHeight="1">
      <c r="A271" s="56" t="s">
        <v>6490</v>
      </c>
      <c r="B271" s="56" t="s">
        <v>6491</v>
      </c>
      <c r="C271" s="57" t="s">
        <v>6492</v>
      </c>
      <c r="D271" s="56" t="s">
        <v>6493</v>
      </c>
      <c r="E271" s="56" t="s">
        <v>368</v>
      </c>
      <c r="F271" s="56" t="s">
        <v>2291</v>
      </c>
      <c r="G271" s="62" t="s">
        <v>421</v>
      </c>
      <c r="H271" s="59"/>
      <c r="I271" s="59"/>
      <c r="J271" s="59"/>
      <c r="K271" s="56" t="s">
        <v>379</v>
      </c>
      <c r="L271" s="56" t="s">
        <v>412</v>
      </c>
      <c r="M271" s="56" t="s">
        <v>366</v>
      </c>
      <c r="N271" s="62" t="s">
        <v>483</v>
      </c>
      <c r="O271" s="59"/>
      <c r="P271" s="59"/>
      <c r="Q271" s="59"/>
      <c r="R271" s="59"/>
      <c r="S271" s="56" t="s">
        <v>5733</v>
      </c>
      <c r="T271" s="61" t="s">
        <v>394</v>
      </c>
      <c r="U271" s="58" t="s">
        <v>6494</v>
      </c>
      <c r="W271" s="55" t="b">
        <f t="shared" si="1"/>
        <v>0</v>
      </c>
    </row>
    <row r="272" ht="15.0" customHeight="1">
      <c r="A272" s="56" t="s">
        <v>3394</v>
      </c>
      <c r="B272" s="56" t="s">
        <v>6495</v>
      </c>
      <c r="C272" s="57" t="s">
        <v>6496</v>
      </c>
      <c r="D272" s="58">
        <v>8.649602759E9</v>
      </c>
      <c r="E272" s="56" t="s">
        <v>368</v>
      </c>
      <c r="F272" s="56" t="s">
        <v>390</v>
      </c>
      <c r="G272" s="56" t="s">
        <v>452</v>
      </c>
      <c r="H272" s="62" t="s">
        <v>634</v>
      </c>
      <c r="I272" s="59"/>
      <c r="J272" s="59"/>
      <c r="K272" s="56" t="s">
        <v>379</v>
      </c>
      <c r="L272" s="56" t="s">
        <v>380</v>
      </c>
      <c r="M272" s="56" t="s">
        <v>413</v>
      </c>
      <c r="N272" s="56" t="s">
        <v>5720</v>
      </c>
      <c r="O272" s="58">
        <v>0.0</v>
      </c>
      <c r="P272" s="59"/>
      <c r="Q272" s="56" t="s">
        <v>1194</v>
      </c>
      <c r="R272" s="59"/>
      <c r="S272" s="56" t="s">
        <v>5722</v>
      </c>
      <c r="T272" s="61" t="s">
        <v>373</v>
      </c>
      <c r="U272" s="58" t="s">
        <v>5831</v>
      </c>
      <c r="W272" s="55" t="b">
        <f t="shared" si="1"/>
        <v>0</v>
      </c>
    </row>
    <row r="273" ht="15.0" customHeight="1">
      <c r="A273" s="56" t="s">
        <v>6497</v>
      </c>
      <c r="B273" s="56" t="s">
        <v>1332</v>
      </c>
      <c r="C273" s="57" t="s">
        <v>1333</v>
      </c>
      <c r="D273" s="56" t="s">
        <v>5052</v>
      </c>
      <c r="E273" s="56" t="s">
        <v>368</v>
      </c>
      <c r="F273" s="62" t="s">
        <v>2286</v>
      </c>
      <c r="G273" s="59"/>
      <c r="H273" s="59"/>
      <c r="I273" s="59"/>
      <c r="J273" s="59"/>
      <c r="K273" s="56" t="s">
        <v>399</v>
      </c>
      <c r="L273" s="56" t="s">
        <v>667</v>
      </c>
      <c r="M273" s="56" t="s">
        <v>513</v>
      </c>
      <c r="N273" s="62" t="s">
        <v>5720</v>
      </c>
      <c r="O273" s="59"/>
      <c r="P273" s="59"/>
      <c r="Q273" s="56" t="s">
        <v>1390</v>
      </c>
      <c r="R273" s="59"/>
      <c r="S273" s="56" t="s">
        <v>5722</v>
      </c>
      <c r="T273" s="61" t="s">
        <v>373</v>
      </c>
      <c r="U273" s="58" t="s">
        <v>6498</v>
      </c>
      <c r="W273" s="55" t="b">
        <f t="shared" si="1"/>
        <v>1</v>
      </c>
    </row>
    <row r="274" ht="15.0" customHeight="1">
      <c r="A274" s="56" t="s">
        <v>6499</v>
      </c>
      <c r="B274" s="56" t="s">
        <v>6500</v>
      </c>
      <c r="C274" s="57" t="s">
        <v>6501</v>
      </c>
      <c r="D274" s="58">
        <v>3.185403923E9</v>
      </c>
      <c r="E274" s="56" t="s">
        <v>368</v>
      </c>
      <c r="F274" s="56" t="s">
        <v>410</v>
      </c>
      <c r="G274" s="56" t="s">
        <v>452</v>
      </c>
      <c r="H274" s="56" t="s">
        <v>390</v>
      </c>
      <c r="I274" s="56" t="s">
        <v>421</v>
      </c>
      <c r="J274" s="56" t="s">
        <v>1789</v>
      </c>
      <c r="K274" s="56" t="s">
        <v>364</v>
      </c>
      <c r="L274" s="56" t="s">
        <v>380</v>
      </c>
      <c r="M274" s="56" t="s">
        <v>366</v>
      </c>
      <c r="N274" s="56" t="s">
        <v>483</v>
      </c>
      <c r="O274" s="58">
        <v>0.0</v>
      </c>
      <c r="P274" s="59"/>
      <c r="Q274" s="56" t="s">
        <v>4098</v>
      </c>
      <c r="R274" s="59"/>
      <c r="S274" s="56" t="s">
        <v>5733</v>
      </c>
      <c r="T274" s="61" t="s">
        <v>373</v>
      </c>
      <c r="U274" s="58" t="s">
        <v>6502</v>
      </c>
      <c r="W274" s="55" t="b">
        <f t="shared" si="1"/>
        <v>0</v>
      </c>
    </row>
    <row r="275" ht="15.0" customHeight="1">
      <c r="A275" s="57" t="s">
        <v>6503</v>
      </c>
      <c r="B275" s="56" t="s">
        <v>6504</v>
      </c>
      <c r="C275" s="57" t="s">
        <v>6505</v>
      </c>
      <c r="D275" s="56" t="s">
        <v>6506</v>
      </c>
      <c r="E275" s="56" t="s">
        <v>368</v>
      </c>
      <c r="F275" s="56" t="s">
        <v>2286</v>
      </c>
      <c r="G275" s="62" t="s">
        <v>2291</v>
      </c>
      <c r="H275" s="59"/>
      <c r="I275" s="59"/>
      <c r="J275" s="59"/>
      <c r="K275" s="56" t="s">
        <v>364</v>
      </c>
      <c r="L275" s="56" t="s">
        <v>365</v>
      </c>
      <c r="M275" s="56" t="s">
        <v>413</v>
      </c>
      <c r="N275" s="62" t="s">
        <v>5720</v>
      </c>
      <c r="O275" s="59"/>
      <c r="P275" s="58">
        <v>0.0</v>
      </c>
      <c r="Q275" s="56" t="s">
        <v>6507</v>
      </c>
      <c r="R275" s="59"/>
      <c r="S275" s="56" t="s">
        <v>5722</v>
      </c>
      <c r="T275" s="61" t="s">
        <v>373</v>
      </c>
      <c r="U275" s="58" t="s">
        <v>6508</v>
      </c>
      <c r="W275" s="55" t="b">
        <f t="shared" si="1"/>
        <v>0</v>
      </c>
    </row>
    <row r="276" ht="15.0" customHeight="1">
      <c r="A276" s="56" t="s">
        <v>6509</v>
      </c>
      <c r="B276" s="56" t="s">
        <v>6510</v>
      </c>
      <c r="C276" s="57" t="s">
        <v>6511</v>
      </c>
      <c r="D276" s="58">
        <v>2.543131341E9</v>
      </c>
      <c r="E276" s="56" t="s">
        <v>368</v>
      </c>
      <c r="F276" s="62" t="s">
        <v>2286</v>
      </c>
      <c r="G276" s="59"/>
      <c r="H276" s="59"/>
      <c r="I276" s="59"/>
      <c r="J276" s="59"/>
      <c r="K276" s="56" t="s">
        <v>364</v>
      </c>
      <c r="L276" s="56" t="s">
        <v>520</v>
      </c>
      <c r="M276" s="56" t="s">
        <v>366</v>
      </c>
      <c r="N276" s="62" t="s">
        <v>5798</v>
      </c>
      <c r="O276" s="59"/>
      <c r="P276" s="59"/>
      <c r="Q276" s="56" t="s">
        <v>2221</v>
      </c>
      <c r="R276" s="59"/>
      <c r="S276" s="56" t="s">
        <v>5722</v>
      </c>
      <c r="T276" s="61" t="s">
        <v>373</v>
      </c>
      <c r="U276" s="58" t="s">
        <v>6512</v>
      </c>
      <c r="W276" s="55" t="b">
        <f t="shared" si="1"/>
        <v>0</v>
      </c>
    </row>
    <row r="277" ht="15.0" customHeight="1">
      <c r="A277" s="56" t="s">
        <v>159</v>
      </c>
      <c r="B277" s="56" t="s">
        <v>1337</v>
      </c>
      <c r="C277" s="57" t="s">
        <v>6513</v>
      </c>
      <c r="D277" s="56" t="s">
        <v>6514</v>
      </c>
      <c r="E277" s="56" t="s">
        <v>368</v>
      </c>
      <c r="F277" s="56" t="s">
        <v>2286</v>
      </c>
      <c r="G277" s="56" t="s">
        <v>452</v>
      </c>
      <c r="H277" s="56" t="s">
        <v>410</v>
      </c>
      <c r="I277" s="56" t="s">
        <v>390</v>
      </c>
      <c r="J277" s="56" t="s">
        <v>1789</v>
      </c>
      <c r="K277" s="56" t="s">
        <v>364</v>
      </c>
      <c r="L277" s="56" t="s">
        <v>365</v>
      </c>
      <c r="M277" s="56" t="s">
        <v>513</v>
      </c>
      <c r="N277" s="62" t="s">
        <v>5724</v>
      </c>
      <c r="O277" s="59"/>
      <c r="P277" s="59"/>
      <c r="Q277" s="56" t="s">
        <v>4887</v>
      </c>
      <c r="R277" s="59"/>
      <c r="S277" s="56" t="s">
        <v>5717</v>
      </c>
      <c r="T277" s="61" t="s">
        <v>373</v>
      </c>
      <c r="U277" s="58" t="s">
        <v>6515</v>
      </c>
      <c r="W277" s="55" t="b">
        <f t="shared" si="1"/>
        <v>1</v>
      </c>
    </row>
    <row r="278" ht="15.0" customHeight="1">
      <c r="A278" s="56" t="s">
        <v>6516</v>
      </c>
      <c r="B278" s="56" t="s">
        <v>456</v>
      </c>
      <c r="C278" s="57" t="s">
        <v>6517</v>
      </c>
      <c r="D278" s="56" t="s">
        <v>6518</v>
      </c>
      <c r="E278" s="56" t="s">
        <v>368</v>
      </c>
      <c r="F278" s="56" t="s">
        <v>459</v>
      </c>
      <c r="G278" s="56" t="s">
        <v>2931</v>
      </c>
      <c r="H278" s="56" t="s">
        <v>362</v>
      </c>
      <c r="I278" s="56" t="s">
        <v>390</v>
      </c>
      <c r="J278" s="56" t="s">
        <v>1598</v>
      </c>
      <c r="K278" s="56" t="s">
        <v>399</v>
      </c>
      <c r="L278" s="56" t="s">
        <v>365</v>
      </c>
      <c r="M278" s="56" t="s">
        <v>366</v>
      </c>
      <c r="N278" s="62" t="s">
        <v>5716</v>
      </c>
      <c r="O278" s="59"/>
      <c r="P278" s="59"/>
      <c r="Q278" s="56" t="s">
        <v>5640</v>
      </c>
      <c r="R278" s="59"/>
      <c r="S278" s="56" t="s">
        <v>5717</v>
      </c>
      <c r="T278" s="61" t="s">
        <v>373</v>
      </c>
      <c r="U278" s="58" t="s">
        <v>6519</v>
      </c>
      <c r="W278" s="55" t="b">
        <f t="shared" si="1"/>
        <v>0</v>
      </c>
    </row>
    <row r="279" ht="15.0" customHeight="1">
      <c r="A279" s="56" t="s">
        <v>160</v>
      </c>
      <c r="B279" s="56" t="s">
        <v>1351</v>
      </c>
      <c r="C279" s="57" t="s">
        <v>1352</v>
      </c>
      <c r="D279" s="56" t="s">
        <v>5061</v>
      </c>
      <c r="E279" s="56" t="s">
        <v>368</v>
      </c>
      <c r="F279" s="56" t="s">
        <v>2286</v>
      </c>
      <c r="G279" s="56" t="s">
        <v>390</v>
      </c>
      <c r="H279" s="56" t="s">
        <v>1789</v>
      </c>
      <c r="I279" s="62" t="s">
        <v>716</v>
      </c>
      <c r="J279" s="59"/>
      <c r="K279" s="56" t="s">
        <v>379</v>
      </c>
      <c r="L279" s="56" t="s">
        <v>412</v>
      </c>
      <c r="M279" s="56" t="s">
        <v>413</v>
      </c>
      <c r="N279" s="62" t="s">
        <v>5720</v>
      </c>
      <c r="O279" s="59"/>
      <c r="P279" s="59"/>
      <c r="Q279" s="56" t="s">
        <v>4302</v>
      </c>
      <c r="R279" s="59"/>
      <c r="S279" s="56" t="s">
        <v>5722</v>
      </c>
      <c r="T279" s="61" t="s">
        <v>373</v>
      </c>
      <c r="U279" s="58" t="s">
        <v>6520</v>
      </c>
      <c r="W279" s="55" t="b">
        <f t="shared" si="1"/>
        <v>0</v>
      </c>
    </row>
    <row r="280" ht="15.0" customHeight="1">
      <c r="A280" s="56" t="s">
        <v>161</v>
      </c>
      <c r="B280" s="56" t="s">
        <v>6521</v>
      </c>
      <c r="C280" s="57" t="s">
        <v>6522</v>
      </c>
      <c r="D280" s="58">
        <v>8.168199985E9</v>
      </c>
      <c r="E280" s="56" t="s">
        <v>368</v>
      </c>
      <c r="F280" s="56" t="s">
        <v>390</v>
      </c>
      <c r="G280" s="56" t="s">
        <v>675</v>
      </c>
      <c r="H280" s="56" t="s">
        <v>452</v>
      </c>
      <c r="I280" s="62" t="s">
        <v>2286</v>
      </c>
      <c r="J280" s="59"/>
      <c r="K280" s="56" t="s">
        <v>364</v>
      </c>
      <c r="L280" s="56" t="s">
        <v>380</v>
      </c>
      <c r="M280" s="56" t="s">
        <v>413</v>
      </c>
      <c r="N280" s="56" t="s">
        <v>5716</v>
      </c>
      <c r="O280" s="58">
        <v>2.0</v>
      </c>
      <c r="P280" s="59"/>
      <c r="Q280" s="56" t="s">
        <v>4759</v>
      </c>
      <c r="R280" s="59"/>
      <c r="S280" s="56" t="s">
        <v>5717</v>
      </c>
      <c r="T280" s="61" t="s">
        <v>373</v>
      </c>
      <c r="U280" s="58" t="s">
        <v>5992</v>
      </c>
      <c r="W280" s="55" t="b">
        <f t="shared" si="1"/>
        <v>0</v>
      </c>
    </row>
    <row r="281" ht="15.0" customHeight="1">
      <c r="A281" s="56" t="s">
        <v>162</v>
      </c>
      <c r="B281" s="56" t="s">
        <v>1362</v>
      </c>
      <c r="C281" s="57" t="s">
        <v>1363</v>
      </c>
      <c r="D281" s="58">
        <v>0.0</v>
      </c>
      <c r="E281" s="56" t="s">
        <v>368</v>
      </c>
      <c r="F281" s="56" t="s">
        <v>443</v>
      </c>
      <c r="G281" s="56" t="s">
        <v>410</v>
      </c>
      <c r="H281" s="56" t="s">
        <v>5715</v>
      </c>
      <c r="I281" s="56" t="s">
        <v>452</v>
      </c>
      <c r="J281" s="56" t="s">
        <v>390</v>
      </c>
      <c r="K281" s="56" t="s">
        <v>364</v>
      </c>
      <c r="L281" s="56" t="s">
        <v>412</v>
      </c>
      <c r="M281" s="56" t="s">
        <v>413</v>
      </c>
      <c r="N281" s="62" t="s">
        <v>483</v>
      </c>
      <c r="O281" s="59"/>
      <c r="P281" s="59"/>
      <c r="Q281" s="56" t="s">
        <v>606</v>
      </c>
      <c r="R281" s="59"/>
      <c r="S281" s="56" t="s">
        <v>5733</v>
      </c>
      <c r="T281" s="61" t="s">
        <v>373</v>
      </c>
      <c r="U281" s="58" t="s">
        <v>6523</v>
      </c>
      <c r="W281" s="55" t="b">
        <f t="shared" si="1"/>
        <v>0</v>
      </c>
    </row>
    <row r="282" ht="15.0" customHeight="1">
      <c r="A282" s="56" t="s">
        <v>6524</v>
      </c>
      <c r="B282" s="56" t="s">
        <v>6525</v>
      </c>
      <c r="C282" s="57" t="s">
        <v>6526</v>
      </c>
      <c r="D282" s="58">
        <v>5.128642833E9</v>
      </c>
      <c r="E282" s="56" t="s">
        <v>368</v>
      </c>
      <c r="F282" s="56" t="s">
        <v>2286</v>
      </c>
      <c r="G282" s="56" t="s">
        <v>2286</v>
      </c>
      <c r="H282" s="56" t="s">
        <v>1789</v>
      </c>
      <c r="I282" s="56" t="s">
        <v>2286</v>
      </c>
      <c r="J282" s="56" t="s">
        <v>2286</v>
      </c>
      <c r="K282" s="56" t="s">
        <v>364</v>
      </c>
      <c r="L282" s="56" t="s">
        <v>365</v>
      </c>
      <c r="M282" s="56" t="s">
        <v>413</v>
      </c>
      <c r="N282" s="62" t="s">
        <v>5720</v>
      </c>
      <c r="O282" s="59"/>
      <c r="P282" s="59"/>
      <c r="Q282" s="56" t="s">
        <v>2994</v>
      </c>
      <c r="R282" s="59"/>
      <c r="S282" s="56" t="s">
        <v>5722</v>
      </c>
      <c r="T282" s="61" t="s">
        <v>373</v>
      </c>
      <c r="U282" s="58" t="s">
        <v>6527</v>
      </c>
      <c r="W282" s="55" t="b">
        <f t="shared" si="1"/>
        <v>0</v>
      </c>
    </row>
    <row r="283" ht="15.0" customHeight="1">
      <c r="A283" s="56" t="s">
        <v>1372</v>
      </c>
      <c r="B283" s="56" t="s">
        <v>1373</v>
      </c>
      <c r="C283" s="57" t="s">
        <v>1374</v>
      </c>
      <c r="D283" s="56" t="s">
        <v>1375</v>
      </c>
      <c r="E283" s="56" t="s">
        <v>368</v>
      </c>
      <c r="F283" s="56" t="s">
        <v>390</v>
      </c>
      <c r="G283" s="56" t="s">
        <v>2286</v>
      </c>
      <c r="H283" s="56" t="s">
        <v>716</v>
      </c>
      <c r="I283" s="62" t="s">
        <v>410</v>
      </c>
      <c r="J283" s="59"/>
      <c r="K283" s="56" t="s">
        <v>379</v>
      </c>
      <c r="L283" s="56" t="s">
        <v>380</v>
      </c>
      <c r="M283" s="56" t="s">
        <v>366</v>
      </c>
      <c r="N283" s="62" t="s">
        <v>5720</v>
      </c>
      <c r="O283" s="59"/>
      <c r="P283" s="59"/>
      <c r="Q283" s="56" t="s">
        <v>1766</v>
      </c>
      <c r="R283" s="59"/>
      <c r="S283" s="56" t="s">
        <v>5722</v>
      </c>
      <c r="T283" s="61" t="s">
        <v>373</v>
      </c>
      <c r="U283" s="58" t="s">
        <v>6528</v>
      </c>
      <c r="W283" s="55" t="b">
        <f t="shared" si="1"/>
        <v>0</v>
      </c>
    </row>
    <row r="284" ht="15.0" customHeight="1">
      <c r="A284" s="56" t="s">
        <v>6529</v>
      </c>
      <c r="B284" s="56" t="s">
        <v>6530</v>
      </c>
      <c r="C284" s="57" t="s">
        <v>6531</v>
      </c>
      <c r="D284" s="56" t="s">
        <v>6532</v>
      </c>
      <c r="E284" s="56" t="s">
        <v>368</v>
      </c>
      <c r="F284" s="62" t="s">
        <v>2286</v>
      </c>
      <c r="G284" s="59"/>
      <c r="H284" s="59"/>
      <c r="I284" s="59"/>
      <c r="J284" s="59"/>
      <c r="K284" s="56" t="s">
        <v>379</v>
      </c>
      <c r="L284" s="56" t="s">
        <v>412</v>
      </c>
      <c r="M284" s="56" t="s">
        <v>413</v>
      </c>
      <c r="N284" s="56" t="s">
        <v>5720</v>
      </c>
      <c r="O284" s="58">
        <v>0.0</v>
      </c>
      <c r="P284" s="59"/>
      <c r="Q284" s="59"/>
      <c r="R284" s="59"/>
      <c r="S284" s="56" t="s">
        <v>5722</v>
      </c>
      <c r="T284" s="61" t="s">
        <v>394</v>
      </c>
      <c r="U284" s="58" t="s">
        <v>6533</v>
      </c>
      <c r="W284" s="55" t="b">
        <f t="shared" si="1"/>
        <v>0</v>
      </c>
    </row>
    <row r="285" ht="15.0" customHeight="1">
      <c r="A285" s="56" t="s">
        <v>6534</v>
      </c>
      <c r="B285" s="56" t="s">
        <v>6535</v>
      </c>
      <c r="C285" s="57" t="s">
        <v>6536</v>
      </c>
      <c r="D285" s="58">
        <v>2.812912182E9</v>
      </c>
      <c r="E285" s="56" t="s">
        <v>368</v>
      </c>
      <c r="F285" s="56" t="s">
        <v>410</v>
      </c>
      <c r="G285" s="56" t="s">
        <v>390</v>
      </c>
      <c r="H285" s="56" t="s">
        <v>452</v>
      </c>
      <c r="I285" s="62" t="s">
        <v>5715</v>
      </c>
      <c r="J285" s="59"/>
      <c r="K285" s="56" t="s">
        <v>379</v>
      </c>
      <c r="L285" s="56" t="s">
        <v>405</v>
      </c>
      <c r="M285" s="56" t="s">
        <v>366</v>
      </c>
      <c r="N285" s="62" t="s">
        <v>5770</v>
      </c>
      <c r="O285" s="59"/>
      <c r="P285" s="59"/>
      <c r="Q285" s="56" t="s">
        <v>3448</v>
      </c>
      <c r="R285" s="59"/>
      <c r="S285" s="56" t="s">
        <v>5722</v>
      </c>
      <c r="T285" s="61" t="s">
        <v>373</v>
      </c>
      <c r="U285" s="58" t="s">
        <v>6537</v>
      </c>
      <c r="W285" s="55" t="b">
        <f t="shared" si="1"/>
        <v>0</v>
      </c>
    </row>
    <row r="286" ht="15.0" customHeight="1">
      <c r="A286" s="56" t="s">
        <v>6538</v>
      </c>
      <c r="B286" s="56" t="s">
        <v>6539</v>
      </c>
      <c r="C286" s="57" t="s">
        <v>6540</v>
      </c>
      <c r="D286" s="58">
        <v>7.137534483E9</v>
      </c>
      <c r="E286" s="56" t="s">
        <v>368</v>
      </c>
      <c r="F286" s="56" t="s">
        <v>452</v>
      </c>
      <c r="G286" s="56" t="s">
        <v>5715</v>
      </c>
      <c r="H286" s="56" t="s">
        <v>2931</v>
      </c>
      <c r="I286" s="56" t="s">
        <v>362</v>
      </c>
      <c r="J286" s="56" t="s">
        <v>390</v>
      </c>
      <c r="K286" s="56" t="s">
        <v>364</v>
      </c>
      <c r="L286" s="56" t="s">
        <v>365</v>
      </c>
      <c r="M286" s="56" t="s">
        <v>413</v>
      </c>
      <c r="N286" s="56" t="s">
        <v>5716</v>
      </c>
      <c r="O286" s="58">
        <v>1.0</v>
      </c>
      <c r="P286" s="59"/>
      <c r="Q286" s="56" t="s">
        <v>2113</v>
      </c>
      <c r="R286" s="59"/>
      <c r="S286" s="56" t="s">
        <v>5717</v>
      </c>
      <c r="T286" s="61" t="s">
        <v>373</v>
      </c>
      <c r="U286" s="58" t="s">
        <v>6541</v>
      </c>
      <c r="W286" s="55" t="b">
        <f t="shared" si="1"/>
        <v>0</v>
      </c>
    </row>
    <row r="287" ht="15.0" customHeight="1">
      <c r="A287" s="56" t="s">
        <v>163</v>
      </c>
      <c r="B287" s="56" t="s">
        <v>5085</v>
      </c>
      <c r="C287" s="57" t="s">
        <v>5086</v>
      </c>
      <c r="D287" s="58">
        <v>8.133862915E9</v>
      </c>
      <c r="E287" s="56" t="s">
        <v>368</v>
      </c>
      <c r="F287" s="56" t="s">
        <v>2286</v>
      </c>
      <c r="G287" s="56" t="s">
        <v>452</v>
      </c>
      <c r="H287" s="62" t="s">
        <v>390</v>
      </c>
      <c r="I287" s="59"/>
      <c r="J287" s="59"/>
      <c r="K287" s="56" t="s">
        <v>399</v>
      </c>
      <c r="L287" s="56" t="s">
        <v>520</v>
      </c>
      <c r="M287" s="56" t="s">
        <v>366</v>
      </c>
      <c r="N287" s="62" t="s">
        <v>5798</v>
      </c>
      <c r="O287" s="59"/>
      <c r="P287" s="59"/>
      <c r="Q287" s="56" t="s">
        <v>1837</v>
      </c>
      <c r="R287" s="59"/>
      <c r="S287" s="56" t="s">
        <v>5722</v>
      </c>
      <c r="T287" s="61" t="s">
        <v>373</v>
      </c>
      <c r="U287" s="58" t="s">
        <v>6542</v>
      </c>
      <c r="W287" s="55" t="b">
        <f t="shared" si="1"/>
        <v>0</v>
      </c>
    </row>
    <row r="288" ht="15.0" customHeight="1">
      <c r="A288" s="56" t="s">
        <v>6543</v>
      </c>
      <c r="B288" s="56" t="s">
        <v>6544</v>
      </c>
      <c r="C288" s="57" t="s">
        <v>6545</v>
      </c>
      <c r="D288" s="58">
        <v>8.556785027E9</v>
      </c>
      <c r="E288" s="56" t="s">
        <v>368</v>
      </c>
      <c r="F288" s="56" t="s">
        <v>2286</v>
      </c>
      <c r="G288" s="62" t="s">
        <v>452</v>
      </c>
      <c r="H288" s="59"/>
      <c r="I288" s="59"/>
      <c r="J288" s="59"/>
      <c r="K288" s="56" t="s">
        <v>379</v>
      </c>
      <c r="L288" s="56" t="s">
        <v>412</v>
      </c>
      <c r="M288" s="56" t="s">
        <v>413</v>
      </c>
      <c r="N288" s="56" t="s">
        <v>5720</v>
      </c>
      <c r="O288" s="58">
        <v>0.0</v>
      </c>
      <c r="P288" s="59"/>
      <c r="Q288" s="56" t="s">
        <v>3236</v>
      </c>
      <c r="R288" s="59"/>
      <c r="S288" s="56" t="s">
        <v>5722</v>
      </c>
      <c r="T288" s="61" t="s">
        <v>373</v>
      </c>
      <c r="U288" s="58" t="s">
        <v>6546</v>
      </c>
      <c r="W288" s="55" t="b">
        <f t="shared" si="1"/>
        <v>0</v>
      </c>
    </row>
    <row r="289" ht="15.0" customHeight="1">
      <c r="A289" s="56" t="s">
        <v>3466</v>
      </c>
      <c r="B289" s="56" t="s">
        <v>3467</v>
      </c>
      <c r="C289" s="57" t="s">
        <v>3468</v>
      </c>
      <c r="D289" s="56" t="s">
        <v>3469</v>
      </c>
      <c r="E289" s="56" t="s">
        <v>368</v>
      </c>
      <c r="F289" s="56" t="s">
        <v>410</v>
      </c>
      <c r="G289" s="62" t="s">
        <v>390</v>
      </c>
      <c r="H289" s="59"/>
      <c r="I289" s="59"/>
      <c r="J289" s="59"/>
      <c r="K289" s="56" t="s">
        <v>379</v>
      </c>
      <c r="L289" s="56" t="s">
        <v>380</v>
      </c>
      <c r="M289" s="56" t="s">
        <v>413</v>
      </c>
      <c r="N289" s="56" t="s">
        <v>5716</v>
      </c>
      <c r="O289" s="58">
        <v>3.0</v>
      </c>
      <c r="P289" s="59"/>
      <c r="Q289" s="56" t="s">
        <v>2994</v>
      </c>
      <c r="R289" s="59"/>
      <c r="S289" s="56" t="s">
        <v>5717</v>
      </c>
      <c r="T289" s="61" t="s">
        <v>373</v>
      </c>
      <c r="U289" s="58" t="s">
        <v>6547</v>
      </c>
      <c r="W289" s="55" t="b">
        <f t="shared" si="1"/>
        <v>0</v>
      </c>
    </row>
    <row r="290" ht="15.0" customHeight="1">
      <c r="A290" s="56" t="s">
        <v>1392</v>
      </c>
      <c r="B290" s="56" t="s">
        <v>6548</v>
      </c>
      <c r="C290" s="57" t="s">
        <v>6549</v>
      </c>
      <c r="D290" s="58">
        <v>2.102183312E9</v>
      </c>
      <c r="E290" s="56" t="s">
        <v>368</v>
      </c>
      <c r="F290" s="56" t="s">
        <v>390</v>
      </c>
      <c r="G290" s="56" t="s">
        <v>2291</v>
      </c>
      <c r="H290" s="56" t="s">
        <v>421</v>
      </c>
      <c r="I290" s="56" t="s">
        <v>2291</v>
      </c>
      <c r="J290" s="56" t="s">
        <v>421</v>
      </c>
      <c r="K290" s="56" t="s">
        <v>379</v>
      </c>
      <c r="L290" s="56" t="s">
        <v>830</v>
      </c>
      <c r="M290" s="56" t="s">
        <v>413</v>
      </c>
      <c r="N290" s="62" t="s">
        <v>5724</v>
      </c>
      <c r="O290" s="59"/>
      <c r="P290" s="59"/>
      <c r="Q290" s="56" t="s">
        <v>6550</v>
      </c>
      <c r="R290" s="59"/>
      <c r="S290" s="56" t="s">
        <v>5717</v>
      </c>
      <c r="T290" s="61" t="s">
        <v>373</v>
      </c>
      <c r="U290" s="58" t="s">
        <v>6551</v>
      </c>
      <c r="W290" s="55" t="b">
        <f t="shared" si="1"/>
        <v>0</v>
      </c>
    </row>
    <row r="291" ht="15.0" customHeight="1">
      <c r="A291" s="56" t="s">
        <v>164</v>
      </c>
      <c r="B291" s="56" t="s">
        <v>1401</v>
      </c>
      <c r="C291" s="57" t="s">
        <v>1402</v>
      </c>
      <c r="D291" s="56" t="s">
        <v>5095</v>
      </c>
      <c r="E291" s="56" t="s">
        <v>368</v>
      </c>
      <c r="F291" s="56" t="s">
        <v>452</v>
      </c>
      <c r="G291" s="56" t="s">
        <v>2286</v>
      </c>
      <c r="H291" s="56" t="s">
        <v>410</v>
      </c>
      <c r="I291" s="56" t="s">
        <v>390</v>
      </c>
      <c r="J291" s="56" t="s">
        <v>362</v>
      </c>
      <c r="K291" s="56" t="s">
        <v>364</v>
      </c>
      <c r="L291" s="56" t="s">
        <v>365</v>
      </c>
      <c r="M291" s="56" t="s">
        <v>366</v>
      </c>
      <c r="N291" s="62" t="s">
        <v>5720</v>
      </c>
      <c r="O291" s="59"/>
      <c r="P291" s="59"/>
      <c r="Q291" s="56" t="s">
        <v>3161</v>
      </c>
      <c r="R291" s="59"/>
      <c r="S291" s="56" t="s">
        <v>5722</v>
      </c>
      <c r="T291" s="61" t="s">
        <v>373</v>
      </c>
      <c r="U291" s="58" t="s">
        <v>6552</v>
      </c>
      <c r="W291" s="55" t="b">
        <f t="shared" si="1"/>
        <v>0</v>
      </c>
    </row>
    <row r="292" ht="15.0" customHeight="1">
      <c r="A292" s="56" t="s">
        <v>165</v>
      </c>
      <c r="B292" s="56" t="s">
        <v>6553</v>
      </c>
      <c r="C292" s="57" t="s">
        <v>6554</v>
      </c>
      <c r="D292" s="58">
        <v>5.122039285E9</v>
      </c>
      <c r="E292" s="56" t="s">
        <v>368</v>
      </c>
      <c r="F292" s="62" t="s">
        <v>2286</v>
      </c>
      <c r="G292" s="59"/>
      <c r="H292" s="59"/>
      <c r="I292" s="59"/>
      <c r="J292" s="59"/>
      <c r="K292" s="56" t="s">
        <v>399</v>
      </c>
      <c r="L292" s="56" t="s">
        <v>365</v>
      </c>
      <c r="M292" s="56" t="s">
        <v>366</v>
      </c>
      <c r="N292" s="62" t="s">
        <v>5720</v>
      </c>
      <c r="O292" s="59"/>
      <c r="P292" s="59"/>
      <c r="Q292" s="56" t="s">
        <v>437</v>
      </c>
      <c r="R292" s="59"/>
      <c r="S292" s="56" t="s">
        <v>5722</v>
      </c>
      <c r="T292" s="61" t="s">
        <v>373</v>
      </c>
      <c r="U292" s="58" t="s">
        <v>6555</v>
      </c>
      <c r="W292" s="55" t="b">
        <f t="shared" si="1"/>
        <v>0</v>
      </c>
    </row>
    <row r="293" ht="15.0" customHeight="1">
      <c r="A293" s="56" t="s">
        <v>166</v>
      </c>
      <c r="B293" s="56" t="s">
        <v>5097</v>
      </c>
      <c r="C293" s="57" t="s">
        <v>5098</v>
      </c>
      <c r="D293" s="58">
        <v>4.02699457E9</v>
      </c>
      <c r="E293" s="56" t="s">
        <v>368</v>
      </c>
      <c r="F293" s="56" t="s">
        <v>2286</v>
      </c>
      <c r="G293" s="56" t="s">
        <v>452</v>
      </c>
      <c r="H293" s="56" t="s">
        <v>390</v>
      </c>
      <c r="I293" s="56" t="s">
        <v>1598</v>
      </c>
      <c r="J293" s="56" t="s">
        <v>2291</v>
      </c>
      <c r="K293" s="56" t="s">
        <v>379</v>
      </c>
      <c r="L293" s="56" t="s">
        <v>380</v>
      </c>
      <c r="M293" s="56" t="s">
        <v>413</v>
      </c>
      <c r="N293" s="62" t="s">
        <v>497</v>
      </c>
      <c r="O293" s="59"/>
      <c r="P293" s="59"/>
      <c r="Q293" s="56" t="s">
        <v>1555</v>
      </c>
      <c r="R293" s="59"/>
      <c r="S293" s="56" t="s">
        <v>5733</v>
      </c>
      <c r="T293" s="61" t="s">
        <v>373</v>
      </c>
      <c r="U293" s="58" t="s">
        <v>6556</v>
      </c>
      <c r="W293" s="55" t="b">
        <f t="shared" si="1"/>
        <v>0</v>
      </c>
    </row>
    <row r="294" ht="15.0" customHeight="1">
      <c r="A294" s="56" t="s">
        <v>167</v>
      </c>
      <c r="B294" s="56" t="s">
        <v>6557</v>
      </c>
      <c r="C294" s="57" t="s">
        <v>6558</v>
      </c>
      <c r="D294" s="58">
        <v>1.219384491E10</v>
      </c>
      <c r="E294" s="56" t="s">
        <v>368</v>
      </c>
      <c r="F294" s="56" t="s">
        <v>452</v>
      </c>
      <c r="G294" s="56" t="s">
        <v>390</v>
      </c>
      <c r="H294" s="56" t="s">
        <v>410</v>
      </c>
      <c r="I294" s="56" t="s">
        <v>1598</v>
      </c>
      <c r="J294" s="56" t="s">
        <v>421</v>
      </c>
      <c r="K294" s="56" t="s">
        <v>379</v>
      </c>
      <c r="L294" s="56" t="s">
        <v>830</v>
      </c>
      <c r="M294" s="56" t="s">
        <v>413</v>
      </c>
      <c r="N294" s="62" t="s">
        <v>497</v>
      </c>
      <c r="O294" s="59"/>
      <c r="P294" s="59"/>
      <c r="Q294" s="56" t="s">
        <v>6559</v>
      </c>
      <c r="R294" s="59"/>
      <c r="S294" s="56" t="s">
        <v>5733</v>
      </c>
      <c r="T294" s="61" t="s">
        <v>373</v>
      </c>
      <c r="U294" s="58" t="s">
        <v>6560</v>
      </c>
      <c r="W294" s="55" t="b">
        <f t="shared" si="1"/>
        <v>0</v>
      </c>
    </row>
    <row r="295" ht="15.0" customHeight="1">
      <c r="A295" s="56" t="s">
        <v>168</v>
      </c>
      <c r="B295" s="56" t="s">
        <v>3494</v>
      </c>
      <c r="C295" s="57" t="s">
        <v>3495</v>
      </c>
      <c r="D295" s="58">
        <v>2.104687279E9</v>
      </c>
      <c r="E295" s="56" t="s">
        <v>368</v>
      </c>
      <c r="F295" s="56" t="s">
        <v>2286</v>
      </c>
      <c r="G295" s="56" t="s">
        <v>2286</v>
      </c>
      <c r="H295" s="56" t="s">
        <v>5719</v>
      </c>
      <c r="I295" s="56" t="s">
        <v>1789</v>
      </c>
      <c r="J295" s="56" t="s">
        <v>390</v>
      </c>
      <c r="K295" s="56" t="s">
        <v>364</v>
      </c>
      <c r="L295" s="56" t="s">
        <v>520</v>
      </c>
      <c r="M295" s="56" t="s">
        <v>366</v>
      </c>
      <c r="N295" s="62" t="s">
        <v>1464</v>
      </c>
      <c r="O295" s="59"/>
      <c r="P295" s="59"/>
      <c r="Q295" s="56" t="s">
        <v>6561</v>
      </c>
      <c r="R295" s="59"/>
      <c r="S295" s="56" t="s">
        <v>5733</v>
      </c>
      <c r="T295" s="61" t="s">
        <v>373</v>
      </c>
      <c r="U295" s="58" t="s">
        <v>6562</v>
      </c>
      <c r="W295" s="55" t="b">
        <f t="shared" si="1"/>
        <v>0</v>
      </c>
    </row>
    <row r="296" ht="15.0" customHeight="1">
      <c r="A296" s="56" t="s">
        <v>3499</v>
      </c>
      <c r="B296" s="56" t="s">
        <v>3500</v>
      </c>
      <c r="C296" s="57" t="s">
        <v>3501</v>
      </c>
      <c r="D296" s="56" t="s">
        <v>6563</v>
      </c>
      <c r="E296" s="56" t="s">
        <v>368</v>
      </c>
      <c r="F296" s="56" t="s">
        <v>390</v>
      </c>
      <c r="G296" s="56" t="s">
        <v>1553</v>
      </c>
      <c r="H296" s="56" t="s">
        <v>410</v>
      </c>
      <c r="I296" s="56" t="s">
        <v>362</v>
      </c>
      <c r="J296" s="56" t="s">
        <v>2286</v>
      </c>
      <c r="K296" s="56" t="s">
        <v>399</v>
      </c>
      <c r="L296" s="56" t="s">
        <v>405</v>
      </c>
      <c r="M296" s="56" t="s">
        <v>366</v>
      </c>
      <c r="N296" s="62" t="s">
        <v>5724</v>
      </c>
      <c r="O296" s="59"/>
      <c r="P296" s="59"/>
      <c r="Q296" s="56" t="s">
        <v>6564</v>
      </c>
      <c r="R296" s="59"/>
      <c r="S296" s="56" t="s">
        <v>5717</v>
      </c>
      <c r="T296" s="61" t="s">
        <v>373</v>
      </c>
      <c r="U296" s="58" t="s">
        <v>5892</v>
      </c>
      <c r="W296" s="55" t="b">
        <f t="shared" si="1"/>
        <v>0</v>
      </c>
    </row>
    <row r="297" ht="15.0" customHeight="1">
      <c r="A297" s="56" t="s">
        <v>311</v>
      </c>
      <c r="B297" s="56" t="s">
        <v>1428</v>
      </c>
      <c r="C297" s="57" t="s">
        <v>1429</v>
      </c>
      <c r="D297" s="56" t="s">
        <v>5102</v>
      </c>
      <c r="E297" s="56" t="s">
        <v>368</v>
      </c>
      <c r="F297" s="62" t="s">
        <v>452</v>
      </c>
      <c r="G297" s="59"/>
      <c r="H297" s="59"/>
      <c r="I297" s="59"/>
      <c r="J297" s="59"/>
      <c r="K297" s="56" t="s">
        <v>364</v>
      </c>
      <c r="L297" s="56" t="s">
        <v>412</v>
      </c>
      <c r="M297" s="56" t="s">
        <v>366</v>
      </c>
      <c r="N297" s="56" t="s">
        <v>5720</v>
      </c>
      <c r="O297" s="58">
        <v>2.0</v>
      </c>
      <c r="P297" s="59"/>
      <c r="Q297" s="56" t="s">
        <v>1070</v>
      </c>
      <c r="R297" s="59"/>
      <c r="S297" s="56" t="s">
        <v>5722</v>
      </c>
      <c r="T297" s="61" t="s">
        <v>373</v>
      </c>
      <c r="U297" s="58" t="s">
        <v>6565</v>
      </c>
      <c r="W297" s="55" t="b">
        <f t="shared" si="1"/>
        <v>0</v>
      </c>
    </row>
    <row r="298" ht="15.0" customHeight="1">
      <c r="A298" s="56" t="s">
        <v>169</v>
      </c>
      <c r="B298" s="56" t="s">
        <v>1433</v>
      </c>
      <c r="C298" s="57" t="s">
        <v>1434</v>
      </c>
      <c r="D298" s="58">
        <v>8.17488496E9</v>
      </c>
      <c r="E298" s="56" t="s">
        <v>368</v>
      </c>
      <c r="F298" s="62" t="s">
        <v>2286</v>
      </c>
      <c r="G298" s="59"/>
      <c r="H298" s="59"/>
      <c r="I298" s="59"/>
      <c r="J298" s="59"/>
      <c r="K298" s="56" t="s">
        <v>379</v>
      </c>
      <c r="L298" s="56" t="s">
        <v>365</v>
      </c>
      <c r="M298" s="56" t="s">
        <v>413</v>
      </c>
      <c r="N298" s="62" t="s">
        <v>5720</v>
      </c>
      <c r="O298" s="59"/>
      <c r="P298" s="59"/>
      <c r="Q298" s="56" t="s">
        <v>2796</v>
      </c>
      <c r="R298" s="59"/>
      <c r="S298" s="56" t="s">
        <v>5722</v>
      </c>
      <c r="T298" s="61" t="s">
        <v>373</v>
      </c>
      <c r="U298" s="58" t="s">
        <v>6566</v>
      </c>
      <c r="W298" s="55" t="b">
        <f t="shared" si="1"/>
        <v>0</v>
      </c>
    </row>
    <row r="299" ht="15.0" customHeight="1">
      <c r="A299" s="56" t="s">
        <v>170</v>
      </c>
      <c r="B299" s="56" t="s">
        <v>5107</v>
      </c>
      <c r="C299" s="57" t="s">
        <v>5108</v>
      </c>
      <c r="D299" s="58">
        <v>8.175392873E9</v>
      </c>
      <c r="E299" s="56" t="s">
        <v>368</v>
      </c>
      <c r="F299" s="56" t="s">
        <v>390</v>
      </c>
      <c r="G299" s="56" t="s">
        <v>421</v>
      </c>
      <c r="H299" s="62" t="s">
        <v>452</v>
      </c>
      <c r="I299" s="59"/>
      <c r="J299" s="59"/>
      <c r="K299" s="56" t="s">
        <v>364</v>
      </c>
      <c r="L299" s="56" t="s">
        <v>365</v>
      </c>
      <c r="M299" s="56" t="s">
        <v>869</v>
      </c>
      <c r="N299" s="62" t="s">
        <v>381</v>
      </c>
      <c r="O299" s="59"/>
      <c r="P299" s="59"/>
      <c r="Q299" s="56" t="s">
        <v>1874</v>
      </c>
      <c r="R299" s="59"/>
      <c r="S299" s="56" t="s">
        <v>5733</v>
      </c>
      <c r="T299" s="61" t="s">
        <v>373</v>
      </c>
      <c r="U299" s="58" t="s">
        <v>6567</v>
      </c>
      <c r="W299" s="55" t="b">
        <f t="shared" si="1"/>
        <v>0</v>
      </c>
    </row>
    <row r="300" ht="15.0" customHeight="1">
      <c r="A300" s="56" t="s">
        <v>3509</v>
      </c>
      <c r="B300" s="56" t="s">
        <v>6327</v>
      </c>
      <c r="C300" s="57" t="s">
        <v>3511</v>
      </c>
      <c r="D300" s="56" t="s">
        <v>6329</v>
      </c>
      <c r="E300" s="56" t="s">
        <v>368</v>
      </c>
      <c r="F300" s="56" t="s">
        <v>452</v>
      </c>
      <c r="G300" s="56" t="s">
        <v>390</v>
      </c>
      <c r="H300" s="62" t="s">
        <v>410</v>
      </c>
      <c r="I300" s="59"/>
      <c r="J300" s="59"/>
      <c r="K300" s="56" t="s">
        <v>379</v>
      </c>
      <c r="L300" s="56" t="s">
        <v>380</v>
      </c>
      <c r="M300" s="56" t="s">
        <v>413</v>
      </c>
      <c r="N300" s="56" t="s">
        <v>497</v>
      </c>
      <c r="O300" s="58">
        <v>2.0</v>
      </c>
      <c r="P300" s="58">
        <v>1.0</v>
      </c>
      <c r="Q300" s="56" t="s">
        <v>6568</v>
      </c>
      <c r="R300" s="59"/>
      <c r="S300" s="56" t="s">
        <v>5733</v>
      </c>
      <c r="T300" s="61" t="s">
        <v>373</v>
      </c>
      <c r="U300" s="58" t="s">
        <v>6569</v>
      </c>
      <c r="W300" s="55" t="b">
        <f t="shared" si="1"/>
        <v>0</v>
      </c>
    </row>
    <row r="301" ht="15.0" customHeight="1">
      <c r="A301" s="56" t="s">
        <v>171</v>
      </c>
      <c r="B301" s="56" t="s">
        <v>5110</v>
      </c>
      <c r="C301" s="57" t="s">
        <v>5111</v>
      </c>
      <c r="D301" s="58">
        <v>9.039186122E9</v>
      </c>
      <c r="E301" s="56" t="s">
        <v>368</v>
      </c>
      <c r="F301" s="56" t="s">
        <v>390</v>
      </c>
      <c r="G301" s="56" t="s">
        <v>452</v>
      </c>
      <c r="H301" s="56" t="s">
        <v>421</v>
      </c>
      <c r="I301" s="56" t="s">
        <v>5715</v>
      </c>
      <c r="J301" s="56" t="s">
        <v>2931</v>
      </c>
      <c r="K301" s="56" t="s">
        <v>379</v>
      </c>
      <c r="L301" s="56" t="s">
        <v>365</v>
      </c>
      <c r="M301" s="56" t="s">
        <v>366</v>
      </c>
      <c r="N301" s="62" t="s">
        <v>5716</v>
      </c>
      <c r="O301" s="59"/>
      <c r="P301" s="59"/>
      <c r="Q301" s="56" t="s">
        <v>3306</v>
      </c>
      <c r="R301" s="59"/>
      <c r="S301" s="56" t="s">
        <v>5717</v>
      </c>
      <c r="T301" s="61" t="s">
        <v>373</v>
      </c>
      <c r="U301" s="58" t="s">
        <v>6570</v>
      </c>
      <c r="W301" s="55" t="b">
        <f t="shared" si="1"/>
        <v>0</v>
      </c>
    </row>
    <row r="302" ht="15.0" customHeight="1">
      <c r="A302" s="56" t="s">
        <v>6571</v>
      </c>
      <c r="B302" s="56" t="s">
        <v>6572</v>
      </c>
      <c r="C302" s="57" t="s">
        <v>6573</v>
      </c>
      <c r="D302" s="56" t="s">
        <v>6574</v>
      </c>
      <c r="E302" s="56" t="s">
        <v>368</v>
      </c>
      <c r="F302" s="62" t="s">
        <v>410</v>
      </c>
      <c r="G302" s="59"/>
      <c r="H302" s="59"/>
      <c r="I302" s="59"/>
      <c r="J302" s="59"/>
      <c r="K302" s="56" t="s">
        <v>379</v>
      </c>
      <c r="L302" s="56" t="s">
        <v>365</v>
      </c>
      <c r="M302" s="56" t="s">
        <v>366</v>
      </c>
      <c r="N302" s="56" t="s">
        <v>5716</v>
      </c>
      <c r="O302" s="58">
        <v>0.0</v>
      </c>
      <c r="P302" s="59"/>
      <c r="Q302" s="56" t="s">
        <v>2121</v>
      </c>
      <c r="R302" s="59"/>
      <c r="S302" s="56" t="s">
        <v>5717</v>
      </c>
      <c r="T302" s="61" t="s">
        <v>373</v>
      </c>
      <c r="U302" s="58" t="s">
        <v>6575</v>
      </c>
      <c r="W302" s="55" t="b">
        <f t="shared" si="1"/>
        <v>0</v>
      </c>
    </row>
    <row r="303" ht="15.0" customHeight="1">
      <c r="A303" s="56" t="s">
        <v>6576</v>
      </c>
      <c r="B303" s="56" t="s">
        <v>6577</v>
      </c>
      <c r="C303" s="57" t="s">
        <v>6578</v>
      </c>
      <c r="D303" s="56" t="s">
        <v>6579</v>
      </c>
      <c r="E303" s="56" t="s">
        <v>368</v>
      </c>
      <c r="F303" s="56" t="s">
        <v>459</v>
      </c>
      <c r="G303" s="56" t="s">
        <v>452</v>
      </c>
      <c r="H303" s="56" t="s">
        <v>1598</v>
      </c>
      <c r="I303" s="56" t="s">
        <v>390</v>
      </c>
      <c r="J303" s="56" t="s">
        <v>5715</v>
      </c>
      <c r="K303" s="56" t="s">
        <v>399</v>
      </c>
      <c r="L303" s="56" t="s">
        <v>380</v>
      </c>
      <c r="M303" s="56" t="s">
        <v>413</v>
      </c>
      <c r="N303" s="62" t="s">
        <v>497</v>
      </c>
      <c r="O303" s="59"/>
      <c r="P303" s="59"/>
      <c r="Q303" s="56" t="s">
        <v>6580</v>
      </c>
      <c r="R303" s="59"/>
      <c r="S303" s="56" t="s">
        <v>5733</v>
      </c>
      <c r="T303" s="61" t="s">
        <v>373</v>
      </c>
      <c r="U303" s="58" t="s">
        <v>6581</v>
      </c>
      <c r="W303" s="55" t="b">
        <f t="shared" si="1"/>
        <v>0</v>
      </c>
    </row>
    <row r="304" ht="15.0" customHeight="1">
      <c r="A304" s="56" t="s">
        <v>6582</v>
      </c>
      <c r="B304" s="56" t="s">
        <v>6583</v>
      </c>
      <c r="C304" s="57" t="s">
        <v>6584</v>
      </c>
      <c r="D304" s="56" t="s">
        <v>6585</v>
      </c>
      <c r="E304" s="56" t="s">
        <v>368</v>
      </c>
      <c r="F304" s="56" t="s">
        <v>2286</v>
      </c>
      <c r="G304" s="62" t="s">
        <v>452</v>
      </c>
      <c r="H304" s="59"/>
      <c r="I304" s="59"/>
      <c r="J304" s="59"/>
      <c r="K304" s="56" t="s">
        <v>364</v>
      </c>
      <c r="L304" s="56" t="s">
        <v>365</v>
      </c>
      <c r="M304" s="56" t="s">
        <v>366</v>
      </c>
      <c r="N304" s="62" t="s">
        <v>381</v>
      </c>
      <c r="O304" s="59"/>
      <c r="P304" s="59"/>
      <c r="Q304" s="59"/>
      <c r="R304" s="59"/>
      <c r="S304" s="56" t="s">
        <v>5733</v>
      </c>
      <c r="T304" s="61" t="s">
        <v>394</v>
      </c>
      <c r="U304" s="58" t="s">
        <v>6586</v>
      </c>
      <c r="W304" s="55" t="b">
        <f t="shared" si="1"/>
        <v>0</v>
      </c>
    </row>
    <row r="305" ht="15.0" customHeight="1">
      <c r="A305" s="56" t="s">
        <v>172</v>
      </c>
      <c r="B305" s="56" t="s">
        <v>6587</v>
      </c>
      <c r="C305" s="57" t="s">
        <v>1456</v>
      </c>
      <c r="D305" s="58">
        <v>5.127587474E9</v>
      </c>
      <c r="E305" s="56" t="s">
        <v>368</v>
      </c>
      <c r="F305" s="56" t="s">
        <v>2286</v>
      </c>
      <c r="G305" s="62" t="s">
        <v>2286</v>
      </c>
      <c r="H305" s="59"/>
      <c r="I305" s="59"/>
      <c r="J305" s="59"/>
      <c r="K305" s="56" t="s">
        <v>364</v>
      </c>
      <c r="L305" s="56" t="s">
        <v>365</v>
      </c>
      <c r="M305" s="56" t="s">
        <v>413</v>
      </c>
      <c r="N305" s="62" t="s">
        <v>5798</v>
      </c>
      <c r="O305" s="59"/>
      <c r="P305" s="59"/>
      <c r="Q305" s="56" t="s">
        <v>6588</v>
      </c>
      <c r="R305" s="59"/>
      <c r="S305" s="56" t="s">
        <v>5722</v>
      </c>
      <c r="T305" s="61" t="s">
        <v>373</v>
      </c>
      <c r="U305" s="58" t="s">
        <v>6589</v>
      </c>
      <c r="W305" s="55" t="b">
        <f t="shared" si="1"/>
        <v>0</v>
      </c>
    </row>
    <row r="306" ht="15.0" customHeight="1">
      <c r="A306" s="56" t="s">
        <v>6590</v>
      </c>
      <c r="B306" s="56" t="s">
        <v>6591</v>
      </c>
      <c r="C306" s="57" t="s">
        <v>6592</v>
      </c>
      <c r="D306" s="58">
        <v>8.174710042E9</v>
      </c>
      <c r="E306" s="56" t="s">
        <v>368</v>
      </c>
      <c r="F306" s="56" t="s">
        <v>390</v>
      </c>
      <c r="G306" s="56" t="s">
        <v>390</v>
      </c>
      <c r="H306" s="56" t="s">
        <v>390</v>
      </c>
      <c r="I306" s="56" t="s">
        <v>390</v>
      </c>
      <c r="J306" s="56" t="s">
        <v>390</v>
      </c>
      <c r="K306" s="56" t="s">
        <v>364</v>
      </c>
      <c r="L306" s="56" t="s">
        <v>365</v>
      </c>
      <c r="M306" s="56" t="s">
        <v>366</v>
      </c>
      <c r="N306" s="56" t="s">
        <v>5724</v>
      </c>
      <c r="O306" s="58">
        <v>0.0</v>
      </c>
      <c r="P306" s="59"/>
      <c r="Q306" s="56" t="s">
        <v>6593</v>
      </c>
      <c r="R306" s="59"/>
      <c r="S306" s="56" t="s">
        <v>5717</v>
      </c>
      <c r="T306" s="61" t="s">
        <v>373</v>
      </c>
      <c r="U306" s="58" t="s">
        <v>6594</v>
      </c>
      <c r="W306" s="55" t="b">
        <f t="shared" si="1"/>
        <v>0</v>
      </c>
    </row>
    <row r="307" ht="15.0" customHeight="1">
      <c r="A307" s="56" t="s">
        <v>6595</v>
      </c>
      <c r="B307" s="56" t="s">
        <v>6596</v>
      </c>
      <c r="C307" s="57" t="s">
        <v>6597</v>
      </c>
      <c r="D307" s="58">
        <v>3.463156314E9</v>
      </c>
      <c r="E307" s="56" t="s">
        <v>368</v>
      </c>
      <c r="F307" s="56" t="s">
        <v>410</v>
      </c>
      <c r="G307" s="56" t="s">
        <v>390</v>
      </c>
      <c r="H307" s="56" t="s">
        <v>452</v>
      </c>
      <c r="I307" s="56" t="s">
        <v>362</v>
      </c>
      <c r="J307" s="56" t="s">
        <v>2286</v>
      </c>
      <c r="K307" s="56" t="s">
        <v>364</v>
      </c>
      <c r="L307" s="56" t="s">
        <v>405</v>
      </c>
      <c r="M307" s="56" t="s">
        <v>366</v>
      </c>
      <c r="N307" s="62" t="s">
        <v>5770</v>
      </c>
      <c r="O307" s="59"/>
      <c r="P307" s="59"/>
      <c r="Q307" s="56" t="s">
        <v>1013</v>
      </c>
      <c r="R307" s="59"/>
      <c r="S307" s="56" t="s">
        <v>5722</v>
      </c>
      <c r="T307" s="61" t="s">
        <v>373</v>
      </c>
      <c r="U307" s="58" t="s">
        <v>6598</v>
      </c>
      <c r="W307" s="55" t="b">
        <f t="shared" si="1"/>
        <v>0</v>
      </c>
    </row>
    <row r="308" ht="15.0" customHeight="1">
      <c r="A308" s="56" t="s">
        <v>1459</v>
      </c>
      <c r="B308" s="56" t="s">
        <v>3877</v>
      </c>
      <c r="C308" s="57" t="s">
        <v>1461</v>
      </c>
      <c r="D308" s="56" t="s">
        <v>4993</v>
      </c>
      <c r="E308" s="56" t="s">
        <v>368</v>
      </c>
      <c r="F308" s="56" t="s">
        <v>390</v>
      </c>
      <c r="G308" s="56" t="s">
        <v>452</v>
      </c>
      <c r="H308" s="56" t="s">
        <v>459</v>
      </c>
      <c r="I308" s="56" t="s">
        <v>5715</v>
      </c>
      <c r="J308" s="56" t="s">
        <v>362</v>
      </c>
      <c r="K308" s="56" t="s">
        <v>364</v>
      </c>
      <c r="L308" s="56" t="s">
        <v>365</v>
      </c>
      <c r="M308" s="56" t="s">
        <v>413</v>
      </c>
      <c r="N308" s="62" t="s">
        <v>1464</v>
      </c>
      <c r="O308" s="59"/>
      <c r="P308" s="59"/>
      <c r="Q308" s="56" t="s">
        <v>6599</v>
      </c>
      <c r="R308" s="59"/>
      <c r="S308" s="56" t="s">
        <v>5733</v>
      </c>
      <c r="T308" s="61" t="s">
        <v>373</v>
      </c>
      <c r="U308" s="58" t="s">
        <v>6600</v>
      </c>
      <c r="W308" s="55" t="b">
        <f t="shared" si="1"/>
        <v>0</v>
      </c>
    </row>
    <row r="309" ht="15.0" customHeight="1">
      <c r="A309" s="56" t="s">
        <v>173</v>
      </c>
      <c r="B309" s="56" t="s">
        <v>1467</v>
      </c>
      <c r="C309" s="57" t="s">
        <v>1468</v>
      </c>
      <c r="D309" s="56" t="s">
        <v>5122</v>
      </c>
      <c r="E309" s="56" t="s">
        <v>368</v>
      </c>
      <c r="F309" s="56" t="s">
        <v>362</v>
      </c>
      <c r="G309" s="56" t="s">
        <v>2291</v>
      </c>
      <c r="H309" s="56" t="s">
        <v>634</v>
      </c>
      <c r="I309" s="62" t="s">
        <v>5715</v>
      </c>
      <c r="J309" s="59"/>
      <c r="K309" s="56" t="s">
        <v>379</v>
      </c>
      <c r="L309" s="56" t="s">
        <v>365</v>
      </c>
      <c r="M309" s="56" t="s">
        <v>366</v>
      </c>
      <c r="N309" s="62" t="s">
        <v>5716</v>
      </c>
      <c r="O309" s="59"/>
      <c r="P309" s="59"/>
      <c r="Q309" s="56" t="s">
        <v>2249</v>
      </c>
      <c r="R309" s="59"/>
      <c r="S309" s="56" t="s">
        <v>5717</v>
      </c>
      <c r="T309" s="61" t="s">
        <v>373</v>
      </c>
      <c r="U309" s="58" t="s">
        <v>6601</v>
      </c>
      <c r="W309" s="55" t="b">
        <f t="shared" si="1"/>
        <v>0</v>
      </c>
    </row>
    <row r="310" ht="15.0" customHeight="1">
      <c r="A310" s="56" t="s">
        <v>174</v>
      </c>
      <c r="B310" s="56" t="s">
        <v>6602</v>
      </c>
      <c r="C310" s="57" t="s">
        <v>6603</v>
      </c>
      <c r="D310" s="58">
        <v>5.125781341E9</v>
      </c>
      <c r="E310" s="56" t="s">
        <v>368</v>
      </c>
      <c r="F310" s="56" t="s">
        <v>452</v>
      </c>
      <c r="G310" s="56" t="s">
        <v>390</v>
      </c>
      <c r="H310" s="62" t="s">
        <v>2286</v>
      </c>
      <c r="I310" s="59"/>
      <c r="J310" s="59"/>
      <c r="K310" s="56" t="s">
        <v>399</v>
      </c>
      <c r="L310" s="56" t="s">
        <v>365</v>
      </c>
      <c r="M310" s="56" t="s">
        <v>366</v>
      </c>
      <c r="N310" s="56" t="s">
        <v>5716</v>
      </c>
      <c r="O310" s="58">
        <v>0.0</v>
      </c>
      <c r="P310" s="59"/>
      <c r="Q310" s="56" t="s">
        <v>1117</v>
      </c>
      <c r="R310" s="59"/>
      <c r="S310" s="56" t="s">
        <v>5717</v>
      </c>
      <c r="T310" s="61" t="s">
        <v>373</v>
      </c>
      <c r="U310" s="58" t="s">
        <v>6604</v>
      </c>
      <c r="W310" s="55" t="b">
        <f t="shared" si="1"/>
        <v>0</v>
      </c>
    </row>
    <row r="311" ht="15.0" customHeight="1">
      <c r="A311" s="56" t="s">
        <v>6605</v>
      </c>
      <c r="B311" s="56" t="s">
        <v>6606</v>
      </c>
      <c r="C311" s="57" t="s">
        <v>6607</v>
      </c>
      <c r="D311" s="58">
        <v>9.038059797E9</v>
      </c>
      <c r="E311" s="56" t="s">
        <v>368</v>
      </c>
      <c r="F311" s="56" t="s">
        <v>421</v>
      </c>
      <c r="G311" s="56" t="s">
        <v>390</v>
      </c>
      <c r="H311" s="56" t="s">
        <v>2291</v>
      </c>
      <c r="I311" s="56" t="s">
        <v>2931</v>
      </c>
      <c r="J311" s="56" t="s">
        <v>634</v>
      </c>
      <c r="K311" s="56" t="s">
        <v>399</v>
      </c>
      <c r="L311" s="56" t="s">
        <v>365</v>
      </c>
      <c r="M311" s="56" t="s">
        <v>366</v>
      </c>
      <c r="N311" s="62" t="s">
        <v>5720</v>
      </c>
      <c r="O311" s="59"/>
      <c r="P311" s="59"/>
      <c r="Q311" s="56" t="s">
        <v>2470</v>
      </c>
      <c r="R311" s="59"/>
      <c r="S311" s="56" t="s">
        <v>5722</v>
      </c>
      <c r="T311" s="61" t="s">
        <v>373</v>
      </c>
      <c r="U311" s="58" t="s">
        <v>6608</v>
      </c>
      <c r="W311" s="55" t="b">
        <f t="shared" si="1"/>
        <v>0</v>
      </c>
    </row>
    <row r="312" ht="15.0" customHeight="1">
      <c r="A312" s="56" t="s">
        <v>175</v>
      </c>
      <c r="B312" s="56" t="s">
        <v>6609</v>
      </c>
      <c r="C312" s="57" t="s">
        <v>6610</v>
      </c>
      <c r="D312" s="58">
        <v>3.216221366E9</v>
      </c>
      <c r="E312" s="56" t="s">
        <v>368</v>
      </c>
      <c r="F312" s="56" t="s">
        <v>452</v>
      </c>
      <c r="G312" s="56" t="s">
        <v>5715</v>
      </c>
      <c r="H312" s="56" t="s">
        <v>390</v>
      </c>
      <c r="I312" s="62" t="s">
        <v>362</v>
      </c>
      <c r="J312" s="59"/>
      <c r="K312" s="56" t="s">
        <v>364</v>
      </c>
      <c r="L312" s="56" t="s">
        <v>365</v>
      </c>
      <c r="M312" s="56" t="s">
        <v>413</v>
      </c>
      <c r="N312" s="62" t="s">
        <v>5946</v>
      </c>
      <c r="O312" s="59"/>
      <c r="P312" s="59"/>
      <c r="Q312" s="56" t="s">
        <v>2377</v>
      </c>
      <c r="R312" s="59"/>
      <c r="S312" s="56" t="s">
        <v>5717</v>
      </c>
      <c r="T312" s="61" t="s">
        <v>373</v>
      </c>
      <c r="U312" s="58" t="s">
        <v>6611</v>
      </c>
      <c r="W312" s="55" t="b">
        <f t="shared" si="1"/>
        <v>0</v>
      </c>
    </row>
    <row r="313" ht="15.0" customHeight="1">
      <c r="A313" s="56" t="s">
        <v>6612</v>
      </c>
      <c r="B313" s="56" t="s">
        <v>6613</v>
      </c>
      <c r="C313" s="57" t="s">
        <v>6614</v>
      </c>
      <c r="D313" s="56" t="s">
        <v>6615</v>
      </c>
      <c r="E313" s="56" t="s">
        <v>368</v>
      </c>
      <c r="F313" s="56" t="s">
        <v>1553</v>
      </c>
      <c r="G313" s="62" t="s">
        <v>390</v>
      </c>
      <c r="H313" s="59"/>
      <c r="I313" s="59"/>
      <c r="J313" s="59"/>
      <c r="K313" s="56" t="s">
        <v>379</v>
      </c>
      <c r="L313" s="56" t="s">
        <v>405</v>
      </c>
      <c r="M313" s="56" t="s">
        <v>366</v>
      </c>
      <c r="N313" s="62" t="s">
        <v>5720</v>
      </c>
      <c r="O313" s="59"/>
      <c r="P313" s="59"/>
      <c r="Q313" s="56" t="s">
        <v>5621</v>
      </c>
      <c r="R313" s="59"/>
      <c r="S313" s="56" t="s">
        <v>5722</v>
      </c>
      <c r="T313" s="61" t="s">
        <v>373</v>
      </c>
      <c r="U313" s="58" t="s">
        <v>6616</v>
      </c>
      <c r="W313" s="55" t="b">
        <f t="shared" si="1"/>
        <v>0</v>
      </c>
    </row>
    <row r="314" ht="15.0" customHeight="1">
      <c r="A314" s="56" t="s">
        <v>176</v>
      </c>
      <c r="B314" s="56" t="s">
        <v>3543</v>
      </c>
      <c r="C314" s="57" t="s">
        <v>3544</v>
      </c>
      <c r="D314" s="58">
        <v>8.30624601E9</v>
      </c>
      <c r="E314" s="56" t="s">
        <v>368</v>
      </c>
      <c r="F314" s="56" t="s">
        <v>390</v>
      </c>
      <c r="G314" s="56" t="s">
        <v>410</v>
      </c>
      <c r="H314" s="56" t="s">
        <v>421</v>
      </c>
      <c r="I314" s="56" t="s">
        <v>2291</v>
      </c>
      <c r="J314" s="56" t="s">
        <v>452</v>
      </c>
      <c r="K314" s="56" t="s">
        <v>364</v>
      </c>
      <c r="L314" s="56" t="s">
        <v>405</v>
      </c>
      <c r="M314" s="56" t="s">
        <v>366</v>
      </c>
      <c r="N314" s="56" t="s">
        <v>5716</v>
      </c>
      <c r="O314" s="58">
        <v>2.0</v>
      </c>
      <c r="P314" s="59"/>
      <c r="Q314" s="56" t="s">
        <v>3448</v>
      </c>
      <c r="R314" s="59"/>
      <c r="S314" s="56" t="s">
        <v>5717</v>
      </c>
      <c r="T314" s="61" t="s">
        <v>373</v>
      </c>
      <c r="U314" s="58" t="s">
        <v>6617</v>
      </c>
      <c r="W314" s="55" t="b">
        <f t="shared" si="1"/>
        <v>0</v>
      </c>
    </row>
    <row r="315" ht="15.0" customHeight="1">
      <c r="A315" s="56" t="s">
        <v>6618</v>
      </c>
      <c r="B315" s="56" t="s">
        <v>6619</v>
      </c>
      <c r="C315" s="57" t="s">
        <v>6620</v>
      </c>
      <c r="D315" s="58">
        <v>3.529784248E9</v>
      </c>
      <c r="E315" s="56" t="s">
        <v>368</v>
      </c>
      <c r="F315" s="56" t="s">
        <v>410</v>
      </c>
      <c r="G315" s="56" t="s">
        <v>390</v>
      </c>
      <c r="H315" s="56" t="s">
        <v>452</v>
      </c>
      <c r="I315" s="56" t="s">
        <v>443</v>
      </c>
      <c r="J315" s="56" t="s">
        <v>5715</v>
      </c>
      <c r="K315" s="56" t="s">
        <v>399</v>
      </c>
      <c r="L315" s="56" t="s">
        <v>405</v>
      </c>
      <c r="M315" s="56" t="s">
        <v>366</v>
      </c>
      <c r="N315" s="56" t="s">
        <v>497</v>
      </c>
      <c r="O315" s="58">
        <v>2.0</v>
      </c>
      <c r="P315" s="58">
        <v>2.0</v>
      </c>
      <c r="Q315" s="56" t="s">
        <v>6621</v>
      </c>
      <c r="R315" s="59"/>
      <c r="S315" s="56" t="s">
        <v>5733</v>
      </c>
      <c r="T315" s="61" t="s">
        <v>373</v>
      </c>
      <c r="U315" s="58" t="s">
        <v>6622</v>
      </c>
      <c r="W315" s="55" t="b">
        <f t="shared" si="1"/>
        <v>0</v>
      </c>
    </row>
    <row r="316" ht="15.0" customHeight="1">
      <c r="A316" s="56" t="s">
        <v>177</v>
      </c>
      <c r="B316" s="56" t="s">
        <v>3548</v>
      </c>
      <c r="C316" s="57" t="s">
        <v>3549</v>
      </c>
      <c r="D316" s="56" t="s">
        <v>5131</v>
      </c>
      <c r="E316" s="56" t="s">
        <v>368</v>
      </c>
      <c r="F316" s="56" t="s">
        <v>2286</v>
      </c>
      <c r="G316" s="62" t="s">
        <v>1789</v>
      </c>
      <c r="H316" s="59"/>
      <c r="I316" s="59"/>
      <c r="J316" s="59"/>
      <c r="K316" s="56" t="s">
        <v>399</v>
      </c>
      <c r="L316" s="56" t="s">
        <v>520</v>
      </c>
      <c r="M316" s="56" t="s">
        <v>366</v>
      </c>
      <c r="N316" s="62" t="s">
        <v>483</v>
      </c>
      <c r="O316" s="59"/>
      <c r="P316" s="59"/>
      <c r="Q316" s="56" t="s">
        <v>1371</v>
      </c>
      <c r="R316" s="59"/>
      <c r="S316" s="56" t="s">
        <v>5733</v>
      </c>
      <c r="T316" s="61" t="s">
        <v>373</v>
      </c>
      <c r="U316" s="58" t="s">
        <v>6623</v>
      </c>
      <c r="W316" s="55" t="b">
        <f t="shared" si="1"/>
        <v>0</v>
      </c>
    </row>
    <row r="317" ht="15.0" customHeight="1">
      <c r="A317" s="56" t="s">
        <v>6624</v>
      </c>
      <c r="B317" s="56" t="s">
        <v>6625</v>
      </c>
      <c r="C317" s="57" t="s">
        <v>6626</v>
      </c>
      <c r="D317" s="58">
        <v>4.406738526E9</v>
      </c>
      <c r="E317" s="56" t="s">
        <v>368</v>
      </c>
      <c r="F317" s="56" t="s">
        <v>452</v>
      </c>
      <c r="G317" s="56" t="s">
        <v>410</v>
      </c>
      <c r="H317" s="56" t="s">
        <v>1598</v>
      </c>
      <c r="I317" s="56" t="s">
        <v>390</v>
      </c>
      <c r="J317" s="56" t="s">
        <v>2291</v>
      </c>
      <c r="K317" s="56" t="s">
        <v>399</v>
      </c>
      <c r="L317" s="56" t="s">
        <v>380</v>
      </c>
      <c r="M317" s="56" t="s">
        <v>413</v>
      </c>
      <c r="N317" s="62" t="s">
        <v>5720</v>
      </c>
      <c r="O317" s="59"/>
      <c r="P317" s="59"/>
      <c r="Q317" s="56" t="s">
        <v>3932</v>
      </c>
      <c r="R317" s="59"/>
      <c r="S317" s="56" t="s">
        <v>5722</v>
      </c>
      <c r="T317" s="61" t="s">
        <v>373</v>
      </c>
      <c r="U317" s="58" t="s">
        <v>6627</v>
      </c>
      <c r="W317" s="55" t="b">
        <f t="shared" si="1"/>
        <v>0</v>
      </c>
    </row>
    <row r="318" ht="15.0" customHeight="1">
      <c r="A318" s="56" t="s">
        <v>6628</v>
      </c>
      <c r="B318" s="56" t="s">
        <v>5134</v>
      </c>
      <c r="C318" s="57" t="s">
        <v>6629</v>
      </c>
      <c r="D318" s="56" t="s">
        <v>6630</v>
      </c>
      <c r="E318" s="56" t="s">
        <v>368</v>
      </c>
      <c r="F318" s="56" t="s">
        <v>390</v>
      </c>
      <c r="G318" s="56" t="s">
        <v>2286</v>
      </c>
      <c r="H318" s="56" t="s">
        <v>716</v>
      </c>
      <c r="I318" s="56" t="s">
        <v>421</v>
      </c>
      <c r="J318" s="56" t="s">
        <v>675</v>
      </c>
      <c r="K318" s="56" t="s">
        <v>399</v>
      </c>
      <c r="L318" s="56" t="s">
        <v>520</v>
      </c>
      <c r="M318" s="56" t="s">
        <v>513</v>
      </c>
      <c r="N318" s="56" t="s">
        <v>5724</v>
      </c>
      <c r="O318" s="58">
        <v>2.0</v>
      </c>
      <c r="P318" s="59"/>
      <c r="Q318" s="59"/>
      <c r="R318" s="59"/>
      <c r="S318" s="56" t="s">
        <v>5717</v>
      </c>
      <c r="T318" s="61" t="s">
        <v>394</v>
      </c>
      <c r="U318" s="58" t="s">
        <v>6631</v>
      </c>
      <c r="W318" s="55" t="b">
        <f t="shared" si="1"/>
        <v>1</v>
      </c>
    </row>
    <row r="319" ht="15.0" customHeight="1">
      <c r="A319" s="56" t="s">
        <v>6632</v>
      </c>
      <c r="B319" s="56" t="s">
        <v>6633</v>
      </c>
      <c r="C319" s="57" t="s">
        <v>6634</v>
      </c>
      <c r="D319" s="56" t="s">
        <v>6635</v>
      </c>
      <c r="E319" s="56" t="s">
        <v>368</v>
      </c>
      <c r="F319" s="56" t="s">
        <v>410</v>
      </c>
      <c r="G319" s="56" t="s">
        <v>390</v>
      </c>
      <c r="H319" s="56" t="s">
        <v>2286</v>
      </c>
      <c r="I319" s="56" t="s">
        <v>452</v>
      </c>
      <c r="J319" s="56" t="s">
        <v>2931</v>
      </c>
      <c r="K319" s="56" t="s">
        <v>399</v>
      </c>
      <c r="L319" s="56" t="s">
        <v>365</v>
      </c>
      <c r="M319" s="56" t="s">
        <v>366</v>
      </c>
      <c r="N319" s="56" t="s">
        <v>6044</v>
      </c>
      <c r="O319" s="58">
        <v>1.0</v>
      </c>
      <c r="P319" s="59"/>
      <c r="Q319" s="56" t="s">
        <v>2992</v>
      </c>
      <c r="R319" s="59"/>
      <c r="S319" s="56" t="s">
        <v>5717</v>
      </c>
      <c r="T319" s="61" t="s">
        <v>373</v>
      </c>
      <c r="U319" s="58" t="s">
        <v>6636</v>
      </c>
      <c r="W319" s="55" t="b">
        <f t="shared" si="1"/>
        <v>0</v>
      </c>
    </row>
    <row r="320" ht="15.0" customHeight="1">
      <c r="A320" s="56" t="s">
        <v>179</v>
      </c>
      <c r="B320" s="56" t="s">
        <v>3557</v>
      </c>
      <c r="C320" s="57" t="s">
        <v>3558</v>
      </c>
      <c r="D320" s="56" t="s">
        <v>6637</v>
      </c>
      <c r="E320" s="56" t="s">
        <v>368</v>
      </c>
      <c r="F320" s="56" t="s">
        <v>2286</v>
      </c>
      <c r="G320" s="56" t="s">
        <v>390</v>
      </c>
      <c r="H320" s="56" t="s">
        <v>1789</v>
      </c>
      <c r="I320" s="56" t="s">
        <v>452</v>
      </c>
      <c r="J320" s="56" t="s">
        <v>5719</v>
      </c>
      <c r="K320" s="56" t="s">
        <v>399</v>
      </c>
      <c r="L320" s="56" t="s">
        <v>520</v>
      </c>
      <c r="M320" s="56" t="s">
        <v>366</v>
      </c>
      <c r="N320" s="62" t="s">
        <v>5798</v>
      </c>
      <c r="O320" s="59"/>
      <c r="P320" s="59"/>
      <c r="Q320" s="56" t="s">
        <v>6638</v>
      </c>
      <c r="R320" s="59"/>
      <c r="S320" s="56" t="s">
        <v>5722</v>
      </c>
      <c r="T320" s="61" t="s">
        <v>373</v>
      </c>
      <c r="U320" s="58" t="s">
        <v>6639</v>
      </c>
      <c r="W320" s="55" t="b">
        <f t="shared" si="1"/>
        <v>0</v>
      </c>
    </row>
    <row r="321" ht="15.0" customHeight="1">
      <c r="A321" s="56" t="s">
        <v>3560</v>
      </c>
      <c r="B321" s="56" t="s">
        <v>3561</v>
      </c>
      <c r="C321" s="57" t="s">
        <v>3562</v>
      </c>
      <c r="D321" s="58">
        <v>9.372595008E9</v>
      </c>
      <c r="E321" s="56" t="s">
        <v>368</v>
      </c>
      <c r="F321" s="56" t="s">
        <v>2286</v>
      </c>
      <c r="G321" s="62" t="s">
        <v>1789</v>
      </c>
      <c r="H321" s="59"/>
      <c r="I321" s="59"/>
      <c r="J321" s="59"/>
      <c r="K321" s="56" t="s">
        <v>364</v>
      </c>
      <c r="L321" s="56" t="s">
        <v>380</v>
      </c>
      <c r="M321" s="56" t="s">
        <v>513</v>
      </c>
      <c r="N321" s="56" t="s">
        <v>5720</v>
      </c>
      <c r="O321" s="58">
        <v>0.0</v>
      </c>
      <c r="P321" s="58">
        <v>0.0</v>
      </c>
      <c r="Q321" s="56" t="s">
        <v>2906</v>
      </c>
      <c r="R321" s="59"/>
      <c r="S321" s="56" t="s">
        <v>5722</v>
      </c>
      <c r="T321" s="61" t="s">
        <v>373</v>
      </c>
      <c r="U321" s="58" t="s">
        <v>6640</v>
      </c>
      <c r="W321" s="55" t="b">
        <f t="shared" si="1"/>
        <v>1</v>
      </c>
    </row>
    <row r="322" ht="15.0" customHeight="1">
      <c r="A322" s="56" t="s">
        <v>3566</v>
      </c>
      <c r="B322" s="56" t="s">
        <v>3567</v>
      </c>
      <c r="C322" s="57" t="s">
        <v>3568</v>
      </c>
      <c r="D322" s="56" t="s">
        <v>6641</v>
      </c>
      <c r="E322" s="56" t="s">
        <v>368</v>
      </c>
      <c r="F322" s="56" t="s">
        <v>459</v>
      </c>
      <c r="G322" s="56" t="s">
        <v>5715</v>
      </c>
      <c r="H322" s="56" t="s">
        <v>362</v>
      </c>
      <c r="I322" s="56" t="s">
        <v>452</v>
      </c>
      <c r="J322" s="56" t="s">
        <v>390</v>
      </c>
      <c r="K322" s="56" t="s">
        <v>364</v>
      </c>
      <c r="L322" s="56" t="s">
        <v>365</v>
      </c>
      <c r="M322" s="56" t="s">
        <v>413</v>
      </c>
      <c r="N322" s="56" t="s">
        <v>5724</v>
      </c>
      <c r="O322" s="58">
        <v>0.0</v>
      </c>
      <c r="P322" s="58">
        <v>0.0</v>
      </c>
      <c r="Q322" s="56" t="s">
        <v>6642</v>
      </c>
      <c r="R322" s="59"/>
      <c r="S322" s="56" t="s">
        <v>5717</v>
      </c>
      <c r="T322" s="61" t="s">
        <v>373</v>
      </c>
      <c r="U322" s="58" t="s">
        <v>6643</v>
      </c>
      <c r="W322" s="55" t="b">
        <f t="shared" si="1"/>
        <v>0</v>
      </c>
    </row>
    <row r="323" ht="15.0" customHeight="1">
      <c r="A323" s="56" t="s">
        <v>180</v>
      </c>
      <c r="B323" s="56" t="s">
        <v>6644</v>
      </c>
      <c r="C323" s="57" t="s">
        <v>6645</v>
      </c>
      <c r="D323" s="58">
        <v>1.5123382771E10</v>
      </c>
      <c r="E323" s="56" t="s">
        <v>368</v>
      </c>
      <c r="F323" s="56" t="s">
        <v>2286</v>
      </c>
      <c r="G323" s="56" t="s">
        <v>390</v>
      </c>
      <c r="H323" s="62" t="s">
        <v>452</v>
      </c>
      <c r="I323" s="59"/>
      <c r="J323" s="59"/>
      <c r="K323" s="56" t="s">
        <v>364</v>
      </c>
      <c r="L323" s="56" t="s">
        <v>365</v>
      </c>
      <c r="M323" s="56" t="s">
        <v>1822</v>
      </c>
      <c r="N323" s="62" t="s">
        <v>381</v>
      </c>
      <c r="O323" s="59"/>
      <c r="P323" s="59"/>
      <c r="Q323" s="56" t="s">
        <v>4380</v>
      </c>
      <c r="R323" s="59"/>
      <c r="S323" s="56" t="s">
        <v>5733</v>
      </c>
      <c r="T323" s="61" t="s">
        <v>373</v>
      </c>
      <c r="U323" s="58" t="s">
        <v>6646</v>
      </c>
      <c r="W323" s="55" t="b">
        <f t="shared" si="1"/>
        <v>0</v>
      </c>
    </row>
    <row r="324" ht="15.0" customHeight="1">
      <c r="A324" s="56" t="s">
        <v>181</v>
      </c>
      <c r="B324" s="56" t="s">
        <v>6647</v>
      </c>
      <c r="C324" s="57" t="s">
        <v>5147</v>
      </c>
      <c r="D324" s="58">
        <v>8.326934546E9</v>
      </c>
      <c r="E324" s="56" t="s">
        <v>368</v>
      </c>
      <c r="F324" s="56" t="s">
        <v>452</v>
      </c>
      <c r="G324" s="56" t="s">
        <v>390</v>
      </c>
      <c r="H324" s="56" t="s">
        <v>2291</v>
      </c>
      <c r="I324" s="56" t="s">
        <v>634</v>
      </c>
      <c r="J324" s="56" t="s">
        <v>421</v>
      </c>
      <c r="K324" s="56" t="s">
        <v>379</v>
      </c>
      <c r="L324" s="56" t="s">
        <v>412</v>
      </c>
      <c r="M324" s="56" t="s">
        <v>366</v>
      </c>
      <c r="N324" s="56" t="s">
        <v>5720</v>
      </c>
      <c r="O324" s="58">
        <v>0.0</v>
      </c>
      <c r="P324" s="58">
        <v>0.0</v>
      </c>
      <c r="Q324" s="56" t="s">
        <v>574</v>
      </c>
      <c r="R324" s="59"/>
      <c r="S324" s="56" t="s">
        <v>5722</v>
      </c>
      <c r="T324" s="61" t="s">
        <v>373</v>
      </c>
      <c r="U324" s="58" t="s">
        <v>6648</v>
      </c>
      <c r="W324" s="55" t="b">
        <f t="shared" si="1"/>
        <v>0</v>
      </c>
    </row>
    <row r="325" ht="15.0" customHeight="1">
      <c r="A325" s="56" t="s">
        <v>3586</v>
      </c>
      <c r="B325" s="56" t="s">
        <v>3591</v>
      </c>
      <c r="C325" s="57" t="s">
        <v>3592</v>
      </c>
      <c r="D325" s="56" t="s">
        <v>3593</v>
      </c>
      <c r="E325" s="56" t="s">
        <v>368</v>
      </c>
      <c r="F325" s="56" t="s">
        <v>452</v>
      </c>
      <c r="G325" s="56" t="s">
        <v>390</v>
      </c>
      <c r="H325" s="62" t="s">
        <v>421</v>
      </c>
      <c r="I325" s="59"/>
      <c r="J325" s="59"/>
      <c r="K325" s="56" t="s">
        <v>379</v>
      </c>
      <c r="L325" s="56" t="s">
        <v>365</v>
      </c>
      <c r="M325" s="56" t="s">
        <v>413</v>
      </c>
      <c r="N325" s="56" t="s">
        <v>5720</v>
      </c>
      <c r="O325" s="58">
        <v>0.0</v>
      </c>
      <c r="P325" s="59"/>
      <c r="Q325" s="56" t="s">
        <v>914</v>
      </c>
      <c r="R325" s="59"/>
      <c r="S325" s="56" t="s">
        <v>5722</v>
      </c>
      <c r="T325" s="61" t="s">
        <v>373</v>
      </c>
      <c r="U325" s="58" t="s">
        <v>6649</v>
      </c>
      <c r="W325" s="55" t="b">
        <f t="shared" si="1"/>
        <v>0</v>
      </c>
    </row>
    <row r="326" ht="15.0" customHeight="1">
      <c r="A326" s="56" t="s">
        <v>182</v>
      </c>
      <c r="B326" s="56" t="s">
        <v>6650</v>
      </c>
      <c r="C326" s="57" t="s">
        <v>6651</v>
      </c>
      <c r="D326" s="56" t="s">
        <v>5162</v>
      </c>
      <c r="E326" s="56" t="s">
        <v>368</v>
      </c>
      <c r="F326" s="56" t="s">
        <v>390</v>
      </c>
      <c r="G326" s="56" t="s">
        <v>452</v>
      </c>
      <c r="H326" s="56" t="s">
        <v>675</v>
      </c>
      <c r="I326" s="62" t="s">
        <v>421</v>
      </c>
      <c r="J326" s="59"/>
      <c r="K326" s="56" t="s">
        <v>364</v>
      </c>
      <c r="L326" s="56" t="s">
        <v>365</v>
      </c>
      <c r="M326" s="56" t="s">
        <v>366</v>
      </c>
      <c r="N326" s="62" t="s">
        <v>483</v>
      </c>
      <c r="O326" s="59"/>
      <c r="P326" s="59"/>
      <c r="Q326" s="56" t="s">
        <v>2648</v>
      </c>
      <c r="R326" s="59"/>
      <c r="S326" s="56" t="s">
        <v>5733</v>
      </c>
      <c r="T326" s="61" t="s">
        <v>373</v>
      </c>
      <c r="U326" s="58" t="s">
        <v>6652</v>
      </c>
      <c r="W326" s="55" t="b">
        <f t="shared" si="1"/>
        <v>0</v>
      </c>
    </row>
    <row r="327" ht="15.0" customHeight="1">
      <c r="A327" s="56" t="s">
        <v>3603</v>
      </c>
      <c r="B327" s="56" t="s">
        <v>3604</v>
      </c>
      <c r="C327" s="57" t="s">
        <v>3605</v>
      </c>
      <c r="D327" s="58">
        <v>4.195642645E9</v>
      </c>
      <c r="E327" s="56" t="s">
        <v>368</v>
      </c>
      <c r="F327" s="56" t="s">
        <v>410</v>
      </c>
      <c r="G327" s="56" t="s">
        <v>390</v>
      </c>
      <c r="H327" s="56" t="s">
        <v>5719</v>
      </c>
      <c r="I327" s="62" t="s">
        <v>5715</v>
      </c>
      <c r="J327" s="59"/>
      <c r="K327" s="56" t="s">
        <v>379</v>
      </c>
      <c r="L327" s="56" t="s">
        <v>710</v>
      </c>
      <c r="M327" s="56" t="s">
        <v>366</v>
      </c>
      <c r="N327" s="56" t="s">
        <v>5720</v>
      </c>
      <c r="O327" s="58">
        <v>0.0</v>
      </c>
      <c r="P327" s="58">
        <v>2.0</v>
      </c>
      <c r="Q327" s="56" t="s">
        <v>2678</v>
      </c>
      <c r="R327" s="59"/>
      <c r="S327" s="56" t="s">
        <v>5722</v>
      </c>
      <c r="T327" s="61" t="s">
        <v>373</v>
      </c>
      <c r="U327" s="58" t="s">
        <v>6653</v>
      </c>
      <c r="W327" s="55" t="b">
        <f t="shared" si="1"/>
        <v>0</v>
      </c>
    </row>
    <row r="328" ht="15.0" customHeight="1">
      <c r="A328" s="56" t="s">
        <v>6654</v>
      </c>
      <c r="B328" s="56" t="s">
        <v>6655</v>
      </c>
      <c r="C328" s="57" t="s">
        <v>6656</v>
      </c>
      <c r="D328" s="56" t="s">
        <v>6657</v>
      </c>
      <c r="E328" s="56" t="s">
        <v>368</v>
      </c>
      <c r="F328" s="56" t="s">
        <v>452</v>
      </c>
      <c r="G328" s="56" t="s">
        <v>390</v>
      </c>
      <c r="H328" s="56" t="s">
        <v>2931</v>
      </c>
      <c r="I328" s="56" t="s">
        <v>421</v>
      </c>
      <c r="J328" s="56" t="s">
        <v>716</v>
      </c>
      <c r="K328" s="56" t="s">
        <v>379</v>
      </c>
      <c r="L328" s="56" t="s">
        <v>1791</v>
      </c>
      <c r="M328" s="56" t="s">
        <v>366</v>
      </c>
      <c r="N328" s="56" t="s">
        <v>5720</v>
      </c>
      <c r="O328" s="58">
        <v>0.0</v>
      </c>
      <c r="P328" s="58">
        <v>0.0</v>
      </c>
      <c r="Q328" s="56" t="s">
        <v>1496</v>
      </c>
      <c r="R328" s="59"/>
      <c r="S328" s="56" t="s">
        <v>5722</v>
      </c>
      <c r="T328" s="61" t="s">
        <v>394</v>
      </c>
      <c r="U328" s="58" t="s">
        <v>6658</v>
      </c>
      <c r="W328" s="55" t="b">
        <f t="shared" si="1"/>
        <v>0</v>
      </c>
    </row>
    <row r="329" ht="15.0" customHeight="1">
      <c r="A329" s="56" t="s">
        <v>184</v>
      </c>
      <c r="B329" s="56" t="s">
        <v>6659</v>
      </c>
      <c r="C329" s="57" t="s">
        <v>6660</v>
      </c>
      <c r="D329" s="58">
        <v>7.138994816E9</v>
      </c>
      <c r="E329" s="56" t="s">
        <v>368</v>
      </c>
      <c r="F329" s="56" t="s">
        <v>410</v>
      </c>
      <c r="G329" s="56" t="s">
        <v>390</v>
      </c>
      <c r="H329" s="56" t="s">
        <v>452</v>
      </c>
      <c r="I329" s="62" t="s">
        <v>410</v>
      </c>
      <c r="J329" s="59"/>
      <c r="K329" s="56" t="s">
        <v>379</v>
      </c>
      <c r="L329" s="56" t="s">
        <v>830</v>
      </c>
      <c r="M329" s="56" t="s">
        <v>413</v>
      </c>
      <c r="N329" s="62" t="s">
        <v>497</v>
      </c>
      <c r="O329" s="59"/>
      <c r="P329" s="59"/>
      <c r="Q329" s="56" t="s">
        <v>4089</v>
      </c>
      <c r="R329" s="59"/>
      <c r="S329" s="56" t="s">
        <v>5733</v>
      </c>
      <c r="T329" s="61" t="s">
        <v>373</v>
      </c>
      <c r="U329" s="58" t="s">
        <v>6661</v>
      </c>
      <c r="W329" s="55" t="b">
        <f t="shared" si="1"/>
        <v>0</v>
      </c>
    </row>
    <row r="330" ht="15.0" customHeight="1">
      <c r="A330" s="56" t="s">
        <v>6662</v>
      </c>
      <c r="B330" s="56" t="s">
        <v>3617</v>
      </c>
      <c r="C330" s="57" t="s">
        <v>3618</v>
      </c>
      <c r="D330" s="56" t="s">
        <v>5172</v>
      </c>
      <c r="E330" s="56" t="s">
        <v>368</v>
      </c>
      <c r="F330" s="56" t="s">
        <v>452</v>
      </c>
      <c r="G330" s="56" t="s">
        <v>390</v>
      </c>
      <c r="H330" s="62" t="s">
        <v>2286</v>
      </c>
      <c r="I330" s="59"/>
      <c r="J330" s="59"/>
      <c r="K330" s="56" t="s">
        <v>379</v>
      </c>
      <c r="L330" s="56" t="s">
        <v>365</v>
      </c>
      <c r="M330" s="56" t="s">
        <v>366</v>
      </c>
      <c r="N330" s="62" t="s">
        <v>483</v>
      </c>
      <c r="O330" s="59"/>
      <c r="P330" s="59"/>
      <c r="Q330" s="56" t="s">
        <v>4134</v>
      </c>
      <c r="R330" s="59"/>
      <c r="S330" s="56" t="s">
        <v>5733</v>
      </c>
      <c r="T330" s="61" t="s">
        <v>373</v>
      </c>
      <c r="U330" s="58" t="s">
        <v>5806</v>
      </c>
      <c r="W330" s="55" t="b">
        <f t="shared" si="1"/>
        <v>0</v>
      </c>
    </row>
    <row r="331" ht="15.0" customHeight="1">
      <c r="A331" s="56" t="s">
        <v>185</v>
      </c>
      <c r="B331" s="56" t="s">
        <v>6663</v>
      </c>
      <c r="C331" s="57" t="s">
        <v>1524</v>
      </c>
      <c r="D331" s="56" t="s">
        <v>6664</v>
      </c>
      <c r="E331" s="56" t="s">
        <v>368</v>
      </c>
      <c r="F331" s="56" t="s">
        <v>452</v>
      </c>
      <c r="G331" s="56" t="s">
        <v>390</v>
      </c>
      <c r="H331" s="56" t="s">
        <v>2286</v>
      </c>
      <c r="I331" s="56" t="s">
        <v>716</v>
      </c>
      <c r="J331" s="56" t="s">
        <v>421</v>
      </c>
      <c r="K331" s="56" t="s">
        <v>379</v>
      </c>
      <c r="L331" s="56" t="s">
        <v>365</v>
      </c>
      <c r="M331" s="56" t="s">
        <v>869</v>
      </c>
      <c r="N331" s="56" t="s">
        <v>483</v>
      </c>
      <c r="O331" s="58">
        <v>3.0</v>
      </c>
      <c r="P331" s="58">
        <v>3.0</v>
      </c>
      <c r="Q331" s="59"/>
      <c r="R331" s="59"/>
      <c r="S331" s="56" t="s">
        <v>5733</v>
      </c>
      <c r="T331" s="61" t="s">
        <v>394</v>
      </c>
      <c r="U331" s="58" t="s">
        <v>6665</v>
      </c>
      <c r="W331" s="55" t="b">
        <f t="shared" si="1"/>
        <v>0</v>
      </c>
    </row>
    <row r="332" ht="15.0" customHeight="1">
      <c r="A332" s="56" t="s">
        <v>6666</v>
      </c>
      <c r="B332" s="56" t="s">
        <v>2805</v>
      </c>
      <c r="C332" s="57" t="s">
        <v>6667</v>
      </c>
      <c r="D332" s="56" t="s">
        <v>6668</v>
      </c>
      <c r="E332" s="56" t="s">
        <v>368</v>
      </c>
      <c r="F332" s="62" t="s">
        <v>2286</v>
      </c>
      <c r="G332" s="59"/>
      <c r="H332" s="59"/>
      <c r="I332" s="59"/>
      <c r="J332" s="59"/>
      <c r="K332" s="56" t="s">
        <v>379</v>
      </c>
      <c r="L332" s="56" t="s">
        <v>365</v>
      </c>
      <c r="M332" s="56" t="s">
        <v>413</v>
      </c>
      <c r="N332" s="62" t="s">
        <v>5720</v>
      </c>
      <c r="O332" s="59"/>
      <c r="P332" s="59"/>
      <c r="Q332" s="56" t="s">
        <v>1031</v>
      </c>
      <c r="R332" s="59"/>
      <c r="S332" s="56" t="s">
        <v>5722</v>
      </c>
      <c r="T332" s="61" t="s">
        <v>373</v>
      </c>
      <c r="U332" s="58" t="s">
        <v>6581</v>
      </c>
      <c r="W332" s="55" t="b">
        <f t="shared" si="1"/>
        <v>0</v>
      </c>
    </row>
    <row r="333" ht="15.0" customHeight="1">
      <c r="A333" s="56" t="s">
        <v>186</v>
      </c>
      <c r="B333" s="56" t="s">
        <v>3622</v>
      </c>
      <c r="C333" s="57" t="s">
        <v>3623</v>
      </c>
      <c r="D333" s="56" t="s">
        <v>5174</v>
      </c>
      <c r="E333" s="56" t="s">
        <v>368</v>
      </c>
      <c r="F333" s="56" t="s">
        <v>2286</v>
      </c>
      <c r="G333" s="56" t="s">
        <v>1789</v>
      </c>
      <c r="H333" s="56" t="s">
        <v>877</v>
      </c>
      <c r="I333" s="56" t="s">
        <v>877</v>
      </c>
      <c r="J333" s="56" t="s">
        <v>1789</v>
      </c>
      <c r="K333" s="56" t="s">
        <v>379</v>
      </c>
      <c r="L333" s="56" t="s">
        <v>380</v>
      </c>
      <c r="M333" s="56" t="s">
        <v>366</v>
      </c>
      <c r="N333" s="56" t="s">
        <v>5716</v>
      </c>
      <c r="O333" s="58">
        <v>0.0</v>
      </c>
      <c r="P333" s="59"/>
      <c r="Q333" s="56" t="s">
        <v>4804</v>
      </c>
      <c r="R333" s="59"/>
      <c r="S333" s="56" t="s">
        <v>5717</v>
      </c>
      <c r="T333" s="61" t="s">
        <v>373</v>
      </c>
      <c r="U333" s="58" t="s">
        <v>6431</v>
      </c>
      <c r="W333" s="55" t="b">
        <f t="shared" si="1"/>
        <v>0</v>
      </c>
    </row>
    <row r="334" ht="15.0" customHeight="1">
      <c r="A334" s="56" t="s">
        <v>187</v>
      </c>
      <c r="B334" s="56" t="s">
        <v>1528</v>
      </c>
      <c r="C334" s="57" t="s">
        <v>6669</v>
      </c>
      <c r="D334" s="56" t="s">
        <v>5177</v>
      </c>
      <c r="E334" s="56" t="s">
        <v>368</v>
      </c>
      <c r="F334" s="56" t="s">
        <v>390</v>
      </c>
      <c r="G334" s="56" t="s">
        <v>2286</v>
      </c>
      <c r="H334" s="62" t="s">
        <v>2291</v>
      </c>
      <c r="I334" s="59"/>
      <c r="J334" s="59"/>
      <c r="K334" s="56" t="s">
        <v>364</v>
      </c>
      <c r="L334" s="56" t="s">
        <v>365</v>
      </c>
      <c r="M334" s="56" t="s">
        <v>366</v>
      </c>
      <c r="N334" s="56" t="s">
        <v>5720</v>
      </c>
      <c r="O334" s="58">
        <v>0.0</v>
      </c>
      <c r="P334" s="58">
        <v>1.0</v>
      </c>
      <c r="Q334" s="56" t="s">
        <v>4680</v>
      </c>
      <c r="R334" s="59"/>
      <c r="S334" s="56" t="s">
        <v>5722</v>
      </c>
      <c r="T334" s="61" t="s">
        <v>373</v>
      </c>
      <c r="U334" s="58" t="s">
        <v>6670</v>
      </c>
      <c r="W334" s="55" t="b">
        <f t="shared" si="1"/>
        <v>0</v>
      </c>
    </row>
    <row r="335" ht="15.0" customHeight="1">
      <c r="A335" s="56" t="s">
        <v>188</v>
      </c>
      <c r="B335" s="56" t="s">
        <v>3628</v>
      </c>
      <c r="C335" s="57" t="s">
        <v>3629</v>
      </c>
      <c r="D335" s="56" t="s">
        <v>5180</v>
      </c>
      <c r="E335" s="56" t="s">
        <v>368</v>
      </c>
      <c r="F335" s="56" t="s">
        <v>2286</v>
      </c>
      <c r="G335" s="56" t="s">
        <v>1789</v>
      </c>
      <c r="H335" s="62" t="s">
        <v>716</v>
      </c>
      <c r="I335" s="59"/>
      <c r="J335" s="59"/>
      <c r="K335" s="56" t="s">
        <v>379</v>
      </c>
      <c r="L335" s="56" t="s">
        <v>365</v>
      </c>
      <c r="M335" s="56" t="s">
        <v>366</v>
      </c>
      <c r="N335" s="62" t="s">
        <v>5720</v>
      </c>
      <c r="O335" s="59"/>
      <c r="P335" s="59"/>
      <c r="Q335" s="56" t="s">
        <v>3873</v>
      </c>
      <c r="R335" s="59"/>
      <c r="S335" s="56" t="s">
        <v>5722</v>
      </c>
      <c r="T335" s="61" t="s">
        <v>373</v>
      </c>
      <c r="U335" s="58" t="s">
        <v>5816</v>
      </c>
      <c r="W335" s="55" t="b">
        <f t="shared" si="1"/>
        <v>0</v>
      </c>
    </row>
    <row r="336" ht="15.0" customHeight="1">
      <c r="A336" s="56" t="s">
        <v>189</v>
      </c>
      <c r="B336" s="56" t="s">
        <v>1532</v>
      </c>
      <c r="C336" s="57" t="s">
        <v>1533</v>
      </c>
      <c r="D336" s="58">
        <v>4.705370406E9</v>
      </c>
      <c r="E336" s="56" t="s">
        <v>368</v>
      </c>
      <c r="F336" s="56" t="s">
        <v>362</v>
      </c>
      <c r="G336" s="56" t="s">
        <v>5715</v>
      </c>
      <c r="H336" s="56" t="s">
        <v>2291</v>
      </c>
      <c r="I336" s="56" t="s">
        <v>390</v>
      </c>
      <c r="J336" s="56" t="s">
        <v>452</v>
      </c>
      <c r="K336" s="56" t="s">
        <v>379</v>
      </c>
      <c r="L336" s="56" t="s">
        <v>412</v>
      </c>
      <c r="M336" s="56" t="s">
        <v>366</v>
      </c>
      <c r="N336" s="62" t="s">
        <v>5946</v>
      </c>
      <c r="O336" s="59"/>
      <c r="P336" s="59"/>
      <c r="Q336" s="56" t="s">
        <v>1233</v>
      </c>
      <c r="R336" s="59"/>
      <c r="S336" s="56" t="s">
        <v>5717</v>
      </c>
      <c r="T336" s="61" t="s">
        <v>373</v>
      </c>
      <c r="U336" s="58" t="s">
        <v>6671</v>
      </c>
      <c r="W336" s="55" t="b">
        <f t="shared" si="1"/>
        <v>0</v>
      </c>
    </row>
    <row r="337" ht="15.0" customHeight="1">
      <c r="A337" s="56" t="s">
        <v>190</v>
      </c>
      <c r="B337" s="56" t="s">
        <v>5182</v>
      </c>
      <c r="C337" s="57" t="s">
        <v>5183</v>
      </c>
      <c r="D337" s="58">
        <v>9.048210211E9</v>
      </c>
      <c r="E337" s="56" t="s">
        <v>368</v>
      </c>
      <c r="F337" s="56" t="s">
        <v>877</v>
      </c>
      <c r="G337" s="56" t="s">
        <v>2286</v>
      </c>
      <c r="H337" s="62" t="s">
        <v>390</v>
      </c>
      <c r="I337" s="59"/>
      <c r="J337" s="59"/>
      <c r="K337" s="56" t="s">
        <v>379</v>
      </c>
      <c r="L337" s="56" t="s">
        <v>365</v>
      </c>
      <c r="M337" s="56" t="s">
        <v>413</v>
      </c>
      <c r="N337" s="62" t="s">
        <v>381</v>
      </c>
      <c r="O337" s="59"/>
      <c r="P337" s="59"/>
      <c r="Q337" s="56" t="s">
        <v>5071</v>
      </c>
      <c r="R337" s="59"/>
      <c r="S337" s="56" t="s">
        <v>5733</v>
      </c>
      <c r="T337" s="61" t="s">
        <v>373</v>
      </c>
      <c r="U337" s="58" t="s">
        <v>6672</v>
      </c>
      <c r="W337" s="55" t="b">
        <f t="shared" si="1"/>
        <v>0</v>
      </c>
    </row>
    <row r="338" ht="15.0" customHeight="1">
      <c r="A338" s="56" t="s">
        <v>191</v>
      </c>
      <c r="B338" s="56" t="s">
        <v>3636</v>
      </c>
      <c r="C338" s="57" t="s">
        <v>3637</v>
      </c>
      <c r="D338" s="58">
        <v>2.106267452E9</v>
      </c>
      <c r="E338" s="56" t="s">
        <v>368</v>
      </c>
      <c r="F338" s="56" t="s">
        <v>410</v>
      </c>
      <c r="G338" s="56" t="s">
        <v>452</v>
      </c>
      <c r="H338" s="56" t="s">
        <v>390</v>
      </c>
      <c r="I338" s="56" t="s">
        <v>410</v>
      </c>
      <c r="J338" s="56" t="s">
        <v>410</v>
      </c>
      <c r="K338" s="56" t="s">
        <v>379</v>
      </c>
      <c r="L338" s="56" t="s">
        <v>830</v>
      </c>
      <c r="M338" s="56" t="s">
        <v>366</v>
      </c>
      <c r="N338" s="56" t="s">
        <v>497</v>
      </c>
      <c r="O338" s="58">
        <v>0.0</v>
      </c>
      <c r="P338" s="58">
        <v>0.0</v>
      </c>
      <c r="Q338" s="56" t="s">
        <v>6673</v>
      </c>
      <c r="R338" s="59"/>
      <c r="S338" s="56" t="s">
        <v>5733</v>
      </c>
      <c r="T338" s="61" t="s">
        <v>373</v>
      </c>
      <c r="U338" s="58" t="s">
        <v>5955</v>
      </c>
      <c r="W338" s="55" t="b">
        <f t="shared" si="1"/>
        <v>0</v>
      </c>
    </row>
    <row r="339" ht="15.0" customHeight="1">
      <c r="A339" s="56" t="s">
        <v>192</v>
      </c>
      <c r="B339" s="56" t="s">
        <v>1545</v>
      </c>
      <c r="C339" s="57" t="s">
        <v>1546</v>
      </c>
      <c r="D339" s="58">
        <v>9.1329126E9</v>
      </c>
      <c r="E339" s="56" t="s">
        <v>368</v>
      </c>
      <c r="F339" s="56" t="s">
        <v>2286</v>
      </c>
      <c r="G339" s="56" t="s">
        <v>877</v>
      </c>
      <c r="H339" s="62" t="s">
        <v>390</v>
      </c>
      <c r="I339" s="59"/>
      <c r="J339" s="59"/>
      <c r="K339" s="56" t="s">
        <v>379</v>
      </c>
      <c r="L339" s="56" t="s">
        <v>365</v>
      </c>
      <c r="M339" s="56" t="s">
        <v>366</v>
      </c>
      <c r="N339" s="62" t="s">
        <v>5716</v>
      </c>
      <c r="O339" s="59"/>
      <c r="P339" s="59"/>
      <c r="Q339" s="59"/>
      <c r="R339" s="59"/>
      <c r="S339" s="56" t="s">
        <v>5717</v>
      </c>
      <c r="T339" s="61" t="s">
        <v>394</v>
      </c>
      <c r="U339" s="58" t="s">
        <v>6674</v>
      </c>
      <c r="W339" s="55" t="b">
        <f t="shared" si="1"/>
        <v>0</v>
      </c>
    </row>
    <row r="340" ht="15.0" customHeight="1">
      <c r="A340" s="56" t="s">
        <v>193</v>
      </c>
      <c r="B340" s="56" t="s">
        <v>6675</v>
      </c>
      <c r="C340" s="57" t="s">
        <v>1551</v>
      </c>
      <c r="D340" s="56" t="s">
        <v>1552</v>
      </c>
      <c r="E340" s="56" t="s">
        <v>368</v>
      </c>
      <c r="F340" s="56" t="s">
        <v>1553</v>
      </c>
      <c r="G340" s="56" t="s">
        <v>390</v>
      </c>
      <c r="H340" s="56" t="s">
        <v>452</v>
      </c>
      <c r="I340" s="56" t="s">
        <v>410</v>
      </c>
      <c r="J340" s="56" t="s">
        <v>3730</v>
      </c>
      <c r="K340" s="56" t="s">
        <v>364</v>
      </c>
      <c r="L340" s="56" t="s">
        <v>365</v>
      </c>
      <c r="M340" s="56" t="s">
        <v>413</v>
      </c>
      <c r="N340" s="62" t="s">
        <v>497</v>
      </c>
      <c r="O340" s="59"/>
      <c r="P340" s="59"/>
      <c r="Q340" s="56" t="s">
        <v>6676</v>
      </c>
      <c r="R340" s="59"/>
      <c r="S340" s="56" t="s">
        <v>5733</v>
      </c>
      <c r="T340" s="61" t="s">
        <v>373</v>
      </c>
      <c r="U340" s="58" t="s">
        <v>6076</v>
      </c>
      <c r="W340" s="55" t="b">
        <f t="shared" si="1"/>
        <v>0</v>
      </c>
    </row>
    <row r="341" ht="15.0" customHeight="1">
      <c r="A341" s="56" t="s">
        <v>195</v>
      </c>
      <c r="B341" s="56" t="s">
        <v>1560</v>
      </c>
      <c r="C341" s="57" t="s">
        <v>1561</v>
      </c>
      <c r="D341" s="56" t="s">
        <v>6677</v>
      </c>
      <c r="E341" s="56" t="s">
        <v>368</v>
      </c>
      <c r="F341" s="56" t="s">
        <v>675</v>
      </c>
      <c r="G341" s="62" t="s">
        <v>2286</v>
      </c>
      <c r="H341" s="59"/>
      <c r="I341" s="59"/>
      <c r="J341" s="59"/>
      <c r="K341" s="56" t="s">
        <v>399</v>
      </c>
      <c r="L341" s="56" t="s">
        <v>365</v>
      </c>
      <c r="M341" s="56" t="s">
        <v>366</v>
      </c>
      <c r="N341" s="62" t="s">
        <v>5716</v>
      </c>
      <c r="O341" s="59"/>
      <c r="P341" s="59"/>
      <c r="Q341" s="56" t="s">
        <v>1843</v>
      </c>
      <c r="R341" s="59"/>
      <c r="S341" s="56" t="s">
        <v>5717</v>
      </c>
      <c r="T341" s="61" t="s">
        <v>373</v>
      </c>
      <c r="U341" s="58" t="s">
        <v>6678</v>
      </c>
      <c r="W341" s="55" t="b">
        <f t="shared" si="1"/>
        <v>0</v>
      </c>
    </row>
    <row r="342" ht="15.0" customHeight="1">
      <c r="A342" s="56" t="s">
        <v>313</v>
      </c>
      <c r="B342" s="56" t="s">
        <v>1565</v>
      </c>
      <c r="C342" s="57" t="s">
        <v>1566</v>
      </c>
      <c r="D342" s="56" t="s">
        <v>6679</v>
      </c>
      <c r="E342" s="56" t="s">
        <v>368</v>
      </c>
      <c r="F342" s="56" t="s">
        <v>634</v>
      </c>
      <c r="G342" s="56" t="s">
        <v>362</v>
      </c>
      <c r="H342" s="56" t="s">
        <v>5715</v>
      </c>
      <c r="I342" s="56" t="s">
        <v>716</v>
      </c>
      <c r="J342" s="56" t="s">
        <v>2291</v>
      </c>
      <c r="K342" s="56" t="s">
        <v>379</v>
      </c>
      <c r="L342" s="56" t="s">
        <v>412</v>
      </c>
      <c r="M342" s="56" t="s">
        <v>513</v>
      </c>
      <c r="N342" s="62" t="s">
        <v>5720</v>
      </c>
      <c r="O342" s="59"/>
      <c r="P342" s="59"/>
      <c r="Q342" s="56" t="s">
        <v>3734</v>
      </c>
      <c r="R342" s="59"/>
      <c r="S342" s="56" t="s">
        <v>5722</v>
      </c>
      <c r="T342" s="61" t="s">
        <v>373</v>
      </c>
      <c r="U342" s="58" t="s">
        <v>6680</v>
      </c>
      <c r="W342" s="55" t="b">
        <f t="shared" si="1"/>
        <v>1</v>
      </c>
    </row>
    <row r="343" ht="15.0" customHeight="1">
      <c r="A343" s="56" t="s">
        <v>6681</v>
      </c>
      <c r="B343" s="56" t="s">
        <v>6682</v>
      </c>
      <c r="C343" s="57" t="s">
        <v>6683</v>
      </c>
      <c r="D343" s="56" t="s">
        <v>6684</v>
      </c>
      <c r="E343" s="56" t="s">
        <v>368</v>
      </c>
      <c r="F343" s="56" t="s">
        <v>390</v>
      </c>
      <c r="G343" s="62" t="s">
        <v>2291</v>
      </c>
      <c r="H343" s="59"/>
      <c r="I343" s="59"/>
      <c r="J343" s="59"/>
      <c r="K343" s="56" t="s">
        <v>379</v>
      </c>
      <c r="L343" s="56" t="s">
        <v>365</v>
      </c>
      <c r="M343" s="56" t="s">
        <v>513</v>
      </c>
      <c r="N343" s="62" t="s">
        <v>5720</v>
      </c>
      <c r="O343" s="59"/>
      <c r="P343" s="59"/>
      <c r="Q343" s="56" t="s">
        <v>1930</v>
      </c>
      <c r="R343" s="59"/>
      <c r="S343" s="56" t="s">
        <v>5722</v>
      </c>
      <c r="T343" s="61" t="s">
        <v>373</v>
      </c>
      <c r="U343" s="58" t="s">
        <v>6685</v>
      </c>
      <c r="W343" s="55" t="b">
        <f t="shared" si="1"/>
        <v>1</v>
      </c>
    </row>
    <row r="344" ht="15.0" customHeight="1">
      <c r="A344" s="56" t="s">
        <v>196</v>
      </c>
      <c r="B344" s="56" t="s">
        <v>1571</v>
      </c>
      <c r="C344" s="57" t="s">
        <v>1572</v>
      </c>
      <c r="D344" s="56" t="s">
        <v>3661</v>
      </c>
      <c r="E344" s="56" t="s">
        <v>368</v>
      </c>
      <c r="F344" s="56" t="s">
        <v>2286</v>
      </c>
      <c r="G344" s="56" t="s">
        <v>877</v>
      </c>
      <c r="H344" s="62" t="s">
        <v>390</v>
      </c>
      <c r="I344" s="59"/>
      <c r="J344" s="59"/>
      <c r="K344" s="56" t="s">
        <v>364</v>
      </c>
      <c r="L344" s="56" t="s">
        <v>380</v>
      </c>
      <c r="M344" s="56" t="s">
        <v>366</v>
      </c>
      <c r="N344" s="62" t="s">
        <v>5770</v>
      </c>
      <c r="O344" s="59"/>
      <c r="P344" s="59"/>
      <c r="Q344" s="56" t="s">
        <v>3439</v>
      </c>
      <c r="R344" s="59"/>
      <c r="S344" s="56" t="s">
        <v>5722</v>
      </c>
      <c r="T344" s="61" t="s">
        <v>373</v>
      </c>
      <c r="U344" s="58" t="s">
        <v>6686</v>
      </c>
      <c r="W344" s="55" t="b">
        <f t="shared" si="1"/>
        <v>0</v>
      </c>
    </row>
    <row r="345" ht="15.0" customHeight="1">
      <c r="A345" s="56" t="s">
        <v>6687</v>
      </c>
      <c r="B345" s="56" t="s">
        <v>6688</v>
      </c>
      <c r="C345" s="57" t="s">
        <v>6689</v>
      </c>
      <c r="D345" s="56" t="s">
        <v>6690</v>
      </c>
      <c r="E345" s="56" t="s">
        <v>368</v>
      </c>
      <c r="F345" s="62" t="s">
        <v>443</v>
      </c>
      <c r="G345" s="59"/>
      <c r="H345" s="59"/>
      <c r="I345" s="59"/>
      <c r="J345" s="59"/>
      <c r="K345" s="56" t="s">
        <v>399</v>
      </c>
      <c r="L345" s="56" t="s">
        <v>412</v>
      </c>
      <c r="M345" s="56" t="s">
        <v>366</v>
      </c>
      <c r="N345" s="62" t="s">
        <v>5724</v>
      </c>
      <c r="O345" s="59"/>
      <c r="P345" s="59"/>
      <c r="Q345" s="56" t="s">
        <v>6691</v>
      </c>
      <c r="R345" s="59"/>
      <c r="S345" s="56" t="s">
        <v>5717</v>
      </c>
      <c r="T345" s="61" t="s">
        <v>373</v>
      </c>
      <c r="U345" s="58" t="s">
        <v>6692</v>
      </c>
      <c r="W345" s="55" t="b">
        <f t="shared" si="1"/>
        <v>0</v>
      </c>
    </row>
    <row r="346" ht="15.0" customHeight="1">
      <c r="A346" s="56" t="s">
        <v>6693</v>
      </c>
      <c r="B346" s="56" t="s">
        <v>6694</v>
      </c>
      <c r="C346" s="57" t="s">
        <v>6695</v>
      </c>
      <c r="D346" s="56" t="s">
        <v>6696</v>
      </c>
      <c r="E346" s="56" t="s">
        <v>368</v>
      </c>
      <c r="F346" s="56" t="s">
        <v>1598</v>
      </c>
      <c r="G346" s="56" t="s">
        <v>390</v>
      </c>
      <c r="H346" s="56" t="s">
        <v>2291</v>
      </c>
      <c r="I346" s="56" t="s">
        <v>421</v>
      </c>
      <c r="J346" s="56" t="s">
        <v>452</v>
      </c>
      <c r="K346" s="56" t="s">
        <v>399</v>
      </c>
      <c r="L346" s="56" t="s">
        <v>365</v>
      </c>
      <c r="M346" s="56" t="s">
        <v>366</v>
      </c>
      <c r="N346" s="56" t="s">
        <v>5720</v>
      </c>
      <c r="O346" s="58">
        <v>0.0</v>
      </c>
      <c r="P346" s="58">
        <v>2.0</v>
      </c>
      <c r="Q346" s="56" t="s">
        <v>3002</v>
      </c>
      <c r="R346" s="59"/>
      <c r="S346" s="56" t="s">
        <v>5722</v>
      </c>
      <c r="T346" s="61" t="s">
        <v>373</v>
      </c>
      <c r="U346" s="58" t="s">
        <v>6697</v>
      </c>
      <c r="W346" s="55" t="b">
        <f t="shared" si="1"/>
        <v>0</v>
      </c>
    </row>
    <row r="347" ht="15.0" customHeight="1">
      <c r="A347" s="56" t="s">
        <v>6698</v>
      </c>
      <c r="B347" s="56" t="s">
        <v>6699</v>
      </c>
      <c r="C347" s="57" t="s">
        <v>6700</v>
      </c>
      <c r="D347" s="56" t="s">
        <v>6701</v>
      </c>
      <c r="E347" s="56" t="s">
        <v>368</v>
      </c>
      <c r="F347" s="56" t="s">
        <v>1553</v>
      </c>
      <c r="G347" s="62" t="s">
        <v>390</v>
      </c>
      <c r="H347" s="59"/>
      <c r="I347" s="59"/>
      <c r="J347" s="59"/>
      <c r="K347" s="56" t="s">
        <v>379</v>
      </c>
      <c r="L347" s="56" t="s">
        <v>405</v>
      </c>
      <c r="M347" s="56" t="s">
        <v>413</v>
      </c>
      <c r="N347" s="62" t="s">
        <v>5724</v>
      </c>
      <c r="O347" s="59"/>
      <c r="P347" s="59"/>
      <c r="Q347" s="59"/>
      <c r="R347" s="59"/>
      <c r="S347" s="56" t="s">
        <v>5717</v>
      </c>
      <c r="T347" s="61" t="s">
        <v>394</v>
      </c>
      <c r="U347" s="58" t="s">
        <v>6702</v>
      </c>
      <c r="W347" s="55" t="b">
        <f t="shared" si="1"/>
        <v>0</v>
      </c>
    </row>
    <row r="348" ht="15.0" customHeight="1">
      <c r="A348" s="56" t="s">
        <v>6703</v>
      </c>
      <c r="B348" s="56" t="s">
        <v>6704</v>
      </c>
      <c r="C348" s="57" t="s">
        <v>6705</v>
      </c>
      <c r="D348" s="56" t="s">
        <v>6706</v>
      </c>
      <c r="E348" s="56" t="s">
        <v>368</v>
      </c>
      <c r="F348" s="56" t="s">
        <v>2286</v>
      </c>
      <c r="G348" s="56" t="s">
        <v>1789</v>
      </c>
      <c r="H348" s="56" t="s">
        <v>675</v>
      </c>
      <c r="I348" s="62" t="s">
        <v>1789</v>
      </c>
      <c r="J348" s="59"/>
      <c r="K348" s="56" t="s">
        <v>399</v>
      </c>
      <c r="L348" s="56" t="s">
        <v>365</v>
      </c>
      <c r="M348" s="56" t="s">
        <v>513</v>
      </c>
      <c r="N348" s="62" t="s">
        <v>5716</v>
      </c>
      <c r="O348" s="59"/>
      <c r="P348" s="59"/>
      <c r="Q348" s="56" t="s">
        <v>6707</v>
      </c>
      <c r="R348" s="59"/>
      <c r="S348" s="56" t="s">
        <v>5717</v>
      </c>
      <c r="T348" s="61" t="s">
        <v>373</v>
      </c>
      <c r="U348" s="58" t="s">
        <v>5992</v>
      </c>
      <c r="W348" s="55" t="b">
        <f t="shared" si="1"/>
        <v>1</v>
      </c>
    </row>
    <row r="349" ht="15.0" customHeight="1">
      <c r="A349" s="56" t="s">
        <v>3672</v>
      </c>
      <c r="B349" s="56" t="s">
        <v>3673</v>
      </c>
      <c r="C349" s="57" t="s">
        <v>3674</v>
      </c>
      <c r="D349" s="56" t="s">
        <v>3675</v>
      </c>
      <c r="E349" s="56" t="s">
        <v>368</v>
      </c>
      <c r="F349" s="56" t="s">
        <v>443</v>
      </c>
      <c r="G349" s="56" t="s">
        <v>452</v>
      </c>
      <c r="H349" s="56" t="s">
        <v>421</v>
      </c>
      <c r="I349" s="56" t="s">
        <v>390</v>
      </c>
      <c r="J349" s="56" t="s">
        <v>5715</v>
      </c>
      <c r="K349" s="56" t="s">
        <v>399</v>
      </c>
      <c r="L349" s="56" t="s">
        <v>365</v>
      </c>
      <c r="M349" s="56" t="s">
        <v>366</v>
      </c>
      <c r="N349" s="62" t="s">
        <v>5720</v>
      </c>
      <c r="O349" s="59"/>
      <c r="P349" s="59"/>
      <c r="Q349" s="56" t="s">
        <v>1037</v>
      </c>
      <c r="R349" s="59"/>
      <c r="S349" s="56" t="s">
        <v>5722</v>
      </c>
      <c r="T349" s="61" t="s">
        <v>373</v>
      </c>
      <c r="U349" s="58" t="s">
        <v>6708</v>
      </c>
      <c r="W349" s="55" t="b">
        <f t="shared" si="1"/>
        <v>0</v>
      </c>
    </row>
    <row r="350" ht="15.0" customHeight="1">
      <c r="A350" s="56" t="s">
        <v>314</v>
      </c>
      <c r="B350" s="56" t="s">
        <v>5209</v>
      </c>
      <c r="C350" s="57" t="s">
        <v>5210</v>
      </c>
      <c r="D350" s="56" t="s">
        <v>6709</v>
      </c>
      <c r="E350" s="56" t="s">
        <v>368</v>
      </c>
      <c r="F350" s="56" t="s">
        <v>452</v>
      </c>
      <c r="G350" s="56" t="s">
        <v>5715</v>
      </c>
      <c r="H350" s="56" t="s">
        <v>1598</v>
      </c>
      <c r="I350" s="56" t="s">
        <v>2291</v>
      </c>
      <c r="J350" s="56" t="s">
        <v>390</v>
      </c>
      <c r="K350" s="56" t="s">
        <v>399</v>
      </c>
      <c r="L350" s="56" t="s">
        <v>365</v>
      </c>
      <c r="M350" s="56" t="s">
        <v>513</v>
      </c>
      <c r="N350" s="56" t="s">
        <v>381</v>
      </c>
      <c r="O350" s="58">
        <v>1.0</v>
      </c>
      <c r="P350" s="58">
        <v>1.0</v>
      </c>
      <c r="Q350" s="56" t="s">
        <v>943</v>
      </c>
      <c r="R350" s="59"/>
      <c r="S350" s="56" t="s">
        <v>5733</v>
      </c>
      <c r="T350" s="61" t="s">
        <v>373</v>
      </c>
      <c r="U350" s="58" t="s">
        <v>6710</v>
      </c>
      <c r="W350" s="55" t="b">
        <f t="shared" si="1"/>
        <v>1</v>
      </c>
    </row>
    <row r="351" ht="15.0" customHeight="1">
      <c r="A351" s="56" t="s">
        <v>3687</v>
      </c>
      <c r="B351" s="56" t="s">
        <v>3688</v>
      </c>
      <c r="C351" s="57" t="s">
        <v>3689</v>
      </c>
      <c r="D351" s="56" t="s">
        <v>3690</v>
      </c>
      <c r="E351" s="56" t="s">
        <v>368</v>
      </c>
      <c r="F351" s="56" t="s">
        <v>452</v>
      </c>
      <c r="G351" s="56" t="s">
        <v>5715</v>
      </c>
      <c r="H351" s="56" t="s">
        <v>3730</v>
      </c>
      <c r="I351" s="62" t="s">
        <v>362</v>
      </c>
      <c r="J351" s="59"/>
      <c r="K351" s="56" t="s">
        <v>364</v>
      </c>
      <c r="L351" s="56" t="s">
        <v>365</v>
      </c>
      <c r="M351" s="56" t="s">
        <v>413</v>
      </c>
      <c r="N351" s="62" t="s">
        <v>497</v>
      </c>
      <c r="O351" s="59"/>
      <c r="P351" s="59"/>
      <c r="Q351" s="56" t="s">
        <v>6711</v>
      </c>
      <c r="R351" s="59"/>
      <c r="S351" s="56" t="s">
        <v>5733</v>
      </c>
      <c r="T351" s="61" t="s">
        <v>373</v>
      </c>
      <c r="U351" s="58" t="s">
        <v>6712</v>
      </c>
      <c r="W351" s="55" t="b">
        <f t="shared" si="1"/>
        <v>0</v>
      </c>
    </row>
    <row r="352" ht="15.0" customHeight="1">
      <c r="A352" s="56" t="s">
        <v>198</v>
      </c>
      <c r="B352" s="56" t="s">
        <v>3693</v>
      </c>
      <c r="C352" s="57" t="s">
        <v>3694</v>
      </c>
      <c r="D352" s="58">
        <v>2.629576058E9</v>
      </c>
      <c r="E352" s="56" t="s">
        <v>368</v>
      </c>
      <c r="F352" s="56" t="s">
        <v>716</v>
      </c>
      <c r="G352" s="56" t="s">
        <v>421</v>
      </c>
      <c r="H352" s="56" t="s">
        <v>452</v>
      </c>
      <c r="I352" s="56" t="s">
        <v>2291</v>
      </c>
      <c r="J352" s="56" t="s">
        <v>5715</v>
      </c>
      <c r="K352" s="56" t="s">
        <v>364</v>
      </c>
      <c r="L352" s="56" t="s">
        <v>365</v>
      </c>
      <c r="M352" s="56" t="s">
        <v>366</v>
      </c>
      <c r="N352" s="62" t="s">
        <v>6044</v>
      </c>
      <c r="O352" s="59"/>
      <c r="P352" s="59"/>
      <c r="Q352" s="56" t="s">
        <v>6713</v>
      </c>
      <c r="R352" s="59"/>
      <c r="S352" s="56" t="s">
        <v>5717</v>
      </c>
      <c r="T352" s="61" t="s">
        <v>373</v>
      </c>
      <c r="U352" s="58" t="s">
        <v>5790</v>
      </c>
      <c r="W352" s="55" t="b">
        <f t="shared" si="1"/>
        <v>0</v>
      </c>
    </row>
    <row r="353" ht="15.0" customHeight="1">
      <c r="A353" s="56" t="s">
        <v>199</v>
      </c>
      <c r="B353" s="56" t="s">
        <v>3697</v>
      </c>
      <c r="C353" s="57" t="s">
        <v>3698</v>
      </c>
      <c r="D353" s="58">
        <v>8.174691671E9</v>
      </c>
      <c r="E353" s="56" t="s">
        <v>368</v>
      </c>
      <c r="F353" s="56" t="s">
        <v>2286</v>
      </c>
      <c r="G353" s="62" t="s">
        <v>2286</v>
      </c>
      <c r="H353" s="59"/>
      <c r="I353" s="59"/>
      <c r="J353" s="59"/>
      <c r="K353" s="56" t="s">
        <v>379</v>
      </c>
      <c r="L353" s="56" t="s">
        <v>365</v>
      </c>
      <c r="M353" s="56" t="s">
        <v>366</v>
      </c>
      <c r="N353" s="62" t="s">
        <v>5720</v>
      </c>
      <c r="O353" s="59"/>
      <c r="P353" s="59"/>
      <c r="Q353" s="56" t="s">
        <v>1798</v>
      </c>
      <c r="R353" s="59"/>
      <c r="S353" s="56" t="s">
        <v>5722</v>
      </c>
      <c r="T353" s="61" t="s">
        <v>373</v>
      </c>
      <c r="U353" s="58" t="s">
        <v>6385</v>
      </c>
      <c r="W353" s="55" t="b">
        <f t="shared" si="1"/>
        <v>0</v>
      </c>
    </row>
    <row r="354" ht="15.0" customHeight="1">
      <c r="A354" s="56" t="s">
        <v>6714</v>
      </c>
      <c r="B354" s="56" t="s">
        <v>6715</v>
      </c>
      <c r="C354" s="57" t="s">
        <v>6716</v>
      </c>
      <c r="D354" s="58">
        <v>8.645906989E9</v>
      </c>
      <c r="E354" s="56" t="s">
        <v>368</v>
      </c>
      <c r="F354" s="56" t="s">
        <v>452</v>
      </c>
      <c r="G354" s="62" t="s">
        <v>5715</v>
      </c>
      <c r="H354" s="59"/>
      <c r="I354" s="59"/>
      <c r="J354" s="59"/>
      <c r="K354" s="56" t="s">
        <v>379</v>
      </c>
      <c r="L354" s="56" t="s">
        <v>710</v>
      </c>
      <c r="M354" s="56" t="s">
        <v>366</v>
      </c>
      <c r="N354" s="62" t="s">
        <v>5720</v>
      </c>
      <c r="O354" s="59"/>
      <c r="P354" s="59"/>
      <c r="Q354" s="56" t="s">
        <v>4868</v>
      </c>
      <c r="R354" s="59"/>
      <c r="S354" s="56" t="s">
        <v>5717</v>
      </c>
      <c r="T354" s="61" t="s">
        <v>373</v>
      </c>
      <c r="U354" s="58" t="s">
        <v>6717</v>
      </c>
      <c r="W354" s="55" t="b">
        <f t="shared" si="1"/>
        <v>0</v>
      </c>
    </row>
    <row r="355" ht="15.0" customHeight="1">
      <c r="A355" s="56" t="s">
        <v>6718</v>
      </c>
      <c r="B355" s="56" t="s">
        <v>6719</v>
      </c>
      <c r="C355" s="57" t="s">
        <v>6720</v>
      </c>
      <c r="D355" s="58">
        <v>2.819085899E9</v>
      </c>
      <c r="E355" s="56" t="s">
        <v>368</v>
      </c>
      <c r="F355" s="56" t="s">
        <v>443</v>
      </c>
      <c r="G355" s="56" t="s">
        <v>410</v>
      </c>
      <c r="H355" s="62" t="s">
        <v>390</v>
      </c>
      <c r="I355" s="59"/>
      <c r="J355" s="59"/>
      <c r="K355" s="56" t="s">
        <v>364</v>
      </c>
      <c r="L355" s="56" t="s">
        <v>412</v>
      </c>
      <c r="M355" s="56" t="s">
        <v>366</v>
      </c>
      <c r="N355" s="56" t="s">
        <v>5716</v>
      </c>
      <c r="O355" s="58">
        <v>2.0</v>
      </c>
      <c r="P355" s="59"/>
      <c r="Q355" s="56" t="s">
        <v>914</v>
      </c>
      <c r="R355" s="59"/>
      <c r="S355" s="56" t="s">
        <v>5717</v>
      </c>
      <c r="T355" s="61" t="s">
        <v>373</v>
      </c>
      <c r="U355" s="58" t="s">
        <v>6721</v>
      </c>
      <c r="W355" s="55" t="b">
        <f t="shared" si="1"/>
        <v>0</v>
      </c>
    </row>
    <row r="356" ht="15.0" customHeight="1">
      <c r="A356" s="56" t="s">
        <v>6722</v>
      </c>
      <c r="B356" s="56" t="s">
        <v>6723</v>
      </c>
      <c r="C356" s="57" t="s">
        <v>6724</v>
      </c>
      <c r="D356" s="56" t="s">
        <v>6725</v>
      </c>
      <c r="E356" s="56" t="s">
        <v>368</v>
      </c>
      <c r="F356" s="56" t="s">
        <v>452</v>
      </c>
      <c r="G356" s="62" t="s">
        <v>5715</v>
      </c>
      <c r="H356" s="59"/>
      <c r="I356" s="59"/>
      <c r="J356" s="59"/>
      <c r="K356" s="56" t="s">
        <v>399</v>
      </c>
      <c r="L356" s="56" t="s">
        <v>365</v>
      </c>
      <c r="M356" s="56" t="s">
        <v>513</v>
      </c>
      <c r="N356" s="56" t="s">
        <v>5716</v>
      </c>
      <c r="O356" s="58">
        <v>0.0</v>
      </c>
      <c r="P356" s="59"/>
      <c r="Q356" s="56" t="s">
        <v>4028</v>
      </c>
      <c r="R356" s="59"/>
      <c r="S356" s="56" t="s">
        <v>5717</v>
      </c>
      <c r="T356" s="61" t="s">
        <v>373</v>
      </c>
      <c r="U356" s="58" t="s">
        <v>6726</v>
      </c>
      <c r="W356" s="55" t="b">
        <f t="shared" si="1"/>
        <v>1</v>
      </c>
    </row>
    <row r="357" ht="15.0" customHeight="1">
      <c r="A357" s="56" t="s">
        <v>6727</v>
      </c>
      <c r="B357" s="56" t="s">
        <v>6728</v>
      </c>
      <c r="C357" s="57" t="s">
        <v>6729</v>
      </c>
      <c r="D357" s="58">
        <v>7.132529841E9</v>
      </c>
      <c r="E357" s="56" t="s">
        <v>368</v>
      </c>
      <c r="F357" s="56" t="s">
        <v>410</v>
      </c>
      <c r="G357" s="56" t="s">
        <v>390</v>
      </c>
      <c r="H357" s="56" t="s">
        <v>452</v>
      </c>
      <c r="I357" s="56" t="s">
        <v>5715</v>
      </c>
      <c r="J357" s="56" t="s">
        <v>362</v>
      </c>
      <c r="K357" s="56" t="s">
        <v>364</v>
      </c>
      <c r="L357" s="56" t="s">
        <v>830</v>
      </c>
      <c r="M357" s="56" t="s">
        <v>366</v>
      </c>
      <c r="N357" s="62" t="s">
        <v>5798</v>
      </c>
      <c r="O357" s="59"/>
      <c r="P357" s="59"/>
      <c r="Q357" s="56" t="s">
        <v>6730</v>
      </c>
      <c r="R357" s="59"/>
      <c r="S357" s="56" t="s">
        <v>5722</v>
      </c>
      <c r="T357" s="61" t="s">
        <v>373</v>
      </c>
      <c r="U357" s="58" t="s">
        <v>6731</v>
      </c>
      <c r="W357" s="55" t="b">
        <f t="shared" si="1"/>
        <v>0</v>
      </c>
    </row>
    <row r="358" ht="15.0" customHeight="1">
      <c r="A358" s="56" t="s">
        <v>6732</v>
      </c>
      <c r="B358" s="56" t="s">
        <v>6733</v>
      </c>
      <c r="C358" s="57" t="s">
        <v>6734</v>
      </c>
      <c r="D358" s="58">
        <v>4.324002233E9</v>
      </c>
      <c r="E358" s="56" t="s">
        <v>368</v>
      </c>
      <c r="F358" s="56" t="s">
        <v>410</v>
      </c>
      <c r="G358" s="56" t="s">
        <v>390</v>
      </c>
      <c r="H358" s="56" t="s">
        <v>2286</v>
      </c>
      <c r="I358" s="56" t="s">
        <v>452</v>
      </c>
      <c r="J358" s="56" t="s">
        <v>421</v>
      </c>
      <c r="K358" s="56" t="s">
        <v>364</v>
      </c>
      <c r="L358" s="56" t="s">
        <v>412</v>
      </c>
      <c r="M358" s="56" t="s">
        <v>413</v>
      </c>
      <c r="N358" s="56" t="s">
        <v>5720</v>
      </c>
      <c r="O358" s="58">
        <v>1.0</v>
      </c>
      <c r="P358" s="59"/>
      <c r="Q358" s="56" t="s">
        <v>5024</v>
      </c>
      <c r="R358" s="59"/>
      <c r="S358" s="56" t="s">
        <v>5722</v>
      </c>
      <c r="T358" s="61" t="s">
        <v>373</v>
      </c>
      <c r="U358" s="58" t="s">
        <v>6735</v>
      </c>
      <c r="W358" s="55" t="b">
        <f t="shared" si="1"/>
        <v>0</v>
      </c>
    </row>
    <row r="359" ht="15.0" customHeight="1">
      <c r="A359" s="56" t="s">
        <v>200</v>
      </c>
      <c r="B359" s="56" t="s">
        <v>650</v>
      </c>
      <c r="C359" s="57" t="s">
        <v>1591</v>
      </c>
      <c r="D359" s="56" t="s">
        <v>6736</v>
      </c>
      <c r="E359" s="56" t="s">
        <v>368</v>
      </c>
      <c r="F359" s="56" t="s">
        <v>2286</v>
      </c>
      <c r="G359" s="56" t="s">
        <v>452</v>
      </c>
      <c r="H359" s="62" t="s">
        <v>390</v>
      </c>
      <c r="I359" s="59"/>
      <c r="J359" s="59"/>
      <c r="K359" s="56" t="s">
        <v>379</v>
      </c>
      <c r="L359" s="56" t="s">
        <v>365</v>
      </c>
      <c r="M359" s="56" t="s">
        <v>366</v>
      </c>
      <c r="N359" s="62" t="s">
        <v>483</v>
      </c>
      <c r="O359" s="59"/>
      <c r="P359" s="59"/>
      <c r="Q359" s="56" t="s">
        <v>515</v>
      </c>
      <c r="R359" s="59"/>
      <c r="S359" s="56" t="s">
        <v>5733</v>
      </c>
      <c r="T359" s="61" t="s">
        <v>373</v>
      </c>
      <c r="U359" s="58" t="s">
        <v>5815</v>
      </c>
      <c r="W359" s="55" t="b">
        <f t="shared" si="1"/>
        <v>0</v>
      </c>
    </row>
    <row r="360" ht="15.0" customHeight="1">
      <c r="A360" s="56" t="s">
        <v>3701</v>
      </c>
      <c r="B360" s="56" t="s">
        <v>3702</v>
      </c>
      <c r="C360" s="57" t="s">
        <v>3703</v>
      </c>
      <c r="D360" s="56" t="s">
        <v>6737</v>
      </c>
      <c r="E360" s="56" t="s">
        <v>368</v>
      </c>
      <c r="F360" s="56" t="s">
        <v>410</v>
      </c>
      <c r="G360" s="56" t="s">
        <v>390</v>
      </c>
      <c r="H360" s="62" t="s">
        <v>452</v>
      </c>
      <c r="I360" s="59"/>
      <c r="J360" s="59"/>
      <c r="K360" s="56" t="s">
        <v>364</v>
      </c>
      <c r="L360" s="56" t="s">
        <v>365</v>
      </c>
      <c r="M360" s="56" t="s">
        <v>413</v>
      </c>
      <c r="N360" s="62" t="s">
        <v>497</v>
      </c>
      <c r="O360" s="59"/>
      <c r="P360" s="59"/>
      <c r="Q360" s="56" t="s">
        <v>6738</v>
      </c>
      <c r="R360" s="59"/>
      <c r="S360" s="56" t="s">
        <v>5733</v>
      </c>
      <c r="T360" s="61" t="s">
        <v>373</v>
      </c>
      <c r="U360" s="58" t="s">
        <v>6739</v>
      </c>
      <c r="W360" s="55" t="b">
        <f t="shared" si="1"/>
        <v>0</v>
      </c>
    </row>
    <row r="361" ht="15.0" customHeight="1">
      <c r="A361" s="56" t="s">
        <v>3707</v>
      </c>
      <c r="B361" s="56" t="s">
        <v>3708</v>
      </c>
      <c r="C361" s="57" t="s">
        <v>3709</v>
      </c>
      <c r="D361" s="58">
        <v>9.739122624E9</v>
      </c>
      <c r="E361" s="56" t="s">
        <v>368</v>
      </c>
      <c r="F361" s="56" t="s">
        <v>452</v>
      </c>
      <c r="G361" s="56" t="s">
        <v>390</v>
      </c>
      <c r="H361" s="56" t="s">
        <v>2286</v>
      </c>
      <c r="I361" s="62" t="s">
        <v>5715</v>
      </c>
      <c r="J361" s="59"/>
      <c r="K361" s="56" t="s">
        <v>364</v>
      </c>
      <c r="L361" s="56" t="s">
        <v>365</v>
      </c>
      <c r="M361" s="56" t="s">
        <v>366</v>
      </c>
      <c r="N361" s="62" t="s">
        <v>5716</v>
      </c>
      <c r="O361" s="59"/>
      <c r="P361" s="59"/>
      <c r="Q361" s="56" t="s">
        <v>1695</v>
      </c>
      <c r="R361" s="59"/>
      <c r="S361" s="56" t="s">
        <v>5717</v>
      </c>
      <c r="T361" s="61" t="s">
        <v>373</v>
      </c>
      <c r="U361" s="58" t="s">
        <v>6740</v>
      </c>
      <c r="W361" s="55" t="b">
        <f t="shared" si="1"/>
        <v>0</v>
      </c>
    </row>
    <row r="362" ht="15.0" customHeight="1">
      <c r="A362" s="56" t="s">
        <v>201</v>
      </c>
      <c r="B362" s="56" t="s">
        <v>1595</v>
      </c>
      <c r="C362" s="57" t="s">
        <v>1596</v>
      </c>
      <c r="D362" s="58">
        <v>8.173205288E9</v>
      </c>
      <c r="E362" s="56" t="s">
        <v>368</v>
      </c>
      <c r="F362" s="56" t="s">
        <v>1598</v>
      </c>
      <c r="G362" s="56" t="s">
        <v>410</v>
      </c>
      <c r="H362" s="56" t="s">
        <v>421</v>
      </c>
      <c r="I362" s="62" t="s">
        <v>452</v>
      </c>
      <c r="J362" s="59"/>
      <c r="K362" s="56" t="s">
        <v>399</v>
      </c>
      <c r="L362" s="56" t="s">
        <v>412</v>
      </c>
      <c r="M362" s="56" t="s">
        <v>513</v>
      </c>
      <c r="N362" s="62" t="s">
        <v>5716</v>
      </c>
      <c r="O362" s="59"/>
      <c r="P362" s="59"/>
      <c r="Q362" s="56" t="s">
        <v>5746</v>
      </c>
      <c r="R362" s="59"/>
      <c r="S362" s="56" t="s">
        <v>5717</v>
      </c>
      <c r="T362" s="61" t="s">
        <v>373</v>
      </c>
      <c r="U362" s="58" t="s">
        <v>5718</v>
      </c>
      <c r="W362" s="55" t="b">
        <f t="shared" si="1"/>
        <v>1</v>
      </c>
    </row>
    <row r="363" ht="15.0" customHeight="1">
      <c r="A363" s="56" t="s">
        <v>202</v>
      </c>
      <c r="B363" s="56" t="s">
        <v>3724</v>
      </c>
      <c r="C363" s="57" t="s">
        <v>3725</v>
      </c>
      <c r="D363" s="56" t="s">
        <v>5221</v>
      </c>
      <c r="E363" s="56" t="s">
        <v>368</v>
      </c>
      <c r="F363" s="56" t="s">
        <v>5715</v>
      </c>
      <c r="G363" s="56" t="s">
        <v>362</v>
      </c>
      <c r="H363" s="56" t="s">
        <v>452</v>
      </c>
      <c r="I363" s="56" t="s">
        <v>390</v>
      </c>
      <c r="J363" s="56" t="s">
        <v>1553</v>
      </c>
      <c r="K363" s="56" t="s">
        <v>399</v>
      </c>
      <c r="L363" s="56" t="s">
        <v>365</v>
      </c>
      <c r="M363" s="56" t="s">
        <v>413</v>
      </c>
      <c r="N363" s="62" t="s">
        <v>5946</v>
      </c>
      <c r="O363" s="59"/>
      <c r="P363" s="59"/>
      <c r="Q363" s="56" t="s">
        <v>643</v>
      </c>
      <c r="R363" s="59"/>
      <c r="S363" s="56" t="s">
        <v>5717</v>
      </c>
      <c r="T363" s="61" t="s">
        <v>373</v>
      </c>
      <c r="U363" s="58" t="s">
        <v>6741</v>
      </c>
      <c r="W363" s="55" t="b">
        <f t="shared" si="1"/>
        <v>0</v>
      </c>
    </row>
    <row r="364" ht="15.0" customHeight="1">
      <c r="A364" s="56" t="s">
        <v>6742</v>
      </c>
      <c r="B364" s="56" t="s">
        <v>6743</v>
      </c>
      <c r="C364" s="57" t="s">
        <v>6744</v>
      </c>
      <c r="D364" s="56" t="s">
        <v>6745</v>
      </c>
      <c r="E364" s="56" t="s">
        <v>368</v>
      </c>
      <c r="F364" s="56" t="s">
        <v>362</v>
      </c>
      <c r="G364" s="56" t="s">
        <v>3730</v>
      </c>
      <c r="H364" s="56" t="s">
        <v>5715</v>
      </c>
      <c r="I364" s="56" t="s">
        <v>452</v>
      </c>
      <c r="J364" s="56" t="s">
        <v>390</v>
      </c>
      <c r="K364" s="56" t="s">
        <v>399</v>
      </c>
      <c r="L364" s="56" t="s">
        <v>520</v>
      </c>
      <c r="M364" s="56" t="s">
        <v>413</v>
      </c>
      <c r="N364" s="56" t="s">
        <v>381</v>
      </c>
      <c r="O364" s="58">
        <v>0.0</v>
      </c>
      <c r="P364" s="59"/>
      <c r="Q364" s="56" t="s">
        <v>1404</v>
      </c>
      <c r="R364" s="59"/>
      <c r="S364" s="56" t="s">
        <v>5733</v>
      </c>
      <c r="T364" s="61" t="s">
        <v>373</v>
      </c>
      <c r="U364" s="58" t="s">
        <v>6746</v>
      </c>
      <c r="W364" s="55" t="b">
        <f t="shared" si="1"/>
        <v>0</v>
      </c>
    </row>
    <row r="365" ht="15.0" customHeight="1">
      <c r="A365" s="56" t="s">
        <v>203</v>
      </c>
      <c r="B365" s="56" t="s">
        <v>6747</v>
      </c>
      <c r="C365" s="57" t="s">
        <v>6748</v>
      </c>
      <c r="D365" s="56" t="s">
        <v>6749</v>
      </c>
      <c r="E365" s="56" t="s">
        <v>368</v>
      </c>
      <c r="F365" s="56" t="s">
        <v>362</v>
      </c>
      <c r="G365" s="56" t="s">
        <v>5715</v>
      </c>
      <c r="H365" s="56" t="s">
        <v>3730</v>
      </c>
      <c r="I365" s="56" t="s">
        <v>390</v>
      </c>
      <c r="J365" s="56" t="s">
        <v>2931</v>
      </c>
      <c r="K365" s="56" t="s">
        <v>399</v>
      </c>
      <c r="L365" s="56" t="s">
        <v>412</v>
      </c>
      <c r="M365" s="56" t="s">
        <v>413</v>
      </c>
      <c r="N365" s="56" t="s">
        <v>5716</v>
      </c>
      <c r="O365" s="58">
        <v>0.0</v>
      </c>
      <c r="P365" s="59"/>
      <c r="Q365" s="56" t="s">
        <v>2935</v>
      </c>
      <c r="R365" s="59"/>
      <c r="S365" s="56" t="s">
        <v>5717</v>
      </c>
      <c r="T365" s="61" t="s">
        <v>373</v>
      </c>
      <c r="U365" s="58" t="s">
        <v>6750</v>
      </c>
      <c r="W365" s="55" t="b">
        <f t="shared" si="1"/>
        <v>0</v>
      </c>
    </row>
    <row r="366" ht="15.0" customHeight="1">
      <c r="A366" s="56" t="s">
        <v>6751</v>
      </c>
      <c r="B366" s="56" t="s">
        <v>6752</v>
      </c>
      <c r="C366" s="57" t="s">
        <v>6753</v>
      </c>
      <c r="D366" s="56" t="s">
        <v>6754</v>
      </c>
      <c r="E366" s="56" t="s">
        <v>368</v>
      </c>
      <c r="F366" s="56" t="s">
        <v>452</v>
      </c>
      <c r="G366" s="56" t="s">
        <v>390</v>
      </c>
      <c r="H366" s="56" t="s">
        <v>5715</v>
      </c>
      <c r="I366" s="56" t="s">
        <v>459</v>
      </c>
      <c r="J366" s="56" t="s">
        <v>1598</v>
      </c>
      <c r="K366" s="56" t="s">
        <v>379</v>
      </c>
      <c r="L366" s="56" t="s">
        <v>412</v>
      </c>
      <c r="M366" s="56" t="s">
        <v>413</v>
      </c>
      <c r="N366" s="62" t="s">
        <v>5716</v>
      </c>
      <c r="O366" s="59"/>
      <c r="P366" s="59"/>
      <c r="Q366" s="56" t="s">
        <v>2598</v>
      </c>
      <c r="R366" s="59"/>
      <c r="S366" s="56" t="s">
        <v>5717</v>
      </c>
      <c r="T366" s="61" t="s">
        <v>373</v>
      </c>
      <c r="U366" s="58" t="s">
        <v>6755</v>
      </c>
      <c r="W366" s="55" t="b">
        <f t="shared" si="1"/>
        <v>0</v>
      </c>
    </row>
    <row r="367" ht="15.0" customHeight="1">
      <c r="A367" s="56" t="s">
        <v>6756</v>
      </c>
      <c r="B367" s="56" t="s">
        <v>6757</v>
      </c>
      <c r="C367" s="57" t="s">
        <v>6758</v>
      </c>
      <c r="D367" s="56" t="s">
        <v>6759</v>
      </c>
      <c r="E367" s="56" t="s">
        <v>368</v>
      </c>
      <c r="F367" s="56" t="s">
        <v>452</v>
      </c>
      <c r="G367" s="56" t="s">
        <v>5715</v>
      </c>
      <c r="H367" s="56" t="s">
        <v>362</v>
      </c>
      <c r="I367" s="56" t="s">
        <v>459</v>
      </c>
      <c r="J367" s="56" t="s">
        <v>390</v>
      </c>
      <c r="K367" s="56" t="s">
        <v>399</v>
      </c>
      <c r="L367" s="56" t="s">
        <v>412</v>
      </c>
      <c r="M367" s="56" t="s">
        <v>413</v>
      </c>
      <c r="N367" s="56" t="s">
        <v>5720</v>
      </c>
      <c r="O367" s="58">
        <v>2.0</v>
      </c>
      <c r="P367" s="59"/>
      <c r="Q367" s="56" t="s">
        <v>3366</v>
      </c>
      <c r="R367" s="59"/>
      <c r="S367" s="56" t="s">
        <v>5722</v>
      </c>
      <c r="T367" s="61" t="s">
        <v>373</v>
      </c>
      <c r="U367" s="58" t="s">
        <v>6760</v>
      </c>
      <c r="W367" s="55" t="b">
        <f t="shared" si="1"/>
        <v>0</v>
      </c>
    </row>
    <row r="368" ht="15.0" customHeight="1">
      <c r="A368" s="56" t="s">
        <v>204</v>
      </c>
      <c r="B368" s="56" t="s">
        <v>1607</v>
      </c>
      <c r="C368" s="57" t="s">
        <v>1608</v>
      </c>
      <c r="D368" s="56" t="s">
        <v>6761</v>
      </c>
      <c r="E368" s="56" t="s">
        <v>368</v>
      </c>
      <c r="F368" s="56" t="s">
        <v>390</v>
      </c>
      <c r="G368" s="56" t="s">
        <v>709</v>
      </c>
      <c r="H368" s="56" t="s">
        <v>452</v>
      </c>
      <c r="I368" s="56" t="s">
        <v>1598</v>
      </c>
      <c r="J368" s="56" t="s">
        <v>362</v>
      </c>
      <c r="K368" s="56" t="s">
        <v>399</v>
      </c>
      <c r="L368" s="56" t="s">
        <v>412</v>
      </c>
      <c r="M368" s="56" t="s">
        <v>413</v>
      </c>
      <c r="N368" s="62" t="s">
        <v>483</v>
      </c>
      <c r="O368" s="59"/>
      <c r="P368" s="59"/>
      <c r="Q368" s="56" t="s">
        <v>3300</v>
      </c>
      <c r="R368" s="59"/>
      <c r="S368" s="56" t="s">
        <v>5733</v>
      </c>
      <c r="T368" s="61" t="s">
        <v>373</v>
      </c>
      <c r="U368" s="58" t="s">
        <v>6762</v>
      </c>
      <c r="W368" s="55" t="b">
        <f t="shared" si="1"/>
        <v>0</v>
      </c>
    </row>
    <row r="369" ht="15.0" customHeight="1">
      <c r="A369" s="56" t="s">
        <v>205</v>
      </c>
      <c r="B369" s="56" t="s">
        <v>5256</v>
      </c>
      <c r="C369" s="57" t="s">
        <v>5257</v>
      </c>
      <c r="D369" s="58">
        <v>3.012192991E9</v>
      </c>
      <c r="E369" s="56" t="s">
        <v>368</v>
      </c>
      <c r="F369" s="56" t="s">
        <v>390</v>
      </c>
      <c r="G369" s="56" t="s">
        <v>877</v>
      </c>
      <c r="H369" s="56" t="s">
        <v>5715</v>
      </c>
      <c r="I369" s="62" t="s">
        <v>1789</v>
      </c>
      <c r="J369" s="59"/>
      <c r="K369" s="56" t="s">
        <v>399</v>
      </c>
      <c r="L369" s="56" t="s">
        <v>365</v>
      </c>
      <c r="M369" s="56" t="s">
        <v>413</v>
      </c>
      <c r="N369" s="56" t="s">
        <v>5716</v>
      </c>
      <c r="O369" s="58">
        <v>1.0</v>
      </c>
      <c r="P369" s="59"/>
      <c r="Q369" s="56" t="s">
        <v>3366</v>
      </c>
      <c r="R369" s="59"/>
      <c r="S369" s="56" t="s">
        <v>5717</v>
      </c>
      <c r="T369" s="61" t="s">
        <v>373</v>
      </c>
      <c r="U369" s="58" t="s">
        <v>6763</v>
      </c>
      <c r="W369" s="55" t="b">
        <f t="shared" si="1"/>
        <v>0</v>
      </c>
    </row>
    <row r="370" ht="15.0" customHeight="1">
      <c r="A370" s="56" t="s">
        <v>6764</v>
      </c>
      <c r="B370" s="56" t="s">
        <v>6765</v>
      </c>
      <c r="C370" s="57" t="s">
        <v>6766</v>
      </c>
      <c r="D370" s="56" t="s">
        <v>6767</v>
      </c>
      <c r="E370" s="56" t="s">
        <v>368</v>
      </c>
      <c r="F370" s="56" t="s">
        <v>5715</v>
      </c>
      <c r="G370" s="56" t="s">
        <v>452</v>
      </c>
      <c r="H370" s="56" t="s">
        <v>5715</v>
      </c>
      <c r="I370" s="56" t="s">
        <v>362</v>
      </c>
      <c r="J370" s="56" t="s">
        <v>877</v>
      </c>
      <c r="K370" s="56" t="s">
        <v>364</v>
      </c>
      <c r="L370" s="56" t="s">
        <v>520</v>
      </c>
      <c r="M370" s="56" t="s">
        <v>413</v>
      </c>
      <c r="N370" s="56" t="s">
        <v>381</v>
      </c>
      <c r="O370" s="58">
        <v>0.0</v>
      </c>
      <c r="P370" s="58">
        <v>0.0</v>
      </c>
      <c r="Q370" s="56" t="s">
        <v>3464</v>
      </c>
      <c r="R370" s="59"/>
      <c r="S370" s="56" t="s">
        <v>5733</v>
      </c>
      <c r="T370" s="61" t="s">
        <v>394</v>
      </c>
      <c r="U370" s="58" t="s">
        <v>6768</v>
      </c>
      <c r="W370" s="55" t="b">
        <f t="shared" si="1"/>
        <v>0</v>
      </c>
    </row>
    <row r="371" ht="15.0" customHeight="1">
      <c r="A371" s="56" t="s">
        <v>6769</v>
      </c>
      <c r="B371" s="56" t="s">
        <v>6770</v>
      </c>
      <c r="C371" s="57" t="s">
        <v>6771</v>
      </c>
      <c r="D371" s="56" t="s">
        <v>6772</v>
      </c>
      <c r="E371" s="56" t="s">
        <v>368</v>
      </c>
      <c r="F371" s="56" t="s">
        <v>390</v>
      </c>
      <c r="G371" s="56" t="s">
        <v>452</v>
      </c>
      <c r="H371" s="56" t="s">
        <v>716</v>
      </c>
      <c r="I371" s="56" t="s">
        <v>421</v>
      </c>
      <c r="J371" s="56" t="s">
        <v>2931</v>
      </c>
      <c r="K371" s="56" t="s">
        <v>364</v>
      </c>
      <c r="L371" s="56" t="s">
        <v>365</v>
      </c>
      <c r="M371" s="56" t="s">
        <v>366</v>
      </c>
      <c r="N371" s="56" t="s">
        <v>5716</v>
      </c>
      <c r="O371" s="58">
        <v>1.0</v>
      </c>
      <c r="P371" s="58">
        <v>0.0</v>
      </c>
      <c r="Q371" s="56" t="s">
        <v>6773</v>
      </c>
      <c r="R371" s="59"/>
      <c r="S371" s="56" t="s">
        <v>5717</v>
      </c>
      <c r="T371" s="61" t="s">
        <v>373</v>
      </c>
      <c r="U371" s="58" t="s">
        <v>6774</v>
      </c>
      <c r="W371" s="55" t="b">
        <f t="shared" si="1"/>
        <v>0</v>
      </c>
    </row>
    <row r="372" ht="15.0" customHeight="1">
      <c r="A372" s="56" t="s">
        <v>206</v>
      </c>
      <c r="B372" s="56" t="s">
        <v>3736</v>
      </c>
      <c r="C372" s="57" t="s">
        <v>3737</v>
      </c>
      <c r="D372" s="58">
        <v>4.787475111E9</v>
      </c>
      <c r="E372" s="56" t="s">
        <v>368</v>
      </c>
      <c r="F372" s="56" t="s">
        <v>362</v>
      </c>
      <c r="G372" s="56" t="s">
        <v>5715</v>
      </c>
      <c r="H372" s="56" t="s">
        <v>452</v>
      </c>
      <c r="I372" s="62" t="s">
        <v>716</v>
      </c>
      <c r="J372" s="59"/>
      <c r="K372" s="56" t="s">
        <v>364</v>
      </c>
      <c r="L372" s="56" t="s">
        <v>365</v>
      </c>
      <c r="M372" s="56" t="s">
        <v>366</v>
      </c>
      <c r="N372" s="56" t="s">
        <v>5716</v>
      </c>
      <c r="O372" s="58">
        <v>2.0</v>
      </c>
      <c r="P372" s="59"/>
      <c r="Q372" s="56" t="s">
        <v>3659</v>
      </c>
      <c r="R372" s="59"/>
      <c r="S372" s="56" t="s">
        <v>5717</v>
      </c>
      <c r="T372" s="61" t="s">
        <v>373</v>
      </c>
      <c r="U372" s="58" t="s">
        <v>6775</v>
      </c>
      <c r="W372" s="55" t="b">
        <f t="shared" si="1"/>
        <v>0</v>
      </c>
    </row>
    <row r="373" ht="15.0" customHeight="1">
      <c r="A373" s="56" t="s">
        <v>6776</v>
      </c>
      <c r="B373" s="56" t="s">
        <v>6777</v>
      </c>
      <c r="C373" s="57" t="s">
        <v>6778</v>
      </c>
      <c r="D373" s="68" t="s">
        <v>4156</v>
      </c>
      <c r="E373" s="56" t="s">
        <v>368</v>
      </c>
      <c r="F373" s="56" t="s">
        <v>410</v>
      </c>
      <c r="G373" s="56" t="s">
        <v>2286</v>
      </c>
      <c r="H373" s="56" t="s">
        <v>1789</v>
      </c>
      <c r="I373" s="56" t="s">
        <v>3730</v>
      </c>
      <c r="J373" s="56" t="s">
        <v>716</v>
      </c>
      <c r="K373" s="56" t="s">
        <v>399</v>
      </c>
      <c r="L373" s="56" t="s">
        <v>365</v>
      </c>
      <c r="M373" s="56" t="s">
        <v>413</v>
      </c>
      <c r="N373" s="62" t="s">
        <v>5720</v>
      </c>
      <c r="O373" s="59"/>
      <c r="P373" s="59"/>
      <c r="Q373" s="56" t="s">
        <v>1272</v>
      </c>
      <c r="R373" s="59"/>
      <c r="S373" s="56" t="s">
        <v>5722</v>
      </c>
      <c r="T373" s="61" t="s">
        <v>373</v>
      </c>
      <c r="U373" s="58" t="s">
        <v>6779</v>
      </c>
      <c r="W373" s="55" t="b">
        <f t="shared" si="1"/>
        <v>0</v>
      </c>
    </row>
    <row r="374" ht="15.0" customHeight="1">
      <c r="A374" s="56" t="s">
        <v>207</v>
      </c>
      <c r="B374" s="56" t="s">
        <v>1625</v>
      </c>
      <c r="C374" s="57" t="s">
        <v>1626</v>
      </c>
      <c r="D374" s="56" t="s">
        <v>6780</v>
      </c>
      <c r="E374" s="56" t="s">
        <v>368</v>
      </c>
      <c r="F374" s="56" t="s">
        <v>709</v>
      </c>
      <c r="G374" s="56" t="s">
        <v>452</v>
      </c>
      <c r="H374" s="56" t="s">
        <v>390</v>
      </c>
      <c r="I374" s="56" t="s">
        <v>2286</v>
      </c>
      <c r="J374" s="56" t="s">
        <v>634</v>
      </c>
      <c r="K374" s="56" t="s">
        <v>364</v>
      </c>
      <c r="L374" s="56" t="s">
        <v>412</v>
      </c>
      <c r="M374" s="56" t="s">
        <v>413</v>
      </c>
      <c r="N374" s="56" t="s">
        <v>5716</v>
      </c>
      <c r="O374" s="58">
        <v>2.0</v>
      </c>
      <c r="P374" s="59"/>
      <c r="Q374" s="56" t="s">
        <v>3555</v>
      </c>
      <c r="R374" s="59"/>
      <c r="S374" s="56" t="s">
        <v>5717</v>
      </c>
      <c r="T374" s="61" t="s">
        <v>373</v>
      </c>
      <c r="U374" s="58" t="s">
        <v>6781</v>
      </c>
      <c r="W374" s="55" t="b">
        <f t="shared" si="1"/>
        <v>0</v>
      </c>
    </row>
    <row r="375" ht="15.0" customHeight="1">
      <c r="A375" s="56" t="s">
        <v>315</v>
      </c>
      <c r="B375" s="56" t="s">
        <v>6782</v>
      </c>
      <c r="C375" s="57" t="s">
        <v>6783</v>
      </c>
      <c r="D375" s="58">
        <v>1.8328140322E10</v>
      </c>
      <c r="E375" s="56" t="s">
        <v>368</v>
      </c>
      <c r="F375" s="56" t="s">
        <v>410</v>
      </c>
      <c r="G375" s="56" t="s">
        <v>390</v>
      </c>
      <c r="H375" s="56" t="s">
        <v>1789</v>
      </c>
      <c r="I375" s="62" t="s">
        <v>452</v>
      </c>
      <c r="J375" s="59"/>
      <c r="K375" s="56" t="s">
        <v>364</v>
      </c>
      <c r="L375" s="56" t="s">
        <v>365</v>
      </c>
      <c r="M375" s="56" t="s">
        <v>413</v>
      </c>
      <c r="N375" s="62" t="s">
        <v>5770</v>
      </c>
      <c r="O375" s="59"/>
      <c r="P375" s="59"/>
      <c r="Q375" s="56" t="s">
        <v>5947</v>
      </c>
      <c r="R375" s="59"/>
      <c r="S375" s="56" t="s">
        <v>5722</v>
      </c>
      <c r="T375" s="61" t="s">
        <v>373</v>
      </c>
      <c r="U375" s="58" t="s">
        <v>6784</v>
      </c>
      <c r="W375" s="55" t="b">
        <f t="shared" si="1"/>
        <v>0</v>
      </c>
    </row>
    <row r="376" ht="15.0" customHeight="1">
      <c r="A376" s="56" t="s">
        <v>208</v>
      </c>
      <c r="B376" s="56" t="s">
        <v>5267</v>
      </c>
      <c r="C376" s="57" t="s">
        <v>5268</v>
      </c>
      <c r="D376" s="56" t="s">
        <v>6785</v>
      </c>
      <c r="E376" s="56" t="s">
        <v>368</v>
      </c>
      <c r="F376" s="56" t="s">
        <v>390</v>
      </c>
      <c r="G376" s="56" t="s">
        <v>421</v>
      </c>
      <c r="H376" s="56" t="s">
        <v>2291</v>
      </c>
      <c r="I376" s="56" t="s">
        <v>5715</v>
      </c>
      <c r="J376" s="56" t="s">
        <v>362</v>
      </c>
      <c r="K376" s="56" t="s">
        <v>364</v>
      </c>
      <c r="L376" s="56" t="s">
        <v>365</v>
      </c>
      <c r="M376" s="56" t="s">
        <v>366</v>
      </c>
      <c r="N376" s="62" t="s">
        <v>497</v>
      </c>
      <c r="O376" s="59"/>
      <c r="P376" s="59"/>
      <c r="Q376" s="56" t="s">
        <v>6786</v>
      </c>
      <c r="R376" s="59"/>
      <c r="S376" s="56" t="s">
        <v>5733</v>
      </c>
      <c r="T376" s="61" t="s">
        <v>373</v>
      </c>
      <c r="U376" s="58" t="s">
        <v>6787</v>
      </c>
      <c r="W376" s="55" t="b">
        <f t="shared" si="1"/>
        <v>0</v>
      </c>
    </row>
    <row r="377" ht="15.0" customHeight="1">
      <c r="A377" s="56" t="s">
        <v>6788</v>
      </c>
      <c r="B377" s="56" t="s">
        <v>6789</v>
      </c>
      <c r="C377" s="57" t="s">
        <v>6790</v>
      </c>
      <c r="D377" s="58">
        <v>4.356698938E9</v>
      </c>
      <c r="E377" s="56" t="s">
        <v>368</v>
      </c>
      <c r="F377" s="56" t="s">
        <v>390</v>
      </c>
      <c r="G377" s="56" t="s">
        <v>410</v>
      </c>
      <c r="H377" s="56" t="s">
        <v>5715</v>
      </c>
      <c r="I377" s="56" t="s">
        <v>1789</v>
      </c>
      <c r="J377" s="56" t="s">
        <v>421</v>
      </c>
      <c r="K377" s="56" t="s">
        <v>379</v>
      </c>
      <c r="L377" s="56" t="s">
        <v>365</v>
      </c>
      <c r="M377" s="56" t="s">
        <v>413</v>
      </c>
      <c r="N377" s="62" t="s">
        <v>483</v>
      </c>
      <c r="O377" s="59"/>
      <c r="P377" s="59"/>
      <c r="Q377" s="56" t="s">
        <v>2615</v>
      </c>
      <c r="R377" s="59"/>
      <c r="S377" s="56" t="s">
        <v>5733</v>
      </c>
      <c r="T377" s="61" t="s">
        <v>373</v>
      </c>
      <c r="U377" s="58" t="s">
        <v>6791</v>
      </c>
      <c r="W377" s="55" t="b">
        <f t="shared" si="1"/>
        <v>0</v>
      </c>
    </row>
    <row r="378" ht="15.0" customHeight="1">
      <c r="A378" s="56" t="s">
        <v>209</v>
      </c>
      <c r="B378" s="56" t="s">
        <v>6792</v>
      </c>
      <c r="C378" s="57" t="s">
        <v>6793</v>
      </c>
      <c r="D378" s="56" t="s">
        <v>6794</v>
      </c>
      <c r="E378" s="56" t="s">
        <v>368</v>
      </c>
      <c r="F378" s="56" t="s">
        <v>421</v>
      </c>
      <c r="G378" s="56" t="s">
        <v>716</v>
      </c>
      <c r="H378" s="56" t="s">
        <v>1598</v>
      </c>
      <c r="I378" s="56" t="s">
        <v>390</v>
      </c>
      <c r="J378" s="56" t="s">
        <v>452</v>
      </c>
      <c r="K378" s="56" t="s">
        <v>364</v>
      </c>
      <c r="L378" s="56" t="s">
        <v>380</v>
      </c>
      <c r="M378" s="56" t="s">
        <v>366</v>
      </c>
      <c r="N378" s="62" t="s">
        <v>483</v>
      </c>
      <c r="O378" s="59"/>
      <c r="P378" s="59"/>
      <c r="Q378" s="56" t="s">
        <v>749</v>
      </c>
      <c r="R378" s="59"/>
      <c r="S378" s="56" t="s">
        <v>5733</v>
      </c>
      <c r="T378" s="61" t="s">
        <v>373</v>
      </c>
      <c r="U378" s="58" t="s">
        <v>6795</v>
      </c>
      <c r="W378" s="55" t="b">
        <f t="shared" si="1"/>
        <v>0</v>
      </c>
    </row>
    <row r="379" ht="15.0" customHeight="1">
      <c r="A379" s="56" t="s">
        <v>209</v>
      </c>
      <c r="B379" s="56" t="s">
        <v>5276</v>
      </c>
      <c r="C379" s="57" t="s">
        <v>5277</v>
      </c>
      <c r="D379" s="58">
        <v>4.699193802E9</v>
      </c>
      <c r="E379" s="56" t="s">
        <v>368</v>
      </c>
      <c r="F379" s="56" t="s">
        <v>2286</v>
      </c>
      <c r="G379" s="56" t="s">
        <v>2286</v>
      </c>
      <c r="H379" s="56" t="s">
        <v>2286</v>
      </c>
      <c r="I379" s="56" t="s">
        <v>2286</v>
      </c>
      <c r="J379" s="56" t="s">
        <v>2286</v>
      </c>
      <c r="K379" s="56" t="s">
        <v>399</v>
      </c>
      <c r="L379" s="56" t="s">
        <v>365</v>
      </c>
      <c r="M379" s="56" t="s">
        <v>413</v>
      </c>
      <c r="N379" s="62" t="s">
        <v>5716</v>
      </c>
      <c r="O379" s="59"/>
      <c r="P379" s="59"/>
      <c r="Q379" s="56" t="s">
        <v>371</v>
      </c>
      <c r="R379" s="59"/>
      <c r="S379" s="56" t="s">
        <v>5717</v>
      </c>
      <c r="T379" s="61" t="s">
        <v>373</v>
      </c>
      <c r="U379" s="58" t="s">
        <v>6796</v>
      </c>
      <c r="W379" s="55" t="b">
        <f t="shared" si="1"/>
        <v>0</v>
      </c>
    </row>
    <row r="380" ht="15.0" customHeight="1">
      <c r="A380" s="56" t="s">
        <v>210</v>
      </c>
      <c r="B380" s="56" t="s">
        <v>6797</v>
      </c>
      <c r="C380" s="57" t="s">
        <v>6798</v>
      </c>
      <c r="D380" s="56" t="s">
        <v>6799</v>
      </c>
      <c r="E380" s="56" t="s">
        <v>368</v>
      </c>
      <c r="F380" s="56" t="s">
        <v>452</v>
      </c>
      <c r="G380" s="56" t="s">
        <v>362</v>
      </c>
      <c r="H380" s="56" t="s">
        <v>5715</v>
      </c>
      <c r="I380" s="56" t="s">
        <v>390</v>
      </c>
      <c r="J380" s="56" t="s">
        <v>2291</v>
      </c>
      <c r="K380" s="56" t="s">
        <v>399</v>
      </c>
      <c r="L380" s="56" t="s">
        <v>365</v>
      </c>
      <c r="M380" s="56" t="s">
        <v>513</v>
      </c>
      <c r="N380" s="56" t="s">
        <v>5724</v>
      </c>
      <c r="O380" s="58">
        <v>2.0</v>
      </c>
      <c r="P380" s="59"/>
      <c r="Q380" s="56" t="s">
        <v>3780</v>
      </c>
      <c r="R380" s="59"/>
      <c r="S380" s="56" t="s">
        <v>5717</v>
      </c>
      <c r="T380" s="61" t="s">
        <v>373</v>
      </c>
      <c r="U380" s="58" t="s">
        <v>6800</v>
      </c>
      <c r="W380" s="55" t="b">
        <f t="shared" si="1"/>
        <v>1</v>
      </c>
    </row>
    <row r="381" ht="15.0" customHeight="1">
      <c r="A381" s="56" t="s">
        <v>6801</v>
      </c>
      <c r="B381" s="56" t="s">
        <v>6802</v>
      </c>
      <c r="C381" s="57" t="s">
        <v>6803</v>
      </c>
      <c r="D381" s="56" t="s">
        <v>6804</v>
      </c>
      <c r="E381" s="56" t="s">
        <v>368</v>
      </c>
      <c r="F381" s="62" t="s">
        <v>2286</v>
      </c>
      <c r="G381" s="59"/>
      <c r="H381" s="59"/>
      <c r="I381" s="59"/>
      <c r="J381" s="59"/>
      <c r="K381" s="56" t="s">
        <v>399</v>
      </c>
      <c r="L381" s="56" t="s">
        <v>412</v>
      </c>
      <c r="M381" s="56" t="s">
        <v>413</v>
      </c>
      <c r="N381" s="62" t="s">
        <v>5720</v>
      </c>
      <c r="O381" s="59"/>
      <c r="P381" s="59"/>
      <c r="Q381" s="56" t="s">
        <v>4695</v>
      </c>
      <c r="R381" s="59"/>
      <c r="S381" s="56" t="s">
        <v>5722</v>
      </c>
      <c r="T381" s="61" t="s">
        <v>394</v>
      </c>
      <c r="U381" s="58" t="s">
        <v>6805</v>
      </c>
      <c r="W381" s="55" t="b">
        <f t="shared" si="1"/>
        <v>0</v>
      </c>
    </row>
    <row r="382" ht="15.0" customHeight="1">
      <c r="A382" s="56" t="s">
        <v>212</v>
      </c>
      <c r="B382" s="56" t="s">
        <v>1660</v>
      </c>
      <c r="C382" s="57" t="s">
        <v>1661</v>
      </c>
      <c r="D382" s="58">
        <v>9.163163844E9</v>
      </c>
      <c r="E382" s="56" t="s">
        <v>368</v>
      </c>
      <c r="F382" s="56" t="s">
        <v>2286</v>
      </c>
      <c r="G382" s="56" t="s">
        <v>1789</v>
      </c>
      <c r="H382" s="56" t="s">
        <v>1598</v>
      </c>
      <c r="I382" s="56" t="s">
        <v>2291</v>
      </c>
      <c r="J382" s="56" t="s">
        <v>716</v>
      </c>
      <c r="K382" s="56" t="s">
        <v>364</v>
      </c>
      <c r="L382" s="56" t="s">
        <v>365</v>
      </c>
      <c r="M382" s="56" t="s">
        <v>413</v>
      </c>
      <c r="N382" s="62" t="s">
        <v>381</v>
      </c>
      <c r="O382" s="59"/>
      <c r="P382" s="59"/>
      <c r="Q382" s="56" t="s">
        <v>2655</v>
      </c>
      <c r="R382" s="59"/>
      <c r="S382" s="56" t="s">
        <v>5733</v>
      </c>
      <c r="T382" s="61" t="s">
        <v>373</v>
      </c>
      <c r="U382" s="58" t="s">
        <v>6806</v>
      </c>
      <c r="W382" s="55" t="b">
        <f t="shared" si="1"/>
        <v>0</v>
      </c>
    </row>
    <row r="383" ht="15.0" customHeight="1">
      <c r="A383" s="56" t="s">
        <v>213</v>
      </c>
      <c r="B383" s="56" t="s">
        <v>1665</v>
      </c>
      <c r="C383" s="57" t="s">
        <v>1666</v>
      </c>
      <c r="D383" s="56" t="s">
        <v>5295</v>
      </c>
      <c r="E383" s="56" t="s">
        <v>368</v>
      </c>
      <c r="F383" s="56" t="s">
        <v>459</v>
      </c>
      <c r="G383" s="56" t="s">
        <v>362</v>
      </c>
      <c r="H383" s="56" t="s">
        <v>2931</v>
      </c>
      <c r="I383" s="56" t="s">
        <v>390</v>
      </c>
      <c r="J383" s="56" t="s">
        <v>452</v>
      </c>
      <c r="K383" s="56" t="s">
        <v>399</v>
      </c>
      <c r="L383" s="56" t="s">
        <v>365</v>
      </c>
      <c r="M383" s="56" t="s">
        <v>366</v>
      </c>
      <c r="N383" s="62" t="s">
        <v>381</v>
      </c>
      <c r="O383" s="59"/>
      <c r="P383" s="59"/>
      <c r="Q383" s="56" t="s">
        <v>5203</v>
      </c>
      <c r="R383" s="59"/>
      <c r="S383" s="56" t="s">
        <v>5733</v>
      </c>
      <c r="T383" s="61" t="s">
        <v>373</v>
      </c>
      <c r="U383" s="58" t="s">
        <v>6270</v>
      </c>
      <c r="W383" s="55" t="b">
        <f t="shared" si="1"/>
        <v>0</v>
      </c>
    </row>
    <row r="384" ht="15.0" customHeight="1">
      <c r="A384" s="56" t="s">
        <v>214</v>
      </c>
      <c r="B384" s="56" t="s">
        <v>1673</v>
      </c>
      <c r="C384" s="57" t="s">
        <v>1674</v>
      </c>
      <c r="D384" s="56" t="s">
        <v>5298</v>
      </c>
      <c r="E384" s="56" t="s">
        <v>368</v>
      </c>
      <c r="F384" s="56" t="s">
        <v>2286</v>
      </c>
      <c r="G384" s="56" t="s">
        <v>452</v>
      </c>
      <c r="H384" s="56" t="s">
        <v>390</v>
      </c>
      <c r="I384" s="62" t="s">
        <v>675</v>
      </c>
      <c r="J384" s="59"/>
      <c r="K384" s="56" t="s">
        <v>379</v>
      </c>
      <c r="L384" s="56" t="s">
        <v>365</v>
      </c>
      <c r="M384" s="56" t="s">
        <v>413</v>
      </c>
      <c r="N384" s="62" t="s">
        <v>5720</v>
      </c>
      <c r="O384" s="59"/>
      <c r="P384" s="59"/>
      <c r="Q384" s="56" t="s">
        <v>648</v>
      </c>
      <c r="R384" s="59"/>
      <c r="S384" s="56" t="s">
        <v>5722</v>
      </c>
      <c r="T384" s="61" t="s">
        <v>373</v>
      </c>
      <c r="U384" s="58" t="s">
        <v>6807</v>
      </c>
      <c r="W384" s="55" t="b">
        <f t="shared" si="1"/>
        <v>0</v>
      </c>
    </row>
    <row r="385" ht="15.0" customHeight="1">
      <c r="A385" s="56" t="s">
        <v>215</v>
      </c>
      <c r="B385" s="56" t="s">
        <v>1678</v>
      </c>
      <c r="C385" s="57" t="s">
        <v>1679</v>
      </c>
      <c r="D385" s="58">
        <v>8.172155223E9</v>
      </c>
      <c r="E385" s="56" t="s">
        <v>368</v>
      </c>
      <c r="F385" s="56" t="s">
        <v>452</v>
      </c>
      <c r="G385" s="56" t="s">
        <v>2286</v>
      </c>
      <c r="H385" s="56" t="s">
        <v>390</v>
      </c>
      <c r="I385" s="56" t="s">
        <v>2931</v>
      </c>
      <c r="J385" s="56" t="s">
        <v>716</v>
      </c>
      <c r="K385" s="56" t="s">
        <v>364</v>
      </c>
      <c r="L385" s="56" t="s">
        <v>365</v>
      </c>
      <c r="M385" s="56" t="s">
        <v>413</v>
      </c>
      <c r="N385" s="56" t="s">
        <v>497</v>
      </c>
      <c r="O385" s="58">
        <v>2.0</v>
      </c>
      <c r="P385" s="58">
        <v>2.0</v>
      </c>
      <c r="Q385" s="56" t="s">
        <v>6808</v>
      </c>
      <c r="R385" s="59"/>
      <c r="S385" s="56" t="s">
        <v>5733</v>
      </c>
      <c r="T385" s="61" t="s">
        <v>373</v>
      </c>
      <c r="U385" s="58" t="s">
        <v>6809</v>
      </c>
      <c r="W385" s="55" t="b">
        <f t="shared" si="1"/>
        <v>0</v>
      </c>
    </row>
    <row r="386" ht="15.0" customHeight="1">
      <c r="A386" s="56" t="s">
        <v>6810</v>
      </c>
      <c r="B386" s="56" t="s">
        <v>3797</v>
      </c>
      <c r="C386" s="57" t="s">
        <v>3798</v>
      </c>
      <c r="D386" s="56" t="s">
        <v>6811</v>
      </c>
      <c r="E386" s="56" t="s">
        <v>368</v>
      </c>
      <c r="F386" s="56" t="s">
        <v>390</v>
      </c>
      <c r="G386" s="56" t="s">
        <v>362</v>
      </c>
      <c r="H386" s="56" t="s">
        <v>5715</v>
      </c>
      <c r="I386" s="56" t="s">
        <v>2291</v>
      </c>
      <c r="J386" s="56" t="s">
        <v>634</v>
      </c>
      <c r="K386" s="56" t="s">
        <v>379</v>
      </c>
      <c r="L386" s="56" t="s">
        <v>365</v>
      </c>
      <c r="M386" s="56" t="s">
        <v>366</v>
      </c>
      <c r="N386" s="62" t="s">
        <v>5716</v>
      </c>
      <c r="O386" s="59"/>
      <c r="P386" s="59"/>
      <c r="Q386" s="56" t="s">
        <v>1496</v>
      </c>
      <c r="R386" s="59"/>
      <c r="S386" s="56" t="s">
        <v>5717</v>
      </c>
      <c r="T386" s="61" t="s">
        <v>373</v>
      </c>
      <c r="U386" s="58" t="s">
        <v>6812</v>
      </c>
      <c r="W386" s="55" t="b">
        <f t="shared" si="1"/>
        <v>0</v>
      </c>
    </row>
    <row r="387" ht="15.0" customHeight="1">
      <c r="A387" s="56" t="s">
        <v>216</v>
      </c>
      <c r="B387" s="56" t="s">
        <v>5312</v>
      </c>
      <c r="C387" s="57" t="s">
        <v>5313</v>
      </c>
      <c r="D387" s="58">
        <v>9.72717307E9</v>
      </c>
      <c r="E387" s="56" t="s">
        <v>368</v>
      </c>
      <c r="F387" s="56" t="s">
        <v>2286</v>
      </c>
      <c r="G387" s="62" t="s">
        <v>2291</v>
      </c>
      <c r="H387" s="59"/>
      <c r="I387" s="59"/>
      <c r="J387" s="59"/>
      <c r="K387" s="56" t="s">
        <v>364</v>
      </c>
      <c r="L387" s="56" t="s">
        <v>365</v>
      </c>
      <c r="M387" s="56" t="s">
        <v>366</v>
      </c>
      <c r="N387" s="62" t="s">
        <v>5720</v>
      </c>
      <c r="O387" s="59"/>
      <c r="P387" s="59"/>
      <c r="Q387" s="56" t="s">
        <v>3668</v>
      </c>
      <c r="R387" s="59"/>
      <c r="S387" s="56" t="s">
        <v>5722</v>
      </c>
      <c r="T387" s="61" t="s">
        <v>373</v>
      </c>
      <c r="U387" s="58" t="s">
        <v>6813</v>
      </c>
      <c r="W387" s="55" t="b">
        <f t="shared" si="1"/>
        <v>0</v>
      </c>
    </row>
    <row r="388" ht="15.0" customHeight="1">
      <c r="A388" s="56" t="s">
        <v>6814</v>
      </c>
      <c r="B388" s="56" t="s">
        <v>6815</v>
      </c>
      <c r="C388" s="57" t="s">
        <v>6816</v>
      </c>
      <c r="D388" s="58">
        <v>7.139758555E9</v>
      </c>
      <c r="E388" s="56" t="s">
        <v>368</v>
      </c>
      <c r="F388" s="56" t="s">
        <v>2286</v>
      </c>
      <c r="G388" s="62" t="s">
        <v>2286</v>
      </c>
      <c r="H388" s="59"/>
      <c r="I388" s="59"/>
      <c r="J388" s="59"/>
      <c r="K388" s="56" t="s">
        <v>364</v>
      </c>
      <c r="L388" s="56" t="s">
        <v>667</v>
      </c>
      <c r="M388" s="56" t="s">
        <v>513</v>
      </c>
      <c r="N388" s="62" t="s">
        <v>5720</v>
      </c>
      <c r="O388" s="59"/>
      <c r="P388" s="59"/>
      <c r="Q388" s="56" t="s">
        <v>3155</v>
      </c>
      <c r="R388" s="59"/>
      <c r="S388" s="56" t="s">
        <v>5722</v>
      </c>
      <c r="T388" s="61" t="s">
        <v>373</v>
      </c>
      <c r="U388" s="58" t="s">
        <v>6817</v>
      </c>
      <c r="W388" s="55" t="b">
        <f t="shared" si="1"/>
        <v>1</v>
      </c>
    </row>
    <row r="389" ht="15.0" customHeight="1">
      <c r="A389" s="56" t="s">
        <v>3804</v>
      </c>
      <c r="B389" s="56" t="s">
        <v>6818</v>
      </c>
      <c r="C389" s="57" t="s">
        <v>6819</v>
      </c>
      <c r="D389" s="56" t="s">
        <v>6820</v>
      </c>
      <c r="E389" s="56" t="s">
        <v>368</v>
      </c>
      <c r="F389" s="56" t="s">
        <v>1553</v>
      </c>
      <c r="G389" s="56" t="s">
        <v>410</v>
      </c>
      <c r="H389" s="62" t="s">
        <v>390</v>
      </c>
      <c r="I389" s="59"/>
      <c r="J389" s="59"/>
      <c r="K389" s="56" t="s">
        <v>379</v>
      </c>
      <c r="L389" s="56" t="s">
        <v>365</v>
      </c>
      <c r="M389" s="56" t="s">
        <v>366</v>
      </c>
      <c r="N389" s="62" t="s">
        <v>5946</v>
      </c>
      <c r="O389" s="59"/>
      <c r="P389" s="59"/>
      <c r="Q389" s="56" t="s">
        <v>437</v>
      </c>
      <c r="R389" s="59"/>
      <c r="S389" s="56" t="s">
        <v>5717</v>
      </c>
      <c r="T389" s="61" t="s">
        <v>373</v>
      </c>
      <c r="U389" s="58" t="s">
        <v>6821</v>
      </c>
      <c r="W389" s="55" t="b">
        <f t="shared" si="1"/>
        <v>0</v>
      </c>
    </row>
    <row r="390" ht="15.0" customHeight="1">
      <c r="A390" s="56" t="s">
        <v>3810</v>
      </c>
      <c r="B390" s="56" t="s">
        <v>6822</v>
      </c>
      <c r="C390" s="57" t="s">
        <v>6823</v>
      </c>
      <c r="D390" s="56" t="s">
        <v>6824</v>
      </c>
      <c r="E390" s="56" t="s">
        <v>368</v>
      </c>
      <c r="F390" s="56" t="s">
        <v>421</v>
      </c>
      <c r="G390" s="56" t="s">
        <v>390</v>
      </c>
      <c r="H390" s="56" t="s">
        <v>2291</v>
      </c>
      <c r="I390" s="62" t="s">
        <v>1598</v>
      </c>
      <c r="J390" s="59"/>
      <c r="K390" s="56" t="s">
        <v>364</v>
      </c>
      <c r="L390" s="56" t="s">
        <v>380</v>
      </c>
      <c r="M390" s="56" t="s">
        <v>366</v>
      </c>
      <c r="N390" s="56" t="s">
        <v>5946</v>
      </c>
      <c r="O390" s="58">
        <v>5.0</v>
      </c>
      <c r="P390" s="59"/>
      <c r="Q390" s="56" t="s">
        <v>3299</v>
      </c>
      <c r="R390" s="59"/>
      <c r="S390" s="56" t="s">
        <v>5717</v>
      </c>
      <c r="T390" s="61" t="s">
        <v>373</v>
      </c>
      <c r="U390" s="58" t="s">
        <v>6825</v>
      </c>
      <c r="W390" s="55" t="b">
        <f t="shared" si="1"/>
        <v>0</v>
      </c>
    </row>
    <row r="391" ht="15.0" customHeight="1">
      <c r="A391" s="56" t="s">
        <v>3814</v>
      </c>
      <c r="B391" s="56" t="s">
        <v>6826</v>
      </c>
      <c r="C391" s="57" t="s">
        <v>3816</v>
      </c>
      <c r="D391" s="56" t="s">
        <v>6827</v>
      </c>
      <c r="E391" s="56" t="s">
        <v>368</v>
      </c>
      <c r="F391" s="56" t="s">
        <v>1553</v>
      </c>
      <c r="G391" s="56" t="s">
        <v>410</v>
      </c>
      <c r="H391" s="56" t="s">
        <v>390</v>
      </c>
      <c r="I391" s="56" t="s">
        <v>2931</v>
      </c>
      <c r="J391" s="56" t="s">
        <v>1789</v>
      </c>
      <c r="K391" s="56" t="s">
        <v>399</v>
      </c>
      <c r="L391" s="56" t="s">
        <v>365</v>
      </c>
      <c r="M391" s="56" t="s">
        <v>413</v>
      </c>
      <c r="N391" s="62" t="s">
        <v>497</v>
      </c>
      <c r="O391" s="59"/>
      <c r="P391" s="59"/>
      <c r="Q391" s="56" t="s">
        <v>2730</v>
      </c>
      <c r="R391" s="59"/>
      <c r="S391" s="56" t="s">
        <v>5733</v>
      </c>
      <c r="T391" s="61" t="s">
        <v>373</v>
      </c>
      <c r="U391" s="58" t="s">
        <v>6828</v>
      </c>
      <c r="W391" s="55" t="b">
        <f t="shared" si="1"/>
        <v>0</v>
      </c>
    </row>
    <row r="392" ht="15.0" customHeight="1">
      <c r="A392" s="56" t="s">
        <v>3821</v>
      </c>
      <c r="B392" s="56" t="s">
        <v>3822</v>
      </c>
      <c r="C392" s="57" t="s">
        <v>3823</v>
      </c>
      <c r="D392" s="58">
        <v>7.138551849E9</v>
      </c>
      <c r="E392" s="56" t="s">
        <v>368</v>
      </c>
      <c r="F392" s="56" t="s">
        <v>390</v>
      </c>
      <c r="G392" s="56" t="s">
        <v>410</v>
      </c>
      <c r="H392" s="56" t="s">
        <v>2291</v>
      </c>
      <c r="I392" s="56" t="s">
        <v>452</v>
      </c>
      <c r="J392" s="56" t="s">
        <v>5715</v>
      </c>
      <c r="K392" s="56" t="s">
        <v>399</v>
      </c>
      <c r="L392" s="56" t="s">
        <v>365</v>
      </c>
      <c r="M392" s="56" t="s">
        <v>366</v>
      </c>
      <c r="N392" s="62" t="s">
        <v>6036</v>
      </c>
      <c r="O392" s="59"/>
      <c r="P392" s="59"/>
      <c r="Q392" s="56" t="s">
        <v>6829</v>
      </c>
      <c r="R392" s="59"/>
      <c r="S392" s="56" t="s">
        <v>5733</v>
      </c>
      <c r="T392" s="61" t="s">
        <v>373</v>
      </c>
      <c r="U392" s="58" t="s">
        <v>5975</v>
      </c>
      <c r="W392" s="55" t="b">
        <f t="shared" si="1"/>
        <v>0</v>
      </c>
    </row>
    <row r="393" ht="15.0" customHeight="1">
      <c r="A393" s="56" t="s">
        <v>6830</v>
      </c>
      <c r="B393" s="56" t="s">
        <v>6831</v>
      </c>
      <c r="C393" s="57" t="s">
        <v>6832</v>
      </c>
      <c r="D393" s="58">
        <v>7.132482863E9</v>
      </c>
      <c r="E393" s="56" t="s">
        <v>423</v>
      </c>
      <c r="F393" s="56" t="s">
        <v>452</v>
      </c>
      <c r="G393" s="56" t="s">
        <v>390</v>
      </c>
      <c r="H393" s="56" t="s">
        <v>2286</v>
      </c>
      <c r="I393" s="62" t="s">
        <v>410</v>
      </c>
      <c r="J393" s="59"/>
      <c r="K393" s="56" t="s">
        <v>379</v>
      </c>
      <c r="L393" s="56" t="s">
        <v>365</v>
      </c>
      <c r="M393" s="56" t="s">
        <v>513</v>
      </c>
      <c r="N393" s="62" t="s">
        <v>5798</v>
      </c>
      <c r="O393" s="59"/>
      <c r="P393" s="59"/>
      <c r="Q393" s="56" t="s">
        <v>6833</v>
      </c>
      <c r="R393" s="59"/>
      <c r="S393" s="56" t="s">
        <v>5722</v>
      </c>
      <c r="T393" s="61" t="s">
        <v>373</v>
      </c>
      <c r="U393" s="58" t="s">
        <v>6834</v>
      </c>
      <c r="W393" s="55" t="b">
        <f t="shared" si="1"/>
        <v>1</v>
      </c>
    </row>
    <row r="394" ht="15.0" customHeight="1">
      <c r="A394" s="56" t="s">
        <v>6835</v>
      </c>
      <c r="B394" s="56" t="s">
        <v>6836</v>
      </c>
      <c r="C394" s="57" t="s">
        <v>6837</v>
      </c>
      <c r="D394" s="58">
        <v>3.374624077E9</v>
      </c>
      <c r="E394" s="56" t="s">
        <v>368</v>
      </c>
      <c r="F394" s="56" t="s">
        <v>410</v>
      </c>
      <c r="G394" s="56" t="s">
        <v>452</v>
      </c>
      <c r="H394" s="62" t="s">
        <v>390</v>
      </c>
      <c r="I394" s="59"/>
      <c r="J394" s="59"/>
      <c r="K394" s="56" t="s">
        <v>364</v>
      </c>
      <c r="L394" s="56" t="s">
        <v>380</v>
      </c>
      <c r="M394" s="56" t="s">
        <v>869</v>
      </c>
      <c r="N394" s="56" t="s">
        <v>5716</v>
      </c>
      <c r="O394" s="58">
        <v>1.0</v>
      </c>
      <c r="P394" s="59"/>
      <c r="Q394" s="59"/>
      <c r="R394" s="59"/>
      <c r="S394" s="56" t="s">
        <v>5717</v>
      </c>
      <c r="T394" s="61" t="s">
        <v>394</v>
      </c>
      <c r="U394" s="58" t="s">
        <v>6838</v>
      </c>
      <c r="W394" s="55" t="b">
        <f t="shared" si="1"/>
        <v>0</v>
      </c>
    </row>
    <row r="395" ht="15.0" customHeight="1">
      <c r="A395" s="56" t="s">
        <v>217</v>
      </c>
      <c r="B395" s="56" t="s">
        <v>1717</v>
      </c>
      <c r="C395" s="57" t="s">
        <v>1718</v>
      </c>
      <c r="D395" s="56" t="s">
        <v>5323</v>
      </c>
      <c r="E395" s="56" t="s">
        <v>368</v>
      </c>
      <c r="F395" s="56" t="s">
        <v>2286</v>
      </c>
      <c r="G395" s="62" t="s">
        <v>5719</v>
      </c>
      <c r="H395" s="59"/>
      <c r="I395" s="59"/>
      <c r="J395" s="59"/>
      <c r="K395" s="56" t="s">
        <v>399</v>
      </c>
      <c r="L395" s="56" t="s">
        <v>365</v>
      </c>
      <c r="M395" s="56" t="s">
        <v>513</v>
      </c>
      <c r="N395" s="56" t="s">
        <v>1301</v>
      </c>
      <c r="O395" s="58">
        <v>0.0</v>
      </c>
      <c r="P395" s="59"/>
      <c r="Q395" s="56" t="s">
        <v>6839</v>
      </c>
      <c r="R395" s="59"/>
      <c r="S395" s="56" t="s">
        <v>5733</v>
      </c>
      <c r="T395" s="61" t="s">
        <v>373</v>
      </c>
      <c r="U395" s="58" t="s">
        <v>6840</v>
      </c>
      <c r="W395" s="55" t="b">
        <f t="shared" si="1"/>
        <v>1</v>
      </c>
    </row>
    <row r="396" ht="15.0" customHeight="1">
      <c r="A396" s="56" t="s">
        <v>6841</v>
      </c>
      <c r="B396" s="56" t="s">
        <v>6842</v>
      </c>
      <c r="C396" s="57" t="s">
        <v>3847</v>
      </c>
      <c r="D396" s="56" t="s">
        <v>6843</v>
      </c>
      <c r="E396" s="56" t="s">
        <v>368</v>
      </c>
      <c r="F396" s="56" t="s">
        <v>362</v>
      </c>
      <c r="G396" s="56" t="s">
        <v>5715</v>
      </c>
      <c r="H396" s="56" t="s">
        <v>452</v>
      </c>
      <c r="I396" s="62" t="s">
        <v>3730</v>
      </c>
      <c r="J396" s="59"/>
      <c r="K396" s="56" t="s">
        <v>364</v>
      </c>
      <c r="L396" s="56" t="s">
        <v>412</v>
      </c>
      <c r="M396" s="56" t="s">
        <v>366</v>
      </c>
      <c r="N396" s="62" t="s">
        <v>5716</v>
      </c>
      <c r="O396" s="59"/>
      <c r="P396" s="59"/>
      <c r="Q396" s="56" t="s">
        <v>4121</v>
      </c>
      <c r="R396" s="59"/>
      <c r="S396" s="56" t="s">
        <v>5717</v>
      </c>
      <c r="T396" s="61" t="s">
        <v>373</v>
      </c>
      <c r="U396" s="58" t="s">
        <v>6844</v>
      </c>
      <c r="W396" s="55" t="b">
        <f t="shared" si="1"/>
        <v>0</v>
      </c>
    </row>
    <row r="397" ht="15.0" customHeight="1">
      <c r="A397" s="56" t="s">
        <v>6845</v>
      </c>
      <c r="B397" s="56" t="s">
        <v>3851</v>
      </c>
      <c r="C397" s="57" t="s">
        <v>3852</v>
      </c>
      <c r="D397" s="56" t="s">
        <v>6846</v>
      </c>
      <c r="E397" s="56" t="s">
        <v>368</v>
      </c>
      <c r="F397" s="56" t="s">
        <v>390</v>
      </c>
      <c r="G397" s="56" t="s">
        <v>459</v>
      </c>
      <c r="H397" s="56" t="s">
        <v>452</v>
      </c>
      <c r="I397" s="56" t="s">
        <v>410</v>
      </c>
      <c r="J397" s="56" t="s">
        <v>5715</v>
      </c>
      <c r="K397" s="56" t="s">
        <v>379</v>
      </c>
      <c r="L397" s="56" t="s">
        <v>412</v>
      </c>
      <c r="M397" s="56" t="s">
        <v>366</v>
      </c>
      <c r="N397" s="62" t="s">
        <v>5724</v>
      </c>
      <c r="O397" s="59"/>
      <c r="P397" s="59"/>
      <c r="Q397" s="56" t="s">
        <v>6847</v>
      </c>
      <c r="R397" s="59"/>
      <c r="S397" s="56" t="s">
        <v>5717</v>
      </c>
      <c r="T397" s="61" t="s">
        <v>373</v>
      </c>
      <c r="U397" s="58" t="s">
        <v>6848</v>
      </c>
      <c r="W397" s="55" t="b">
        <f t="shared" si="1"/>
        <v>0</v>
      </c>
    </row>
    <row r="398" ht="15.0" customHeight="1">
      <c r="A398" s="56" t="s">
        <v>6849</v>
      </c>
      <c r="B398" s="56" t="s">
        <v>6850</v>
      </c>
      <c r="C398" s="57" t="s">
        <v>6851</v>
      </c>
      <c r="D398" s="58">
        <v>2.107226015E9</v>
      </c>
      <c r="E398" s="56" t="s">
        <v>368</v>
      </c>
      <c r="F398" s="56" t="s">
        <v>675</v>
      </c>
      <c r="G398" s="62" t="s">
        <v>2286</v>
      </c>
      <c r="H398" s="59"/>
      <c r="I398" s="59"/>
      <c r="J398" s="59"/>
      <c r="K398" s="56" t="s">
        <v>364</v>
      </c>
      <c r="L398" s="56" t="s">
        <v>365</v>
      </c>
      <c r="M398" s="56" t="s">
        <v>413</v>
      </c>
      <c r="N398" s="62" t="s">
        <v>5716</v>
      </c>
      <c r="O398" s="59"/>
      <c r="P398" s="59"/>
      <c r="Q398" s="56" t="s">
        <v>6158</v>
      </c>
      <c r="R398" s="59"/>
      <c r="S398" s="56" t="s">
        <v>5717</v>
      </c>
      <c r="T398" s="61" t="s">
        <v>373</v>
      </c>
      <c r="U398" s="58" t="s">
        <v>6852</v>
      </c>
      <c r="W398" s="55" t="b">
        <f t="shared" si="1"/>
        <v>0</v>
      </c>
    </row>
    <row r="399" ht="15.0" customHeight="1">
      <c r="A399" s="56" t="s">
        <v>5327</v>
      </c>
      <c r="B399" s="56" t="s">
        <v>6853</v>
      </c>
      <c r="C399" s="57" t="s">
        <v>6854</v>
      </c>
      <c r="D399" s="56" t="s">
        <v>6855</v>
      </c>
      <c r="E399" s="56" t="s">
        <v>368</v>
      </c>
      <c r="F399" s="56" t="s">
        <v>390</v>
      </c>
      <c r="G399" s="56" t="s">
        <v>452</v>
      </c>
      <c r="H399" s="56" t="s">
        <v>1553</v>
      </c>
      <c r="I399" s="56" t="s">
        <v>5715</v>
      </c>
      <c r="J399" s="56" t="s">
        <v>2291</v>
      </c>
      <c r="K399" s="56" t="s">
        <v>379</v>
      </c>
      <c r="L399" s="56" t="s">
        <v>365</v>
      </c>
      <c r="M399" s="56" t="s">
        <v>366</v>
      </c>
      <c r="N399" s="62" t="s">
        <v>1301</v>
      </c>
      <c r="O399" s="59"/>
      <c r="P399" s="59"/>
      <c r="Q399" s="56" t="s">
        <v>6856</v>
      </c>
      <c r="R399" s="59"/>
      <c r="S399" s="56" t="s">
        <v>5733</v>
      </c>
      <c r="T399" s="61" t="s">
        <v>373</v>
      </c>
      <c r="U399" s="58" t="s">
        <v>6575</v>
      </c>
      <c r="W399" s="55" t="b">
        <f t="shared" si="1"/>
        <v>0</v>
      </c>
    </row>
    <row r="400" ht="15.0" customHeight="1">
      <c r="A400" s="56" t="s">
        <v>3861</v>
      </c>
      <c r="B400" s="56" t="s">
        <v>3862</v>
      </c>
      <c r="C400" s="57" t="s">
        <v>3863</v>
      </c>
      <c r="D400" s="56" t="s">
        <v>6857</v>
      </c>
      <c r="E400" s="56" t="s">
        <v>368</v>
      </c>
      <c r="F400" s="56" t="s">
        <v>452</v>
      </c>
      <c r="G400" s="62" t="s">
        <v>2931</v>
      </c>
      <c r="H400" s="59"/>
      <c r="I400" s="59"/>
      <c r="J400" s="59"/>
      <c r="K400" s="56" t="s">
        <v>364</v>
      </c>
      <c r="L400" s="56" t="s">
        <v>365</v>
      </c>
      <c r="M400" s="56" t="s">
        <v>413</v>
      </c>
      <c r="N400" s="62" t="s">
        <v>5720</v>
      </c>
      <c r="O400" s="59"/>
      <c r="P400" s="59"/>
      <c r="Q400" s="56" t="s">
        <v>3173</v>
      </c>
      <c r="R400" s="59"/>
      <c r="S400" s="56" t="s">
        <v>5722</v>
      </c>
      <c r="T400" s="61" t="s">
        <v>373</v>
      </c>
      <c r="U400" s="58" t="s">
        <v>6858</v>
      </c>
      <c r="W400" s="55" t="b">
        <f t="shared" si="1"/>
        <v>0</v>
      </c>
    </row>
    <row r="401" ht="15.0" customHeight="1">
      <c r="A401" s="56" t="s">
        <v>218</v>
      </c>
      <c r="B401" s="56" t="s">
        <v>3867</v>
      </c>
      <c r="C401" s="57" t="s">
        <v>3868</v>
      </c>
      <c r="D401" s="56" t="s">
        <v>5332</v>
      </c>
      <c r="E401" s="56" t="s">
        <v>368</v>
      </c>
      <c r="F401" s="56" t="s">
        <v>362</v>
      </c>
      <c r="G401" s="62" t="s">
        <v>5715</v>
      </c>
      <c r="H401" s="59"/>
      <c r="I401" s="59"/>
      <c r="J401" s="59"/>
      <c r="K401" s="56" t="s">
        <v>364</v>
      </c>
      <c r="L401" s="56" t="s">
        <v>365</v>
      </c>
      <c r="M401" s="56" t="s">
        <v>366</v>
      </c>
      <c r="N401" s="62" t="s">
        <v>381</v>
      </c>
      <c r="O401" s="59"/>
      <c r="P401" s="59"/>
      <c r="Q401" s="56" t="s">
        <v>3513</v>
      </c>
      <c r="R401" s="59"/>
      <c r="S401" s="56" t="s">
        <v>5733</v>
      </c>
      <c r="T401" s="61" t="s">
        <v>373</v>
      </c>
      <c r="U401" s="58" t="s">
        <v>6010</v>
      </c>
      <c r="W401" s="55" t="b">
        <f t="shared" si="1"/>
        <v>0</v>
      </c>
    </row>
    <row r="402" ht="15.0" customHeight="1">
      <c r="A402" s="56" t="s">
        <v>6859</v>
      </c>
      <c r="B402" s="56" t="s">
        <v>6860</v>
      </c>
      <c r="C402" s="57" t="s">
        <v>6861</v>
      </c>
      <c r="D402" s="58">
        <v>2.81715985E9</v>
      </c>
      <c r="E402" s="56" t="s">
        <v>368</v>
      </c>
      <c r="F402" s="56" t="s">
        <v>390</v>
      </c>
      <c r="G402" s="56" t="s">
        <v>452</v>
      </c>
      <c r="H402" s="62" t="s">
        <v>1789</v>
      </c>
      <c r="I402" s="59"/>
      <c r="J402" s="59"/>
      <c r="K402" s="56" t="s">
        <v>364</v>
      </c>
      <c r="L402" s="56" t="s">
        <v>830</v>
      </c>
      <c r="M402" s="56" t="s">
        <v>366</v>
      </c>
      <c r="N402" s="56" t="s">
        <v>5716</v>
      </c>
      <c r="O402" s="58">
        <v>0.0</v>
      </c>
      <c r="P402" s="59"/>
      <c r="Q402" s="56" t="s">
        <v>5538</v>
      </c>
      <c r="R402" s="59"/>
      <c r="S402" s="56" t="s">
        <v>5717</v>
      </c>
      <c r="T402" s="61" t="s">
        <v>373</v>
      </c>
      <c r="U402" s="58" t="s">
        <v>6862</v>
      </c>
      <c r="W402" s="55" t="b">
        <f t="shared" si="1"/>
        <v>0</v>
      </c>
    </row>
    <row r="403" ht="15.0" customHeight="1">
      <c r="A403" s="56" t="s">
        <v>6863</v>
      </c>
      <c r="B403" s="56" t="s">
        <v>6864</v>
      </c>
      <c r="C403" s="57" t="s">
        <v>6865</v>
      </c>
      <c r="D403" s="56" t="s">
        <v>6866</v>
      </c>
      <c r="E403" s="56" t="s">
        <v>368</v>
      </c>
      <c r="F403" s="56" t="s">
        <v>2286</v>
      </c>
      <c r="G403" s="62" t="s">
        <v>1789</v>
      </c>
      <c r="H403" s="59"/>
      <c r="I403" s="59"/>
      <c r="J403" s="59"/>
      <c r="K403" s="56" t="s">
        <v>379</v>
      </c>
      <c r="L403" s="56" t="s">
        <v>365</v>
      </c>
      <c r="M403" s="56" t="s">
        <v>366</v>
      </c>
      <c r="N403" s="56" t="s">
        <v>5720</v>
      </c>
      <c r="O403" s="58">
        <v>0.0</v>
      </c>
      <c r="P403" s="59"/>
      <c r="Q403" s="56" t="s">
        <v>2916</v>
      </c>
      <c r="R403" s="59"/>
      <c r="S403" s="56" t="s">
        <v>5722</v>
      </c>
      <c r="T403" s="61" t="s">
        <v>373</v>
      </c>
      <c r="U403" s="58" t="s">
        <v>6867</v>
      </c>
      <c r="W403" s="55" t="b">
        <f t="shared" si="1"/>
        <v>0</v>
      </c>
    </row>
    <row r="404" ht="15.0" customHeight="1">
      <c r="A404" s="56" t="s">
        <v>219</v>
      </c>
      <c r="B404" s="56" t="s">
        <v>6868</v>
      </c>
      <c r="C404" s="57" t="s">
        <v>6869</v>
      </c>
      <c r="D404" s="58">
        <v>2.819237976E9</v>
      </c>
      <c r="E404" s="56" t="s">
        <v>368</v>
      </c>
      <c r="F404" s="56" t="s">
        <v>1553</v>
      </c>
      <c r="G404" s="56" t="s">
        <v>410</v>
      </c>
      <c r="H404" s="62" t="s">
        <v>390</v>
      </c>
      <c r="I404" s="59"/>
      <c r="J404" s="59"/>
      <c r="K404" s="56" t="s">
        <v>379</v>
      </c>
      <c r="L404" s="56" t="s">
        <v>405</v>
      </c>
      <c r="M404" s="56" t="s">
        <v>366</v>
      </c>
      <c r="N404" s="62" t="s">
        <v>5716</v>
      </c>
      <c r="O404" s="59"/>
      <c r="P404" s="59"/>
      <c r="Q404" s="56" t="s">
        <v>3236</v>
      </c>
      <c r="R404" s="59"/>
      <c r="S404" s="56" t="s">
        <v>5717</v>
      </c>
      <c r="T404" s="61" t="s">
        <v>373</v>
      </c>
      <c r="U404" s="58" t="s">
        <v>6870</v>
      </c>
      <c r="W404" s="55" t="b">
        <f t="shared" si="1"/>
        <v>0</v>
      </c>
    </row>
    <row r="405" ht="15.0" customHeight="1">
      <c r="A405" s="56" t="s">
        <v>220</v>
      </c>
      <c r="B405" s="56" t="s">
        <v>3877</v>
      </c>
      <c r="C405" s="57" t="s">
        <v>3878</v>
      </c>
      <c r="D405" s="58">
        <v>4.016421715E9</v>
      </c>
      <c r="E405" s="56" t="s">
        <v>368</v>
      </c>
      <c r="F405" s="56" t="s">
        <v>390</v>
      </c>
      <c r="G405" s="56" t="s">
        <v>2291</v>
      </c>
      <c r="H405" s="56" t="s">
        <v>452</v>
      </c>
      <c r="I405" s="62" t="s">
        <v>410</v>
      </c>
      <c r="J405" s="59"/>
      <c r="K405" s="56" t="s">
        <v>379</v>
      </c>
      <c r="L405" s="56" t="s">
        <v>365</v>
      </c>
      <c r="M405" s="56" t="s">
        <v>366</v>
      </c>
      <c r="N405" s="62" t="s">
        <v>6036</v>
      </c>
      <c r="O405" s="59"/>
      <c r="P405" s="59"/>
      <c r="Q405" s="62" t="s">
        <v>6871</v>
      </c>
      <c r="R405" s="59"/>
      <c r="S405" s="56" t="s">
        <v>5733</v>
      </c>
      <c r="T405" s="61" t="s">
        <v>373</v>
      </c>
      <c r="U405" s="58" t="s">
        <v>6872</v>
      </c>
      <c r="W405" s="55" t="b">
        <f t="shared" si="1"/>
        <v>0</v>
      </c>
    </row>
    <row r="406" ht="15.0" customHeight="1">
      <c r="A406" s="56" t="s">
        <v>6873</v>
      </c>
      <c r="B406" s="56" t="s">
        <v>6874</v>
      </c>
      <c r="C406" s="57" t="s">
        <v>6875</v>
      </c>
      <c r="D406" s="58">
        <v>4.405525522E9</v>
      </c>
      <c r="E406" s="56" t="s">
        <v>368</v>
      </c>
      <c r="F406" s="56" t="s">
        <v>390</v>
      </c>
      <c r="G406" s="56" t="s">
        <v>410</v>
      </c>
      <c r="H406" s="56" t="s">
        <v>2286</v>
      </c>
      <c r="I406" s="62" t="s">
        <v>452</v>
      </c>
      <c r="J406" s="59"/>
      <c r="K406" s="56" t="s">
        <v>364</v>
      </c>
      <c r="L406" s="56" t="s">
        <v>365</v>
      </c>
      <c r="M406" s="56" t="s">
        <v>413</v>
      </c>
      <c r="N406" s="56" t="s">
        <v>5720</v>
      </c>
      <c r="O406" s="58">
        <v>0.0</v>
      </c>
      <c r="P406" s="58">
        <v>2.0</v>
      </c>
      <c r="Q406" s="56" t="s">
        <v>938</v>
      </c>
      <c r="R406" s="59"/>
      <c r="S406" s="56" t="s">
        <v>5722</v>
      </c>
      <c r="T406" s="61" t="s">
        <v>373</v>
      </c>
      <c r="U406" s="58" t="s">
        <v>6876</v>
      </c>
      <c r="W406" s="55" t="b">
        <f t="shared" si="1"/>
        <v>0</v>
      </c>
    </row>
    <row r="407" ht="15.0" customHeight="1">
      <c r="A407" s="56" t="s">
        <v>6877</v>
      </c>
      <c r="B407" s="56" t="s">
        <v>6878</v>
      </c>
      <c r="C407" s="57" t="s">
        <v>6879</v>
      </c>
      <c r="D407" s="58">
        <v>9.725670398E9</v>
      </c>
      <c r="E407" s="56" t="s">
        <v>368</v>
      </c>
      <c r="F407" s="56" t="s">
        <v>1553</v>
      </c>
      <c r="G407" s="56" t="s">
        <v>410</v>
      </c>
      <c r="H407" s="62" t="s">
        <v>2286</v>
      </c>
      <c r="I407" s="59"/>
      <c r="J407" s="59"/>
      <c r="K407" s="56" t="s">
        <v>364</v>
      </c>
      <c r="L407" s="56" t="s">
        <v>365</v>
      </c>
      <c r="M407" s="56" t="s">
        <v>366</v>
      </c>
      <c r="N407" s="62" t="s">
        <v>5770</v>
      </c>
      <c r="O407" s="59"/>
      <c r="P407" s="59"/>
      <c r="Q407" s="56" t="s">
        <v>4945</v>
      </c>
      <c r="R407" s="59"/>
      <c r="S407" s="56" t="s">
        <v>5722</v>
      </c>
      <c r="T407" s="61" t="s">
        <v>373</v>
      </c>
      <c r="U407" s="58" t="s">
        <v>6880</v>
      </c>
      <c r="W407" s="55" t="b">
        <f t="shared" si="1"/>
        <v>0</v>
      </c>
    </row>
    <row r="408" ht="15.0" customHeight="1">
      <c r="A408" s="56" t="s">
        <v>6881</v>
      </c>
      <c r="B408" s="56" t="s">
        <v>6882</v>
      </c>
      <c r="C408" s="57" t="s">
        <v>6883</v>
      </c>
      <c r="D408" s="58">
        <v>9.402393129E9</v>
      </c>
      <c r="E408" s="56" t="s">
        <v>368</v>
      </c>
      <c r="F408" s="56" t="s">
        <v>452</v>
      </c>
      <c r="G408" s="56" t="s">
        <v>390</v>
      </c>
      <c r="H408" s="56" t="s">
        <v>421</v>
      </c>
      <c r="I408" s="56" t="s">
        <v>2291</v>
      </c>
      <c r="J408" s="56" t="s">
        <v>459</v>
      </c>
      <c r="K408" s="56" t="s">
        <v>364</v>
      </c>
      <c r="L408" s="56" t="s">
        <v>412</v>
      </c>
      <c r="M408" s="56" t="s">
        <v>366</v>
      </c>
      <c r="N408" s="56" t="s">
        <v>5716</v>
      </c>
      <c r="O408" s="58">
        <v>2.0</v>
      </c>
      <c r="P408" s="59"/>
      <c r="Q408" s="56" t="s">
        <v>1335</v>
      </c>
      <c r="R408" s="59"/>
      <c r="S408" s="56" t="s">
        <v>5717</v>
      </c>
      <c r="T408" s="61" t="s">
        <v>373</v>
      </c>
      <c r="U408" s="58" t="s">
        <v>6884</v>
      </c>
      <c r="W408" s="55" t="b">
        <f t="shared" si="1"/>
        <v>0</v>
      </c>
    </row>
    <row r="409" ht="15.0" customHeight="1">
      <c r="A409" s="56" t="s">
        <v>6885</v>
      </c>
      <c r="B409" s="56" t="s">
        <v>6886</v>
      </c>
      <c r="C409" s="57" t="s">
        <v>6887</v>
      </c>
      <c r="D409" s="56" t="s">
        <v>6888</v>
      </c>
      <c r="E409" s="56" t="s">
        <v>368</v>
      </c>
      <c r="F409" s="56" t="s">
        <v>421</v>
      </c>
      <c r="G409" s="56" t="s">
        <v>443</v>
      </c>
      <c r="H409" s="56" t="s">
        <v>410</v>
      </c>
      <c r="I409" s="56" t="s">
        <v>452</v>
      </c>
      <c r="J409" s="56" t="s">
        <v>390</v>
      </c>
      <c r="K409" s="56" t="s">
        <v>379</v>
      </c>
      <c r="L409" s="56" t="s">
        <v>365</v>
      </c>
      <c r="M409" s="56" t="s">
        <v>413</v>
      </c>
      <c r="N409" s="56" t="s">
        <v>381</v>
      </c>
      <c r="O409" s="58">
        <v>1.0</v>
      </c>
      <c r="P409" s="58">
        <v>1.0</v>
      </c>
      <c r="Q409" s="56" t="s">
        <v>1995</v>
      </c>
      <c r="R409" s="59"/>
      <c r="S409" s="56" t="s">
        <v>5733</v>
      </c>
      <c r="T409" s="61" t="s">
        <v>373</v>
      </c>
      <c r="U409" s="58" t="s">
        <v>6889</v>
      </c>
      <c r="W409" s="55" t="b">
        <f t="shared" si="1"/>
        <v>0</v>
      </c>
    </row>
    <row r="410" ht="15.0" customHeight="1">
      <c r="A410" s="56" t="s">
        <v>6890</v>
      </c>
      <c r="B410" s="56" t="s">
        <v>6891</v>
      </c>
      <c r="C410" s="57" t="s">
        <v>6892</v>
      </c>
      <c r="D410" s="58">
        <v>8.448504087E9</v>
      </c>
      <c r="E410" s="56" t="s">
        <v>368</v>
      </c>
      <c r="F410" s="56" t="s">
        <v>410</v>
      </c>
      <c r="G410" s="56" t="s">
        <v>390</v>
      </c>
      <c r="H410" s="62" t="s">
        <v>1598</v>
      </c>
      <c r="I410" s="59"/>
      <c r="J410" s="59"/>
      <c r="K410" s="56" t="s">
        <v>364</v>
      </c>
      <c r="L410" s="56" t="s">
        <v>412</v>
      </c>
      <c r="M410" s="56" t="s">
        <v>413</v>
      </c>
      <c r="N410" s="62" t="s">
        <v>5720</v>
      </c>
      <c r="O410" s="59"/>
      <c r="P410" s="59"/>
      <c r="Q410" s="56" t="s">
        <v>907</v>
      </c>
      <c r="R410" s="59"/>
      <c r="S410" s="56" t="s">
        <v>5722</v>
      </c>
      <c r="T410" s="61" t="s">
        <v>394</v>
      </c>
      <c r="U410" s="58" t="s">
        <v>6893</v>
      </c>
      <c r="W410" s="55" t="b">
        <f t="shared" si="1"/>
        <v>0</v>
      </c>
    </row>
    <row r="411" ht="15.0" customHeight="1">
      <c r="A411" s="56" t="s">
        <v>3888</v>
      </c>
      <c r="B411" s="56" t="s">
        <v>3889</v>
      </c>
      <c r="C411" s="57" t="s">
        <v>6894</v>
      </c>
      <c r="D411" s="56" t="s">
        <v>3891</v>
      </c>
      <c r="E411" s="56" t="s">
        <v>368</v>
      </c>
      <c r="F411" s="56" t="s">
        <v>390</v>
      </c>
      <c r="G411" s="62" t="s">
        <v>410</v>
      </c>
      <c r="H411" s="59"/>
      <c r="I411" s="59"/>
      <c r="J411" s="59"/>
      <c r="K411" s="56" t="s">
        <v>364</v>
      </c>
      <c r="L411" s="56" t="s">
        <v>365</v>
      </c>
      <c r="M411" s="56" t="s">
        <v>366</v>
      </c>
      <c r="N411" s="56" t="s">
        <v>5724</v>
      </c>
      <c r="O411" s="58">
        <v>3.0</v>
      </c>
      <c r="P411" s="59"/>
      <c r="Q411" s="56" t="s">
        <v>4450</v>
      </c>
      <c r="R411" s="59"/>
      <c r="S411" s="56" t="s">
        <v>5717</v>
      </c>
      <c r="T411" s="61" t="s">
        <v>373</v>
      </c>
      <c r="U411" s="58" t="s">
        <v>6895</v>
      </c>
      <c r="W411" s="55" t="b">
        <f t="shared" si="1"/>
        <v>0</v>
      </c>
    </row>
    <row r="412" ht="15.0" customHeight="1">
      <c r="A412" s="56" t="s">
        <v>6896</v>
      </c>
      <c r="B412" s="56" t="s">
        <v>6897</v>
      </c>
      <c r="C412" s="57" t="s">
        <v>6898</v>
      </c>
      <c r="D412" s="56" t="s">
        <v>6899</v>
      </c>
      <c r="E412" s="56" t="s">
        <v>368</v>
      </c>
      <c r="F412" s="56" t="s">
        <v>634</v>
      </c>
      <c r="G412" s="56" t="s">
        <v>452</v>
      </c>
      <c r="H412" s="56" t="s">
        <v>390</v>
      </c>
      <c r="I412" s="56" t="s">
        <v>421</v>
      </c>
      <c r="J412" s="56" t="s">
        <v>2291</v>
      </c>
      <c r="K412" s="56" t="s">
        <v>379</v>
      </c>
      <c r="L412" s="56" t="s">
        <v>412</v>
      </c>
      <c r="M412" s="56" t="s">
        <v>366</v>
      </c>
      <c r="N412" s="62" t="s">
        <v>5716</v>
      </c>
      <c r="O412" s="59"/>
      <c r="P412" s="59"/>
      <c r="Q412" s="56" t="s">
        <v>3439</v>
      </c>
      <c r="R412" s="59"/>
      <c r="S412" s="56" t="s">
        <v>5717</v>
      </c>
      <c r="T412" s="61" t="s">
        <v>373</v>
      </c>
      <c r="U412" s="58" t="s">
        <v>6900</v>
      </c>
      <c r="W412" s="55" t="b">
        <f t="shared" si="1"/>
        <v>0</v>
      </c>
    </row>
    <row r="413" ht="15.0" customHeight="1">
      <c r="A413" s="56" t="s">
        <v>6901</v>
      </c>
      <c r="B413" s="56" t="s">
        <v>3895</v>
      </c>
      <c r="C413" s="57" t="s">
        <v>3896</v>
      </c>
      <c r="D413" s="56" t="s">
        <v>3897</v>
      </c>
      <c r="E413" s="56" t="s">
        <v>368</v>
      </c>
      <c r="F413" s="56" t="s">
        <v>452</v>
      </c>
      <c r="G413" s="56" t="s">
        <v>2291</v>
      </c>
      <c r="H413" s="56" t="s">
        <v>2286</v>
      </c>
      <c r="I413" s="56" t="s">
        <v>390</v>
      </c>
      <c r="J413" s="56" t="s">
        <v>634</v>
      </c>
      <c r="K413" s="56" t="s">
        <v>379</v>
      </c>
      <c r="L413" s="56" t="s">
        <v>365</v>
      </c>
      <c r="M413" s="56" t="s">
        <v>366</v>
      </c>
      <c r="N413" s="56" t="s">
        <v>5724</v>
      </c>
      <c r="O413" s="58">
        <v>1.0</v>
      </c>
      <c r="P413" s="59"/>
      <c r="Q413" s="56" t="s">
        <v>6902</v>
      </c>
      <c r="R413" s="59"/>
      <c r="S413" s="56" t="s">
        <v>5717</v>
      </c>
      <c r="T413" s="61" t="s">
        <v>373</v>
      </c>
      <c r="U413" s="58" t="s">
        <v>6562</v>
      </c>
      <c r="W413" s="55" t="b">
        <f t="shared" si="1"/>
        <v>0</v>
      </c>
    </row>
    <row r="414" ht="15.0" customHeight="1">
      <c r="A414" s="56" t="s">
        <v>221</v>
      </c>
      <c r="B414" s="56" t="s">
        <v>3905</v>
      </c>
      <c r="C414" s="57" t="s">
        <v>3906</v>
      </c>
      <c r="D414" s="56" t="s">
        <v>5350</v>
      </c>
      <c r="E414" s="56" t="s">
        <v>368</v>
      </c>
      <c r="F414" s="56" t="s">
        <v>2286</v>
      </c>
      <c r="G414" s="56" t="s">
        <v>1789</v>
      </c>
      <c r="H414" s="56" t="s">
        <v>5719</v>
      </c>
      <c r="I414" s="56" t="s">
        <v>410</v>
      </c>
      <c r="J414" s="56" t="s">
        <v>452</v>
      </c>
      <c r="K414" s="56" t="s">
        <v>399</v>
      </c>
      <c r="L414" s="56" t="s">
        <v>667</v>
      </c>
      <c r="M414" s="56" t="s">
        <v>869</v>
      </c>
      <c r="N414" s="56" t="s">
        <v>5720</v>
      </c>
      <c r="O414" s="58">
        <v>0.0</v>
      </c>
      <c r="P414" s="58">
        <v>0.0</v>
      </c>
      <c r="Q414" s="56" t="s">
        <v>2965</v>
      </c>
      <c r="R414" s="59"/>
      <c r="S414" s="56" t="s">
        <v>5722</v>
      </c>
      <c r="T414" s="61" t="s">
        <v>373</v>
      </c>
      <c r="U414" s="58" t="s">
        <v>6903</v>
      </c>
      <c r="W414" s="55" t="b">
        <f t="shared" si="1"/>
        <v>0</v>
      </c>
    </row>
    <row r="415" ht="15.0" customHeight="1">
      <c r="A415" s="56" t="s">
        <v>6904</v>
      </c>
      <c r="B415" s="56" t="s">
        <v>2265</v>
      </c>
      <c r="C415" s="57" t="s">
        <v>5353</v>
      </c>
      <c r="D415" s="58">
        <v>2.087218687E9</v>
      </c>
      <c r="E415" s="56" t="s">
        <v>368</v>
      </c>
      <c r="F415" s="56" t="s">
        <v>2286</v>
      </c>
      <c r="G415" s="56" t="s">
        <v>452</v>
      </c>
      <c r="H415" s="56" t="s">
        <v>390</v>
      </c>
      <c r="I415" s="62" t="s">
        <v>1789</v>
      </c>
      <c r="J415" s="59"/>
      <c r="K415" s="56" t="s">
        <v>364</v>
      </c>
      <c r="L415" s="56" t="s">
        <v>365</v>
      </c>
      <c r="M415" s="56" t="s">
        <v>413</v>
      </c>
      <c r="N415" s="62" t="s">
        <v>5770</v>
      </c>
      <c r="O415" s="59"/>
      <c r="P415" s="59"/>
      <c r="Q415" s="56" t="s">
        <v>1849</v>
      </c>
      <c r="R415" s="59"/>
      <c r="S415" s="56" t="s">
        <v>5722</v>
      </c>
      <c r="T415" s="61" t="s">
        <v>373</v>
      </c>
      <c r="U415" s="58" t="s">
        <v>6905</v>
      </c>
      <c r="W415" s="55" t="b">
        <f t="shared" si="1"/>
        <v>0</v>
      </c>
    </row>
    <row r="416" ht="15.0" customHeight="1">
      <c r="A416" s="56" t="s">
        <v>223</v>
      </c>
      <c r="B416" s="56" t="s">
        <v>6906</v>
      </c>
      <c r="C416" s="57" t="s">
        <v>6907</v>
      </c>
      <c r="D416" s="58">
        <v>3.03827604E9</v>
      </c>
      <c r="E416" s="56" t="s">
        <v>368</v>
      </c>
      <c r="F416" s="56" t="s">
        <v>2286</v>
      </c>
      <c r="G416" s="56" t="s">
        <v>452</v>
      </c>
      <c r="H416" s="56" t="s">
        <v>390</v>
      </c>
      <c r="I416" s="56" t="s">
        <v>2291</v>
      </c>
      <c r="J416" s="56" t="s">
        <v>1789</v>
      </c>
      <c r="K416" s="56" t="s">
        <v>364</v>
      </c>
      <c r="L416" s="56" t="s">
        <v>365</v>
      </c>
      <c r="M416" s="56" t="s">
        <v>413</v>
      </c>
      <c r="N416" s="56" t="s">
        <v>5720</v>
      </c>
      <c r="O416" s="58">
        <v>1.0</v>
      </c>
      <c r="P416" s="59"/>
      <c r="Q416" s="56" t="s">
        <v>5270</v>
      </c>
      <c r="R416" s="59"/>
      <c r="S416" s="56" t="s">
        <v>5722</v>
      </c>
      <c r="T416" s="61" t="s">
        <v>373</v>
      </c>
      <c r="U416" s="58" t="s">
        <v>6908</v>
      </c>
      <c r="W416" s="55" t="b">
        <f t="shared" si="1"/>
        <v>0</v>
      </c>
    </row>
    <row r="417" ht="15.0" customHeight="1">
      <c r="A417" s="56" t="s">
        <v>6909</v>
      </c>
      <c r="B417" s="56" t="s">
        <v>6910</v>
      </c>
      <c r="C417" s="57" t="s">
        <v>6911</v>
      </c>
      <c r="D417" s="56" t="s">
        <v>6912</v>
      </c>
      <c r="E417" s="56" t="s">
        <v>368</v>
      </c>
      <c r="F417" s="56" t="s">
        <v>1553</v>
      </c>
      <c r="G417" s="56" t="s">
        <v>390</v>
      </c>
      <c r="H417" s="56" t="s">
        <v>452</v>
      </c>
      <c r="I417" s="62" t="s">
        <v>362</v>
      </c>
      <c r="J417" s="59"/>
      <c r="K417" s="56" t="s">
        <v>364</v>
      </c>
      <c r="L417" s="56" t="s">
        <v>365</v>
      </c>
      <c r="M417" s="56" t="s">
        <v>869</v>
      </c>
      <c r="N417" s="62" t="s">
        <v>5798</v>
      </c>
      <c r="O417" s="59"/>
      <c r="P417" s="59"/>
      <c r="Q417" s="56" t="s">
        <v>6913</v>
      </c>
      <c r="R417" s="59"/>
      <c r="S417" s="56" t="s">
        <v>5722</v>
      </c>
      <c r="T417" s="61" t="s">
        <v>373</v>
      </c>
      <c r="U417" s="58" t="s">
        <v>6914</v>
      </c>
      <c r="W417" s="55" t="b">
        <f t="shared" si="1"/>
        <v>0</v>
      </c>
    </row>
    <row r="418" ht="15.0" customHeight="1">
      <c r="A418" s="56" t="s">
        <v>3922</v>
      </c>
      <c r="B418" s="56" t="s">
        <v>3923</v>
      </c>
      <c r="C418" s="57" t="s">
        <v>3924</v>
      </c>
      <c r="D418" s="58">
        <v>7.342331696E9</v>
      </c>
      <c r="E418" s="56" t="s">
        <v>368</v>
      </c>
      <c r="F418" s="56" t="s">
        <v>452</v>
      </c>
      <c r="G418" s="56" t="s">
        <v>5715</v>
      </c>
      <c r="H418" s="56" t="s">
        <v>390</v>
      </c>
      <c r="I418" s="62" t="s">
        <v>2291</v>
      </c>
      <c r="J418" s="59"/>
      <c r="K418" s="56" t="s">
        <v>399</v>
      </c>
      <c r="L418" s="56" t="s">
        <v>365</v>
      </c>
      <c r="M418" s="56" t="s">
        <v>513</v>
      </c>
      <c r="N418" s="56" t="s">
        <v>5716</v>
      </c>
      <c r="O418" s="58">
        <v>2.0</v>
      </c>
      <c r="P418" s="59"/>
      <c r="Q418" s="56" t="s">
        <v>2273</v>
      </c>
      <c r="R418" s="59"/>
      <c r="S418" s="56" t="s">
        <v>5717</v>
      </c>
      <c r="T418" s="61" t="s">
        <v>373</v>
      </c>
      <c r="U418" s="58" t="s">
        <v>6915</v>
      </c>
      <c r="W418" s="55" t="b">
        <f t="shared" si="1"/>
        <v>1</v>
      </c>
    </row>
    <row r="419" ht="15.0" customHeight="1">
      <c r="A419" s="56" t="s">
        <v>224</v>
      </c>
      <c r="B419" s="56" t="s">
        <v>6916</v>
      </c>
      <c r="C419" s="57" t="s">
        <v>6917</v>
      </c>
      <c r="D419" s="58">
        <v>9.13433068E9</v>
      </c>
      <c r="E419" s="56" t="s">
        <v>368</v>
      </c>
      <c r="F419" s="56" t="s">
        <v>390</v>
      </c>
      <c r="G419" s="56" t="s">
        <v>2286</v>
      </c>
      <c r="H419" s="56" t="s">
        <v>452</v>
      </c>
      <c r="I419" s="56" t="s">
        <v>421</v>
      </c>
      <c r="J419" s="56" t="s">
        <v>675</v>
      </c>
      <c r="K419" s="56" t="s">
        <v>364</v>
      </c>
      <c r="L419" s="56" t="s">
        <v>365</v>
      </c>
      <c r="M419" s="56" t="s">
        <v>366</v>
      </c>
      <c r="N419" s="62" t="s">
        <v>5946</v>
      </c>
      <c r="O419" s="59"/>
      <c r="P419" s="59"/>
      <c r="Q419" s="56" t="s">
        <v>4046</v>
      </c>
      <c r="R419" s="59"/>
      <c r="S419" s="56" t="s">
        <v>5717</v>
      </c>
      <c r="T419" s="61" t="s">
        <v>373</v>
      </c>
      <c r="U419" s="58" t="s">
        <v>6169</v>
      </c>
      <c r="W419" s="55" t="b">
        <f t="shared" si="1"/>
        <v>0</v>
      </c>
    </row>
    <row r="420" ht="15.0" customHeight="1">
      <c r="A420" s="56" t="s">
        <v>6918</v>
      </c>
      <c r="B420" s="56" t="s">
        <v>6919</v>
      </c>
      <c r="C420" s="57" t="s">
        <v>6920</v>
      </c>
      <c r="D420" s="58">
        <v>9.723326558E9</v>
      </c>
      <c r="E420" s="56" t="s">
        <v>368</v>
      </c>
      <c r="F420" s="56" t="s">
        <v>443</v>
      </c>
      <c r="G420" s="56" t="s">
        <v>452</v>
      </c>
      <c r="H420" s="56" t="s">
        <v>2931</v>
      </c>
      <c r="I420" s="62" t="s">
        <v>390</v>
      </c>
      <c r="J420" s="59"/>
      <c r="K420" s="56" t="s">
        <v>364</v>
      </c>
      <c r="L420" s="56" t="s">
        <v>365</v>
      </c>
      <c r="M420" s="56" t="s">
        <v>366</v>
      </c>
      <c r="N420" s="56" t="s">
        <v>5716</v>
      </c>
      <c r="O420" s="58">
        <v>1.0</v>
      </c>
      <c r="P420" s="58">
        <v>1.0</v>
      </c>
      <c r="Q420" s="56" t="s">
        <v>601</v>
      </c>
      <c r="R420" s="59"/>
      <c r="S420" s="56" t="s">
        <v>5717</v>
      </c>
      <c r="T420" s="61" t="s">
        <v>373</v>
      </c>
      <c r="U420" s="58" t="s">
        <v>6921</v>
      </c>
      <c r="W420" s="55" t="b">
        <f t="shared" si="1"/>
        <v>0</v>
      </c>
    </row>
    <row r="421" ht="15.0" customHeight="1">
      <c r="A421" s="56" t="s">
        <v>225</v>
      </c>
      <c r="B421" s="56" t="s">
        <v>1775</v>
      </c>
      <c r="C421" s="57" t="s">
        <v>1776</v>
      </c>
      <c r="D421" s="56" t="s">
        <v>6922</v>
      </c>
      <c r="E421" s="56" t="s">
        <v>368</v>
      </c>
      <c r="F421" s="56" t="s">
        <v>2286</v>
      </c>
      <c r="G421" s="62" t="s">
        <v>452</v>
      </c>
      <c r="H421" s="59"/>
      <c r="I421" s="59"/>
      <c r="J421" s="59"/>
      <c r="K421" s="56" t="s">
        <v>364</v>
      </c>
      <c r="L421" s="56" t="s">
        <v>380</v>
      </c>
      <c r="M421" s="56" t="s">
        <v>413</v>
      </c>
      <c r="N421" s="62" t="s">
        <v>483</v>
      </c>
      <c r="O421" s="59"/>
      <c r="P421" s="59"/>
      <c r="Q421" s="56" t="s">
        <v>857</v>
      </c>
      <c r="R421" s="59"/>
      <c r="S421" s="56" t="s">
        <v>5733</v>
      </c>
      <c r="T421" s="61" t="s">
        <v>373</v>
      </c>
      <c r="U421" s="58" t="s">
        <v>5806</v>
      </c>
      <c r="W421" s="55" t="b">
        <f t="shared" si="1"/>
        <v>0</v>
      </c>
    </row>
    <row r="422" ht="15.0" customHeight="1">
      <c r="A422" s="56" t="s">
        <v>6923</v>
      </c>
      <c r="B422" s="56" t="s">
        <v>6924</v>
      </c>
      <c r="C422" s="57" t="s">
        <v>6925</v>
      </c>
      <c r="D422" s="56" t="s">
        <v>6926</v>
      </c>
      <c r="E422" s="56" t="s">
        <v>368</v>
      </c>
      <c r="F422" s="56" t="s">
        <v>2286</v>
      </c>
      <c r="G422" s="56" t="s">
        <v>675</v>
      </c>
      <c r="H422" s="62" t="s">
        <v>390</v>
      </c>
      <c r="I422" s="59"/>
      <c r="J422" s="59"/>
      <c r="K422" s="56" t="s">
        <v>379</v>
      </c>
      <c r="L422" s="56" t="s">
        <v>380</v>
      </c>
      <c r="M422" s="56" t="s">
        <v>366</v>
      </c>
      <c r="N422" s="62" t="s">
        <v>5720</v>
      </c>
      <c r="O422" s="59"/>
      <c r="P422" s="59"/>
      <c r="Q422" s="56" t="s">
        <v>1707</v>
      </c>
      <c r="R422" s="59"/>
      <c r="S422" s="56" t="s">
        <v>5722</v>
      </c>
      <c r="T422" s="61" t="s">
        <v>373</v>
      </c>
      <c r="U422" s="58" t="s">
        <v>6927</v>
      </c>
      <c r="W422" s="55" t="b">
        <f t="shared" si="1"/>
        <v>0</v>
      </c>
    </row>
    <row r="423" ht="15.0" customHeight="1">
      <c r="A423" s="56" t="s">
        <v>6928</v>
      </c>
      <c r="B423" s="56" t="s">
        <v>6929</v>
      </c>
      <c r="C423" s="57" t="s">
        <v>6930</v>
      </c>
      <c r="D423" s="56" t="s">
        <v>6931</v>
      </c>
      <c r="E423" s="56" t="s">
        <v>368</v>
      </c>
      <c r="F423" s="56" t="s">
        <v>2291</v>
      </c>
      <c r="G423" s="56" t="s">
        <v>362</v>
      </c>
      <c r="H423" s="56" t="s">
        <v>390</v>
      </c>
      <c r="I423" s="56" t="s">
        <v>5715</v>
      </c>
      <c r="J423" s="56" t="s">
        <v>421</v>
      </c>
      <c r="K423" s="56" t="s">
        <v>364</v>
      </c>
      <c r="L423" s="56" t="s">
        <v>1791</v>
      </c>
      <c r="M423" s="56" t="s">
        <v>366</v>
      </c>
      <c r="N423" s="62" t="s">
        <v>5716</v>
      </c>
      <c r="O423" s="59"/>
      <c r="P423" s="59"/>
      <c r="Q423" s="56" t="s">
        <v>3783</v>
      </c>
      <c r="R423" s="59"/>
      <c r="S423" s="56" t="s">
        <v>5717</v>
      </c>
      <c r="T423" s="61" t="s">
        <v>394</v>
      </c>
      <c r="U423" s="58" t="s">
        <v>6932</v>
      </c>
      <c r="W423" s="55" t="b">
        <f t="shared" si="1"/>
        <v>0</v>
      </c>
    </row>
    <row r="424" ht="15.0" customHeight="1">
      <c r="A424" s="56" t="s">
        <v>1794</v>
      </c>
      <c r="B424" s="56" t="s">
        <v>1795</v>
      </c>
      <c r="C424" s="57" t="s">
        <v>1796</v>
      </c>
      <c r="D424" s="58">
        <v>3.465830793E9</v>
      </c>
      <c r="E424" s="56" t="s">
        <v>368</v>
      </c>
      <c r="F424" s="56" t="s">
        <v>2286</v>
      </c>
      <c r="G424" s="56" t="s">
        <v>452</v>
      </c>
      <c r="H424" s="56" t="s">
        <v>1789</v>
      </c>
      <c r="I424" s="56" t="s">
        <v>634</v>
      </c>
      <c r="J424" s="56" t="s">
        <v>390</v>
      </c>
      <c r="K424" s="56" t="s">
        <v>399</v>
      </c>
      <c r="L424" s="56" t="s">
        <v>365</v>
      </c>
      <c r="M424" s="56" t="s">
        <v>413</v>
      </c>
      <c r="N424" s="62" t="s">
        <v>381</v>
      </c>
      <c r="O424" s="59"/>
      <c r="P424" s="59"/>
      <c r="Q424" s="56" t="s">
        <v>5412</v>
      </c>
      <c r="R424" s="59"/>
      <c r="S424" s="56" t="s">
        <v>5733</v>
      </c>
      <c r="T424" s="61" t="s">
        <v>373</v>
      </c>
      <c r="U424" s="58" t="s">
        <v>6933</v>
      </c>
      <c r="W424" s="55" t="b">
        <f t="shared" si="1"/>
        <v>0</v>
      </c>
    </row>
    <row r="425" ht="15.0" customHeight="1">
      <c r="A425" s="56" t="s">
        <v>227</v>
      </c>
      <c r="B425" s="56" t="s">
        <v>1800</v>
      </c>
      <c r="C425" s="57" t="s">
        <v>1801</v>
      </c>
      <c r="D425" s="58">
        <v>9.795333906E9</v>
      </c>
      <c r="E425" s="56" t="s">
        <v>368</v>
      </c>
      <c r="F425" s="56" t="s">
        <v>2286</v>
      </c>
      <c r="G425" s="62" t="s">
        <v>5719</v>
      </c>
      <c r="H425" s="59"/>
      <c r="I425" s="59"/>
      <c r="J425" s="59"/>
      <c r="K425" s="56" t="s">
        <v>379</v>
      </c>
      <c r="L425" s="56" t="s">
        <v>365</v>
      </c>
      <c r="M425" s="56" t="s">
        <v>413</v>
      </c>
      <c r="N425" s="62" t="s">
        <v>5720</v>
      </c>
      <c r="O425" s="59"/>
      <c r="P425" s="59"/>
      <c r="Q425" s="56" t="s">
        <v>3071</v>
      </c>
      <c r="R425" s="59"/>
      <c r="S425" s="56" t="s">
        <v>5722</v>
      </c>
      <c r="T425" s="61" t="s">
        <v>373</v>
      </c>
      <c r="U425" s="58" t="s">
        <v>6934</v>
      </c>
      <c r="W425" s="55" t="b">
        <f t="shared" si="1"/>
        <v>0</v>
      </c>
    </row>
    <row r="426" ht="15.0" customHeight="1">
      <c r="A426" s="56" t="s">
        <v>5383</v>
      </c>
      <c r="B426" s="56" t="s">
        <v>5384</v>
      </c>
      <c r="C426" s="57" t="s">
        <v>5385</v>
      </c>
      <c r="D426" s="58">
        <v>7.1346196E9</v>
      </c>
      <c r="E426" s="56" t="s">
        <v>368</v>
      </c>
      <c r="F426" s="62" t="s">
        <v>2286</v>
      </c>
      <c r="G426" s="59"/>
      <c r="H426" s="59"/>
      <c r="I426" s="59"/>
      <c r="J426" s="59"/>
      <c r="K426" s="56" t="s">
        <v>399</v>
      </c>
      <c r="L426" s="56" t="s">
        <v>365</v>
      </c>
      <c r="M426" s="56" t="s">
        <v>513</v>
      </c>
      <c r="N426" s="62" t="s">
        <v>5720</v>
      </c>
      <c r="O426" s="59"/>
      <c r="P426" s="59"/>
      <c r="Q426" s="56" t="s">
        <v>3783</v>
      </c>
      <c r="R426" s="59"/>
      <c r="S426" s="56" t="s">
        <v>5722</v>
      </c>
      <c r="T426" s="61" t="s">
        <v>394</v>
      </c>
      <c r="U426" s="58" t="s">
        <v>6935</v>
      </c>
      <c r="W426" s="55" t="b">
        <f t="shared" si="1"/>
        <v>1</v>
      </c>
    </row>
    <row r="427" ht="15.0" customHeight="1">
      <c r="A427" s="56" t="s">
        <v>3970</v>
      </c>
      <c r="B427" s="56" t="s">
        <v>3971</v>
      </c>
      <c r="C427" s="57" t="s">
        <v>3972</v>
      </c>
      <c r="D427" s="58">
        <v>4.79388771E9</v>
      </c>
      <c r="E427" s="56" t="s">
        <v>368</v>
      </c>
      <c r="F427" s="56" t="s">
        <v>390</v>
      </c>
      <c r="G427" s="56" t="s">
        <v>2291</v>
      </c>
      <c r="H427" s="62" t="s">
        <v>421</v>
      </c>
      <c r="I427" s="59"/>
      <c r="J427" s="56" t="s">
        <v>452</v>
      </c>
      <c r="K427" s="56" t="s">
        <v>399</v>
      </c>
      <c r="L427" s="56" t="s">
        <v>520</v>
      </c>
      <c r="M427" s="56" t="s">
        <v>413</v>
      </c>
      <c r="N427" s="62" t="s">
        <v>5716</v>
      </c>
      <c r="O427" s="59"/>
      <c r="P427" s="59"/>
      <c r="Q427" s="56" t="s">
        <v>1748</v>
      </c>
      <c r="R427" s="59"/>
      <c r="S427" s="56" t="s">
        <v>5717</v>
      </c>
      <c r="T427" s="61" t="s">
        <v>373</v>
      </c>
      <c r="U427" s="58" t="s">
        <v>6936</v>
      </c>
      <c r="W427" s="55" t="b">
        <f t="shared" si="1"/>
        <v>0</v>
      </c>
    </row>
    <row r="428" ht="15.0" customHeight="1">
      <c r="A428" s="56" t="s">
        <v>6937</v>
      </c>
      <c r="B428" s="56" t="s">
        <v>6938</v>
      </c>
      <c r="C428" s="57" t="s">
        <v>6939</v>
      </c>
      <c r="D428" s="56" t="s">
        <v>6940</v>
      </c>
      <c r="E428" s="56" t="s">
        <v>368</v>
      </c>
      <c r="F428" s="56" t="s">
        <v>2286</v>
      </c>
      <c r="G428" s="62" t="s">
        <v>1789</v>
      </c>
      <c r="H428" s="59"/>
      <c r="I428" s="59"/>
      <c r="J428" s="59"/>
      <c r="K428" s="56" t="s">
        <v>399</v>
      </c>
      <c r="L428" s="56" t="s">
        <v>365</v>
      </c>
      <c r="M428" s="56" t="s">
        <v>513</v>
      </c>
      <c r="N428" s="62" t="s">
        <v>5716</v>
      </c>
      <c r="O428" s="59"/>
      <c r="P428" s="59"/>
      <c r="Q428" s="56" t="s">
        <v>1295</v>
      </c>
      <c r="R428" s="59"/>
      <c r="S428" s="56" t="s">
        <v>5717</v>
      </c>
      <c r="T428" s="61" t="s">
        <v>373</v>
      </c>
      <c r="U428" s="58" t="s">
        <v>6941</v>
      </c>
      <c r="W428" s="55" t="b">
        <f t="shared" si="1"/>
        <v>1</v>
      </c>
    </row>
    <row r="429" ht="15.0" customHeight="1">
      <c r="A429" s="56" t="s">
        <v>3980</v>
      </c>
      <c r="B429" s="56" t="s">
        <v>6942</v>
      </c>
      <c r="C429" s="57" t="s">
        <v>6943</v>
      </c>
      <c r="D429" s="56" t="s">
        <v>6944</v>
      </c>
      <c r="E429" s="56" t="s">
        <v>368</v>
      </c>
      <c r="F429" s="56" t="s">
        <v>2286</v>
      </c>
      <c r="G429" s="56" t="s">
        <v>390</v>
      </c>
      <c r="H429" s="62" t="s">
        <v>1789</v>
      </c>
      <c r="I429" s="59"/>
      <c r="J429" s="59"/>
      <c r="K429" s="56" t="s">
        <v>379</v>
      </c>
      <c r="L429" s="56" t="s">
        <v>365</v>
      </c>
      <c r="M429" s="56" t="s">
        <v>413</v>
      </c>
      <c r="N429" s="56" t="s">
        <v>5720</v>
      </c>
      <c r="O429" s="58">
        <v>0.0</v>
      </c>
      <c r="P429" s="58">
        <v>0.0</v>
      </c>
      <c r="Q429" s="56" t="s">
        <v>1536</v>
      </c>
      <c r="R429" s="59"/>
      <c r="S429" s="56" t="s">
        <v>5722</v>
      </c>
      <c r="T429" s="61" t="s">
        <v>394</v>
      </c>
      <c r="U429" s="58" t="s">
        <v>6945</v>
      </c>
      <c r="W429" s="55" t="b">
        <f t="shared" si="1"/>
        <v>0</v>
      </c>
    </row>
    <row r="430" ht="15.0" customHeight="1">
      <c r="A430" s="56" t="s">
        <v>3984</v>
      </c>
      <c r="B430" s="56" t="s">
        <v>1313</v>
      </c>
      <c r="C430" s="57" t="s">
        <v>3985</v>
      </c>
      <c r="D430" s="56" t="s">
        <v>3378</v>
      </c>
      <c r="E430" s="56" t="s">
        <v>368</v>
      </c>
      <c r="F430" s="56" t="s">
        <v>452</v>
      </c>
      <c r="G430" s="56" t="s">
        <v>390</v>
      </c>
      <c r="H430" s="56" t="s">
        <v>362</v>
      </c>
      <c r="I430" s="56" t="s">
        <v>2291</v>
      </c>
      <c r="J430" s="56" t="s">
        <v>3730</v>
      </c>
      <c r="K430" s="56" t="s">
        <v>364</v>
      </c>
      <c r="L430" s="56" t="s">
        <v>380</v>
      </c>
      <c r="M430" s="56" t="s">
        <v>413</v>
      </c>
      <c r="N430" s="62" t="s">
        <v>5716</v>
      </c>
      <c r="O430" s="59"/>
      <c r="P430" s="59"/>
      <c r="Q430" s="56" t="s">
        <v>4084</v>
      </c>
      <c r="R430" s="59"/>
      <c r="S430" s="56" t="s">
        <v>5717</v>
      </c>
      <c r="T430" s="61" t="s">
        <v>373</v>
      </c>
      <c r="U430" s="58" t="s">
        <v>6946</v>
      </c>
      <c r="W430" s="55" t="b">
        <f t="shared" si="1"/>
        <v>0</v>
      </c>
    </row>
    <row r="431" ht="15.0" customHeight="1">
      <c r="A431" s="56" t="s">
        <v>6947</v>
      </c>
      <c r="B431" s="56" t="s">
        <v>6948</v>
      </c>
      <c r="C431" s="57" t="s">
        <v>6949</v>
      </c>
      <c r="D431" s="56" t="s">
        <v>6950</v>
      </c>
      <c r="E431" s="56" t="s">
        <v>368</v>
      </c>
      <c r="F431" s="62" t="s">
        <v>2286</v>
      </c>
      <c r="G431" s="59"/>
      <c r="H431" s="59"/>
      <c r="I431" s="59"/>
      <c r="J431" s="59"/>
      <c r="K431" s="56" t="s">
        <v>364</v>
      </c>
      <c r="L431" s="56" t="s">
        <v>365</v>
      </c>
      <c r="M431" s="56" t="s">
        <v>413</v>
      </c>
      <c r="N431" s="62" t="s">
        <v>381</v>
      </c>
      <c r="O431" s="59"/>
      <c r="P431" s="59"/>
      <c r="Q431" s="59"/>
      <c r="R431" s="59"/>
      <c r="S431" s="56" t="s">
        <v>5733</v>
      </c>
      <c r="T431" s="61" t="s">
        <v>394</v>
      </c>
      <c r="U431" s="58" t="s">
        <v>5726</v>
      </c>
      <c r="W431" s="55" t="b">
        <f t="shared" si="1"/>
        <v>0</v>
      </c>
    </row>
    <row r="432" ht="15.0" customHeight="1">
      <c r="A432" s="56" t="s">
        <v>6951</v>
      </c>
      <c r="B432" s="56" t="s">
        <v>5397</v>
      </c>
      <c r="C432" s="57" t="s">
        <v>5398</v>
      </c>
      <c r="D432" s="56" t="s">
        <v>6952</v>
      </c>
      <c r="E432" s="56" t="s">
        <v>368</v>
      </c>
      <c r="F432" s="56" t="s">
        <v>390</v>
      </c>
      <c r="G432" s="56" t="s">
        <v>2286</v>
      </c>
      <c r="H432" s="62" t="s">
        <v>1553</v>
      </c>
      <c r="I432" s="59"/>
      <c r="J432" s="59"/>
      <c r="K432" s="56" t="s">
        <v>364</v>
      </c>
      <c r="L432" s="56" t="s">
        <v>365</v>
      </c>
      <c r="M432" s="56" t="s">
        <v>366</v>
      </c>
      <c r="N432" s="56" t="s">
        <v>5720</v>
      </c>
      <c r="O432" s="58">
        <v>0.0</v>
      </c>
      <c r="P432" s="59"/>
      <c r="Q432" s="56" t="s">
        <v>491</v>
      </c>
      <c r="R432" s="59"/>
      <c r="S432" s="56" t="s">
        <v>5722</v>
      </c>
      <c r="T432" s="61" t="s">
        <v>373</v>
      </c>
      <c r="U432" s="58" t="s">
        <v>6953</v>
      </c>
      <c r="W432" s="55" t="b">
        <f t="shared" si="1"/>
        <v>0</v>
      </c>
    </row>
    <row r="433" ht="15.0" customHeight="1">
      <c r="A433" s="56" t="s">
        <v>4000</v>
      </c>
      <c r="B433" s="56" t="s">
        <v>4001</v>
      </c>
      <c r="C433" s="57" t="s">
        <v>4002</v>
      </c>
      <c r="D433" s="56" t="s">
        <v>4003</v>
      </c>
      <c r="E433" s="56" t="s">
        <v>368</v>
      </c>
      <c r="F433" s="62" t="s">
        <v>452</v>
      </c>
      <c r="G433" s="59"/>
      <c r="H433" s="59"/>
      <c r="I433" s="59"/>
      <c r="J433" s="59"/>
      <c r="K433" s="56" t="s">
        <v>364</v>
      </c>
      <c r="L433" s="56" t="s">
        <v>365</v>
      </c>
      <c r="M433" s="56" t="s">
        <v>366</v>
      </c>
      <c r="N433" s="62" t="s">
        <v>5720</v>
      </c>
      <c r="O433" s="59"/>
      <c r="P433" s="59"/>
      <c r="Q433" s="56" t="s">
        <v>583</v>
      </c>
      <c r="R433" s="59"/>
      <c r="S433" s="56" t="s">
        <v>5722</v>
      </c>
      <c r="T433" s="61" t="s">
        <v>373</v>
      </c>
      <c r="U433" s="58" t="s">
        <v>6954</v>
      </c>
      <c r="W433" s="55" t="b">
        <f t="shared" si="1"/>
        <v>0</v>
      </c>
    </row>
    <row r="434" ht="15.0" customHeight="1">
      <c r="A434" s="56" t="s">
        <v>5403</v>
      </c>
      <c r="B434" s="56" t="s">
        <v>5404</v>
      </c>
      <c r="C434" s="57" t="s">
        <v>5405</v>
      </c>
      <c r="D434" s="56" t="s">
        <v>5406</v>
      </c>
      <c r="E434" s="56" t="s">
        <v>368</v>
      </c>
      <c r="F434" s="56" t="s">
        <v>1789</v>
      </c>
      <c r="G434" s="56" t="s">
        <v>2286</v>
      </c>
      <c r="H434" s="56" t="s">
        <v>1553</v>
      </c>
      <c r="I434" s="56" t="s">
        <v>410</v>
      </c>
      <c r="J434" s="56" t="s">
        <v>390</v>
      </c>
      <c r="K434" s="56" t="s">
        <v>364</v>
      </c>
      <c r="L434" s="56" t="s">
        <v>412</v>
      </c>
      <c r="M434" s="56" t="s">
        <v>413</v>
      </c>
      <c r="N434" s="62" t="s">
        <v>5716</v>
      </c>
      <c r="O434" s="59"/>
      <c r="P434" s="59"/>
      <c r="Q434" s="56" t="s">
        <v>831</v>
      </c>
      <c r="R434" s="59"/>
      <c r="S434" s="56" t="s">
        <v>5717</v>
      </c>
      <c r="T434" s="61" t="s">
        <v>373</v>
      </c>
      <c r="U434" s="58" t="s">
        <v>6955</v>
      </c>
      <c r="W434" s="55" t="b">
        <f t="shared" si="1"/>
        <v>0</v>
      </c>
    </row>
    <row r="435" ht="15.0" customHeight="1">
      <c r="A435" s="56" t="s">
        <v>230</v>
      </c>
      <c r="B435" s="56" t="s">
        <v>4006</v>
      </c>
      <c r="C435" s="57" t="s">
        <v>1813</v>
      </c>
      <c r="D435" s="56" t="s">
        <v>5409</v>
      </c>
      <c r="E435" s="56" t="s">
        <v>368</v>
      </c>
      <c r="F435" s="56" t="s">
        <v>390</v>
      </c>
      <c r="G435" s="56" t="s">
        <v>452</v>
      </c>
      <c r="H435" s="56" t="s">
        <v>410</v>
      </c>
      <c r="I435" s="62" t="s">
        <v>2291</v>
      </c>
      <c r="J435" s="59"/>
      <c r="K435" s="56" t="s">
        <v>379</v>
      </c>
      <c r="L435" s="56" t="s">
        <v>822</v>
      </c>
      <c r="M435" s="56" t="s">
        <v>413</v>
      </c>
      <c r="N435" s="56" t="s">
        <v>5720</v>
      </c>
      <c r="O435" s="58">
        <v>0.0</v>
      </c>
      <c r="P435" s="58">
        <v>1.0</v>
      </c>
      <c r="Q435" s="56" t="s">
        <v>2816</v>
      </c>
      <c r="R435" s="59"/>
      <c r="S435" s="56" t="s">
        <v>5722</v>
      </c>
      <c r="T435" s="61" t="s">
        <v>373</v>
      </c>
      <c r="U435" s="58" t="s">
        <v>6956</v>
      </c>
      <c r="W435" s="55" t="b">
        <f t="shared" si="1"/>
        <v>0</v>
      </c>
    </row>
    <row r="436" ht="15.0" customHeight="1">
      <c r="A436" s="56" t="s">
        <v>316</v>
      </c>
      <c r="B436" s="56" t="s">
        <v>1826</v>
      </c>
      <c r="C436" s="57" t="s">
        <v>1827</v>
      </c>
      <c r="D436" s="56" t="s">
        <v>5414</v>
      </c>
      <c r="E436" s="56" t="s">
        <v>368</v>
      </c>
      <c r="F436" s="56" t="s">
        <v>459</v>
      </c>
      <c r="G436" s="56" t="s">
        <v>390</v>
      </c>
      <c r="H436" s="56" t="s">
        <v>452</v>
      </c>
      <c r="I436" s="56" t="s">
        <v>5715</v>
      </c>
      <c r="J436" s="56" t="s">
        <v>2291</v>
      </c>
      <c r="K436" s="56" t="s">
        <v>364</v>
      </c>
      <c r="L436" s="56" t="s">
        <v>380</v>
      </c>
      <c r="M436" s="56" t="s">
        <v>413</v>
      </c>
      <c r="N436" s="56" t="s">
        <v>5724</v>
      </c>
      <c r="O436" s="58">
        <v>2.0</v>
      </c>
      <c r="P436" s="59"/>
      <c r="Q436" s="56" t="s">
        <v>6957</v>
      </c>
      <c r="R436" s="59"/>
      <c r="S436" s="56" t="s">
        <v>5717</v>
      </c>
      <c r="T436" s="61" t="s">
        <v>373</v>
      </c>
      <c r="U436" s="58" t="s">
        <v>6958</v>
      </c>
      <c r="W436" s="55" t="b">
        <f t="shared" si="1"/>
        <v>0</v>
      </c>
    </row>
    <row r="437" ht="15.0" customHeight="1">
      <c r="A437" s="56" t="s">
        <v>4016</v>
      </c>
      <c r="B437" s="56" t="s">
        <v>4017</v>
      </c>
      <c r="C437" s="57" t="s">
        <v>4018</v>
      </c>
      <c r="D437" s="58">
        <v>7.139803795E9</v>
      </c>
      <c r="E437" s="56" t="s">
        <v>368</v>
      </c>
      <c r="F437" s="56" t="s">
        <v>1553</v>
      </c>
      <c r="G437" s="56" t="s">
        <v>1789</v>
      </c>
      <c r="H437" s="56" t="s">
        <v>390</v>
      </c>
      <c r="I437" s="56" t="s">
        <v>2286</v>
      </c>
      <c r="J437" s="56" t="s">
        <v>1598</v>
      </c>
      <c r="K437" s="56" t="s">
        <v>364</v>
      </c>
      <c r="L437" s="56" t="s">
        <v>365</v>
      </c>
      <c r="M437" s="56" t="s">
        <v>366</v>
      </c>
      <c r="N437" s="56" t="s">
        <v>5720</v>
      </c>
      <c r="O437" s="58">
        <v>1.0</v>
      </c>
      <c r="P437" s="59"/>
      <c r="Q437" s="56" t="s">
        <v>6204</v>
      </c>
      <c r="R437" s="59"/>
      <c r="S437" s="56" t="s">
        <v>5722</v>
      </c>
      <c r="T437" s="61" t="s">
        <v>373</v>
      </c>
      <c r="U437" s="58" t="s">
        <v>6959</v>
      </c>
      <c r="W437" s="55" t="b">
        <f t="shared" si="1"/>
        <v>0</v>
      </c>
    </row>
    <row r="438" ht="15.0" customHeight="1">
      <c r="A438" s="56" t="s">
        <v>6960</v>
      </c>
      <c r="B438" s="56" t="s">
        <v>5421</v>
      </c>
      <c r="C438" s="57" t="s">
        <v>5422</v>
      </c>
      <c r="D438" s="56" t="s">
        <v>5423</v>
      </c>
      <c r="E438" s="56" t="s">
        <v>368</v>
      </c>
      <c r="F438" s="56" t="s">
        <v>2286</v>
      </c>
      <c r="G438" s="56" t="s">
        <v>452</v>
      </c>
      <c r="H438" s="56" t="s">
        <v>390</v>
      </c>
      <c r="I438" s="56" t="s">
        <v>410</v>
      </c>
      <c r="J438" s="56" t="s">
        <v>877</v>
      </c>
      <c r="K438" s="56" t="s">
        <v>364</v>
      </c>
      <c r="L438" s="56" t="s">
        <v>365</v>
      </c>
      <c r="M438" s="56" t="s">
        <v>366</v>
      </c>
      <c r="N438" s="62" t="s">
        <v>5724</v>
      </c>
      <c r="O438" s="59"/>
      <c r="P438" s="59"/>
      <c r="Q438" s="56" t="s">
        <v>4568</v>
      </c>
      <c r="R438" s="59"/>
      <c r="S438" s="56" t="s">
        <v>5717</v>
      </c>
      <c r="T438" s="61" t="s">
        <v>373</v>
      </c>
      <c r="U438" s="58" t="s">
        <v>6218</v>
      </c>
      <c r="W438" s="55" t="b">
        <f t="shared" si="1"/>
        <v>0</v>
      </c>
    </row>
    <row r="439" ht="15.0" customHeight="1">
      <c r="A439" s="56" t="s">
        <v>232</v>
      </c>
      <c r="B439" s="56" t="s">
        <v>4026</v>
      </c>
      <c r="C439" s="57" t="s">
        <v>4027</v>
      </c>
      <c r="D439" s="58">
        <v>7.132229102E9</v>
      </c>
      <c r="E439" s="56" t="s">
        <v>368</v>
      </c>
      <c r="F439" s="62" t="s">
        <v>452</v>
      </c>
      <c r="G439" s="59"/>
      <c r="H439" s="59"/>
      <c r="I439" s="59"/>
      <c r="J439" s="59"/>
      <c r="K439" s="56" t="s">
        <v>399</v>
      </c>
      <c r="L439" s="56" t="s">
        <v>365</v>
      </c>
      <c r="M439" s="56" t="s">
        <v>413</v>
      </c>
      <c r="N439" s="62" t="s">
        <v>6961</v>
      </c>
      <c r="O439" s="59"/>
      <c r="P439" s="59"/>
      <c r="Q439" s="56" t="s">
        <v>6962</v>
      </c>
      <c r="R439" s="59"/>
      <c r="S439" s="56" t="s">
        <v>5722</v>
      </c>
      <c r="T439" s="61" t="s">
        <v>373</v>
      </c>
      <c r="U439" s="58" t="s">
        <v>6963</v>
      </c>
      <c r="W439" s="55" t="b">
        <f t="shared" si="1"/>
        <v>0</v>
      </c>
    </row>
    <row r="440" ht="15.0" customHeight="1">
      <c r="A440" s="56" t="s">
        <v>6964</v>
      </c>
      <c r="B440" s="56" t="s">
        <v>6965</v>
      </c>
      <c r="C440" s="57" t="s">
        <v>6966</v>
      </c>
      <c r="D440" s="56" t="s">
        <v>6967</v>
      </c>
      <c r="E440" s="56" t="s">
        <v>368</v>
      </c>
      <c r="F440" s="56" t="s">
        <v>452</v>
      </c>
      <c r="G440" s="56" t="s">
        <v>390</v>
      </c>
      <c r="H440" s="56" t="s">
        <v>709</v>
      </c>
      <c r="I440" s="62" t="s">
        <v>2291</v>
      </c>
      <c r="J440" s="59"/>
      <c r="K440" s="56" t="s">
        <v>379</v>
      </c>
      <c r="L440" s="56" t="s">
        <v>365</v>
      </c>
      <c r="M440" s="56" t="s">
        <v>513</v>
      </c>
      <c r="N440" s="62" t="s">
        <v>5720</v>
      </c>
      <c r="O440" s="59"/>
      <c r="P440" s="59"/>
      <c r="Q440" s="56" t="s">
        <v>2373</v>
      </c>
      <c r="R440" s="59"/>
      <c r="S440" s="56" t="s">
        <v>5722</v>
      </c>
      <c r="T440" s="61" t="s">
        <v>373</v>
      </c>
      <c r="U440" s="58" t="s">
        <v>6968</v>
      </c>
      <c r="W440" s="55" t="b">
        <f t="shared" si="1"/>
        <v>1</v>
      </c>
    </row>
    <row r="441" ht="15.0" customHeight="1">
      <c r="A441" s="56" t="s">
        <v>6969</v>
      </c>
      <c r="B441" s="56" t="s">
        <v>6970</v>
      </c>
      <c r="C441" s="57" t="s">
        <v>6971</v>
      </c>
      <c r="D441" s="58">
        <v>1.5037930721E10</v>
      </c>
      <c r="E441" s="56" t="s">
        <v>423</v>
      </c>
      <c r="F441" s="56" t="s">
        <v>675</v>
      </c>
      <c r="G441" s="56" t="s">
        <v>452</v>
      </c>
      <c r="H441" s="56" t="s">
        <v>390</v>
      </c>
      <c r="I441" s="56" t="s">
        <v>2286</v>
      </c>
      <c r="J441" s="56" t="s">
        <v>421</v>
      </c>
      <c r="K441" s="56" t="s">
        <v>379</v>
      </c>
      <c r="L441" s="56" t="s">
        <v>380</v>
      </c>
      <c r="M441" s="56" t="s">
        <v>413</v>
      </c>
      <c r="N441" s="62" t="s">
        <v>483</v>
      </c>
      <c r="O441" s="59"/>
      <c r="P441" s="59"/>
      <c r="Q441" s="56" t="s">
        <v>1817</v>
      </c>
      <c r="R441" s="59"/>
      <c r="S441" s="56" t="s">
        <v>5733</v>
      </c>
      <c r="T441" s="61" t="s">
        <v>394</v>
      </c>
      <c r="U441" s="58" t="s">
        <v>6972</v>
      </c>
      <c r="W441" s="55" t="b">
        <f t="shared" si="1"/>
        <v>0</v>
      </c>
    </row>
    <row r="442" ht="15.0" customHeight="1">
      <c r="A442" s="56" t="s">
        <v>317</v>
      </c>
      <c r="B442" s="56" t="s">
        <v>1845</v>
      </c>
      <c r="C442" s="57" t="s">
        <v>1846</v>
      </c>
      <c r="D442" s="58">
        <v>2.813833677E9</v>
      </c>
      <c r="E442" s="56" t="s">
        <v>368</v>
      </c>
      <c r="F442" s="56" t="s">
        <v>390</v>
      </c>
      <c r="G442" s="56" t="s">
        <v>634</v>
      </c>
      <c r="H442" s="56" t="s">
        <v>2291</v>
      </c>
      <c r="I442" s="62" t="s">
        <v>421</v>
      </c>
      <c r="J442" s="59"/>
      <c r="K442" s="56" t="s">
        <v>379</v>
      </c>
      <c r="L442" s="56" t="s">
        <v>412</v>
      </c>
      <c r="M442" s="56" t="s">
        <v>413</v>
      </c>
      <c r="N442" s="62" t="s">
        <v>5720</v>
      </c>
      <c r="O442" s="59"/>
      <c r="P442" s="59"/>
      <c r="Q442" s="56" t="s">
        <v>1972</v>
      </c>
      <c r="R442" s="59"/>
      <c r="S442" s="56" t="s">
        <v>5722</v>
      </c>
      <c r="T442" s="61" t="s">
        <v>373</v>
      </c>
      <c r="U442" s="58" t="s">
        <v>6973</v>
      </c>
      <c r="W442" s="55" t="b">
        <f t="shared" si="1"/>
        <v>0</v>
      </c>
    </row>
    <row r="443" ht="15.0" customHeight="1">
      <c r="A443" s="56" t="s">
        <v>4035</v>
      </c>
      <c r="B443" s="56" t="s">
        <v>2409</v>
      </c>
      <c r="C443" s="57" t="s">
        <v>6974</v>
      </c>
      <c r="D443" s="56" t="s">
        <v>6975</v>
      </c>
      <c r="E443" s="56" t="s">
        <v>368</v>
      </c>
      <c r="F443" s="56" t="s">
        <v>410</v>
      </c>
      <c r="G443" s="56" t="s">
        <v>390</v>
      </c>
      <c r="H443" s="56" t="s">
        <v>452</v>
      </c>
      <c r="I443" s="56" t="s">
        <v>362</v>
      </c>
      <c r="J443" s="56" t="s">
        <v>2291</v>
      </c>
      <c r="K443" s="56" t="s">
        <v>364</v>
      </c>
      <c r="L443" s="56" t="s">
        <v>365</v>
      </c>
      <c r="M443" s="56" t="s">
        <v>366</v>
      </c>
      <c r="N443" s="56" t="s">
        <v>6036</v>
      </c>
      <c r="O443" s="58">
        <v>5.0</v>
      </c>
      <c r="P443" s="58">
        <v>5.0</v>
      </c>
      <c r="Q443" s="56" t="s">
        <v>4040</v>
      </c>
      <c r="R443" s="59"/>
      <c r="S443" s="56" t="s">
        <v>5733</v>
      </c>
      <c r="T443" s="61" t="s">
        <v>373</v>
      </c>
      <c r="U443" s="58" t="s">
        <v>6976</v>
      </c>
      <c r="W443" s="55" t="b">
        <f t="shared" si="1"/>
        <v>0</v>
      </c>
    </row>
    <row r="444" ht="15.0" customHeight="1">
      <c r="A444" s="56" t="s">
        <v>318</v>
      </c>
      <c r="B444" s="56" t="s">
        <v>4042</v>
      </c>
      <c r="C444" s="57" t="s">
        <v>4043</v>
      </c>
      <c r="D444" s="56" t="s">
        <v>4044</v>
      </c>
      <c r="E444" s="56" t="s">
        <v>368</v>
      </c>
      <c r="F444" s="56" t="s">
        <v>2286</v>
      </c>
      <c r="G444" s="62" t="s">
        <v>1789</v>
      </c>
      <c r="H444" s="59"/>
      <c r="I444" s="59"/>
      <c r="J444" s="59"/>
      <c r="K444" s="56" t="s">
        <v>364</v>
      </c>
      <c r="L444" s="56" t="s">
        <v>365</v>
      </c>
      <c r="M444" s="56" t="s">
        <v>366</v>
      </c>
      <c r="N444" s="62" t="s">
        <v>5720</v>
      </c>
      <c r="O444" s="59"/>
      <c r="P444" s="59"/>
      <c r="Q444" s="56" t="s">
        <v>3965</v>
      </c>
      <c r="R444" s="59"/>
      <c r="S444" s="56" t="s">
        <v>5722</v>
      </c>
      <c r="T444" s="61" t="s">
        <v>373</v>
      </c>
      <c r="U444" s="58" t="s">
        <v>6977</v>
      </c>
      <c r="W444" s="55" t="b">
        <f t="shared" si="1"/>
        <v>0</v>
      </c>
    </row>
    <row r="445" ht="15.0" customHeight="1">
      <c r="A445" s="56" t="s">
        <v>233</v>
      </c>
      <c r="B445" s="56" t="s">
        <v>4048</v>
      </c>
      <c r="C445" s="57" t="s">
        <v>4049</v>
      </c>
      <c r="D445" s="58">
        <v>5.052640876E9</v>
      </c>
      <c r="E445" s="56" t="s">
        <v>368</v>
      </c>
      <c r="F445" s="56" t="s">
        <v>390</v>
      </c>
      <c r="G445" s="56" t="s">
        <v>452</v>
      </c>
      <c r="H445" s="56" t="s">
        <v>362</v>
      </c>
      <c r="I445" s="56" t="s">
        <v>5715</v>
      </c>
      <c r="J445" s="56" t="s">
        <v>459</v>
      </c>
      <c r="K445" s="56" t="s">
        <v>399</v>
      </c>
      <c r="L445" s="56" t="s">
        <v>365</v>
      </c>
      <c r="M445" s="56" t="s">
        <v>413</v>
      </c>
      <c r="N445" s="56" t="s">
        <v>5716</v>
      </c>
      <c r="O445" s="58">
        <v>3.0</v>
      </c>
      <c r="P445" s="59"/>
      <c r="Q445" s="56" t="s">
        <v>1390</v>
      </c>
      <c r="R445" s="59"/>
      <c r="S445" s="56" t="s">
        <v>5717</v>
      </c>
      <c r="T445" s="61" t="s">
        <v>373</v>
      </c>
      <c r="U445" s="58" t="s">
        <v>5790</v>
      </c>
      <c r="W445" s="55" t="b">
        <f t="shared" si="1"/>
        <v>0</v>
      </c>
    </row>
    <row r="446" ht="15.0" customHeight="1">
      <c r="A446" s="56" t="s">
        <v>6978</v>
      </c>
      <c r="B446" s="56" t="s">
        <v>6979</v>
      </c>
      <c r="C446" s="57" t="s">
        <v>6980</v>
      </c>
      <c r="D446" s="56" t="s">
        <v>6981</v>
      </c>
      <c r="E446" s="56" t="s">
        <v>368</v>
      </c>
      <c r="F446" s="62" t="s">
        <v>2291</v>
      </c>
      <c r="G446" s="59"/>
      <c r="H446" s="59"/>
      <c r="I446" s="59"/>
      <c r="J446" s="59"/>
      <c r="K446" s="56" t="s">
        <v>379</v>
      </c>
      <c r="L446" s="56" t="s">
        <v>405</v>
      </c>
      <c r="M446" s="56" t="s">
        <v>366</v>
      </c>
      <c r="N446" s="62" t="s">
        <v>5716</v>
      </c>
      <c r="O446" s="59"/>
      <c r="P446" s="59"/>
      <c r="Q446" s="56" t="s">
        <v>1613</v>
      </c>
      <c r="R446" s="59"/>
      <c r="S446" s="56" t="s">
        <v>5717</v>
      </c>
      <c r="T446" s="61" t="s">
        <v>394</v>
      </c>
      <c r="U446" s="58" t="s">
        <v>6982</v>
      </c>
      <c r="W446" s="55" t="b">
        <f t="shared" si="1"/>
        <v>0</v>
      </c>
    </row>
    <row r="447" ht="15.0" customHeight="1">
      <c r="A447" s="56" t="s">
        <v>234</v>
      </c>
      <c r="B447" s="56" t="s">
        <v>4052</v>
      </c>
      <c r="C447" s="57" t="s">
        <v>4053</v>
      </c>
      <c r="D447" s="56" t="s">
        <v>6983</v>
      </c>
      <c r="E447" s="56" t="s">
        <v>368</v>
      </c>
      <c r="F447" s="56" t="s">
        <v>709</v>
      </c>
      <c r="G447" s="56" t="s">
        <v>452</v>
      </c>
      <c r="H447" s="56" t="s">
        <v>390</v>
      </c>
      <c r="I447" s="56" t="s">
        <v>410</v>
      </c>
      <c r="J447" s="56" t="s">
        <v>362</v>
      </c>
      <c r="K447" s="56" t="s">
        <v>364</v>
      </c>
      <c r="L447" s="56" t="s">
        <v>412</v>
      </c>
      <c r="M447" s="56" t="s">
        <v>413</v>
      </c>
      <c r="N447" s="62" t="s">
        <v>5716</v>
      </c>
      <c r="O447" s="59"/>
      <c r="P447" s="59"/>
      <c r="Q447" s="56" t="s">
        <v>958</v>
      </c>
      <c r="R447" s="59"/>
      <c r="S447" s="56" t="s">
        <v>5717</v>
      </c>
      <c r="T447" s="61" t="s">
        <v>373</v>
      </c>
      <c r="U447" s="58" t="s">
        <v>6984</v>
      </c>
      <c r="W447" s="55" t="b">
        <f t="shared" si="1"/>
        <v>0</v>
      </c>
    </row>
    <row r="448" ht="15.0" customHeight="1">
      <c r="A448" s="56" t="s">
        <v>6985</v>
      </c>
      <c r="B448" s="56" t="s">
        <v>6986</v>
      </c>
      <c r="C448" s="57" t="s">
        <v>6987</v>
      </c>
      <c r="D448" s="58">
        <v>8.036799186E9</v>
      </c>
      <c r="E448" s="56" t="s">
        <v>368</v>
      </c>
      <c r="F448" s="56" t="s">
        <v>390</v>
      </c>
      <c r="G448" s="56" t="s">
        <v>5715</v>
      </c>
      <c r="H448" s="56" t="s">
        <v>410</v>
      </c>
      <c r="I448" s="56" t="s">
        <v>362</v>
      </c>
      <c r="J448" s="56" t="s">
        <v>709</v>
      </c>
      <c r="K448" s="56" t="s">
        <v>364</v>
      </c>
      <c r="L448" s="56" t="s">
        <v>380</v>
      </c>
      <c r="M448" s="56" t="s">
        <v>413</v>
      </c>
      <c r="N448" s="56" t="s">
        <v>381</v>
      </c>
      <c r="O448" s="58">
        <v>0.0</v>
      </c>
      <c r="P448" s="58">
        <v>0.0</v>
      </c>
      <c r="Q448" s="56" t="s">
        <v>384</v>
      </c>
      <c r="R448" s="59"/>
      <c r="S448" s="56" t="s">
        <v>5733</v>
      </c>
      <c r="T448" s="61" t="s">
        <v>373</v>
      </c>
      <c r="U448" s="58" t="s">
        <v>6988</v>
      </c>
      <c r="W448" s="55" t="b">
        <f t="shared" si="1"/>
        <v>0</v>
      </c>
    </row>
    <row r="449" ht="15.0" customHeight="1">
      <c r="A449" s="56" t="s">
        <v>235</v>
      </c>
      <c r="B449" s="56" t="s">
        <v>1859</v>
      </c>
      <c r="C449" s="57" t="s">
        <v>1860</v>
      </c>
      <c r="D449" s="56" t="s">
        <v>1861</v>
      </c>
      <c r="E449" s="56" t="s">
        <v>368</v>
      </c>
      <c r="F449" s="56" t="s">
        <v>2286</v>
      </c>
      <c r="G449" s="62" t="s">
        <v>5719</v>
      </c>
      <c r="H449" s="59"/>
      <c r="I449" s="59"/>
      <c r="J449" s="59"/>
      <c r="K449" s="56" t="s">
        <v>364</v>
      </c>
      <c r="L449" s="56" t="s">
        <v>412</v>
      </c>
      <c r="M449" s="56" t="s">
        <v>366</v>
      </c>
      <c r="N449" s="56" t="s">
        <v>5716</v>
      </c>
      <c r="O449" s="58">
        <v>0.0</v>
      </c>
      <c r="P449" s="58">
        <v>0.0</v>
      </c>
      <c r="Q449" s="62" t="s">
        <v>6989</v>
      </c>
      <c r="R449" s="59"/>
      <c r="S449" s="56" t="s">
        <v>5717</v>
      </c>
      <c r="T449" s="61" t="s">
        <v>394</v>
      </c>
      <c r="U449" s="58" t="s">
        <v>6990</v>
      </c>
      <c r="W449" s="55" t="b">
        <f t="shared" si="1"/>
        <v>0</v>
      </c>
    </row>
    <row r="450" ht="15.0" customHeight="1">
      <c r="A450" s="56" t="s">
        <v>4064</v>
      </c>
      <c r="B450" s="56" t="s">
        <v>4065</v>
      </c>
      <c r="C450" s="57" t="s">
        <v>4066</v>
      </c>
      <c r="D450" s="56" t="s">
        <v>6991</v>
      </c>
      <c r="E450" s="56" t="s">
        <v>368</v>
      </c>
      <c r="F450" s="62" t="s">
        <v>2286</v>
      </c>
      <c r="G450" s="59"/>
      <c r="H450" s="59"/>
      <c r="I450" s="59"/>
      <c r="J450" s="59"/>
      <c r="K450" s="56" t="s">
        <v>399</v>
      </c>
      <c r="L450" s="56" t="s">
        <v>380</v>
      </c>
      <c r="M450" s="56" t="s">
        <v>513</v>
      </c>
      <c r="N450" s="56" t="s">
        <v>5720</v>
      </c>
      <c r="O450" s="58">
        <v>0.0</v>
      </c>
      <c r="P450" s="58">
        <v>0.0</v>
      </c>
      <c r="Q450" s="56" t="s">
        <v>4736</v>
      </c>
      <c r="R450" s="59"/>
      <c r="S450" s="56" t="s">
        <v>5722</v>
      </c>
      <c r="T450" s="61" t="s">
        <v>373</v>
      </c>
      <c r="U450" s="58" t="s">
        <v>6992</v>
      </c>
      <c r="W450" s="55" t="b">
        <f t="shared" si="1"/>
        <v>1</v>
      </c>
    </row>
    <row r="451" ht="15.0" customHeight="1">
      <c r="A451" s="56" t="s">
        <v>236</v>
      </c>
      <c r="B451" s="56" t="s">
        <v>6993</v>
      </c>
      <c r="C451" s="57" t="s">
        <v>6994</v>
      </c>
      <c r="D451" s="56" t="s">
        <v>5437</v>
      </c>
      <c r="E451" s="56" t="s">
        <v>368</v>
      </c>
      <c r="F451" s="56" t="s">
        <v>2286</v>
      </c>
      <c r="G451" s="62" t="s">
        <v>2286</v>
      </c>
      <c r="H451" s="59"/>
      <c r="I451" s="59"/>
      <c r="J451" s="59"/>
      <c r="K451" s="56" t="s">
        <v>399</v>
      </c>
      <c r="L451" s="56" t="s">
        <v>365</v>
      </c>
      <c r="M451" s="56" t="s">
        <v>513</v>
      </c>
      <c r="N451" s="62" t="s">
        <v>5716</v>
      </c>
      <c r="O451" s="59"/>
      <c r="P451" s="59"/>
      <c r="Q451" s="56" t="s">
        <v>2161</v>
      </c>
      <c r="R451" s="59"/>
      <c r="S451" s="56" t="s">
        <v>5717</v>
      </c>
      <c r="T451" s="61" t="s">
        <v>373</v>
      </c>
      <c r="U451" s="58" t="s">
        <v>6240</v>
      </c>
      <c r="W451" s="55" t="b">
        <f t="shared" si="1"/>
        <v>1</v>
      </c>
    </row>
    <row r="452" ht="15.0" customHeight="1">
      <c r="A452" s="56" t="s">
        <v>6995</v>
      </c>
      <c r="B452" s="56" t="s">
        <v>6996</v>
      </c>
      <c r="C452" s="57" t="s">
        <v>6997</v>
      </c>
      <c r="D452" s="56" t="s">
        <v>6998</v>
      </c>
      <c r="E452" s="56" t="s">
        <v>368</v>
      </c>
      <c r="F452" s="62" t="s">
        <v>390</v>
      </c>
      <c r="G452" s="59"/>
      <c r="H452" s="59"/>
      <c r="I452" s="59"/>
      <c r="J452" s="59"/>
      <c r="K452" s="56" t="s">
        <v>364</v>
      </c>
      <c r="L452" s="56" t="s">
        <v>380</v>
      </c>
      <c r="M452" s="56" t="s">
        <v>413</v>
      </c>
      <c r="N452" s="62" t="s">
        <v>5720</v>
      </c>
      <c r="O452" s="59"/>
      <c r="P452" s="59"/>
      <c r="Q452" s="56" t="s">
        <v>371</v>
      </c>
      <c r="R452" s="59"/>
      <c r="S452" s="56" t="s">
        <v>5722</v>
      </c>
      <c r="T452" s="61" t="s">
        <v>373</v>
      </c>
      <c r="U452" s="58" t="s">
        <v>6999</v>
      </c>
      <c r="W452" s="55" t="b">
        <f t="shared" si="1"/>
        <v>0</v>
      </c>
    </row>
    <row r="453" ht="15.0" customHeight="1">
      <c r="A453" s="56" t="s">
        <v>238</v>
      </c>
      <c r="B453" s="56" t="s">
        <v>1876</v>
      </c>
      <c r="C453" s="57" t="s">
        <v>1877</v>
      </c>
      <c r="D453" s="56" t="s">
        <v>7000</v>
      </c>
      <c r="E453" s="56" t="s">
        <v>368</v>
      </c>
      <c r="F453" s="56" t="s">
        <v>459</v>
      </c>
      <c r="G453" s="56" t="s">
        <v>390</v>
      </c>
      <c r="H453" s="56" t="s">
        <v>2286</v>
      </c>
      <c r="I453" s="62" t="s">
        <v>452</v>
      </c>
      <c r="J453" s="59"/>
      <c r="K453" s="56" t="s">
        <v>379</v>
      </c>
      <c r="L453" s="56" t="s">
        <v>412</v>
      </c>
      <c r="M453" s="56" t="s">
        <v>413</v>
      </c>
      <c r="N453" s="62" t="s">
        <v>381</v>
      </c>
      <c r="O453" s="59"/>
      <c r="P453" s="59"/>
      <c r="Q453" s="56" t="s">
        <v>1849</v>
      </c>
      <c r="R453" s="59"/>
      <c r="S453" s="56" t="s">
        <v>5733</v>
      </c>
      <c r="T453" s="61" t="s">
        <v>394</v>
      </c>
      <c r="U453" s="58" t="s">
        <v>6800</v>
      </c>
      <c r="W453" s="55" t="b">
        <f t="shared" si="1"/>
        <v>0</v>
      </c>
    </row>
    <row r="454" ht="15.0" customHeight="1">
      <c r="A454" s="56" t="s">
        <v>4074</v>
      </c>
      <c r="B454" s="56" t="s">
        <v>4075</v>
      </c>
      <c r="C454" s="57" t="s">
        <v>4076</v>
      </c>
      <c r="D454" s="58">
        <v>4.044027263E9</v>
      </c>
      <c r="E454" s="56" t="s">
        <v>368</v>
      </c>
      <c r="F454" s="56" t="s">
        <v>2286</v>
      </c>
      <c r="G454" s="56" t="s">
        <v>675</v>
      </c>
      <c r="H454" s="56" t="s">
        <v>390</v>
      </c>
      <c r="I454" s="62" t="s">
        <v>1598</v>
      </c>
      <c r="J454" s="59"/>
      <c r="K454" s="56" t="s">
        <v>364</v>
      </c>
      <c r="L454" s="56" t="s">
        <v>365</v>
      </c>
      <c r="M454" s="56" t="s">
        <v>366</v>
      </c>
      <c r="N454" s="62" t="s">
        <v>5720</v>
      </c>
      <c r="O454" s="59"/>
      <c r="P454" s="59"/>
      <c r="Q454" s="56" t="s">
        <v>2442</v>
      </c>
      <c r="R454" s="59"/>
      <c r="S454" s="56" t="s">
        <v>5722</v>
      </c>
      <c r="T454" s="61" t="s">
        <v>373</v>
      </c>
      <c r="U454" s="58" t="s">
        <v>7001</v>
      </c>
      <c r="W454" s="55" t="b">
        <f t="shared" si="1"/>
        <v>0</v>
      </c>
    </row>
    <row r="455" ht="15.0" customHeight="1">
      <c r="A455" s="56" t="s">
        <v>7002</v>
      </c>
      <c r="B455" s="56" t="s">
        <v>7003</v>
      </c>
      <c r="C455" s="57" t="s">
        <v>7004</v>
      </c>
      <c r="D455" s="56" t="s">
        <v>5440</v>
      </c>
      <c r="E455" s="56" t="s">
        <v>368</v>
      </c>
      <c r="F455" s="56" t="s">
        <v>452</v>
      </c>
      <c r="G455" s="56" t="s">
        <v>2931</v>
      </c>
      <c r="H455" s="56" t="s">
        <v>5715</v>
      </c>
      <c r="I455" s="62" t="s">
        <v>362</v>
      </c>
      <c r="J455" s="59"/>
      <c r="K455" s="56" t="s">
        <v>364</v>
      </c>
      <c r="L455" s="56" t="s">
        <v>365</v>
      </c>
      <c r="M455" s="56" t="s">
        <v>1822</v>
      </c>
      <c r="N455" s="56" t="s">
        <v>5720</v>
      </c>
      <c r="O455" s="58">
        <v>0.0</v>
      </c>
      <c r="P455" s="58">
        <v>1.0</v>
      </c>
      <c r="Q455" s="56" t="s">
        <v>2388</v>
      </c>
      <c r="R455" s="59"/>
      <c r="S455" s="56" t="s">
        <v>5722</v>
      </c>
      <c r="T455" s="61" t="s">
        <v>373</v>
      </c>
      <c r="U455" s="58" t="s">
        <v>7005</v>
      </c>
      <c r="W455" s="55" t="b">
        <f t="shared" si="1"/>
        <v>0</v>
      </c>
    </row>
    <row r="456" ht="15.0" customHeight="1">
      <c r="A456" s="56" t="s">
        <v>5453</v>
      </c>
      <c r="B456" s="56" t="s">
        <v>5454</v>
      </c>
      <c r="C456" s="57" t="s">
        <v>5455</v>
      </c>
      <c r="D456" s="56" t="s">
        <v>7006</v>
      </c>
      <c r="E456" s="56" t="s">
        <v>368</v>
      </c>
      <c r="F456" s="56" t="s">
        <v>452</v>
      </c>
      <c r="G456" s="56" t="s">
        <v>390</v>
      </c>
      <c r="H456" s="56" t="s">
        <v>2286</v>
      </c>
      <c r="I456" s="62" t="s">
        <v>2931</v>
      </c>
      <c r="J456" s="59"/>
      <c r="K456" s="56" t="s">
        <v>399</v>
      </c>
      <c r="L456" s="56" t="s">
        <v>365</v>
      </c>
      <c r="M456" s="56" t="s">
        <v>366</v>
      </c>
      <c r="N456" s="56" t="s">
        <v>5720</v>
      </c>
      <c r="O456" s="58">
        <v>0.0</v>
      </c>
      <c r="P456" s="58">
        <v>0.0</v>
      </c>
      <c r="Q456" s="56" t="s">
        <v>5607</v>
      </c>
      <c r="R456" s="59"/>
      <c r="S456" s="56" t="s">
        <v>5722</v>
      </c>
      <c r="T456" s="61" t="s">
        <v>373</v>
      </c>
      <c r="U456" s="58" t="s">
        <v>7007</v>
      </c>
      <c r="W456" s="55" t="b">
        <f t="shared" si="1"/>
        <v>0</v>
      </c>
    </row>
    <row r="457" ht="15.0" customHeight="1">
      <c r="A457" s="56" t="s">
        <v>319</v>
      </c>
      <c r="B457" s="56" t="s">
        <v>7008</v>
      </c>
      <c r="C457" s="57" t="s">
        <v>7009</v>
      </c>
      <c r="D457" s="56" t="s">
        <v>7010</v>
      </c>
      <c r="E457" s="56" t="s">
        <v>368</v>
      </c>
      <c r="F457" s="56" t="s">
        <v>421</v>
      </c>
      <c r="G457" s="56" t="s">
        <v>421</v>
      </c>
      <c r="H457" s="56" t="s">
        <v>2286</v>
      </c>
      <c r="I457" s="56" t="s">
        <v>452</v>
      </c>
      <c r="J457" s="56" t="s">
        <v>2291</v>
      </c>
      <c r="K457" s="56" t="s">
        <v>364</v>
      </c>
      <c r="L457" s="56" t="s">
        <v>520</v>
      </c>
      <c r="M457" s="56" t="s">
        <v>366</v>
      </c>
      <c r="N457" s="62" t="s">
        <v>5720</v>
      </c>
      <c r="O457" s="59"/>
      <c r="P457" s="58">
        <v>1.0</v>
      </c>
      <c r="Q457" s="56" t="s">
        <v>5354</v>
      </c>
      <c r="R457" s="59"/>
      <c r="S457" s="56" t="s">
        <v>5722</v>
      </c>
      <c r="T457" s="61" t="s">
        <v>373</v>
      </c>
      <c r="U457" s="58" t="s">
        <v>7011</v>
      </c>
      <c r="W457" s="55" t="b">
        <f t="shared" si="1"/>
        <v>0</v>
      </c>
    </row>
    <row r="458" ht="15.0" customHeight="1">
      <c r="A458" s="56" t="s">
        <v>240</v>
      </c>
      <c r="B458" s="56" t="s">
        <v>1900</v>
      </c>
      <c r="C458" s="57" t="s">
        <v>1901</v>
      </c>
      <c r="D458" s="56" t="s">
        <v>5458</v>
      </c>
      <c r="E458" s="56" t="s">
        <v>368</v>
      </c>
      <c r="F458" s="56" t="s">
        <v>390</v>
      </c>
      <c r="G458" s="56" t="s">
        <v>452</v>
      </c>
      <c r="H458" s="62" t="s">
        <v>675</v>
      </c>
      <c r="I458" s="59"/>
      <c r="J458" s="59"/>
      <c r="K458" s="56" t="s">
        <v>364</v>
      </c>
      <c r="L458" s="56" t="s">
        <v>365</v>
      </c>
      <c r="M458" s="56" t="s">
        <v>366</v>
      </c>
      <c r="N458" s="62" t="s">
        <v>5770</v>
      </c>
      <c r="O458" s="59"/>
      <c r="P458" s="59"/>
      <c r="Q458" s="56" t="s">
        <v>2522</v>
      </c>
      <c r="R458" s="59"/>
      <c r="S458" s="56" t="s">
        <v>5722</v>
      </c>
      <c r="T458" s="61" t="s">
        <v>373</v>
      </c>
      <c r="U458" s="58" t="s">
        <v>6459</v>
      </c>
      <c r="W458" s="55" t="b">
        <f t="shared" si="1"/>
        <v>0</v>
      </c>
    </row>
    <row r="459" ht="15.0" customHeight="1">
      <c r="A459" s="56" t="s">
        <v>4085</v>
      </c>
      <c r="B459" s="56" t="s">
        <v>4086</v>
      </c>
      <c r="C459" s="57" t="s">
        <v>4087</v>
      </c>
      <c r="D459" s="56" t="s">
        <v>4088</v>
      </c>
      <c r="E459" s="56" t="s">
        <v>368</v>
      </c>
      <c r="F459" s="56" t="s">
        <v>410</v>
      </c>
      <c r="G459" s="56" t="s">
        <v>390</v>
      </c>
      <c r="H459" s="56" t="s">
        <v>1553</v>
      </c>
      <c r="I459" s="56" t="s">
        <v>2286</v>
      </c>
      <c r="J459" s="56" t="s">
        <v>452</v>
      </c>
      <c r="K459" s="56" t="s">
        <v>399</v>
      </c>
      <c r="L459" s="56" t="s">
        <v>365</v>
      </c>
      <c r="M459" s="56" t="s">
        <v>366</v>
      </c>
      <c r="N459" s="62" t="s">
        <v>497</v>
      </c>
      <c r="O459" s="59"/>
      <c r="P459" s="59"/>
      <c r="Q459" s="59"/>
      <c r="R459" s="59"/>
      <c r="S459" s="56" t="s">
        <v>5733</v>
      </c>
      <c r="T459" s="61" t="s">
        <v>394</v>
      </c>
      <c r="U459" s="58" t="s">
        <v>7012</v>
      </c>
      <c r="W459" s="55" t="b">
        <f t="shared" si="1"/>
        <v>0</v>
      </c>
    </row>
    <row r="460" ht="15.0" customHeight="1">
      <c r="A460" s="56" t="s">
        <v>7013</v>
      </c>
      <c r="B460" s="56" t="s">
        <v>7014</v>
      </c>
      <c r="C460" s="57" t="s">
        <v>7015</v>
      </c>
      <c r="D460" s="58">
        <v>1.832337098E10</v>
      </c>
      <c r="E460" s="56" t="s">
        <v>368</v>
      </c>
      <c r="F460" s="62" t="s">
        <v>452</v>
      </c>
      <c r="G460" s="59"/>
      <c r="H460" s="59"/>
      <c r="I460" s="59"/>
      <c r="J460" s="59"/>
      <c r="K460" s="56" t="s">
        <v>399</v>
      </c>
      <c r="L460" s="56" t="s">
        <v>412</v>
      </c>
      <c r="M460" s="56" t="s">
        <v>413</v>
      </c>
      <c r="N460" s="62" t="s">
        <v>497</v>
      </c>
      <c r="O460" s="59"/>
      <c r="P460" s="59"/>
      <c r="Q460" s="56" t="s">
        <v>824</v>
      </c>
      <c r="R460" s="59"/>
      <c r="S460" s="56" t="s">
        <v>5733</v>
      </c>
      <c r="T460" s="61" t="s">
        <v>373</v>
      </c>
      <c r="U460" s="58" t="s">
        <v>7016</v>
      </c>
      <c r="W460" s="55" t="b">
        <f t="shared" si="1"/>
        <v>0</v>
      </c>
    </row>
    <row r="461" ht="15.0" customHeight="1">
      <c r="A461" s="56" t="s">
        <v>320</v>
      </c>
      <c r="B461" s="56" t="s">
        <v>1912</v>
      </c>
      <c r="C461" s="57" t="s">
        <v>1913</v>
      </c>
      <c r="D461" s="58">
        <v>4.325597698E9</v>
      </c>
      <c r="E461" s="56" t="s">
        <v>368</v>
      </c>
      <c r="F461" s="56" t="s">
        <v>2286</v>
      </c>
      <c r="G461" s="56" t="s">
        <v>1789</v>
      </c>
      <c r="H461" s="62" t="s">
        <v>675</v>
      </c>
      <c r="I461" s="59"/>
      <c r="J461" s="59"/>
      <c r="K461" s="56" t="s">
        <v>364</v>
      </c>
      <c r="L461" s="56" t="s">
        <v>365</v>
      </c>
      <c r="M461" s="56" t="s">
        <v>366</v>
      </c>
      <c r="N461" s="62" t="s">
        <v>5720</v>
      </c>
      <c r="O461" s="59"/>
      <c r="P461" s="59"/>
      <c r="Q461" s="56" t="s">
        <v>484</v>
      </c>
      <c r="R461" s="59"/>
      <c r="S461" s="56" t="s">
        <v>5722</v>
      </c>
      <c r="T461" s="61" t="s">
        <v>373</v>
      </c>
      <c r="U461" s="58" t="s">
        <v>7017</v>
      </c>
      <c r="W461" s="55" t="b">
        <f t="shared" si="1"/>
        <v>0</v>
      </c>
    </row>
    <row r="462" ht="15.0" customHeight="1">
      <c r="A462" s="56" t="s">
        <v>7018</v>
      </c>
      <c r="B462" s="56" t="s">
        <v>7019</v>
      </c>
      <c r="C462" s="57" t="s">
        <v>7020</v>
      </c>
      <c r="D462" s="58">
        <v>7.208045379E9</v>
      </c>
      <c r="E462" s="56" t="s">
        <v>368</v>
      </c>
      <c r="F462" s="62" t="s">
        <v>2286</v>
      </c>
      <c r="G462" s="59"/>
      <c r="H462" s="59"/>
      <c r="I462" s="59"/>
      <c r="J462" s="59"/>
      <c r="K462" s="56" t="s">
        <v>379</v>
      </c>
      <c r="L462" s="56" t="s">
        <v>405</v>
      </c>
      <c r="M462" s="56" t="s">
        <v>366</v>
      </c>
      <c r="N462" s="62" t="s">
        <v>5720</v>
      </c>
      <c r="O462" s="59"/>
      <c r="P462" s="59"/>
      <c r="Q462" s="56" t="s">
        <v>3777</v>
      </c>
      <c r="R462" s="59"/>
      <c r="S462" s="56" t="s">
        <v>5722</v>
      </c>
      <c r="T462" s="61" t="s">
        <v>394</v>
      </c>
      <c r="U462" s="58" t="s">
        <v>7021</v>
      </c>
      <c r="W462" s="55" t="b">
        <f t="shared" si="1"/>
        <v>0</v>
      </c>
    </row>
    <row r="463" ht="15.0" customHeight="1">
      <c r="A463" s="56" t="s">
        <v>7022</v>
      </c>
      <c r="B463" s="56" t="s">
        <v>7023</v>
      </c>
      <c r="C463" s="57" t="s">
        <v>7024</v>
      </c>
      <c r="D463" s="56" t="s">
        <v>7025</v>
      </c>
      <c r="E463" s="56" t="s">
        <v>368</v>
      </c>
      <c r="F463" s="56" t="s">
        <v>410</v>
      </c>
      <c r="G463" s="56" t="s">
        <v>1789</v>
      </c>
      <c r="H463" s="56" t="s">
        <v>452</v>
      </c>
      <c r="I463" s="56" t="s">
        <v>421</v>
      </c>
      <c r="J463" s="56" t="s">
        <v>390</v>
      </c>
      <c r="K463" s="56" t="s">
        <v>364</v>
      </c>
      <c r="L463" s="56" t="s">
        <v>380</v>
      </c>
      <c r="M463" s="56" t="s">
        <v>366</v>
      </c>
      <c r="N463" s="56" t="s">
        <v>5720</v>
      </c>
      <c r="O463" s="58">
        <v>0.0</v>
      </c>
      <c r="P463" s="58">
        <v>1.0</v>
      </c>
      <c r="Q463" s="56" t="s">
        <v>3530</v>
      </c>
      <c r="R463" s="59"/>
      <c r="S463" s="56" t="s">
        <v>5722</v>
      </c>
      <c r="T463" s="61" t="s">
        <v>373</v>
      </c>
      <c r="U463" s="58" t="s">
        <v>7026</v>
      </c>
      <c r="W463" s="55" t="b">
        <f t="shared" si="1"/>
        <v>0</v>
      </c>
    </row>
    <row r="464" ht="15.0" customHeight="1">
      <c r="A464" s="56" t="s">
        <v>4104</v>
      </c>
      <c r="B464" s="56" t="s">
        <v>4105</v>
      </c>
      <c r="C464" s="57" t="s">
        <v>4106</v>
      </c>
      <c r="D464" s="58">
        <v>9.528294857E9</v>
      </c>
      <c r="E464" s="56" t="s">
        <v>368</v>
      </c>
      <c r="F464" s="56" t="s">
        <v>390</v>
      </c>
      <c r="G464" s="56" t="s">
        <v>452</v>
      </c>
      <c r="H464" s="56" t="s">
        <v>2291</v>
      </c>
      <c r="I464" s="56" t="s">
        <v>5715</v>
      </c>
      <c r="J464" s="56" t="s">
        <v>362</v>
      </c>
      <c r="K464" s="56" t="s">
        <v>364</v>
      </c>
      <c r="L464" s="56" t="s">
        <v>365</v>
      </c>
      <c r="M464" s="56" t="s">
        <v>413</v>
      </c>
      <c r="N464" s="56" t="s">
        <v>5716</v>
      </c>
      <c r="O464" s="58">
        <v>2.0</v>
      </c>
      <c r="P464" s="59"/>
      <c r="Q464" s="56" t="s">
        <v>3633</v>
      </c>
      <c r="R464" s="59"/>
      <c r="S464" s="56" t="s">
        <v>5717</v>
      </c>
      <c r="T464" s="61" t="s">
        <v>373</v>
      </c>
      <c r="U464" s="58" t="s">
        <v>7027</v>
      </c>
      <c r="W464" s="55" t="b">
        <f t="shared" si="1"/>
        <v>0</v>
      </c>
    </row>
    <row r="465" ht="15.0" customHeight="1">
      <c r="A465" s="56" t="s">
        <v>4109</v>
      </c>
      <c r="B465" s="56" t="s">
        <v>7028</v>
      </c>
      <c r="C465" s="57" t="s">
        <v>7029</v>
      </c>
      <c r="D465" s="58">
        <v>7.328584396E9</v>
      </c>
      <c r="E465" s="56" t="s">
        <v>368</v>
      </c>
      <c r="F465" s="56" t="s">
        <v>421</v>
      </c>
      <c r="G465" s="56" t="s">
        <v>452</v>
      </c>
      <c r="H465" s="56" t="s">
        <v>2291</v>
      </c>
      <c r="I465" s="56" t="s">
        <v>5715</v>
      </c>
      <c r="J465" s="56" t="s">
        <v>2291</v>
      </c>
      <c r="K465" s="56" t="s">
        <v>364</v>
      </c>
      <c r="L465" s="56" t="s">
        <v>365</v>
      </c>
      <c r="M465" s="56" t="s">
        <v>366</v>
      </c>
      <c r="N465" s="62" t="s">
        <v>5720</v>
      </c>
      <c r="O465" s="59"/>
      <c r="P465" s="58">
        <v>2.0</v>
      </c>
      <c r="Q465" s="56" t="s">
        <v>880</v>
      </c>
      <c r="R465" s="59"/>
      <c r="S465" s="56" t="s">
        <v>5722</v>
      </c>
      <c r="T465" s="61" t="s">
        <v>373</v>
      </c>
      <c r="U465" s="58" t="s">
        <v>7030</v>
      </c>
      <c r="W465" s="55" t="b">
        <f t="shared" si="1"/>
        <v>0</v>
      </c>
    </row>
    <row r="466" ht="15.0" customHeight="1">
      <c r="A466" s="56" t="s">
        <v>5470</v>
      </c>
      <c r="B466" s="56" t="s">
        <v>7031</v>
      </c>
      <c r="C466" s="57" t="s">
        <v>7032</v>
      </c>
      <c r="D466" s="56" t="s">
        <v>7033</v>
      </c>
      <c r="E466" s="56" t="s">
        <v>368</v>
      </c>
      <c r="F466" s="56" t="s">
        <v>390</v>
      </c>
      <c r="G466" s="56" t="s">
        <v>410</v>
      </c>
      <c r="H466" s="56" t="s">
        <v>459</v>
      </c>
      <c r="I466" s="56" t="s">
        <v>5715</v>
      </c>
      <c r="J466" s="56" t="s">
        <v>421</v>
      </c>
      <c r="K466" s="56" t="s">
        <v>379</v>
      </c>
      <c r="L466" s="56" t="s">
        <v>412</v>
      </c>
      <c r="M466" s="56" t="s">
        <v>366</v>
      </c>
      <c r="N466" s="62" t="s">
        <v>5716</v>
      </c>
      <c r="O466" s="59"/>
      <c r="P466" s="59"/>
      <c r="Q466" s="59"/>
      <c r="R466" s="59"/>
      <c r="S466" s="56" t="s">
        <v>5717</v>
      </c>
      <c r="T466" s="61" t="s">
        <v>394</v>
      </c>
      <c r="U466" s="58" t="s">
        <v>7034</v>
      </c>
      <c r="W466" s="55" t="b">
        <f t="shared" si="1"/>
        <v>0</v>
      </c>
    </row>
    <row r="467" ht="15.0" customHeight="1">
      <c r="A467" s="56" t="s">
        <v>4116</v>
      </c>
      <c r="B467" s="56" t="s">
        <v>7035</v>
      </c>
      <c r="C467" s="57" t="s">
        <v>7036</v>
      </c>
      <c r="D467" s="58">
        <v>7.132404636E9</v>
      </c>
      <c r="E467" s="56" t="s">
        <v>368</v>
      </c>
      <c r="F467" s="56" t="s">
        <v>421</v>
      </c>
      <c r="G467" s="56" t="s">
        <v>410</v>
      </c>
      <c r="H467" s="56" t="s">
        <v>390</v>
      </c>
      <c r="I467" s="56" t="s">
        <v>1553</v>
      </c>
      <c r="J467" s="56" t="s">
        <v>2931</v>
      </c>
      <c r="K467" s="56" t="s">
        <v>379</v>
      </c>
      <c r="L467" s="56" t="s">
        <v>405</v>
      </c>
      <c r="M467" s="56" t="s">
        <v>513</v>
      </c>
      <c r="N467" s="62" t="s">
        <v>5720</v>
      </c>
      <c r="O467" s="59"/>
      <c r="P467" s="59"/>
      <c r="Q467" s="56" t="s">
        <v>3659</v>
      </c>
      <c r="R467" s="59"/>
      <c r="S467" s="56" t="s">
        <v>5722</v>
      </c>
      <c r="T467" s="61" t="s">
        <v>373</v>
      </c>
      <c r="U467" s="58" t="s">
        <v>7037</v>
      </c>
      <c r="W467" s="55" t="b">
        <f t="shared" si="1"/>
        <v>1</v>
      </c>
    </row>
    <row r="468" ht="15.0" customHeight="1">
      <c r="A468" s="56" t="s">
        <v>7038</v>
      </c>
      <c r="B468" s="56" t="s">
        <v>7039</v>
      </c>
      <c r="C468" s="57" t="s">
        <v>7040</v>
      </c>
      <c r="D468" s="56" t="s">
        <v>7041</v>
      </c>
      <c r="E468" s="56" t="s">
        <v>368</v>
      </c>
      <c r="F468" s="56" t="s">
        <v>452</v>
      </c>
      <c r="G468" s="56" t="s">
        <v>5715</v>
      </c>
      <c r="H468" s="62" t="s">
        <v>362</v>
      </c>
      <c r="I468" s="59"/>
      <c r="J468" s="59"/>
      <c r="K468" s="56" t="s">
        <v>399</v>
      </c>
      <c r="L468" s="56" t="s">
        <v>365</v>
      </c>
      <c r="M468" s="56" t="s">
        <v>513</v>
      </c>
      <c r="N468" s="62" t="s">
        <v>5716</v>
      </c>
      <c r="O468" s="59"/>
      <c r="P468" s="59"/>
      <c r="Q468" s="56" t="s">
        <v>988</v>
      </c>
      <c r="R468" s="59"/>
      <c r="S468" s="56" t="s">
        <v>5717</v>
      </c>
      <c r="T468" s="61" t="s">
        <v>373</v>
      </c>
      <c r="U468" s="58" t="s">
        <v>7042</v>
      </c>
      <c r="W468" s="55" t="b">
        <f t="shared" si="1"/>
        <v>1</v>
      </c>
    </row>
    <row r="469" ht="15.0" customHeight="1">
      <c r="A469" s="56" t="s">
        <v>4131</v>
      </c>
      <c r="B469" s="56" t="s">
        <v>4132</v>
      </c>
      <c r="C469" s="57" t="s">
        <v>7043</v>
      </c>
      <c r="D469" s="58">
        <v>9.493909924E9</v>
      </c>
      <c r="E469" s="56" t="s">
        <v>368</v>
      </c>
      <c r="F469" s="56" t="s">
        <v>452</v>
      </c>
      <c r="G469" s="56" t="s">
        <v>2931</v>
      </c>
      <c r="H469" s="56" t="s">
        <v>5715</v>
      </c>
      <c r="I469" s="62" t="s">
        <v>362</v>
      </c>
      <c r="J469" s="59"/>
      <c r="K469" s="56" t="s">
        <v>399</v>
      </c>
      <c r="L469" s="56" t="s">
        <v>380</v>
      </c>
      <c r="M469" s="56" t="s">
        <v>513</v>
      </c>
      <c r="N469" s="62" t="s">
        <v>381</v>
      </c>
      <c r="O469" s="59"/>
      <c r="P469" s="59"/>
      <c r="Q469" s="56" t="s">
        <v>1960</v>
      </c>
      <c r="R469" s="59"/>
      <c r="S469" s="56" t="s">
        <v>5733</v>
      </c>
      <c r="T469" s="61" t="s">
        <v>373</v>
      </c>
      <c r="U469" s="58" t="s">
        <v>7044</v>
      </c>
      <c r="W469" s="55" t="b">
        <f t="shared" si="1"/>
        <v>1</v>
      </c>
    </row>
    <row r="470" ht="15.0" customHeight="1">
      <c r="A470" s="56" t="s">
        <v>242</v>
      </c>
      <c r="B470" s="56" t="s">
        <v>1242</v>
      </c>
      <c r="C470" s="57" t="s">
        <v>4136</v>
      </c>
      <c r="D470" s="56" t="s">
        <v>1244</v>
      </c>
      <c r="E470" s="56" t="s">
        <v>368</v>
      </c>
      <c r="F470" s="56" t="s">
        <v>1553</v>
      </c>
      <c r="G470" s="56" t="s">
        <v>2291</v>
      </c>
      <c r="H470" s="56" t="s">
        <v>390</v>
      </c>
      <c r="I470" s="56" t="s">
        <v>410</v>
      </c>
      <c r="J470" s="56" t="s">
        <v>2286</v>
      </c>
      <c r="K470" s="56" t="s">
        <v>364</v>
      </c>
      <c r="L470" s="56" t="s">
        <v>365</v>
      </c>
      <c r="M470" s="56" t="s">
        <v>366</v>
      </c>
      <c r="N470" s="56" t="s">
        <v>6044</v>
      </c>
      <c r="O470" s="58">
        <v>0.0</v>
      </c>
      <c r="P470" s="58">
        <v>0.0</v>
      </c>
      <c r="Q470" s="56" t="s">
        <v>7045</v>
      </c>
      <c r="R470" s="59"/>
      <c r="S470" s="56" t="s">
        <v>5717</v>
      </c>
      <c r="T470" s="61" t="s">
        <v>373</v>
      </c>
      <c r="U470" s="58" t="s">
        <v>7046</v>
      </c>
      <c r="W470" s="55" t="b">
        <f t="shared" si="1"/>
        <v>0</v>
      </c>
    </row>
    <row r="471" ht="15.0" customHeight="1">
      <c r="A471" s="56" t="s">
        <v>4139</v>
      </c>
      <c r="B471" s="56" t="s">
        <v>4140</v>
      </c>
      <c r="C471" s="57" t="s">
        <v>7047</v>
      </c>
      <c r="D471" s="56" t="s">
        <v>7048</v>
      </c>
      <c r="E471" s="56" t="s">
        <v>368</v>
      </c>
      <c r="F471" s="56" t="s">
        <v>1553</v>
      </c>
      <c r="G471" s="56" t="s">
        <v>390</v>
      </c>
      <c r="H471" s="62" t="s">
        <v>410</v>
      </c>
      <c r="I471" s="59"/>
      <c r="J471" s="59"/>
      <c r="K471" s="56" t="s">
        <v>379</v>
      </c>
      <c r="L471" s="56" t="s">
        <v>365</v>
      </c>
      <c r="M471" s="56" t="s">
        <v>366</v>
      </c>
      <c r="N471" s="56" t="s">
        <v>5720</v>
      </c>
      <c r="O471" s="58">
        <v>0.0</v>
      </c>
      <c r="P471" s="58">
        <v>1.0</v>
      </c>
      <c r="Q471" s="56" t="s">
        <v>21</v>
      </c>
      <c r="R471" s="59"/>
      <c r="S471" s="56" t="s">
        <v>5722</v>
      </c>
      <c r="T471" s="61" t="s">
        <v>373</v>
      </c>
      <c r="U471" s="58" t="s">
        <v>7049</v>
      </c>
      <c r="W471" s="55" t="b">
        <f t="shared" si="1"/>
        <v>0</v>
      </c>
    </row>
    <row r="472" ht="15.0" customHeight="1">
      <c r="A472" s="56" t="s">
        <v>4144</v>
      </c>
      <c r="B472" s="56" t="s">
        <v>4145</v>
      </c>
      <c r="C472" s="57" t="s">
        <v>4146</v>
      </c>
      <c r="D472" s="56" t="s">
        <v>7050</v>
      </c>
      <c r="E472" s="56" t="s">
        <v>368</v>
      </c>
      <c r="F472" s="56" t="s">
        <v>390</v>
      </c>
      <c r="G472" s="56" t="s">
        <v>452</v>
      </c>
      <c r="H472" s="56" t="s">
        <v>675</v>
      </c>
      <c r="I472" s="62" t="s">
        <v>2286</v>
      </c>
      <c r="J472" s="59"/>
      <c r="K472" s="56" t="s">
        <v>364</v>
      </c>
      <c r="L472" s="56" t="s">
        <v>365</v>
      </c>
      <c r="M472" s="56" t="s">
        <v>513</v>
      </c>
      <c r="N472" s="62" t="s">
        <v>5720</v>
      </c>
      <c r="O472" s="59"/>
      <c r="P472" s="59"/>
      <c r="Q472" s="56" t="s">
        <v>4028</v>
      </c>
      <c r="R472" s="59"/>
      <c r="S472" s="56" t="s">
        <v>5722</v>
      </c>
      <c r="T472" s="61" t="s">
        <v>373</v>
      </c>
      <c r="U472" s="58" t="s">
        <v>7051</v>
      </c>
      <c r="W472" s="55" t="b">
        <f t="shared" si="1"/>
        <v>1</v>
      </c>
    </row>
    <row r="473" ht="15.0" customHeight="1">
      <c r="A473" s="56" t="s">
        <v>7052</v>
      </c>
      <c r="B473" s="56" t="s">
        <v>7053</v>
      </c>
      <c r="C473" s="57" t="s">
        <v>7054</v>
      </c>
      <c r="D473" s="56" t="s">
        <v>7055</v>
      </c>
      <c r="E473" s="56" t="s">
        <v>368</v>
      </c>
      <c r="F473" s="56" t="s">
        <v>421</v>
      </c>
      <c r="G473" s="56" t="s">
        <v>452</v>
      </c>
      <c r="H473" s="56" t="s">
        <v>2291</v>
      </c>
      <c r="I473" s="56" t="s">
        <v>2931</v>
      </c>
      <c r="J473" s="56" t="s">
        <v>390</v>
      </c>
      <c r="K473" s="56" t="s">
        <v>399</v>
      </c>
      <c r="L473" s="56" t="s">
        <v>365</v>
      </c>
      <c r="M473" s="56" t="s">
        <v>366</v>
      </c>
      <c r="N473" s="56" t="s">
        <v>5720</v>
      </c>
      <c r="O473" s="58">
        <v>0.0</v>
      </c>
      <c r="P473" s="58">
        <v>2.0</v>
      </c>
      <c r="Q473" s="56" t="s">
        <v>4764</v>
      </c>
      <c r="R473" s="59"/>
      <c r="S473" s="56" t="s">
        <v>5722</v>
      </c>
      <c r="T473" s="61" t="s">
        <v>373</v>
      </c>
      <c r="U473" s="58" t="s">
        <v>7056</v>
      </c>
      <c r="W473" s="55" t="b">
        <f t="shared" si="1"/>
        <v>0</v>
      </c>
    </row>
    <row r="474" ht="15.0" customHeight="1">
      <c r="A474" s="56" t="s">
        <v>4159</v>
      </c>
      <c r="B474" s="56" t="s">
        <v>4160</v>
      </c>
      <c r="C474" s="57" t="s">
        <v>4161</v>
      </c>
      <c r="D474" s="56" t="s">
        <v>7057</v>
      </c>
      <c r="E474" s="56" t="s">
        <v>368</v>
      </c>
      <c r="F474" s="56" t="s">
        <v>390</v>
      </c>
      <c r="G474" s="56" t="s">
        <v>2291</v>
      </c>
      <c r="H474" s="56" t="s">
        <v>452</v>
      </c>
      <c r="I474" s="62" t="s">
        <v>410</v>
      </c>
      <c r="J474" s="59"/>
      <c r="K474" s="56" t="s">
        <v>379</v>
      </c>
      <c r="L474" s="56" t="s">
        <v>365</v>
      </c>
      <c r="M474" s="56" t="s">
        <v>869</v>
      </c>
      <c r="N474" s="62" t="s">
        <v>5716</v>
      </c>
      <c r="O474" s="59"/>
      <c r="P474" s="59"/>
      <c r="Q474" s="56" t="s">
        <v>3155</v>
      </c>
      <c r="R474" s="59"/>
      <c r="S474" s="56" t="s">
        <v>5717</v>
      </c>
      <c r="T474" s="61" t="s">
        <v>373</v>
      </c>
      <c r="U474" s="58" t="s">
        <v>7058</v>
      </c>
      <c r="W474" s="55" t="b">
        <f t="shared" si="1"/>
        <v>0</v>
      </c>
    </row>
    <row r="475" ht="15.0" customHeight="1">
      <c r="A475" s="56" t="s">
        <v>7059</v>
      </c>
      <c r="B475" s="56" t="s">
        <v>7060</v>
      </c>
      <c r="C475" s="57" t="s">
        <v>7061</v>
      </c>
      <c r="D475" s="58">
        <v>9.03440264E9</v>
      </c>
      <c r="E475" s="56" t="s">
        <v>368</v>
      </c>
      <c r="F475" s="56" t="s">
        <v>452</v>
      </c>
      <c r="G475" s="56" t="s">
        <v>5715</v>
      </c>
      <c r="H475" s="56" t="s">
        <v>362</v>
      </c>
      <c r="I475" s="56" t="s">
        <v>390</v>
      </c>
      <c r="J475" s="56" t="s">
        <v>634</v>
      </c>
      <c r="K475" s="56" t="s">
        <v>379</v>
      </c>
      <c r="L475" s="56" t="s">
        <v>365</v>
      </c>
      <c r="M475" s="56" t="s">
        <v>366</v>
      </c>
      <c r="N475" s="62" t="s">
        <v>5720</v>
      </c>
      <c r="O475" s="59"/>
      <c r="P475" s="59"/>
      <c r="Q475" s="56" t="s">
        <v>4328</v>
      </c>
      <c r="R475" s="59"/>
      <c r="S475" s="56" t="s">
        <v>5722</v>
      </c>
      <c r="T475" s="61" t="s">
        <v>373</v>
      </c>
      <c r="U475" s="58" t="s">
        <v>7062</v>
      </c>
      <c r="W475" s="55" t="b">
        <f t="shared" si="1"/>
        <v>0</v>
      </c>
    </row>
    <row r="476" ht="15.0" customHeight="1">
      <c r="A476" s="56" t="s">
        <v>244</v>
      </c>
      <c r="B476" s="56" t="s">
        <v>1940</v>
      </c>
      <c r="C476" s="57" t="s">
        <v>1941</v>
      </c>
      <c r="D476" s="56" t="s">
        <v>5480</v>
      </c>
      <c r="E476" s="56" t="s">
        <v>368</v>
      </c>
      <c r="F476" s="56" t="s">
        <v>452</v>
      </c>
      <c r="G476" s="56" t="s">
        <v>5715</v>
      </c>
      <c r="H476" s="56" t="s">
        <v>390</v>
      </c>
      <c r="I476" s="62" t="s">
        <v>390</v>
      </c>
      <c r="J476" s="59"/>
      <c r="K476" s="56" t="s">
        <v>399</v>
      </c>
      <c r="L476" s="56" t="s">
        <v>380</v>
      </c>
      <c r="M476" s="56" t="s">
        <v>366</v>
      </c>
      <c r="N476" s="56" t="s">
        <v>5716</v>
      </c>
      <c r="O476" s="58">
        <v>1.0</v>
      </c>
      <c r="P476" s="58">
        <v>0.0</v>
      </c>
      <c r="Q476" s="56" t="s">
        <v>2872</v>
      </c>
      <c r="R476" s="59"/>
      <c r="S476" s="56" t="s">
        <v>5717</v>
      </c>
      <c r="T476" s="61" t="s">
        <v>373</v>
      </c>
      <c r="U476" s="58" t="s">
        <v>7063</v>
      </c>
      <c r="W476" s="55" t="b">
        <f t="shared" si="1"/>
        <v>0</v>
      </c>
    </row>
    <row r="477" ht="15.0" customHeight="1">
      <c r="A477" s="56" t="s">
        <v>245</v>
      </c>
      <c r="B477" s="56" t="s">
        <v>7064</v>
      </c>
      <c r="C477" s="57" t="s">
        <v>4170</v>
      </c>
      <c r="D477" s="58">
        <v>2.147978805E9</v>
      </c>
      <c r="E477" s="56" t="s">
        <v>368</v>
      </c>
      <c r="F477" s="56" t="s">
        <v>2286</v>
      </c>
      <c r="G477" s="56" t="s">
        <v>1789</v>
      </c>
      <c r="H477" s="62" t="s">
        <v>716</v>
      </c>
      <c r="I477" s="59"/>
      <c r="J477" s="59"/>
      <c r="K477" s="56" t="s">
        <v>364</v>
      </c>
      <c r="L477" s="56" t="s">
        <v>380</v>
      </c>
      <c r="M477" s="56" t="s">
        <v>413</v>
      </c>
      <c r="N477" s="62" t="s">
        <v>5770</v>
      </c>
      <c r="O477" s="59"/>
      <c r="P477" s="59"/>
      <c r="Q477" s="56" t="s">
        <v>2044</v>
      </c>
      <c r="R477" s="59"/>
      <c r="S477" s="56" t="s">
        <v>5722</v>
      </c>
      <c r="T477" s="61" t="s">
        <v>373</v>
      </c>
      <c r="U477" s="58" t="s">
        <v>7065</v>
      </c>
      <c r="W477" s="55" t="b">
        <f t="shared" si="1"/>
        <v>0</v>
      </c>
    </row>
    <row r="478" ht="15.0" customHeight="1">
      <c r="A478" s="56" t="s">
        <v>7066</v>
      </c>
      <c r="B478" s="56" t="s">
        <v>7067</v>
      </c>
      <c r="C478" s="57" t="s">
        <v>7068</v>
      </c>
      <c r="D478" s="58">
        <v>9.17903534E9</v>
      </c>
      <c r="E478" s="56" t="s">
        <v>368</v>
      </c>
      <c r="F478" s="56" t="s">
        <v>362</v>
      </c>
      <c r="G478" s="62" t="s">
        <v>5715</v>
      </c>
      <c r="H478" s="59"/>
      <c r="I478" s="59"/>
      <c r="J478" s="59"/>
      <c r="K478" s="56" t="s">
        <v>364</v>
      </c>
      <c r="L478" s="56" t="s">
        <v>405</v>
      </c>
      <c r="M478" s="56" t="s">
        <v>513</v>
      </c>
      <c r="N478" s="62" t="s">
        <v>5946</v>
      </c>
      <c r="O478" s="59"/>
      <c r="P478" s="59"/>
      <c r="Q478" s="56" t="s">
        <v>768</v>
      </c>
      <c r="R478" s="59"/>
      <c r="S478" s="56" t="s">
        <v>5717</v>
      </c>
      <c r="T478" s="61" t="s">
        <v>373</v>
      </c>
      <c r="U478" s="58" t="s">
        <v>7069</v>
      </c>
      <c r="W478" s="55" t="b">
        <f t="shared" si="1"/>
        <v>1</v>
      </c>
    </row>
    <row r="479" ht="15.0" customHeight="1">
      <c r="A479" s="56" t="s">
        <v>7070</v>
      </c>
      <c r="B479" s="56" t="s">
        <v>7071</v>
      </c>
      <c r="C479" s="57" t="s">
        <v>7072</v>
      </c>
      <c r="D479" s="58">
        <v>6.789044726E9</v>
      </c>
      <c r="E479" s="56" t="s">
        <v>368</v>
      </c>
      <c r="F479" s="56" t="s">
        <v>675</v>
      </c>
      <c r="G479" s="56" t="s">
        <v>2286</v>
      </c>
      <c r="H479" s="56" t="s">
        <v>410</v>
      </c>
      <c r="I479" s="56" t="s">
        <v>452</v>
      </c>
      <c r="J479" s="56" t="s">
        <v>390</v>
      </c>
      <c r="K479" s="56" t="s">
        <v>364</v>
      </c>
      <c r="L479" s="56" t="s">
        <v>830</v>
      </c>
      <c r="M479" s="56" t="s">
        <v>513</v>
      </c>
      <c r="N479" s="56" t="s">
        <v>5716</v>
      </c>
      <c r="O479" s="58">
        <v>1.0</v>
      </c>
      <c r="P479" s="59"/>
      <c r="Q479" s="56" t="s">
        <v>2566</v>
      </c>
      <c r="R479" s="59"/>
      <c r="S479" s="56" t="s">
        <v>5717</v>
      </c>
      <c r="T479" s="61" t="s">
        <v>373</v>
      </c>
      <c r="U479" s="58" t="s">
        <v>7073</v>
      </c>
      <c r="W479" s="55" t="b">
        <f t="shared" si="1"/>
        <v>1</v>
      </c>
    </row>
    <row r="480" ht="15.0" customHeight="1">
      <c r="A480" s="56" t="s">
        <v>7074</v>
      </c>
      <c r="B480" s="56" t="s">
        <v>7075</v>
      </c>
      <c r="C480" s="57" t="s">
        <v>7076</v>
      </c>
      <c r="D480" s="56" t="s">
        <v>7077</v>
      </c>
      <c r="E480" s="56" t="s">
        <v>368</v>
      </c>
      <c r="F480" s="56" t="s">
        <v>452</v>
      </c>
      <c r="G480" s="62" t="s">
        <v>390</v>
      </c>
      <c r="H480" s="59"/>
      <c r="I480" s="59"/>
      <c r="J480" s="59"/>
      <c r="K480" s="56" t="s">
        <v>364</v>
      </c>
      <c r="L480" s="56" t="s">
        <v>365</v>
      </c>
      <c r="M480" s="56" t="s">
        <v>366</v>
      </c>
      <c r="N480" s="56" t="s">
        <v>5716</v>
      </c>
      <c r="O480" s="58">
        <v>1.0</v>
      </c>
      <c r="P480" s="59"/>
      <c r="Q480" s="56" t="s">
        <v>7078</v>
      </c>
      <c r="R480" s="59"/>
      <c r="S480" s="56" t="s">
        <v>5717</v>
      </c>
      <c r="T480" s="61" t="s">
        <v>394</v>
      </c>
      <c r="U480" s="58" t="s">
        <v>7079</v>
      </c>
      <c r="W480" s="55" t="b">
        <f t="shared" si="1"/>
        <v>0</v>
      </c>
    </row>
    <row r="481" ht="15.0" customHeight="1">
      <c r="A481" s="56" t="s">
        <v>246</v>
      </c>
      <c r="B481" s="56" t="s">
        <v>7080</v>
      </c>
      <c r="C481" s="57" t="s">
        <v>5486</v>
      </c>
      <c r="D481" s="58">
        <v>2.144732474E9</v>
      </c>
      <c r="E481" s="56" t="s">
        <v>368</v>
      </c>
      <c r="F481" s="56" t="s">
        <v>2286</v>
      </c>
      <c r="G481" s="56" t="s">
        <v>1789</v>
      </c>
      <c r="H481" s="56" t="s">
        <v>452</v>
      </c>
      <c r="I481" s="62" t="s">
        <v>390</v>
      </c>
      <c r="J481" s="59"/>
      <c r="K481" s="56" t="s">
        <v>364</v>
      </c>
      <c r="L481" s="56" t="s">
        <v>365</v>
      </c>
      <c r="M481" s="56" t="s">
        <v>366</v>
      </c>
      <c r="N481" s="62" t="s">
        <v>5716</v>
      </c>
      <c r="O481" s="59"/>
      <c r="P481" s="59"/>
      <c r="Q481" s="56" t="s">
        <v>574</v>
      </c>
      <c r="R481" s="59"/>
      <c r="S481" s="56" t="s">
        <v>5717</v>
      </c>
      <c r="T481" s="61" t="s">
        <v>373</v>
      </c>
      <c r="U481" s="58" t="s">
        <v>6658</v>
      </c>
      <c r="W481" s="55" t="b">
        <f t="shared" si="1"/>
        <v>0</v>
      </c>
    </row>
    <row r="482" ht="15.0" customHeight="1">
      <c r="A482" s="56" t="s">
        <v>7081</v>
      </c>
      <c r="B482" s="56" t="s">
        <v>4172</v>
      </c>
      <c r="C482" s="57" t="s">
        <v>4173</v>
      </c>
      <c r="D482" s="58">
        <v>9.406002893E9</v>
      </c>
      <c r="E482" s="56" t="s">
        <v>368</v>
      </c>
      <c r="F482" s="56" t="s">
        <v>362</v>
      </c>
      <c r="G482" s="62" t="s">
        <v>5715</v>
      </c>
      <c r="H482" s="59"/>
      <c r="I482" s="59"/>
      <c r="J482" s="59"/>
      <c r="K482" s="56" t="s">
        <v>379</v>
      </c>
      <c r="L482" s="56" t="s">
        <v>365</v>
      </c>
      <c r="M482" s="56" t="s">
        <v>366</v>
      </c>
      <c r="N482" s="62" t="s">
        <v>5946</v>
      </c>
      <c r="O482" s="59"/>
      <c r="P482" s="59"/>
      <c r="Q482" s="56" t="s">
        <v>1972</v>
      </c>
      <c r="R482" s="59"/>
      <c r="S482" s="56" t="s">
        <v>5717</v>
      </c>
      <c r="T482" s="61" t="s">
        <v>373</v>
      </c>
      <c r="U482" s="58" t="s">
        <v>7082</v>
      </c>
      <c r="W482" s="55" t="b">
        <f t="shared" si="1"/>
        <v>0</v>
      </c>
    </row>
    <row r="483" ht="15.0" customHeight="1">
      <c r="A483" s="56" t="s">
        <v>7083</v>
      </c>
      <c r="B483" s="56" t="s">
        <v>4175</v>
      </c>
      <c r="C483" s="57" t="s">
        <v>4176</v>
      </c>
      <c r="D483" s="56" t="s">
        <v>5489</v>
      </c>
      <c r="E483" s="56" t="s">
        <v>368</v>
      </c>
      <c r="F483" s="56" t="s">
        <v>2286</v>
      </c>
      <c r="G483" s="56" t="s">
        <v>452</v>
      </c>
      <c r="H483" s="62" t="s">
        <v>390</v>
      </c>
      <c r="I483" s="59"/>
      <c r="J483" s="59"/>
      <c r="K483" s="56" t="s">
        <v>364</v>
      </c>
      <c r="L483" s="56" t="s">
        <v>412</v>
      </c>
      <c r="M483" s="56" t="s">
        <v>413</v>
      </c>
      <c r="N483" s="56" t="s">
        <v>483</v>
      </c>
      <c r="O483" s="58">
        <v>0.0</v>
      </c>
      <c r="P483" s="58">
        <v>0.0</v>
      </c>
      <c r="Q483" s="56" t="s">
        <v>1157</v>
      </c>
      <c r="R483" s="59"/>
      <c r="S483" s="56" t="s">
        <v>5733</v>
      </c>
      <c r="T483" s="61" t="s">
        <v>373</v>
      </c>
      <c r="U483" s="58" t="s">
        <v>6385</v>
      </c>
      <c r="W483" s="55" t="b">
        <f t="shared" si="1"/>
        <v>0</v>
      </c>
    </row>
    <row r="484" ht="15.0" customHeight="1">
      <c r="A484" s="56" t="s">
        <v>7084</v>
      </c>
      <c r="B484" s="56" t="s">
        <v>7085</v>
      </c>
      <c r="C484" s="57" t="s">
        <v>7086</v>
      </c>
      <c r="D484" s="56" t="s">
        <v>7087</v>
      </c>
      <c r="E484" s="56" t="s">
        <v>368</v>
      </c>
      <c r="F484" s="56" t="s">
        <v>452</v>
      </c>
      <c r="G484" s="56" t="s">
        <v>390</v>
      </c>
      <c r="H484" s="56" t="s">
        <v>443</v>
      </c>
      <c r="I484" s="56" t="s">
        <v>362</v>
      </c>
      <c r="J484" s="56" t="s">
        <v>5715</v>
      </c>
      <c r="K484" s="56" t="s">
        <v>399</v>
      </c>
      <c r="L484" s="56" t="s">
        <v>365</v>
      </c>
      <c r="M484" s="56" t="s">
        <v>513</v>
      </c>
      <c r="N484" s="62" t="s">
        <v>5716</v>
      </c>
      <c r="O484" s="59"/>
      <c r="P484" s="59"/>
      <c r="Q484" s="56" t="s">
        <v>1252</v>
      </c>
      <c r="R484" s="59"/>
      <c r="S484" s="56" t="s">
        <v>5717</v>
      </c>
      <c r="T484" s="61" t="s">
        <v>373</v>
      </c>
      <c r="U484" s="58" t="s">
        <v>7088</v>
      </c>
      <c r="W484" s="55" t="b">
        <f t="shared" si="1"/>
        <v>1</v>
      </c>
    </row>
    <row r="485" ht="15.0" customHeight="1">
      <c r="A485" s="56" t="s">
        <v>248</v>
      </c>
      <c r="B485" s="56" t="s">
        <v>4178</v>
      </c>
      <c r="C485" s="57" t="s">
        <v>4179</v>
      </c>
      <c r="D485" s="56" t="s">
        <v>5497</v>
      </c>
      <c r="E485" s="56" t="s">
        <v>368</v>
      </c>
      <c r="F485" s="56" t="s">
        <v>452</v>
      </c>
      <c r="G485" s="56" t="s">
        <v>390</v>
      </c>
      <c r="H485" s="62" t="s">
        <v>709</v>
      </c>
      <c r="I485" s="59"/>
      <c r="J485" s="59"/>
      <c r="K485" s="56" t="s">
        <v>379</v>
      </c>
      <c r="L485" s="56" t="s">
        <v>405</v>
      </c>
      <c r="M485" s="56" t="s">
        <v>413</v>
      </c>
      <c r="N485" s="62" t="s">
        <v>5720</v>
      </c>
      <c r="O485" s="59"/>
      <c r="P485" s="58">
        <v>1.0</v>
      </c>
      <c r="Q485" s="56" t="s">
        <v>6707</v>
      </c>
      <c r="R485" s="59"/>
      <c r="S485" s="56" t="s">
        <v>5722</v>
      </c>
      <c r="T485" s="61" t="s">
        <v>373</v>
      </c>
      <c r="U485" s="58" t="s">
        <v>6444</v>
      </c>
      <c r="W485" s="55" t="b">
        <f t="shared" si="1"/>
        <v>0</v>
      </c>
    </row>
    <row r="486" ht="15.0" customHeight="1">
      <c r="A486" s="56" t="s">
        <v>321</v>
      </c>
      <c r="B486" s="56" t="s">
        <v>7089</v>
      </c>
      <c r="C486" s="57" t="s">
        <v>7090</v>
      </c>
      <c r="D486" s="56" t="s">
        <v>7091</v>
      </c>
      <c r="E486" s="56" t="s">
        <v>368</v>
      </c>
      <c r="F486" s="56" t="s">
        <v>390</v>
      </c>
      <c r="G486" s="56" t="s">
        <v>459</v>
      </c>
      <c r="H486" s="56" t="s">
        <v>1553</v>
      </c>
      <c r="I486" s="62" t="s">
        <v>877</v>
      </c>
      <c r="J486" s="59"/>
      <c r="K486" s="56" t="s">
        <v>399</v>
      </c>
      <c r="L486" s="56" t="s">
        <v>365</v>
      </c>
      <c r="M486" s="56" t="s">
        <v>513</v>
      </c>
      <c r="N486" s="56" t="s">
        <v>5716</v>
      </c>
      <c r="O486" s="58">
        <v>1.0</v>
      </c>
      <c r="P486" s="59"/>
      <c r="Q486" s="56" t="s">
        <v>3932</v>
      </c>
      <c r="R486" s="59"/>
      <c r="S486" s="56" t="s">
        <v>5717</v>
      </c>
      <c r="T486" s="61" t="s">
        <v>373</v>
      </c>
      <c r="U486" s="58" t="s">
        <v>7092</v>
      </c>
      <c r="W486" s="55" t="b">
        <f t="shared" si="1"/>
        <v>1</v>
      </c>
    </row>
    <row r="487" ht="15.0" customHeight="1">
      <c r="A487" s="56" t="s">
        <v>250</v>
      </c>
      <c r="B487" s="56" t="s">
        <v>7093</v>
      </c>
      <c r="C487" s="57" t="s">
        <v>7094</v>
      </c>
      <c r="D487" s="58">
        <v>2.146401732E9</v>
      </c>
      <c r="E487" s="56" t="s">
        <v>368</v>
      </c>
      <c r="F487" s="56" t="s">
        <v>2286</v>
      </c>
      <c r="G487" s="56" t="s">
        <v>5719</v>
      </c>
      <c r="H487" s="62" t="s">
        <v>1789</v>
      </c>
      <c r="I487" s="59"/>
      <c r="J487" s="59"/>
      <c r="K487" s="56" t="s">
        <v>379</v>
      </c>
      <c r="L487" s="56" t="s">
        <v>365</v>
      </c>
      <c r="M487" s="56" t="s">
        <v>513</v>
      </c>
      <c r="N487" s="62" t="s">
        <v>5716</v>
      </c>
      <c r="O487" s="59"/>
      <c r="P487" s="59"/>
      <c r="Q487" s="56" t="s">
        <v>401</v>
      </c>
      <c r="R487" s="59"/>
      <c r="S487" s="56" t="s">
        <v>5717</v>
      </c>
      <c r="T487" s="61" t="s">
        <v>373</v>
      </c>
      <c r="U487" s="58" t="s">
        <v>7095</v>
      </c>
      <c r="W487" s="55" t="b">
        <f t="shared" si="1"/>
        <v>1</v>
      </c>
    </row>
    <row r="488" ht="15.0" customHeight="1">
      <c r="A488" s="56" t="s">
        <v>251</v>
      </c>
      <c r="B488" s="56" t="s">
        <v>1974</v>
      </c>
      <c r="C488" s="57" t="s">
        <v>1975</v>
      </c>
      <c r="D488" s="58">
        <v>3.466029089E9</v>
      </c>
      <c r="E488" s="56" t="s">
        <v>368</v>
      </c>
      <c r="F488" s="56" t="s">
        <v>390</v>
      </c>
      <c r="G488" s="56" t="s">
        <v>410</v>
      </c>
      <c r="H488" s="56" t="s">
        <v>459</v>
      </c>
      <c r="I488" s="62" t="s">
        <v>421</v>
      </c>
      <c r="J488" s="59"/>
      <c r="K488" s="56" t="s">
        <v>379</v>
      </c>
      <c r="L488" s="56" t="s">
        <v>365</v>
      </c>
      <c r="M488" s="56" t="s">
        <v>413</v>
      </c>
      <c r="N488" s="62" t="s">
        <v>497</v>
      </c>
      <c r="O488" s="59"/>
      <c r="P488" s="59"/>
      <c r="Q488" s="56" t="s">
        <v>7096</v>
      </c>
      <c r="R488" s="59"/>
      <c r="S488" s="56" t="s">
        <v>5733</v>
      </c>
      <c r="T488" s="61" t="s">
        <v>373</v>
      </c>
      <c r="U488" s="58" t="s">
        <v>7097</v>
      </c>
      <c r="W488" s="55" t="b">
        <f t="shared" si="1"/>
        <v>0</v>
      </c>
    </row>
    <row r="489" ht="15.0" customHeight="1">
      <c r="A489" s="56" t="s">
        <v>4195</v>
      </c>
      <c r="B489" s="56" t="s">
        <v>4196</v>
      </c>
      <c r="C489" s="57" t="s">
        <v>4197</v>
      </c>
      <c r="D489" s="58">
        <v>3.615428815E9</v>
      </c>
      <c r="E489" s="56" t="s">
        <v>368</v>
      </c>
      <c r="F489" s="56" t="s">
        <v>410</v>
      </c>
      <c r="G489" s="62" t="s">
        <v>390</v>
      </c>
      <c r="H489" s="59"/>
      <c r="I489" s="59"/>
      <c r="J489" s="59"/>
      <c r="K489" s="56" t="s">
        <v>379</v>
      </c>
      <c r="L489" s="56" t="s">
        <v>412</v>
      </c>
      <c r="M489" s="56" t="s">
        <v>366</v>
      </c>
      <c r="N489" s="56" t="s">
        <v>5720</v>
      </c>
      <c r="O489" s="58">
        <v>0.0</v>
      </c>
      <c r="P489" s="58">
        <v>2.0</v>
      </c>
      <c r="Q489" s="56" t="s">
        <v>754</v>
      </c>
      <c r="R489" s="59"/>
      <c r="S489" s="56" t="s">
        <v>5722</v>
      </c>
      <c r="T489" s="61" t="s">
        <v>373</v>
      </c>
      <c r="U489" s="58" t="s">
        <v>7098</v>
      </c>
      <c r="W489" s="55" t="b">
        <f t="shared" si="1"/>
        <v>0</v>
      </c>
    </row>
    <row r="490" ht="15.0" customHeight="1">
      <c r="A490" s="56" t="s">
        <v>253</v>
      </c>
      <c r="B490" s="56" t="s">
        <v>7099</v>
      </c>
      <c r="C490" s="57" t="s">
        <v>7100</v>
      </c>
      <c r="D490" s="56" t="s">
        <v>5505</v>
      </c>
      <c r="E490" s="56" t="s">
        <v>368</v>
      </c>
      <c r="F490" s="62" t="s">
        <v>452</v>
      </c>
      <c r="G490" s="59"/>
      <c r="H490" s="59"/>
      <c r="I490" s="59"/>
      <c r="J490" s="59"/>
      <c r="K490" s="56" t="s">
        <v>364</v>
      </c>
      <c r="L490" s="56" t="s">
        <v>412</v>
      </c>
      <c r="M490" s="56" t="s">
        <v>366</v>
      </c>
      <c r="N490" s="62" t="s">
        <v>5720</v>
      </c>
      <c r="O490" s="59"/>
      <c r="P490" s="59"/>
      <c r="Q490" s="56" t="s">
        <v>2102</v>
      </c>
      <c r="R490" s="59"/>
      <c r="S490" s="56" t="s">
        <v>5722</v>
      </c>
      <c r="T490" s="61" t="s">
        <v>373</v>
      </c>
      <c r="U490" s="58" t="s">
        <v>7101</v>
      </c>
      <c r="W490" s="55" t="b">
        <f t="shared" si="1"/>
        <v>0</v>
      </c>
    </row>
    <row r="491" ht="15.0" customHeight="1">
      <c r="A491" s="56" t="s">
        <v>7102</v>
      </c>
      <c r="B491" s="56" t="s">
        <v>7103</v>
      </c>
      <c r="C491" s="57" t="s">
        <v>7104</v>
      </c>
      <c r="D491" s="56" t="s">
        <v>7105</v>
      </c>
      <c r="E491" s="56" t="s">
        <v>368</v>
      </c>
      <c r="F491" s="56" t="s">
        <v>452</v>
      </c>
      <c r="G491" s="56" t="s">
        <v>5715</v>
      </c>
      <c r="H491" s="62" t="s">
        <v>362</v>
      </c>
      <c r="I491" s="59"/>
      <c r="J491" s="59"/>
      <c r="K491" s="56" t="s">
        <v>399</v>
      </c>
      <c r="L491" s="56" t="s">
        <v>365</v>
      </c>
      <c r="M491" s="56" t="s">
        <v>366</v>
      </c>
      <c r="N491" s="62" t="s">
        <v>5720</v>
      </c>
      <c r="O491" s="59"/>
      <c r="P491" s="59"/>
      <c r="Q491" s="56" t="s">
        <v>3607</v>
      </c>
      <c r="R491" s="59"/>
      <c r="S491" s="56" t="s">
        <v>5722</v>
      </c>
      <c r="T491" s="61" t="s">
        <v>373</v>
      </c>
      <c r="U491" s="58" t="s">
        <v>7106</v>
      </c>
      <c r="W491" s="55" t="b">
        <f t="shared" si="1"/>
        <v>0</v>
      </c>
    </row>
    <row r="492" ht="15.0" customHeight="1">
      <c r="A492" s="56" t="s">
        <v>7107</v>
      </c>
      <c r="B492" s="56" t="s">
        <v>4207</v>
      </c>
      <c r="C492" s="57" t="s">
        <v>4208</v>
      </c>
      <c r="D492" s="56" t="s">
        <v>7108</v>
      </c>
      <c r="E492" s="56" t="s">
        <v>368</v>
      </c>
      <c r="F492" s="56" t="s">
        <v>390</v>
      </c>
      <c r="G492" s="56" t="s">
        <v>410</v>
      </c>
      <c r="H492" s="56" t="s">
        <v>452</v>
      </c>
      <c r="I492" s="56" t="s">
        <v>362</v>
      </c>
      <c r="J492" s="56" t="s">
        <v>1553</v>
      </c>
      <c r="K492" s="56" t="s">
        <v>379</v>
      </c>
      <c r="L492" s="56" t="s">
        <v>405</v>
      </c>
      <c r="M492" s="56" t="s">
        <v>366</v>
      </c>
      <c r="N492" s="62" t="s">
        <v>381</v>
      </c>
      <c r="O492" s="59"/>
      <c r="P492" s="59"/>
      <c r="Q492" s="59"/>
      <c r="R492" s="59"/>
      <c r="S492" s="56" t="s">
        <v>5733</v>
      </c>
      <c r="T492" s="61" t="s">
        <v>394</v>
      </c>
      <c r="U492" s="58" t="s">
        <v>7109</v>
      </c>
      <c r="W492" s="55" t="b">
        <f t="shared" si="1"/>
        <v>0</v>
      </c>
    </row>
    <row r="493" ht="15.0" customHeight="1">
      <c r="A493" s="56" t="s">
        <v>7110</v>
      </c>
      <c r="B493" s="56" t="s">
        <v>7111</v>
      </c>
      <c r="C493" s="57" t="s">
        <v>7112</v>
      </c>
      <c r="D493" s="58">
        <v>9.797772055E9</v>
      </c>
      <c r="E493" s="56" t="s">
        <v>368</v>
      </c>
      <c r="F493" s="56" t="s">
        <v>410</v>
      </c>
      <c r="G493" s="56" t="s">
        <v>443</v>
      </c>
      <c r="H493" s="56" t="s">
        <v>390</v>
      </c>
      <c r="I493" s="56" t="s">
        <v>5715</v>
      </c>
      <c r="J493" s="56" t="s">
        <v>2286</v>
      </c>
      <c r="K493" s="56" t="s">
        <v>379</v>
      </c>
      <c r="L493" s="56" t="s">
        <v>412</v>
      </c>
      <c r="M493" s="56" t="s">
        <v>513</v>
      </c>
      <c r="N493" s="62" t="s">
        <v>5720</v>
      </c>
      <c r="O493" s="59"/>
      <c r="P493" s="59"/>
      <c r="Q493" s="56" t="s">
        <v>5665</v>
      </c>
      <c r="R493" s="59"/>
      <c r="S493" s="56" t="s">
        <v>5722</v>
      </c>
      <c r="T493" s="61" t="s">
        <v>373</v>
      </c>
      <c r="U493" s="58" t="s">
        <v>7113</v>
      </c>
      <c r="W493" s="55" t="b">
        <f t="shared" si="1"/>
        <v>1</v>
      </c>
    </row>
    <row r="494" ht="15.0" customHeight="1">
      <c r="A494" s="56" t="s">
        <v>7114</v>
      </c>
      <c r="B494" s="56" t="s">
        <v>7115</v>
      </c>
      <c r="C494" s="57" t="s">
        <v>2048</v>
      </c>
      <c r="D494" s="58">
        <v>9.794369359E9</v>
      </c>
      <c r="E494" s="56" t="s">
        <v>368</v>
      </c>
      <c r="F494" s="56" t="s">
        <v>443</v>
      </c>
      <c r="G494" s="56" t="s">
        <v>5719</v>
      </c>
      <c r="H494" s="56" t="s">
        <v>459</v>
      </c>
      <c r="I494" s="56" t="s">
        <v>709</v>
      </c>
      <c r="J494" s="56" t="s">
        <v>390</v>
      </c>
      <c r="K494" s="56" t="s">
        <v>364</v>
      </c>
      <c r="L494" s="56" t="s">
        <v>412</v>
      </c>
      <c r="M494" s="56" t="s">
        <v>366</v>
      </c>
      <c r="N494" s="62" t="s">
        <v>381</v>
      </c>
      <c r="O494" s="59"/>
      <c r="P494" s="59"/>
      <c r="Q494" s="56" t="s">
        <v>7116</v>
      </c>
      <c r="R494" s="59"/>
      <c r="S494" s="56" t="s">
        <v>5733</v>
      </c>
      <c r="T494" s="61" t="s">
        <v>373</v>
      </c>
      <c r="U494" s="58" t="s">
        <v>6010</v>
      </c>
      <c r="W494" s="55" t="b">
        <f t="shared" si="1"/>
        <v>0</v>
      </c>
    </row>
    <row r="495" ht="15.0" customHeight="1">
      <c r="A495" s="56" t="s">
        <v>4220</v>
      </c>
      <c r="B495" s="56" t="s">
        <v>7117</v>
      </c>
      <c r="C495" s="57" t="s">
        <v>7118</v>
      </c>
      <c r="D495" s="58">
        <v>6.036848271E9</v>
      </c>
      <c r="E495" s="56" t="s">
        <v>368</v>
      </c>
      <c r="F495" s="56" t="s">
        <v>362</v>
      </c>
      <c r="G495" s="62" t="s">
        <v>5715</v>
      </c>
      <c r="H495" s="59"/>
      <c r="I495" s="59"/>
      <c r="J495" s="59"/>
      <c r="K495" s="56" t="s">
        <v>379</v>
      </c>
      <c r="L495" s="56" t="s">
        <v>365</v>
      </c>
      <c r="M495" s="56" t="s">
        <v>366</v>
      </c>
      <c r="N495" s="62" t="s">
        <v>5716</v>
      </c>
      <c r="O495" s="59"/>
      <c r="P495" s="59"/>
      <c r="Q495" s="56" t="s">
        <v>2492</v>
      </c>
      <c r="R495" s="59"/>
      <c r="S495" s="56" t="s">
        <v>5717</v>
      </c>
      <c r="T495" s="61" t="s">
        <v>373</v>
      </c>
      <c r="U495" s="58" t="s">
        <v>7119</v>
      </c>
      <c r="W495" s="55" t="b">
        <f t="shared" si="1"/>
        <v>0</v>
      </c>
    </row>
    <row r="496" ht="15.0" customHeight="1">
      <c r="A496" s="56" t="s">
        <v>4225</v>
      </c>
      <c r="B496" s="56" t="s">
        <v>7120</v>
      </c>
      <c r="C496" s="57" t="s">
        <v>7121</v>
      </c>
      <c r="D496" s="56" t="s">
        <v>7122</v>
      </c>
      <c r="E496" s="56" t="s">
        <v>368</v>
      </c>
      <c r="F496" s="56" t="s">
        <v>410</v>
      </c>
      <c r="G496" s="56" t="s">
        <v>390</v>
      </c>
      <c r="H496" s="56" t="s">
        <v>452</v>
      </c>
      <c r="I496" s="62" t="s">
        <v>1789</v>
      </c>
      <c r="J496" s="59"/>
      <c r="K496" s="56" t="s">
        <v>364</v>
      </c>
      <c r="L496" s="56" t="s">
        <v>365</v>
      </c>
      <c r="M496" s="56" t="s">
        <v>869</v>
      </c>
      <c r="N496" s="62" t="s">
        <v>5724</v>
      </c>
      <c r="O496" s="59"/>
      <c r="P496" s="59"/>
      <c r="Q496" s="56" t="s">
        <v>628</v>
      </c>
      <c r="R496" s="59"/>
      <c r="S496" s="56" t="s">
        <v>5717</v>
      </c>
      <c r="T496" s="61" t="s">
        <v>373</v>
      </c>
      <c r="U496" s="58" t="s">
        <v>5948</v>
      </c>
      <c r="W496" s="55" t="b">
        <f t="shared" si="1"/>
        <v>0</v>
      </c>
    </row>
    <row r="497" ht="15.0" customHeight="1">
      <c r="A497" s="56" t="s">
        <v>7123</v>
      </c>
      <c r="B497" s="56" t="s">
        <v>4232</v>
      </c>
      <c r="C497" s="57" t="s">
        <v>4233</v>
      </c>
      <c r="D497" s="56" t="s">
        <v>7124</v>
      </c>
      <c r="E497" s="56" t="s">
        <v>368</v>
      </c>
      <c r="F497" s="56" t="s">
        <v>390</v>
      </c>
      <c r="G497" s="56" t="s">
        <v>5715</v>
      </c>
      <c r="H497" s="56" t="s">
        <v>452</v>
      </c>
      <c r="I497" s="56" t="s">
        <v>1553</v>
      </c>
      <c r="J497" s="56" t="s">
        <v>3730</v>
      </c>
      <c r="K497" s="56" t="s">
        <v>379</v>
      </c>
      <c r="L497" s="56" t="s">
        <v>830</v>
      </c>
      <c r="M497" s="56" t="s">
        <v>413</v>
      </c>
      <c r="N497" s="62" t="s">
        <v>5946</v>
      </c>
      <c r="O497" s="59"/>
      <c r="P497" s="59"/>
      <c r="Q497" s="56" t="s">
        <v>5765</v>
      </c>
      <c r="R497" s="59"/>
      <c r="S497" s="56" t="s">
        <v>5717</v>
      </c>
      <c r="T497" s="61" t="s">
        <v>373</v>
      </c>
      <c r="U497" s="58" t="s">
        <v>7125</v>
      </c>
      <c r="W497" s="55" t="b">
        <f t="shared" si="1"/>
        <v>0</v>
      </c>
    </row>
    <row r="498" ht="15.0" customHeight="1">
      <c r="A498" s="56" t="s">
        <v>254</v>
      </c>
      <c r="B498" s="56" t="s">
        <v>4236</v>
      </c>
      <c r="C498" s="57" t="s">
        <v>7126</v>
      </c>
      <c r="D498" s="56" t="s">
        <v>4238</v>
      </c>
      <c r="E498" s="56" t="s">
        <v>368</v>
      </c>
      <c r="F498" s="56" t="s">
        <v>452</v>
      </c>
      <c r="G498" s="56" t="s">
        <v>877</v>
      </c>
      <c r="H498" s="56" t="s">
        <v>410</v>
      </c>
      <c r="I498" s="56" t="s">
        <v>2286</v>
      </c>
      <c r="J498" s="56" t="s">
        <v>390</v>
      </c>
      <c r="K498" s="56" t="s">
        <v>399</v>
      </c>
      <c r="L498" s="56" t="s">
        <v>380</v>
      </c>
      <c r="M498" s="56" t="s">
        <v>366</v>
      </c>
      <c r="N498" s="62" t="s">
        <v>5720</v>
      </c>
      <c r="O498" s="59"/>
      <c r="P498" s="59"/>
      <c r="Q498" s="56" t="s">
        <v>678</v>
      </c>
      <c r="R498" s="59"/>
      <c r="S498" s="56" t="s">
        <v>5722</v>
      </c>
      <c r="T498" s="61" t="s">
        <v>373</v>
      </c>
      <c r="U498" s="58" t="s">
        <v>7127</v>
      </c>
      <c r="W498" s="55" t="b">
        <f t="shared" si="1"/>
        <v>0</v>
      </c>
    </row>
    <row r="499" ht="15.0" customHeight="1">
      <c r="A499" s="56" t="s">
        <v>255</v>
      </c>
      <c r="B499" s="56" t="s">
        <v>4242</v>
      </c>
      <c r="C499" s="57" t="s">
        <v>4243</v>
      </c>
      <c r="D499" s="56" t="s">
        <v>5524</v>
      </c>
      <c r="E499" s="56" t="s">
        <v>368</v>
      </c>
      <c r="F499" s="56" t="s">
        <v>390</v>
      </c>
      <c r="G499" s="56" t="s">
        <v>452</v>
      </c>
      <c r="H499" s="56" t="s">
        <v>421</v>
      </c>
      <c r="I499" s="62" t="s">
        <v>2291</v>
      </c>
      <c r="J499" s="59"/>
      <c r="K499" s="56" t="s">
        <v>379</v>
      </c>
      <c r="L499" s="56" t="s">
        <v>365</v>
      </c>
      <c r="M499" s="56" t="s">
        <v>366</v>
      </c>
      <c r="N499" s="62" t="s">
        <v>483</v>
      </c>
      <c r="O499" s="59"/>
      <c r="P499" s="59"/>
      <c r="Q499" s="56" t="s">
        <v>3000</v>
      </c>
      <c r="R499" s="59"/>
      <c r="S499" s="56" t="s">
        <v>5733</v>
      </c>
      <c r="T499" s="61" t="s">
        <v>373</v>
      </c>
      <c r="U499" s="58" t="s">
        <v>7128</v>
      </c>
      <c r="W499" s="55" t="b">
        <f t="shared" si="1"/>
        <v>0</v>
      </c>
    </row>
    <row r="500" ht="15.0" customHeight="1">
      <c r="A500" s="56" t="s">
        <v>4247</v>
      </c>
      <c r="B500" s="56" t="s">
        <v>4248</v>
      </c>
      <c r="C500" s="57" t="s">
        <v>4249</v>
      </c>
      <c r="D500" s="56" t="s">
        <v>7129</v>
      </c>
      <c r="E500" s="56" t="s">
        <v>368</v>
      </c>
      <c r="F500" s="56" t="s">
        <v>452</v>
      </c>
      <c r="G500" s="56" t="s">
        <v>390</v>
      </c>
      <c r="H500" s="62" t="s">
        <v>2931</v>
      </c>
      <c r="I500" s="59"/>
      <c r="J500" s="59"/>
      <c r="K500" s="56" t="s">
        <v>364</v>
      </c>
      <c r="L500" s="56" t="s">
        <v>365</v>
      </c>
      <c r="M500" s="56" t="s">
        <v>413</v>
      </c>
      <c r="N500" s="62" t="s">
        <v>5798</v>
      </c>
      <c r="O500" s="59"/>
      <c r="P500" s="59"/>
      <c r="Q500" s="56" t="s">
        <v>7130</v>
      </c>
      <c r="R500" s="59"/>
      <c r="S500" s="56" t="s">
        <v>5722</v>
      </c>
      <c r="T500" s="61" t="s">
        <v>373</v>
      </c>
      <c r="U500" s="58" t="s">
        <v>7131</v>
      </c>
      <c r="W500" s="55" t="b">
        <f t="shared" si="1"/>
        <v>0</v>
      </c>
    </row>
    <row r="501" ht="15.0" customHeight="1">
      <c r="A501" s="63" t="s">
        <v>256</v>
      </c>
      <c r="B501" s="63" t="s">
        <v>5528</v>
      </c>
      <c r="C501" s="53" t="s">
        <v>5529</v>
      </c>
      <c r="D501" s="63" t="s">
        <v>5530</v>
      </c>
      <c r="E501" s="63" t="s">
        <v>368</v>
      </c>
      <c r="F501" s="63" t="s">
        <v>634</v>
      </c>
      <c r="G501" s="63" t="s">
        <v>2291</v>
      </c>
      <c r="H501" s="63" t="s">
        <v>421</v>
      </c>
      <c r="I501" s="63" t="s">
        <v>1598</v>
      </c>
      <c r="J501" s="63" t="s">
        <v>390</v>
      </c>
      <c r="K501" s="63" t="s">
        <v>399</v>
      </c>
      <c r="L501" s="63" t="s">
        <v>380</v>
      </c>
      <c r="M501" s="63" t="s">
        <v>413</v>
      </c>
      <c r="N501" s="63" t="s">
        <v>5716</v>
      </c>
      <c r="O501" s="64">
        <v>0.0</v>
      </c>
      <c r="P501" s="65"/>
      <c r="Q501" s="63" t="s">
        <v>5527</v>
      </c>
      <c r="R501" s="65"/>
      <c r="S501" s="63" t="s">
        <v>5717</v>
      </c>
      <c r="T501" s="67" t="s">
        <v>394</v>
      </c>
      <c r="U501" s="64" t="s">
        <v>7132</v>
      </c>
      <c r="W501" s="55" t="b">
        <f t="shared" si="1"/>
        <v>0</v>
      </c>
    </row>
    <row r="502" ht="15.0" customHeight="1">
      <c r="A502" s="56" t="s">
        <v>257</v>
      </c>
      <c r="B502" s="56" t="s">
        <v>4261</v>
      </c>
      <c r="C502" s="57" t="s">
        <v>4262</v>
      </c>
      <c r="D502" s="56" t="s">
        <v>4263</v>
      </c>
      <c r="E502" s="56" t="s">
        <v>368</v>
      </c>
      <c r="F502" s="56" t="s">
        <v>2286</v>
      </c>
      <c r="G502" s="56" t="s">
        <v>675</v>
      </c>
      <c r="H502" s="62" t="s">
        <v>1789</v>
      </c>
      <c r="I502" s="59"/>
      <c r="J502" s="59"/>
      <c r="K502" s="56" t="s">
        <v>364</v>
      </c>
      <c r="L502" s="56" t="s">
        <v>520</v>
      </c>
      <c r="M502" s="56" t="s">
        <v>366</v>
      </c>
      <c r="N502" s="62" t="s">
        <v>5716</v>
      </c>
      <c r="O502" s="59"/>
      <c r="P502" s="59"/>
      <c r="Q502" s="56" t="s">
        <v>454</v>
      </c>
      <c r="R502" s="59"/>
      <c r="S502" s="56" t="s">
        <v>5717</v>
      </c>
      <c r="T502" s="61" t="s">
        <v>373</v>
      </c>
      <c r="U502" s="58" t="s">
        <v>7133</v>
      </c>
      <c r="W502" s="55" t="b">
        <f t="shared" si="1"/>
        <v>0</v>
      </c>
    </row>
    <row r="503" ht="15.0" customHeight="1">
      <c r="A503" s="56" t="s">
        <v>5533</v>
      </c>
      <c r="B503" s="56" t="s">
        <v>5534</v>
      </c>
      <c r="C503" s="57" t="s">
        <v>5535</v>
      </c>
      <c r="D503" s="56" t="s">
        <v>5536</v>
      </c>
      <c r="E503" s="56" t="s">
        <v>368</v>
      </c>
      <c r="F503" s="62" t="s">
        <v>2286</v>
      </c>
      <c r="G503" s="59"/>
      <c r="H503" s="59"/>
      <c r="I503" s="59"/>
      <c r="J503" s="59"/>
      <c r="K503" s="56" t="s">
        <v>379</v>
      </c>
      <c r="L503" s="56" t="s">
        <v>667</v>
      </c>
      <c r="M503" s="56" t="s">
        <v>366</v>
      </c>
      <c r="N503" s="62" t="s">
        <v>5716</v>
      </c>
      <c r="O503" s="59"/>
      <c r="P503" s="59"/>
      <c r="Q503" s="59"/>
      <c r="R503" s="59"/>
      <c r="S503" s="56" t="s">
        <v>5717</v>
      </c>
      <c r="T503" s="61" t="s">
        <v>394</v>
      </c>
      <c r="U503" s="58" t="s">
        <v>7134</v>
      </c>
      <c r="W503" s="55" t="b">
        <f t="shared" si="1"/>
        <v>0</v>
      </c>
    </row>
    <row r="504" ht="15.0" customHeight="1">
      <c r="A504" s="56" t="s">
        <v>258</v>
      </c>
      <c r="B504" s="56" t="s">
        <v>2040</v>
      </c>
      <c r="C504" s="57" t="s">
        <v>2041</v>
      </c>
      <c r="D504" s="56" t="s">
        <v>2042</v>
      </c>
      <c r="E504" s="56" t="s">
        <v>368</v>
      </c>
      <c r="F504" s="56" t="s">
        <v>362</v>
      </c>
      <c r="G504" s="56" t="s">
        <v>452</v>
      </c>
      <c r="H504" s="56" t="s">
        <v>3730</v>
      </c>
      <c r="I504" s="62" t="s">
        <v>5715</v>
      </c>
      <c r="J504" s="59"/>
      <c r="K504" s="56" t="s">
        <v>364</v>
      </c>
      <c r="L504" s="56" t="s">
        <v>412</v>
      </c>
      <c r="M504" s="56" t="s">
        <v>513</v>
      </c>
      <c r="N504" s="62" t="s">
        <v>381</v>
      </c>
      <c r="O504" s="59"/>
      <c r="P504" s="59"/>
      <c r="Q504" s="56" t="s">
        <v>3718</v>
      </c>
      <c r="R504" s="59"/>
      <c r="S504" s="56" t="s">
        <v>5733</v>
      </c>
      <c r="T504" s="61" t="s">
        <v>373</v>
      </c>
      <c r="U504" s="58" t="s">
        <v>7135</v>
      </c>
      <c r="W504" s="55" t="b">
        <f t="shared" si="1"/>
        <v>1</v>
      </c>
    </row>
    <row r="505" ht="15.0" customHeight="1">
      <c r="A505" s="56" t="s">
        <v>7136</v>
      </c>
      <c r="B505" s="56" t="s">
        <v>7137</v>
      </c>
      <c r="C505" s="57" t="s">
        <v>7138</v>
      </c>
      <c r="D505" s="56" t="s">
        <v>7139</v>
      </c>
      <c r="E505" s="56" t="s">
        <v>368</v>
      </c>
      <c r="F505" s="56" t="s">
        <v>1553</v>
      </c>
      <c r="G505" s="56" t="s">
        <v>3730</v>
      </c>
      <c r="H505" s="56" t="s">
        <v>877</v>
      </c>
      <c r="I505" s="56" t="s">
        <v>1789</v>
      </c>
      <c r="J505" s="56" t="s">
        <v>716</v>
      </c>
      <c r="K505" s="56" t="s">
        <v>379</v>
      </c>
      <c r="L505" s="56" t="s">
        <v>1791</v>
      </c>
      <c r="M505" s="56" t="s">
        <v>366</v>
      </c>
      <c r="N505" s="62" t="s">
        <v>5720</v>
      </c>
      <c r="O505" s="59"/>
      <c r="P505" s="59"/>
      <c r="Q505" s="56" t="s">
        <v>1282</v>
      </c>
      <c r="R505" s="59"/>
      <c r="S505" s="56" t="s">
        <v>5722</v>
      </c>
      <c r="T505" s="61" t="s">
        <v>373</v>
      </c>
      <c r="U505" s="58" t="s">
        <v>7140</v>
      </c>
      <c r="W505" s="55" t="b">
        <f t="shared" si="1"/>
        <v>0</v>
      </c>
    </row>
    <row r="506" ht="15.0" customHeight="1">
      <c r="A506" s="56" t="s">
        <v>7141</v>
      </c>
      <c r="B506" s="56" t="s">
        <v>7142</v>
      </c>
      <c r="C506" s="57" t="s">
        <v>7143</v>
      </c>
      <c r="D506" s="58">
        <v>7.136778403E9</v>
      </c>
      <c r="E506" s="56" t="s">
        <v>368</v>
      </c>
      <c r="F506" s="56" t="s">
        <v>443</v>
      </c>
      <c r="G506" s="56" t="s">
        <v>362</v>
      </c>
      <c r="H506" s="56" t="s">
        <v>452</v>
      </c>
      <c r="I506" s="56" t="s">
        <v>390</v>
      </c>
      <c r="J506" s="56" t="s">
        <v>5715</v>
      </c>
      <c r="K506" s="56" t="s">
        <v>399</v>
      </c>
      <c r="L506" s="56" t="s">
        <v>412</v>
      </c>
      <c r="M506" s="56" t="s">
        <v>366</v>
      </c>
      <c r="N506" s="62" t="s">
        <v>381</v>
      </c>
      <c r="O506" s="59"/>
      <c r="P506" s="59"/>
      <c r="Q506" s="56" t="s">
        <v>930</v>
      </c>
      <c r="R506" s="59"/>
      <c r="S506" s="56" t="s">
        <v>5733</v>
      </c>
      <c r="T506" s="61" t="s">
        <v>373</v>
      </c>
      <c r="U506" s="58" t="s">
        <v>7144</v>
      </c>
      <c r="W506" s="55" t="b">
        <f t="shared" si="1"/>
        <v>0</v>
      </c>
    </row>
    <row r="507" ht="15.0" customHeight="1">
      <c r="A507" s="56" t="s">
        <v>7145</v>
      </c>
      <c r="B507" s="56" t="s">
        <v>7146</v>
      </c>
      <c r="C507" s="57" t="s">
        <v>7147</v>
      </c>
      <c r="D507" s="56" t="s">
        <v>7148</v>
      </c>
      <c r="E507" s="56" t="s">
        <v>368</v>
      </c>
      <c r="F507" s="56" t="s">
        <v>2291</v>
      </c>
      <c r="G507" s="56" t="s">
        <v>390</v>
      </c>
      <c r="H507" s="56" t="s">
        <v>452</v>
      </c>
      <c r="I507" s="56" t="s">
        <v>2286</v>
      </c>
      <c r="J507" s="56" t="s">
        <v>362</v>
      </c>
      <c r="K507" s="56" t="s">
        <v>379</v>
      </c>
      <c r="L507" s="56" t="s">
        <v>405</v>
      </c>
      <c r="M507" s="56" t="s">
        <v>366</v>
      </c>
      <c r="N507" s="62" t="s">
        <v>5720</v>
      </c>
      <c r="O507" s="59"/>
      <c r="P507" s="59"/>
      <c r="Q507" s="56" t="s">
        <v>1295</v>
      </c>
      <c r="R507" s="59"/>
      <c r="S507" s="56" t="s">
        <v>5722</v>
      </c>
      <c r="T507" s="61" t="s">
        <v>373</v>
      </c>
      <c r="U507" s="58" t="s">
        <v>7149</v>
      </c>
      <c r="W507" s="55" t="b">
        <f t="shared" si="1"/>
        <v>0</v>
      </c>
    </row>
    <row r="508" ht="15.0" customHeight="1">
      <c r="A508" s="56" t="s">
        <v>7150</v>
      </c>
      <c r="B508" s="56" t="s">
        <v>7151</v>
      </c>
      <c r="C508" s="57" t="s">
        <v>7152</v>
      </c>
      <c r="D508" s="56" t="s">
        <v>7153</v>
      </c>
      <c r="E508" s="56" t="s">
        <v>368</v>
      </c>
      <c r="F508" s="56" t="s">
        <v>2286</v>
      </c>
      <c r="G508" s="56" t="s">
        <v>675</v>
      </c>
      <c r="H508" s="56" t="s">
        <v>634</v>
      </c>
      <c r="I508" s="62" t="s">
        <v>2291</v>
      </c>
      <c r="J508" s="59"/>
      <c r="K508" s="56" t="s">
        <v>379</v>
      </c>
      <c r="L508" s="56" t="s">
        <v>405</v>
      </c>
      <c r="M508" s="56" t="s">
        <v>413</v>
      </c>
      <c r="N508" s="62" t="s">
        <v>381</v>
      </c>
      <c r="O508" s="59"/>
      <c r="P508" s="59"/>
      <c r="Q508" s="56" t="s">
        <v>2044</v>
      </c>
      <c r="R508" s="59"/>
      <c r="S508" s="56" t="s">
        <v>5733</v>
      </c>
      <c r="T508" s="61" t="s">
        <v>394</v>
      </c>
      <c r="U508" s="58" t="s">
        <v>7154</v>
      </c>
      <c r="W508" s="55" t="b">
        <f t="shared" si="1"/>
        <v>0</v>
      </c>
    </row>
    <row r="509" ht="15.0" customHeight="1">
      <c r="A509" s="56" t="s">
        <v>7155</v>
      </c>
      <c r="B509" s="56" t="s">
        <v>7156</v>
      </c>
      <c r="C509" s="57" t="s">
        <v>7157</v>
      </c>
      <c r="D509" s="56" t="s">
        <v>7158</v>
      </c>
      <c r="E509" s="56" t="s">
        <v>368</v>
      </c>
      <c r="F509" s="56" t="s">
        <v>390</v>
      </c>
      <c r="G509" s="56" t="s">
        <v>421</v>
      </c>
      <c r="H509" s="62" t="s">
        <v>2291</v>
      </c>
      <c r="I509" s="59"/>
      <c r="J509" s="59"/>
      <c r="K509" s="56" t="s">
        <v>379</v>
      </c>
      <c r="L509" s="56" t="s">
        <v>412</v>
      </c>
      <c r="M509" s="56" t="s">
        <v>869</v>
      </c>
      <c r="N509" s="56" t="s">
        <v>5720</v>
      </c>
      <c r="O509" s="58">
        <v>0.0</v>
      </c>
      <c r="P509" s="58">
        <v>2.0</v>
      </c>
      <c r="Q509" s="56" t="s">
        <v>743</v>
      </c>
      <c r="R509" s="59"/>
      <c r="S509" s="56" t="s">
        <v>5722</v>
      </c>
      <c r="T509" s="61" t="s">
        <v>373</v>
      </c>
      <c r="U509" s="58" t="s">
        <v>7159</v>
      </c>
      <c r="W509" s="55" t="b">
        <f t="shared" si="1"/>
        <v>0</v>
      </c>
    </row>
    <row r="510" ht="15.0" customHeight="1">
      <c r="A510" s="56" t="s">
        <v>7160</v>
      </c>
      <c r="B510" s="56" t="s">
        <v>7161</v>
      </c>
      <c r="C510" s="57" t="s">
        <v>7162</v>
      </c>
      <c r="D510" s="56" t="s">
        <v>7163</v>
      </c>
      <c r="E510" s="56" t="s">
        <v>368</v>
      </c>
      <c r="F510" s="56" t="s">
        <v>390</v>
      </c>
      <c r="G510" s="56" t="s">
        <v>634</v>
      </c>
      <c r="H510" s="56" t="s">
        <v>2291</v>
      </c>
      <c r="I510" s="56" t="s">
        <v>1598</v>
      </c>
      <c r="J510" s="56" t="s">
        <v>1598</v>
      </c>
      <c r="K510" s="56" t="s">
        <v>379</v>
      </c>
      <c r="L510" s="56" t="s">
        <v>520</v>
      </c>
      <c r="M510" s="56" t="s">
        <v>413</v>
      </c>
      <c r="N510" s="56" t="s">
        <v>5770</v>
      </c>
      <c r="O510" s="58">
        <v>0.0</v>
      </c>
      <c r="P510" s="58">
        <v>0.0</v>
      </c>
      <c r="Q510" s="56" t="s">
        <v>970</v>
      </c>
      <c r="R510" s="59"/>
      <c r="S510" s="56" t="s">
        <v>5722</v>
      </c>
      <c r="T510" s="61" t="s">
        <v>373</v>
      </c>
      <c r="U510" s="58" t="s">
        <v>7164</v>
      </c>
      <c r="W510" s="55" t="b">
        <f t="shared" si="1"/>
        <v>0</v>
      </c>
    </row>
    <row r="511" ht="15.0" customHeight="1">
      <c r="A511" s="56" t="s">
        <v>261</v>
      </c>
      <c r="B511" s="56" t="s">
        <v>2059</v>
      </c>
      <c r="C511" s="57" t="s">
        <v>2060</v>
      </c>
      <c r="D511" s="56" t="s">
        <v>5559</v>
      </c>
      <c r="E511" s="56" t="s">
        <v>368</v>
      </c>
      <c r="F511" s="56" t="s">
        <v>2286</v>
      </c>
      <c r="G511" s="56" t="s">
        <v>390</v>
      </c>
      <c r="H511" s="62" t="s">
        <v>1598</v>
      </c>
      <c r="I511" s="59"/>
      <c r="J511" s="59"/>
      <c r="K511" s="56" t="s">
        <v>399</v>
      </c>
      <c r="L511" s="56" t="s">
        <v>380</v>
      </c>
      <c r="M511" s="56" t="s">
        <v>413</v>
      </c>
      <c r="N511" s="56" t="s">
        <v>5798</v>
      </c>
      <c r="O511" s="58">
        <v>0.0</v>
      </c>
      <c r="P511" s="58">
        <v>2.0</v>
      </c>
      <c r="Q511" s="56" t="s">
        <v>7165</v>
      </c>
      <c r="R511" s="59"/>
      <c r="S511" s="56" t="s">
        <v>5722</v>
      </c>
      <c r="T511" s="61" t="s">
        <v>373</v>
      </c>
      <c r="U511" s="58" t="s">
        <v>6169</v>
      </c>
      <c r="W511" s="55" t="b">
        <f t="shared" si="1"/>
        <v>0</v>
      </c>
    </row>
    <row r="512" ht="15.0" customHeight="1">
      <c r="A512" s="56" t="s">
        <v>262</v>
      </c>
      <c r="B512" s="56" t="s">
        <v>2064</v>
      </c>
      <c r="C512" s="57" t="s">
        <v>2065</v>
      </c>
      <c r="D512" s="56" t="s">
        <v>919</v>
      </c>
      <c r="E512" s="56" t="s">
        <v>368</v>
      </c>
      <c r="F512" s="56" t="s">
        <v>452</v>
      </c>
      <c r="G512" s="56" t="s">
        <v>5715</v>
      </c>
      <c r="H512" s="56" t="s">
        <v>2291</v>
      </c>
      <c r="I512" s="56" t="s">
        <v>421</v>
      </c>
      <c r="J512" s="56" t="s">
        <v>410</v>
      </c>
      <c r="K512" s="56" t="s">
        <v>399</v>
      </c>
      <c r="L512" s="56" t="s">
        <v>365</v>
      </c>
      <c r="M512" s="56" t="s">
        <v>366</v>
      </c>
      <c r="N512" s="62" t="s">
        <v>1464</v>
      </c>
      <c r="O512" s="59"/>
      <c r="P512" s="59"/>
      <c r="Q512" s="56" t="s">
        <v>1465</v>
      </c>
      <c r="R512" s="59"/>
      <c r="S512" s="56" t="s">
        <v>5733</v>
      </c>
      <c r="T512" s="61" t="s">
        <v>373</v>
      </c>
      <c r="U512" s="58" t="s">
        <v>7166</v>
      </c>
      <c r="W512" s="55" t="b">
        <f t="shared" si="1"/>
        <v>0</v>
      </c>
    </row>
    <row r="513" ht="15.0" customHeight="1">
      <c r="A513" s="56" t="s">
        <v>4281</v>
      </c>
      <c r="B513" s="56" t="s">
        <v>4282</v>
      </c>
      <c r="C513" s="57" t="s">
        <v>7167</v>
      </c>
      <c r="D513" s="56" t="s">
        <v>7168</v>
      </c>
      <c r="E513" s="56" t="s">
        <v>368</v>
      </c>
      <c r="F513" s="56" t="s">
        <v>421</v>
      </c>
      <c r="G513" s="56" t="s">
        <v>459</v>
      </c>
      <c r="H513" s="56" t="s">
        <v>452</v>
      </c>
      <c r="I513" s="56" t="s">
        <v>2291</v>
      </c>
      <c r="J513" s="56" t="s">
        <v>5715</v>
      </c>
      <c r="K513" s="56" t="s">
        <v>379</v>
      </c>
      <c r="L513" s="56" t="s">
        <v>380</v>
      </c>
      <c r="M513" s="56" t="s">
        <v>513</v>
      </c>
      <c r="N513" s="62" t="s">
        <v>5716</v>
      </c>
      <c r="O513" s="59"/>
      <c r="P513" s="59"/>
      <c r="Q513" s="56" t="s">
        <v>3734</v>
      </c>
      <c r="R513" s="59"/>
      <c r="S513" s="56" t="s">
        <v>5717</v>
      </c>
      <c r="T513" s="61" t="s">
        <v>373</v>
      </c>
      <c r="U513" s="58" t="s">
        <v>7169</v>
      </c>
      <c r="W513" s="55" t="b">
        <f t="shared" si="1"/>
        <v>1</v>
      </c>
    </row>
    <row r="514" ht="15.0" customHeight="1">
      <c r="A514" s="56" t="s">
        <v>4294</v>
      </c>
      <c r="B514" s="56" t="s">
        <v>4295</v>
      </c>
      <c r="C514" s="57" t="s">
        <v>4296</v>
      </c>
      <c r="D514" s="58">
        <v>4.252398889E9</v>
      </c>
      <c r="E514" s="56" t="s">
        <v>368</v>
      </c>
      <c r="F514" s="56" t="s">
        <v>459</v>
      </c>
      <c r="G514" s="56" t="s">
        <v>452</v>
      </c>
      <c r="H514" s="56" t="s">
        <v>390</v>
      </c>
      <c r="I514" s="62" t="s">
        <v>362</v>
      </c>
      <c r="J514" s="59"/>
      <c r="K514" s="56" t="s">
        <v>364</v>
      </c>
      <c r="L514" s="56" t="s">
        <v>365</v>
      </c>
      <c r="M514" s="56" t="s">
        <v>366</v>
      </c>
      <c r="N514" s="56" t="s">
        <v>5724</v>
      </c>
      <c r="O514" s="58">
        <v>4.0</v>
      </c>
      <c r="P514" s="59"/>
      <c r="Q514" s="56" t="s">
        <v>2384</v>
      </c>
      <c r="R514" s="59"/>
      <c r="S514" s="56" t="s">
        <v>5717</v>
      </c>
      <c r="T514" s="61" t="s">
        <v>373</v>
      </c>
      <c r="U514" s="58" t="s">
        <v>7170</v>
      </c>
      <c r="W514" s="55" t="b">
        <f t="shared" si="1"/>
        <v>0</v>
      </c>
    </row>
    <row r="515" ht="15.0" customHeight="1">
      <c r="A515" s="56" t="s">
        <v>7171</v>
      </c>
      <c r="B515" s="56" t="s">
        <v>7172</v>
      </c>
      <c r="C515" s="57" t="s">
        <v>7173</v>
      </c>
      <c r="D515" s="56" t="s">
        <v>7174</v>
      </c>
      <c r="E515" s="56" t="s">
        <v>368</v>
      </c>
      <c r="F515" s="56" t="s">
        <v>2286</v>
      </c>
      <c r="G515" s="56" t="s">
        <v>675</v>
      </c>
      <c r="H515" s="62" t="s">
        <v>390</v>
      </c>
      <c r="I515" s="59"/>
      <c r="J515" s="59"/>
      <c r="K515" s="56" t="s">
        <v>379</v>
      </c>
      <c r="L515" s="56" t="s">
        <v>365</v>
      </c>
      <c r="M515" s="56" t="s">
        <v>366</v>
      </c>
      <c r="N515" s="62" t="s">
        <v>5720</v>
      </c>
      <c r="O515" s="59"/>
      <c r="P515" s="59"/>
      <c r="Q515" s="56" t="s">
        <v>3299</v>
      </c>
      <c r="R515" s="59"/>
      <c r="S515" s="56" t="s">
        <v>5722</v>
      </c>
      <c r="T515" s="61" t="s">
        <v>373</v>
      </c>
      <c r="U515" s="58" t="s">
        <v>7175</v>
      </c>
      <c r="W515" s="55" t="b">
        <f t="shared" si="1"/>
        <v>0</v>
      </c>
    </row>
    <row r="516" ht="15.0" customHeight="1">
      <c r="A516" s="56" t="s">
        <v>263</v>
      </c>
      <c r="B516" s="56" t="s">
        <v>5565</v>
      </c>
      <c r="C516" s="57" t="s">
        <v>5566</v>
      </c>
      <c r="D516" s="58">
        <v>2.106070565E9</v>
      </c>
      <c r="E516" s="56" t="s">
        <v>368</v>
      </c>
      <c r="F516" s="56" t="s">
        <v>390</v>
      </c>
      <c r="G516" s="56" t="s">
        <v>675</v>
      </c>
      <c r="H516" s="62" t="s">
        <v>2291</v>
      </c>
      <c r="I516" s="59"/>
      <c r="J516" s="59"/>
      <c r="K516" s="56" t="s">
        <v>364</v>
      </c>
      <c r="L516" s="56" t="s">
        <v>380</v>
      </c>
      <c r="M516" s="56" t="s">
        <v>366</v>
      </c>
      <c r="N516" s="62" t="s">
        <v>5716</v>
      </c>
      <c r="O516" s="59"/>
      <c r="P516" s="59"/>
      <c r="Q516" s="56" t="s">
        <v>4820</v>
      </c>
      <c r="R516" s="59"/>
      <c r="S516" s="56" t="s">
        <v>5717</v>
      </c>
      <c r="T516" s="61" t="s">
        <v>373</v>
      </c>
      <c r="U516" s="58" t="s">
        <v>7176</v>
      </c>
      <c r="W516" s="55" t="b">
        <f t="shared" si="1"/>
        <v>0</v>
      </c>
    </row>
    <row r="517" ht="15.0" customHeight="1">
      <c r="A517" s="56" t="s">
        <v>7177</v>
      </c>
      <c r="B517" s="56" t="s">
        <v>7178</v>
      </c>
      <c r="C517" s="57" t="s">
        <v>7179</v>
      </c>
      <c r="D517" s="56" t="s">
        <v>7180</v>
      </c>
      <c r="E517" s="56" t="s">
        <v>368</v>
      </c>
      <c r="F517" s="56" t="s">
        <v>390</v>
      </c>
      <c r="G517" s="56" t="s">
        <v>362</v>
      </c>
      <c r="H517" s="56" t="s">
        <v>634</v>
      </c>
      <c r="I517" s="56" t="s">
        <v>2291</v>
      </c>
      <c r="J517" s="56" t="s">
        <v>3730</v>
      </c>
      <c r="K517" s="56" t="s">
        <v>379</v>
      </c>
      <c r="L517" s="56" t="s">
        <v>405</v>
      </c>
      <c r="M517" s="56" t="s">
        <v>366</v>
      </c>
      <c r="N517" s="56" t="s">
        <v>5716</v>
      </c>
      <c r="O517" s="58">
        <v>2.0</v>
      </c>
      <c r="P517" s="59"/>
      <c r="Q517" s="56" t="s">
        <v>1584</v>
      </c>
      <c r="R517" s="59"/>
      <c r="S517" s="56" t="s">
        <v>5717</v>
      </c>
      <c r="T517" s="61" t="s">
        <v>373</v>
      </c>
      <c r="U517" s="58" t="s">
        <v>7181</v>
      </c>
      <c r="W517" s="55" t="b">
        <f t="shared" si="1"/>
        <v>0</v>
      </c>
    </row>
    <row r="518" ht="15.0" customHeight="1">
      <c r="A518" s="56" t="s">
        <v>7182</v>
      </c>
      <c r="B518" s="56" t="s">
        <v>7183</v>
      </c>
      <c r="C518" s="57" t="s">
        <v>7184</v>
      </c>
      <c r="D518" s="56" t="s">
        <v>7185</v>
      </c>
      <c r="E518" s="56" t="s">
        <v>368</v>
      </c>
      <c r="F518" s="56" t="s">
        <v>452</v>
      </c>
      <c r="G518" s="56" t="s">
        <v>362</v>
      </c>
      <c r="H518" s="56" t="s">
        <v>5715</v>
      </c>
      <c r="I518" s="56" t="s">
        <v>459</v>
      </c>
      <c r="J518" s="56" t="s">
        <v>390</v>
      </c>
      <c r="K518" s="56" t="s">
        <v>399</v>
      </c>
      <c r="L518" s="56" t="s">
        <v>365</v>
      </c>
      <c r="M518" s="56" t="s">
        <v>413</v>
      </c>
      <c r="N518" s="56" t="s">
        <v>5716</v>
      </c>
      <c r="O518" s="58">
        <v>0.0</v>
      </c>
      <c r="P518" s="58">
        <v>0.0</v>
      </c>
      <c r="Q518" s="56" t="s">
        <v>4245</v>
      </c>
      <c r="R518" s="59"/>
      <c r="S518" s="56" t="s">
        <v>5717</v>
      </c>
      <c r="T518" s="61" t="s">
        <v>373</v>
      </c>
      <c r="U518" s="58" t="s">
        <v>7186</v>
      </c>
      <c r="W518" s="55" t="b">
        <f t="shared" si="1"/>
        <v>0</v>
      </c>
    </row>
    <row r="519" ht="15.0" customHeight="1">
      <c r="A519" s="56" t="s">
        <v>7187</v>
      </c>
      <c r="B519" s="56" t="s">
        <v>7188</v>
      </c>
      <c r="C519" s="57" t="s">
        <v>7189</v>
      </c>
      <c r="D519" s="56" t="s">
        <v>7190</v>
      </c>
      <c r="E519" s="56" t="s">
        <v>368</v>
      </c>
      <c r="F519" s="56" t="s">
        <v>452</v>
      </c>
      <c r="G519" s="62" t="s">
        <v>1789</v>
      </c>
      <c r="H519" s="59"/>
      <c r="I519" s="59"/>
      <c r="J519" s="59"/>
      <c r="K519" s="56" t="s">
        <v>399</v>
      </c>
      <c r="L519" s="56" t="s">
        <v>365</v>
      </c>
      <c r="M519" s="56" t="s">
        <v>513</v>
      </c>
      <c r="N519" s="62" t="s">
        <v>5720</v>
      </c>
      <c r="O519" s="59"/>
      <c r="P519" s="59"/>
      <c r="Q519" s="59"/>
      <c r="R519" s="59"/>
      <c r="S519" s="56" t="s">
        <v>5722</v>
      </c>
      <c r="T519" s="61" t="s">
        <v>394</v>
      </c>
      <c r="U519" s="58" t="s">
        <v>7191</v>
      </c>
      <c r="W519" s="55" t="b">
        <f t="shared" si="1"/>
        <v>1</v>
      </c>
    </row>
    <row r="520" ht="15.0" customHeight="1">
      <c r="A520" s="56" t="s">
        <v>7192</v>
      </c>
      <c r="B520" s="56" t="s">
        <v>7193</v>
      </c>
      <c r="C520" s="57" t="s">
        <v>7194</v>
      </c>
      <c r="D520" s="58">
        <v>2.162188214E9</v>
      </c>
      <c r="E520" s="56" t="s">
        <v>368</v>
      </c>
      <c r="F520" s="62" t="s">
        <v>1598</v>
      </c>
      <c r="G520" s="59"/>
      <c r="H520" s="59"/>
      <c r="I520" s="59"/>
      <c r="J520" s="59"/>
      <c r="K520" s="56" t="s">
        <v>379</v>
      </c>
      <c r="L520" s="56" t="s">
        <v>380</v>
      </c>
      <c r="M520" s="56" t="s">
        <v>366</v>
      </c>
      <c r="N520" s="62" t="s">
        <v>5716</v>
      </c>
      <c r="O520" s="59"/>
      <c r="P520" s="59"/>
      <c r="Q520" s="56" t="s">
        <v>3699</v>
      </c>
      <c r="R520" s="59"/>
      <c r="S520" s="56" t="s">
        <v>5717</v>
      </c>
      <c r="T520" s="61" t="s">
        <v>373</v>
      </c>
      <c r="U520" s="58" t="s">
        <v>7195</v>
      </c>
      <c r="W520" s="55" t="b">
        <f t="shared" si="1"/>
        <v>0</v>
      </c>
    </row>
    <row r="521" ht="15.0" customHeight="1">
      <c r="A521" s="56" t="s">
        <v>264</v>
      </c>
      <c r="B521" s="56" t="s">
        <v>7196</v>
      </c>
      <c r="C521" s="57" t="s">
        <v>7197</v>
      </c>
      <c r="D521" s="56" t="s">
        <v>7198</v>
      </c>
      <c r="E521" s="56" t="s">
        <v>368</v>
      </c>
      <c r="F521" s="56" t="s">
        <v>459</v>
      </c>
      <c r="G521" s="56" t="s">
        <v>2291</v>
      </c>
      <c r="H521" s="56" t="s">
        <v>1598</v>
      </c>
      <c r="I521" s="56" t="s">
        <v>390</v>
      </c>
      <c r="J521" s="56" t="s">
        <v>421</v>
      </c>
      <c r="K521" s="56" t="s">
        <v>364</v>
      </c>
      <c r="L521" s="56" t="s">
        <v>380</v>
      </c>
      <c r="M521" s="56" t="s">
        <v>413</v>
      </c>
      <c r="N521" s="56" t="s">
        <v>5716</v>
      </c>
      <c r="O521" s="58">
        <v>4.0</v>
      </c>
      <c r="P521" s="59"/>
      <c r="Q521" s="56" t="s">
        <v>4507</v>
      </c>
      <c r="R521" s="59"/>
      <c r="S521" s="56" t="s">
        <v>5717</v>
      </c>
      <c r="T521" s="61" t="s">
        <v>373</v>
      </c>
      <c r="U521" s="58" t="s">
        <v>7199</v>
      </c>
      <c r="W521" s="55" t="b">
        <f t="shared" si="1"/>
        <v>0</v>
      </c>
    </row>
    <row r="522" ht="15.0" customHeight="1">
      <c r="A522" s="56" t="s">
        <v>7200</v>
      </c>
      <c r="B522" s="56" t="s">
        <v>7201</v>
      </c>
      <c r="C522" s="57" t="s">
        <v>7202</v>
      </c>
      <c r="D522" s="56" t="s">
        <v>7203</v>
      </c>
      <c r="E522" s="56" t="s">
        <v>368</v>
      </c>
      <c r="F522" s="56" t="s">
        <v>390</v>
      </c>
      <c r="G522" s="56" t="s">
        <v>2286</v>
      </c>
      <c r="H522" s="62" t="s">
        <v>675</v>
      </c>
      <c r="I522" s="59"/>
      <c r="J522" s="59"/>
      <c r="K522" s="56" t="s">
        <v>379</v>
      </c>
      <c r="L522" s="56" t="s">
        <v>365</v>
      </c>
      <c r="M522" s="56" t="s">
        <v>366</v>
      </c>
      <c r="N522" s="62" t="s">
        <v>5720</v>
      </c>
      <c r="O522" s="59"/>
      <c r="P522" s="59"/>
      <c r="Q522" s="56" t="s">
        <v>4358</v>
      </c>
      <c r="R522" s="59"/>
      <c r="S522" s="56" t="s">
        <v>5722</v>
      </c>
      <c r="T522" s="61" t="s">
        <v>373</v>
      </c>
      <c r="U522" s="58" t="s">
        <v>7204</v>
      </c>
      <c r="W522" s="55" t="b">
        <f t="shared" si="1"/>
        <v>0</v>
      </c>
    </row>
    <row r="523" ht="15.0" customHeight="1">
      <c r="A523" s="56" t="s">
        <v>5570</v>
      </c>
      <c r="B523" s="56" t="s">
        <v>5571</v>
      </c>
      <c r="C523" s="57" t="s">
        <v>5572</v>
      </c>
      <c r="D523" s="56" t="s">
        <v>5573</v>
      </c>
      <c r="E523" s="56" t="s">
        <v>368</v>
      </c>
      <c r="F523" s="56" t="s">
        <v>2286</v>
      </c>
      <c r="G523" s="62" t="s">
        <v>390</v>
      </c>
      <c r="H523" s="59"/>
      <c r="I523" s="59"/>
      <c r="J523" s="59"/>
      <c r="K523" s="56" t="s">
        <v>379</v>
      </c>
      <c r="L523" s="56" t="s">
        <v>380</v>
      </c>
      <c r="M523" s="56" t="s">
        <v>366</v>
      </c>
      <c r="N523" s="62" t="s">
        <v>5720</v>
      </c>
      <c r="O523" s="59"/>
      <c r="P523" s="58">
        <v>2.0</v>
      </c>
      <c r="Q523" s="56" t="s">
        <v>1335</v>
      </c>
      <c r="R523" s="59"/>
      <c r="S523" s="56" t="s">
        <v>5722</v>
      </c>
      <c r="T523" s="61" t="s">
        <v>373</v>
      </c>
      <c r="U523" s="58" t="s">
        <v>7205</v>
      </c>
      <c r="W523" s="55" t="b">
        <f t="shared" si="1"/>
        <v>0</v>
      </c>
    </row>
    <row r="524" ht="15.0" customHeight="1">
      <c r="A524" s="56" t="s">
        <v>7206</v>
      </c>
      <c r="B524" s="56" t="s">
        <v>7207</v>
      </c>
      <c r="C524" s="57" t="s">
        <v>7208</v>
      </c>
      <c r="D524" s="56" t="s">
        <v>7209</v>
      </c>
      <c r="E524" s="56" t="s">
        <v>368</v>
      </c>
      <c r="F524" s="62" t="s">
        <v>2286</v>
      </c>
      <c r="G524" s="59"/>
      <c r="H524" s="59"/>
      <c r="I524" s="59"/>
      <c r="J524" s="59"/>
      <c r="K524" s="56" t="s">
        <v>399</v>
      </c>
      <c r="L524" s="56" t="s">
        <v>365</v>
      </c>
      <c r="M524" s="56" t="s">
        <v>413</v>
      </c>
      <c r="N524" s="62" t="s">
        <v>381</v>
      </c>
      <c r="O524" s="59"/>
      <c r="P524" s="59"/>
      <c r="Q524" s="59"/>
      <c r="R524" s="59"/>
      <c r="S524" s="56" t="s">
        <v>5733</v>
      </c>
      <c r="T524" s="61" t="s">
        <v>394</v>
      </c>
      <c r="U524" s="58" t="s">
        <v>7210</v>
      </c>
      <c r="W524" s="55" t="b">
        <f t="shared" si="1"/>
        <v>0</v>
      </c>
    </row>
    <row r="525" ht="15.0" customHeight="1">
      <c r="A525" s="56" t="s">
        <v>2076</v>
      </c>
      <c r="B525" s="56" t="s">
        <v>7211</v>
      </c>
      <c r="C525" s="57" t="s">
        <v>7212</v>
      </c>
      <c r="D525" s="58">
        <v>8.645410554E9</v>
      </c>
      <c r="E525" s="56" t="s">
        <v>368</v>
      </c>
      <c r="F525" s="56" t="s">
        <v>2286</v>
      </c>
      <c r="G525" s="56" t="s">
        <v>2291</v>
      </c>
      <c r="H525" s="62" t="s">
        <v>390</v>
      </c>
      <c r="I525" s="59"/>
      <c r="J525" s="59"/>
      <c r="K525" s="56" t="s">
        <v>379</v>
      </c>
      <c r="L525" s="56" t="s">
        <v>365</v>
      </c>
      <c r="M525" s="56" t="s">
        <v>366</v>
      </c>
      <c r="N525" s="62" t="s">
        <v>5720</v>
      </c>
      <c r="O525" s="59"/>
      <c r="P525" s="59"/>
      <c r="Q525" s="59"/>
      <c r="R525" s="59"/>
      <c r="S525" s="56" t="s">
        <v>5722</v>
      </c>
      <c r="T525" s="61" t="s">
        <v>394</v>
      </c>
      <c r="U525" s="58" t="s">
        <v>7213</v>
      </c>
      <c r="W525" s="55" t="b">
        <f t="shared" si="1"/>
        <v>0</v>
      </c>
    </row>
    <row r="526" ht="15.0" customHeight="1">
      <c r="A526" s="56" t="s">
        <v>265</v>
      </c>
      <c r="B526" s="56" t="s">
        <v>5575</v>
      </c>
      <c r="C526" s="57" t="s">
        <v>5576</v>
      </c>
      <c r="D526" s="58">
        <v>2.102325746E9</v>
      </c>
      <c r="E526" s="56" t="s">
        <v>368</v>
      </c>
      <c r="F526" s="56" t="s">
        <v>362</v>
      </c>
      <c r="G526" s="56" t="s">
        <v>5715</v>
      </c>
      <c r="H526" s="56" t="s">
        <v>452</v>
      </c>
      <c r="I526" s="56" t="s">
        <v>390</v>
      </c>
      <c r="J526" s="56" t="s">
        <v>1598</v>
      </c>
      <c r="K526" s="56" t="s">
        <v>364</v>
      </c>
      <c r="L526" s="56" t="s">
        <v>365</v>
      </c>
      <c r="M526" s="56" t="s">
        <v>413</v>
      </c>
      <c r="N526" s="56" t="s">
        <v>381</v>
      </c>
      <c r="O526" s="58">
        <v>1.0</v>
      </c>
      <c r="P526" s="58">
        <v>1.0</v>
      </c>
      <c r="Q526" s="56" t="s">
        <v>4114</v>
      </c>
      <c r="R526" s="59"/>
      <c r="S526" s="56" t="s">
        <v>5733</v>
      </c>
      <c r="T526" s="61" t="s">
        <v>373</v>
      </c>
      <c r="U526" s="58" t="s">
        <v>7214</v>
      </c>
      <c r="W526" s="55" t="b">
        <f t="shared" si="1"/>
        <v>0</v>
      </c>
    </row>
    <row r="527" ht="15.0" customHeight="1">
      <c r="A527" s="56" t="s">
        <v>266</v>
      </c>
      <c r="B527" s="56" t="s">
        <v>5578</v>
      </c>
      <c r="C527" s="57" t="s">
        <v>5579</v>
      </c>
      <c r="D527" s="56" t="s">
        <v>5580</v>
      </c>
      <c r="E527" s="56" t="s">
        <v>368</v>
      </c>
      <c r="F527" s="56" t="s">
        <v>2286</v>
      </c>
      <c r="G527" s="56" t="s">
        <v>452</v>
      </c>
      <c r="H527" s="56" t="s">
        <v>390</v>
      </c>
      <c r="I527" s="62" t="s">
        <v>675</v>
      </c>
      <c r="J527" s="59"/>
      <c r="K527" s="56" t="s">
        <v>364</v>
      </c>
      <c r="L527" s="56" t="s">
        <v>412</v>
      </c>
      <c r="M527" s="56" t="s">
        <v>413</v>
      </c>
      <c r="N527" s="62" t="s">
        <v>483</v>
      </c>
      <c r="O527" s="59"/>
      <c r="P527" s="59"/>
      <c r="Q527" s="56" t="s">
        <v>7215</v>
      </c>
      <c r="R527" s="59"/>
      <c r="S527" s="56" t="s">
        <v>5733</v>
      </c>
      <c r="T527" s="61" t="s">
        <v>373</v>
      </c>
      <c r="U527" s="58" t="s">
        <v>7216</v>
      </c>
      <c r="W527" s="55" t="b">
        <f t="shared" si="1"/>
        <v>0</v>
      </c>
    </row>
    <row r="528" ht="15.0" customHeight="1">
      <c r="A528" s="56" t="s">
        <v>4308</v>
      </c>
      <c r="B528" s="56" t="s">
        <v>4309</v>
      </c>
      <c r="C528" s="57" t="s">
        <v>4310</v>
      </c>
      <c r="D528" s="58">
        <v>5.402832E9</v>
      </c>
      <c r="E528" s="56" t="s">
        <v>368</v>
      </c>
      <c r="F528" s="56" t="s">
        <v>452</v>
      </c>
      <c r="G528" s="56" t="s">
        <v>390</v>
      </c>
      <c r="H528" s="56" t="s">
        <v>5715</v>
      </c>
      <c r="I528" s="62" t="s">
        <v>362</v>
      </c>
      <c r="J528" s="59"/>
      <c r="K528" s="56" t="s">
        <v>364</v>
      </c>
      <c r="L528" s="56" t="s">
        <v>380</v>
      </c>
      <c r="M528" s="56" t="s">
        <v>366</v>
      </c>
      <c r="N528" s="62" t="s">
        <v>5724</v>
      </c>
      <c r="O528" s="59"/>
      <c r="P528" s="59"/>
      <c r="Q528" s="56" t="s">
        <v>7165</v>
      </c>
      <c r="R528" s="59"/>
      <c r="S528" s="56" t="s">
        <v>5717</v>
      </c>
      <c r="T528" s="61" t="s">
        <v>373</v>
      </c>
      <c r="U528" s="58" t="s">
        <v>7217</v>
      </c>
      <c r="W528" s="55" t="b">
        <f t="shared" si="1"/>
        <v>0</v>
      </c>
    </row>
    <row r="529" ht="15.0" customHeight="1">
      <c r="A529" s="56" t="s">
        <v>267</v>
      </c>
      <c r="B529" s="56" t="s">
        <v>7218</v>
      </c>
      <c r="C529" s="57" t="s">
        <v>4314</v>
      </c>
      <c r="D529" s="56" t="s">
        <v>5582</v>
      </c>
      <c r="E529" s="56" t="s">
        <v>368</v>
      </c>
      <c r="F529" s="62" t="s">
        <v>2286</v>
      </c>
      <c r="G529" s="59"/>
      <c r="H529" s="59"/>
      <c r="I529" s="59"/>
      <c r="J529" s="59"/>
      <c r="K529" s="56" t="s">
        <v>364</v>
      </c>
      <c r="L529" s="56" t="s">
        <v>667</v>
      </c>
      <c r="M529" s="56" t="s">
        <v>413</v>
      </c>
      <c r="N529" s="62" t="s">
        <v>5798</v>
      </c>
      <c r="O529" s="59"/>
      <c r="P529" s="59"/>
      <c r="Q529" s="56" t="s">
        <v>7219</v>
      </c>
      <c r="R529" s="59"/>
      <c r="S529" s="56" t="s">
        <v>5722</v>
      </c>
      <c r="T529" s="61" t="s">
        <v>373</v>
      </c>
      <c r="U529" s="58" t="s">
        <v>5896</v>
      </c>
      <c r="W529" s="55" t="b">
        <f t="shared" si="1"/>
        <v>0</v>
      </c>
    </row>
    <row r="530" ht="15.0" customHeight="1">
      <c r="A530" s="56" t="s">
        <v>4317</v>
      </c>
      <c r="B530" s="56" t="s">
        <v>4318</v>
      </c>
      <c r="C530" s="57" t="s">
        <v>4319</v>
      </c>
      <c r="D530" s="56" t="s">
        <v>7220</v>
      </c>
      <c r="E530" s="56" t="s">
        <v>368</v>
      </c>
      <c r="F530" s="56" t="s">
        <v>1598</v>
      </c>
      <c r="G530" s="56" t="s">
        <v>410</v>
      </c>
      <c r="H530" s="56" t="s">
        <v>452</v>
      </c>
      <c r="I530" s="56" t="s">
        <v>390</v>
      </c>
      <c r="J530" s="56" t="s">
        <v>362</v>
      </c>
      <c r="K530" s="56" t="s">
        <v>364</v>
      </c>
      <c r="L530" s="56" t="s">
        <v>365</v>
      </c>
      <c r="M530" s="56" t="s">
        <v>413</v>
      </c>
      <c r="N530" s="62" t="s">
        <v>5716</v>
      </c>
      <c r="O530" s="59"/>
      <c r="P530" s="59"/>
      <c r="Q530" s="56" t="s">
        <v>3173</v>
      </c>
      <c r="R530" s="59"/>
      <c r="S530" s="56" t="s">
        <v>5717</v>
      </c>
      <c r="T530" s="61" t="s">
        <v>373</v>
      </c>
      <c r="U530" s="58" t="s">
        <v>7221</v>
      </c>
      <c r="W530" s="55" t="b">
        <f t="shared" si="1"/>
        <v>0</v>
      </c>
    </row>
    <row r="531" ht="15.0" customHeight="1">
      <c r="A531" s="56" t="s">
        <v>7222</v>
      </c>
      <c r="B531" s="56" t="s">
        <v>7223</v>
      </c>
      <c r="C531" s="57" t="s">
        <v>7224</v>
      </c>
      <c r="D531" s="56" t="s">
        <v>7225</v>
      </c>
      <c r="E531" s="56" t="s">
        <v>368</v>
      </c>
      <c r="F531" s="56" t="s">
        <v>2286</v>
      </c>
      <c r="G531" s="56" t="s">
        <v>2286</v>
      </c>
      <c r="H531" s="62" t="s">
        <v>2286</v>
      </c>
      <c r="I531" s="59"/>
      <c r="J531" s="59"/>
      <c r="K531" s="56" t="s">
        <v>399</v>
      </c>
      <c r="L531" s="56" t="s">
        <v>667</v>
      </c>
      <c r="M531" s="56" t="s">
        <v>513</v>
      </c>
      <c r="N531" s="62" t="s">
        <v>5716</v>
      </c>
      <c r="O531" s="59"/>
      <c r="P531" s="59"/>
      <c r="Q531" s="56" t="s">
        <v>1798</v>
      </c>
      <c r="R531" s="59"/>
      <c r="S531" s="56" t="s">
        <v>5717</v>
      </c>
      <c r="T531" s="61" t="s">
        <v>373</v>
      </c>
      <c r="U531" s="58" t="s">
        <v>7226</v>
      </c>
      <c r="W531" s="55" t="b">
        <f t="shared" si="1"/>
        <v>1</v>
      </c>
    </row>
    <row r="532" ht="15.0" customHeight="1">
      <c r="A532" s="56" t="s">
        <v>268</v>
      </c>
      <c r="B532" s="56" t="s">
        <v>5585</v>
      </c>
      <c r="C532" s="57" t="s">
        <v>5586</v>
      </c>
      <c r="D532" s="58">
        <v>7.134660277E9</v>
      </c>
      <c r="E532" s="56" t="s">
        <v>368</v>
      </c>
      <c r="F532" s="56" t="s">
        <v>452</v>
      </c>
      <c r="G532" s="56" t="s">
        <v>390</v>
      </c>
      <c r="H532" s="62" t="s">
        <v>421</v>
      </c>
      <c r="I532" s="59"/>
      <c r="J532" s="59"/>
      <c r="K532" s="56" t="s">
        <v>364</v>
      </c>
      <c r="L532" s="56" t="s">
        <v>380</v>
      </c>
      <c r="M532" s="56" t="s">
        <v>366</v>
      </c>
      <c r="N532" s="62" t="s">
        <v>5946</v>
      </c>
      <c r="O532" s="59"/>
      <c r="P532" s="59"/>
      <c r="Q532" s="56" t="s">
        <v>1967</v>
      </c>
      <c r="R532" s="59"/>
      <c r="S532" s="56" t="s">
        <v>5717</v>
      </c>
      <c r="T532" s="61" t="s">
        <v>373</v>
      </c>
      <c r="U532" s="58" t="s">
        <v>7227</v>
      </c>
      <c r="W532" s="55" t="b">
        <f t="shared" si="1"/>
        <v>0</v>
      </c>
    </row>
    <row r="533" ht="15.0" customHeight="1">
      <c r="A533" s="56" t="s">
        <v>4322</v>
      </c>
      <c r="B533" s="56" t="s">
        <v>7228</v>
      </c>
      <c r="C533" s="57" t="s">
        <v>7229</v>
      </c>
      <c r="D533" s="56" t="s">
        <v>7230</v>
      </c>
      <c r="E533" s="56" t="s">
        <v>368</v>
      </c>
      <c r="F533" s="56" t="s">
        <v>410</v>
      </c>
      <c r="G533" s="56" t="s">
        <v>390</v>
      </c>
      <c r="H533" s="56" t="s">
        <v>452</v>
      </c>
      <c r="I533" s="62" t="s">
        <v>2286</v>
      </c>
      <c r="J533" s="59"/>
      <c r="K533" s="56" t="s">
        <v>379</v>
      </c>
      <c r="L533" s="56" t="s">
        <v>405</v>
      </c>
      <c r="M533" s="56" t="s">
        <v>413</v>
      </c>
      <c r="N533" s="62" t="s">
        <v>5716</v>
      </c>
      <c r="O533" s="59"/>
      <c r="P533" s="59"/>
      <c r="Q533" s="56" t="s">
        <v>3607</v>
      </c>
      <c r="R533" s="59"/>
      <c r="S533" s="56" t="s">
        <v>5717</v>
      </c>
      <c r="T533" s="61" t="s">
        <v>373</v>
      </c>
      <c r="U533" s="58" t="s">
        <v>7231</v>
      </c>
      <c r="W533" s="55" t="b">
        <f t="shared" si="1"/>
        <v>0</v>
      </c>
    </row>
    <row r="534" ht="15.0" customHeight="1">
      <c r="A534" s="56" t="s">
        <v>4326</v>
      </c>
      <c r="B534" s="56" t="s">
        <v>7232</v>
      </c>
      <c r="C534" s="57" t="s">
        <v>7233</v>
      </c>
      <c r="D534" s="56" t="s">
        <v>7234</v>
      </c>
      <c r="E534" s="56" t="s">
        <v>368</v>
      </c>
      <c r="F534" s="56" t="s">
        <v>390</v>
      </c>
      <c r="G534" s="56" t="s">
        <v>452</v>
      </c>
      <c r="H534" s="56" t="s">
        <v>2291</v>
      </c>
      <c r="I534" s="56" t="s">
        <v>410</v>
      </c>
      <c r="J534" s="56" t="s">
        <v>1598</v>
      </c>
      <c r="K534" s="56" t="s">
        <v>364</v>
      </c>
      <c r="L534" s="56" t="s">
        <v>830</v>
      </c>
      <c r="M534" s="56" t="s">
        <v>869</v>
      </c>
      <c r="N534" s="62" t="s">
        <v>5720</v>
      </c>
      <c r="O534" s="59"/>
      <c r="P534" s="59"/>
      <c r="Q534" s="56" t="s">
        <v>3515</v>
      </c>
      <c r="R534" s="59"/>
      <c r="S534" s="56" t="s">
        <v>5722</v>
      </c>
      <c r="T534" s="61" t="s">
        <v>373</v>
      </c>
      <c r="U534" s="58" t="s">
        <v>7235</v>
      </c>
      <c r="W534" s="55" t="b">
        <f t="shared" si="1"/>
        <v>0</v>
      </c>
    </row>
    <row r="535" ht="15.0" customHeight="1">
      <c r="A535" s="56" t="s">
        <v>269</v>
      </c>
      <c r="B535" s="56" t="s">
        <v>2110</v>
      </c>
      <c r="C535" s="57" t="s">
        <v>2111</v>
      </c>
      <c r="D535" s="58">
        <v>8.173710502E9</v>
      </c>
      <c r="E535" s="56" t="s">
        <v>368</v>
      </c>
      <c r="F535" s="56" t="s">
        <v>390</v>
      </c>
      <c r="G535" s="56" t="s">
        <v>459</v>
      </c>
      <c r="H535" s="56" t="s">
        <v>452</v>
      </c>
      <c r="I535" s="56" t="s">
        <v>5715</v>
      </c>
      <c r="J535" s="56" t="s">
        <v>362</v>
      </c>
      <c r="K535" s="56" t="s">
        <v>379</v>
      </c>
      <c r="L535" s="56" t="s">
        <v>710</v>
      </c>
      <c r="M535" s="56" t="s">
        <v>366</v>
      </c>
      <c r="N535" s="56" t="s">
        <v>5720</v>
      </c>
      <c r="O535" s="58">
        <v>0.0</v>
      </c>
      <c r="P535" s="58">
        <v>1.0</v>
      </c>
      <c r="Q535" s="56" t="s">
        <v>4804</v>
      </c>
      <c r="R535" s="59"/>
      <c r="S535" s="56" t="s">
        <v>5722</v>
      </c>
      <c r="T535" s="61" t="s">
        <v>373</v>
      </c>
      <c r="U535" s="58" t="s">
        <v>7236</v>
      </c>
      <c r="W535" s="55" t="b">
        <f t="shared" si="1"/>
        <v>0</v>
      </c>
    </row>
    <row r="536" ht="15.0" customHeight="1">
      <c r="A536" s="56" t="s">
        <v>7237</v>
      </c>
      <c r="B536" s="56" t="s">
        <v>7238</v>
      </c>
      <c r="C536" s="57" t="s">
        <v>7239</v>
      </c>
      <c r="D536" s="56" t="s">
        <v>7240</v>
      </c>
      <c r="E536" s="56" t="s">
        <v>368</v>
      </c>
      <c r="F536" s="62" t="s">
        <v>2286</v>
      </c>
      <c r="G536" s="59"/>
      <c r="H536" s="59"/>
      <c r="I536" s="59"/>
      <c r="J536" s="59"/>
      <c r="K536" s="56" t="s">
        <v>399</v>
      </c>
      <c r="L536" s="56" t="s">
        <v>365</v>
      </c>
      <c r="M536" s="56" t="s">
        <v>366</v>
      </c>
      <c r="N536" s="62" t="s">
        <v>5720</v>
      </c>
      <c r="O536" s="59"/>
      <c r="P536" s="59"/>
      <c r="Q536" s="56" t="s">
        <v>2148</v>
      </c>
      <c r="R536" s="59"/>
      <c r="S536" s="56" t="s">
        <v>5722</v>
      </c>
      <c r="T536" s="61" t="s">
        <v>373</v>
      </c>
      <c r="U536" s="58" t="s">
        <v>7241</v>
      </c>
      <c r="W536" s="55" t="b">
        <f t="shared" si="1"/>
        <v>0</v>
      </c>
    </row>
    <row r="537" ht="15.0" customHeight="1">
      <c r="A537" s="56" t="s">
        <v>322</v>
      </c>
      <c r="B537" s="56" t="s">
        <v>5589</v>
      </c>
      <c r="C537" s="57" t="s">
        <v>5590</v>
      </c>
      <c r="D537" s="58">
        <v>9.177943697E9</v>
      </c>
      <c r="E537" s="56" t="s">
        <v>368</v>
      </c>
      <c r="F537" s="56" t="s">
        <v>2286</v>
      </c>
      <c r="G537" s="56" t="s">
        <v>390</v>
      </c>
      <c r="H537" s="62" t="s">
        <v>452</v>
      </c>
      <c r="I537" s="59"/>
      <c r="J537" s="59"/>
      <c r="K537" s="56" t="s">
        <v>379</v>
      </c>
      <c r="L537" s="56" t="s">
        <v>365</v>
      </c>
      <c r="M537" s="56" t="s">
        <v>366</v>
      </c>
      <c r="N537" s="62" t="s">
        <v>5720</v>
      </c>
      <c r="O537" s="59"/>
      <c r="P537" s="59"/>
      <c r="Q537" s="56" t="s">
        <v>1001</v>
      </c>
      <c r="R537" s="59"/>
      <c r="S537" s="56" t="s">
        <v>5722</v>
      </c>
      <c r="T537" s="61" t="s">
        <v>373</v>
      </c>
      <c r="U537" s="58" t="s">
        <v>7242</v>
      </c>
      <c r="W537" s="55" t="b">
        <f t="shared" si="1"/>
        <v>0</v>
      </c>
    </row>
    <row r="538" ht="15.0" customHeight="1">
      <c r="A538" s="56" t="s">
        <v>2123</v>
      </c>
      <c r="B538" s="56" t="s">
        <v>4346</v>
      </c>
      <c r="C538" s="57" t="s">
        <v>4347</v>
      </c>
      <c r="D538" s="56" t="s">
        <v>5600</v>
      </c>
      <c r="E538" s="56" t="s">
        <v>368</v>
      </c>
      <c r="F538" s="56" t="s">
        <v>2286</v>
      </c>
      <c r="G538" s="62" t="s">
        <v>1789</v>
      </c>
      <c r="H538" s="59"/>
      <c r="I538" s="59"/>
      <c r="J538" s="59"/>
      <c r="K538" s="56" t="s">
        <v>364</v>
      </c>
      <c r="L538" s="56" t="s">
        <v>365</v>
      </c>
      <c r="M538" s="56" t="s">
        <v>413</v>
      </c>
      <c r="N538" s="62" t="s">
        <v>5720</v>
      </c>
      <c r="O538" s="59"/>
      <c r="P538" s="59"/>
      <c r="Q538" s="56" t="s">
        <v>3662</v>
      </c>
      <c r="R538" s="59"/>
      <c r="S538" s="56" t="s">
        <v>5722</v>
      </c>
      <c r="T538" s="61" t="s">
        <v>373</v>
      </c>
      <c r="U538" s="58" t="s">
        <v>7243</v>
      </c>
      <c r="W538" s="55" t="b">
        <f t="shared" si="1"/>
        <v>0</v>
      </c>
    </row>
    <row r="539" ht="15.0" customHeight="1">
      <c r="A539" s="56" t="s">
        <v>4349</v>
      </c>
      <c r="B539" s="56" t="s">
        <v>4350</v>
      </c>
      <c r="C539" s="57" t="s">
        <v>7244</v>
      </c>
      <c r="D539" s="56" t="s">
        <v>7245</v>
      </c>
      <c r="E539" s="56" t="s">
        <v>368</v>
      </c>
      <c r="F539" s="56" t="s">
        <v>410</v>
      </c>
      <c r="G539" s="56" t="s">
        <v>2286</v>
      </c>
      <c r="H539" s="56" t="s">
        <v>1789</v>
      </c>
      <c r="I539" s="56" t="s">
        <v>390</v>
      </c>
      <c r="J539" s="56" t="s">
        <v>1553</v>
      </c>
      <c r="K539" s="56" t="s">
        <v>364</v>
      </c>
      <c r="L539" s="56" t="s">
        <v>365</v>
      </c>
      <c r="M539" s="56" t="s">
        <v>366</v>
      </c>
      <c r="N539" s="62" t="s">
        <v>5720</v>
      </c>
      <c r="O539" s="59"/>
      <c r="P539" s="59"/>
      <c r="Q539" s="56" t="s">
        <v>3670</v>
      </c>
      <c r="R539" s="59"/>
      <c r="S539" s="56" t="s">
        <v>5722</v>
      </c>
      <c r="T539" s="61" t="s">
        <v>373</v>
      </c>
      <c r="U539" s="58" t="s">
        <v>7246</v>
      </c>
      <c r="W539" s="55" t="b">
        <f t="shared" si="1"/>
        <v>0</v>
      </c>
    </row>
    <row r="540" ht="15.0" customHeight="1">
      <c r="A540" s="56" t="s">
        <v>7247</v>
      </c>
      <c r="B540" s="56" t="s">
        <v>5609</v>
      </c>
      <c r="C540" s="57" t="s">
        <v>7248</v>
      </c>
      <c r="D540" s="56" t="s">
        <v>5611</v>
      </c>
      <c r="E540" s="56" t="s">
        <v>368</v>
      </c>
      <c r="F540" s="56" t="s">
        <v>410</v>
      </c>
      <c r="G540" s="56" t="s">
        <v>390</v>
      </c>
      <c r="H540" s="56" t="s">
        <v>452</v>
      </c>
      <c r="I540" s="56" t="s">
        <v>1598</v>
      </c>
      <c r="J540" s="56" t="s">
        <v>421</v>
      </c>
      <c r="K540" s="56" t="s">
        <v>399</v>
      </c>
      <c r="L540" s="56" t="s">
        <v>365</v>
      </c>
      <c r="M540" s="56" t="s">
        <v>513</v>
      </c>
      <c r="N540" s="62" t="s">
        <v>6961</v>
      </c>
      <c r="O540" s="59"/>
      <c r="P540" s="58">
        <v>0.0</v>
      </c>
      <c r="Q540" s="56" t="s">
        <v>7249</v>
      </c>
      <c r="R540" s="59"/>
      <c r="S540" s="56" t="s">
        <v>5722</v>
      </c>
      <c r="T540" s="61" t="s">
        <v>373</v>
      </c>
      <c r="U540" s="58" t="s">
        <v>7250</v>
      </c>
      <c r="W540" s="55" t="b">
        <f t="shared" si="1"/>
        <v>1</v>
      </c>
    </row>
    <row r="541" ht="15.0" customHeight="1">
      <c r="A541" s="56" t="s">
        <v>7251</v>
      </c>
      <c r="B541" s="56" t="s">
        <v>7252</v>
      </c>
      <c r="C541" s="57" t="s">
        <v>7253</v>
      </c>
      <c r="D541" s="58">
        <v>7.693189375E9</v>
      </c>
      <c r="E541" s="56" t="s">
        <v>368</v>
      </c>
      <c r="F541" s="56" t="s">
        <v>2286</v>
      </c>
      <c r="G541" s="56" t="s">
        <v>390</v>
      </c>
      <c r="H541" s="62" t="s">
        <v>1598</v>
      </c>
      <c r="I541" s="59"/>
      <c r="J541" s="59"/>
      <c r="K541" s="56" t="s">
        <v>399</v>
      </c>
      <c r="L541" s="56" t="s">
        <v>380</v>
      </c>
      <c r="M541" s="56" t="s">
        <v>413</v>
      </c>
      <c r="N541" s="62" t="s">
        <v>5720</v>
      </c>
      <c r="O541" s="59"/>
      <c r="P541" s="59"/>
      <c r="Q541" s="56" t="s">
        <v>7254</v>
      </c>
      <c r="R541" s="59"/>
      <c r="S541" s="56" t="s">
        <v>5722</v>
      </c>
      <c r="T541" s="61" t="s">
        <v>373</v>
      </c>
      <c r="U541" s="58" t="s">
        <v>7255</v>
      </c>
      <c r="W541" s="55" t="b">
        <f t="shared" si="1"/>
        <v>0</v>
      </c>
    </row>
    <row r="542" ht="15.0" customHeight="1">
      <c r="A542" s="56" t="s">
        <v>7256</v>
      </c>
      <c r="B542" s="56" t="s">
        <v>7257</v>
      </c>
      <c r="C542" s="57" t="s">
        <v>7258</v>
      </c>
      <c r="D542" s="56" t="s">
        <v>7259</v>
      </c>
      <c r="E542" s="56" t="s">
        <v>368</v>
      </c>
      <c r="F542" s="56" t="s">
        <v>709</v>
      </c>
      <c r="G542" s="56" t="s">
        <v>452</v>
      </c>
      <c r="H542" s="56" t="s">
        <v>390</v>
      </c>
      <c r="I542" s="56" t="s">
        <v>1598</v>
      </c>
      <c r="J542" s="56" t="s">
        <v>410</v>
      </c>
      <c r="K542" s="56" t="s">
        <v>364</v>
      </c>
      <c r="L542" s="56" t="s">
        <v>365</v>
      </c>
      <c r="M542" s="56" t="s">
        <v>413</v>
      </c>
      <c r="N542" s="62" t="s">
        <v>5716</v>
      </c>
      <c r="O542" s="59"/>
      <c r="P542" s="59"/>
      <c r="Q542" s="56" t="s">
        <v>2818</v>
      </c>
      <c r="R542" s="59"/>
      <c r="S542" s="56" t="s">
        <v>5717</v>
      </c>
      <c r="T542" s="61" t="s">
        <v>373</v>
      </c>
      <c r="U542" s="58" t="s">
        <v>5936</v>
      </c>
      <c r="W542" s="55" t="b">
        <f t="shared" si="1"/>
        <v>0</v>
      </c>
    </row>
    <row r="543" ht="15.0" customHeight="1">
      <c r="A543" s="56" t="s">
        <v>4364</v>
      </c>
      <c r="B543" s="56" t="s">
        <v>7260</v>
      </c>
      <c r="C543" s="57" t="s">
        <v>7261</v>
      </c>
      <c r="D543" s="58">
        <v>3.179897436E9</v>
      </c>
      <c r="E543" s="56" t="s">
        <v>368</v>
      </c>
      <c r="F543" s="56" t="s">
        <v>2286</v>
      </c>
      <c r="G543" s="56" t="s">
        <v>452</v>
      </c>
      <c r="H543" s="56" t="s">
        <v>390</v>
      </c>
      <c r="I543" s="56" t="s">
        <v>362</v>
      </c>
      <c r="J543" s="56" t="s">
        <v>5715</v>
      </c>
      <c r="K543" s="56" t="s">
        <v>399</v>
      </c>
      <c r="L543" s="56" t="s">
        <v>365</v>
      </c>
      <c r="M543" s="56" t="s">
        <v>366</v>
      </c>
      <c r="N543" s="62" t="s">
        <v>5720</v>
      </c>
      <c r="O543" s="59"/>
      <c r="P543" s="59"/>
      <c r="Q543" s="56" t="s">
        <v>534</v>
      </c>
      <c r="R543" s="59"/>
      <c r="S543" s="56" t="s">
        <v>5722</v>
      </c>
      <c r="T543" s="61" t="s">
        <v>373</v>
      </c>
      <c r="U543" s="58" t="s">
        <v>7262</v>
      </c>
      <c r="W543" s="55" t="b">
        <f t="shared" si="1"/>
        <v>0</v>
      </c>
    </row>
    <row r="544" ht="15.0" customHeight="1">
      <c r="A544" s="56" t="s">
        <v>7263</v>
      </c>
      <c r="B544" s="56" t="s">
        <v>7264</v>
      </c>
      <c r="C544" s="57" t="s">
        <v>7265</v>
      </c>
      <c r="D544" s="58">
        <v>2.027357041E9</v>
      </c>
      <c r="E544" s="56" t="s">
        <v>368</v>
      </c>
      <c r="F544" s="56" t="s">
        <v>421</v>
      </c>
      <c r="G544" s="56" t="s">
        <v>5715</v>
      </c>
      <c r="H544" s="56" t="s">
        <v>2931</v>
      </c>
      <c r="I544" s="62" t="s">
        <v>390</v>
      </c>
      <c r="J544" s="59"/>
      <c r="K544" s="56" t="s">
        <v>379</v>
      </c>
      <c r="L544" s="56" t="s">
        <v>412</v>
      </c>
      <c r="M544" s="56" t="s">
        <v>413</v>
      </c>
      <c r="N544" s="62" t="s">
        <v>381</v>
      </c>
      <c r="O544" s="59"/>
      <c r="P544" s="59"/>
      <c r="Q544" s="56" t="s">
        <v>3240</v>
      </c>
      <c r="R544" s="59"/>
      <c r="S544" s="56" t="s">
        <v>5733</v>
      </c>
      <c r="T544" s="61" t="s">
        <v>373</v>
      </c>
      <c r="U544" s="58" t="s">
        <v>7266</v>
      </c>
      <c r="W544" s="55" t="b">
        <f t="shared" si="1"/>
        <v>0</v>
      </c>
    </row>
    <row r="545" ht="15.0" customHeight="1">
      <c r="A545" s="56" t="s">
        <v>7267</v>
      </c>
      <c r="B545" s="56" t="s">
        <v>7268</v>
      </c>
      <c r="C545" s="57" t="s">
        <v>7269</v>
      </c>
      <c r="D545" s="56" t="s">
        <v>7270</v>
      </c>
      <c r="E545" s="56" t="s">
        <v>368</v>
      </c>
      <c r="F545" s="56" t="s">
        <v>443</v>
      </c>
      <c r="G545" s="56" t="s">
        <v>5719</v>
      </c>
      <c r="H545" s="56" t="s">
        <v>5715</v>
      </c>
      <c r="I545" s="56" t="s">
        <v>362</v>
      </c>
      <c r="J545" s="56" t="s">
        <v>452</v>
      </c>
      <c r="K545" s="56" t="s">
        <v>399</v>
      </c>
      <c r="L545" s="56" t="s">
        <v>412</v>
      </c>
      <c r="M545" s="56" t="s">
        <v>413</v>
      </c>
      <c r="N545" s="62" t="s">
        <v>5716</v>
      </c>
      <c r="O545" s="59"/>
      <c r="P545" s="59"/>
      <c r="Q545" s="56" t="s">
        <v>2746</v>
      </c>
      <c r="R545" s="59"/>
      <c r="S545" s="56" t="s">
        <v>5717</v>
      </c>
      <c r="T545" s="61" t="s">
        <v>373</v>
      </c>
      <c r="U545" s="58" t="s">
        <v>7271</v>
      </c>
      <c r="W545" s="55" t="b">
        <f t="shared" si="1"/>
        <v>0</v>
      </c>
    </row>
    <row r="546" ht="15.0" customHeight="1">
      <c r="A546" s="56" t="s">
        <v>272</v>
      </c>
      <c r="B546" s="56" t="s">
        <v>7272</v>
      </c>
      <c r="C546" s="57" t="s">
        <v>2144</v>
      </c>
      <c r="D546" s="56" t="s">
        <v>5614</v>
      </c>
      <c r="E546" s="56" t="s">
        <v>368</v>
      </c>
      <c r="F546" s="56" t="s">
        <v>2291</v>
      </c>
      <c r="G546" s="56" t="s">
        <v>390</v>
      </c>
      <c r="H546" s="56" t="s">
        <v>452</v>
      </c>
      <c r="I546" s="56" t="s">
        <v>5715</v>
      </c>
      <c r="J546" s="56" t="s">
        <v>1598</v>
      </c>
      <c r="K546" s="56" t="s">
        <v>364</v>
      </c>
      <c r="L546" s="56" t="s">
        <v>412</v>
      </c>
      <c r="M546" s="56" t="s">
        <v>366</v>
      </c>
      <c r="N546" s="62" t="s">
        <v>381</v>
      </c>
      <c r="O546" s="59"/>
      <c r="P546" s="59"/>
      <c r="Q546" s="56" t="s">
        <v>2475</v>
      </c>
      <c r="R546" s="59"/>
      <c r="S546" s="56" t="s">
        <v>5733</v>
      </c>
      <c r="T546" s="61" t="s">
        <v>373</v>
      </c>
      <c r="U546" s="58" t="s">
        <v>7273</v>
      </c>
      <c r="W546" s="55" t="b">
        <f t="shared" si="1"/>
        <v>0</v>
      </c>
    </row>
    <row r="547" ht="15.0" customHeight="1">
      <c r="A547" s="56" t="s">
        <v>7274</v>
      </c>
      <c r="B547" s="56" t="s">
        <v>7275</v>
      </c>
      <c r="C547" s="57" t="s">
        <v>7276</v>
      </c>
      <c r="D547" s="58">
        <v>8.659741088E9</v>
      </c>
      <c r="E547" s="56" t="s">
        <v>368</v>
      </c>
      <c r="F547" s="56" t="s">
        <v>716</v>
      </c>
      <c r="G547" s="56" t="s">
        <v>362</v>
      </c>
      <c r="H547" s="56" t="s">
        <v>1598</v>
      </c>
      <c r="I547" s="56" t="s">
        <v>421</v>
      </c>
      <c r="J547" s="56" t="s">
        <v>5719</v>
      </c>
      <c r="K547" s="56" t="s">
        <v>364</v>
      </c>
      <c r="L547" s="56" t="s">
        <v>365</v>
      </c>
      <c r="M547" s="56" t="s">
        <v>513</v>
      </c>
      <c r="N547" s="62" t="s">
        <v>483</v>
      </c>
      <c r="O547" s="59"/>
      <c r="P547" s="59"/>
      <c r="Q547" s="56" t="s">
        <v>7277</v>
      </c>
      <c r="R547" s="59"/>
      <c r="S547" s="56" t="s">
        <v>5733</v>
      </c>
      <c r="T547" s="61" t="s">
        <v>373</v>
      </c>
      <c r="U547" s="58" t="s">
        <v>7278</v>
      </c>
      <c r="W547" s="55" t="b">
        <f t="shared" si="1"/>
        <v>1</v>
      </c>
    </row>
    <row r="548" ht="15.0" customHeight="1">
      <c r="A548" s="56" t="s">
        <v>7279</v>
      </c>
      <c r="B548" s="56" t="s">
        <v>7280</v>
      </c>
      <c r="C548" s="57" t="s">
        <v>7281</v>
      </c>
      <c r="D548" s="56" t="s">
        <v>7282</v>
      </c>
      <c r="E548" s="56" t="s">
        <v>368</v>
      </c>
      <c r="F548" s="56" t="s">
        <v>2286</v>
      </c>
      <c r="G548" s="62" t="s">
        <v>675</v>
      </c>
      <c r="H548" s="59"/>
      <c r="I548" s="59"/>
      <c r="J548" s="59"/>
      <c r="K548" s="56" t="s">
        <v>379</v>
      </c>
      <c r="L548" s="56" t="s">
        <v>365</v>
      </c>
      <c r="M548" s="56" t="s">
        <v>513</v>
      </c>
      <c r="N548" s="62" t="s">
        <v>5716</v>
      </c>
      <c r="O548" s="59"/>
      <c r="P548" s="59"/>
      <c r="Q548" s="56" t="s">
        <v>2862</v>
      </c>
      <c r="R548" s="59"/>
      <c r="S548" s="56" t="s">
        <v>5717</v>
      </c>
      <c r="T548" s="61" t="s">
        <v>373</v>
      </c>
      <c r="U548" s="58" t="s">
        <v>7283</v>
      </c>
      <c r="W548" s="55" t="b">
        <f t="shared" si="1"/>
        <v>1</v>
      </c>
    </row>
    <row r="549" ht="15.0" customHeight="1">
      <c r="A549" s="56" t="s">
        <v>273</v>
      </c>
      <c r="B549" s="56" t="s">
        <v>5628</v>
      </c>
      <c r="C549" s="57" t="s">
        <v>5629</v>
      </c>
      <c r="D549" s="56" t="s">
        <v>5630</v>
      </c>
      <c r="E549" s="56" t="s">
        <v>368</v>
      </c>
      <c r="F549" s="56" t="s">
        <v>2286</v>
      </c>
      <c r="G549" s="56" t="s">
        <v>675</v>
      </c>
      <c r="H549" s="56" t="s">
        <v>452</v>
      </c>
      <c r="I549" s="56" t="s">
        <v>1789</v>
      </c>
      <c r="J549" s="56" t="s">
        <v>390</v>
      </c>
      <c r="K549" s="56" t="s">
        <v>399</v>
      </c>
      <c r="L549" s="56" t="s">
        <v>365</v>
      </c>
      <c r="M549" s="56" t="s">
        <v>413</v>
      </c>
      <c r="N549" s="62" t="s">
        <v>5720</v>
      </c>
      <c r="O549" s="59"/>
      <c r="P549" s="59"/>
      <c r="Q549" s="56" t="s">
        <v>2862</v>
      </c>
      <c r="R549" s="59"/>
      <c r="S549" s="56" t="s">
        <v>5722</v>
      </c>
      <c r="T549" s="61" t="s">
        <v>373</v>
      </c>
      <c r="U549" s="58" t="s">
        <v>7284</v>
      </c>
      <c r="W549" s="55" t="b">
        <f t="shared" si="1"/>
        <v>0</v>
      </c>
    </row>
    <row r="550" ht="15.0" customHeight="1">
      <c r="A550" s="56" t="s">
        <v>323</v>
      </c>
      <c r="B550" s="56" t="s">
        <v>4368</v>
      </c>
      <c r="C550" s="57" t="s">
        <v>4369</v>
      </c>
      <c r="D550" s="56" t="s">
        <v>7285</v>
      </c>
      <c r="E550" s="56" t="s">
        <v>368</v>
      </c>
      <c r="F550" s="56" t="s">
        <v>390</v>
      </c>
      <c r="G550" s="56" t="s">
        <v>421</v>
      </c>
      <c r="H550" s="62" t="s">
        <v>390</v>
      </c>
      <c r="I550" s="59"/>
      <c r="J550" s="59"/>
      <c r="K550" s="56" t="s">
        <v>379</v>
      </c>
      <c r="L550" s="56" t="s">
        <v>365</v>
      </c>
      <c r="M550" s="56" t="s">
        <v>413</v>
      </c>
      <c r="N550" s="62" t="s">
        <v>5720</v>
      </c>
      <c r="O550" s="59"/>
      <c r="P550" s="59"/>
      <c r="Q550" s="56" t="s">
        <v>2268</v>
      </c>
      <c r="R550" s="59"/>
      <c r="S550" s="56" t="s">
        <v>5722</v>
      </c>
      <c r="T550" s="61" t="s">
        <v>373</v>
      </c>
      <c r="U550" s="58" t="s">
        <v>7286</v>
      </c>
      <c r="W550" s="55" t="b">
        <f t="shared" si="1"/>
        <v>0</v>
      </c>
    </row>
    <row r="551" ht="15.0" customHeight="1">
      <c r="A551" s="56" t="s">
        <v>274</v>
      </c>
      <c r="B551" s="56" t="s">
        <v>7287</v>
      </c>
      <c r="C551" s="57" t="s">
        <v>7288</v>
      </c>
      <c r="D551" s="56" t="s">
        <v>7289</v>
      </c>
      <c r="E551" s="56" t="s">
        <v>368</v>
      </c>
      <c r="F551" s="56" t="s">
        <v>5715</v>
      </c>
      <c r="G551" s="62" t="s">
        <v>2291</v>
      </c>
      <c r="H551" s="59"/>
      <c r="I551" s="59"/>
      <c r="J551" s="59"/>
      <c r="K551" s="56" t="s">
        <v>379</v>
      </c>
      <c r="L551" s="56" t="s">
        <v>405</v>
      </c>
      <c r="M551" s="56" t="s">
        <v>366</v>
      </c>
      <c r="N551" s="62" t="s">
        <v>5716</v>
      </c>
      <c r="O551" s="59"/>
      <c r="P551" s="59"/>
      <c r="Q551" s="56" t="s">
        <v>2311</v>
      </c>
      <c r="R551" s="59"/>
      <c r="S551" s="56" t="s">
        <v>5717</v>
      </c>
      <c r="T551" s="61" t="s">
        <v>373</v>
      </c>
      <c r="U551" s="58" t="s">
        <v>7290</v>
      </c>
      <c r="W551" s="55" t="b">
        <f t="shared" si="1"/>
        <v>0</v>
      </c>
    </row>
    <row r="552" ht="15.0" customHeight="1">
      <c r="A552" s="56" t="s">
        <v>7291</v>
      </c>
      <c r="B552" s="56" t="s">
        <v>7292</v>
      </c>
      <c r="C552" s="57" t="s">
        <v>7293</v>
      </c>
      <c r="D552" s="56" t="s">
        <v>7294</v>
      </c>
      <c r="E552" s="56" t="s">
        <v>368</v>
      </c>
      <c r="F552" s="56" t="s">
        <v>1553</v>
      </c>
      <c r="G552" s="56" t="s">
        <v>877</v>
      </c>
      <c r="H552" s="56" t="s">
        <v>390</v>
      </c>
      <c r="I552" s="62" t="s">
        <v>452</v>
      </c>
      <c r="J552" s="59"/>
      <c r="K552" s="56" t="s">
        <v>379</v>
      </c>
      <c r="L552" s="56" t="s">
        <v>365</v>
      </c>
      <c r="M552" s="56" t="s">
        <v>366</v>
      </c>
      <c r="N552" s="56" t="s">
        <v>5716</v>
      </c>
      <c r="O552" s="58">
        <v>0.0</v>
      </c>
      <c r="P552" s="59"/>
      <c r="Q552" s="56" t="s">
        <v>2079</v>
      </c>
      <c r="R552" s="59"/>
      <c r="S552" s="56" t="s">
        <v>5717</v>
      </c>
      <c r="T552" s="61" t="s">
        <v>373</v>
      </c>
      <c r="U552" s="58" t="s">
        <v>7295</v>
      </c>
      <c r="W552" s="55" t="b">
        <f t="shared" si="1"/>
        <v>0</v>
      </c>
    </row>
    <row r="553" ht="15.0" customHeight="1">
      <c r="A553" s="56" t="s">
        <v>275</v>
      </c>
      <c r="B553" s="56" t="s">
        <v>7296</v>
      </c>
      <c r="C553" s="57" t="s">
        <v>7297</v>
      </c>
      <c r="D553" s="56" t="s">
        <v>7298</v>
      </c>
      <c r="E553" s="56" t="s">
        <v>368</v>
      </c>
      <c r="F553" s="56" t="s">
        <v>362</v>
      </c>
      <c r="G553" s="56" t="s">
        <v>5715</v>
      </c>
      <c r="H553" s="62" t="s">
        <v>3730</v>
      </c>
      <c r="I553" s="59"/>
      <c r="J553" s="59"/>
      <c r="K553" s="56" t="s">
        <v>364</v>
      </c>
      <c r="L553" s="56" t="s">
        <v>412</v>
      </c>
      <c r="M553" s="56" t="s">
        <v>366</v>
      </c>
      <c r="N553" s="56" t="s">
        <v>5716</v>
      </c>
      <c r="O553" s="58">
        <v>1.0</v>
      </c>
      <c r="P553" s="58">
        <v>1.0</v>
      </c>
      <c r="Q553" s="56" t="s">
        <v>2340</v>
      </c>
      <c r="R553" s="59"/>
      <c r="S553" s="56" t="s">
        <v>5717</v>
      </c>
      <c r="T553" s="61" t="s">
        <v>373</v>
      </c>
      <c r="U553" s="58" t="s">
        <v>7299</v>
      </c>
      <c r="W553" s="55" t="b">
        <f t="shared" si="1"/>
        <v>0</v>
      </c>
    </row>
    <row r="554" ht="15.0" customHeight="1">
      <c r="A554" s="56" t="s">
        <v>324</v>
      </c>
      <c r="B554" s="56" t="s">
        <v>4385</v>
      </c>
      <c r="C554" s="57" t="s">
        <v>4386</v>
      </c>
      <c r="D554" s="58">
        <v>2.103456053E9</v>
      </c>
      <c r="E554" s="56" t="s">
        <v>368</v>
      </c>
      <c r="F554" s="56" t="s">
        <v>410</v>
      </c>
      <c r="G554" s="56" t="s">
        <v>452</v>
      </c>
      <c r="H554" s="62" t="s">
        <v>390</v>
      </c>
      <c r="I554" s="59"/>
      <c r="J554" s="59"/>
      <c r="K554" s="56" t="s">
        <v>379</v>
      </c>
      <c r="L554" s="56" t="s">
        <v>405</v>
      </c>
      <c r="M554" s="56" t="s">
        <v>413</v>
      </c>
      <c r="N554" s="56" t="s">
        <v>497</v>
      </c>
      <c r="O554" s="58">
        <v>2.0</v>
      </c>
      <c r="P554" s="58">
        <v>2.0</v>
      </c>
      <c r="Q554" s="56" t="s">
        <v>3892</v>
      </c>
      <c r="R554" s="59"/>
      <c r="S554" s="56" t="s">
        <v>5733</v>
      </c>
      <c r="T554" s="61" t="s">
        <v>373</v>
      </c>
      <c r="U554" s="58" t="s">
        <v>7300</v>
      </c>
      <c r="W554" s="55" t="b">
        <f t="shared" si="1"/>
        <v>0</v>
      </c>
    </row>
    <row r="555" ht="15.0" customHeight="1">
      <c r="A555" s="56" t="s">
        <v>7301</v>
      </c>
      <c r="B555" s="56" t="s">
        <v>7302</v>
      </c>
      <c r="C555" s="57" t="s">
        <v>7303</v>
      </c>
      <c r="D555" s="56" t="s">
        <v>7304</v>
      </c>
      <c r="E555" s="56" t="s">
        <v>368</v>
      </c>
      <c r="F555" s="56" t="s">
        <v>390</v>
      </c>
      <c r="G555" s="62" t="s">
        <v>421</v>
      </c>
      <c r="H555" s="59"/>
      <c r="I555" s="59"/>
      <c r="J555" s="59"/>
      <c r="K555" s="56" t="s">
        <v>364</v>
      </c>
      <c r="L555" s="56" t="s">
        <v>405</v>
      </c>
      <c r="M555" s="56" t="s">
        <v>413</v>
      </c>
      <c r="N555" s="62" t="s">
        <v>5770</v>
      </c>
      <c r="O555" s="59"/>
      <c r="P555" s="59"/>
      <c r="Q555" s="56" t="s">
        <v>4121</v>
      </c>
      <c r="R555" s="59"/>
      <c r="S555" s="56" t="s">
        <v>5722</v>
      </c>
      <c r="T555" s="61" t="s">
        <v>373</v>
      </c>
      <c r="U555" s="58" t="s">
        <v>7305</v>
      </c>
      <c r="W555" s="55" t="b">
        <f t="shared" si="1"/>
        <v>0</v>
      </c>
    </row>
    <row r="556" ht="15.0" customHeight="1">
      <c r="A556" s="56" t="s">
        <v>276</v>
      </c>
      <c r="B556" s="56" t="s">
        <v>2177</v>
      </c>
      <c r="C556" s="57" t="s">
        <v>2178</v>
      </c>
      <c r="D556" s="56" t="s">
        <v>5647</v>
      </c>
      <c r="E556" s="56" t="s">
        <v>368</v>
      </c>
      <c r="F556" s="56" t="s">
        <v>410</v>
      </c>
      <c r="G556" s="56" t="s">
        <v>452</v>
      </c>
      <c r="H556" s="56" t="s">
        <v>390</v>
      </c>
      <c r="I556" s="56" t="s">
        <v>2291</v>
      </c>
      <c r="J556" s="56" t="s">
        <v>1789</v>
      </c>
      <c r="K556" s="56" t="s">
        <v>364</v>
      </c>
      <c r="L556" s="56" t="s">
        <v>412</v>
      </c>
      <c r="M556" s="56" t="s">
        <v>366</v>
      </c>
      <c r="N556" s="56" t="s">
        <v>5720</v>
      </c>
      <c r="O556" s="58">
        <v>0.0</v>
      </c>
      <c r="P556" s="58">
        <v>0.0</v>
      </c>
      <c r="Q556" s="56" t="s">
        <v>5634</v>
      </c>
      <c r="R556" s="59"/>
      <c r="S556" s="56" t="s">
        <v>5722</v>
      </c>
      <c r="T556" s="61" t="s">
        <v>373</v>
      </c>
      <c r="U556" s="58" t="s">
        <v>7306</v>
      </c>
      <c r="W556" s="55" t="b">
        <f t="shared" si="1"/>
        <v>0</v>
      </c>
    </row>
    <row r="557" ht="15.0" customHeight="1">
      <c r="A557" s="56" t="s">
        <v>277</v>
      </c>
      <c r="B557" s="56" t="s">
        <v>4405</v>
      </c>
      <c r="C557" s="57" t="s">
        <v>4406</v>
      </c>
      <c r="D557" s="56" t="s">
        <v>5649</v>
      </c>
      <c r="E557" s="56" t="s">
        <v>368</v>
      </c>
      <c r="F557" s="56" t="s">
        <v>390</v>
      </c>
      <c r="G557" s="56" t="s">
        <v>5715</v>
      </c>
      <c r="H557" s="56" t="s">
        <v>452</v>
      </c>
      <c r="I557" s="56" t="s">
        <v>362</v>
      </c>
      <c r="J557" s="56" t="s">
        <v>716</v>
      </c>
      <c r="K557" s="56" t="s">
        <v>379</v>
      </c>
      <c r="L557" s="56" t="s">
        <v>365</v>
      </c>
      <c r="M557" s="56" t="s">
        <v>366</v>
      </c>
      <c r="N557" s="62" t="s">
        <v>5716</v>
      </c>
      <c r="O557" s="59"/>
      <c r="P557" s="59"/>
      <c r="Q557" s="56" t="s">
        <v>1930</v>
      </c>
      <c r="R557" s="59"/>
      <c r="S557" s="56" t="s">
        <v>5717</v>
      </c>
      <c r="T557" s="61" t="s">
        <v>373</v>
      </c>
      <c r="U557" s="58" t="s">
        <v>7307</v>
      </c>
      <c r="W557" s="55" t="b">
        <f t="shared" si="1"/>
        <v>0</v>
      </c>
    </row>
    <row r="558" ht="15.0" customHeight="1">
      <c r="A558" s="56" t="s">
        <v>2184</v>
      </c>
      <c r="B558" s="56" t="s">
        <v>4408</v>
      </c>
      <c r="C558" s="57" t="s">
        <v>4409</v>
      </c>
      <c r="D558" s="56" t="s">
        <v>4410</v>
      </c>
      <c r="E558" s="56" t="s">
        <v>368</v>
      </c>
      <c r="F558" s="56" t="s">
        <v>390</v>
      </c>
      <c r="G558" s="56" t="s">
        <v>2291</v>
      </c>
      <c r="H558" s="56" t="s">
        <v>421</v>
      </c>
      <c r="I558" s="62" t="s">
        <v>1553</v>
      </c>
      <c r="J558" s="59"/>
      <c r="K558" s="56" t="s">
        <v>379</v>
      </c>
      <c r="L558" s="56" t="s">
        <v>412</v>
      </c>
      <c r="M558" s="56" t="s">
        <v>413</v>
      </c>
      <c r="N558" s="62" t="s">
        <v>5720</v>
      </c>
      <c r="O558" s="59"/>
      <c r="P558" s="59"/>
      <c r="Q558" s="56" t="s">
        <v>2009</v>
      </c>
      <c r="R558" s="59"/>
      <c r="S558" s="56" t="s">
        <v>5722</v>
      </c>
      <c r="T558" s="61" t="s">
        <v>373</v>
      </c>
      <c r="U558" s="58" t="s">
        <v>7308</v>
      </c>
      <c r="W558" s="55" t="b">
        <f t="shared" si="1"/>
        <v>0</v>
      </c>
    </row>
    <row r="559" ht="15.0" customHeight="1">
      <c r="A559" s="56" t="s">
        <v>325</v>
      </c>
      <c r="B559" s="56" t="s">
        <v>4413</v>
      </c>
      <c r="C559" s="57" t="s">
        <v>4414</v>
      </c>
      <c r="D559" s="58">
        <v>2.816507661E9</v>
      </c>
      <c r="E559" s="56" t="s">
        <v>368</v>
      </c>
      <c r="F559" s="56" t="s">
        <v>452</v>
      </c>
      <c r="G559" s="56" t="s">
        <v>390</v>
      </c>
      <c r="H559" s="56" t="s">
        <v>1598</v>
      </c>
      <c r="I559" s="56" t="s">
        <v>5715</v>
      </c>
      <c r="J559" s="56" t="s">
        <v>362</v>
      </c>
      <c r="K559" s="56" t="s">
        <v>2194</v>
      </c>
      <c r="L559" s="56" t="s">
        <v>412</v>
      </c>
      <c r="M559" s="56" t="s">
        <v>513</v>
      </c>
      <c r="N559" s="56" t="s">
        <v>5716</v>
      </c>
      <c r="O559" s="58">
        <v>1.0</v>
      </c>
      <c r="P559" s="59"/>
      <c r="Q559" s="56" t="s">
        <v>484</v>
      </c>
      <c r="R559" s="59"/>
      <c r="S559" s="56" t="s">
        <v>5717</v>
      </c>
      <c r="T559" s="61" t="s">
        <v>373</v>
      </c>
      <c r="U559" s="58" t="s">
        <v>7309</v>
      </c>
      <c r="W559" s="55" t="b">
        <f t="shared" si="1"/>
        <v>1</v>
      </c>
    </row>
    <row r="560" ht="15.0" customHeight="1">
      <c r="A560" s="56" t="s">
        <v>7310</v>
      </c>
      <c r="B560" s="56" t="s">
        <v>7311</v>
      </c>
      <c r="C560" s="57" t="s">
        <v>7312</v>
      </c>
      <c r="D560" s="58">
        <v>2.102882732E9</v>
      </c>
      <c r="E560" s="56" t="s">
        <v>368</v>
      </c>
      <c r="F560" s="56" t="s">
        <v>2286</v>
      </c>
      <c r="G560" s="56" t="s">
        <v>390</v>
      </c>
      <c r="H560" s="56" t="s">
        <v>634</v>
      </c>
      <c r="I560" s="56" t="s">
        <v>1789</v>
      </c>
      <c r="J560" s="56" t="s">
        <v>2291</v>
      </c>
      <c r="K560" s="56" t="s">
        <v>379</v>
      </c>
      <c r="L560" s="56" t="s">
        <v>365</v>
      </c>
      <c r="M560" s="56" t="s">
        <v>413</v>
      </c>
      <c r="N560" s="62" t="s">
        <v>483</v>
      </c>
      <c r="O560" s="59"/>
      <c r="P560" s="59"/>
      <c r="Q560" s="56" t="s">
        <v>803</v>
      </c>
      <c r="R560" s="59"/>
      <c r="S560" s="56" t="s">
        <v>5733</v>
      </c>
      <c r="T560" s="61" t="s">
        <v>373</v>
      </c>
      <c r="U560" s="58" t="s">
        <v>7313</v>
      </c>
      <c r="W560" s="55" t="b">
        <f t="shared" si="1"/>
        <v>0</v>
      </c>
    </row>
    <row r="561" ht="15.0" customHeight="1">
      <c r="A561" s="56" t="s">
        <v>2197</v>
      </c>
      <c r="B561" s="56" t="s">
        <v>4417</v>
      </c>
      <c r="C561" s="57" t="s">
        <v>4418</v>
      </c>
      <c r="D561" s="56" t="s">
        <v>7314</v>
      </c>
      <c r="E561" s="56" t="s">
        <v>368</v>
      </c>
      <c r="F561" s="56" t="s">
        <v>2286</v>
      </c>
      <c r="G561" s="56" t="s">
        <v>1553</v>
      </c>
      <c r="H561" s="56" t="s">
        <v>452</v>
      </c>
      <c r="I561" s="62" t="s">
        <v>390</v>
      </c>
      <c r="J561" s="59"/>
      <c r="K561" s="56" t="s">
        <v>399</v>
      </c>
      <c r="L561" s="56" t="s">
        <v>365</v>
      </c>
      <c r="M561" s="56" t="s">
        <v>513</v>
      </c>
      <c r="N561" s="56" t="s">
        <v>5716</v>
      </c>
      <c r="O561" s="58">
        <v>0.0</v>
      </c>
      <c r="P561" s="59"/>
      <c r="Q561" s="56" t="s">
        <v>491</v>
      </c>
      <c r="R561" s="59"/>
      <c r="S561" s="56" t="s">
        <v>5717</v>
      </c>
      <c r="T561" s="61" t="s">
        <v>373</v>
      </c>
      <c r="U561" s="58" t="s">
        <v>7315</v>
      </c>
      <c r="W561" s="55" t="b">
        <f t="shared" si="1"/>
        <v>1</v>
      </c>
    </row>
    <row r="562" ht="15.0" customHeight="1">
      <c r="A562" s="56" t="s">
        <v>278</v>
      </c>
      <c r="B562" s="56" t="s">
        <v>2204</v>
      </c>
      <c r="C562" s="57" t="s">
        <v>2205</v>
      </c>
      <c r="D562" s="58">
        <v>2.547141402E9</v>
      </c>
      <c r="E562" s="56" t="s">
        <v>368</v>
      </c>
      <c r="F562" s="56" t="s">
        <v>2286</v>
      </c>
      <c r="G562" s="62" t="s">
        <v>2286</v>
      </c>
      <c r="H562" s="59"/>
      <c r="I562" s="59"/>
      <c r="J562" s="59"/>
      <c r="K562" s="56" t="s">
        <v>364</v>
      </c>
      <c r="L562" s="56" t="s">
        <v>365</v>
      </c>
      <c r="M562" s="56" t="s">
        <v>366</v>
      </c>
      <c r="N562" s="62" t="s">
        <v>5770</v>
      </c>
      <c r="O562" s="59"/>
      <c r="P562" s="59"/>
      <c r="Q562" s="56" t="s">
        <v>3601</v>
      </c>
      <c r="R562" s="59"/>
      <c r="S562" s="56" t="s">
        <v>5722</v>
      </c>
      <c r="T562" s="61" t="s">
        <v>373</v>
      </c>
      <c r="U562" s="58" t="s">
        <v>7316</v>
      </c>
      <c r="W562" s="55" t="b">
        <f t="shared" si="1"/>
        <v>0</v>
      </c>
    </row>
    <row r="563" ht="15.0" customHeight="1">
      <c r="A563" s="56" t="s">
        <v>7317</v>
      </c>
      <c r="B563" s="56" t="s">
        <v>7318</v>
      </c>
      <c r="C563" s="57" t="s">
        <v>7319</v>
      </c>
      <c r="D563" s="58">
        <v>7.133068349E9</v>
      </c>
      <c r="E563" s="56" t="s">
        <v>368</v>
      </c>
      <c r="F563" s="56" t="s">
        <v>390</v>
      </c>
      <c r="G563" s="56" t="s">
        <v>1553</v>
      </c>
      <c r="H563" s="56" t="s">
        <v>452</v>
      </c>
      <c r="I563" s="62" t="s">
        <v>421</v>
      </c>
      <c r="J563" s="59"/>
      <c r="K563" s="56" t="s">
        <v>364</v>
      </c>
      <c r="L563" s="56" t="s">
        <v>365</v>
      </c>
      <c r="M563" s="56" t="s">
        <v>366</v>
      </c>
      <c r="N563" s="62" t="s">
        <v>483</v>
      </c>
      <c r="O563" s="59"/>
      <c r="P563" s="59"/>
      <c r="Q563" s="56" t="s">
        <v>5396</v>
      </c>
      <c r="R563" s="59"/>
      <c r="S563" s="56" t="s">
        <v>5733</v>
      </c>
      <c r="T563" s="61" t="s">
        <v>373</v>
      </c>
      <c r="U563" s="58" t="s">
        <v>7320</v>
      </c>
      <c r="W563" s="55" t="b">
        <f t="shared" si="1"/>
        <v>0</v>
      </c>
    </row>
    <row r="564" ht="15.0" customHeight="1">
      <c r="A564" s="56" t="s">
        <v>4430</v>
      </c>
      <c r="B564" s="56" t="s">
        <v>4431</v>
      </c>
      <c r="C564" s="57" t="s">
        <v>4432</v>
      </c>
      <c r="D564" s="56" t="s">
        <v>7321</v>
      </c>
      <c r="E564" s="56" t="s">
        <v>368</v>
      </c>
      <c r="F564" s="56" t="s">
        <v>410</v>
      </c>
      <c r="G564" s="62" t="s">
        <v>410</v>
      </c>
      <c r="H564" s="59"/>
      <c r="I564" s="59"/>
      <c r="J564" s="59"/>
      <c r="K564" s="56" t="s">
        <v>364</v>
      </c>
      <c r="L564" s="56" t="s">
        <v>365</v>
      </c>
      <c r="M564" s="56" t="s">
        <v>413</v>
      </c>
      <c r="N564" s="62" t="s">
        <v>5720</v>
      </c>
      <c r="O564" s="59"/>
      <c r="P564" s="59"/>
      <c r="Q564" s="56" t="s">
        <v>3875</v>
      </c>
      <c r="R564" s="59"/>
      <c r="S564" s="56" t="s">
        <v>5722</v>
      </c>
      <c r="T564" s="61" t="s">
        <v>394</v>
      </c>
      <c r="U564" s="58" t="s">
        <v>7322</v>
      </c>
      <c r="W564" s="55" t="b">
        <f t="shared" si="1"/>
        <v>0</v>
      </c>
    </row>
    <row r="565" ht="15.0" customHeight="1">
      <c r="A565" s="56" t="s">
        <v>279</v>
      </c>
      <c r="B565" s="56" t="s">
        <v>2214</v>
      </c>
      <c r="C565" s="57" t="s">
        <v>2215</v>
      </c>
      <c r="D565" s="58">
        <v>8.17735977E9</v>
      </c>
      <c r="E565" s="56" t="s">
        <v>368</v>
      </c>
      <c r="F565" s="56" t="s">
        <v>2286</v>
      </c>
      <c r="G565" s="62" t="s">
        <v>1789</v>
      </c>
      <c r="H565" s="59"/>
      <c r="I565" s="59"/>
      <c r="J565" s="59"/>
      <c r="K565" s="56" t="s">
        <v>364</v>
      </c>
      <c r="L565" s="56" t="s">
        <v>365</v>
      </c>
      <c r="M565" s="56" t="s">
        <v>413</v>
      </c>
      <c r="N565" s="62" t="s">
        <v>5716</v>
      </c>
      <c r="O565" s="59"/>
      <c r="P565" s="59"/>
      <c r="Q565" s="59"/>
      <c r="R565" s="59"/>
      <c r="S565" s="56" t="s">
        <v>5717</v>
      </c>
      <c r="T565" s="61" t="s">
        <v>394</v>
      </c>
      <c r="U565" s="58" t="s">
        <v>7323</v>
      </c>
      <c r="W565" s="55" t="b">
        <f t="shared" si="1"/>
        <v>0</v>
      </c>
    </row>
    <row r="566" ht="15.0" customHeight="1">
      <c r="A566" s="56" t="s">
        <v>280</v>
      </c>
      <c r="B566" s="56" t="s">
        <v>5672</v>
      </c>
      <c r="C566" s="57" t="s">
        <v>7324</v>
      </c>
      <c r="D566" s="56" t="s">
        <v>7325</v>
      </c>
      <c r="E566" s="56" t="s">
        <v>368</v>
      </c>
      <c r="F566" s="56" t="s">
        <v>2286</v>
      </c>
      <c r="G566" s="56" t="s">
        <v>452</v>
      </c>
      <c r="H566" s="56" t="s">
        <v>1789</v>
      </c>
      <c r="I566" s="56" t="s">
        <v>2291</v>
      </c>
      <c r="J566" s="56" t="s">
        <v>390</v>
      </c>
      <c r="K566" s="56" t="s">
        <v>364</v>
      </c>
      <c r="L566" s="56" t="s">
        <v>380</v>
      </c>
      <c r="M566" s="56" t="s">
        <v>366</v>
      </c>
      <c r="N566" s="62" t="s">
        <v>497</v>
      </c>
      <c r="O566" s="59"/>
      <c r="P566" s="59"/>
      <c r="Q566" s="56" t="s">
        <v>2067</v>
      </c>
      <c r="R566" s="59"/>
      <c r="S566" s="56" t="s">
        <v>5733</v>
      </c>
      <c r="T566" s="61" t="s">
        <v>373</v>
      </c>
      <c r="U566" s="58" t="s">
        <v>7326</v>
      </c>
      <c r="W566" s="55" t="b">
        <f t="shared" si="1"/>
        <v>0</v>
      </c>
    </row>
    <row r="567" ht="15.0" customHeight="1">
      <c r="A567" s="56" t="s">
        <v>7327</v>
      </c>
      <c r="B567" s="56" t="s">
        <v>7328</v>
      </c>
      <c r="C567" s="57" t="s">
        <v>7329</v>
      </c>
      <c r="D567" s="58">
        <v>7.133598272E9</v>
      </c>
      <c r="E567" s="56" t="s">
        <v>368</v>
      </c>
      <c r="F567" s="56" t="s">
        <v>2286</v>
      </c>
      <c r="G567" s="56" t="s">
        <v>452</v>
      </c>
      <c r="H567" s="56" t="s">
        <v>2291</v>
      </c>
      <c r="I567" s="56" t="s">
        <v>390</v>
      </c>
      <c r="J567" s="56" t="s">
        <v>362</v>
      </c>
      <c r="K567" s="56" t="s">
        <v>364</v>
      </c>
      <c r="L567" s="56" t="s">
        <v>365</v>
      </c>
      <c r="M567" s="56" t="s">
        <v>413</v>
      </c>
      <c r="N567" s="62" t="s">
        <v>5716</v>
      </c>
      <c r="O567" s="59"/>
      <c r="P567" s="59"/>
      <c r="Q567" s="59"/>
      <c r="R567" s="59"/>
      <c r="S567" s="56" t="s">
        <v>5722</v>
      </c>
      <c r="T567" s="61" t="s">
        <v>394</v>
      </c>
      <c r="U567" s="58" t="s">
        <v>7330</v>
      </c>
      <c r="W567" s="55" t="b">
        <f t="shared" si="1"/>
        <v>0</v>
      </c>
    </row>
    <row r="568" ht="15.0" customHeight="1">
      <c r="A568" s="56" t="s">
        <v>7331</v>
      </c>
      <c r="B568" s="56" t="s">
        <v>7332</v>
      </c>
      <c r="C568" s="57" t="s">
        <v>7333</v>
      </c>
      <c r="D568" s="58">
        <v>3.149316961E9</v>
      </c>
      <c r="E568" s="56" t="s">
        <v>368</v>
      </c>
      <c r="F568" s="62" t="s">
        <v>2286</v>
      </c>
      <c r="G568" s="59"/>
      <c r="H568" s="59"/>
      <c r="I568" s="59"/>
      <c r="J568" s="59"/>
      <c r="K568" s="56" t="s">
        <v>379</v>
      </c>
      <c r="L568" s="56" t="s">
        <v>405</v>
      </c>
      <c r="M568" s="56" t="s">
        <v>413</v>
      </c>
      <c r="N568" s="56" t="s">
        <v>5720</v>
      </c>
      <c r="O568" s="58">
        <v>2.0</v>
      </c>
      <c r="P568" s="59"/>
      <c r="Q568" s="59"/>
      <c r="R568" s="59"/>
      <c r="S568" s="56" t="s">
        <v>5722</v>
      </c>
      <c r="T568" s="61" t="s">
        <v>394</v>
      </c>
      <c r="U568" s="58" t="s">
        <v>7334</v>
      </c>
      <c r="W568" s="55" t="b">
        <f t="shared" si="1"/>
        <v>0</v>
      </c>
    </row>
    <row r="569" ht="15.0" customHeight="1">
      <c r="A569" s="56" t="s">
        <v>7335</v>
      </c>
      <c r="B569" s="56" t="s">
        <v>4441</v>
      </c>
      <c r="C569" s="57" t="s">
        <v>4442</v>
      </c>
      <c r="D569" s="56" t="s">
        <v>7336</v>
      </c>
      <c r="E569" s="56" t="s">
        <v>368</v>
      </c>
      <c r="F569" s="56" t="s">
        <v>410</v>
      </c>
      <c r="G569" s="56" t="s">
        <v>452</v>
      </c>
      <c r="H569" s="62" t="s">
        <v>390</v>
      </c>
      <c r="I569" s="59"/>
      <c r="J569" s="59"/>
      <c r="K569" s="56" t="s">
        <v>364</v>
      </c>
      <c r="L569" s="56" t="s">
        <v>380</v>
      </c>
      <c r="M569" s="56" t="s">
        <v>366</v>
      </c>
      <c r="N569" s="62" t="s">
        <v>5946</v>
      </c>
      <c r="O569" s="59"/>
      <c r="P569" s="59"/>
      <c r="Q569" s="56" t="s">
        <v>2704</v>
      </c>
      <c r="R569" s="59"/>
      <c r="S569" s="56" t="s">
        <v>5717</v>
      </c>
      <c r="T569" s="61" t="s">
        <v>373</v>
      </c>
      <c r="U569" s="58" t="s">
        <v>7337</v>
      </c>
      <c r="W569" s="55" t="b">
        <f t="shared" si="1"/>
        <v>0</v>
      </c>
    </row>
    <row r="570" ht="15.0" customHeight="1">
      <c r="A570" s="56" t="s">
        <v>7338</v>
      </c>
      <c r="B570" s="56" t="s">
        <v>2231</v>
      </c>
      <c r="C570" s="57" t="s">
        <v>2232</v>
      </c>
      <c r="D570" s="58">
        <v>2.14473464E9</v>
      </c>
      <c r="E570" s="56" t="s">
        <v>368</v>
      </c>
      <c r="F570" s="56" t="s">
        <v>2286</v>
      </c>
      <c r="G570" s="56" t="s">
        <v>452</v>
      </c>
      <c r="H570" s="56" t="s">
        <v>1789</v>
      </c>
      <c r="I570" s="62" t="s">
        <v>675</v>
      </c>
      <c r="J570" s="59"/>
      <c r="K570" s="56" t="s">
        <v>364</v>
      </c>
      <c r="L570" s="56" t="s">
        <v>520</v>
      </c>
      <c r="M570" s="56" t="s">
        <v>366</v>
      </c>
      <c r="N570" s="56" t="s">
        <v>5798</v>
      </c>
      <c r="O570" s="58">
        <v>0.0</v>
      </c>
      <c r="P570" s="58">
        <v>1.0</v>
      </c>
      <c r="Q570" s="56" t="s">
        <v>4315</v>
      </c>
      <c r="R570" s="59"/>
      <c r="S570" s="56" t="s">
        <v>5722</v>
      </c>
      <c r="T570" s="61" t="s">
        <v>373</v>
      </c>
      <c r="U570" s="58" t="s">
        <v>5816</v>
      </c>
      <c r="W570" s="55" t="b">
        <f t="shared" si="1"/>
        <v>0</v>
      </c>
    </row>
    <row r="571" ht="15.0" customHeight="1">
      <c r="A571" s="56" t="s">
        <v>282</v>
      </c>
      <c r="B571" s="56" t="s">
        <v>7339</v>
      </c>
      <c r="C571" s="57" t="s">
        <v>7340</v>
      </c>
      <c r="D571" s="56" t="s">
        <v>5680</v>
      </c>
      <c r="E571" s="56" t="s">
        <v>368</v>
      </c>
      <c r="F571" s="62" t="s">
        <v>2286</v>
      </c>
      <c r="G571" s="59"/>
      <c r="H571" s="59"/>
      <c r="I571" s="59"/>
      <c r="J571" s="59"/>
      <c r="K571" s="56" t="s">
        <v>399</v>
      </c>
      <c r="L571" s="56" t="s">
        <v>365</v>
      </c>
      <c r="M571" s="56" t="s">
        <v>413</v>
      </c>
      <c r="N571" s="62" t="s">
        <v>497</v>
      </c>
      <c r="O571" s="59"/>
      <c r="P571" s="59"/>
      <c r="Q571" s="59"/>
      <c r="R571" s="59"/>
      <c r="S571" s="56" t="s">
        <v>5733</v>
      </c>
      <c r="T571" s="61" t="s">
        <v>394</v>
      </c>
      <c r="U571" s="58" t="s">
        <v>7341</v>
      </c>
      <c r="W571" s="55" t="b">
        <f t="shared" si="1"/>
        <v>0</v>
      </c>
    </row>
    <row r="572" ht="15.0" customHeight="1">
      <c r="A572" s="56" t="s">
        <v>7342</v>
      </c>
      <c r="B572" s="56" t="s">
        <v>7343</v>
      </c>
      <c r="C572" s="57" t="s">
        <v>7344</v>
      </c>
      <c r="D572" s="58">
        <v>5.127027129E9</v>
      </c>
      <c r="E572" s="56" t="s">
        <v>368</v>
      </c>
      <c r="F572" s="56" t="s">
        <v>2286</v>
      </c>
      <c r="G572" s="62" t="s">
        <v>390</v>
      </c>
      <c r="H572" s="59"/>
      <c r="I572" s="59"/>
      <c r="J572" s="59"/>
      <c r="K572" s="56" t="s">
        <v>364</v>
      </c>
      <c r="L572" s="56" t="s">
        <v>365</v>
      </c>
      <c r="M572" s="56" t="s">
        <v>413</v>
      </c>
      <c r="N572" s="62" t="s">
        <v>5716</v>
      </c>
      <c r="O572" s="59"/>
      <c r="P572" s="59"/>
      <c r="Q572" s="56" t="s">
        <v>2388</v>
      </c>
      <c r="R572" s="59"/>
      <c r="S572" s="56" t="s">
        <v>5717</v>
      </c>
      <c r="T572" s="61" t="s">
        <v>373</v>
      </c>
      <c r="U572" s="58" t="s">
        <v>7345</v>
      </c>
      <c r="W572" s="55" t="b">
        <f t="shared" si="1"/>
        <v>0</v>
      </c>
    </row>
    <row r="573" ht="15.0" customHeight="1">
      <c r="A573" s="56" t="s">
        <v>7346</v>
      </c>
      <c r="B573" s="56" t="s">
        <v>7347</v>
      </c>
      <c r="C573" s="57" t="s">
        <v>7348</v>
      </c>
      <c r="D573" s="58">
        <v>4.07321841E9</v>
      </c>
      <c r="E573" s="56" t="s">
        <v>368</v>
      </c>
      <c r="F573" s="56" t="s">
        <v>2286</v>
      </c>
      <c r="G573" s="62" t="s">
        <v>390</v>
      </c>
      <c r="H573" s="59"/>
      <c r="I573" s="59"/>
      <c r="J573" s="59"/>
      <c r="K573" s="56" t="s">
        <v>379</v>
      </c>
      <c r="L573" s="56" t="s">
        <v>365</v>
      </c>
      <c r="M573" s="56" t="s">
        <v>366</v>
      </c>
      <c r="N573" s="62" t="s">
        <v>5720</v>
      </c>
      <c r="O573" s="59"/>
      <c r="P573" s="58">
        <v>2.0</v>
      </c>
      <c r="Q573" s="56" t="s">
        <v>2935</v>
      </c>
      <c r="R573" s="59"/>
      <c r="S573" s="56" t="s">
        <v>5722</v>
      </c>
      <c r="T573" s="61" t="s">
        <v>373</v>
      </c>
      <c r="U573" s="58" t="s">
        <v>7349</v>
      </c>
      <c r="W573" s="55" t="b">
        <f t="shared" si="1"/>
        <v>0</v>
      </c>
    </row>
    <row r="574" ht="15.0" customHeight="1">
      <c r="A574" s="56" t="s">
        <v>326</v>
      </c>
      <c r="B574" s="56" t="s">
        <v>2251</v>
      </c>
      <c r="C574" s="57" t="s">
        <v>2252</v>
      </c>
      <c r="D574" s="58">
        <v>4.43224154E9</v>
      </c>
      <c r="E574" s="56" t="s">
        <v>368</v>
      </c>
      <c r="F574" s="62" t="s">
        <v>2286</v>
      </c>
      <c r="G574" s="59"/>
      <c r="H574" s="59"/>
      <c r="I574" s="59"/>
      <c r="J574" s="59"/>
      <c r="K574" s="56" t="s">
        <v>379</v>
      </c>
      <c r="L574" s="56" t="s">
        <v>667</v>
      </c>
      <c r="M574" s="56" t="s">
        <v>869</v>
      </c>
      <c r="N574" s="62" t="s">
        <v>5720</v>
      </c>
      <c r="O574" s="59"/>
      <c r="P574" s="59"/>
      <c r="Q574" s="56" t="s">
        <v>4082</v>
      </c>
      <c r="R574" s="59"/>
      <c r="S574" s="56" t="s">
        <v>5722</v>
      </c>
      <c r="T574" s="61" t="s">
        <v>373</v>
      </c>
      <c r="U574" s="58" t="s">
        <v>7350</v>
      </c>
      <c r="W574" s="55" t="b">
        <f t="shared" si="1"/>
        <v>0</v>
      </c>
    </row>
    <row r="575" ht="15.0" customHeight="1">
      <c r="A575" s="56" t="s">
        <v>7351</v>
      </c>
      <c r="B575" s="56" t="s">
        <v>7352</v>
      </c>
      <c r="C575" s="57" t="s">
        <v>7353</v>
      </c>
      <c r="D575" s="56" t="s">
        <v>7354</v>
      </c>
      <c r="E575" s="56" t="s">
        <v>368</v>
      </c>
      <c r="F575" s="56" t="s">
        <v>410</v>
      </c>
      <c r="G575" s="56" t="s">
        <v>452</v>
      </c>
      <c r="H575" s="56" t="s">
        <v>1789</v>
      </c>
      <c r="I575" s="62" t="s">
        <v>390</v>
      </c>
      <c r="J575" s="59"/>
      <c r="K575" s="56" t="s">
        <v>364</v>
      </c>
      <c r="L575" s="56" t="s">
        <v>365</v>
      </c>
      <c r="M575" s="56" t="s">
        <v>413</v>
      </c>
      <c r="N575" s="62" t="s">
        <v>5724</v>
      </c>
      <c r="O575" s="59"/>
      <c r="P575" s="59"/>
      <c r="Q575" s="56" t="s">
        <v>7355</v>
      </c>
      <c r="R575" s="59"/>
      <c r="S575" s="56" t="s">
        <v>5717</v>
      </c>
      <c r="T575" s="61" t="s">
        <v>373</v>
      </c>
      <c r="U575" s="58" t="s">
        <v>7356</v>
      </c>
      <c r="W575" s="55" t="b">
        <f t="shared" si="1"/>
        <v>0</v>
      </c>
    </row>
    <row r="576" ht="15.0" customHeight="1">
      <c r="A576" s="56" t="s">
        <v>283</v>
      </c>
      <c r="B576" s="56" t="s">
        <v>4454</v>
      </c>
      <c r="C576" s="57" t="s">
        <v>4455</v>
      </c>
      <c r="D576" s="56" t="s">
        <v>4456</v>
      </c>
      <c r="E576" s="56" t="s">
        <v>368</v>
      </c>
      <c r="F576" s="56" t="s">
        <v>452</v>
      </c>
      <c r="G576" s="56" t="s">
        <v>2931</v>
      </c>
      <c r="H576" s="56" t="s">
        <v>362</v>
      </c>
      <c r="I576" s="56" t="s">
        <v>5715</v>
      </c>
      <c r="J576" s="56" t="s">
        <v>2286</v>
      </c>
      <c r="K576" s="56" t="s">
        <v>364</v>
      </c>
      <c r="L576" s="56" t="s">
        <v>365</v>
      </c>
      <c r="M576" s="56" t="s">
        <v>366</v>
      </c>
      <c r="N576" s="62" t="s">
        <v>5720</v>
      </c>
      <c r="O576" s="59"/>
      <c r="P576" s="59"/>
      <c r="Q576" s="56" t="s">
        <v>4046</v>
      </c>
      <c r="R576" s="59"/>
      <c r="S576" s="56" t="s">
        <v>5722</v>
      </c>
      <c r="T576" s="61" t="s">
        <v>373</v>
      </c>
      <c r="U576" s="58" t="s">
        <v>7357</v>
      </c>
      <c r="W576" s="55" t="b">
        <f t="shared" si="1"/>
        <v>0</v>
      </c>
    </row>
    <row r="577" ht="15.0" customHeight="1">
      <c r="A577" s="56" t="s">
        <v>284</v>
      </c>
      <c r="B577" s="56" t="s">
        <v>2253</v>
      </c>
      <c r="C577" s="57" t="s">
        <v>2254</v>
      </c>
      <c r="D577" s="58">
        <v>2.818266782E9</v>
      </c>
      <c r="E577" s="56" t="s">
        <v>368</v>
      </c>
      <c r="F577" s="56" t="s">
        <v>390</v>
      </c>
      <c r="G577" s="56" t="s">
        <v>410</v>
      </c>
      <c r="H577" s="56" t="s">
        <v>2286</v>
      </c>
      <c r="I577" s="56" t="s">
        <v>5715</v>
      </c>
      <c r="J577" s="56" t="s">
        <v>452</v>
      </c>
      <c r="K577" s="56" t="s">
        <v>364</v>
      </c>
      <c r="L577" s="56" t="s">
        <v>365</v>
      </c>
      <c r="M577" s="56" t="s">
        <v>869</v>
      </c>
      <c r="N577" s="62" t="s">
        <v>497</v>
      </c>
      <c r="O577" s="59"/>
      <c r="P577" s="59"/>
      <c r="Q577" s="56" t="s">
        <v>7358</v>
      </c>
      <c r="R577" s="59"/>
      <c r="S577" s="56" t="s">
        <v>5733</v>
      </c>
      <c r="T577" s="61" t="s">
        <v>373</v>
      </c>
      <c r="U577" s="58" t="s">
        <v>7359</v>
      </c>
      <c r="W577" s="55" t="b">
        <f t="shared" si="1"/>
        <v>0</v>
      </c>
    </row>
    <row r="578" ht="15.0" customHeight="1">
      <c r="A578" s="56" t="s">
        <v>4465</v>
      </c>
      <c r="B578" s="56" t="s">
        <v>7360</v>
      </c>
      <c r="C578" s="57" t="s">
        <v>7361</v>
      </c>
      <c r="D578" s="58">
        <v>9.375311693E9</v>
      </c>
      <c r="E578" s="56" t="s">
        <v>423</v>
      </c>
      <c r="F578" s="56" t="s">
        <v>2286</v>
      </c>
      <c r="G578" s="62" t="s">
        <v>2291</v>
      </c>
      <c r="H578" s="59"/>
      <c r="I578" s="59"/>
      <c r="J578" s="59"/>
      <c r="K578" s="56" t="s">
        <v>364</v>
      </c>
      <c r="L578" s="56" t="s">
        <v>380</v>
      </c>
      <c r="M578" s="56" t="s">
        <v>366</v>
      </c>
      <c r="N578" s="62" t="s">
        <v>5720</v>
      </c>
      <c r="O578" s="59"/>
      <c r="P578" s="59"/>
      <c r="Q578" s="56" t="s">
        <v>2079</v>
      </c>
      <c r="R578" s="59"/>
      <c r="S578" s="56" t="s">
        <v>5722</v>
      </c>
      <c r="T578" s="61" t="s">
        <v>373</v>
      </c>
      <c r="U578" s="58" t="s">
        <v>7362</v>
      </c>
      <c r="W578" s="55" t="b">
        <f t="shared" si="1"/>
        <v>0</v>
      </c>
    </row>
    <row r="579" ht="15.0" customHeight="1">
      <c r="A579" s="56" t="s">
        <v>285</v>
      </c>
      <c r="B579" s="56" t="s">
        <v>2259</v>
      </c>
      <c r="C579" s="57" t="s">
        <v>2260</v>
      </c>
      <c r="D579" s="56" t="s">
        <v>2261</v>
      </c>
      <c r="E579" s="56" t="s">
        <v>368</v>
      </c>
      <c r="F579" s="56" t="s">
        <v>2286</v>
      </c>
      <c r="G579" s="56" t="s">
        <v>452</v>
      </c>
      <c r="H579" s="56" t="s">
        <v>390</v>
      </c>
      <c r="I579" s="62" t="s">
        <v>410</v>
      </c>
      <c r="J579" s="59"/>
      <c r="K579" s="56" t="s">
        <v>364</v>
      </c>
      <c r="L579" s="56" t="s">
        <v>365</v>
      </c>
      <c r="M579" s="56" t="s">
        <v>366</v>
      </c>
      <c r="N579" s="56" t="s">
        <v>381</v>
      </c>
      <c r="O579" s="58">
        <v>2.0</v>
      </c>
      <c r="P579" s="58">
        <v>2.0</v>
      </c>
      <c r="Q579" s="56" t="s">
        <v>1810</v>
      </c>
      <c r="R579" s="59"/>
      <c r="S579" s="56" t="s">
        <v>5733</v>
      </c>
      <c r="T579" s="61" t="s">
        <v>373</v>
      </c>
      <c r="U579" s="58" t="s">
        <v>7363</v>
      </c>
      <c r="W579" s="55" t="b">
        <f t="shared" si="1"/>
        <v>0</v>
      </c>
    </row>
    <row r="580" ht="15.0" customHeight="1">
      <c r="A580" s="56" t="s">
        <v>7364</v>
      </c>
      <c r="B580" s="56" t="s">
        <v>7365</v>
      </c>
      <c r="C580" s="57" t="s">
        <v>7366</v>
      </c>
      <c r="D580" s="58">
        <v>9.7242686E9</v>
      </c>
      <c r="E580" s="56" t="s">
        <v>368</v>
      </c>
      <c r="F580" s="62" t="s">
        <v>2286</v>
      </c>
      <c r="G580" s="59"/>
      <c r="H580" s="59"/>
      <c r="I580" s="59"/>
      <c r="J580" s="59"/>
      <c r="K580" s="56" t="s">
        <v>364</v>
      </c>
      <c r="L580" s="56" t="s">
        <v>365</v>
      </c>
      <c r="M580" s="56" t="s">
        <v>366</v>
      </c>
      <c r="N580" s="62" t="s">
        <v>5720</v>
      </c>
      <c r="O580" s="59"/>
      <c r="P580" s="59"/>
      <c r="Q580" s="56" t="s">
        <v>2492</v>
      </c>
      <c r="R580" s="59"/>
      <c r="S580" s="56" t="s">
        <v>5722</v>
      </c>
      <c r="T580" s="61" t="s">
        <v>373</v>
      </c>
      <c r="U580" s="58" t="s">
        <v>7367</v>
      </c>
      <c r="W580" s="55" t="b">
        <f t="shared" si="1"/>
        <v>0</v>
      </c>
    </row>
    <row r="581" ht="15.0" customHeight="1">
      <c r="A581" s="56" t="s">
        <v>4475</v>
      </c>
      <c r="B581" s="56" t="s">
        <v>5689</v>
      </c>
      <c r="C581" s="57" t="s">
        <v>5690</v>
      </c>
      <c r="D581" s="56" t="s">
        <v>5691</v>
      </c>
      <c r="E581" s="56" t="s">
        <v>368</v>
      </c>
      <c r="F581" s="56" t="s">
        <v>2286</v>
      </c>
      <c r="G581" s="56" t="s">
        <v>390</v>
      </c>
      <c r="H581" s="56" t="s">
        <v>452</v>
      </c>
      <c r="I581" s="56" t="s">
        <v>675</v>
      </c>
      <c r="J581" s="56" t="s">
        <v>1789</v>
      </c>
      <c r="K581" s="56" t="s">
        <v>399</v>
      </c>
      <c r="L581" s="56" t="s">
        <v>365</v>
      </c>
      <c r="M581" s="56" t="s">
        <v>513</v>
      </c>
      <c r="N581" s="62" t="s">
        <v>381</v>
      </c>
      <c r="O581" s="59"/>
      <c r="P581" s="59"/>
      <c r="Q581" s="56" t="s">
        <v>1663</v>
      </c>
      <c r="R581" s="59"/>
      <c r="S581" s="56" t="s">
        <v>5733</v>
      </c>
      <c r="T581" s="61" t="s">
        <v>373</v>
      </c>
      <c r="U581" s="58" t="s">
        <v>7368</v>
      </c>
      <c r="W581" s="55" t="b">
        <f t="shared" si="1"/>
        <v>1</v>
      </c>
    </row>
    <row r="582" ht="15.0" customHeight="1">
      <c r="A582" s="56" t="s">
        <v>287</v>
      </c>
      <c r="B582" s="56" t="s">
        <v>7369</v>
      </c>
      <c r="C582" s="57" t="s">
        <v>7370</v>
      </c>
      <c r="D582" s="56" t="s">
        <v>5696</v>
      </c>
      <c r="E582" s="56" t="s">
        <v>368</v>
      </c>
      <c r="F582" s="56" t="s">
        <v>675</v>
      </c>
      <c r="G582" s="56" t="s">
        <v>452</v>
      </c>
      <c r="H582" s="56" t="s">
        <v>390</v>
      </c>
      <c r="I582" s="62" t="s">
        <v>421</v>
      </c>
      <c r="J582" s="59"/>
      <c r="K582" s="56" t="s">
        <v>364</v>
      </c>
      <c r="L582" s="56" t="s">
        <v>365</v>
      </c>
      <c r="M582" s="56" t="s">
        <v>366</v>
      </c>
      <c r="N582" s="62" t="s">
        <v>5716</v>
      </c>
      <c r="O582" s="59"/>
      <c r="P582" s="59"/>
      <c r="Q582" s="56" t="s">
        <v>3357</v>
      </c>
      <c r="R582" s="59"/>
      <c r="S582" s="56" t="s">
        <v>5717</v>
      </c>
      <c r="T582" s="61" t="s">
        <v>373</v>
      </c>
      <c r="U582" s="58" t="s">
        <v>7371</v>
      </c>
      <c r="W582" s="55" t="b">
        <f t="shared" si="1"/>
        <v>0</v>
      </c>
    </row>
    <row r="583" ht="15.0" customHeight="1">
      <c r="A583" s="56" t="s">
        <v>7372</v>
      </c>
      <c r="B583" s="56" t="s">
        <v>5750</v>
      </c>
      <c r="C583" s="57" t="s">
        <v>7373</v>
      </c>
      <c r="D583" s="56" t="s">
        <v>7374</v>
      </c>
      <c r="E583" s="56" t="s">
        <v>368</v>
      </c>
      <c r="F583" s="56" t="s">
        <v>362</v>
      </c>
      <c r="G583" s="62" t="s">
        <v>5715</v>
      </c>
      <c r="H583" s="59"/>
      <c r="I583" s="59"/>
      <c r="J583" s="59"/>
      <c r="K583" s="56" t="s">
        <v>399</v>
      </c>
      <c r="L583" s="56" t="s">
        <v>365</v>
      </c>
      <c r="M583" s="56" t="s">
        <v>413</v>
      </c>
      <c r="N583" s="62" t="s">
        <v>5716</v>
      </c>
      <c r="O583" s="59"/>
      <c r="P583" s="59"/>
      <c r="Q583" s="56" t="s">
        <v>796</v>
      </c>
      <c r="R583" s="59"/>
      <c r="S583" s="56" t="s">
        <v>5717</v>
      </c>
      <c r="T583" s="61" t="s">
        <v>373</v>
      </c>
      <c r="U583" s="58" t="s">
        <v>7375</v>
      </c>
      <c r="W583" s="55" t="b">
        <f t="shared" si="1"/>
        <v>0</v>
      </c>
    </row>
    <row r="584" ht="15.0" customHeight="1">
      <c r="A584" s="56" t="s">
        <v>2275</v>
      </c>
      <c r="B584" s="56" t="s">
        <v>2276</v>
      </c>
      <c r="C584" s="57" t="s">
        <v>2277</v>
      </c>
      <c r="D584" s="58">
        <v>2.549535353E9</v>
      </c>
      <c r="E584" s="56" t="s">
        <v>368</v>
      </c>
      <c r="F584" s="56" t="s">
        <v>2286</v>
      </c>
      <c r="G584" s="56" t="s">
        <v>5719</v>
      </c>
      <c r="H584" s="62" t="s">
        <v>877</v>
      </c>
      <c r="I584" s="59"/>
      <c r="J584" s="59"/>
      <c r="K584" s="56" t="s">
        <v>364</v>
      </c>
      <c r="L584" s="56" t="s">
        <v>365</v>
      </c>
      <c r="M584" s="56" t="s">
        <v>413</v>
      </c>
      <c r="N584" s="62" t="s">
        <v>483</v>
      </c>
      <c r="O584" s="59"/>
      <c r="P584" s="59"/>
      <c r="Q584" s="56" t="s">
        <v>1076</v>
      </c>
      <c r="R584" s="59"/>
      <c r="S584" s="56" t="s">
        <v>5733</v>
      </c>
      <c r="T584" s="61" t="s">
        <v>373</v>
      </c>
      <c r="U584" s="58" t="s">
        <v>7376</v>
      </c>
      <c r="W584" s="55" t="b">
        <f t="shared" si="1"/>
        <v>0</v>
      </c>
    </row>
    <row r="585" ht="15.0" customHeight="1">
      <c r="A585" s="56" t="s">
        <v>4487</v>
      </c>
      <c r="B585" s="56" t="s">
        <v>4488</v>
      </c>
      <c r="C585" s="57" t="s">
        <v>7377</v>
      </c>
      <c r="D585" s="56" t="s">
        <v>7378</v>
      </c>
      <c r="E585" s="56" t="s">
        <v>368</v>
      </c>
      <c r="F585" s="62" t="s">
        <v>2286</v>
      </c>
      <c r="G585" s="59"/>
      <c r="H585" s="59"/>
      <c r="I585" s="59"/>
      <c r="J585" s="59"/>
      <c r="K585" s="56" t="s">
        <v>379</v>
      </c>
      <c r="L585" s="56" t="s">
        <v>365</v>
      </c>
      <c r="M585" s="56" t="s">
        <v>413</v>
      </c>
      <c r="N585" s="56" t="s">
        <v>381</v>
      </c>
      <c r="O585" s="58">
        <v>1.0</v>
      </c>
      <c r="P585" s="58">
        <v>1.0</v>
      </c>
      <c r="Q585" s="56" t="s">
        <v>738</v>
      </c>
      <c r="R585" s="59"/>
      <c r="S585" s="56" t="s">
        <v>5733</v>
      </c>
      <c r="T585" s="61" t="s">
        <v>373</v>
      </c>
      <c r="U585" s="58" t="s">
        <v>6385</v>
      </c>
      <c r="W585" s="55" t="b">
        <f t="shared" si="1"/>
        <v>0</v>
      </c>
    </row>
    <row r="586" ht="15.0" customHeight="1">
      <c r="A586" s="56" t="s">
        <v>5700</v>
      </c>
      <c r="B586" s="56" t="s">
        <v>7379</v>
      </c>
      <c r="C586" s="57" t="s">
        <v>5702</v>
      </c>
      <c r="D586" s="56" t="s">
        <v>5703</v>
      </c>
      <c r="E586" s="56" t="s">
        <v>368</v>
      </c>
      <c r="F586" s="56" t="s">
        <v>410</v>
      </c>
      <c r="G586" s="56" t="s">
        <v>2286</v>
      </c>
      <c r="H586" s="56" t="s">
        <v>452</v>
      </c>
      <c r="I586" s="56" t="s">
        <v>390</v>
      </c>
      <c r="J586" s="56" t="s">
        <v>1553</v>
      </c>
      <c r="K586" s="56" t="s">
        <v>379</v>
      </c>
      <c r="L586" s="56" t="s">
        <v>520</v>
      </c>
      <c r="M586" s="56" t="s">
        <v>413</v>
      </c>
      <c r="N586" s="62" t="s">
        <v>5720</v>
      </c>
      <c r="O586" s="59"/>
      <c r="P586" s="59"/>
      <c r="Q586" s="56" t="s">
        <v>2598</v>
      </c>
      <c r="R586" s="59"/>
      <c r="S586" s="56" t="s">
        <v>5722</v>
      </c>
      <c r="T586" s="61" t="s">
        <v>373</v>
      </c>
      <c r="U586" s="58" t="s">
        <v>7380</v>
      </c>
      <c r="W586" s="55" t="b">
        <f t="shared" si="1"/>
        <v>0</v>
      </c>
    </row>
    <row r="587" ht="15.0" customHeight="1">
      <c r="A587" s="63" t="s">
        <v>7381</v>
      </c>
      <c r="B587" s="63" t="s">
        <v>7382</v>
      </c>
      <c r="C587" s="53" t="s">
        <v>7383</v>
      </c>
      <c r="D587" s="64">
        <v>3.463394149E9</v>
      </c>
      <c r="E587" s="63" t="s">
        <v>368</v>
      </c>
      <c r="F587" s="63" t="s">
        <v>390</v>
      </c>
      <c r="G587" s="69" t="s">
        <v>452</v>
      </c>
      <c r="H587" s="65"/>
      <c r="I587" s="65"/>
      <c r="J587" s="65"/>
      <c r="K587" s="63" t="s">
        <v>399</v>
      </c>
      <c r="L587" s="63" t="s">
        <v>667</v>
      </c>
      <c r="M587" s="63" t="s">
        <v>513</v>
      </c>
      <c r="N587" s="69" t="s">
        <v>381</v>
      </c>
      <c r="O587" s="65"/>
      <c r="P587" s="65"/>
      <c r="Q587" s="63" t="s">
        <v>2432</v>
      </c>
      <c r="R587" s="65"/>
      <c r="S587" s="63" t="s">
        <v>5733</v>
      </c>
      <c r="T587" s="67" t="s">
        <v>373</v>
      </c>
      <c r="U587" s="64" t="s">
        <v>7384</v>
      </c>
      <c r="W587" s="55" t="b">
        <f t="shared" si="1"/>
        <v>1</v>
      </c>
    </row>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A$587"/>
  <hyperlinks>
    <hyperlink r:id="rId1" ref="A1"/>
    <hyperlink r:id="rId2" ref="B1"/>
    <hyperlink r:id="rId3" ref="D1"/>
    <hyperlink r:id="rId4" ref="E1"/>
    <hyperlink r:id="rId5" ref="O1"/>
    <hyperlink r:id="rId6" ref="P1"/>
    <hyperlink r:id="rId7" ref="Q1"/>
    <hyperlink r:id="rId8" ref="R1"/>
    <hyperlink r:id="rId9" ref="U1"/>
    <hyperlink r:id="rId10" ref="C2"/>
    <hyperlink r:id="rId11" ref="C3"/>
    <hyperlink r:id="rId12" ref="C4"/>
    <hyperlink r:id="rId13" ref="C5"/>
    <hyperlink r:id="rId14" ref="C6"/>
    <hyperlink r:id="rId15" ref="C7"/>
    <hyperlink r:id="rId16" ref="C8"/>
    <hyperlink r:id="rId17" ref="C9"/>
    <hyperlink r:id="rId18" ref="C10"/>
    <hyperlink r:id="rId19" ref="C11"/>
    <hyperlink r:id="rId20" ref="C12"/>
    <hyperlink r:id="rId21" ref="C13"/>
    <hyperlink r:id="rId22" ref="C14"/>
    <hyperlink r:id="rId23" ref="C15"/>
    <hyperlink r:id="rId24" ref="C16"/>
    <hyperlink r:id="rId25" ref="C17"/>
    <hyperlink r:id="rId26" ref="C18"/>
    <hyperlink r:id="rId27" ref="C19"/>
    <hyperlink r:id="rId28" ref="C20"/>
    <hyperlink r:id="rId29" ref="C21"/>
    <hyperlink r:id="rId30" ref="C22"/>
    <hyperlink r:id="rId31" ref="C23"/>
    <hyperlink r:id="rId32" ref="C24"/>
    <hyperlink r:id="rId33" ref="C25"/>
    <hyperlink r:id="rId34" ref="C26"/>
    <hyperlink r:id="rId35" ref="C27"/>
    <hyperlink r:id="rId36" ref="C28"/>
    <hyperlink r:id="rId37" ref="C29"/>
    <hyperlink r:id="rId38" ref="C30"/>
    <hyperlink r:id="rId39" ref="C31"/>
    <hyperlink r:id="rId40" ref="C32"/>
    <hyperlink r:id="rId41" ref="C33"/>
    <hyperlink r:id="rId42" ref="C34"/>
    <hyperlink r:id="rId43" ref="C35"/>
    <hyperlink r:id="rId44" ref="C36"/>
    <hyperlink r:id="rId45" ref="C37"/>
    <hyperlink r:id="rId46" ref="C38"/>
    <hyperlink r:id="rId47" ref="C39"/>
    <hyperlink r:id="rId48" ref="C40"/>
    <hyperlink r:id="rId49" ref="C41"/>
    <hyperlink r:id="rId50" ref="C42"/>
    <hyperlink r:id="rId51" ref="C43"/>
    <hyperlink r:id="rId52" ref="C44"/>
    <hyperlink r:id="rId53" ref="C45"/>
    <hyperlink r:id="rId54" ref="C46"/>
    <hyperlink r:id="rId55" ref="C47"/>
    <hyperlink r:id="rId56" ref="C48"/>
    <hyperlink r:id="rId57" ref="C49"/>
    <hyperlink r:id="rId58" ref="C50"/>
    <hyperlink r:id="rId59" ref="C51"/>
    <hyperlink r:id="rId60" ref="C52"/>
    <hyperlink r:id="rId61" ref="C53"/>
    <hyperlink r:id="rId62" ref="C54"/>
    <hyperlink r:id="rId63" ref="C55"/>
    <hyperlink r:id="rId64" ref="C56"/>
    <hyperlink r:id="rId65" ref="C57"/>
    <hyperlink r:id="rId66" ref="C58"/>
    <hyperlink r:id="rId67" ref="C59"/>
    <hyperlink r:id="rId68" ref="C60"/>
    <hyperlink r:id="rId69" ref="C61"/>
    <hyperlink r:id="rId70" ref="C62"/>
    <hyperlink r:id="rId71" ref="C63"/>
    <hyperlink r:id="rId72" ref="C64"/>
    <hyperlink r:id="rId73" ref="C65"/>
    <hyperlink r:id="rId74" ref="C66"/>
    <hyperlink r:id="rId75" ref="C67"/>
    <hyperlink r:id="rId76" ref="C68"/>
    <hyperlink r:id="rId77" ref="C69"/>
    <hyperlink r:id="rId78" ref="C70"/>
    <hyperlink r:id="rId79" ref="C71"/>
    <hyperlink r:id="rId80" ref="C72"/>
    <hyperlink r:id="rId81" ref="C73"/>
    <hyperlink r:id="rId82" ref="C74"/>
    <hyperlink r:id="rId83" ref="C75"/>
    <hyperlink r:id="rId84" ref="C76"/>
    <hyperlink r:id="rId85" ref="C77"/>
    <hyperlink r:id="rId86" ref="C78"/>
    <hyperlink r:id="rId87" ref="C79"/>
    <hyperlink r:id="rId88" ref="C80"/>
    <hyperlink r:id="rId89" ref="C81"/>
    <hyperlink r:id="rId90" ref="C82"/>
    <hyperlink r:id="rId91" ref="C83"/>
    <hyperlink r:id="rId92" ref="C84"/>
    <hyperlink r:id="rId93" ref="C85"/>
    <hyperlink r:id="rId94" ref="C86"/>
    <hyperlink r:id="rId95" ref="C87"/>
    <hyperlink r:id="rId96" ref="C88"/>
    <hyperlink r:id="rId97" ref="C89"/>
    <hyperlink r:id="rId98" ref="C90"/>
    <hyperlink r:id="rId99" ref="C91"/>
    <hyperlink r:id="rId100" ref="C92"/>
    <hyperlink r:id="rId101" ref="C93"/>
    <hyperlink r:id="rId102" ref="C94"/>
    <hyperlink r:id="rId103" ref="C95"/>
    <hyperlink r:id="rId104" ref="C96"/>
    <hyperlink r:id="rId105" ref="C97"/>
    <hyperlink r:id="rId106" ref="C98"/>
    <hyperlink r:id="rId107" ref="C99"/>
    <hyperlink r:id="rId108" ref="C100"/>
    <hyperlink r:id="rId109" ref="C101"/>
    <hyperlink r:id="rId110" ref="C102"/>
    <hyperlink r:id="rId111" ref="C103"/>
    <hyperlink r:id="rId112" ref="C104"/>
    <hyperlink r:id="rId113" ref="C105"/>
    <hyperlink r:id="rId114" ref="C106"/>
    <hyperlink r:id="rId115" ref="C107"/>
    <hyperlink r:id="rId116" ref="C108"/>
    <hyperlink r:id="rId117" ref="C109"/>
    <hyperlink r:id="rId118" ref="C110"/>
    <hyperlink r:id="rId119" ref="C111"/>
    <hyperlink r:id="rId120" ref="C112"/>
    <hyperlink r:id="rId121" ref="C113"/>
    <hyperlink r:id="rId122" ref="C114"/>
    <hyperlink r:id="rId123" ref="C115"/>
    <hyperlink r:id="rId124" ref="C116"/>
    <hyperlink r:id="rId125" ref="C117"/>
    <hyperlink r:id="rId126" ref="C118"/>
    <hyperlink r:id="rId127" ref="C119"/>
    <hyperlink r:id="rId128" ref="C120"/>
    <hyperlink r:id="rId129" ref="C121"/>
    <hyperlink r:id="rId130" ref="C122"/>
    <hyperlink r:id="rId131" ref="C123"/>
    <hyperlink r:id="rId132" ref="C124"/>
    <hyperlink r:id="rId133" ref="C125"/>
    <hyperlink r:id="rId134" ref="C126"/>
    <hyperlink r:id="rId135" ref="C127"/>
    <hyperlink r:id="rId136" ref="C128"/>
    <hyperlink r:id="rId137" ref="C129"/>
    <hyperlink r:id="rId138" ref="C130"/>
    <hyperlink r:id="rId139" ref="C131"/>
    <hyperlink r:id="rId140" ref="C132"/>
    <hyperlink r:id="rId141" ref="C133"/>
    <hyperlink r:id="rId142" ref="C134"/>
    <hyperlink r:id="rId143" ref="C135"/>
    <hyperlink r:id="rId144" ref="C136"/>
    <hyperlink r:id="rId145" ref="C137"/>
    <hyperlink r:id="rId146" ref="C138"/>
    <hyperlink r:id="rId147" ref="C139"/>
    <hyperlink r:id="rId148" ref="C140"/>
    <hyperlink r:id="rId149" ref="C141"/>
    <hyperlink r:id="rId150" ref="C142"/>
    <hyperlink r:id="rId151" ref="C143"/>
    <hyperlink r:id="rId152" ref="C144"/>
    <hyperlink r:id="rId153" ref="C145"/>
    <hyperlink r:id="rId154" ref="C146"/>
    <hyperlink r:id="rId155" ref="C147"/>
    <hyperlink r:id="rId156" ref="C148"/>
    <hyperlink r:id="rId157" ref="C149"/>
    <hyperlink r:id="rId158" ref="C150"/>
    <hyperlink r:id="rId159" ref="C151"/>
    <hyperlink r:id="rId160" ref="C152"/>
    <hyperlink r:id="rId161" ref="C153"/>
    <hyperlink r:id="rId162" ref="C154"/>
    <hyperlink r:id="rId163" ref="C155"/>
    <hyperlink r:id="rId164" ref="C156"/>
    <hyperlink r:id="rId165" ref="C157"/>
    <hyperlink r:id="rId166" ref="C158"/>
    <hyperlink r:id="rId167" ref="C159"/>
    <hyperlink r:id="rId168" ref="C160"/>
    <hyperlink r:id="rId169" ref="C161"/>
    <hyperlink r:id="rId170" ref="C162"/>
    <hyperlink r:id="rId171" ref="C163"/>
    <hyperlink r:id="rId172" ref="C164"/>
    <hyperlink r:id="rId173" ref="C165"/>
    <hyperlink r:id="rId174" ref="C166"/>
    <hyperlink r:id="rId175" ref="C167"/>
    <hyperlink r:id="rId176" ref="C168"/>
    <hyperlink r:id="rId177" ref="C169"/>
    <hyperlink r:id="rId178" ref="C170"/>
    <hyperlink r:id="rId179" ref="C171"/>
    <hyperlink r:id="rId180" ref="C172"/>
    <hyperlink r:id="rId181" ref="C173"/>
    <hyperlink r:id="rId182" ref="C174"/>
    <hyperlink r:id="rId183" ref="C175"/>
    <hyperlink r:id="rId184" ref="C176"/>
    <hyperlink r:id="rId185" ref="C177"/>
    <hyperlink r:id="rId186" ref="C178"/>
    <hyperlink r:id="rId187" ref="C179"/>
    <hyperlink r:id="rId188" ref="C180"/>
    <hyperlink r:id="rId189" ref="C181"/>
    <hyperlink r:id="rId190" ref="C182"/>
    <hyperlink r:id="rId191" ref="C183"/>
    <hyperlink r:id="rId192" ref="C184"/>
    <hyperlink r:id="rId193" ref="C185"/>
    <hyperlink r:id="rId194" ref="C186"/>
    <hyperlink r:id="rId195" ref="C187"/>
    <hyperlink r:id="rId196" ref="C188"/>
    <hyperlink r:id="rId197" ref="C189"/>
    <hyperlink r:id="rId198" ref="C190"/>
    <hyperlink r:id="rId199" ref="C191"/>
    <hyperlink r:id="rId200" ref="C192"/>
    <hyperlink r:id="rId201" ref="C193"/>
    <hyperlink r:id="rId202" ref="C194"/>
    <hyperlink r:id="rId203" ref="C195"/>
    <hyperlink r:id="rId204" ref="C196"/>
    <hyperlink r:id="rId205" ref="C197"/>
    <hyperlink r:id="rId206" ref="C198"/>
    <hyperlink r:id="rId207" ref="C199"/>
    <hyperlink r:id="rId208" ref="C200"/>
    <hyperlink r:id="rId209" ref="C201"/>
    <hyperlink r:id="rId210" ref="C202"/>
    <hyperlink r:id="rId211" ref="C203"/>
    <hyperlink r:id="rId212" ref="C204"/>
    <hyperlink r:id="rId213" ref="C205"/>
    <hyperlink r:id="rId214" ref="C206"/>
    <hyperlink r:id="rId215" ref="C207"/>
    <hyperlink r:id="rId216" ref="C208"/>
    <hyperlink r:id="rId217" ref="C209"/>
    <hyperlink r:id="rId218" ref="C210"/>
    <hyperlink r:id="rId219" ref="C211"/>
    <hyperlink r:id="rId220" ref="C212"/>
    <hyperlink r:id="rId221" ref="C213"/>
    <hyperlink r:id="rId222" ref="C214"/>
    <hyperlink r:id="rId223" ref="C215"/>
    <hyperlink r:id="rId224" ref="C216"/>
    <hyperlink r:id="rId225" ref="C217"/>
    <hyperlink r:id="rId226" ref="C218"/>
    <hyperlink r:id="rId227" ref="C219"/>
    <hyperlink r:id="rId228" ref="C220"/>
    <hyperlink r:id="rId229" ref="C221"/>
    <hyperlink r:id="rId230" ref="C222"/>
    <hyperlink r:id="rId231" ref="C223"/>
    <hyperlink r:id="rId232" ref="C224"/>
    <hyperlink r:id="rId233" ref="C225"/>
    <hyperlink r:id="rId234" ref="C226"/>
    <hyperlink r:id="rId235" ref="C227"/>
    <hyperlink r:id="rId236" ref="C228"/>
    <hyperlink r:id="rId237" ref="C229"/>
    <hyperlink r:id="rId238" ref="C230"/>
    <hyperlink r:id="rId239" ref="C231"/>
    <hyperlink r:id="rId240" ref="C232"/>
    <hyperlink r:id="rId241" ref="C233"/>
    <hyperlink r:id="rId242" ref="C234"/>
    <hyperlink r:id="rId243" ref="C235"/>
    <hyperlink r:id="rId244" ref="C236"/>
    <hyperlink r:id="rId245" ref="C237"/>
    <hyperlink r:id="rId246" ref="C238"/>
    <hyperlink r:id="rId247" ref="C239"/>
    <hyperlink r:id="rId248" ref="C240"/>
    <hyperlink r:id="rId249" ref="C241"/>
    <hyperlink r:id="rId250" ref="C242"/>
    <hyperlink r:id="rId251" ref="C243"/>
    <hyperlink r:id="rId252" ref="C244"/>
    <hyperlink r:id="rId253" ref="C245"/>
    <hyperlink r:id="rId254" ref="C246"/>
    <hyperlink r:id="rId255" ref="C247"/>
    <hyperlink r:id="rId256" ref="C248"/>
    <hyperlink r:id="rId257" ref="C249"/>
    <hyperlink r:id="rId258" ref="C250"/>
    <hyperlink r:id="rId259" ref="C251"/>
    <hyperlink r:id="rId260" ref="C252"/>
    <hyperlink r:id="rId261" ref="C253"/>
    <hyperlink r:id="rId262" ref="C254"/>
    <hyperlink r:id="rId263" ref="C255"/>
    <hyperlink r:id="rId264" ref="C256"/>
    <hyperlink r:id="rId265" ref="C257"/>
    <hyperlink r:id="rId266" ref="C258"/>
    <hyperlink r:id="rId267" ref="C259"/>
    <hyperlink r:id="rId268" ref="C260"/>
    <hyperlink r:id="rId269" ref="C261"/>
    <hyperlink r:id="rId270" ref="C262"/>
    <hyperlink r:id="rId271" ref="C263"/>
    <hyperlink r:id="rId272" ref="C264"/>
    <hyperlink r:id="rId273" ref="C265"/>
    <hyperlink r:id="rId274" ref="C266"/>
    <hyperlink r:id="rId275" ref="C267"/>
    <hyperlink r:id="rId276" ref="C268"/>
    <hyperlink r:id="rId277" ref="C269"/>
    <hyperlink r:id="rId278" ref="C270"/>
    <hyperlink r:id="rId279" ref="C271"/>
    <hyperlink r:id="rId280" ref="C272"/>
    <hyperlink r:id="rId281" ref="C273"/>
    <hyperlink r:id="rId282" ref="C274"/>
    <hyperlink r:id="rId283" ref="A275"/>
    <hyperlink r:id="rId284" ref="C275"/>
    <hyperlink r:id="rId285" ref="C276"/>
    <hyperlink r:id="rId286" ref="C277"/>
    <hyperlink r:id="rId287" ref="C278"/>
    <hyperlink r:id="rId288" ref="C279"/>
    <hyperlink r:id="rId289" ref="C280"/>
    <hyperlink r:id="rId290" ref="C281"/>
    <hyperlink r:id="rId291" ref="C282"/>
    <hyperlink r:id="rId292" ref="C283"/>
    <hyperlink r:id="rId293" ref="C284"/>
    <hyperlink r:id="rId294" ref="C285"/>
    <hyperlink r:id="rId295" ref="C286"/>
    <hyperlink r:id="rId296" ref="C287"/>
    <hyperlink r:id="rId297" ref="C288"/>
    <hyperlink r:id="rId298" ref="C289"/>
    <hyperlink r:id="rId299" ref="C290"/>
    <hyperlink r:id="rId300" ref="C291"/>
    <hyperlink r:id="rId301" ref="C292"/>
    <hyperlink r:id="rId302" ref="C293"/>
    <hyperlink r:id="rId303" ref="C294"/>
    <hyperlink r:id="rId304" ref="C295"/>
    <hyperlink r:id="rId305" ref="C296"/>
    <hyperlink r:id="rId306" ref="C297"/>
    <hyperlink r:id="rId307" ref="C298"/>
    <hyperlink r:id="rId308" ref="C299"/>
    <hyperlink r:id="rId309" ref="C300"/>
    <hyperlink r:id="rId310" ref="C301"/>
    <hyperlink r:id="rId311" ref="C302"/>
    <hyperlink r:id="rId312" ref="C303"/>
    <hyperlink r:id="rId313" ref="C304"/>
    <hyperlink r:id="rId314" ref="C305"/>
    <hyperlink r:id="rId315" ref="C306"/>
    <hyperlink r:id="rId316" ref="C307"/>
    <hyperlink r:id="rId317" ref="C308"/>
    <hyperlink r:id="rId318" ref="C309"/>
    <hyperlink r:id="rId319" ref="C310"/>
    <hyperlink r:id="rId320" ref="C311"/>
    <hyperlink r:id="rId321" ref="C312"/>
    <hyperlink r:id="rId322" ref="C313"/>
    <hyperlink r:id="rId323" ref="C314"/>
    <hyperlink r:id="rId324" ref="C315"/>
    <hyperlink r:id="rId325" ref="C316"/>
    <hyperlink r:id="rId326" ref="C317"/>
    <hyperlink r:id="rId327" ref="C318"/>
    <hyperlink r:id="rId328" ref="C319"/>
    <hyperlink r:id="rId329" ref="C320"/>
    <hyperlink r:id="rId330" ref="C321"/>
    <hyperlink r:id="rId331" ref="C322"/>
    <hyperlink r:id="rId332" ref="C323"/>
    <hyperlink r:id="rId333" ref="C324"/>
    <hyperlink r:id="rId334" ref="C325"/>
    <hyperlink r:id="rId335" ref="C326"/>
    <hyperlink r:id="rId336" ref="C327"/>
    <hyperlink r:id="rId337" ref="C328"/>
    <hyperlink r:id="rId338" ref="C329"/>
    <hyperlink r:id="rId339" ref="C330"/>
    <hyperlink r:id="rId340" ref="C331"/>
    <hyperlink r:id="rId341" ref="C332"/>
    <hyperlink r:id="rId342" ref="C333"/>
    <hyperlink r:id="rId343" ref="C334"/>
    <hyperlink r:id="rId344" ref="C335"/>
    <hyperlink r:id="rId345" ref="C336"/>
    <hyperlink r:id="rId346" ref="C337"/>
    <hyperlink r:id="rId347" ref="C338"/>
    <hyperlink r:id="rId348" ref="C339"/>
    <hyperlink r:id="rId349" ref="C340"/>
    <hyperlink r:id="rId350" ref="C341"/>
    <hyperlink r:id="rId351" ref="C342"/>
    <hyperlink r:id="rId352" ref="C343"/>
    <hyperlink r:id="rId353" ref="C344"/>
    <hyperlink r:id="rId354" ref="C345"/>
    <hyperlink r:id="rId355" ref="C346"/>
    <hyperlink r:id="rId356" ref="C347"/>
    <hyperlink r:id="rId357" ref="C348"/>
    <hyperlink r:id="rId358" ref="C349"/>
    <hyperlink r:id="rId359" ref="C350"/>
    <hyperlink r:id="rId360" ref="C351"/>
    <hyperlink r:id="rId361" ref="C352"/>
    <hyperlink r:id="rId362" ref="C353"/>
    <hyperlink r:id="rId363" ref="C354"/>
    <hyperlink r:id="rId364" ref="C355"/>
    <hyperlink r:id="rId365" ref="C356"/>
    <hyperlink r:id="rId366" ref="C357"/>
    <hyperlink r:id="rId367" ref="C358"/>
    <hyperlink r:id="rId368" ref="C359"/>
    <hyperlink r:id="rId369" ref="C360"/>
    <hyperlink r:id="rId370" ref="C361"/>
    <hyperlink r:id="rId371" ref="C362"/>
    <hyperlink r:id="rId372" ref="C363"/>
    <hyperlink r:id="rId373" ref="C364"/>
    <hyperlink r:id="rId374" ref="C365"/>
    <hyperlink r:id="rId375" ref="C366"/>
    <hyperlink r:id="rId376" ref="C367"/>
    <hyperlink r:id="rId377" ref="C368"/>
    <hyperlink r:id="rId378" ref="C369"/>
    <hyperlink r:id="rId379" ref="C370"/>
    <hyperlink r:id="rId380" ref="C371"/>
    <hyperlink r:id="rId381" ref="C372"/>
    <hyperlink r:id="rId382" ref="C373"/>
    <hyperlink r:id="rId383" ref="C374"/>
    <hyperlink r:id="rId384" ref="C375"/>
    <hyperlink r:id="rId385" ref="C376"/>
    <hyperlink r:id="rId386" ref="C377"/>
    <hyperlink r:id="rId387" ref="C378"/>
    <hyperlink r:id="rId388" ref="C379"/>
    <hyperlink r:id="rId389" ref="C380"/>
    <hyperlink r:id="rId390" ref="C381"/>
    <hyperlink r:id="rId391" ref="C382"/>
    <hyperlink r:id="rId392" ref="C383"/>
    <hyperlink r:id="rId393" ref="C384"/>
    <hyperlink r:id="rId394" ref="C385"/>
    <hyperlink r:id="rId395" ref="C386"/>
    <hyperlink r:id="rId396" ref="C387"/>
    <hyperlink r:id="rId397" ref="C388"/>
    <hyperlink r:id="rId398" ref="C389"/>
    <hyperlink r:id="rId399" ref="C390"/>
    <hyperlink r:id="rId400" ref="C391"/>
    <hyperlink r:id="rId401" ref="C392"/>
    <hyperlink r:id="rId402" ref="C393"/>
    <hyperlink r:id="rId403" ref="C394"/>
    <hyperlink r:id="rId404" ref="C395"/>
    <hyperlink r:id="rId405" ref="C396"/>
    <hyperlink r:id="rId406" ref="C397"/>
    <hyperlink r:id="rId407" ref="C398"/>
    <hyperlink r:id="rId408" ref="C399"/>
    <hyperlink r:id="rId409" ref="C400"/>
    <hyperlink r:id="rId410" ref="C401"/>
    <hyperlink r:id="rId411" ref="C402"/>
    <hyperlink r:id="rId412" ref="C403"/>
    <hyperlink r:id="rId413" ref="C404"/>
    <hyperlink r:id="rId414" ref="C405"/>
    <hyperlink r:id="rId415" ref="C406"/>
    <hyperlink r:id="rId416" ref="C407"/>
    <hyperlink r:id="rId417" ref="C408"/>
    <hyperlink r:id="rId418" ref="C409"/>
    <hyperlink r:id="rId419" ref="C410"/>
    <hyperlink r:id="rId420" ref="C411"/>
    <hyperlink r:id="rId421" ref="C412"/>
    <hyperlink r:id="rId422" ref="C413"/>
    <hyperlink r:id="rId423" ref="C414"/>
    <hyperlink r:id="rId424" ref="C415"/>
    <hyperlink r:id="rId425" ref="C416"/>
    <hyperlink r:id="rId426" ref="C417"/>
    <hyperlink r:id="rId427" ref="C418"/>
    <hyperlink r:id="rId428" ref="C419"/>
    <hyperlink r:id="rId429" ref="C420"/>
    <hyperlink r:id="rId430" ref="C421"/>
    <hyperlink r:id="rId431" ref="C422"/>
    <hyperlink r:id="rId432" ref="C423"/>
    <hyperlink r:id="rId433" ref="C424"/>
    <hyperlink r:id="rId434" ref="C425"/>
    <hyperlink r:id="rId435" ref="C426"/>
    <hyperlink r:id="rId436" ref="C427"/>
    <hyperlink r:id="rId437" ref="C428"/>
    <hyperlink r:id="rId438" ref="C429"/>
    <hyperlink r:id="rId439" ref="C430"/>
    <hyperlink r:id="rId440" ref="C431"/>
    <hyperlink r:id="rId441" ref="C432"/>
    <hyperlink r:id="rId442" ref="C433"/>
    <hyperlink r:id="rId443" ref="C434"/>
    <hyperlink r:id="rId444" ref="C435"/>
    <hyperlink r:id="rId445" ref="C436"/>
    <hyperlink r:id="rId446" ref="C437"/>
    <hyperlink r:id="rId447" ref="C438"/>
    <hyperlink r:id="rId448" ref="C439"/>
    <hyperlink r:id="rId449" ref="C440"/>
    <hyperlink r:id="rId450" ref="C441"/>
    <hyperlink r:id="rId451" ref="C442"/>
    <hyperlink r:id="rId452" ref="C443"/>
    <hyperlink r:id="rId453" ref="C444"/>
    <hyperlink r:id="rId454" ref="C445"/>
    <hyperlink r:id="rId455" ref="C446"/>
    <hyperlink r:id="rId456" ref="C447"/>
    <hyperlink r:id="rId457" ref="C448"/>
    <hyperlink r:id="rId458" ref="C449"/>
    <hyperlink r:id="rId459" ref="C450"/>
    <hyperlink r:id="rId460" ref="C451"/>
    <hyperlink r:id="rId461" ref="C452"/>
    <hyperlink r:id="rId462" ref="C453"/>
    <hyperlink r:id="rId463" ref="C454"/>
    <hyperlink r:id="rId464" ref="C455"/>
    <hyperlink r:id="rId465" ref="C456"/>
    <hyperlink r:id="rId466" ref="C457"/>
    <hyperlink r:id="rId467" ref="C458"/>
    <hyperlink r:id="rId468" ref="C459"/>
    <hyperlink r:id="rId469" ref="C460"/>
    <hyperlink r:id="rId470" ref="C461"/>
    <hyperlink r:id="rId471" ref="C462"/>
    <hyperlink r:id="rId472" ref="C463"/>
    <hyperlink r:id="rId473" ref="C464"/>
    <hyperlink r:id="rId474" ref="C465"/>
    <hyperlink r:id="rId475" ref="C466"/>
    <hyperlink r:id="rId476" ref="C467"/>
    <hyperlink r:id="rId477" ref="C468"/>
    <hyperlink r:id="rId478" ref="C469"/>
    <hyperlink r:id="rId479" ref="C470"/>
    <hyperlink r:id="rId480" ref="C471"/>
    <hyperlink r:id="rId481" ref="C472"/>
    <hyperlink r:id="rId482" ref="C473"/>
    <hyperlink r:id="rId483" ref="C474"/>
    <hyperlink r:id="rId484" ref="C475"/>
    <hyperlink r:id="rId485" ref="C476"/>
    <hyperlink r:id="rId486" ref="C477"/>
    <hyperlink r:id="rId487" ref="C478"/>
    <hyperlink r:id="rId488" ref="C479"/>
    <hyperlink r:id="rId489" ref="C480"/>
    <hyperlink r:id="rId490" ref="C481"/>
    <hyperlink r:id="rId491" ref="C482"/>
    <hyperlink r:id="rId492" ref="C483"/>
    <hyperlink r:id="rId493" ref="C484"/>
    <hyperlink r:id="rId494" ref="C485"/>
    <hyperlink r:id="rId495" ref="C486"/>
    <hyperlink r:id="rId496" ref="C487"/>
    <hyperlink r:id="rId497" ref="C488"/>
    <hyperlink r:id="rId498" ref="C489"/>
    <hyperlink r:id="rId499" ref="C490"/>
    <hyperlink r:id="rId500" ref="C491"/>
    <hyperlink r:id="rId501" ref="C492"/>
    <hyperlink r:id="rId502" ref="C493"/>
    <hyperlink r:id="rId503" ref="C494"/>
    <hyperlink r:id="rId504" ref="C495"/>
    <hyperlink r:id="rId505" ref="C496"/>
    <hyperlink r:id="rId506" ref="C497"/>
    <hyperlink r:id="rId507" ref="C498"/>
    <hyperlink r:id="rId508" ref="C499"/>
    <hyperlink r:id="rId509" ref="C500"/>
    <hyperlink r:id="rId510" ref="C501"/>
    <hyperlink r:id="rId511" ref="C502"/>
    <hyperlink r:id="rId512" ref="C503"/>
    <hyperlink r:id="rId513" ref="C504"/>
    <hyperlink r:id="rId514" ref="C505"/>
    <hyperlink r:id="rId515" ref="C506"/>
    <hyperlink r:id="rId516" ref="C507"/>
    <hyperlink r:id="rId517" ref="C508"/>
    <hyperlink r:id="rId518" ref="C509"/>
    <hyperlink r:id="rId519" ref="C510"/>
    <hyperlink r:id="rId520" ref="C511"/>
    <hyperlink r:id="rId521" ref="C512"/>
    <hyperlink r:id="rId522" ref="C513"/>
    <hyperlink r:id="rId523" ref="C514"/>
    <hyperlink r:id="rId524" ref="C515"/>
    <hyperlink r:id="rId525" ref="C516"/>
    <hyperlink r:id="rId526" ref="C517"/>
    <hyperlink r:id="rId527" ref="C518"/>
    <hyperlink r:id="rId528" ref="C519"/>
    <hyperlink r:id="rId529" ref="C520"/>
    <hyperlink r:id="rId530" ref="C521"/>
    <hyperlink r:id="rId531" ref="C522"/>
    <hyperlink r:id="rId532" ref="C523"/>
    <hyperlink r:id="rId533" ref="C524"/>
    <hyperlink r:id="rId534" ref="C525"/>
    <hyperlink r:id="rId535" ref="C526"/>
    <hyperlink r:id="rId536" ref="C527"/>
    <hyperlink r:id="rId537" ref="C528"/>
    <hyperlink r:id="rId538" ref="C529"/>
    <hyperlink r:id="rId539" ref="C530"/>
    <hyperlink r:id="rId540" ref="C531"/>
    <hyperlink r:id="rId541" ref="C532"/>
    <hyperlink r:id="rId542" ref="C533"/>
    <hyperlink r:id="rId543" ref="C534"/>
    <hyperlink r:id="rId544" ref="C535"/>
    <hyperlink r:id="rId545" ref="C536"/>
    <hyperlink r:id="rId546" ref="C537"/>
    <hyperlink r:id="rId547" ref="C538"/>
    <hyperlink r:id="rId548" ref="C539"/>
    <hyperlink r:id="rId549" ref="C540"/>
    <hyperlink r:id="rId550" ref="C541"/>
    <hyperlink r:id="rId551" ref="C542"/>
    <hyperlink r:id="rId552" ref="C543"/>
    <hyperlink r:id="rId553" ref="C544"/>
    <hyperlink r:id="rId554" ref="C545"/>
    <hyperlink r:id="rId555" ref="C546"/>
    <hyperlink r:id="rId556" ref="C547"/>
    <hyperlink r:id="rId557" ref="C548"/>
    <hyperlink r:id="rId558" ref="C549"/>
    <hyperlink r:id="rId559" ref="C550"/>
    <hyperlink r:id="rId560" ref="C551"/>
    <hyperlink r:id="rId561" ref="C552"/>
    <hyperlink r:id="rId562" ref="C553"/>
    <hyperlink r:id="rId563" ref="C554"/>
    <hyperlink r:id="rId564" ref="C555"/>
    <hyperlink r:id="rId565" ref="C556"/>
    <hyperlink r:id="rId566" ref="C557"/>
    <hyperlink r:id="rId567" ref="C558"/>
    <hyperlink r:id="rId568" ref="C559"/>
    <hyperlink r:id="rId569" ref="C560"/>
    <hyperlink r:id="rId570" ref="C561"/>
    <hyperlink r:id="rId571" ref="C562"/>
    <hyperlink r:id="rId572" ref="C563"/>
    <hyperlink r:id="rId573" ref="C564"/>
    <hyperlink r:id="rId574" ref="C565"/>
    <hyperlink r:id="rId575" ref="C566"/>
    <hyperlink r:id="rId576" ref="C567"/>
    <hyperlink r:id="rId577" ref="C568"/>
    <hyperlink r:id="rId578" ref="C569"/>
    <hyperlink r:id="rId579" ref="C570"/>
    <hyperlink r:id="rId580" ref="C571"/>
    <hyperlink r:id="rId581" ref="C572"/>
    <hyperlink r:id="rId582" ref="C573"/>
    <hyperlink r:id="rId583" ref="C574"/>
    <hyperlink r:id="rId584" ref="C575"/>
    <hyperlink r:id="rId585" ref="C576"/>
    <hyperlink r:id="rId586" ref="C577"/>
    <hyperlink r:id="rId587" ref="C578"/>
    <hyperlink r:id="rId588" ref="C579"/>
    <hyperlink r:id="rId589" ref="C580"/>
    <hyperlink r:id="rId590" ref="C581"/>
    <hyperlink r:id="rId591" ref="C582"/>
    <hyperlink r:id="rId592" ref="C583"/>
    <hyperlink r:id="rId593" ref="C584"/>
    <hyperlink r:id="rId594" ref="C585"/>
    <hyperlink r:id="rId595" ref="C586"/>
    <hyperlink r:id="rId596" ref="C587"/>
  </hyperlinks>
  <printOptions/>
  <pageMargins bottom="0.75" footer="0.0" header="0.0" left="0.7" right="0.7" top="0.75"/>
  <pageSetup orientation="landscape"/>
  <drawing r:id="rId59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5" width="15.75"/>
    <col customWidth="1" min="16" max="26" width="8.63"/>
  </cols>
  <sheetData>
    <row r="1" ht="15.0" customHeight="1">
      <c r="A1" s="53" t="s">
        <v>336</v>
      </c>
      <c r="B1" s="53" t="s">
        <v>337</v>
      </c>
      <c r="C1" s="54" t="s">
        <v>338</v>
      </c>
      <c r="D1" s="53" t="s">
        <v>7385</v>
      </c>
      <c r="E1" s="53" t="s">
        <v>5707</v>
      </c>
      <c r="F1" s="54" t="s">
        <v>7386</v>
      </c>
      <c r="G1" s="54" t="s">
        <v>5708</v>
      </c>
      <c r="H1" s="54" t="s">
        <v>24</v>
      </c>
      <c r="I1" s="53" t="s">
        <v>7387</v>
      </c>
      <c r="J1" s="53" t="s">
        <v>7388</v>
      </c>
      <c r="K1" s="53" t="s">
        <v>352</v>
      </c>
      <c r="L1" s="53" t="s">
        <v>353</v>
      </c>
      <c r="M1" s="54" t="s">
        <v>354</v>
      </c>
      <c r="N1" s="54" t="s">
        <v>355</v>
      </c>
      <c r="O1" s="53" t="s">
        <v>356</v>
      </c>
    </row>
    <row r="2" ht="15.0" customHeight="1">
      <c r="A2" s="56" t="s">
        <v>1</v>
      </c>
      <c r="B2" s="56" t="s">
        <v>375</v>
      </c>
      <c r="C2" s="57" t="s">
        <v>376</v>
      </c>
      <c r="D2" s="56" t="s">
        <v>4498</v>
      </c>
      <c r="E2" s="56" t="s">
        <v>368</v>
      </c>
      <c r="F2" s="56" t="s">
        <v>3351</v>
      </c>
      <c r="G2" s="56" t="s">
        <v>2286</v>
      </c>
      <c r="H2" s="56" t="s">
        <v>381</v>
      </c>
      <c r="I2" s="56" t="s">
        <v>368</v>
      </c>
      <c r="J2" s="58">
        <v>0.0</v>
      </c>
      <c r="K2" s="56" t="s">
        <v>5412</v>
      </c>
      <c r="L2" s="59"/>
      <c r="M2" s="56" t="s">
        <v>7389</v>
      </c>
      <c r="N2" s="61" t="s">
        <v>373</v>
      </c>
      <c r="O2" s="58" t="s">
        <v>7390</v>
      </c>
    </row>
    <row r="3" ht="15.0" customHeight="1">
      <c r="A3" s="56" t="s">
        <v>53</v>
      </c>
      <c r="B3" s="56" t="s">
        <v>387</v>
      </c>
      <c r="C3" s="57" t="s">
        <v>388</v>
      </c>
      <c r="D3" s="58">
        <v>2.164103573E9</v>
      </c>
      <c r="E3" s="56" t="s">
        <v>368</v>
      </c>
      <c r="F3" s="56" t="s">
        <v>7391</v>
      </c>
      <c r="G3" s="56" t="s">
        <v>452</v>
      </c>
      <c r="H3" s="56" t="s">
        <v>7392</v>
      </c>
      <c r="I3" s="56" t="s">
        <v>423</v>
      </c>
      <c r="J3" s="58">
        <v>2.0</v>
      </c>
      <c r="K3" s="56" t="s">
        <v>1569</v>
      </c>
      <c r="L3" s="59"/>
      <c r="M3" s="56" t="s">
        <v>7393</v>
      </c>
      <c r="N3" s="61" t="s">
        <v>373</v>
      </c>
      <c r="O3" s="58" t="s">
        <v>7394</v>
      </c>
    </row>
    <row r="4" ht="15.0" customHeight="1">
      <c r="A4" s="56" t="s">
        <v>5740</v>
      </c>
      <c r="B4" s="56" t="s">
        <v>4401</v>
      </c>
      <c r="C4" s="57" t="s">
        <v>5741</v>
      </c>
      <c r="D4" s="56" t="s">
        <v>7395</v>
      </c>
      <c r="E4" s="56" t="s">
        <v>368</v>
      </c>
      <c r="F4" s="56" t="s">
        <v>4639</v>
      </c>
      <c r="G4" s="56" t="s">
        <v>2286</v>
      </c>
      <c r="H4" s="56" t="s">
        <v>381</v>
      </c>
      <c r="I4" s="56" t="s">
        <v>423</v>
      </c>
      <c r="J4" s="58">
        <v>2.0</v>
      </c>
      <c r="K4" s="56" t="s">
        <v>857</v>
      </c>
      <c r="L4" s="59"/>
      <c r="M4" s="56" t="s">
        <v>7396</v>
      </c>
      <c r="N4" s="61" t="s">
        <v>373</v>
      </c>
      <c r="O4" s="58" t="s">
        <v>7397</v>
      </c>
    </row>
    <row r="5" ht="15.0" customHeight="1">
      <c r="A5" s="56" t="s">
        <v>55</v>
      </c>
      <c r="B5" s="56" t="s">
        <v>4503</v>
      </c>
      <c r="C5" s="57" t="s">
        <v>4504</v>
      </c>
      <c r="D5" s="56" t="s">
        <v>4505</v>
      </c>
      <c r="E5" s="56" t="s">
        <v>368</v>
      </c>
      <c r="F5" s="56" t="s">
        <v>2614</v>
      </c>
      <c r="G5" s="56" t="s">
        <v>2286</v>
      </c>
      <c r="H5" s="56" t="s">
        <v>381</v>
      </c>
      <c r="I5" s="56" t="s">
        <v>368</v>
      </c>
      <c r="J5" s="58">
        <v>0.0</v>
      </c>
      <c r="K5" s="56" t="s">
        <v>1778</v>
      </c>
      <c r="L5" s="59"/>
      <c r="M5" s="56" t="s">
        <v>7398</v>
      </c>
      <c r="N5" s="61" t="s">
        <v>373</v>
      </c>
      <c r="O5" s="58" t="s">
        <v>7399</v>
      </c>
    </row>
    <row r="6" ht="15.0" customHeight="1">
      <c r="A6" s="56" t="s">
        <v>56</v>
      </c>
      <c r="B6" s="56" t="s">
        <v>7400</v>
      </c>
      <c r="C6" s="57" t="s">
        <v>7401</v>
      </c>
      <c r="D6" s="56" t="s">
        <v>7402</v>
      </c>
      <c r="E6" s="56" t="s">
        <v>368</v>
      </c>
      <c r="F6" s="56" t="s">
        <v>2286</v>
      </c>
      <c r="G6" s="56" t="s">
        <v>2286</v>
      </c>
      <c r="H6" s="56" t="s">
        <v>7403</v>
      </c>
      <c r="I6" s="56" t="s">
        <v>368</v>
      </c>
      <c r="J6" s="58">
        <v>0.0</v>
      </c>
      <c r="K6" s="56" t="s">
        <v>1056</v>
      </c>
      <c r="L6" s="59"/>
      <c r="M6" s="56" t="s">
        <v>7404</v>
      </c>
      <c r="N6" s="61" t="s">
        <v>373</v>
      </c>
      <c r="O6" s="58" t="s">
        <v>7405</v>
      </c>
    </row>
    <row r="7" ht="15.0" customHeight="1">
      <c r="A7" s="56" t="s">
        <v>57</v>
      </c>
      <c r="B7" s="56" t="s">
        <v>407</v>
      </c>
      <c r="C7" s="57" t="s">
        <v>408</v>
      </c>
      <c r="D7" s="56" t="s">
        <v>4512</v>
      </c>
      <c r="E7" s="56" t="s">
        <v>368</v>
      </c>
      <c r="F7" s="56" t="s">
        <v>411</v>
      </c>
      <c r="G7" s="56" t="s">
        <v>390</v>
      </c>
      <c r="H7" s="56" t="s">
        <v>7392</v>
      </c>
      <c r="I7" s="56" t="s">
        <v>368</v>
      </c>
      <c r="J7" s="58">
        <v>4.0</v>
      </c>
      <c r="K7" s="56" t="s">
        <v>1178</v>
      </c>
      <c r="L7" s="59"/>
      <c r="M7" s="56" t="s">
        <v>7406</v>
      </c>
      <c r="N7" s="61" t="s">
        <v>373</v>
      </c>
      <c r="O7" s="58" t="s">
        <v>7407</v>
      </c>
    </row>
    <row r="8" ht="15.0" customHeight="1">
      <c r="A8" s="56" t="s">
        <v>58</v>
      </c>
      <c r="B8" s="56" t="s">
        <v>2337</v>
      </c>
      <c r="C8" s="57" t="s">
        <v>2338</v>
      </c>
      <c r="D8" s="58">
        <v>9.729989507E9</v>
      </c>
      <c r="E8" s="56" t="s">
        <v>368</v>
      </c>
      <c r="F8" s="56" t="s">
        <v>7408</v>
      </c>
      <c r="G8" s="56" t="s">
        <v>459</v>
      </c>
      <c r="H8" s="56" t="s">
        <v>381</v>
      </c>
      <c r="I8" s="56" t="s">
        <v>423</v>
      </c>
      <c r="J8" s="58">
        <v>0.0</v>
      </c>
      <c r="K8" s="56" t="s">
        <v>698</v>
      </c>
      <c r="L8" s="59"/>
      <c r="M8" s="56" t="s">
        <v>7409</v>
      </c>
      <c r="N8" s="61" t="s">
        <v>373</v>
      </c>
      <c r="O8" s="58" t="s">
        <v>7410</v>
      </c>
    </row>
    <row r="9" ht="15.0" customHeight="1">
      <c r="A9" s="56" t="s">
        <v>59</v>
      </c>
      <c r="B9" s="56" t="s">
        <v>4522</v>
      </c>
      <c r="C9" s="57" t="s">
        <v>4523</v>
      </c>
      <c r="D9" s="58">
        <v>7.13396994E9</v>
      </c>
      <c r="E9" s="56" t="s">
        <v>368</v>
      </c>
      <c r="F9" s="56" t="s">
        <v>3574</v>
      </c>
      <c r="G9" s="56" t="s">
        <v>410</v>
      </c>
      <c r="H9" s="56" t="s">
        <v>7392</v>
      </c>
      <c r="I9" s="56" t="s">
        <v>368</v>
      </c>
      <c r="J9" s="58">
        <v>0.0</v>
      </c>
      <c r="K9" s="56" t="s">
        <v>1874</v>
      </c>
      <c r="L9" s="59"/>
      <c r="M9" s="56" t="s">
        <v>7411</v>
      </c>
      <c r="N9" s="61" t="s">
        <v>373</v>
      </c>
      <c r="O9" s="58" t="s">
        <v>7412</v>
      </c>
    </row>
    <row r="10" ht="15.0" customHeight="1">
      <c r="A10" s="56" t="s">
        <v>4526</v>
      </c>
      <c r="B10" s="56" t="s">
        <v>7413</v>
      </c>
      <c r="C10" s="57" t="s">
        <v>7414</v>
      </c>
      <c r="D10" s="58">
        <v>6.503806513E9</v>
      </c>
      <c r="E10" s="56" t="s">
        <v>368</v>
      </c>
      <c r="F10" s="56" t="s">
        <v>4529</v>
      </c>
      <c r="G10" s="56" t="s">
        <v>390</v>
      </c>
      <c r="H10" s="56" t="s">
        <v>381</v>
      </c>
      <c r="I10" s="56" t="s">
        <v>368</v>
      </c>
      <c r="J10" s="58">
        <v>0.0</v>
      </c>
      <c r="K10" s="56" t="s">
        <v>6507</v>
      </c>
      <c r="L10" s="59"/>
      <c r="M10" s="56" t="s">
        <v>7415</v>
      </c>
      <c r="N10" s="61" t="s">
        <v>373</v>
      </c>
      <c r="O10" s="58" t="s">
        <v>7416</v>
      </c>
    </row>
    <row r="11" ht="15.0" customHeight="1">
      <c r="A11" s="56" t="s">
        <v>5762</v>
      </c>
      <c r="B11" s="56" t="s">
        <v>5763</v>
      </c>
      <c r="C11" s="57" t="s">
        <v>5764</v>
      </c>
      <c r="D11" s="58">
        <v>5.128212081E9</v>
      </c>
      <c r="E11" s="56" t="s">
        <v>368</v>
      </c>
      <c r="F11" s="56" t="s">
        <v>2286</v>
      </c>
      <c r="G11" s="56" t="s">
        <v>2286</v>
      </c>
      <c r="H11" s="56" t="s">
        <v>7392</v>
      </c>
      <c r="I11" s="56" t="s">
        <v>368</v>
      </c>
      <c r="J11" s="58">
        <v>0.0</v>
      </c>
      <c r="K11" s="56" t="s">
        <v>785</v>
      </c>
      <c r="L11" s="59"/>
      <c r="M11" s="56" t="s">
        <v>7417</v>
      </c>
      <c r="N11" s="61" t="s">
        <v>373</v>
      </c>
      <c r="O11" s="58" t="s">
        <v>7418</v>
      </c>
    </row>
    <row r="12" ht="15.0" customHeight="1">
      <c r="A12" s="56" t="s">
        <v>7419</v>
      </c>
      <c r="B12" s="56" t="s">
        <v>7420</v>
      </c>
      <c r="C12" s="57" t="s">
        <v>7421</v>
      </c>
      <c r="D12" s="56" t="s">
        <v>7422</v>
      </c>
      <c r="E12" s="56" t="s">
        <v>368</v>
      </c>
      <c r="F12" s="56" t="s">
        <v>2286</v>
      </c>
      <c r="G12" s="56" t="s">
        <v>2286</v>
      </c>
      <c r="H12" s="56" t="s">
        <v>7392</v>
      </c>
      <c r="I12" s="56" t="s">
        <v>368</v>
      </c>
      <c r="J12" s="58">
        <v>0.0</v>
      </c>
      <c r="K12" s="56" t="s">
        <v>4028</v>
      </c>
      <c r="L12" s="59"/>
      <c r="M12" s="56" t="s">
        <v>7423</v>
      </c>
      <c r="N12" s="61" t="s">
        <v>373</v>
      </c>
      <c r="O12" s="58" t="s">
        <v>7424</v>
      </c>
    </row>
    <row r="13" ht="15.0" customHeight="1">
      <c r="A13" s="56" t="s">
        <v>7425</v>
      </c>
      <c r="B13" s="56" t="s">
        <v>7426</v>
      </c>
      <c r="C13" s="57" t="s">
        <v>7427</v>
      </c>
      <c r="D13" s="58">
        <v>8.044999459E9</v>
      </c>
      <c r="E13" s="56" t="s">
        <v>368</v>
      </c>
      <c r="F13" s="56" t="s">
        <v>7428</v>
      </c>
      <c r="G13" s="56" t="s">
        <v>2291</v>
      </c>
      <c r="H13" s="56" t="s">
        <v>483</v>
      </c>
      <c r="I13" s="56" t="s">
        <v>423</v>
      </c>
      <c r="J13" s="58">
        <v>2.0</v>
      </c>
      <c r="K13" s="56" t="s">
        <v>3625</v>
      </c>
      <c r="L13" s="59"/>
      <c r="M13" s="56" t="s">
        <v>7429</v>
      </c>
      <c r="N13" s="61" t="s">
        <v>373</v>
      </c>
      <c r="O13" s="58" t="s">
        <v>7430</v>
      </c>
    </row>
    <row r="14" ht="15.0" customHeight="1">
      <c r="A14" s="56" t="s">
        <v>60</v>
      </c>
      <c r="B14" s="56" t="s">
        <v>7431</v>
      </c>
      <c r="C14" s="57" t="s">
        <v>7432</v>
      </c>
      <c r="D14" s="56" t="s">
        <v>7433</v>
      </c>
      <c r="E14" s="56" t="s">
        <v>368</v>
      </c>
      <c r="F14" s="56" t="s">
        <v>7408</v>
      </c>
      <c r="G14" s="56" t="s">
        <v>709</v>
      </c>
      <c r="H14" s="56" t="s">
        <v>381</v>
      </c>
      <c r="I14" s="56" t="s">
        <v>368</v>
      </c>
      <c r="J14" s="58">
        <v>0.0</v>
      </c>
      <c r="K14" s="56" t="s">
        <v>1803</v>
      </c>
      <c r="L14" s="59"/>
      <c r="M14" s="56" t="s">
        <v>7434</v>
      </c>
      <c r="N14" s="61" t="s">
        <v>373</v>
      </c>
      <c r="O14" s="58" t="s">
        <v>7435</v>
      </c>
    </row>
    <row r="15" ht="15.0" customHeight="1">
      <c r="A15" s="56" t="s">
        <v>62</v>
      </c>
      <c r="B15" s="56" t="s">
        <v>4545</v>
      </c>
      <c r="C15" s="57" t="s">
        <v>4546</v>
      </c>
      <c r="D15" s="58">
        <v>1.6513432948E10</v>
      </c>
      <c r="E15" s="56" t="s">
        <v>368</v>
      </c>
      <c r="F15" s="56" t="s">
        <v>7436</v>
      </c>
      <c r="G15" s="56" t="s">
        <v>390</v>
      </c>
      <c r="H15" s="56" t="s">
        <v>381</v>
      </c>
      <c r="I15" s="56" t="s">
        <v>368</v>
      </c>
      <c r="J15" s="58">
        <v>0.0</v>
      </c>
      <c r="K15" s="56" t="s">
        <v>4046</v>
      </c>
      <c r="L15" s="59"/>
      <c r="M15" s="56" t="s">
        <v>7437</v>
      </c>
      <c r="N15" s="61" t="s">
        <v>373</v>
      </c>
      <c r="O15" s="58" t="s">
        <v>7438</v>
      </c>
    </row>
    <row r="16" ht="15.0" customHeight="1">
      <c r="A16" s="56" t="s">
        <v>63</v>
      </c>
      <c r="B16" s="56" t="s">
        <v>493</v>
      </c>
      <c r="C16" s="57" t="s">
        <v>494</v>
      </c>
      <c r="D16" s="58">
        <v>5.128353782E9</v>
      </c>
      <c r="E16" s="56" t="s">
        <v>368</v>
      </c>
      <c r="F16" s="56" t="s">
        <v>2322</v>
      </c>
      <c r="G16" s="56" t="s">
        <v>390</v>
      </c>
      <c r="H16" s="56" t="s">
        <v>7439</v>
      </c>
      <c r="I16" s="56" t="s">
        <v>368</v>
      </c>
      <c r="J16" s="58">
        <v>0.0</v>
      </c>
      <c r="K16" s="56" t="s">
        <v>7440</v>
      </c>
      <c r="L16" s="59"/>
      <c r="M16" s="56" t="s">
        <v>7441</v>
      </c>
      <c r="N16" s="61" t="s">
        <v>373</v>
      </c>
      <c r="O16" s="58" t="s">
        <v>7442</v>
      </c>
    </row>
    <row r="17" ht="15.0" customHeight="1">
      <c r="A17" s="56" t="s">
        <v>65</v>
      </c>
      <c r="B17" s="56" t="s">
        <v>4563</v>
      </c>
      <c r="C17" s="57" t="s">
        <v>5807</v>
      </c>
      <c r="D17" s="56" t="s">
        <v>4565</v>
      </c>
      <c r="E17" s="56" t="s">
        <v>368</v>
      </c>
      <c r="F17" s="56" t="s">
        <v>7443</v>
      </c>
      <c r="G17" s="56" t="s">
        <v>452</v>
      </c>
      <c r="H17" s="56" t="s">
        <v>7439</v>
      </c>
      <c r="I17" s="56" t="s">
        <v>368</v>
      </c>
      <c r="J17" s="58">
        <v>2.0</v>
      </c>
      <c r="K17" s="56" t="s">
        <v>7444</v>
      </c>
      <c r="L17" s="59"/>
      <c r="M17" s="56" t="s">
        <v>7445</v>
      </c>
      <c r="N17" s="61" t="s">
        <v>373</v>
      </c>
      <c r="O17" s="58" t="s">
        <v>7446</v>
      </c>
    </row>
    <row r="18" ht="15.0" customHeight="1">
      <c r="A18" s="56" t="s">
        <v>5809</v>
      </c>
      <c r="B18" s="56" t="s">
        <v>5810</v>
      </c>
      <c r="C18" s="57" t="s">
        <v>7447</v>
      </c>
      <c r="D18" s="56" t="s">
        <v>7448</v>
      </c>
      <c r="E18" s="56" t="s">
        <v>368</v>
      </c>
      <c r="F18" s="56" t="s">
        <v>7449</v>
      </c>
      <c r="G18" s="56" t="s">
        <v>2291</v>
      </c>
      <c r="H18" s="56" t="s">
        <v>381</v>
      </c>
      <c r="I18" s="56" t="s">
        <v>368</v>
      </c>
      <c r="J18" s="58">
        <v>0.0</v>
      </c>
      <c r="K18" s="56" t="s">
        <v>7450</v>
      </c>
      <c r="L18" s="59"/>
      <c r="M18" s="56" t="s">
        <v>7451</v>
      </c>
      <c r="N18" s="61" t="s">
        <v>373</v>
      </c>
      <c r="O18" s="58" t="s">
        <v>7452</v>
      </c>
    </row>
    <row r="19" ht="15.0" customHeight="1">
      <c r="A19" s="56" t="s">
        <v>66</v>
      </c>
      <c r="B19" s="56" t="s">
        <v>2370</v>
      </c>
      <c r="C19" s="57" t="s">
        <v>2371</v>
      </c>
      <c r="D19" s="56" t="s">
        <v>5813</v>
      </c>
      <c r="E19" s="56" t="s">
        <v>368</v>
      </c>
      <c r="F19" s="56" t="s">
        <v>3627</v>
      </c>
      <c r="G19" s="56" t="s">
        <v>2286</v>
      </c>
      <c r="H19" s="56" t="s">
        <v>381</v>
      </c>
      <c r="I19" s="56" t="s">
        <v>368</v>
      </c>
      <c r="J19" s="58">
        <v>0.0</v>
      </c>
      <c r="K19" s="56" t="s">
        <v>2399</v>
      </c>
      <c r="L19" s="59"/>
      <c r="M19" s="56" t="s">
        <v>7453</v>
      </c>
      <c r="N19" s="61" t="s">
        <v>373</v>
      </c>
      <c r="O19" s="58" t="s">
        <v>7454</v>
      </c>
    </row>
    <row r="20" ht="15.0" customHeight="1">
      <c r="A20" s="56" t="s">
        <v>67</v>
      </c>
      <c r="B20" s="56" t="s">
        <v>4571</v>
      </c>
      <c r="C20" s="57" t="s">
        <v>4572</v>
      </c>
      <c r="D20" s="58">
        <v>6.196332539E9</v>
      </c>
      <c r="E20" s="56" t="s">
        <v>368</v>
      </c>
      <c r="F20" s="56" t="s">
        <v>2395</v>
      </c>
      <c r="G20" s="56" t="s">
        <v>2286</v>
      </c>
      <c r="H20" s="56" t="s">
        <v>381</v>
      </c>
      <c r="I20" s="56" t="s">
        <v>368</v>
      </c>
      <c r="J20" s="58">
        <v>4.0</v>
      </c>
      <c r="K20" s="56" t="s">
        <v>4084</v>
      </c>
      <c r="L20" s="59"/>
      <c r="M20" s="56" t="s">
        <v>7455</v>
      </c>
      <c r="N20" s="61" t="s">
        <v>373</v>
      </c>
      <c r="O20" s="58" t="s">
        <v>7456</v>
      </c>
    </row>
    <row r="21" ht="15.0" customHeight="1">
      <c r="A21" s="56" t="s">
        <v>5817</v>
      </c>
      <c r="B21" s="56" t="s">
        <v>5818</v>
      </c>
      <c r="C21" s="57" t="s">
        <v>5819</v>
      </c>
      <c r="D21" s="56" t="s">
        <v>5820</v>
      </c>
      <c r="E21" s="56" t="s">
        <v>368</v>
      </c>
      <c r="F21" s="56" t="s">
        <v>7457</v>
      </c>
      <c r="G21" s="56" t="s">
        <v>1553</v>
      </c>
      <c r="H21" s="56" t="s">
        <v>7392</v>
      </c>
      <c r="I21" s="56" t="s">
        <v>368</v>
      </c>
      <c r="J21" s="58">
        <v>0.0</v>
      </c>
      <c r="K21" s="56" t="s">
        <v>914</v>
      </c>
      <c r="L21" s="59"/>
      <c r="M21" s="56" t="s">
        <v>7458</v>
      </c>
      <c r="N21" s="61" t="s">
        <v>373</v>
      </c>
      <c r="O21" s="58" t="s">
        <v>7459</v>
      </c>
    </row>
    <row r="22" ht="15.0" customHeight="1">
      <c r="A22" s="56" t="s">
        <v>68</v>
      </c>
      <c r="B22" s="56" t="s">
        <v>5389</v>
      </c>
      <c r="C22" s="57" t="s">
        <v>524</v>
      </c>
      <c r="D22" s="56" t="s">
        <v>7460</v>
      </c>
      <c r="E22" s="56" t="s">
        <v>368</v>
      </c>
      <c r="F22" s="56" t="s">
        <v>7461</v>
      </c>
      <c r="G22" s="56" t="s">
        <v>452</v>
      </c>
      <c r="H22" s="56" t="s">
        <v>7392</v>
      </c>
      <c r="I22" s="56" t="s">
        <v>368</v>
      </c>
      <c r="J22" s="58">
        <v>0.0</v>
      </c>
      <c r="K22" s="56" t="s">
        <v>1341</v>
      </c>
      <c r="L22" s="59"/>
      <c r="M22" s="56" t="s">
        <v>7462</v>
      </c>
      <c r="N22" s="61" t="s">
        <v>373</v>
      </c>
      <c r="O22" s="58" t="s">
        <v>7463</v>
      </c>
    </row>
    <row r="23" ht="15.0" customHeight="1">
      <c r="A23" s="56" t="s">
        <v>7464</v>
      </c>
      <c r="B23" s="56" t="s">
        <v>7465</v>
      </c>
      <c r="C23" s="57" t="s">
        <v>7466</v>
      </c>
      <c r="D23" s="58">
        <v>2.149294498E9</v>
      </c>
      <c r="E23" s="56" t="s">
        <v>368</v>
      </c>
      <c r="F23" s="56" t="s">
        <v>2286</v>
      </c>
      <c r="G23" s="56" t="s">
        <v>2286</v>
      </c>
      <c r="H23" s="56" t="s">
        <v>381</v>
      </c>
      <c r="I23" s="56" t="s">
        <v>368</v>
      </c>
      <c r="J23" s="58">
        <v>0.0</v>
      </c>
      <c r="K23" s="56" t="s">
        <v>4328</v>
      </c>
      <c r="L23" s="59"/>
      <c r="M23" s="56" t="s">
        <v>7467</v>
      </c>
      <c r="N23" s="61" t="s">
        <v>373</v>
      </c>
      <c r="O23" s="58" t="s">
        <v>7468</v>
      </c>
    </row>
    <row r="24" ht="15.0" customHeight="1">
      <c r="A24" s="56" t="s">
        <v>5834</v>
      </c>
      <c r="B24" s="56" t="s">
        <v>5835</v>
      </c>
      <c r="C24" s="57" t="s">
        <v>5836</v>
      </c>
      <c r="D24" s="58">
        <v>7.207734623E9</v>
      </c>
      <c r="E24" s="56" t="s">
        <v>368</v>
      </c>
      <c r="F24" s="56" t="s">
        <v>2938</v>
      </c>
      <c r="G24" s="56" t="s">
        <v>452</v>
      </c>
      <c r="H24" s="56" t="s">
        <v>7392</v>
      </c>
      <c r="I24" s="56" t="s">
        <v>368</v>
      </c>
      <c r="J24" s="58">
        <v>0.0</v>
      </c>
      <c r="K24" s="56" t="s">
        <v>4591</v>
      </c>
      <c r="L24" s="59"/>
      <c r="M24" s="56" t="s">
        <v>7469</v>
      </c>
      <c r="N24" s="61" t="s">
        <v>373</v>
      </c>
      <c r="O24" s="58" t="s">
        <v>7470</v>
      </c>
    </row>
    <row r="25" ht="15.0" customHeight="1">
      <c r="A25" s="56" t="s">
        <v>7471</v>
      </c>
      <c r="B25" s="56" t="s">
        <v>407</v>
      </c>
      <c r="C25" s="57" t="s">
        <v>7472</v>
      </c>
      <c r="D25" s="58">
        <v>4.016421728E9</v>
      </c>
      <c r="E25" s="56" t="s">
        <v>368</v>
      </c>
      <c r="F25" s="56" t="s">
        <v>7473</v>
      </c>
      <c r="G25" s="56" t="s">
        <v>390</v>
      </c>
      <c r="H25" s="56" t="s">
        <v>7392</v>
      </c>
      <c r="I25" s="56" t="s">
        <v>423</v>
      </c>
      <c r="J25" s="58">
        <v>5.0</v>
      </c>
      <c r="K25" s="56" t="s">
        <v>5320</v>
      </c>
      <c r="L25" s="59"/>
      <c r="M25" s="56" t="s">
        <v>7474</v>
      </c>
      <c r="N25" s="61" t="s">
        <v>394</v>
      </c>
      <c r="O25" s="58" t="s">
        <v>7475</v>
      </c>
    </row>
    <row r="26" ht="15.0" customHeight="1">
      <c r="A26" s="56" t="s">
        <v>69</v>
      </c>
      <c r="B26" s="56" t="s">
        <v>5848</v>
      </c>
      <c r="C26" s="57" t="s">
        <v>7476</v>
      </c>
      <c r="D26" s="58">
        <v>9.72588317E9</v>
      </c>
      <c r="E26" s="56" t="s">
        <v>368</v>
      </c>
      <c r="F26" s="56" t="s">
        <v>5100</v>
      </c>
      <c r="G26" s="56" t="s">
        <v>2286</v>
      </c>
      <c r="H26" s="56" t="s">
        <v>7392</v>
      </c>
      <c r="I26" s="56" t="s">
        <v>423</v>
      </c>
      <c r="J26" s="58">
        <v>3.0</v>
      </c>
      <c r="K26" s="56" t="s">
        <v>4114</v>
      </c>
      <c r="L26" s="59"/>
      <c r="M26" s="56" t="s">
        <v>7477</v>
      </c>
      <c r="N26" s="61" t="s">
        <v>373</v>
      </c>
      <c r="O26" s="58" t="s">
        <v>7478</v>
      </c>
    </row>
    <row r="27" ht="15.0" customHeight="1">
      <c r="A27" s="56" t="s">
        <v>70</v>
      </c>
      <c r="B27" s="56" t="s">
        <v>5851</v>
      </c>
      <c r="C27" s="57" t="s">
        <v>5852</v>
      </c>
      <c r="D27" s="56" t="s">
        <v>5853</v>
      </c>
      <c r="E27" s="56" t="s">
        <v>368</v>
      </c>
      <c r="F27" s="56" t="s">
        <v>7479</v>
      </c>
      <c r="G27" s="56" t="s">
        <v>390</v>
      </c>
      <c r="H27" s="56" t="s">
        <v>381</v>
      </c>
      <c r="I27" s="56" t="s">
        <v>423</v>
      </c>
      <c r="J27" s="58">
        <v>3.0</v>
      </c>
      <c r="K27" s="56" t="s">
        <v>3349</v>
      </c>
      <c r="L27" s="59"/>
      <c r="M27" s="56" t="s">
        <v>7480</v>
      </c>
      <c r="N27" s="61" t="s">
        <v>373</v>
      </c>
      <c r="O27" s="58" t="s">
        <v>7481</v>
      </c>
    </row>
    <row r="28" ht="15.0" customHeight="1">
      <c r="A28" s="56" t="s">
        <v>71</v>
      </c>
      <c r="B28" s="56" t="s">
        <v>2460</v>
      </c>
      <c r="C28" s="57" t="s">
        <v>2461</v>
      </c>
      <c r="D28" s="56" t="s">
        <v>2462</v>
      </c>
      <c r="E28" s="56" t="s">
        <v>368</v>
      </c>
      <c r="F28" s="56" t="s">
        <v>7482</v>
      </c>
      <c r="G28" s="56" t="s">
        <v>390</v>
      </c>
      <c r="H28" s="56" t="s">
        <v>7392</v>
      </c>
      <c r="I28" s="56" t="s">
        <v>423</v>
      </c>
      <c r="J28" s="58">
        <v>0.0</v>
      </c>
      <c r="K28" s="56" t="s">
        <v>2311</v>
      </c>
      <c r="L28" s="59"/>
      <c r="M28" s="56" t="s">
        <v>7483</v>
      </c>
      <c r="N28" s="61" t="s">
        <v>373</v>
      </c>
      <c r="O28" s="58" t="s">
        <v>7484</v>
      </c>
    </row>
    <row r="29" ht="15.0" customHeight="1">
      <c r="A29" s="56" t="s">
        <v>72</v>
      </c>
      <c r="B29" s="56" t="s">
        <v>549</v>
      </c>
      <c r="C29" s="57" t="s">
        <v>5859</v>
      </c>
      <c r="D29" s="56" t="s">
        <v>551</v>
      </c>
      <c r="E29" s="56" t="s">
        <v>368</v>
      </c>
      <c r="F29" s="56" t="s">
        <v>3935</v>
      </c>
      <c r="G29" s="56" t="s">
        <v>2286</v>
      </c>
      <c r="H29" s="56" t="s">
        <v>7392</v>
      </c>
      <c r="I29" s="56" t="s">
        <v>368</v>
      </c>
      <c r="J29" s="58">
        <v>1.0</v>
      </c>
      <c r="K29" s="56" t="s">
        <v>4680</v>
      </c>
      <c r="L29" s="59"/>
      <c r="M29" s="56" t="s">
        <v>7485</v>
      </c>
      <c r="N29" s="61" t="s">
        <v>373</v>
      </c>
      <c r="O29" s="58" t="s">
        <v>7486</v>
      </c>
    </row>
    <row r="30" ht="15.0" customHeight="1">
      <c r="A30" s="56" t="s">
        <v>73</v>
      </c>
      <c r="B30" s="56" t="s">
        <v>564</v>
      </c>
      <c r="C30" s="57" t="s">
        <v>565</v>
      </c>
      <c r="D30" s="58">
        <v>5.04390835E9</v>
      </c>
      <c r="E30" s="56" t="s">
        <v>368</v>
      </c>
      <c r="F30" s="56" t="s">
        <v>3077</v>
      </c>
      <c r="G30" s="56" t="s">
        <v>390</v>
      </c>
      <c r="H30" s="56" t="s">
        <v>7392</v>
      </c>
      <c r="I30" s="56" t="s">
        <v>368</v>
      </c>
      <c r="J30" s="58">
        <v>0.0</v>
      </c>
      <c r="K30" s="56" t="s">
        <v>5634</v>
      </c>
      <c r="L30" s="59"/>
      <c r="M30" s="56" t="s">
        <v>7487</v>
      </c>
      <c r="N30" s="61" t="s">
        <v>373</v>
      </c>
      <c r="O30" s="58" t="s">
        <v>7488</v>
      </c>
    </row>
    <row r="31" ht="15.0" customHeight="1">
      <c r="A31" s="56" t="s">
        <v>74</v>
      </c>
      <c r="B31" s="56" t="s">
        <v>5867</v>
      </c>
      <c r="C31" s="57" t="s">
        <v>7489</v>
      </c>
      <c r="D31" s="58">
        <v>9.723583191E9</v>
      </c>
      <c r="E31" s="56" t="s">
        <v>368</v>
      </c>
      <c r="F31" s="56" t="s">
        <v>7490</v>
      </c>
      <c r="G31" s="56" t="s">
        <v>2286</v>
      </c>
      <c r="H31" s="56" t="s">
        <v>7403</v>
      </c>
      <c r="I31" s="56" t="s">
        <v>368</v>
      </c>
      <c r="J31" s="58">
        <v>0.0</v>
      </c>
      <c r="K31" s="56" t="s">
        <v>4020</v>
      </c>
      <c r="L31" s="59"/>
      <c r="M31" s="56" t="s">
        <v>7491</v>
      </c>
      <c r="N31" s="61" t="s">
        <v>373</v>
      </c>
      <c r="O31" s="58" t="s">
        <v>7492</v>
      </c>
    </row>
    <row r="32" ht="15.0" customHeight="1">
      <c r="A32" s="56" t="s">
        <v>7493</v>
      </c>
      <c r="B32" s="56" t="s">
        <v>7494</v>
      </c>
      <c r="C32" s="57" t="s">
        <v>7495</v>
      </c>
      <c r="D32" s="58">
        <v>7.178733744E9</v>
      </c>
      <c r="E32" s="56" t="s">
        <v>368</v>
      </c>
      <c r="F32" s="56" t="s">
        <v>2282</v>
      </c>
      <c r="G32" s="56" t="s">
        <v>452</v>
      </c>
      <c r="H32" s="56" t="s">
        <v>7392</v>
      </c>
      <c r="I32" s="56" t="s">
        <v>368</v>
      </c>
      <c r="J32" s="58">
        <v>0.0</v>
      </c>
      <c r="K32" s="56" t="s">
        <v>4211</v>
      </c>
      <c r="L32" s="59"/>
      <c r="M32" s="56" t="s">
        <v>7496</v>
      </c>
      <c r="N32" s="61" t="s">
        <v>373</v>
      </c>
      <c r="O32" s="58" t="s">
        <v>7497</v>
      </c>
    </row>
    <row r="33" ht="15.0" customHeight="1">
      <c r="A33" s="56" t="s">
        <v>75</v>
      </c>
      <c r="B33" s="56" t="s">
        <v>598</v>
      </c>
      <c r="C33" s="57" t="s">
        <v>7498</v>
      </c>
      <c r="D33" s="56" t="s">
        <v>4616</v>
      </c>
      <c r="E33" s="56" t="s">
        <v>368</v>
      </c>
      <c r="F33" s="56" t="s">
        <v>2491</v>
      </c>
      <c r="G33" s="56" t="s">
        <v>390</v>
      </c>
      <c r="H33" s="56" t="s">
        <v>7392</v>
      </c>
      <c r="I33" s="56" t="s">
        <v>368</v>
      </c>
      <c r="J33" s="58">
        <v>0.0</v>
      </c>
      <c r="K33" s="56" t="s">
        <v>1810</v>
      </c>
      <c r="L33" s="59"/>
      <c r="M33" s="56" t="s">
        <v>7499</v>
      </c>
      <c r="N33" s="61" t="s">
        <v>373</v>
      </c>
      <c r="O33" s="58" t="s">
        <v>7500</v>
      </c>
    </row>
    <row r="34" ht="15.0" customHeight="1">
      <c r="A34" s="56" t="s">
        <v>76</v>
      </c>
      <c r="B34" s="56" t="s">
        <v>7501</v>
      </c>
      <c r="C34" s="57" t="s">
        <v>7502</v>
      </c>
      <c r="D34" s="58">
        <v>7.575825333E9</v>
      </c>
      <c r="E34" s="56" t="s">
        <v>368</v>
      </c>
      <c r="F34" s="56" t="s">
        <v>2286</v>
      </c>
      <c r="G34" s="56" t="s">
        <v>2286</v>
      </c>
      <c r="H34" s="56" t="s">
        <v>381</v>
      </c>
      <c r="I34" s="56" t="s">
        <v>423</v>
      </c>
      <c r="J34" s="58">
        <v>3.0</v>
      </c>
      <c r="K34" s="56" t="s">
        <v>1083</v>
      </c>
      <c r="L34" s="59"/>
      <c r="M34" s="56" t="s">
        <v>7503</v>
      </c>
      <c r="N34" s="61" t="s">
        <v>373</v>
      </c>
      <c r="O34" s="58" t="s">
        <v>7504</v>
      </c>
    </row>
    <row r="35" ht="15.0" customHeight="1">
      <c r="A35" s="56" t="s">
        <v>77</v>
      </c>
      <c r="B35" s="56" t="s">
        <v>5890</v>
      </c>
      <c r="C35" s="57" t="s">
        <v>5891</v>
      </c>
      <c r="D35" s="58">
        <v>1.7134471136E10</v>
      </c>
      <c r="E35" s="56" t="s">
        <v>368</v>
      </c>
      <c r="F35" s="56" t="s">
        <v>7505</v>
      </c>
      <c r="G35" s="56" t="s">
        <v>390</v>
      </c>
      <c r="H35" s="56" t="s">
        <v>7392</v>
      </c>
      <c r="I35" s="56" t="s">
        <v>368</v>
      </c>
      <c r="J35" s="58">
        <v>3.0</v>
      </c>
      <c r="K35" s="56" t="s">
        <v>2784</v>
      </c>
      <c r="L35" s="59"/>
      <c r="M35" s="56" t="s">
        <v>7506</v>
      </c>
      <c r="N35" s="61" t="s">
        <v>373</v>
      </c>
      <c r="O35" s="58" t="s">
        <v>7507</v>
      </c>
    </row>
    <row r="36" ht="15.0" customHeight="1">
      <c r="A36" s="56" t="s">
        <v>5909</v>
      </c>
      <c r="B36" s="56" t="s">
        <v>713</v>
      </c>
      <c r="C36" s="57" t="s">
        <v>714</v>
      </c>
      <c r="D36" s="56" t="s">
        <v>4705</v>
      </c>
      <c r="E36" s="56" t="s">
        <v>368</v>
      </c>
      <c r="F36" s="56" t="s">
        <v>3793</v>
      </c>
      <c r="G36" s="56" t="s">
        <v>452</v>
      </c>
      <c r="H36" s="56" t="s">
        <v>7392</v>
      </c>
      <c r="I36" s="56" t="s">
        <v>423</v>
      </c>
      <c r="J36" s="58">
        <v>5.0</v>
      </c>
      <c r="K36" s="59"/>
      <c r="L36" s="59"/>
      <c r="M36" s="56" t="s">
        <v>7499</v>
      </c>
      <c r="N36" s="61" t="s">
        <v>394</v>
      </c>
      <c r="O36" s="58" t="s">
        <v>7508</v>
      </c>
    </row>
    <row r="37" ht="15.0" customHeight="1">
      <c r="A37" s="56" t="s">
        <v>7509</v>
      </c>
      <c r="B37" s="56" t="s">
        <v>7510</v>
      </c>
      <c r="C37" s="57" t="s">
        <v>7511</v>
      </c>
      <c r="D37" s="56" t="s">
        <v>7512</v>
      </c>
      <c r="E37" s="56" t="s">
        <v>368</v>
      </c>
      <c r="F37" s="56" t="s">
        <v>2286</v>
      </c>
      <c r="G37" s="56" t="s">
        <v>2286</v>
      </c>
      <c r="H37" s="56" t="s">
        <v>7392</v>
      </c>
      <c r="I37" s="56" t="s">
        <v>368</v>
      </c>
      <c r="J37" s="58">
        <v>0.0</v>
      </c>
      <c r="K37" s="56" t="s">
        <v>3601</v>
      </c>
      <c r="L37" s="59"/>
      <c r="M37" s="56" t="s">
        <v>7513</v>
      </c>
      <c r="N37" s="61" t="s">
        <v>373</v>
      </c>
      <c r="O37" s="58" t="s">
        <v>7514</v>
      </c>
    </row>
    <row r="38" ht="15.0" customHeight="1">
      <c r="A38" s="56" t="s">
        <v>7515</v>
      </c>
      <c r="B38" s="56" t="s">
        <v>7516</v>
      </c>
      <c r="C38" s="57" t="s">
        <v>7517</v>
      </c>
      <c r="D38" s="56" t="s">
        <v>7518</v>
      </c>
      <c r="E38" s="56" t="s">
        <v>368</v>
      </c>
      <c r="F38" s="56" t="s">
        <v>3747</v>
      </c>
      <c r="G38" s="56" t="s">
        <v>410</v>
      </c>
      <c r="H38" s="56" t="s">
        <v>381</v>
      </c>
      <c r="I38" s="56" t="s">
        <v>368</v>
      </c>
      <c r="J38" s="58">
        <v>0.0</v>
      </c>
      <c r="K38" s="56" t="s">
        <v>601</v>
      </c>
      <c r="L38" s="59"/>
      <c r="M38" s="56" t="s">
        <v>7519</v>
      </c>
      <c r="N38" s="61" t="s">
        <v>373</v>
      </c>
      <c r="O38" s="58" t="s">
        <v>7520</v>
      </c>
    </row>
    <row r="39" ht="15.0" customHeight="1">
      <c r="A39" s="56" t="s">
        <v>7521</v>
      </c>
      <c r="B39" s="56" t="s">
        <v>7522</v>
      </c>
      <c r="C39" s="57" t="s">
        <v>7523</v>
      </c>
      <c r="D39" s="58">
        <v>7.1459923E9</v>
      </c>
      <c r="E39" s="56" t="s">
        <v>368</v>
      </c>
      <c r="F39" s="56" t="s">
        <v>7524</v>
      </c>
      <c r="G39" s="56" t="s">
        <v>2286</v>
      </c>
      <c r="H39" s="56" t="s">
        <v>7392</v>
      </c>
      <c r="I39" s="56" t="s">
        <v>368</v>
      </c>
      <c r="J39" s="58">
        <v>0.0</v>
      </c>
      <c r="K39" s="56" t="s">
        <v>1689</v>
      </c>
      <c r="L39" s="59"/>
      <c r="M39" s="56" t="s">
        <v>7525</v>
      </c>
      <c r="N39" s="61" t="s">
        <v>373</v>
      </c>
      <c r="O39" s="58" t="s">
        <v>7526</v>
      </c>
    </row>
    <row r="40" ht="15.0" customHeight="1">
      <c r="A40" s="56" t="s">
        <v>78</v>
      </c>
      <c r="B40" s="56" t="s">
        <v>2535</v>
      </c>
      <c r="C40" s="57" t="s">
        <v>2536</v>
      </c>
      <c r="D40" s="56" t="s">
        <v>5917</v>
      </c>
      <c r="E40" s="56" t="s">
        <v>368</v>
      </c>
      <c r="F40" s="56" t="s">
        <v>7527</v>
      </c>
      <c r="G40" s="56" t="s">
        <v>716</v>
      </c>
      <c r="H40" s="56" t="s">
        <v>483</v>
      </c>
      <c r="I40" s="56" t="s">
        <v>368</v>
      </c>
      <c r="J40" s="58">
        <v>0.0</v>
      </c>
      <c r="K40" s="56" t="s">
        <v>863</v>
      </c>
      <c r="L40" s="59"/>
      <c r="M40" s="56" t="s">
        <v>7528</v>
      </c>
      <c r="N40" s="61" t="s">
        <v>373</v>
      </c>
      <c r="O40" s="58" t="s">
        <v>7529</v>
      </c>
    </row>
    <row r="41" ht="15.0" customHeight="1">
      <c r="A41" s="56" t="s">
        <v>7530</v>
      </c>
      <c r="B41" s="56" t="s">
        <v>7531</v>
      </c>
      <c r="C41" s="57" t="s">
        <v>7532</v>
      </c>
      <c r="D41" s="56" t="s">
        <v>7533</v>
      </c>
      <c r="E41" s="56" t="s">
        <v>368</v>
      </c>
      <c r="F41" s="56" t="s">
        <v>2286</v>
      </c>
      <c r="G41" s="56" t="s">
        <v>2286</v>
      </c>
      <c r="H41" s="56" t="s">
        <v>7392</v>
      </c>
      <c r="I41" s="56" t="s">
        <v>368</v>
      </c>
      <c r="J41" s="58">
        <v>0.0</v>
      </c>
      <c r="K41" s="56" t="s">
        <v>4478</v>
      </c>
      <c r="L41" s="59"/>
      <c r="M41" s="56" t="s">
        <v>7534</v>
      </c>
      <c r="N41" s="61" t="s">
        <v>373</v>
      </c>
      <c r="O41" s="58" t="s">
        <v>7535</v>
      </c>
    </row>
    <row r="42" ht="15.0" customHeight="1">
      <c r="A42" s="56" t="s">
        <v>2539</v>
      </c>
      <c r="B42" s="56" t="s">
        <v>2540</v>
      </c>
      <c r="C42" s="57" t="s">
        <v>2541</v>
      </c>
      <c r="D42" s="58">
        <v>3.122160873E9</v>
      </c>
      <c r="E42" s="56" t="s">
        <v>368</v>
      </c>
      <c r="F42" s="56" t="s">
        <v>2287</v>
      </c>
      <c r="G42" s="56" t="s">
        <v>2286</v>
      </c>
      <c r="H42" s="56" t="s">
        <v>7403</v>
      </c>
      <c r="I42" s="56" t="s">
        <v>423</v>
      </c>
      <c r="J42" s="58">
        <v>2.0</v>
      </c>
      <c r="K42" s="56" t="s">
        <v>749</v>
      </c>
      <c r="L42" s="59"/>
      <c r="M42" s="56" t="s">
        <v>7536</v>
      </c>
      <c r="N42" s="61" t="s">
        <v>373</v>
      </c>
      <c r="O42" s="58" t="s">
        <v>7537</v>
      </c>
    </row>
    <row r="43" ht="15.0" customHeight="1">
      <c r="A43" s="56" t="s">
        <v>79</v>
      </c>
      <c r="B43" s="56" t="s">
        <v>991</v>
      </c>
      <c r="C43" s="57" t="s">
        <v>2544</v>
      </c>
      <c r="D43" s="58">
        <v>2.257062209E9</v>
      </c>
      <c r="E43" s="56" t="s">
        <v>368</v>
      </c>
      <c r="F43" s="56" t="s">
        <v>453</v>
      </c>
      <c r="G43" s="56" t="s">
        <v>390</v>
      </c>
      <c r="H43" s="56" t="s">
        <v>7392</v>
      </c>
      <c r="I43" s="56" t="s">
        <v>368</v>
      </c>
      <c r="J43" s="58">
        <v>0.0</v>
      </c>
      <c r="K43" s="56" t="s">
        <v>3873</v>
      </c>
      <c r="L43" s="59"/>
      <c r="M43" s="56" t="s">
        <v>7538</v>
      </c>
      <c r="N43" s="61" t="s">
        <v>373</v>
      </c>
      <c r="O43" s="58" t="s">
        <v>7539</v>
      </c>
    </row>
    <row r="44" ht="15.0" customHeight="1">
      <c r="A44" s="56" t="s">
        <v>80</v>
      </c>
      <c r="B44" s="56" t="s">
        <v>7540</v>
      </c>
      <c r="C44" s="57" t="s">
        <v>2548</v>
      </c>
      <c r="D44" s="56" t="s">
        <v>4630</v>
      </c>
      <c r="E44" s="56" t="s">
        <v>368</v>
      </c>
      <c r="F44" s="56" t="s">
        <v>4587</v>
      </c>
      <c r="G44" s="56" t="s">
        <v>2286</v>
      </c>
      <c r="H44" s="56" t="s">
        <v>7439</v>
      </c>
      <c r="I44" s="56" t="s">
        <v>423</v>
      </c>
      <c r="J44" s="58">
        <v>4.0</v>
      </c>
      <c r="K44" s="56" t="s">
        <v>7541</v>
      </c>
      <c r="L44" s="59"/>
      <c r="M44" s="56" t="s">
        <v>7542</v>
      </c>
      <c r="N44" s="61" t="s">
        <v>373</v>
      </c>
      <c r="O44" s="58" t="s">
        <v>7543</v>
      </c>
    </row>
    <row r="45" ht="15.0" customHeight="1">
      <c r="A45" s="56" t="s">
        <v>2551</v>
      </c>
      <c r="B45" s="56" t="s">
        <v>2552</v>
      </c>
      <c r="C45" s="57" t="s">
        <v>632</v>
      </c>
      <c r="D45" s="58">
        <v>1.2155826329E10</v>
      </c>
      <c r="E45" s="56" t="s">
        <v>368</v>
      </c>
      <c r="F45" s="56" t="s">
        <v>7544</v>
      </c>
      <c r="G45" s="56" t="s">
        <v>421</v>
      </c>
      <c r="H45" s="56" t="s">
        <v>7392</v>
      </c>
      <c r="I45" s="56" t="s">
        <v>368</v>
      </c>
      <c r="J45" s="58">
        <v>0.0</v>
      </c>
      <c r="K45" s="56" t="s">
        <v>1594</v>
      </c>
      <c r="L45" s="59"/>
      <c r="M45" s="56" t="s">
        <v>7545</v>
      </c>
      <c r="N45" s="61" t="s">
        <v>373</v>
      </c>
      <c r="O45" s="58" t="s">
        <v>7546</v>
      </c>
    </row>
    <row r="46" ht="15.0" customHeight="1">
      <c r="A46" s="56" t="s">
        <v>7547</v>
      </c>
      <c r="B46" s="56" t="s">
        <v>7548</v>
      </c>
      <c r="C46" s="57" t="s">
        <v>5923</v>
      </c>
      <c r="D46" s="56" t="s">
        <v>7549</v>
      </c>
      <c r="E46" s="56" t="s">
        <v>423</v>
      </c>
      <c r="F46" s="56" t="s">
        <v>2286</v>
      </c>
      <c r="G46" s="56" t="s">
        <v>2286</v>
      </c>
      <c r="H46" s="56" t="s">
        <v>381</v>
      </c>
      <c r="I46" s="56" t="s">
        <v>368</v>
      </c>
      <c r="J46" s="58">
        <v>0.0</v>
      </c>
      <c r="K46" s="56" t="s">
        <v>1164</v>
      </c>
      <c r="L46" s="59"/>
      <c r="M46" s="56" t="s">
        <v>7550</v>
      </c>
      <c r="N46" s="61" t="s">
        <v>373</v>
      </c>
      <c r="O46" s="58" t="s">
        <v>7551</v>
      </c>
    </row>
    <row r="47" ht="15.0" customHeight="1">
      <c r="A47" s="56" t="s">
        <v>81</v>
      </c>
      <c r="B47" s="56" t="s">
        <v>4636</v>
      </c>
      <c r="C47" s="57" t="s">
        <v>4637</v>
      </c>
      <c r="D47" s="58">
        <v>9.134582976E9</v>
      </c>
      <c r="E47" s="56" t="s">
        <v>368</v>
      </c>
      <c r="F47" s="56" t="s">
        <v>7552</v>
      </c>
      <c r="G47" s="56" t="s">
        <v>452</v>
      </c>
      <c r="H47" s="56" t="s">
        <v>7392</v>
      </c>
      <c r="I47" s="56" t="s">
        <v>368</v>
      </c>
      <c r="J47" s="58">
        <v>0.0</v>
      </c>
      <c r="K47" s="56" t="s">
        <v>3422</v>
      </c>
      <c r="L47" s="59"/>
      <c r="M47" s="56" t="s">
        <v>7553</v>
      </c>
      <c r="N47" s="61" t="s">
        <v>373</v>
      </c>
      <c r="O47" s="58" t="s">
        <v>7554</v>
      </c>
    </row>
    <row r="48" ht="15.0" customHeight="1">
      <c r="A48" s="56" t="s">
        <v>4641</v>
      </c>
      <c r="B48" s="56" t="s">
        <v>4642</v>
      </c>
      <c r="C48" s="57" t="s">
        <v>4643</v>
      </c>
      <c r="D48" s="58">
        <v>9.364417833E9</v>
      </c>
      <c r="E48" s="56" t="s">
        <v>368</v>
      </c>
      <c r="F48" s="56" t="s">
        <v>2286</v>
      </c>
      <c r="G48" s="56" t="s">
        <v>2286</v>
      </c>
      <c r="H48" s="56" t="s">
        <v>483</v>
      </c>
      <c r="I48" s="56" t="s">
        <v>368</v>
      </c>
      <c r="J48" s="58">
        <v>0.0</v>
      </c>
      <c r="K48" s="56" t="s">
        <v>5746</v>
      </c>
      <c r="L48" s="59"/>
      <c r="M48" s="56" t="s">
        <v>7555</v>
      </c>
      <c r="N48" s="61" t="s">
        <v>373</v>
      </c>
      <c r="O48" s="58" t="s">
        <v>7556</v>
      </c>
    </row>
    <row r="49" ht="15.0" customHeight="1">
      <c r="A49" s="56" t="s">
        <v>82</v>
      </c>
      <c r="B49" s="56" t="s">
        <v>5932</v>
      </c>
      <c r="C49" s="57" t="s">
        <v>7557</v>
      </c>
      <c r="D49" s="58">
        <v>8.173523685E9</v>
      </c>
      <c r="E49" s="56" t="s">
        <v>368</v>
      </c>
      <c r="F49" s="56" t="s">
        <v>7558</v>
      </c>
      <c r="G49" s="56" t="s">
        <v>2286</v>
      </c>
      <c r="H49" s="56" t="s">
        <v>381</v>
      </c>
      <c r="I49" s="56" t="s">
        <v>423</v>
      </c>
      <c r="J49" s="58">
        <v>3.0</v>
      </c>
      <c r="K49" s="56" t="s">
        <v>3965</v>
      </c>
      <c r="L49" s="59"/>
      <c r="M49" s="56" t="s">
        <v>7559</v>
      </c>
      <c r="N49" s="61" t="s">
        <v>373</v>
      </c>
      <c r="O49" s="58" t="s">
        <v>7560</v>
      </c>
    </row>
    <row r="50" ht="15.0" customHeight="1">
      <c r="A50" s="56" t="s">
        <v>7561</v>
      </c>
      <c r="B50" s="56" t="s">
        <v>7562</v>
      </c>
      <c r="C50" s="57" t="s">
        <v>7563</v>
      </c>
      <c r="D50" s="58">
        <v>3.398329562E9</v>
      </c>
      <c r="E50" s="56" t="s">
        <v>368</v>
      </c>
      <c r="F50" s="56" t="s">
        <v>2287</v>
      </c>
      <c r="G50" s="56" t="s">
        <v>2286</v>
      </c>
      <c r="H50" s="56" t="s">
        <v>7392</v>
      </c>
      <c r="I50" s="56" t="s">
        <v>368</v>
      </c>
      <c r="J50" s="58">
        <v>0.0</v>
      </c>
      <c r="K50" s="56" t="s">
        <v>995</v>
      </c>
      <c r="L50" s="59"/>
      <c r="M50" s="56" t="s">
        <v>7564</v>
      </c>
      <c r="N50" s="61" t="s">
        <v>373</v>
      </c>
      <c r="O50" s="58" t="s">
        <v>7565</v>
      </c>
    </row>
    <row r="51" ht="15.0" customHeight="1">
      <c r="A51" s="56" t="s">
        <v>7566</v>
      </c>
      <c r="B51" s="56" t="s">
        <v>7567</v>
      </c>
      <c r="C51" s="57" t="s">
        <v>7568</v>
      </c>
      <c r="D51" s="56" t="s">
        <v>7569</v>
      </c>
      <c r="E51" s="56" t="s">
        <v>368</v>
      </c>
      <c r="F51" s="56" t="s">
        <v>2783</v>
      </c>
      <c r="G51" s="56" t="s">
        <v>421</v>
      </c>
      <c r="H51" s="56" t="s">
        <v>483</v>
      </c>
      <c r="I51" s="56" t="s">
        <v>423</v>
      </c>
      <c r="J51" s="58">
        <v>3.0</v>
      </c>
      <c r="K51" s="56" t="s">
        <v>3202</v>
      </c>
      <c r="L51" s="59"/>
      <c r="M51" s="56" t="s">
        <v>7570</v>
      </c>
      <c r="N51" s="61" t="s">
        <v>373</v>
      </c>
      <c r="O51" s="58" t="s">
        <v>7571</v>
      </c>
    </row>
    <row r="52" ht="15.0" customHeight="1">
      <c r="A52" s="56" t="s">
        <v>84</v>
      </c>
      <c r="B52" s="56" t="s">
        <v>7572</v>
      </c>
      <c r="C52" s="57" t="s">
        <v>7573</v>
      </c>
      <c r="D52" s="56" t="s">
        <v>7574</v>
      </c>
      <c r="E52" s="56" t="s">
        <v>368</v>
      </c>
      <c r="F52" s="56" t="s">
        <v>2286</v>
      </c>
      <c r="G52" s="56" t="s">
        <v>2286</v>
      </c>
      <c r="H52" s="56" t="s">
        <v>7392</v>
      </c>
      <c r="I52" s="56" t="s">
        <v>423</v>
      </c>
      <c r="J52" s="58">
        <v>3.0</v>
      </c>
      <c r="K52" s="56" t="s">
        <v>1056</v>
      </c>
      <c r="L52" s="59"/>
      <c r="M52" s="56" t="s">
        <v>7575</v>
      </c>
      <c r="N52" s="61" t="s">
        <v>373</v>
      </c>
      <c r="O52" s="58" t="s">
        <v>7576</v>
      </c>
    </row>
    <row r="53" ht="15.0" customHeight="1">
      <c r="A53" s="56" t="s">
        <v>7577</v>
      </c>
      <c r="B53" s="56" t="s">
        <v>7578</v>
      </c>
      <c r="C53" s="57" t="s">
        <v>7579</v>
      </c>
      <c r="D53" s="68" t="s">
        <v>4156</v>
      </c>
      <c r="E53" s="56" t="s">
        <v>368</v>
      </c>
      <c r="F53" s="56" t="s">
        <v>7580</v>
      </c>
      <c r="G53" s="56" t="s">
        <v>443</v>
      </c>
      <c r="H53" s="56" t="s">
        <v>7392</v>
      </c>
      <c r="I53" s="56" t="s">
        <v>368</v>
      </c>
      <c r="J53" s="58">
        <v>0.0</v>
      </c>
      <c r="K53" s="56" t="s">
        <v>2113</v>
      </c>
      <c r="L53" s="59"/>
      <c r="M53" s="56" t="s">
        <v>7581</v>
      </c>
      <c r="N53" s="61" t="s">
        <v>373</v>
      </c>
      <c r="O53" s="58" t="s">
        <v>7582</v>
      </c>
    </row>
    <row r="54" ht="15.0" customHeight="1">
      <c r="A54" s="56" t="s">
        <v>85</v>
      </c>
      <c r="B54" s="56" t="s">
        <v>7583</v>
      </c>
      <c r="C54" s="57" t="s">
        <v>7584</v>
      </c>
      <c r="D54" s="56" t="s">
        <v>7585</v>
      </c>
      <c r="E54" s="56" t="s">
        <v>368</v>
      </c>
      <c r="F54" s="56" t="s">
        <v>2504</v>
      </c>
      <c r="G54" s="56" t="s">
        <v>2286</v>
      </c>
      <c r="H54" s="56" t="s">
        <v>7392</v>
      </c>
      <c r="I54" s="56" t="s">
        <v>423</v>
      </c>
      <c r="J54" s="58">
        <v>0.0</v>
      </c>
      <c r="K54" s="56" t="s">
        <v>432</v>
      </c>
      <c r="L54" s="59"/>
      <c r="M54" s="56" t="s">
        <v>7586</v>
      </c>
      <c r="N54" s="61" t="s">
        <v>373</v>
      </c>
      <c r="O54" s="58" t="s">
        <v>7587</v>
      </c>
    </row>
    <row r="55" ht="15.0" customHeight="1">
      <c r="A55" s="56" t="s">
        <v>5949</v>
      </c>
      <c r="B55" s="56" t="s">
        <v>5950</v>
      </c>
      <c r="C55" s="57" t="s">
        <v>5951</v>
      </c>
      <c r="D55" s="58">
        <v>7.246126104E9</v>
      </c>
      <c r="E55" s="56" t="s">
        <v>368</v>
      </c>
      <c r="F55" s="56" t="s">
        <v>1080</v>
      </c>
      <c r="G55" s="56" t="s">
        <v>410</v>
      </c>
      <c r="H55" s="56" t="s">
        <v>7392</v>
      </c>
      <c r="I55" s="56" t="s">
        <v>368</v>
      </c>
      <c r="J55" s="58">
        <v>0.0</v>
      </c>
      <c r="K55" s="56" t="s">
        <v>1219</v>
      </c>
      <c r="L55" s="59"/>
      <c r="M55" s="56" t="s">
        <v>7588</v>
      </c>
      <c r="N55" s="61" t="s">
        <v>373</v>
      </c>
      <c r="O55" s="58" t="s">
        <v>7589</v>
      </c>
    </row>
    <row r="56" ht="15.0" customHeight="1">
      <c r="A56" s="56" t="s">
        <v>86</v>
      </c>
      <c r="B56" s="56" t="s">
        <v>5953</v>
      </c>
      <c r="C56" s="57" t="s">
        <v>5954</v>
      </c>
      <c r="D56" s="58">
        <v>2.818945454E9</v>
      </c>
      <c r="E56" s="56" t="s">
        <v>368</v>
      </c>
      <c r="F56" s="56" t="s">
        <v>7590</v>
      </c>
      <c r="G56" s="56" t="s">
        <v>390</v>
      </c>
      <c r="H56" s="56" t="s">
        <v>483</v>
      </c>
      <c r="I56" s="56" t="s">
        <v>423</v>
      </c>
      <c r="J56" s="58">
        <v>3.0</v>
      </c>
      <c r="K56" s="56" t="s">
        <v>843</v>
      </c>
      <c r="L56" s="59"/>
      <c r="M56" s="56" t="s">
        <v>7591</v>
      </c>
      <c r="N56" s="61" t="s">
        <v>373</v>
      </c>
      <c r="O56" s="58" t="s">
        <v>7592</v>
      </c>
    </row>
    <row r="57" ht="15.0" customHeight="1">
      <c r="A57" s="56" t="s">
        <v>4670</v>
      </c>
      <c r="B57" s="56" t="s">
        <v>4671</v>
      </c>
      <c r="C57" s="57" t="s">
        <v>4672</v>
      </c>
      <c r="D57" s="56" t="s">
        <v>7593</v>
      </c>
      <c r="E57" s="56" t="s">
        <v>368</v>
      </c>
      <c r="F57" s="56" t="s">
        <v>452</v>
      </c>
      <c r="G57" s="56" t="s">
        <v>452</v>
      </c>
      <c r="H57" s="56" t="s">
        <v>7392</v>
      </c>
      <c r="I57" s="56" t="s">
        <v>368</v>
      </c>
      <c r="J57" s="58">
        <v>0.0</v>
      </c>
      <c r="K57" s="56" t="s">
        <v>1766</v>
      </c>
      <c r="L57" s="59"/>
      <c r="M57" s="56" t="s">
        <v>7594</v>
      </c>
      <c r="N57" s="61" t="s">
        <v>373</v>
      </c>
      <c r="O57" s="58" t="s">
        <v>7595</v>
      </c>
    </row>
    <row r="58" ht="15.0" customHeight="1">
      <c r="A58" s="56" t="s">
        <v>87</v>
      </c>
      <c r="B58" s="56" t="s">
        <v>7596</v>
      </c>
      <c r="C58" s="57" t="s">
        <v>7597</v>
      </c>
      <c r="D58" s="56" t="s">
        <v>7598</v>
      </c>
      <c r="E58" s="56" t="s">
        <v>368</v>
      </c>
      <c r="F58" s="56" t="s">
        <v>5650</v>
      </c>
      <c r="G58" s="56" t="s">
        <v>452</v>
      </c>
      <c r="H58" s="56" t="s">
        <v>7392</v>
      </c>
      <c r="I58" s="56" t="s">
        <v>368</v>
      </c>
      <c r="J58" s="58">
        <v>0.0</v>
      </c>
      <c r="K58" s="56" t="s">
        <v>2317</v>
      </c>
      <c r="L58" s="59"/>
      <c r="M58" s="56" t="s">
        <v>7599</v>
      </c>
      <c r="N58" s="61" t="s">
        <v>373</v>
      </c>
      <c r="O58" s="58" t="s">
        <v>7600</v>
      </c>
    </row>
    <row r="59" ht="15.0" customHeight="1">
      <c r="A59" s="56" t="s">
        <v>88</v>
      </c>
      <c r="B59" s="56" t="s">
        <v>693</v>
      </c>
      <c r="C59" s="57" t="s">
        <v>694</v>
      </c>
      <c r="D59" s="56" t="s">
        <v>4692</v>
      </c>
      <c r="E59" s="56" t="s">
        <v>368</v>
      </c>
      <c r="F59" s="56" t="s">
        <v>7601</v>
      </c>
      <c r="G59" s="56" t="s">
        <v>410</v>
      </c>
      <c r="H59" s="56" t="s">
        <v>7392</v>
      </c>
      <c r="I59" s="56" t="s">
        <v>368</v>
      </c>
      <c r="J59" s="58">
        <v>0.0</v>
      </c>
      <c r="K59" s="56" t="s">
        <v>554</v>
      </c>
      <c r="L59" s="59"/>
      <c r="M59" s="56" t="s">
        <v>7602</v>
      </c>
      <c r="N59" s="61" t="s">
        <v>373</v>
      </c>
      <c r="O59" s="58" t="s">
        <v>7603</v>
      </c>
    </row>
    <row r="60" ht="15.0" customHeight="1">
      <c r="A60" s="56" t="s">
        <v>2610</v>
      </c>
      <c r="B60" s="56" t="s">
        <v>2611</v>
      </c>
      <c r="C60" s="57" t="s">
        <v>2612</v>
      </c>
      <c r="D60" s="56" t="s">
        <v>4698</v>
      </c>
      <c r="E60" s="56" t="s">
        <v>368</v>
      </c>
      <c r="F60" s="56" t="s">
        <v>2286</v>
      </c>
      <c r="G60" s="56" t="s">
        <v>2286</v>
      </c>
      <c r="H60" s="56" t="s">
        <v>7392</v>
      </c>
      <c r="I60" s="56" t="s">
        <v>368</v>
      </c>
      <c r="J60" s="58">
        <v>0.0</v>
      </c>
      <c r="K60" s="56" t="s">
        <v>1426</v>
      </c>
      <c r="L60" s="59"/>
      <c r="M60" s="56" t="s">
        <v>7604</v>
      </c>
      <c r="N60" s="61" t="s">
        <v>373</v>
      </c>
      <c r="O60" s="58" t="s">
        <v>7605</v>
      </c>
    </row>
    <row r="61" ht="15.0" customHeight="1">
      <c r="A61" s="56" t="s">
        <v>2617</v>
      </c>
      <c r="B61" s="56" t="s">
        <v>7606</v>
      </c>
      <c r="C61" s="57" t="s">
        <v>7607</v>
      </c>
      <c r="D61" s="58">
        <v>8.327140382E9</v>
      </c>
      <c r="E61" s="56" t="s">
        <v>368</v>
      </c>
      <c r="F61" s="56" t="s">
        <v>7408</v>
      </c>
      <c r="G61" s="56" t="s">
        <v>390</v>
      </c>
      <c r="H61" s="56" t="s">
        <v>7392</v>
      </c>
      <c r="I61" s="56" t="s">
        <v>423</v>
      </c>
      <c r="J61" s="58">
        <v>0.0</v>
      </c>
      <c r="K61" s="56" t="s">
        <v>2168</v>
      </c>
      <c r="L61" s="59"/>
      <c r="M61" s="56" t="s">
        <v>7608</v>
      </c>
      <c r="N61" s="61" t="s">
        <v>373</v>
      </c>
      <c r="O61" s="58" t="s">
        <v>7609</v>
      </c>
    </row>
    <row r="62" ht="15.0" customHeight="1">
      <c r="A62" s="56" t="s">
        <v>89</v>
      </c>
      <c r="B62" s="56" t="s">
        <v>2629</v>
      </c>
      <c r="C62" s="57" t="s">
        <v>2630</v>
      </c>
      <c r="D62" s="58">
        <v>1.8162266151E10</v>
      </c>
      <c r="E62" s="56" t="s">
        <v>368</v>
      </c>
      <c r="F62" s="56" t="s">
        <v>4701</v>
      </c>
      <c r="G62" s="56" t="s">
        <v>452</v>
      </c>
      <c r="H62" s="56" t="s">
        <v>7403</v>
      </c>
      <c r="I62" s="56" t="s">
        <v>423</v>
      </c>
      <c r="J62" s="58">
        <v>5.0</v>
      </c>
      <c r="K62" s="56" t="s">
        <v>6707</v>
      </c>
      <c r="L62" s="59"/>
      <c r="M62" s="56" t="s">
        <v>7610</v>
      </c>
      <c r="N62" s="61" t="s">
        <v>373</v>
      </c>
      <c r="O62" s="58" t="s">
        <v>7611</v>
      </c>
    </row>
    <row r="63" ht="15.0" customHeight="1">
      <c r="A63" s="56" t="s">
        <v>7612</v>
      </c>
      <c r="B63" s="56" t="s">
        <v>7613</v>
      </c>
      <c r="C63" s="57" t="s">
        <v>7614</v>
      </c>
      <c r="D63" s="58">
        <v>7.133021996E9</v>
      </c>
      <c r="E63" s="56" t="s">
        <v>368</v>
      </c>
      <c r="F63" s="56" t="s">
        <v>7615</v>
      </c>
      <c r="G63" s="56" t="s">
        <v>452</v>
      </c>
      <c r="H63" s="56" t="s">
        <v>7392</v>
      </c>
      <c r="I63" s="56" t="s">
        <v>368</v>
      </c>
      <c r="J63" s="58">
        <v>0.0</v>
      </c>
      <c r="K63" s="59"/>
      <c r="L63" s="59"/>
      <c r="M63" s="56" t="s">
        <v>7499</v>
      </c>
      <c r="N63" s="61" t="s">
        <v>394</v>
      </c>
      <c r="O63" s="58" t="s">
        <v>7616</v>
      </c>
    </row>
    <row r="64" ht="15.0" customHeight="1">
      <c r="A64" s="56" t="s">
        <v>90</v>
      </c>
      <c r="B64" s="56" t="s">
        <v>720</v>
      </c>
      <c r="C64" s="57" t="s">
        <v>4708</v>
      </c>
      <c r="D64" s="58">
        <v>4.088020034E9</v>
      </c>
      <c r="E64" s="56" t="s">
        <v>368</v>
      </c>
      <c r="F64" s="56" t="s">
        <v>7617</v>
      </c>
      <c r="G64" s="56" t="s">
        <v>452</v>
      </c>
      <c r="H64" s="56" t="s">
        <v>7403</v>
      </c>
      <c r="I64" s="56" t="s">
        <v>423</v>
      </c>
      <c r="J64" s="58">
        <v>0.0</v>
      </c>
      <c r="K64" s="56" t="s">
        <v>437</v>
      </c>
      <c r="L64" s="59"/>
      <c r="M64" s="56" t="s">
        <v>7618</v>
      </c>
      <c r="N64" s="61" t="s">
        <v>373</v>
      </c>
      <c r="O64" s="58" t="s">
        <v>7619</v>
      </c>
    </row>
    <row r="65" ht="15.0" customHeight="1">
      <c r="A65" s="56" t="s">
        <v>5981</v>
      </c>
      <c r="B65" s="56" t="s">
        <v>5982</v>
      </c>
      <c r="C65" s="57" t="s">
        <v>5983</v>
      </c>
      <c r="D65" s="56" t="s">
        <v>5984</v>
      </c>
      <c r="E65" s="56" t="s">
        <v>368</v>
      </c>
      <c r="F65" s="56" t="s">
        <v>2851</v>
      </c>
      <c r="G65" s="56" t="s">
        <v>362</v>
      </c>
      <c r="H65" s="56" t="s">
        <v>7403</v>
      </c>
      <c r="I65" s="56" t="s">
        <v>368</v>
      </c>
      <c r="J65" s="58">
        <v>0.0</v>
      </c>
      <c r="K65" s="56" t="s">
        <v>3777</v>
      </c>
      <c r="L65" s="59"/>
      <c r="M65" s="56" t="s">
        <v>7620</v>
      </c>
      <c r="N65" s="61" t="s">
        <v>373</v>
      </c>
      <c r="O65" s="58" t="s">
        <v>7621</v>
      </c>
    </row>
    <row r="66" ht="15.0" customHeight="1">
      <c r="A66" s="56" t="s">
        <v>91</v>
      </c>
      <c r="B66" s="56" t="s">
        <v>7622</v>
      </c>
      <c r="C66" s="57" t="s">
        <v>2658</v>
      </c>
      <c r="D66" s="56" t="s">
        <v>7623</v>
      </c>
      <c r="E66" s="56" t="s">
        <v>368</v>
      </c>
      <c r="F66" s="56" t="s">
        <v>7624</v>
      </c>
      <c r="G66" s="56" t="s">
        <v>390</v>
      </c>
      <c r="H66" s="56" t="s">
        <v>7392</v>
      </c>
      <c r="I66" s="56" t="s">
        <v>368</v>
      </c>
      <c r="J66" s="58">
        <v>0.0</v>
      </c>
      <c r="K66" s="56" t="s">
        <v>7625</v>
      </c>
      <c r="L66" s="59"/>
      <c r="M66" s="56" t="s">
        <v>7626</v>
      </c>
      <c r="N66" s="61" t="s">
        <v>373</v>
      </c>
      <c r="O66" s="58" t="s">
        <v>7627</v>
      </c>
    </row>
    <row r="67" ht="15.0" customHeight="1">
      <c r="A67" s="56" t="s">
        <v>92</v>
      </c>
      <c r="B67" s="56" t="s">
        <v>5989</v>
      </c>
      <c r="C67" s="57" t="s">
        <v>5990</v>
      </c>
      <c r="D67" s="58">
        <v>2.813865519E9</v>
      </c>
      <c r="E67" s="56" t="s">
        <v>368</v>
      </c>
      <c r="F67" s="56" t="s">
        <v>2975</v>
      </c>
      <c r="G67" s="56" t="s">
        <v>362</v>
      </c>
      <c r="H67" s="56" t="s">
        <v>7392</v>
      </c>
      <c r="I67" s="56" t="s">
        <v>368</v>
      </c>
      <c r="J67" s="58">
        <v>0.0</v>
      </c>
      <c r="K67" s="56" t="s">
        <v>914</v>
      </c>
      <c r="L67" s="59"/>
      <c r="M67" s="56" t="s">
        <v>7628</v>
      </c>
      <c r="N67" s="61" t="s">
        <v>373</v>
      </c>
      <c r="O67" s="58" t="s">
        <v>7629</v>
      </c>
    </row>
    <row r="68" ht="15.0" customHeight="1">
      <c r="A68" s="56" t="s">
        <v>7630</v>
      </c>
      <c r="B68" s="56" t="s">
        <v>7631</v>
      </c>
      <c r="C68" s="57" t="s">
        <v>7632</v>
      </c>
      <c r="D68" s="58">
        <v>3.142234678E9</v>
      </c>
      <c r="E68" s="56" t="s">
        <v>368</v>
      </c>
      <c r="F68" s="56" t="s">
        <v>7408</v>
      </c>
      <c r="G68" s="56" t="s">
        <v>3730</v>
      </c>
      <c r="H68" s="56" t="s">
        <v>7392</v>
      </c>
      <c r="I68" s="56" t="s">
        <v>368</v>
      </c>
      <c r="J68" s="58">
        <v>0.0</v>
      </c>
      <c r="K68" s="59"/>
      <c r="L68" s="59"/>
      <c r="M68" s="56" t="s">
        <v>7499</v>
      </c>
      <c r="N68" s="61" t="s">
        <v>394</v>
      </c>
      <c r="O68" s="58" t="s">
        <v>7633</v>
      </c>
    </row>
    <row r="69" ht="15.0" customHeight="1">
      <c r="A69" s="56" t="s">
        <v>93</v>
      </c>
      <c r="B69" s="56" t="s">
        <v>751</v>
      </c>
      <c r="C69" s="57" t="s">
        <v>7634</v>
      </c>
      <c r="D69" s="58">
        <v>2.817038822E9</v>
      </c>
      <c r="E69" s="56" t="s">
        <v>368</v>
      </c>
      <c r="F69" s="56" t="s">
        <v>7635</v>
      </c>
      <c r="G69" s="56" t="s">
        <v>362</v>
      </c>
      <c r="H69" s="56" t="s">
        <v>381</v>
      </c>
      <c r="I69" s="56" t="s">
        <v>368</v>
      </c>
      <c r="J69" s="58">
        <v>0.0</v>
      </c>
      <c r="K69" s="56" t="s">
        <v>506</v>
      </c>
      <c r="L69" s="59"/>
      <c r="M69" s="56" t="s">
        <v>7636</v>
      </c>
      <c r="N69" s="61" t="s">
        <v>373</v>
      </c>
      <c r="O69" s="58" t="s">
        <v>7637</v>
      </c>
    </row>
    <row r="70" ht="15.0" customHeight="1">
      <c r="A70" s="56" t="s">
        <v>94</v>
      </c>
      <c r="B70" s="56" t="s">
        <v>764</v>
      </c>
      <c r="C70" s="57" t="s">
        <v>765</v>
      </c>
      <c r="D70" s="56" t="s">
        <v>766</v>
      </c>
      <c r="E70" s="56" t="s">
        <v>423</v>
      </c>
      <c r="F70" s="56" t="s">
        <v>7638</v>
      </c>
      <c r="G70" s="56" t="s">
        <v>390</v>
      </c>
      <c r="H70" s="56" t="s">
        <v>7439</v>
      </c>
      <c r="I70" s="56" t="s">
        <v>368</v>
      </c>
      <c r="J70" s="58">
        <v>3.0</v>
      </c>
      <c r="K70" s="56" t="s">
        <v>5187</v>
      </c>
      <c r="L70" s="59"/>
      <c r="M70" s="56" t="s">
        <v>7639</v>
      </c>
      <c r="N70" s="61" t="s">
        <v>373</v>
      </c>
      <c r="O70" s="58" t="s">
        <v>7640</v>
      </c>
    </row>
    <row r="71" ht="15.0" customHeight="1">
      <c r="A71" s="56" t="s">
        <v>4725</v>
      </c>
      <c r="B71" s="56" t="s">
        <v>777</v>
      </c>
      <c r="C71" s="57" t="s">
        <v>778</v>
      </c>
      <c r="D71" s="56" t="s">
        <v>7641</v>
      </c>
      <c r="E71" s="56" t="s">
        <v>368</v>
      </c>
      <c r="F71" s="56" t="s">
        <v>7642</v>
      </c>
      <c r="G71" s="56" t="s">
        <v>452</v>
      </c>
      <c r="H71" s="56" t="s">
        <v>7643</v>
      </c>
      <c r="I71" s="56" t="s">
        <v>368</v>
      </c>
      <c r="J71" s="58">
        <v>0.0</v>
      </c>
      <c r="K71" s="56" t="s">
        <v>7644</v>
      </c>
      <c r="L71" s="59"/>
      <c r="M71" s="56" t="s">
        <v>7645</v>
      </c>
      <c r="N71" s="61" t="s">
        <v>373</v>
      </c>
      <c r="O71" s="58" t="s">
        <v>7646</v>
      </c>
    </row>
    <row r="72" ht="15.0" customHeight="1">
      <c r="A72" s="56" t="s">
        <v>95</v>
      </c>
      <c r="B72" s="56" t="s">
        <v>782</v>
      </c>
      <c r="C72" s="57" t="s">
        <v>7647</v>
      </c>
      <c r="D72" s="56" t="s">
        <v>6004</v>
      </c>
      <c r="E72" s="56" t="s">
        <v>368</v>
      </c>
      <c r="F72" s="56" t="s">
        <v>2504</v>
      </c>
      <c r="G72" s="56" t="s">
        <v>2286</v>
      </c>
      <c r="H72" s="56" t="s">
        <v>7392</v>
      </c>
      <c r="I72" s="56" t="s">
        <v>368</v>
      </c>
      <c r="J72" s="58">
        <v>2.0</v>
      </c>
      <c r="K72" s="56" t="s">
        <v>2134</v>
      </c>
      <c r="L72" s="59"/>
      <c r="M72" s="56" t="s">
        <v>7648</v>
      </c>
      <c r="N72" s="61" t="s">
        <v>373</v>
      </c>
      <c r="O72" s="58" t="s">
        <v>7640</v>
      </c>
    </row>
    <row r="73" ht="15.0" customHeight="1">
      <c r="A73" s="56" t="s">
        <v>787</v>
      </c>
      <c r="B73" s="56" t="s">
        <v>788</v>
      </c>
      <c r="C73" s="57" t="s">
        <v>789</v>
      </c>
      <c r="D73" s="58">
        <v>9.7243742E9</v>
      </c>
      <c r="E73" s="56" t="s">
        <v>368</v>
      </c>
      <c r="F73" s="56" t="s">
        <v>7649</v>
      </c>
      <c r="G73" s="56" t="s">
        <v>675</v>
      </c>
      <c r="H73" s="56" t="s">
        <v>7392</v>
      </c>
      <c r="I73" s="56" t="s">
        <v>368</v>
      </c>
      <c r="J73" s="58">
        <v>0.0</v>
      </c>
      <c r="K73" s="56" t="s">
        <v>2533</v>
      </c>
      <c r="L73" s="59"/>
      <c r="M73" s="56" t="s">
        <v>7650</v>
      </c>
      <c r="N73" s="61" t="s">
        <v>373</v>
      </c>
      <c r="O73" s="58" t="s">
        <v>7651</v>
      </c>
    </row>
    <row r="74" ht="15.0" customHeight="1">
      <c r="A74" s="56" t="s">
        <v>7652</v>
      </c>
      <c r="B74" s="56" t="s">
        <v>7653</v>
      </c>
      <c r="C74" s="57" t="s">
        <v>7654</v>
      </c>
      <c r="D74" s="56" t="s">
        <v>7655</v>
      </c>
      <c r="E74" s="56" t="s">
        <v>368</v>
      </c>
      <c r="F74" s="56" t="s">
        <v>3333</v>
      </c>
      <c r="G74" s="56" t="s">
        <v>2286</v>
      </c>
      <c r="H74" s="56" t="s">
        <v>7392</v>
      </c>
      <c r="I74" s="56" t="s">
        <v>368</v>
      </c>
      <c r="J74" s="58">
        <v>0.0</v>
      </c>
      <c r="K74" s="56" t="s">
        <v>3176</v>
      </c>
      <c r="L74" s="59"/>
      <c r="M74" s="56" t="s">
        <v>7656</v>
      </c>
      <c r="N74" s="61" t="s">
        <v>373</v>
      </c>
      <c r="O74" s="58" t="s">
        <v>7657</v>
      </c>
    </row>
    <row r="75" ht="15.0" customHeight="1">
      <c r="A75" s="56" t="s">
        <v>295</v>
      </c>
      <c r="B75" s="56" t="s">
        <v>793</v>
      </c>
      <c r="C75" s="57" t="s">
        <v>794</v>
      </c>
      <c r="D75" s="58">
        <v>8.16285321E9</v>
      </c>
      <c r="E75" s="56" t="s">
        <v>368</v>
      </c>
      <c r="F75" s="56" t="s">
        <v>2286</v>
      </c>
      <c r="G75" s="56" t="s">
        <v>2286</v>
      </c>
      <c r="H75" s="56" t="s">
        <v>7392</v>
      </c>
      <c r="I75" s="56" t="s">
        <v>368</v>
      </c>
      <c r="J75" s="58">
        <v>0.0</v>
      </c>
      <c r="K75" s="59"/>
      <c r="L75" s="59"/>
      <c r="M75" s="56" t="s">
        <v>7499</v>
      </c>
      <c r="N75" s="61" t="s">
        <v>394</v>
      </c>
      <c r="O75" s="58" t="s">
        <v>7658</v>
      </c>
    </row>
    <row r="76" ht="15.0" customHeight="1">
      <c r="A76" s="56" t="s">
        <v>96</v>
      </c>
      <c r="B76" s="56" t="s">
        <v>798</v>
      </c>
      <c r="C76" s="57" t="s">
        <v>799</v>
      </c>
      <c r="D76" s="56" t="s">
        <v>800</v>
      </c>
      <c r="E76" s="56" t="s">
        <v>368</v>
      </c>
      <c r="F76" s="56" t="s">
        <v>5704</v>
      </c>
      <c r="G76" s="56" t="s">
        <v>390</v>
      </c>
      <c r="H76" s="56" t="s">
        <v>7392</v>
      </c>
      <c r="I76" s="56" t="s">
        <v>368</v>
      </c>
      <c r="J76" s="58">
        <v>0.0</v>
      </c>
      <c r="K76" s="56" t="s">
        <v>988</v>
      </c>
      <c r="L76" s="59"/>
      <c r="M76" s="56" t="s">
        <v>7659</v>
      </c>
      <c r="N76" s="61" t="s">
        <v>373</v>
      </c>
      <c r="O76" s="58" t="s">
        <v>7660</v>
      </c>
    </row>
    <row r="77" ht="15.0" customHeight="1">
      <c r="A77" s="56" t="s">
        <v>7661</v>
      </c>
      <c r="B77" s="56" t="s">
        <v>4413</v>
      </c>
      <c r="C77" s="57" t="s">
        <v>7662</v>
      </c>
      <c r="D77" s="58">
        <v>2.816507661E9</v>
      </c>
      <c r="E77" s="56" t="s">
        <v>368</v>
      </c>
      <c r="F77" s="56" t="s">
        <v>7663</v>
      </c>
      <c r="G77" s="56" t="s">
        <v>452</v>
      </c>
      <c r="H77" s="56" t="s">
        <v>7392</v>
      </c>
      <c r="I77" s="56" t="s">
        <v>368</v>
      </c>
      <c r="J77" s="58">
        <v>0.0</v>
      </c>
      <c r="K77" s="56" t="s">
        <v>2522</v>
      </c>
      <c r="L77" s="59"/>
      <c r="M77" s="56" t="s">
        <v>7664</v>
      </c>
      <c r="N77" s="61" t="s">
        <v>373</v>
      </c>
      <c r="O77" s="58" t="s">
        <v>7665</v>
      </c>
    </row>
    <row r="78" ht="15.0" customHeight="1">
      <c r="A78" s="56" t="s">
        <v>97</v>
      </c>
      <c r="B78" s="56" t="s">
        <v>818</v>
      </c>
      <c r="C78" s="57" t="s">
        <v>819</v>
      </c>
      <c r="D78" s="56" t="s">
        <v>4734</v>
      </c>
      <c r="E78" s="56" t="s">
        <v>368</v>
      </c>
      <c r="F78" s="56" t="s">
        <v>4678</v>
      </c>
      <c r="G78" s="56" t="s">
        <v>452</v>
      </c>
      <c r="H78" s="56" t="s">
        <v>381</v>
      </c>
      <c r="I78" s="56" t="s">
        <v>423</v>
      </c>
      <c r="J78" s="58">
        <v>3.0</v>
      </c>
      <c r="K78" s="56" t="s">
        <v>1031</v>
      </c>
      <c r="L78" s="59"/>
      <c r="M78" s="56" t="s">
        <v>7666</v>
      </c>
      <c r="N78" s="61" t="s">
        <v>373</v>
      </c>
      <c r="O78" s="58" t="s">
        <v>7667</v>
      </c>
    </row>
    <row r="79" ht="15.0" customHeight="1">
      <c r="A79" s="56" t="s">
        <v>98</v>
      </c>
      <c r="B79" s="56" t="s">
        <v>7668</v>
      </c>
      <c r="C79" s="57" t="s">
        <v>7669</v>
      </c>
      <c r="D79" s="58">
        <v>1.2512814129E10</v>
      </c>
      <c r="E79" s="56" t="s">
        <v>368</v>
      </c>
      <c r="F79" s="56" t="s">
        <v>7670</v>
      </c>
      <c r="G79" s="56" t="s">
        <v>390</v>
      </c>
      <c r="H79" s="56" t="s">
        <v>381</v>
      </c>
      <c r="I79" s="56" t="s">
        <v>423</v>
      </c>
      <c r="J79" s="58">
        <v>0.0</v>
      </c>
      <c r="K79" s="56" t="s">
        <v>2655</v>
      </c>
      <c r="L79" s="59"/>
      <c r="M79" s="56" t="s">
        <v>7671</v>
      </c>
      <c r="N79" s="61" t="s">
        <v>373</v>
      </c>
      <c r="O79" s="58" t="s">
        <v>7672</v>
      </c>
    </row>
    <row r="80" ht="15.0" customHeight="1">
      <c r="A80" s="56" t="s">
        <v>7673</v>
      </c>
      <c r="B80" s="56" t="s">
        <v>7674</v>
      </c>
      <c r="C80" s="57" t="s">
        <v>7675</v>
      </c>
      <c r="D80" s="58">
        <v>2.81226518E9</v>
      </c>
      <c r="E80" s="56" t="s">
        <v>368</v>
      </c>
      <c r="F80" s="56" t="s">
        <v>7408</v>
      </c>
      <c r="G80" s="56" t="s">
        <v>362</v>
      </c>
      <c r="H80" s="56" t="s">
        <v>7392</v>
      </c>
      <c r="I80" s="56" t="s">
        <v>368</v>
      </c>
      <c r="J80" s="58">
        <v>0.0</v>
      </c>
      <c r="K80" s="56" t="s">
        <v>1642</v>
      </c>
      <c r="L80" s="59"/>
      <c r="M80" s="56" t="s">
        <v>7676</v>
      </c>
      <c r="N80" s="61" t="s">
        <v>373</v>
      </c>
      <c r="O80" s="58" t="s">
        <v>7677</v>
      </c>
    </row>
    <row r="81" ht="15.0" customHeight="1">
      <c r="A81" s="56" t="s">
        <v>99</v>
      </c>
      <c r="B81" s="56" t="s">
        <v>833</v>
      </c>
      <c r="C81" s="57" t="s">
        <v>834</v>
      </c>
      <c r="D81" s="58">
        <v>1.4129966237E10</v>
      </c>
      <c r="E81" s="56" t="s">
        <v>368</v>
      </c>
      <c r="F81" s="56" t="s">
        <v>2287</v>
      </c>
      <c r="G81" s="56" t="s">
        <v>2286</v>
      </c>
      <c r="H81" s="56" t="s">
        <v>7392</v>
      </c>
      <c r="I81" s="56" t="s">
        <v>423</v>
      </c>
      <c r="J81" s="58">
        <v>0.0</v>
      </c>
      <c r="K81" s="56" t="s">
        <v>5203</v>
      </c>
      <c r="L81" s="59"/>
      <c r="M81" s="56" t="s">
        <v>7678</v>
      </c>
      <c r="N81" s="61" t="s">
        <v>373</v>
      </c>
      <c r="O81" s="58" t="s">
        <v>7679</v>
      </c>
    </row>
    <row r="82" ht="15.0" customHeight="1">
      <c r="A82" s="56" t="s">
        <v>7680</v>
      </c>
      <c r="B82" s="56" t="s">
        <v>7681</v>
      </c>
      <c r="C82" s="57" t="s">
        <v>7682</v>
      </c>
      <c r="D82" s="56" t="s">
        <v>7683</v>
      </c>
      <c r="E82" s="56" t="s">
        <v>368</v>
      </c>
      <c r="F82" s="56" t="s">
        <v>7684</v>
      </c>
      <c r="G82" s="56" t="s">
        <v>452</v>
      </c>
      <c r="H82" s="56" t="s">
        <v>7403</v>
      </c>
      <c r="I82" s="56" t="s">
        <v>423</v>
      </c>
      <c r="J82" s="58">
        <v>0.0</v>
      </c>
      <c r="K82" s="56" t="s">
        <v>1569</v>
      </c>
      <c r="L82" s="59"/>
      <c r="M82" s="56" t="s">
        <v>7685</v>
      </c>
      <c r="N82" s="61" t="s">
        <v>373</v>
      </c>
      <c r="O82" s="58" t="s">
        <v>7686</v>
      </c>
    </row>
    <row r="83" ht="15.0" customHeight="1">
      <c r="A83" s="56" t="s">
        <v>7687</v>
      </c>
      <c r="B83" s="56" t="s">
        <v>7688</v>
      </c>
      <c r="C83" s="57" t="s">
        <v>7689</v>
      </c>
      <c r="D83" s="58">
        <v>8.172810572E9</v>
      </c>
      <c r="E83" s="56" t="s">
        <v>368</v>
      </c>
      <c r="F83" s="56" t="s">
        <v>2286</v>
      </c>
      <c r="G83" s="56" t="s">
        <v>2286</v>
      </c>
      <c r="H83" s="56" t="s">
        <v>7392</v>
      </c>
      <c r="I83" s="56" t="s">
        <v>368</v>
      </c>
      <c r="J83" s="58">
        <v>0.0</v>
      </c>
      <c r="K83" s="56" t="s">
        <v>958</v>
      </c>
      <c r="L83" s="59"/>
      <c r="M83" s="56" t="s">
        <v>7690</v>
      </c>
      <c r="N83" s="61" t="s">
        <v>373</v>
      </c>
      <c r="O83" s="58" t="s">
        <v>7446</v>
      </c>
    </row>
    <row r="84" ht="15.0" customHeight="1">
      <c r="A84" s="56" t="s">
        <v>100</v>
      </c>
      <c r="B84" s="56" t="s">
        <v>7691</v>
      </c>
      <c r="C84" s="57" t="s">
        <v>7692</v>
      </c>
      <c r="D84" s="56" t="s">
        <v>7693</v>
      </c>
      <c r="E84" s="56" t="s">
        <v>368</v>
      </c>
      <c r="F84" s="56" t="s">
        <v>7694</v>
      </c>
      <c r="G84" s="56" t="s">
        <v>390</v>
      </c>
      <c r="H84" s="56" t="s">
        <v>7392</v>
      </c>
      <c r="I84" s="56" t="s">
        <v>368</v>
      </c>
      <c r="J84" s="58">
        <v>0.0</v>
      </c>
      <c r="K84" s="56" t="s">
        <v>1219</v>
      </c>
      <c r="L84" s="59"/>
      <c r="M84" s="56" t="s">
        <v>7695</v>
      </c>
      <c r="N84" s="61" t="s">
        <v>373</v>
      </c>
      <c r="O84" s="58" t="s">
        <v>7696</v>
      </c>
    </row>
    <row r="85" ht="15.0" customHeight="1">
      <c r="A85" s="56" t="s">
        <v>101</v>
      </c>
      <c r="B85" s="56" t="s">
        <v>7697</v>
      </c>
      <c r="C85" s="57" t="s">
        <v>7698</v>
      </c>
      <c r="D85" s="56" t="s">
        <v>7699</v>
      </c>
      <c r="E85" s="56" t="s">
        <v>368</v>
      </c>
      <c r="F85" s="56" t="s">
        <v>2286</v>
      </c>
      <c r="G85" s="56" t="s">
        <v>2286</v>
      </c>
      <c r="H85" s="56" t="s">
        <v>7392</v>
      </c>
      <c r="I85" s="56" t="s">
        <v>368</v>
      </c>
      <c r="J85" s="58">
        <v>2.0</v>
      </c>
      <c r="K85" s="56" t="s">
        <v>2887</v>
      </c>
      <c r="L85" s="59"/>
      <c r="M85" s="56" t="s">
        <v>7700</v>
      </c>
      <c r="N85" s="61" t="s">
        <v>373</v>
      </c>
      <c r="O85" s="58" t="s">
        <v>7701</v>
      </c>
    </row>
    <row r="86" ht="15.0" customHeight="1">
      <c r="A86" s="56" t="s">
        <v>102</v>
      </c>
      <c r="B86" s="56" t="s">
        <v>847</v>
      </c>
      <c r="C86" s="57" t="s">
        <v>6055</v>
      </c>
      <c r="D86" s="58">
        <v>7.173765833E9</v>
      </c>
      <c r="E86" s="56" t="s">
        <v>368</v>
      </c>
      <c r="F86" s="56" t="s">
        <v>2582</v>
      </c>
      <c r="G86" s="56" t="s">
        <v>2286</v>
      </c>
      <c r="H86" s="56" t="s">
        <v>7392</v>
      </c>
      <c r="I86" s="56" t="s">
        <v>368</v>
      </c>
      <c r="J86" s="58">
        <v>0.0</v>
      </c>
      <c r="K86" s="56" t="s">
        <v>3112</v>
      </c>
      <c r="L86" s="59"/>
      <c r="M86" s="56" t="s">
        <v>7499</v>
      </c>
      <c r="N86" s="61" t="s">
        <v>373</v>
      </c>
      <c r="O86" s="58" t="s">
        <v>7442</v>
      </c>
    </row>
    <row r="87" ht="15.0" customHeight="1">
      <c r="A87" s="56" t="s">
        <v>6057</v>
      </c>
      <c r="B87" s="56" t="s">
        <v>1826</v>
      </c>
      <c r="C87" s="57" t="s">
        <v>6058</v>
      </c>
      <c r="D87" s="56" t="s">
        <v>5414</v>
      </c>
      <c r="E87" s="56" t="s">
        <v>368</v>
      </c>
      <c r="F87" s="56" t="s">
        <v>7702</v>
      </c>
      <c r="G87" s="56" t="s">
        <v>459</v>
      </c>
      <c r="H87" s="56" t="s">
        <v>7392</v>
      </c>
      <c r="I87" s="56" t="s">
        <v>368</v>
      </c>
      <c r="J87" s="58">
        <v>3.0</v>
      </c>
      <c r="K87" s="56" t="s">
        <v>3998</v>
      </c>
      <c r="L87" s="59"/>
      <c r="M87" s="56" t="s">
        <v>7703</v>
      </c>
      <c r="N87" s="61" t="s">
        <v>373</v>
      </c>
      <c r="O87" s="58" t="s">
        <v>7704</v>
      </c>
    </row>
    <row r="88" ht="15.0" customHeight="1">
      <c r="A88" s="56" t="s">
        <v>6065</v>
      </c>
      <c r="B88" s="56" t="s">
        <v>7705</v>
      </c>
      <c r="C88" s="57" t="s">
        <v>7706</v>
      </c>
      <c r="D88" s="56" t="s">
        <v>7707</v>
      </c>
      <c r="E88" s="56" t="s">
        <v>368</v>
      </c>
      <c r="F88" s="56" t="s">
        <v>3066</v>
      </c>
      <c r="G88" s="56" t="s">
        <v>2291</v>
      </c>
      <c r="H88" s="56" t="s">
        <v>7403</v>
      </c>
      <c r="I88" s="56" t="s">
        <v>423</v>
      </c>
      <c r="J88" s="58">
        <v>5.0</v>
      </c>
      <c r="K88" s="56" t="s">
        <v>1282</v>
      </c>
      <c r="L88" s="59"/>
      <c r="M88" s="56" t="s">
        <v>7708</v>
      </c>
      <c r="N88" s="61" t="s">
        <v>373</v>
      </c>
      <c r="O88" s="58" t="s">
        <v>7709</v>
      </c>
    </row>
    <row r="89" ht="15.0" customHeight="1">
      <c r="A89" s="56" t="s">
        <v>859</v>
      </c>
      <c r="B89" s="56" t="s">
        <v>7710</v>
      </c>
      <c r="C89" s="57" t="s">
        <v>7711</v>
      </c>
      <c r="D89" s="56" t="s">
        <v>7712</v>
      </c>
      <c r="E89" s="56" t="s">
        <v>368</v>
      </c>
      <c r="F89" s="56" t="s">
        <v>2286</v>
      </c>
      <c r="G89" s="56" t="s">
        <v>2286</v>
      </c>
      <c r="H89" s="56" t="s">
        <v>7392</v>
      </c>
      <c r="I89" s="56" t="s">
        <v>368</v>
      </c>
      <c r="J89" s="58">
        <v>2.0</v>
      </c>
      <c r="K89" s="56" t="s">
        <v>1007</v>
      </c>
      <c r="L89" s="59"/>
      <c r="M89" s="56" t="s">
        <v>7713</v>
      </c>
      <c r="N89" s="61" t="s">
        <v>373</v>
      </c>
      <c r="O89" s="58" t="s">
        <v>7714</v>
      </c>
    </row>
    <row r="90" ht="15.0" customHeight="1">
      <c r="A90" s="56" t="s">
        <v>103</v>
      </c>
      <c r="B90" s="56" t="s">
        <v>865</v>
      </c>
      <c r="C90" s="57" t="s">
        <v>866</v>
      </c>
      <c r="D90" s="58">
        <v>8.32217218E9</v>
      </c>
      <c r="E90" s="56" t="s">
        <v>368</v>
      </c>
      <c r="F90" s="56" t="s">
        <v>7715</v>
      </c>
      <c r="G90" s="56" t="s">
        <v>716</v>
      </c>
      <c r="H90" s="56" t="s">
        <v>7392</v>
      </c>
      <c r="I90" s="56" t="s">
        <v>368</v>
      </c>
      <c r="J90" s="58">
        <v>0.0</v>
      </c>
      <c r="K90" s="56" t="s">
        <v>5617</v>
      </c>
      <c r="L90" s="59"/>
      <c r="M90" s="56" t="s">
        <v>7716</v>
      </c>
      <c r="N90" s="61" t="s">
        <v>373</v>
      </c>
      <c r="O90" s="58" t="s">
        <v>7717</v>
      </c>
    </row>
    <row r="91" ht="15.0" customHeight="1">
      <c r="A91" s="56" t="s">
        <v>6094</v>
      </c>
      <c r="B91" s="56" t="s">
        <v>7718</v>
      </c>
      <c r="C91" s="57" t="s">
        <v>7719</v>
      </c>
      <c r="D91" s="56" t="s">
        <v>6097</v>
      </c>
      <c r="E91" s="56" t="s">
        <v>368</v>
      </c>
      <c r="F91" s="56" t="s">
        <v>3154</v>
      </c>
      <c r="G91" s="56" t="s">
        <v>421</v>
      </c>
      <c r="H91" s="56" t="s">
        <v>7403</v>
      </c>
      <c r="I91" s="56" t="s">
        <v>368</v>
      </c>
      <c r="J91" s="58">
        <v>0.0</v>
      </c>
      <c r="K91" s="56" t="s">
        <v>1200</v>
      </c>
      <c r="L91" s="59"/>
      <c r="M91" s="56" t="s">
        <v>7720</v>
      </c>
      <c r="N91" s="61" t="s">
        <v>373</v>
      </c>
      <c r="O91" s="58" t="s">
        <v>7721</v>
      </c>
    </row>
    <row r="92" ht="15.0" customHeight="1">
      <c r="A92" s="56" t="s">
        <v>6104</v>
      </c>
      <c r="B92" s="56" t="s">
        <v>7722</v>
      </c>
      <c r="C92" s="57" t="s">
        <v>7723</v>
      </c>
      <c r="D92" s="56" t="s">
        <v>7724</v>
      </c>
      <c r="E92" s="56" t="s">
        <v>368</v>
      </c>
      <c r="F92" s="56" t="s">
        <v>7725</v>
      </c>
      <c r="G92" s="56" t="s">
        <v>2286</v>
      </c>
      <c r="H92" s="56" t="s">
        <v>7392</v>
      </c>
      <c r="I92" s="56" t="s">
        <v>368</v>
      </c>
      <c r="J92" s="58">
        <v>0.0</v>
      </c>
      <c r="K92" s="56" t="s">
        <v>2406</v>
      </c>
      <c r="L92" s="59"/>
      <c r="M92" s="56" t="s">
        <v>7726</v>
      </c>
      <c r="N92" s="61" t="s">
        <v>373</v>
      </c>
      <c r="O92" s="58" t="s">
        <v>7727</v>
      </c>
    </row>
    <row r="93" ht="15.0" customHeight="1">
      <c r="A93" s="56" t="s">
        <v>104</v>
      </c>
      <c r="B93" s="56" t="s">
        <v>894</v>
      </c>
      <c r="C93" s="57" t="s">
        <v>895</v>
      </c>
      <c r="D93" s="58">
        <v>7.1378086E9</v>
      </c>
      <c r="E93" s="56" t="s">
        <v>368</v>
      </c>
      <c r="F93" s="56" t="s">
        <v>7408</v>
      </c>
      <c r="G93" s="56" t="s">
        <v>421</v>
      </c>
      <c r="H93" s="56" t="s">
        <v>381</v>
      </c>
      <c r="I93" s="56" t="s">
        <v>368</v>
      </c>
      <c r="J93" s="58">
        <v>0.0</v>
      </c>
      <c r="K93" s="56" t="s">
        <v>2935</v>
      </c>
      <c r="L93" s="59"/>
      <c r="M93" s="56" t="s">
        <v>7728</v>
      </c>
      <c r="N93" s="61" t="s">
        <v>373</v>
      </c>
      <c r="O93" s="58" t="s">
        <v>7729</v>
      </c>
    </row>
    <row r="94" ht="15.0" customHeight="1">
      <c r="A94" s="56" t="s">
        <v>105</v>
      </c>
      <c r="B94" s="56" t="s">
        <v>2820</v>
      </c>
      <c r="C94" s="57" t="s">
        <v>2821</v>
      </c>
      <c r="D94" s="56" t="s">
        <v>4781</v>
      </c>
      <c r="E94" s="56" t="s">
        <v>368</v>
      </c>
      <c r="F94" s="56" t="s">
        <v>2614</v>
      </c>
      <c r="G94" s="56" t="s">
        <v>2286</v>
      </c>
      <c r="H94" s="56" t="s">
        <v>7392</v>
      </c>
      <c r="I94" s="56" t="s">
        <v>423</v>
      </c>
      <c r="J94" s="58">
        <v>3.0</v>
      </c>
      <c r="K94" s="56" t="s">
        <v>2823</v>
      </c>
      <c r="L94" s="59"/>
      <c r="M94" s="56" t="s">
        <v>7499</v>
      </c>
      <c r="N94" s="61" t="s">
        <v>373</v>
      </c>
      <c r="O94" s="58" t="s">
        <v>7730</v>
      </c>
    </row>
    <row r="95" ht="15.0" customHeight="1">
      <c r="A95" s="56" t="s">
        <v>106</v>
      </c>
      <c r="B95" s="56" t="s">
        <v>897</v>
      </c>
      <c r="C95" s="57" t="s">
        <v>898</v>
      </c>
      <c r="D95" s="58">
        <v>7.135786244E9</v>
      </c>
      <c r="E95" s="56" t="s">
        <v>368</v>
      </c>
      <c r="F95" s="56" t="s">
        <v>4690</v>
      </c>
      <c r="G95" s="56" t="s">
        <v>452</v>
      </c>
      <c r="H95" s="56" t="s">
        <v>7439</v>
      </c>
      <c r="I95" s="56" t="s">
        <v>423</v>
      </c>
      <c r="J95" s="58">
        <v>0.0</v>
      </c>
      <c r="K95" s="56" t="s">
        <v>7731</v>
      </c>
      <c r="L95" s="59"/>
      <c r="M95" s="56" t="s">
        <v>7732</v>
      </c>
      <c r="N95" s="61" t="s">
        <v>373</v>
      </c>
      <c r="O95" s="58" t="s">
        <v>7733</v>
      </c>
    </row>
    <row r="96" ht="15.0" customHeight="1">
      <c r="A96" s="56" t="s">
        <v>6119</v>
      </c>
      <c r="B96" s="56" t="s">
        <v>4786</v>
      </c>
      <c r="C96" s="57" t="s">
        <v>4787</v>
      </c>
      <c r="D96" s="56" t="s">
        <v>4788</v>
      </c>
      <c r="E96" s="56" t="s">
        <v>368</v>
      </c>
      <c r="F96" s="56" t="s">
        <v>2614</v>
      </c>
      <c r="G96" s="56" t="s">
        <v>675</v>
      </c>
      <c r="H96" s="56" t="s">
        <v>381</v>
      </c>
      <c r="I96" s="56" t="s">
        <v>368</v>
      </c>
      <c r="J96" s="58">
        <v>0.0</v>
      </c>
      <c r="K96" s="56" t="s">
        <v>2373</v>
      </c>
      <c r="L96" s="59"/>
      <c r="M96" s="56" t="s">
        <v>7734</v>
      </c>
      <c r="N96" s="61" t="s">
        <v>373</v>
      </c>
      <c r="O96" s="58" t="s">
        <v>7657</v>
      </c>
    </row>
    <row r="97" ht="15.0" customHeight="1">
      <c r="A97" s="56" t="s">
        <v>107</v>
      </c>
      <c r="B97" s="56" t="s">
        <v>4791</v>
      </c>
      <c r="C97" s="57" t="s">
        <v>4792</v>
      </c>
      <c r="D97" s="56" t="s">
        <v>4793</v>
      </c>
      <c r="E97" s="56" t="s">
        <v>423</v>
      </c>
      <c r="F97" s="56" t="s">
        <v>2504</v>
      </c>
      <c r="G97" s="56" t="s">
        <v>2286</v>
      </c>
      <c r="H97" s="56" t="s">
        <v>7392</v>
      </c>
      <c r="I97" s="56" t="s">
        <v>368</v>
      </c>
      <c r="J97" s="58">
        <v>0.0</v>
      </c>
      <c r="K97" s="56" t="s">
        <v>1131</v>
      </c>
      <c r="L97" s="59"/>
      <c r="M97" s="56" t="s">
        <v>7735</v>
      </c>
      <c r="N97" s="61" t="s">
        <v>373</v>
      </c>
      <c r="O97" s="58" t="s">
        <v>7736</v>
      </c>
    </row>
    <row r="98" ht="15.0" customHeight="1">
      <c r="A98" s="56" t="s">
        <v>7737</v>
      </c>
      <c r="B98" s="56" t="s">
        <v>7738</v>
      </c>
      <c r="C98" s="57" t="s">
        <v>7739</v>
      </c>
      <c r="D98" s="58">
        <v>7.135276451E9</v>
      </c>
      <c r="E98" s="56" t="s">
        <v>368</v>
      </c>
      <c r="F98" s="56" t="s">
        <v>2286</v>
      </c>
      <c r="G98" s="56" t="s">
        <v>2286</v>
      </c>
      <c r="H98" s="56" t="s">
        <v>7392</v>
      </c>
      <c r="I98" s="56" t="s">
        <v>368</v>
      </c>
      <c r="J98" s="58">
        <v>0.0</v>
      </c>
      <c r="K98" s="56" t="s">
        <v>4380</v>
      </c>
      <c r="L98" s="59"/>
      <c r="M98" s="56" t="s">
        <v>7740</v>
      </c>
      <c r="N98" s="61" t="s">
        <v>373</v>
      </c>
      <c r="O98" s="58" t="s">
        <v>7640</v>
      </c>
    </row>
    <row r="99" ht="15.0" customHeight="1">
      <c r="A99" s="56" t="s">
        <v>108</v>
      </c>
      <c r="B99" s="56" t="s">
        <v>4795</v>
      </c>
      <c r="C99" s="57" t="s">
        <v>4796</v>
      </c>
      <c r="D99" s="56" t="s">
        <v>4797</v>
      </c>
      <c r="E99" s="56" t="s">
        <v>368</v>
      </c>
      <c r="F99" s="56" t="s">
        <v>3730</v>
      </c>
      <c r="G99" s="56" t="s">
        <v>362</v>
      </c>
      <c r="H99" s="56" t="s">
        <v>7392</v>
      </c>
      <c r="I99" s="56" t="s">
        <v>368</v>
      </c>
      <c r="J99" s="58">
        <v>0.0</v>
      </c>
      <c r="K99" s="56" t="s">
        <v>3633</v>
      </c>
      <c r="L99" s="59"/>
      <c r="M99" s="56" t="s">
        <v>7741</v>
      </c>
      <c r="N99" s="61" t="s">
        <v>373</v>
      </c>
      <c r="O99" s="58" t="s">
        <v>7529</v>
      </c>
    </row>
    <row r="100" ht="15.0" customHeight="1">
      <c r="A100" s="56" t="s">
        <v>7742</v>
      </c>
      <c r="B100" s="56" t="s">
        <v>7743</v>
      </c>
      <c r="C100" s="57" t="s">
        <v>7744</v>
      </c>
      <c r="D100" s="56" t="s">
        <v>7745</v>
      </c>
      <c r="E100" s="56" t="s">
        <v>368</v>
      </c>
      <c r="F100" s="56" t="s">
        <v>7746</v>
      </c>
      <c r="G100" s="56" t="s">
        <v>410</v>
      </c>
      <c r="H100" s="56" t="s">
        <v>483</v>
      </c>
      <c r="I100" s="56" t="s">
        <v>368</v>
      </c>
      <c r="J100" s="58">
        <v>0.0</v>
      </c>
      <c r="K100" s="56" t="s">
        <v>1628</v>
      </c>
      <c r="L100" s="59"/>
      <c r="M100" s="56" t="s">
        <v>7747</v>
      </c>
      <c r="N100" s="61" t="s">
        <v>373</v>
      </c>
      <c r="O100" s="58" t="s">
        <v>7748</v>
      </c>
    </row>
    <row r="101" ht="15.0" customHeight="1">
      <c r="A101" s="56" t="s">
        <v>916</v>
      </c>
      <c r="B101" s="56" t="s">
        <v>2848</v>
      </c>
      <c r="C101" s="57" t="s">
        <v>918</v>
      </c>
      <c r="D101" s="56" t="s">
        <v>6134</v>
      </c>
      <c r="E101" s="56" t="s">
        <v>368</v>
      </c>
      <c r="F101" s="56" t="s">
        <v>2282</v>
      </c>
      <c r="G101" s="56" t="s">
        <v>5715</v>
      </c>
      <c r="H101" s="56" t="s">
        <v>7439</v>
      </c>
      <c r="I101" s="56" t="s">
        <v>368</v>
      </c>
      <c r="J101" s="58">
        <v>0.0</v>
      </c>
      <c r="K101" s="56" t="s">
        <v>7749</v>
      </c>
      <c r="L101" s="59"/>
      <c r="M101" s="56" t="s">
        <v>7750</v>
      </c>
      <c r="N101" s="61" t="s">
        <v>394</v>
      </c>
      <c r="O101" s="58" t="s">
        <v>7751</v>
      </c>
    </row>
    <row r="102" ht="15.0" customHeight="1">
      <c r="A102" s="56" t="s">
        <v>7752</v>
      </c>
      <c r="B102" s="56" t="s">
        <v>7753</v>
      </c>
      <c r="C102" s="57" t="s">
        <v>7754</v>
      </c>
      <c r="D102" s="56" t="s">
        <v>7755</v>
      </c>
      <c r="E102" s="56" t="s">
        <v>368</v>
      </c>
      <c r="F102" s="56" t="s">
        <v>2286</v>
      </c>
      <c r="G102" s="56" t="s">
        <v>2286</v>
      </c>
      <c r="H102" s="56" t="s">
        <v>7392</v>
      </c>
      <c r="I102" s="56" t="s">
        <v>368</v>
      </c>
      <c r="J102" s="58">
        <v>0.0</v>
      </c>
      <c r="K102" s="56" t="s">
        <v>988</v>
      </c>
      <c r="L102" s="59"/>
      <c r="M102" s="56" t="s">
        <v>7756</v>
      </c>
      <c r="N102" s="61" t="s">
        <v>373</v>
      </c>
      <c r="O102" s="58" t="s">
        <v>7757</v>
      </c>
    </row>
    <row r="103" ht="15.0" customHeight="1">
      <c r="A103" s="56" t="s">
        <v>7758</v>
      </c>
      <c r="B103" s="56" t="s">
        <v>7759</v>
      </c>
      <c r="C103" s="57" t="s">
        <v>7760</v>
      </c>
      <c r="D103" s="56" t="s">
        <v>7761</v>
      </c>
      <c r="E103" s="56" t="s">
        <v>368</v>
      </c>
      <c r="F103" s="56" t="s">
        <v>390</v>
      </c>
      <c r="G103" s="56" t="s">
        <v>390</v>
      </c>
      <c r="H103" s="56" t="s">
        <v>7392</v>
      </c>
      <c r="I103" s="56" t="s">
        <v>368</v>
      </c>
      <c r="J103" s="58">
        <v>0.0</v>
      </c>
      <c r="K103" s="56" t="s">
        <v>2522</v>
      </c>
      <c r="L103" s="59"/>
      <c r="M103" s="56" t="s">
        <v>7762</v>
      </c>
      <c r="N103" s="61" t="s">
        <v>373</v>
      </c>
      <c r="O103" s="58" t="s">
        <v>7763</v>
      </c>
    </row>
    <row r="104" ht="15.0" customHeight="1">
      <c r="A104" s="56" t="s">
        <v>7764</v>
      </c>
      <c r="B104" s="56" t="s">
        <v>7765</v>
      </c>
      <c r="C104" s="57" t="s">
        <v>7766</v>
      </c>
      <c r="D104" s="56" t="s">
        <v>7767</v>
      </c>
      <c r="E104" s="56" t="s">
        <v>368</v>
      </c>
      <c r="F104" s="56" t="s">
        <v>7768</v>
      </c>
      <c r="G104" s="56" t="s">
        <v>2291</v>
      </c>
      <c r="H104" s="56" t="s">
        <v>381</v>
      </c>
      <c r="I104" s="56" t="s">
        <v>368</v>
      </c>
      <c r="J104" s="58">
        <v>2.0</v>
      </c>
      <c r="K104" s="56" t="s">
        <v>2329</v>
      </c>
      <c r="L104" s="59"/>
      <c r="M104" s="56" t="s">
        <v>7769</v>
      </c>
      <c r="N104" s="61" t="s">
        <v>373</v>
      </c>
      <c r="O104" s="58" t="s">
        <v>7770</v>
      </c>
    </row>
    <row r="105" ht="15.0" customHeight="1">
      <c r="A105" s="56" t="s">
        <v>7771</v>
      </c>
      <c r="B105" s="56" t="s">
        <v>7772</v>
      </c>
      <c r="C105" s="57" t="s">
        <v>7773</v>
      </c>
      <c r="D105" s="58">
        <v>5.187441898E9</v>
      </c>
      <c r="E105" s="56" t="s">
        <v>368</v>
      </c>
      <c r="F105" s="56" t="s">
        <v>2286</v>
      </c>
      <c r="G105" s="56" t="s">
        <v>2286</v>
      </c>
      <c r="H105" s="56" t="s">
        <v>7392</v>
      </c>
      <c r="I105" s="56" t="s">
        <v>368</v>
      </c>
      <c r="J105" s="58">
        <v>0.0</v>
      </c>
      <c r="K105" s="59"/>
      <c r="L105" s="59"/>
      <c r="M105" s="56" t="s">
        <v>7499</v>
      </c>
      <c r="N105" s="61" t="s">
        <v>394</v>
      </c>
      <c r="O105" s="58" t="s">
        <v>7774</v>
      </c>
    </row>
    <row r="106" ht="15.0" customHeight="1">
      <c r="A106" s="56" t="s">
        <v>7771</v>
      </c>
      <c r="B106" s="56" t="s">
        <v>7775</v>
      </c>
      <c r="C106" s="57" t="s">
        <v>7776</v>
      </c>
      <c r="D106" s="56" t="s">
        <v>7777</v>
      </c>
      <c r="E106" s="56" t="s">
        <v>368</v>
      </c>
      <c r="F106" s="56" t="s">
        <v>2286</v>
      </c>
      <c r="G106" s="56" t="s">
        <v>2286</v>
      </c>
      <c r="H106" s="56" t="s">
        <v>7403</v>
      </c>
      <c r="I106" s="56" t="s">
        <v>423</v>
      </c>
      <c r="J106" s="58">
        <v>0.0</v>
      </c>
      <c r="K106" s="56" t="s">
        <v>1317</v>
      </c>
      <c r="L106" s="59"/>
      <c r="M106" s="56" t="s">
        <v>7778</v>
      </c>
      <c r="N106" s="61" t="s">
        <v>373</v>
      </c>
      <c r="O106" s="58" t="s">
        <v>7779</v>
      </c>
    </row>
    <row r="107" ht="15.0" customHeight="1">
      <c r="A107" s="56" t="s">
        <v>109</v>
      </c>
      <c r="B107" s="56" t="s">
        <v>2859</v>
      </c>
      <c r="C107" s="57" t="s">
        <v>2860</v>
      </c>
      <c r="D107" s="58">
        <v>1.8328299042E10</v>
      </c>
      <c r="E107" s="56" t="s">
        <v>368</v>
      </c>
      <c r="F107" s="56" t="s">
        <v>4291</v>
      </c>
      <c r="G107" s="56" t="s">
        <v>390</v>
      </c>
      <c r="H107" s="56" t="s">
        <v>7392</v>
      </c>
      <c r="I107" s="56" t="s">
        <v>368</v>
      </c>
      <c r="J107" s="58">
        <v>0.0</v>
      </c>
      <c r="K107" s="56" t="s">
        <v>2174</v>
      </c>
      <c r="L107" s="59"/>
      <c r="M107" s="56" t="s">
        <v>7499</v>
      </c>
      <c r="N107" s="61" t="s">
        <v>373</v>
      </c>
      <c r="O107" s="58" t="s">
        <v>7780</v>
      </c>
    </row>
    <row r="108" ht="15.0" customHeight="1">
      <c r="A108" s="56" t="s">
        <v>110</v>
      </c>
      <c r="B108" s="56" t="s">
        <v>940</v>
      </c>
      <c r="C108" s="57" t="s">
        <v>941</v>
      </c>
      <c r="D108" s="56" t="s">
        <v>7781</v>
      </c>
      <c r="E108" s="56" t="s">
        <v>368</v>
      </c>
      <c r="F108" s="56" t="s">
        <v>2880</v>
      </c>
      <c r="G108" s="56" t="s">
        <v>2286</v>
      </c>
      <c r="H108" s="56" t="s">
        <v>7392</v>
      </c>
      <c r="I108" s="56" t="s">
        <v>423</v>
      </c>
      <c r="J108" s="58">
        <v>2.0</v>
      </c>
      <c r="K108" s="56" t="s">
        <v>3670</v>
      </c>
      <c r="L108" s="59"/>
      <c r="M108" s="56" t="s">
        <v>7782</v>
      </c>
      <c r="N108" s="61" t="s">
        <v>373</v>
      </c>
      <c r="O108" s="58" t="s">
        <v>7783</v>
      </c>
    </row>
    <row r="109" ht="15.0" customHeight="1">
      <c r="A109" s="56" t="s">
        <v>7784</v>
      </c>
      <c r="B109" s="56" t="s">
        <v>7785</v>
      </c>
      <c r="C109" s="57" t="s">
        <v>7786</v>
      </c>
      <c r="D109" s="58">
        <v>8.174737888E9</v>
      </c>
      <c r="E109" s="56" t="s">
        <v>368</v>
      </c>
      <c r="F109" s="56" t="s">
        <v>7787</v>
      </c>
      <c r="G109" s="56" t="s">
        <v>1598</v>
      </c>
      <c r="H109" s="56" t="s">
        <v>7392</v>
      </c>
      <c r="I109" s="56" t="s">
        <v>368</v>
      </c>
      <c r="J109" s="58">
        <v>2.0</v>
      </c>
      <c r="K109" s="56" t="s">
        <v>1659</v>
      </c>
      <c r="L109" s="59"/>
      <c r="M109" s="56" t="s">
        <v>7788</v>
      </c>
      <c r="N109" s="61" t="s">
        <v>373</v>
      </c>
      <c r="O109" s="58" t="s">
        <v>7789</v>
      </c>
    </row>
    <row r="110" ht="15.0" customHeight="1">
      <c r="A110" s="56" t="s">
        <v>6164</v>
      </c>
      <c r="B110" s="56" t="s">
        <v>7790</v>
      </c>
      <c r="C110" s="57" t="s">
        <v>7791</v>
      </c>
      <c r="D110" s="56" t="s">
        <v>7792</v>
      </c>
      <c r="E110" s="56" t="s">
        <v>368</v>
      </c>
      <c r="F110" s="56" t="s">
        <v>2783</v>
      </c>
      <c r="G110" s="56" t="s">
        <v>421</v>
      </c>
      <c r="H110" s="56" t="s">
        <v>381</v>
      </c>
      <c r="I110" s="56" t="s">
        <v>423</v>
      </c>
      <c r="J110" s="58">
        <v>2.0</v>
      </c>
      <c r="K110" s="56" t="s">
        <v>1972</v>
      </c>
      <c r="L110" s="59"/>
      <c r="M110" s="56" t="s">
        <v>7793</v>
      </c>
      <c r="N110" s="61" t="s">
        <v>373</v>
      </c>
      <c r="O110" s="58" t="s">
        <v>7794</v>
      </c>
    </row>
    <row r="111" ht="15.0" customHeight="1">
      <c r="A111" s="56" t="s">
        <v>111</v>
      </c>
      <c r="B111" s="56" t="s">
        <v>2881</v>
      </c>
      <c r="C111" s="57" t="s">
        <v>2882</v>
      </c>
      <c r="D111" s="56" t="s">
        <v>4816</v>
      </c>
      <c r="E111" s="56" t="s">
        <v>368</v>
      </c>
      <c r="F111" s="56" t="s">
        <v>2286</v>
      </c>
      <c r="G111" s="56" t="s">
        <v>2286</v>
      </c>
      <c r="H111" s="56" t="s">
        <v>7392</v>
      </c>
      <c r="I111" s="56" t="s">
        <v>368</v>
      </c>
      <c r="J111" s="58">
        <v>0.0</v>
      </c>
      <c r="K111" s="56" t="s">
        <v>3507</v>
      </c>
      <c r="L111" s="59"/>
      <c r="M111" s="56" t="s">
        <v>7795</v>
      </c>
      <c r="N111" s="61" t="s">
        <v>373</v>
      </c>
      <c r="O111" s="58" t="s">
        <v>7796</v>
      </c>
    </row>
    <row r="112" ht="15.0" customHeight="1">
      <c r="A112" s="56" t="s">
        <v>112</v>
      </c>
      <c r="B112" s="56" t="s">
        <v>4818</v>
      </c>
      <c r="C112" s="57" t="s">
        <v>947</v>
      </c>
      <c r="D112" s="56" t="s">
        <v>4819</v>
      </c>
      <c r="E112" s="56" t="s">
        <v>368</v>
      </c>
      <c r="F112" s="56" t="s">
        <v>2783</v>
      </c>
      <c r="G112" s="56" t="s">
        <v>390</v>
      </c>
      <c r="H112" s="56" t="s">
        <v>483</v>
      </c>
      <c r="I112" s="56" t="s">
        <v>368</v>
      </c>
      <c r="J112" s="58">
        <v>0.0</v>
      </c>
      <c r="K112" s="56" t="s">
        <v>2790</v>
      </c>
      <c r="L112" s="59"/>
      <c r="M112" s="56" t="s">
        <v>7797</v>
      </c>
      <c r="N112" s="61" t="s">
        <v>373</v>
      </c>
      <c r="O112" s="58" t="s">
        <v>7798</v>
      </c>
    </row>
    <row r="113" ht="15.0" customHeight="1">
      <c r="A113" s="56" t="s">
        <v>7799</v>
      </c>
      <c r="B113" s="56" t="s">
        <v>7800</v>
      </c>
      <c r="C113" s="57" t="s">
        <v>7801</v>
      </c>
      <c r="D113" s="56" t="s">
        <v>7802</v>
      </c>
      <c r="E113" s="56" t="s">
        <v>368</v>
      </c>
      <c r="F113" s="56" t="s">
        <v>7803</v>
      </c>
      <c r="G113" s="56" t="s">
        <v>421</v>
      </c>
      <c r="H113" s="56" t="s">
        <v>7392</v>
      </c>
      <c r="I113" s="56" t="s">
        <v>368</v>
      </c>
      <c r="J113" s="58">
        <v>5.0</v>
      </c>
      <c r="K113" s="56" t="s">
        <v>1898</v>
      </c>
      <c r="L113" s="59"/>
      <c r="M113" s="56" t="s">
        <v>7804</v>
      </c>
      <c r="N113" s="61" t="s">
        <v>373</v>
      </c>
      <c r="O113" s="58" t="s">
        <v>7805</v>
      </c>
    </row>
    <row r="114" ht="15.0" customHeight="1">
      <c r="A114" s="56" t="s">
        <v>113</v>
      </c>
      <c r="B114" s="56" t="s">
        <v>7806</v>
      </c>
      <c r="C114" s="57" t="s">
        <v>7807</v>
      </c>
      <c r="D114" s="58">
        <v>8.326156673E9</v>
      </c>
      <c r="E114" s="56" t="s">
        <v>368</v>
      </c>
      <c r="F114" s="56" t="s">
        <v>7808</v>
      </c>
      <c r="G114" s="56" t="s">
        <v>452</v>
      </c>
      <c r="H114" s="56" t="s">
        <v>7392</v>
      </c>
      <c r="I114" s="56" t="s">
        <v>368</v>
      </c>
      <c r="J114" s="58">
        <v>3.0</v>
      </c>
      <c r="K114" s="56" t="s">
        <v>2148</v>
      </c>
      <c r="L114" s="59"/>
      <c r="M114" s="56" t="s">
        <v>7809</v>
      </c>
      <c r="N114" s="61" t="s">
        <v>373</v>
      </c>
      <c r="O114" s="58" t="s">
        <v>7810</v>
      </c>
    </row>
    <row r="115" ht="15.0" customHeight="1">
      <c r="A115" s="56" t="s">
        <v>2908</v>
      </c>
      <c r="B115" s="56" t="s">
        <v>7811</v>
      </c>
      <c r="C115" s="57" t="s">
        <v>7812</v>
      </c>
      <c r="D115" s="58">
        <v>8.177515418E9</v>
      </c>
      <c r="E115" s="56" t="s">
        <v>368</v>
      </c>
      <c r="F115" s="56" t="s">
        <v>7813</v>
      </c>
      <c r="G115" s="56" t="s">
        <v>452</v>
      </c>
      <c r="H115" s="56" t="s">
        <v>7643</v>
      </c>
      <c r="I115" s="56" t="s">
        <v>423</v>
      </c>
      <c r="J115" s="58">
        <v>0.0</v>
      </c>
      <c r="K115" s="56" t="s">
        <v>4890</v>
      </c>
      <c r="L115" s="59"/>
      <c r="M115" s="56" t="s">
        <v>7814</v>
      </c>
      <c r="N115" s="61" t="s">
        <v>373</v>
      </c>
      <c r="O115" s="58" t="s">
        <v>7815</v>
      </c>
    </row>
    <row r="116" ht="15.0" customHeight="1">
      <c r="A116" s="56" t="s">
        <v>114</v>
      </c>
      <c r="B116" s="56" t="s">
        <v>960</v>
      </c>
      <c r="C116" s="57" t="s">
        <v>961</v>
      </c>
      <c r="D116" s="56" t="s">
        <v>962</v>
      </c>
      <c r="E116" s="56" t="s">
        <v>368</v>
      </c>
      <c r="F116" s="56" t="s">
        <v>7816</v>
      </c>
      <c r="G116" s="56" t="s">
        <v>5715</v>
      </c>
      <c r="H116" s="56" t="s">
        <v>7392</v>
      </c>
      <c r="I116" s="56" t="s">
        <v>368</v>
      </c>
      <c r="J116" s="58">
        <v>0.0</v>
      </c>
      <c r="K116" s="56" t="s">
        <v>6707</v>
      </c>
      <c r="L116" s="59"/>
      <c r="M116" s="56" t="s">
        <v>7817</v>
      </c>
      <c r="N116" s="61" t="s">
        <v>373</v>
      </c>
      <c r="O116" s="58" t="s">
        <v>7818</v>
      </c>
    </row>
    <row r="117" ht="15.0" customHeight="1">
      <c r="A117" s="56" t="s">
        <v>6191</v>
      </c>
      <c r="B117" s="56" t="s">
        <v>6192</v>
      </c>
      <c r="C117" s="57" t="s">
        <v>6193</v>
      </c>
      <c r="D117" s="58">
        <v>4.062599933E9</v>
      </c>
      <c r="E117" s="56" t="s">
        <v>368</v>
      </c>
      <c r="F117" s="56" t="s">
        <v>2938</v>
      </c>
      <c r="G117" s="56" t="s">
        <v>390</v>
      </c>
      <c r="H117" s="56" t="s">
        <v>7392</v>
      </c>
      <c r="I117" s="56" t="s">
        <v>423</v>
      </c>
      <c r="J117" s="58">
        <v>2.0</v>
      </c>
      <c r="K117" s="56" t="s">
        <v>624</v>
      </c>
      <c r="L117" s="59"/>
      <c r="M117" s="56" t="s">
        <v>7819</v>
      </c>
      <c r="N117" s="61" t="s">
        <v>373</v>
      </c>
      <c r="O117" s="58" t="s">
        <v>7820</v>
      </c>
    </row>
    <row r="118" ht="15.0" customHeight="1">
      <c r="A118" s="56" t="s">
        <v>116</v>
      </c>
      <c r="B118" s="56" t="s">
        <v>4832</v>
      </c>
      <c r="C118" s="57" t="s">
        <v>4833</v>
      </c>
      <c r="D118" s="56" t="s">
        <v>4834</v>
      </c>
      <c r="E118" s="56" t="s">
        <v>423</v>
      </c>
      <c r="F118" s="56" t="s">
        <v>7821</v>
      </c>
      <c r="G118" s="56" t="s">
        <v>2291</v>
      </c>
      <c r="H118" s="56" t="s">
        <v>483</v>
      </c>
      <c r="I118" s="56" t="s">
        <v>368</v>
      </c>
      <c r="J118" s="58">
        <v>0.0</v>
      </c>
      <c r="K118" s="56" t="s">
        <v>2872</v>
      </c>
      <c r="L118" s="59"/>
      <c r="M118" s="56" t="s">
        <v>7822</v>
      </c>
      <c r="N118" s="61" t="s">
        <v>373</v>
      </c>
      <c r="O118" s="58" t="s">
        <v>7823</v>
      </c>
    </row>
    <row r="119" ht="15.0" customHeight="1">
      <c r="A119" s="56" t="s">
        <v>117</v>
      </c>
      <c r="B119" s="56" t="s">
        <v>4838</v>
      </c>
      <c r="C119" s="57" t="s">
        <v>4839</v>
      </c>
      <c r="D119" s="56" t="s">
        <v>4840</v>
      </c>
      <c r="E119" s="56" t="s">
        <v>368</v>
      </c>
      <c r="F119" s="56" t="s">
        <v>2286</v>
      </c>
      <c r="G119" s="56" t="s">
        <v>2286</v>
      </c>
      <c r="H119" s="56" t="s">
        <v>7392</v>
      </c>
      <c r="I119" s="56" t="s">
        <v>423</v>
      </c>
      <c r="J119" s="58">
        <v>2.0</v>
      </c>
      <c r="K119" s="56" t="s">
        <v>1995</v>
      </c>
      <c r="L119" s="59"/>
      <c r="M119" s="56" t="s">
        <v>7824</v>
      </c>
      <c r="N119" s="61" t="s">
        <v>373</v>
      </c>
      <c r="O119" s="58" t="s">
        <v>7825</v>
      </c>
    </row>
    <row r="120" ht="15.0" customHeight="1">
      <c r="A120" s="56" t="s">
        <v>7826</v>
      </c>
      <c r="B120" s="56" t="s">
        <v>7827</v>
      </c>
      <c r="C120" s="57" t="s">
        <v>7828</v>
      </c>
      <c r="D120" s="56" t="s">
        <v>7829</v>
      </c>
      <c r="E120" s="56" t="s">
        <v>368</v>
      </c>
      <c r="F120" s="56" t="s">
        <v>7830</v>
      </c>
      <c r="G120" s="56" t="s">
        <v>390</v>
      </c>
      <c r="H120" s="56" t="s">
        <v>7392</v>
      </c>
      <c r="I120" s="56" t="s">
        <v>423</v>
      </c>
      <c r="J120" s="58">
        <v>0.0</v>
      </c>
      <c r="K120" s="56" t="s">
        <v>2174</v>
      </c>
      <c r="L120" s="59"/>
      <c r="M120" s="56" t="s">
        <v>7831</v>
      </c>
      <c r="N120" s="61" t="s">
        <v>373</v>
      </c>
      <c r="O120" s="58" t="s">
        <v>7832</v>
      </c>
    </row>
    <row r="121" ht="15.0" customHeight="1">
      <c r="A121" s="56" t="s">
        <v>7833</v>
      </c>
      <c r="B121" s="56" t="s">
        <v>983</v>
      </c>
      <c r="C121" s="57" t="s">
        <v>2934</v>
      </c>
      <c r="D121" s="58">
        <v>5.126268703E9</v>
      </c>
      <c r="E121" s="56" t="s">
        <v>368</v>
      </c>
      <c r="F121" s="56" t="s">
        <v>676</v>
      </c>
      <c r="G121" s="56" t="s">
        <v>390</v>
      </c>
      <c r="H121" s="56" t="s">
        <v>7392</v>
      </c>
      <c r="I121" s="56" t="s">
        <v>368</v>
      </c>
      <c r="J121" s="58">
        <v>0.0</v>
      </c>
      <c r="K121" s="56" t="s">
        <v>4736</v>
      </c>
      <c r="L121" s="59"/>
      <c r="M121" s="56" t="s">
        <v>7834</v>
      </c>
      <c r="N121" s="61" t="s">
        <v>373</v>
      </c>
      <c r="O121" s="58" t="s">
        <v>7835</v>
      </c>
    </row>
    <row r="122" ht="15.0" customHeight="1">
      <c r="A122" s="56" t="s">
        <v>118</v>
      </c>
      <c r="B122" s="56" t="s">
        <v>986</v>
      </c>
      <c r="C122" s="57" t="s">
        <v>987</v>
      </c>
      <c r="D122" s="56" t="s">
        <v>7836</v>
      </c>
      <c r="E122" s="56" t="s">
        <v>368</v>
      </c>
      <c r="F122" s="56" t="s">
        <v>4845</v>
      </c>
      <c r="G122" s="56" t="s">
        <v>452</v>
      </c>
      <c r="H122" s="56" t="s">
        <v>7392</v>
      </c>
      <c r="I122" s="56" t="s">
        <v>368</v>
      </c>
      <c r="J122" s="58">
        <v>2.0</v>
      </c>
      <c r="K122" s="56" t="s">
        <v>6325</v>
      </c>
      <c r="L122" s="59"/>
      <c r="M122" s="56" t="s">
        <v>7837</v>
      </c>
      <c r="N122" s="61" t="s">
        <v>373</v>
      </c>
      <c r="O122" s="58" t="s">
        <v>7838</v>
      </c>
    </row>
    <row r="123" ht="15.0" customHeight="1">
      <c r="A123" s="56" t="s">
        <v>119</v>
      </c>
      <c r="B123" s="56" t="s">
        <v>2951</v>
      </c>
      <c r="C123" s="57" t="s">
        <v>998</v>
      </c>
      <c r="D123" s="58">
        <v>5.712996E9</v>
      </c>
      <c r="E123" s="56" t="s">
        <v>368</v>
      </c>
      <c r="F123" s="56" t="s">
        <v>2286</v>
      </c>
      <c r="G123" s="56" t="s">
        <v>2286</v>
      </c>
      <c r="H123" s="56" t="s">
        <v>7392</v>
      </c>
      <c r="I123" s="56" t="s">
        <v>368</v>
      </c>
      <c r="J123" s="58">
        <v>0.0</v>
      </c>
      <c r="K123" s="56" t="s">
        <v>1404</v>
      </c>
      <c r="L123" s="59"/>
      <c r="M123" s="56" t="s">
        <v>7839</v>
      </c>
      <c r="N123" s="61" t="s">
        <v>373</v>
      </c>
      <c r="O123" s="58" t="s">
        <v>7840</v>
      </c>
    </row>
    <row r="124" ht="15.0" customHeight="1">
      <c r="A124" s="56" t="s">
        <v>120</v>
      </c>
      <c r="B124" s="56" t="s">
        <v>4852</v>
      </c>
      <c r="C124" s="57" t="s">
        <v>4853</v>
      </c>
      <c r="D124" s="56" t="s">
        <v>4854</v>
      </c>
      <c r="E124" s="56" t="s">
        <v>368</v>
      </c>
      <c r="F124" s="56" t="s">
        <v>390</v>
      </c>
      <c r="G124" s="56" t="s">
        <v>390</v>
      </c>
      <c r="H124" s="56" t="s">
        <v>7392</v>
      </c>
      <c r="I124" s="56" t="s">
        <v>368</v>
      </c>
      <c r="J124" s="58">
        <v>0.0</v>
      </c>
      <c r="K124" s="56" t="s">
        <v>4240</v>
      </c>
      <c r="L124" s="59"/>
      <c r="M124" s="56" t="s">
        <v>7841</v>
      </c>
      <c r="N124" s="61" t="s">
        <v>373</v>
      </c>
      <c r="O124" s="58" t="s">
        <v>7842</v>
      </c>
    </row>
    <row r="125" ht="15.0" customHeight="1">
      <c r="A125" s="56" t="s">
        <v>6209</v>
      </c>
      <c r="B125" s="56" t="s">
        <v>6210</v>
      </c>
      <c r="C125" s="57" t="s">
        <v>6211</v>
      </c>
      <c r="D125" s="58">
        <v>2.144585066E9</v>
      </c>
      <c r="E125" s="56" t="s">
        <v>368</v>
      </c>
      <c r="F125" s="56" t="s">
        <v>7843</v>
      </c>
      <c r="G125" s="56" t="s">
        <v>452</v>
      </c>
      <c r="H125" s="56" t="s">
        <v>381</v>
      </c>
      <c r="I125" s="56" t="s">
        <v>368</v>
      </c>
      <c r="J125" s="58">
        <v>0.0</v>
      </c>
      <c r="K125" s="56" t="s">
        <v>718</v>
      </c>
      <c r="L125" s="59"/>
      <c r="M125" s="56" t="s">
        <v>7844</v>
      </c>
      <c r="N125" s="61" t="s">
        <v>373</v>
      </c>
      <c r="O125" s="58" t="s">
        <v>7845</v>
      </c>
    </row>
    <row r="126" ht="15.0" customHeight="1">
      <c r="A126" s="56" t="s">
        <v>7846</v>
      </c>
      <c r="B126" s="56" t="s">
        <v>7847</v>
      </c>
      <c r="C126" s="57" t="s">
        <v>7848</v>
      </c>
      <c r="D126" s="58">
        <v>3.25698556E9</v>
      </c>
      <c r="E126" s="56" t="s">
        <v>368</v>
      </c>
      <c r="F126" s="56" t="s">
        <v>2521</v>
      </c>
      <c r="G126" s="56" t="s">
        <v>2286</v>
      </c>
      <c r="H126" s="56" t="s">
        <v>7392</v>
      </c>
      <c r="I126" s="56" t="s">
        <v>423</v>
      </c>
      <c r="J126" s="58">
        <v>2.0</v>
      </c>
      <c r="K126" s="56" t="s">
        <v>5607</v>
      </c>
      <c r="L126" s="59"/>
      <c r="M126" s="56" t="s">
        <v>7849</v>
      </c>
      <c r="N126" s="61" t="s">
        <v>373</v>
      </c>
      <c r="O126" s="58" t="s">
        <v>7850</v>
      </c>
    </row>
    <row r="127" ht="15.0" customHeight="1">
      <c r="A127" s="56" t="s">
        <v>121</v>
      </c>
      <c r="B127" s="56" t="s">
        <v>1002</v>
      </c>
      <c r="C127" s="57" t="s">
        <v>1003</v>
      </c>
      <c r="D127" s="58">
        <v>6.302545522E9</v>
      </c>
      <c r="E127" s="56" t="s">
        <v>368</v>
      </c>
      <c r="F127" s="56" t="s">
        <v>2955</v>
      </c>
      <c r="G127" s="56" t="s">
        <v>2286</v>
      </c>
      <c r="H127" s="56" t="s">
        <v>7439</v>
      </c>
      <c r="I127" s="56" t="s">
        <v>368</v>
      </c>
      <c r="J127" s="58">
        <v>4.0</v>
      </c>
      <c r="K127" s="56" t="s">
        <v>7851</v>
      </c>
      <c r="L127" s="59"/>
      <c r="M127" s="56" t="s">
        <v>7852</v>
      </c>
      <c r="N127" s="61" t="s">
        <v>373</v>
      </c>
      <c r="O127" s="58" t="s">
        <v>7853</v>
      </c>
    </row>
    <row r="128" ht="15.0" customHeight="1">
      <c r="A128" s="56" t="s">
        <v>6215</v>
      </c>
      <c r="B128" s="56" t="s">
        <v>6216</v>
      </c>
      <c r="C128" s="57" t="s">
        <v>6217</v>
      </c>
      <c r="D128" s="58">
        <v>2.819450069E9</v>
      </c>
      <c r="E128" s="56" t="s">
        <v>368</v>
      </c>
      <c r="F128" s="56" t="s">
        <v>2287</v>
      </c>
      <c r="G128" s="56" t="s">
        <v>2286</v>
      </c>
      <c r="H128" s="56" t="s">
        <v>7392</v>
      </c>
      <c r="I128" s="56" t="s">
        <v>368</v>
      </c>
      <c r="J128" s="58">
        <v>0.0</v>
      </c>
      <c r="K128" s="56" t="s">
        <v>2823</v>
      </c>
      <c r="L128" s="59"/>
      <c r="M128" s="56" t="s">
        <v>7854</v>
      </c>
      <c r="N128" s="61" t="s">
        <v>373</v>
      </c>
      <c r="O128" s="58" t="s">
        <v>7855</v>
      </c>
    </row>
    <row r="129" ht="15.0" customHeight="1">
      <c r="A129" s="56" t="s">
        <v>122</v>
      </c>
      <c r="B129" s="56" t="s">
        <v>7856</v>
      </c>
      <c r="C129" s="57" t="s">
        <v>7857</v>
      </c>
      <c r="D129" s="56" t="s">
        <v>7858</v>
      </c>
      <c r="E129" s="56" t="s">
        <v>368</v>
      </c>
      <c r="F129" s="56" t="s">
        <v>7859</v>
      </c>
      <c r="G129" s="56" t="s">
        <v>452</v>
      </c>
      <c r="H129" s="56" t="s">
        <v>7643</v>
      </c>
      <c r="I129" s="56" t="s">
        <v>368</v>
      </c>
      <c r="J129" s="58">
        <v>2.0</v>
      </c>
      <c r="K129" s="56" t="s">
        <v>4890</v>
      </c>
      <c r="L129" s="59"/>
      <c r="M129" s="56" t="s">
        <v>7860</v>
      </c>
      <c r="N129" s="61" t="s">
        <v>373</v>
      </c>
      <c r="O129" s="58" t="s">
        <v>7861</v>
      </c>
    </row>
    <row r="130" ht="15.0" customHeight="1">
      <c r="A130" s="56" t="s">
        <v>123</v>
      </c>
      <c r="B130" s="56" t="s">
        <v>1023</v>
      </c>
      <c r="C130" s="57" t="s">
        <v>1024</v>
      </c>
      <c r="D130" s="56" t="s">
        <v>4867</v>
      </c>
      <c r="E130" s="56" t="s">
        <v>368</v>
      </c>
      <c r="F130" s="56" t="s">
        <v>2975</v>
      </c>
      <c r="G130" s="56" t="s">
        <v>5715</v>
      </c>
      <c r="H130" s="56" t="s">
        <v>381</v>
      </c>
      <c r="I130" s="56" t="s">
        <v>368</v>
      </c>
      <c r="J130" s="58">
        <v>0.0</v>
      </c>
      <c r="K130" s="56" t="s">
        <v>7862</v>
      </c>
      <c r="L130" s="59"/>
      <c r="M130" s="56" t="s">
        <v>7863</v>
      </c>
      <c r="N130" s="61" t="s">
        <v>373</v>
      </c>
      <c r="O130" s="58" t="s">
        <v>7864</v>
      </c>
    </row>
    <row r="131" ht="15.0" customHeight="1">
      <c r="A131" s="56" t="s">
        <v>124</v>
      </c>
      <c r="B131" s="56" t="s">
        <v>1028</v>
      </c>
      <c r="C131" s="57" t="s">
        <v>1029</v>
      </c>
      <c r="D131" s="56" t="s">
        <v>4870</v>
      </c>
      <c r="E131" s="56" t="s">
        <v>368</v>
      </c>
      <c r="F131" s="56" t="s">
        <v>7408</v>
      </c>
      <c r="G131" s="56" t="s">
        <v>5715</v>
      </c>
      <c r="H131" s="56" t="s">
        <v>7392</v>
      </c>
      <c r="I131" s="56" t="s">
        <v>368</v>
      </c>
      <c r="J131" s="58">
        <v>0.0</v>
      </c>
      <c r="K131" s="56" t="s">
        <v>3357</v>
      </c>
      <c r="L131" s="59"/>
      <c r="M131" s="56" t="s">
        <v>7865</v>
      </c>
      <c r="N131" s="61" t="s">
        <v>373</v>
      </c>
      <c r="O131" s="58" t="s">
        <v>7866</v>
      </c>
    </row>
    <row r="132" ht="15.0" customHeight="1">
      <c r="A132" s="56" t="s">
        <v>7867</v>
      </c>
      <c r="B132" s="56" t="s">
        <v>7868</v>
      </c>
      <c r="C132" s="57" t="s">
        <v>7869</v>
      </c>
      <c r="D132" s="58">
        <v>2.102966784E9</v>
      </c>
      <c r="E132" s="56" t="s">
        <v>368</v>
      </c>
      <c r="F132" s="56" t="s">
        <v>7870</v>
      </c>
      <c r="G132" s="56" t="s">
        <v>390</v>
      </c>
      <c r="H132" s="56" t="s">
        <v>7392</v>
      </c>
      <c r="I132" s="56" t="s">
        <v>368</v>
      </c>
      <c r="J132" s="58">
        <v>0.0</v>
      </c>
      <c r="K132" s="59"/>
      <c r="L132" s="59"/>
      <c r="M132" s="56" t="s">
        <v>7871</v>
      </c>
      <c r="N132" s="61" t="s">
        <v>394</v>
      </c>
      <c r="O132" s="58" t="s">
        <v>7872</v>
      </c>
    </row>
    <row r="133" ht="15.0" customHeight="1">
      <c r="A133" s="56" t="s">
        <v>7873</v>
      </c>
      <c r="B133" s="56" t="s">
        <v>7874</v>
      </c>
      <c r="C133" s="57" t="s">
        <v>7875</v>
      </c>
      <c r="D133" s="58">
        <v>4.69571907E9</v>
      </c>
      <c r="E133" s="56" t="s">
        <v>368</v>
      </c>
      <c r="F133" s="56" t="s">
        <v>2801</v>
      </c>
      <c r="G133" s="56" t="s">
        <v>362</v>
      </c>
      <c r="H133" s="56" t="s">
        <v>7392</v>
      </c>
      <c r="I133" s="56" t="s">
        <v>368</v>
      </c>
      <c r="J133" s="58">
        <v>0.0</v>
      </c>
      <c r="K133" s="56" t="s">
        <v>785</v>
      </c>
      <c r="L133" s="59"/>
      <c r="M133" s="56" t="s">
        <v>7876</v>
      </c>
      <c r="N133" s="61" t="s">
        <v>373</v>
      </c>
      <c r="O133" s="58" t="s">
        <v>7877</v>
      </c>
    </row>
    <row r="134" ht="15.0" customHeight="1">
      <c r="A134" s="56" t="s">
        <v>125</v>
      </c>
      <c r="B134" s="56" t="s">
        <v>1033</v>
      </c>
      <c r="C134" s="57" t="s">
        <v>1034</v>
      </c>
      <c r="D134" s="56" t="s">
        <v>1035</v>
      </c>
      <c r="E134" s="56" t="s">
        <v>368</v>
      </c>
      <c r="F134" s="56" t="s">
        <v>2286</v>
      </c>
      <c r="G134" s="56" t="s">
        <v>2286</v>
      </c>
      <c r="H134" s="56" t="s">
        <v>7392</v>
      </c>
      <c r="I134" s="56" t="s">
        <v>368</v>
      </c>
      <c r="J134" s="58">
        <v>0.0</v>
      </c>
      <c r="K134" s="56" t="s">
        <v>738</v>
      </c>
      <c r="L134" s="59"/>
      <c r="M134" s="56" t="s">
        <v>7878</v>
      </c>
      <c r="N134" s="61" t="s">
        <v>373</v>
      </c>
      <c r="O134" s="58" t="s">
        <v>7879</v>
      </c>
    </row>
    <row r="135" ht="15.0" customHeight="1">
      <c r="A135" s="56" t="s">
        <v>2996</v>
      </c>
      <c r="B135" s="56" t="s">
        <v>2997</v>
      </c>
      <c r="C135" s="57" t="s">
        <v>7880</v>
      </c>
      <c r="D135" s="58">
        <v>9.034566596E9</v>
      </c>
      <c r="E135" s="56" t="s">
        <v>368</v>
      </c>
      <c r="F135" s="56" t="s">
        <v>7881</v>
      </c>
      <c r="G135" s="56" t="s">
        <v>452</v>
      </c>
      <c r="H135" s="56" t="s">
        <v>483</v>
      </c>
      <c r="I135" s="56" t="s">
        <v>423</v>
      </c>
      <c r="J135" s="58">
        <v>2.0</v>
      </c>
      <c r="K135" s="56" t="s">
        <v>2121</v>
      </c>
      <c r="L135" s="59"/>
      <c r="M135" s="56" t="s">
        <v>7882</v>
      </c>
      <c r="N135" s="61" t="s">
        <v>373</v>
      </c>
      <c r="O135" s="58" t="s">
        <v>7883</v>
      </c>
    </row>
    <row r="136" ht="15.0" customHeight="1">
      <c r="A136" s="56" t="s">
        <v>6246</v>
      </c>
      <c r="B136" s="56" t="s">
        <v>7884</v>
      </c>
      <c r="C136" s="57" t="s">
        <v>7885</v>
      </c>
      <c r="D136" s="56" t="s">
        <v>6249</v>
      </c>
      <c r="E136" s="56" t="s">
        <v>368</v>
      </c>
      <c r="F136" s="56" t="s">
        <v>2801</v>
      </c>
      <c r="G136" s="56" t="s">
        <v>362</v>
      </c>
      <c r="H136" s="56" t="s">
        <v>7403</v>
      </c>
      <c r="I136" s="56" t="s">
        <v>423</v>
      </c>
      <c r="J136" s="58">
        <v>2.0</v>
      </c>
      <c r="K136" s="56" t="s">
        <v>541</v>
      </c>
      <c r="L136" s="59"/>
      <c r="M136" s="56" t="s">
        <v>7886</v>
      </c>
      <c r="N136" s="61" t="s">
        <v>373</v>
      </c>
      <c r="O136" s="58" t="s">
        <v>7887</v>
      </c>
    </row>
    <row r="137" ht="15.0" customHeight="1">
      <c r="A137" s="56" t="s">
        <v>126</v>
      </c>
      <c r="B137" s="56" t="s">
        <v>3004</v>
      </c>
      <c r="C137" s="57" t="s">
        <v>3005</v>
      </c>
      <c r="D137" s="56" t="s">
        <v>3006</v>
      </c>
      <c r="E137" s="56" t="s">
        <v>368</v>
      </c>
      <c r="F137" s="56" t="s">
        <v>3199</v>
      </c>
      <c r="G137" s="56" t="s">
        <v>2286</v>
      </c>
      <c r="H137" s="56" t="s">
        <v>7439</v>
      </c>
      <c r="I137" s="56" t="s">
        <v>368</v>
      </c>
      <c r="J137" s="58">
        <v>0.0</v>
      </c>
      <c r="K137" s="56" t="s">
        <v>7888</v>
      </c>
      <c r="L137" s="59"/>
      <c r="M137" s="56" t="s">
        <v>7750</v>
      </c>
      <c r="N137" s="61" t="s">
        <v>373</v>
      </c>
      <c r="O137" s="58" t="s">
        <v>7889</v>
      </c>
    </row>
    <row r="138" ht="15.0" customHeight="1">
      <c r="A138" s="56" t="s">
        <v>7890</v>
      </c>
      <c r="B138" s="56" t="s">
        <v>6254</v>
      </c>
      <c r="C138" s="57" t="s">
        <v>6255</v>
      </c>
      <c r="D138" s="58">
        <v>8.172225156E9</v>
      </c>
      <c r="E138" s="56" t="s">
        <v>368</v>
      </c>
      <c r="F138" s="56" t="s">
        <v>7891</v>
      </c>
      <c r="G138" s="56" t="s">
        <v>459</v>
      </c>
      <c r="H138" s="56" t="s">
        <v>7392</v>
      </c>
      <c r="I138" s="56" t="s">
        <v>368</v>
      </c>
      <c r="J138" s="58">
        <v>0.0</v>
      </c>
      <c r="K138" s="56" t="s">
        <v>4823</v>
      </c>
      <c r="L138" s="59"/>
      <c r="M138" s="56" t="s">
        <v>7892</v>
      </c>
      <c r="N138" s="61" t="s">
        <v>373</v>
      </c>
      <c r="O138" s="58" t="s">
        <v>7893</v>
      </c>
    </row>
    <row r="139" ht="15.0" customHeight="1">
      <c r="A139" s="56" t="s">
        <v>7894</v>
      </c>
      <c r="B139" s="56" t="s">
        <v>7895</v>
      </c>
      <c r="C139" s="57" t="s">
        <v>7896</v>
      </c>
      <c r="D139" s="56" t="s">
        <v>7897</v>
      </c>
      <c r="E139" s="56" t="s">
        <v>368</v>
      </c>
      <c r="F139" s="56" t="s">
        <v>7898</v>
      </c>
      <c r="G139" s="56" t="s">
        <v>2286</v>
      </c>
      <c r="H139" s="56" t="s">
        <v>7392</v>
      </c>
      <c r="I139" s="56" t="s">
        <v>368</v>
      </c>
      <c r="J139" s="58">
        <v>0.0</v>
      </c>
      <c r="K139" s="56" t="s">
        <v>3601</v>
      </c>
      <c r="L139" s="59"/>
      <c r="M139" s="56" t="s">
        <v>7899</v>
      </c>
      <c r="N139" s="61" t="s">
        <v>373</v>
      </c>
      <c r="O139" s="58" t="s">
        <v>7900</v>
      </c>
    </row>
    <row r="140" ht="15.0" customHeight="1">
      <c r="A140" s="56" t="s">
        <v>3009</v>
      </c>
      <c r="B140" s="56" t="s">
        <v>1538</v>
      </c>
      <c r="C140" s="57" t="s">
        <v>3010</v>
      </c>
      <c r="D140" s="56" t="s">
        <v>6262</v>
      </c>
      <c r="E140" s="56" t="s">
        <v>368</v>
      </c>
      <c r="F140" s="56" t="s">
        <v>2287</v>
      </c>
      <c r="G140" s="56" t="s">
        <v>2286</v>
      </c>
      <c r="H140" s="56" t="s">
        <v>7392</v>
      </c>
      <c r="I140" s="56" t="s">
        <v>368</v>
      </c>
      <c r="J140" s="58">
        <v>2.0</v>
      </c>
      <c r="K140" s="59"/>
      <c r="L140" s="59"/>
      <c r="M140" s="56" t="s">
        <v>7499</v>
      </c>
      <c r="N140" s="61" t="s">
        <v>394</v>
      </c>
      <c r="O140" s="58" t="s">
        <v>7901</v>
      </c>
    </row>
    <row r="141" ht="15.0" customHeight="1">
      <c r="A141" s="56" t="s">
        <v>127</v>
      </c>
      <c r="B141" s="56" t="s">
        <v>7902</v>
      </c>
      <c r="C141" s="57" t="s">
        <v>7903</v>
      </c>
      <c r="D141" s="56" t="s">
        <v>7904</v>
      </c>
      <c r="E141" s="56" t="s">
        <v>368</v>
      </c>
      <c r="F141" s="56" t="s">
        <v>7905</v>
      </c>
      <c r="G141" s="56" t="s">
        <v>2286</v>
      </c>
      <c r="H141" s="56" t="s">
        <v>381</v>
      </c>
      <c r="I141" s="56" t="s">
        <v>368</v>
      </c>
      <c r="J141" s="58">
        <v>0.0</v>
      </c>
      <c r="K141" s="56" t="s">
        <v>4868</v>
      </c>
      <c r="L141" s="59"/>
      <c r="M141" s="56" t="s">
        <v>7906</v>
      </c>
      <c r="N141" s="61" t="s">
        <v>373</v>
      </c>
      <c r="O141" s="58" t="s">
        <v>7907</v>
      </c>
    </row>
    <row r="142" ht="15.0" customHeight="1">
      <c r="A142" s="56" t="s">
        <v>128</v>
      </c>
      <c r="B142" s="56" t="s">
        <v>7908</v>
      </c>
      <c r="C142" s="57" t="s">
        <v>7909</v>
      </c>
      <c r="D142" s="58">
        <v>1.4698591299E10</v>
      </c>
      <c r="E142" s="56" t="s">
        <v>368</v>
      </c>
      <c r="F142" s="56" t="s">
        <v>7910</v>
      </c>
      <c r="G142" s="56" t="s">
        <v>421</v>
      </c>
      <c r="H142" s="56" t="s">
        <v>7439</v>
      </c>
      <c r="I142" s="56" t="s">
        <v>368</v>
      </c>
      <c r="J142" s="58">
        <v>2.0</v>
      </c>
      <c r="K142" s="56" t="s">
        <v>1830</v>
      </c>
      <c r="L142" s="59"/>
      <c r="M142" s="56" t="s">
        <v>7911</v>
      </c>
      <c r="N142" s="61" t="s">
        <v>373</v>
      </c>
      <c r="O142" s="58" t="s">
        <v>7912</v>
      </c>
    </row>
    <row r="143" ht="15.0" customHeight="1">
      <c r="A143" s="56" t="s">
        <v>7913</v>
      </c>
      <c r="B143" s="56" t="s">
        <v>7914</v>
      </c>
      <c r="C143" s="57" t="s">
        <v>7915</v>
      </c>
      <c r="D143" s="56" t="s">
        <v>7916</v>
      </c>
      <c r="E143" s="56" t="s">
        <v>368</v>
      </c>
      <c r="F143" s="56" t="s">
        <v>4554</v>
      </c>
      <c r="G143" s="56" t="s">
        <v>452</v>
      </c>
      <c r="H143" s="56" t="s">
        <v>7392</v>
      </c>
      <c r="I143" s="56" t="s">
        <v>368</v>
      </c>
      <c r="J143" s="58">
        <v>0.0</v>
      </c>
      <c r="K143" s="56" t="s">
        <v>2228</v>
      </c>
      <c r="L143" s="59"/>
      <c r="M143" s="56" t="s">
        <v>7917</v>
      </c>
      <c r="N143" s="61" t="s">
        <v>373</v>
      </c>
      <c r="O143" s="58" t="s">
        <v>7918</v>
      </c>
    </row>
    <row r="144" ht="15.0" customHeight="1">
      <c r="A144" s="56" t="s">
        <v>129</v>
      </c>
      <c r="B144" s="56" t="s">
        <v>1072</v>
      </c>
      <c r="C144" s="57" t="s">
        <v>7919</v>
      </c>
      <c r="D144" s="56" t="s">
        <v>1074</v>
      </c>
      <c r="E144" s="56" t="s">
        <v>368</v>
      </c>
      <c r="F144" s="56" t="s">
        <v>7920</v>
      </c>
      <c r="G144" s="56" t="s">
        <v>410</v>
      </c>
      <c r="H144" s="56" t="s">
        <v>483</v>
      </c>
      <c r="I144" s="56" t="s">
        <v>423</v>
      </c>
      <c r="J144" s="58">
        <v>5.0</v>
      </c>
      <c r="K144" s="56" t="s">
        <v>1026</v>
      </c>
      <c r="L144" s="59"/>
      <c r="M144" s="56" t="s">
        <v>7921</v>
      </c>
      <c r="N144" s="61" t="s">
        <v>373</v>
      </c>
      <c r="O144" s="58" t="s">
        <v>7657</v>
      </c>
    </row>
    <row r="145" ht="15.0" customHeight="1">
      <c r="A145" s="56" t="s">
        <v>7922</v>
      </c>
      <c r="B145" s="56" t="s">
        <v>7923</v>
      </c>
      <c r="C145" s="57" t="s">
        <v>7924</v>
      </c>
      <c r="D145" s="58">
        <v>7.703681399E9</v>
      </c>
      <c r="E145" s="56" t="s">
        <v>368</v>
      </c>
      <c r="F145" s="56" t="s">
        <v>2286</v>
      </c>
      <c r="G145" s="56" t="s">
        <v>2286</v>
      </c>
      <c r="H145" s="56" t="s">
        <v>7392</v>
      </c>
      <c r="I145" s="56" t="s">
        <v>368</v>
      </c>
      <c r="J145" s="58">
        <v>0.0</v>
      </c>
      <c r="K145" s="56" t="s">
        <v>2113</v>
      </c>
      <c r="L145" s="59"/>
      <c r="M145" s="56" t="s">
        <v>7925</v>
      </c>
      <c r="N145" s="61" t="s">
        <v>373</v>
      </c>
      <c r="O145" s="58" t="s">
        <v>7926</v>
      </c>
    </row>
    <row r="146" ht="15.0" customHeight="1">
      <c r="A146" s="56" t="s">
        <v>130</v>
      </c>
      <c r="B146" s="56" t="s">
        <v>1077</v>
      </c>
      <c r="C146" s="57" t="s">
        <v>1078</v>
      </c>
      <c r="D146" s="56" t="s">
        <v>1079</v>
      </c>
      <c r="E146" s="56" t="s">
        <v>368</v>
      </c>
      <c r="F146" s="56" t="s">
        <v>7927</v>
      </c>
      <c r="G146" s="56" t="s">
        <v>390</v>
      </c>
      <c r="H146" s="56" t="s">
        <v>381</v>
      </c>
      <c r="I146" s="56" t="s">
        <v>368</v>
      </c>
      <c r="J146" s="58">
        <v>0.0</v>
      </c>
      <c r="K146" s="56" t="s">
        <v>446</v>
      </c>
      <c r="L146" s="59"/>
      <c r="M146" s="56" t="s">
        <v>7928</v>
      </c>
      <c r="N146" s="61" t="s">
        <v>373</v>
      </c>
      <c r="O146" s="58" t="s">
        <v>7929</v>
      </c>
    </row>
    <row r="147" ht="15.0" customHeight="1">
      <c r="A147" s="56" t="s">
        <v>131</v>
      </c>
      <c r="B147" s="56" t="s">
        <v>3090</v>
      </c>
      <c r="C147" s="57" t="s">
        <v>3091</v>
      </c>
      <c r="D147" s="58">
        <v>8.177524014E9</v>
      </c>
      <c r="E147" s="56" t="s">
        <v>368</v>
      </c>
      <c r="F147" s="56" t="s">
        <v>3092</v>
      </c>
      <c r="G147" s="56" t="s">
        <v>2286</v>
      </c>
      <c r="H147" s="56" t="s">
        <v>7439</v>
      </c>
      <c r="I147" s="56" t="s">
        <v>423</v>
      </c>
      <c r="J147" s="58">
        <v>0.0</v>
      </c>
      <c r="K147" s="56" t="s">
        <v>7930</v>
      </c>
      <c r="L147" s="59"/>
      <c r="M147" s="56" t="s">
        <v>7931</v>
      </c>
      <c r="N147" s="61" t="s">
        <v>373</v>
      </c>
      <c r="O147" s="58" t="s">
        <v>7932</v>
      </c>
    </row>
    <row r="148" ht="15.0" customHeight="1">
      <c r="A148" s="56" t="s">
        <v>132</v>
      </c>
      <c r="B148" s="56" t="s">
        <v>3101</v>
      </c>
      <c r="C148" s="57" t="s">
        <v>3102</v>
      </c>
      <c r="D148" s="58">
        <v>5.865650801E9</v>
      </c>
      <c r="E148" s="56" t="s">
        <v>368</v>
      </c>
      <c r="F148" s="56" t="s">
        <v>3103</v>
      </c>
      <c r="G148" s="56" t="s">
        <v>390</v>
      </c>
      <c r="H148" s="56" t="s">
        <v>7403</v>
      </c>
      <c r="I148" s="56" t="s">
        <v>423</v>
      </c>
      <c r="J148" s="58">
        <v>0.0</v>
      </c>
      <c r="K148" s="56" t="s">
        <v>1732</v>
      </c>
      <c r="L148" s="59"/>
      <c r="M148" s="56" t="s">
        <v>7933</v>
      </c>
      <c r="N148" s="61" t="s">
        <v>373</v>
      </c>
      <c r="O148" s="58" t="s">
        <v>7934</v>
      </c>
    </row>
    <row r="149" ht="15.0" customHeight="1">
      <c r="A149" s="56" t="s">
        <v>1097</v>
      </c>
      <c r="B149" s="56" t="s">
        <v>7935</v>
      </c>
      <c r="C149" s="57" t="s">
        <v>6296</v>
      </c>
      <c r="D149" s="58">
        <v>7.138852092E9</v>
      </c>
      <c r="E149" s="56" t="s">
        <v>368</v>
      </c>
      <c r="F149" s="56" t="s">
        <v>2286</v>
      </c>
      <c r="G149" s="56" t="s">
        <v>2286</v>
      </c>
      <c r="H149" s="56" t="s">
        <v>7392</v>
      </c>
      <c r="I149" s="56" t="s">
        <v>368</v>
      </c>
      <c r="J149" s="58">
        <v>0.0</v>
      </c>
      <c r="K149" s="56" t="s">
        <v>3186</v>
      </c>
      <c r="L149" s="59"/>
      <c r="M149" s="56" t="s">
        <v>7936</v>
      </c>
      <c r="N149" s="61" t="s">
        <v>373</v>
      </c>
      <c r="O149" s="58" t="s">
        <v>7937</v>
      </c>
    </row>
    <row r="150" ht="15.0" customHeight="1">
      <c r="A150" s="56" t="s">
        <v>133</v>
      </c>
      <c r="B150" s="56" t="s">
        <v>7938</v>
      </c>
      <c r="C150" s="57" t="s">
        <v>7939</v>
      </c>
      <c r="D150" s="58">
        <v>9.735498436E9</v>
      </c>
      <c r="E150" s="56" t="s">
        <v>368</v>
      </c>
      <c r="F150" s="56" t="s">
        <v>3111</v>
      </c>
      <c r="G150" s="56" t="s">
        <v>410</v>
      </c>
      <c r="H150" s="56" t="s">
        <v>381</v>
      </c>
      <c r="I150" s="56" t="s">
        <v>368</v>
      </c>
      <c r="J150" s="58">
        <v>0.0</v>
      </c>
      <c r="K150" s="56" t="s">
        <v>1521</v>
      </c>
      <c r="L150" s="59"/>
      <c r="M150" s="56" t="s">
        <v>7940</v>
      </c>
      <c r="N150" s="61" t="s">
        <v>373</v>
      </c>
      <c r="O150" s="58" t="s">
        <v>7941</v>
      </c>
    </row>
    <row r="151" ht="15.0" customHeight="1">
      <c r="A151" s="56" t="s">
        <v>7942</v>
      </c>
      <c r="B151" s="56" t="s">
        <v>7943</v>
      </c>
      <c r="C151" s="57" t="s">
        <v>7944</v>
      </c>
      <c r="D151" s="56" t="s">
        <v>7945</v>
      </c>
      <c r="E151" s="56" t="s">
        <v>423</v>
      </c>
      <c r="F151" s="56" t="s">
        <v>7946</v>
      </c>
      <c r="G151" s="56" t="s">
        <v>421</v>
      </c>
      <c r="H151" s="56" t="s">
        <v>7392</v>
      </c>
      <c r="I151" s="56" t="s">
        <v>368</v>
      </c>
      <c r="J151" s="58">
        <v>0.0</v>
      </c>
      <c r="K151" s="56" t="s">
        <v>1773</v>
      </c>
      <c r="L151" s="59"/>
      <c r="M151" s="56" t="s">
        <v>7947</v>
      </c>
      <c r="N151" s="61" t="s">
        <v>373</v>
      </c>
      <c r="O151" s="58" t="s">
        <v>7948</v>
      </c>
    </row>
    <row r="152" ht="15.0" customHeight="1">
      <c r="A152" s="56" t="s">
        <v>6310</v>
      </c>
      <c r="B152" s="56" t="s">
        <v>7949</v>
      </c>
      <c r="C152" s="57" t="s">
        <v>6312</v>
      </c>
      <c r="D152" s="58">
        <v>7.048043221E9</v>
      </c>
      <c r="E152" s="56" t="s">
        <v>368</v>
      </c>
      <c r="F152" s="56" t="s">
        <v>2504</v>
      </c>
      <c r="G152" s="56" t="s">
        <v>2286</v>
      </c>
      <c r="H152" s="56" t="s">
        <v>7403</v>
      </c>
      <c r="I152" s="56" t="s">
        <v>423</v>
      </c>
      <c r="J152" s="58">
        <v>3.0</v>
      </c>
      <c r="K152" s="56" t="s">
        <v>7950</v>
      </c>
      <c r="L152" s="59"/>
      <c r="M152" s="56" t="s">
        <v>7951</v>
      </c>
      <c r="N152" s="61" t="s">
        <v>373</v>
      </c>
      <c r="O152" s="58" t="s">
        <v>7952</v>
      </c>
    </row>
    <row r="153" ht="15.0" customHeight="1">
      <c r="A153" s="56" t="s">
        <v>4911</v>
      </c>
      <c r="B153" s="56" t="s">
        <v>4912</v>
      </c>
      <c r="C153" s="57" t="s">
        <v>4913</v>
      </c>
      <c r="D153" s="58">
        <v>5.12485002E9</v>
      </c>
      <c r="E153" s="56" t="s">
        <v>368</v>
      </c>
      <c r="F153" s="56" t="s">
        <v>4914</v>
      </c>
      <c r="G153" s="56" t="s">
        <v>2286</v>
      </c>
      <c r="H153" s="56" t="s">
        <v>7392</v>
      </c>
      <c r="I153" s="56" t="s">
        <v>368</v>
      </c>
      <c r="J153" s="58">
        <v>0.0</v>
      </c>
      <c r="K153" s="56" t="s">
        <v>3668</v>
      </c>
      <c r="L153" s="59"/>
      <c r="M153" s="56" t="s">
        <v>7953</v>
      </c>
      <c r="N153" s="61" t="s">
        <v>373</v>
      </c>
      <c r="O153" s="58" t="s">
        <v>7932</v>
      </c>
    </row>
    <row r="154" ht="15.0" customHeight="1">
      <c r="A154" s="56" t="s">
        <v>134</v>
      </c>
      <c r="B154" s="56" t="s">
        <v>6316</v>
      </c>
      <c r="C154" s="57" t="s">
        <v>6317</v>
      </c>
      <c r="D154" s="56" t="s">
        <v>7954</v>
      </c>
      <c r="E154" s="56" t="s">
        <v>368</v>
      </c>
      <c r="F154" s="56" t="s">
        <v>5087</v>
      </c>
      <c r="G154" s="56" t="s">
        <v>2286</v>
      </c>
      <c r="H154" s="56" t="s">
        <v>7392</v>
      </c>
      <c r="I154" s="56" t="s">
        <v>368</v>
      </c>
      <c r="J154" s="58">
        <v>3.0</v>
      </c>
      <c r="K154" s="56" t="s">
        <v>5538</v>
      </c>
      <c r="L154" s="59"/>
      <c r="M154" s="56" t="s">
        <v>7955</v>
      </c>
      <c r="N154" s="61" t="s">
        <v>373</v>
      </c>
      <c r="O154" s="58" t="s">
        <v>7956</v>
      </c>
    </row>
    <row r="155" ht="15.0" customHeight="1">
      <c r="A155" s="56" t="s">
        <v>135</v>
      </c>
      <c r="B155" s="56" t="s">
        <v>1139</v>
      </c>
      <c r="C155" s="57" t="s">
        <v>1140</v>
      </c>
      <c r="D155" s="56" t="s">
        <v>7957</v>
      </c>
      <c r="E155" s="56" t="s">
        <v>368</v>
      </c>
      <c r="F155" s="56" t="s">
        <v>7958</v>
      </c>
      <c r="G155" s="56" t="s">
        <v>390</v>
      </c>
      <c r="H155" s="56" t="s">
        <v>7392</v>
      </c>
      <c r="I155" s="56" t="s">
        <v>368</v>
      </c>
      <c r="J155" s="58">
        <v>0.0</v>
      </c>
      <c r="K155" s="56" t="s">
        <v>1960</v>
      </c>
      <c r="L155" s="59"/>
      <c r="M155" s="56" t="s">
        <v>7959</v>
      </c>
      <c r="N155" s="61" t="s">
        <v>373</v>
      </c>
      <c r="O155" s="58" t="s">
        <v>7960</v>
      </c>
    </row>
    <row r="156" ht="15.0" customHeight="1">
      <c r="A156" s="56" t="s">
        <v>1144</v>
      </c>
      <c r="B156" s="56" t="s">
        <v>1144</v>
      </c>
      <c r="C156" s="57" t="s">
        <v>1145</v>
      </c>
      <c r="D156" s="56" t="s">
        <v>4933</v>
      </c>
      <c r="E156" s="56" t="s">
        <v>368</v>
      </c>
      <c r="F156" s="56" t="s">
        <v>7961</v>
      </c>
      <c r="G156" s="56" t="s">
        <v>2286</v>
      </c>
      <c r="H156" s="56" t="s">
        <v>483</v>
      </c>
      <c r="I156" s="56" t="s">
        <v>423</v>
      </c>
      <c r="J156" s="58">
        <v>0.0</v>
      </c>
      <c r="K156" s="56" t="s">
        <v>2884</v>
      </c>
      <c r="L156" s="59"/>
      <c r="M156" s="56" t="s">
        <v>7962</v>
      </c>
      <c r="N156" s="61" t="s">
        <v>394</v>
      </c>
      <c r="O156" s="58" t="s">
        <v>7657</v>
      </c>
    </row>
    <row r="157" ht="15.0" customHeight="1">
      <c r="A157" s="56" t="s">
        <v>7963</v>
      </c>
      <c r="B157" s="56" t="s">
        <v>7964</v>
      </c>
      <c r="C157" s="57" t="s">
        <v>7965</v>
      </c>
      <c r="D157" s="58">
        <v>4.014565942E9</v>
      </c>
      <c r="E157" s="56" t="s">
        <v>368</v>
      </c>
      <c r="F157" s="56" t="s">
        <v>2504</v>
      </c>
      <c r="G157" s="56" t="s">
        <v>2286</v>
      </c>
      <c r="H157" s="56" t="s">
        <v>7392</v>
      </c>
      <c r="I157" s="56" t="s">
        <v>368</v>
      </c>
      <c r="J157" s="58">
        <v>0.0</v>
      </c>
      <c r="K157" s="56" t="s">
        <v>785</v>
      </c>
      <c r="L157" s="59"/>
      <c r="M157" s="56" t="s">
        <v>7899</v>
      </c>
      <c r="N157" s="61" t="s">
        <v>394</v>
      </c>
      <c r="O157" s="58" t="s">
        <v>7966</v>
      </c>
    </row>
    <row r="158" ht="15.0" customHeight="1">
      <c r="A158" s="56" t="s">
        <v>7967</v>
      </c>
      <c r="B158" s="56" t="s">
        <v>7968</v>
      </c>
      <c r="C158" s="57" t="s">
        <v>7969</v>
      </c>
      <c r="D158" s="58">
        <v>9.038219265E9</v>
      </c>
      <c r="E158" s="56" t="s">
        <v>368</v>
      </c>
      <c r="F158" s="56" t="s">
        <v>7970</v>
      </c>
      <c r="G158" s="56" t="s">
        <v>390</v>
      </c>
      <c r="H158" s="56" t="s">
        <v>7392</v>
      </c>
      <c r="I158" s="56" t="s">
        <v>368</v>
      </c>
      <c r="J158" s="58">
        <v>2.0</v>
      </c>
      <c r="K158" s="56" t="s">
        <v>4240</v>
      </c>
      <c r="L158" s="59"/>
      <c r="M158" s="56" t="s">
        <v>7971</v>
      </c>
      <c r="N158" s="61" t="s">
        <v>373</v>
      </c>
      <c r="O158" s="58" t="s">
        <v>7972</v>
      </c>
    </row>
    <row r="159" ht="15.0" customHeight="1">
      <c r="A159" s="56" t="s">
        <v>136</v>
      </c>
      <c r="B159" s="56" t="s">
        <v>1149</v>
      </c>
      <c r="C159" s="57" t="s">
        <v>1150</v>
      </c>
      <c r="D159" s="56" t="s">
        <v>4936</v>
      </c>
      <c r="E159" s="56" t="s">
        <v>368</v>
      </c>
      <c r="F159" s="56" t="s">
        <v>5175</v>
      </c>
      <c r="G159" s="56" t="s">
        <v>2286</v>
      </c>
      <c r="H159" s="56" t="s">
        <v>7403</v>
      </c>
      <c r="I159" s="56" t="s">
        <v>368</v>
      </c>
      <c r="J159" s="58">
        <v>0.0</v>
      </c>
      <c r="K159" s="56" t="s">
        <v>1341</v>
      </c>
      <c r="L159" s="59"/>
      <c r="M159" s="56" t="s">
        <v>7973</v>
      </c>
      <c r="N159" s="61" t="s">
        <v>373</v>
      </c>
      <c r="O159" s="58" t="s">
        <v>7974</v>
      </c>
    </row>
    <row r="160" ht="15.0" customHeight="1">
      <c r="A160" s="56" t="s">
        <v>7975</v>
      </c>
      <c r="B160" s="56" t="s">
        <v>7976</v>
      </c>
      <c r="C160" s="57" t="s">
        <v>7977</v>
      </c>
      <c r="D160" s="56" t="s">
        <v>7978</v>
      </c>
      <c r="E160" s="56" t="s">
        <v>368</v>
      </c>
      <c r="F160" s="56" t="s">
        <v>390</v>
      </c>
      <c r="G160" s="56" t="s">
        <v>390</v>
      </c>
      <c r="H160" s="56" t="s">
        <v>7392</v>
      </c>
      <c r="I160" s="56" t="s">
        <v>368</v>
      </c>
      <c r="J160" s="58">
        <v>0.0</v>
      </c>
      <c r="K160" s="56" t="s">
        <v>1584</v>
      </c>
      <c r="L160" s="59"/>
      <c r="M160" s="56" t="s">
        <v>7979</v>
      </c>
      <c r="N160" s="61" t="s">
        <v>373</v>
      </c>
      <c r="O160" s="58" t="s">
        <v>7980</v>
      </c>
    </row>
    <row r="161" ht="15.0" customHeight="1">
      <c r="A161" s="56" t="s">
        <v>137</v>
      </c>
      <c r="B161" s="56" t="s">
        <v>1159</v>
      </c>
      <c r="C161" s="57" t="s">
        <v>1160</v>
      </c>
      <c r="D161" s="58">
        <v>4.432550784E9</v>
      </c>
      <c r="E161" s="56" t="s">
        <v>368</v>
      </c>
      <c r="F161" s="56" t="s">
        <v>3197</v>
      </c>
      <c r="G161" s="56" t="s">
        <v>877</v>
      </c>
      <c r="H161" s="56" t="s">
        <v>7403</v>
      </c>
      <c r="I161" s="56" t="s">
        <v>368</v>
      </c>
      <c r="J161" s="58">
        <v>0.0</v>
      </c>
      <c r="K161" s="56" t="s">
        <v>2648</v>
      </c>
      <c r="L161" s="59"/>
      <c r="M161" s="56" t="s">
        <v>7981</v>
      </c>
      <c r="N161" s="61" t="s">
        <v>373</v>
      </c>
      <c r="O161" s="58" t="s">
        <v>7982</v>
      </c>
    </row>
    <row r="162" ht="15.0" customHeight="1">
      <c r="A162" s="56" t="s">
        <v>7983</v>
      </c>
      <c r="B162" s="56" t="s">
        <v>7984</v>
      </c>
      <c r="C162" s="57" t="s">
        <v>7985</v>
      </c>
      <c r="D162" s="56" t="s">
        <v>7986</v>
      </c>
      <c r="E162" s="56" t="s">
        <v>368</v>
      </c>
      <c r="F162" s="56" t="s">
        <v>2287</v>
      </c>
      <c r="G162" s="56" t="s">
        <v>1789</v>
      </c>
      <c r="H162" s="56" t="s">
        <v>7392</v>
      </c>
      <c r="I162" s="56" t="s">
        <v>368</v>
      </c>
      <c r="J162" s="58">
        <v>0.0</v>
      </c>
      <c r="K162" s="56" t="s">
        <v>1748</v>
      </c>
      <c r="L162" s="59"/>
      <c r="M162" s="56" t="s">
        <v>7987</v>
      </c>
      <c r="N162" s="61" t="s">
        <v>373</v>
      </c>
      <c r="O162" s="58" t="s">
        <v>7988</v>
      </c>
    </row>
    <row r="163" ht="15.0" customHeight="1">
      <c r="A163" s="56" t="s">
        <v>6362</v>
      </c>
      <c r="B163" s="56" t="s">
        <v>6363</v>
      </c>
      <c r="C163" s="57" t="s">
        <v>6364</v>
      </c>
      <c r="D163" s="58">
        <v>8.477680745E9</v>
      </c>
      <c r="E163" s="56" t="s">
        <v>368</v>
      </c>
      <c r="F163" s="56" t="s">
        <v>7989</v>
      </c>
      <c r="G163" s="56" t="s">
        <v>410</v>
      </c>
      <c r="H163" s="56" t="s">
        <v>7392</v>
      </c>
      <c r="I163" s="56" t="s">
        <v>368</v>
      </c>
      <c r="J163" s="58">
        <v>0.0</v>
      </c>
      <c r="K163" s="56" t="s">
        <v>1365</v>
      </c>
      <c r="L163" s="59"/>
      <c r="M163" s="56" t="s">
        <v>7990</v>
      </c>
      <c r="N163" s="61" t="s">
        <v>373</v>
      </c>
      <c r="O163" s="58" t="s">
        <v>7991</v>
      </c>
    </row>
    <row r="164" ht="15.0" customHeight="1">
      <c r="A164" s="56" t="s">
        <v>138</v>
      </c>
      <c r="B164" s="56" t="s">
        <v>1174</v>
      </c>
      <c r="C164" s="57" t="s">
        <v>1175</v>
      </c>
      <c r="D164" s="56" t="s">
        <v>4947</v>
      </c>
      <c r="E164" s="56" t="s">
        <v>368</v>
      </c>
      <c r="F164" s="56" t="s">
        <v>5704</v>
      </c>
      <c r="G164" s="56" t="s">
        <v>390</v>
      </c>
      <c r="H164" s="56" t="s">
        <v>7392</v>
      </c>
      <c r="I164" s="56" t="s">
        <v>368</v>
      </c>
      <c r="J164" s="58">
        <v>0.0</v>
      </c>
      <c r="K164" s="56" t="s">
        <v>3052</v>
      </c>
      <c r="L164" s="59"/>
      <c r="M164" s="56" t="s">
        <v>7992</v>
      </c>
      <c r="N164" s="61" t="s">
        <v>373</v>
      </c>
      <c r="O164" s="58" t="s">
        <v>7993</v>
      </c>
    </row>
    <row r="165" ht="15.0" customHeight="1">
      <c r="A165" s="56" t="s">
        <v>139</v>
      </c>
      <c r="B165" s="56" t="s">
        <v>1191</v>
      </c>
      <c r="C165" s="57" t="s">
        <v>1192</v>
      </c>
      <c r="D165" s="58">
        <v>7.13213176E9</v>
      </c>
      <c r="E165" s="56" t="s">
        <v>368</v>
      </c>
      <c r="F165" s="56" t="s">
        <v>2614</v>
      </c>
      <c r="G165" s="56" t="s">
        <v>2286</v>
      </c>
      <c r="H165" s="56" t="s">
        <v>7392</v>
      </c>
      <c r="I165" s="56" t="s">
        <v>423</v>
      </c>
      <c r="J165" s="58">
        <v>3.0</v>
      </c>
      <c r="K165" s="56" t="s">
        <v>3474</v>
      </c>
      <c r="L165" s="59"/>
      <c r="M165" s="56" t="s">
        <v>7994</v>
      </c>
      <c r="N165" s="61" t="s">
        <v>373</v>
      </c>
      <c r="O165" s="58" t="s">
        <v>7995</v>
      </c>
    </row>
    <row r="166" ht="15.0" customHeight="1">
      <c r="A166" s="56" t="s">
        <v>7996</v>
      </c>
      <c r="B166" s="56" t="s">
        <v>7997</v>
      </c>
      <c r="C166" s="57" t="s">
        <v>7998</v>
      </c>
      <c r="D166" s="56" t="s">
        <v>7999</v>
      </c>
      <c r="E166" s="56" t="s">
        <v>368</v>
      </c>
      <c r="F166" s="56" t="s">
        <v>2287</v>
      </c>
      <c r="G166" s="56" t="s">
        <v>1789</v>
      </c>
      <c r="H166" s="56" t="s">
        <v>7403</v>
      </c>
      <c r="I166" s="56" t="s">
        <v>368</v>
      </c>
      <c r="J166" s="58">
        <v>0.0</v>
      </c>
      <c r="K166" s="56" t="s">
        <v>743</v>
      </c>
      <c r="L166" s="59"/>
      <c r="M166" s="56" t="s">
        <v>8000</v>
      </c>
      <c r="N166" s="61" t="s">
        <v>373</v>
      </c>
      <c r="O166" s="58" t="s">
        <v>8001</v>
      </c>
    </row>
    <row r="167" ht="15.0" customHeight="1">
      <c r="A167" s="56" t="s">
        <v>140</v>
      </c>
      <c r="B167" s="56" t="s">
        <v>8002</v>
      </c>
      <c r="C167" s="57" t="s">
        <v>8003</v>
      </c>
      <c r="D167" s="58">
        <v>2.143466264E9</v>
      </c>
      <c r="E167" s="56" t="s">
        <v>368</v>
      </c>
      <c r="F167" s="56" t="s">
        <v>2582</v>
      </c>
      <c r="G167" s="56" t="s">
        <v>2286</v>
      </c>
      <c r="H167" s="56" t="s">
        <v>7439</v>
      </c>
      <c r="I167" s="56" t="s">
        <v>368</v>
      </c>
      <c r="J167" s="58">
        <v>0.0</v>
      </c>
      <c r="K167" s="56" t="s">
        <v>8004</v>
      </c>
      <c r="L167" s="59"/>
      <c r="M167" s="56" t="s">
        <v>8005</v>
      </c>
      <c r="N167" s="61" t="s">
        <v>373</v>
      </c>
      <c r="O167" s="58" t="s">
        <v>8006</v>
      </c>
    </row>
    <row r="168" ht="15.0" customHeight="1">
      <c r="A168" s="56" t="s">
        <v>1202</v>
      </c>
      <c r="B168" s="56" t="s">
        <v>4959</v>
      </c>
      <c r="C168" s="57" t="s">
        <v>1204</v>
      </c>
      <c r="D168" s="58">
        <v>2.817066169E9</v>
      </c>
      <c r="E168" s="56" t="s">
        <v>368</v>
      </c>
      <c r="F168" s="56" t="s">
        <v>8007</v>
      </c>
      <c r="G168" s="56" t="s">
        <v>390</v>
      </c>
      <c r="H168" s="56" t="s">
        <v>7439</v>
      </c>
      <c r="I168" s="56" t="s">
        <v>423</v>
      </c>
      <c r="J168" s="58">
        <v>4.0</v>
      </c>
      <c r="K168" s="56" t="s">
        <v>8008</v>
      </c>
      <c r="L168" s="59"/>
      <c r="M168" s="56" t="s">
        <v>8009</v>
      </c>
      <c r="N168" s="61" t="s">
        <v>373</v>
      </c>
      <c r="O168" s="58" t="s">
        <v>7820</v>
      </c>
    </row>
    <row r="169" ht="15.0" customHeight="1">
      <c r="A169" s="56" t="s">
        <v>142</v>
      </c>
      <c r="B169" s="56" t="s">
        <v>4961</v>
      </c>
      <c r="C169" s="57" t="s">
        <v>4962</v>
      </c>
      <c r="D169" s="58">
        <v>9.85789895E9</v>
      </c>
      <c r="E169" s="56" t="s">
        <v>368</v>
      </c>
      <c r="F169" s="56" t="s">
        <v>7408</v>
      </c>
      <c r="G169" s="56" t="s">
        <v>410</v>
      </c>
      <c r="H169" s="56" t="s">
        <v>7392</v>
      </c>
      <c r="I169" s="56" t="s">
        <v>368</v>
      </c>
      <c r="J169" s="58">
        <v>0.0</v>
      </c>
      <c r="K169" s="56" t="s">
        <v>8010</v>
      </c>
      <c r="L169" s="59"/>
      <c r="M169" s="56" t="s">
        <v>8011</v>
      </c>
      <c r="N169" s="61" t="s">
        <v>373</v>
      </c>
      <c r="O169" s="58" t="s">
        <v>8012</v>
      </c>
    </row>
    <row r="170" ht="15.0" customHeight="1">
      <c r="A170" s="56" t="s">
        <v>8013</v>
      </c>
      <c r="B170" s="56" t="s">
        <v>8014</v>
      </c>
      <c r="C170" s="57" t="s">
        <v>8015</v>
      </c>
      <c r="D170" s="56" t="s">
        <v>8016</v>
      </c>
      <c r="E170" s="56" t="s">
        <v>368</v>
      </c>
      <c r="F170" s="56" t="s">
        <v>7408</v>
      </c>
      <c r="G170" s="56" t="s">
        <v>2286</v>
      </c>
      <c r="H170" s="56" t="s">
        <v>7392</v>
      </c>
      <c r="I170" s="56" t="s">
        <v>423</v>
      </c>
      <c r="J170" s="58">
        <v>2.0</v>
      </c>
      <c r="K170" s="56" t="s">
        <v>8010</v>
      </c>
      <c r="L170" s="59"/>
      <c r="M170" s="56" t="s">
        <v>8017</v>
      </c>
      <c r="N170" s="61" t="s">
        <v>373</v>
      </c>
      <c r="O170" s="58" t="s">
        <v>8018</v>
      </c>
    </row>
    <row r="171" ht="15.0" customHeight="1">
      <c r="A171" s="56" t="s">
        <v>4969</v>
      </c>
      <c r="B171" s="56" t="s">
        <v>8019</v>
      </c>
      <c r="C171" s="57" t="s">
        <v>8020</v>
      </c>
      <c r="D171" s="56" t="s">
        <v>8021</v>
      </c>
      <c r="E171" s="56" t="s">
        <v>368</v>
      </c>
      <c r="F171" s="56" t="s">
        <v>453</v>
      </c>
      <c r="G171" s="56" t="s">
        <v>390</v>
      </c>
      <c r="H171" s="56" t="s">
        <v>7392</v>
      </c>
      <c r="I171" s="56" t="s">
        <v>423</v>
      </c>
      <c r="J171" s="58">
        <v>0.0</v>
      </c>
      <c r="K171" s="56" t="s">
        <v>1732</v>
      </c>
      <c r="L171" s="59"/>
      <c r="M171" s="56" t="s">
        <v>8022</v>
      </c>
      <c r="N171" s="61" t="s">
        <v>373</v>
      </c>
      <c r="O171" s="58" t="s">
        <v>8023</v>
      </c>
    </row>
    <row r="172" ht="15.0" customHeight="1">
      <c r="A172" s="56" t="s">
        <v>143</v>
      </c>
      <c r="B172" s="56" t="s">
        <v>1216</v>
      </c>
      <c r="C172" s="57" t="s">
        <v>1217</v>
      </c>
      <c r="D172" s="58">
        <v>2.144910585E9</v>
      </c>
      <c r="E172" s="56" t="s">
        <v>368</v>
      </c>
      <c r="F172" s="56" t="s">
        <v>2614</v>
      </c>
      <c r="G172" s="56" t="s">
        <v>2286</v>
      </c>
      <c r="H172" s="56" t="s">
        <v>7403</v>
      </c>
      <c r="I172" s="56" t="s">
        <v>368</v>
      </c>
      <c r="J172" s="58">
        <v>0.0</v>
      </c>
      <c r="K172" s="56" t="s">
        <v>3270</v>
      </c>
      <c r="L172" s="59"/>
      <c r="M172" s="56" t="s">
        <v>8024</v>
      </c>
      <c r="N172" s="61" t="s">
        <v>373</v>
      </c>
      <c r="O172" s="58" t="s">
        <v>8025</v>
      </c>
    </row>
    <row r="173" ht="15.0" customHeight="1">
      <c r="A173" s="56" t="s">
        <v>144</v>
      </c>
      <c r="B173" s="56" t="s">
        <v>3238</v>
      </c>
      <c r="C173" s="57" t="s">
        <v>3239</v>
      </c>
      <c r="D173" s="56" t="s">
        <v>6395</v>
      </c>
      <c r="E173" s="56" t="s">
        <v>368</v>
      </c>
      <c r="F173" s="56" t="s">
        <v>8026</v>
      </c>
      <c r="G173" s="56" t="s">
        <v>452</v>
      </c>
      <c r="H173" s="56" t="s">
        <v>381</v>
      </c>
      <c r="I173" s="56" t="s">
        <v>368</v>
      </c>
      <c r="J173" s="58">
        <v>3.0</v>
      </c>
      <c r="K173" s="56" t="s">
        <v>2236</v>
      </c>
      <c r="L173" s="59"/>
      <c r="M173" s="56" t="s">
        <v>8027</v>
      </c>
      <c r="N173" s="61" t="s">
        <v>373</v>
      </c>
      <c r="O173" s="58" t="s">
        <v>8028</v>
      </c>
    </row>
    <row r="174" ht="15.0" customHeight="1">
      <c r="A174" s="56" t="s">
        <v>145</v>
      </c>
      <c r="B174" s="56" t="s">
        <v>1235</v>
      </c>
      <c r="C174" s="57" t="s">
        <v>1236</v>
      </c>
      <c r="D174" s="58">
        <v>1.2108412881E10</v>
      </c>
      <c r="E174" s="56" t="s">
        <v>368</v>
      </c>
      <c r="F174" s="56" t="s">
        <v>7408</v>
      </c>
      <c r="G174" s="56" t="s">
        <v>2286</v>
      </c>
      <c r="H174" s="56" t="s">
        <v>7439</v>
      </c>
      <c r="I174" s="56" t="s">
        <v>423</v>
      </c>
      <c r="J174" s="58">
        <v>2.0</v>
      </c>
      <c r="K174" s="56" t="s">
        <v>6673</v>
      </c>
      <c r="L174" s="59"/>
      <c r="M174" s="56" t="s">
        <v>8029</v>
      </c>
      <c r="N174" s="61" t="s">
        <v>373</v>
      </c>
      <c r="O174" s="58" t="s">
        <v>7974</v>
      </c>
    </row>
    <row r="175" ht="15.0" customHeight="1">
      <c r="A175" s="56" t="s">
        <v>8030</v>
      </c>
      <c r="B175" s="56" t="s">
        <v>8031</v>
      </c>
      <c r="C175" s="57" t="s">
        <v>8032</v>
      </c>
      <c r="D175" s="56" t="s">
        <v>8033</v>
      </c>
      <c r="E175" s="56" t="s">
        <v>368</v>
      </c>
      <c r="F175" s="56" t="s">
        <v>1080</v>
      </c>
      <c r="G175" s="56" t="s">
        <v>410</v>
      </c>
      <c r="H175" s="56" t="s">
        <v>7403</v>
      </c>
      <c r="I175" s="56" t="s">
        <v>368</v>
      </c>
      <c r="J175" s="58">
        <v>0.0</v>
      </c>
      <c r="K175" s="56" t="s">
        <v>1477</v>
      </c>
      <c r="L175" s="59"/>
      <c r="M175" s="56" t="s">
        <v>8034</v>
      </c>
      <c r="N175" s="61" t="s">
        <v>373</v>
      </c>
      <c r="O175" s="58" t="s">
        <v>8035</v>
      </c>
    </row>
    <row r="176" ht="15.0" customHeight="1">
      <c r="A176" s="56" t="s">
        <v>6405</v>
      </c>
      <c r="B176" s="56" t="s">
        <v>650</v>
      </c>
      <c r="C176" s="57" t="s">
        <v>1186</v>
      </c>
      <c r="D176" s="56" t="s">
        <v>3213</v>
      </c>
      <c r="E176" s="56" t="s">
        <v>368</v>
      </c>
      <c r="F176" s="56" t="s">
        <v>8036</v>
      </c>
      <c r="G176" s="56" t="s">
        <v>421</v>
      </c>
      <c r="H176" s="56" t="s">
        <v>7392</v>
      </c>
      <c r="I176" s="56" t="s">
        <v>368</v>
      </c>
      <c r="J176" s="58">
        <v>0.0</v>
      </c>
      <c r="K176" s="56" t="s">
        <v>3932</v>
      </c>
      <c r="L176" s="59"/>
      <c r="M176" s="56" t="s">
        <v>8037</v>
      </c>
      <c r="N176" s="61" t="s">
        <v>373</v>
      </c>
      <c r="O176" s="58" t="s">
        <v>8038</v>
      </c>
    </row>
    <row r="177" ht="15.0" customHeight="1">
      <c r="A177" s="56" t="s">
        <v>306</v>
      </c>
      <c r="B177" s="56" t="s">
        <v>3272</v>
      </c>
      <c r="C177" s="57" t="s">
        <v>8039</v>
      </c>
      <c r="D177" s="56" t="s">
        <v>3274</v>
      </c>
      <c r="E177" s="56" t="s">
        <v>368</v>
      </c>
      <c r="F177" s="56" t="s">
        <v>8040</v>
      </c>
      <c r="G177" s="56" t="s">
        <v>390</v>
      </c>
      <c r="H177" s="56" t="s">
        <v>7392</v>
      </c>
      <c r="I177" s="56" t="s">
        <v>368</v>
      </c>
      <c r="J177" s="58">
        <v>0.0</v>
      </c>
      <c r="K177" s="59"/>
      <c r="L177" s="59"/>
      <c r="M177" s="56" t="s">
        <v>7899</v>
      </c>
      <c r="N177" s="61" t="s">
        <v>394</v>
      </c>
      <c r="O177" s="58" t="s">
        <v>8041</v>
      </c>
    </row>
    <row r="178" ht="15.0" customHeight="1">
      <c r="A178" s="56" t="s">
        <v>146</v>
      </c>
      <c r="B178" s="56" t="s">
        <v>8042</v>
      </c>
      <c r="C178" s="57" t="s">
        <v>4990</v>
      </c>
      <c r="D178" s="56" t="s">
        <v>4991</v>
      </c>
      <c r="E178" s="56" t="s">
        <v>368</v>
      </c>
      <c r="F178" s="56" t="s">
        <v>2614</v>
      </c>
      <c r="G178" s="56" t="s">
        <v>2286</v>
      </c>
      <c r="H178" s="56" t="s">
        <v>381</v>
      </c>
      <c r="I178" s="56" t="s">
        <v>368</v>
      </c>
      <c r="J178" s="58">
        <v>0.0</v>
      </c>
      <c r="K178" s="56" t="s">
        <v>4051</v>
      </c>
      <c r="L178" s="59"/>
      <c r="M178" s="56" t="s">
        <v>8043</v>
      </c>
      <c r="N178" s="61" t="s">
        <v>373</v>
      </c>
      <c r="O178" s="58" t="s">
        <v>8044</v>
      </c>
    </row>
    <row r="179" ht="15.0" customHeight="1">
      <c r="A179" s="56" t="s">
        <v>307</v>
      </c>
      <c r="B179" s="56" t="s">
        <v>1460</v>
      </c>
      <c r="C179" s="57" t="s">
        <v>1243</v>
      </c>
      <c r="D179" s="56" t="s">
        <v>4993</v>
      </c>
      <c r="E179" s="56" t="s">
        <v>368</v>
      </c>
      <c r="F179" s="56" t="s">
        <v>8045</v>
      </c>
      <c r="G179" s="56" t="s">
        <v>362</v>
      </c>
      <c r="H179" s="56" t="s">
        <v>7643</v>
      </c>
      <c r="I179" s="56" t="s">
        <v>368</v>
      </c>
      <c r="J179" s="58">
        <v>0.0</v>
      </c>
      <c r="K179" s="59"/>
      <c r="L179" s="59"/>
      <c r="M179" s="56" t="s">
        <v>7499</v>
      </c>
      <c r="N179" s="61" t="s">
        <v>394</v>
      </c>
      <c r="O179" s="58" t="s">
        <v>8046</v>
      </c>
    </row>
    <row r="180" ht="15.0" customHeight="1">
      <c r="A180" s="56" t="s">
        <v>8047</v>
      </c>
      <c r="B180" s="56" t="s">
        <v>3289</v>
      </c>
      <c r="C180" s="57" t="s">
        <v>3290</v>
      </c>
      <c r="D180" s="56" t="s">
        <v>3291</v>
      </c>
      <c r="E180" s="56" t="s">
        <v>368</v>
      </c>
      <c r="F180" s="56" t="s">
        <v>3848</v>
      </c>
      <c r="G180" s="56" t="s">
        <v>362</v>
      </c>
      <c r="H180" s="56" t="s">
        <v>7392</v>
      </c>
      <c r="I180" s="56" t="s">
        <v>368</v>
      </c>
      <c r="J180" s="58">
        <v>0.0</v>
      </c>
      <c r="K180" s="56" t="s">
        <v>7625</v>
      </c>
      <c r="L180" s="59"/>
      <c r="M180" s="56" t="s">
        <v>8048</v>
      </c>
      <c r="N180" s="61" t="s">
        <v>373</v>
      </c>
      <c r="O180" s="58" t="s">
        <v>8049</v>
      </c>
    </row>
    <row r="181" ht="15.0" customHeight="1">
      <c r="A181" s="56" t="s">
        <v>6414</v>
      </c>
      <c r="B181" s="56" t="s">
        <v>6415</v>
      </c>
      <c r="C181" s="57" t="s">
        <v>6416</v>
      </c>
      <c r="D181" s="56" t="s">
        <v>6417</v>
      </c>
      <c r="E181" s="56" t="s">
        <v>368</v>
      </c>
      <c r="F181" s="56" t="s">
        <v>8050</v>
      </c>
      <c r="G181" s="56" t="s">
        <v>452</v>
      </c>
      <c r="H181" s="56" t="s">
        <v>381</v>
      </c>
      <c r="I181" s="56" t="s">
        <v>368</v>
      </c>
      <c r="J181" s="58">
        <v>0.0</v>
      </c>
      <c r="K181" s="56" t="s">
        <v>4403</v>
      </c>
      <c r="L181" s="59"/>
      <c r="M181" s="56" t="s">
        <v>8051</v>
      </c>
      <c r="N181" s="61" t="s">
        <v>373</v>
      </c>
      <c r="O181" s="58" t="s">
        <v>8052</v>
      </c>
    </row>
    <row r="182" ht="15.0" customHeight="1">
      <c r="A182" s="56" t="s">
        <v>8053</v>
      </c>
      <c r="B182" s="56" t="s">
        <v>8054</v>
      </c>
      <c r="C182" s="57" t="s">
        <v>8055</v>
      </c>
      <c r="D182" s="56" t="s">
        <v>8056</v>
      </c>
      <c r="E182" s="56" t="s">
        <v>368</v>
      </c>
      <c r="F182" s="56" t="s">
        <v>8057</v>
      </c>
      <c r="G182" s="56" t="s">
        <v>390</v>
      </c>
      <c r="H182" s="56" t="s">
        <v>381</v>
      </c>
      <c r="I182" s="56" t="s">
        <v>423</v>
      </c>
      <c r="J182" s="58">
        <v>1.0</v>
      </c>
      <c r="K182" s="56" t="s">
        <v>2432</v>
      </c>
      <c r="L182" s="59"/>
      <c r="M182" s="56" t="s">
        <v>8058</v>
      </c>
      <c r="N182" s="61" t="s">
        <v>373</v>
      </c>
      <c r="O182" s="58" t="s">
        <v>8059</v>
      </c>
    </row>
    <row r="183" ht="15.0" customHeight="1">
      <c r="A183" s="56" t="s">
        <v>147</v>
      </c>
      <c r="B183" s="56" t="s">
        <v>1254</v>
      </c>
      <c r="C183" s="57" t="s">
        <v>1255</v>
      </c>
      <c r="D183" s="58">
        <v>8.306258555E9</v>
      </c>
      <c r="E183" s="56" t="s">
        <v>368</v>
      </c>
      <c r="F183" s="56" t="s">
        <v>2286</v>
      </c>
      <c r="G183" s="56" t="s">
        <v>2286</v>
      </c>
      <c r="H183" s="56" t="s">
        <v>483</v>
      </c>
      <c r="I183" s="56" t="s">
        <v>423</v>
      </c>
      <c r="J183" s="58">
        <v>4.0</v>
      </c>
      <c r="K183" s="56" t="s">
        <v>1371</v>
      </c>
      <c r="L183" s="59"/>
      <c r="M183" s="56" t="s">
        <v>8060</v>
      </c>
      <c r="N183" s="61" t="s">
        <v>373</v>
      </c>
      <c r="O183" s="58" t="s">
        <v>8061</v>
      </c>
    </row>
    <row r="184" ht="15.0" customHeight="1">
      <c r="A184" s="56" t="s">
        <v>148</v>
      </c>
      <c r="B184" s="56" t="s">
        <v>1259</v>
      </c>
      <c r="C184" s="57" t="s">
        <v>1260</v>
      </c>
      <c r="D184" s="58">
        <v>8.16527228E9</v>
      </c>
      <c r="E184" s="56" t="s">
        <v>368</v>
      </c>
      <c r="F184" s="56" t="s">
        <v>2286</v>
      </c>
      <c r="G184" s="56" t="s">
        <v>2286</v>
      </c>
      <c r="H184" s="56" t="s">
        <v>7392</v>
      </c>
      <c r="I184" s="56" t="s">
        <v>368</v>
      </c>
      <c r="J184" s="58">
        <v>0.0</v>
      </c>
      <c r="K184" s="56" t="s">
        <v>4114</v>
      </c>
      <c r="L184" s="59"/>
      <c r="M184" s="56" t="s">
        <v>8062</v>
      </c>
      <c r="N184" s="61" t="s">
        <v>373</v>
      </c>
      <c r="O184" s="58" t="s">
        <v>7798</v>
      </c>
    </row>
    <row r="185" ht="15.0" customHeight="1">
      <c r="A185" s="56" t="s">
        <v>3302</v>
      </c>
      <c r="B185" s="56" t="s">
        <v>8063</v>
      </c>
      <c r="C185" s="57" t="s">
        <v>8064</v>
      </c>
      <c r="D185" s="58">
        <v>8.324343437E9</v>
      </c>
      <c r="E185" s="56" t="s">
        <v>368</v>
      </c>
      <c r="F185" s="56" t="s">
        <v>8065</v>
      </c>
      <c r="G185" s="56" t="s">
        <v>2286</v>
      </c>
      <c r="H185" s="56" t="s">
        <v>381</v>
      </c>
      <c r="I185" s="56" t="s">
        <v>423</v>
      </c>
      <c r="J185" s="58">
        <v>4.0</v>
      </c>
      <c r="K185" s="56" t="s">
        <v>583</v>
      </c>
      <c r="L185" s="59"/>
      <c r="M185" s="56" t="s">
        <v>8066</v>
      </c>
      <c r="N185" s="61" t="s">
        <v>373</v>
      </c>
      <c r="O185" s="58" t="s">
        <v>8067</v>
      </c>
    </row>
    <row r="186" ht="15.0" customHeight="1">
      <c r="A186" s="56" t="s">
        <v>8068</v>
      </c>
      <c r="B186" s="56" t="s">
        <v>3314</v>
      </c>
      <c r="C186" s="57" t="s">
        <v>3315</v>
      </c>
      <c r="D186" s="56" t="s">
        <v>6438</v>
      </c>
      <c r="E186" s="56" t="s">
        <v>368</v>
      </c>
      <c r="F186" s="56" t="s">
        <v>5428</v>
      </c>
      <c r="G186" s="56" t="s">
        <v>452</v>
      </c>
      <c r="H186" s="56" t="s">
        <v>7403</v>
      </c>
      <c r="I186" s="56" t="s">
        <v>368</v>
      </c>
      <c r="J186" s="58">
        <v>0.0</v>
      </c>
      <c r="K186" s="56" t="s">
        <v>2317</v>
      </c>
      <c r="L186" s="59"/>
      <c r="M186" s="56" t="s">
        <v>8069</v>
      </c>
      <c r="N186" s="61" t="s">
        <v>373</v>
      </c>
      <c r="O186" s="58" t="s">
        <v>8070</v>
      </c>
    </row>
    <row r="187" ht="15.0" customHeight="1">
      <c r="A187" s="56" t="s">
        <v>8071</v>
      </c>
      <c r="B187" s="56" t="s">
        <v>8072</v>
      </c>
      <c r="C187" s="57" t="s">
        <v>8073</v>
      </c>
      <c r="D187" s="58">
        <v>7.70453141E9</v>
      </c>
      <c r="E187" s="56" t="s">
        <v>368</v>
      </c>
      <c r="F187" s="56" t="s">
        <v>453</v>
      </c>
      <c r="G187" s="56" t="s">
        <v>452</v>
      </c>
      <c r="H187" s="56" t="s">
        <v>7392</v>
      </c>
      <c r="I187" s="56" t="s">
        <v>368</v>
      </c>
      <c r="J187" s="58">
        <v>0.0</v>
      </c>
      <c r="K187" s="56" t="s">
        <v>2627</v>
      </c>
      <c r="L187" s="59"/>
      <c r="M187" s="56" t="s">
        <v>8074</v>
      </c>
      <c r="N187" s="61" t="s">
        <v>373</v>
      </c>
      <c r="O187" s="58" t="s">
        <v>8075</v>
      </c>
    </row>
    <row r="188" ht="15.0" customHeight="1">
      <c r="A188" s="56" t="s">
        <v>150</v>
      </c>
      <c r="B188" s="56" t="s">
        <v>8076</v>
      </c>
      <c r="C188" s="57" t="s">
        <v>8077</v>
      </c>
      <c r="D188" s="56" t="s">
        <v>8078</v>
      </c>
      <c r="E188" s="56" t="s">
        <v>368</v>
      </c>
      <c r="F188" s="56" t="s">
        <v>2287</v>
      </c>
      <c r="G188" s="56" t="s">
        <v>2286</v>
      </c>
      <c r="H188" s="56" t="s">
        <v>7392</v>
      </c>
      <c r="I188" s="56" t="s">
        <v>368</v>
      </c>
      <c r="J188" s="58">
        <v>0.0</v>
      </c>
      <c r="K188" s="56" t="s">
        <v>2663</v>
      </c>
      <c r="L188" s="59"/>
      <c r="M188" s="56" t="s">
        <v>8079</v>
      </c>
      <c r="N188" s="61" t="s">
        <v>373</v>
      </c>
      <c r="O188" s="58" t="s">
        <v>8080</v>
      </c>
    </row>
    <row r="189" ht="15.0" customHeight="1">
      <c r="A189" s="56" t="s">
        <v>151</v>
      </c>
      <c r="B189" s="56" t="s">
        <v>1274</v>
      </c>
      <c r="C189" s="57" t="s">
        <v>1275</v>
      </c>
      <c r="D189" s="56" t="s">
        <v>5013</v>
      </c>
      <c r="E189" s="56" t="s">
        <v>423</v>
      </c>
      <c r="F189" s="56" t="s">
        <v>7408</v>
      </c>
      <c r="G189" s="56" t="s">
        <v>390</v>
      </c>
      <c r="H189" s="56" t="s">
        <v>7439</v>
      </c>
      <c r="I189" s="56" t="s">
        <v>368</v>
      </c>
      <c r="J189" s="58">
        <v>0.0</v>
      </c>
      <c r="K189" s="56" t="s">
        <v>3615</v>
      </c>
      <c r="L189" s="59"/>
      <c r="M189" s="56" t="s">
        <v>8081</v>
      </c>
      <c r="N189" s="61" t="s">
        <v>373</v>
      </c>
      <c r="O189" s="58" t="s">
        <v>8082</v>
      </c>
    </row>
    <row r="190" ht="15.0" customHeight="1">
      <c r="A190" s="56" t="s">
        <v>152</v>
      </c>
      <c r="B190" s="56" t="s">
        <v>3331</v>
      </c>
      <c r="C190" s="57" t="s">
        <v>3332</v>
      </c>
      <c r="D190" s="56" t="s">
        <v>5016</v>
      </c>
      <c r="E190" s="56" t="s">
        <v>368</v>
      </c>
      <c r="F190" s="56" t="s">
        <v>2491</v>
      </c>
      <c r="G190" s="56" t="s">
        <v>2286</v>
      </c>
      <c r="H190" s="56" t="s">
        <v>7392</v>
      </c>
      <c r="I190" s="56" t="s">
        <v>368</v>
      </c>
      <c r="J190" s="58">
        <v>0.0</v>
      </c>
      <c r="K190" s="56" t="s">
        <v>596</v>
      </c>
      <c r="L190" s="59"/>
      <c r="M190" s="56" t="s">
        <v>8083</v>
      </c>
      <c r="N190" s="61" t="s">
        <v>373</v>
      </c>
      <c r="O190" s="58" t="s">
        <v>8084</v>
      </c>
    </row>
    <row r="191" ht="15.0" customHeight="1">
      <c r="A191" s="56" t="s">
        <v>8085</v>
      </c>
      <c r="B191" s="56" t="s">
        <v>8086</v>
      </c>
      <c r="C191" s="57" t="s">
        <v>8087</v>
      </c>
      <c r="D191" s="56" t="s">
        <v>8088</v>
      </c>
      <c r="E191" s="56" t="s">
        <v>368</v>
      </c>
      <c r="F191" s="56" t="s">
        <v>2614</v>
      </c>
      <c r="G191" s="56" t="s">
        <v>2286</v>
      </c>
      <c r="H191" s="56" t="s">
        <v>483</v>
      </c>
      <c r="I191" s="56" t="s">
        <v>368</v>
      </c>
      <c r="J191" s="58">
        <v>0.0</v>
      </c>
      <c r="K191" s="56" t="s">
        <v>3843</v>
      </c>
      <c r="L191" s="59"/>
      <c r="M191" s="56" t="s">
        <v>8089</v>
      </c>
      <c r="N191" s="61" t="s">
        <v>373</v>
      </c>
      <c r="O191" s="58" t="s">
        <v>8090</v>
      </c>
    </row>
    <row r="192" ht="15.0" customHeight="1">
      <c r="A192" s="56" t="s">
        <v>8091</v>
      </c>
      <c r="B192" s="56" t="s">
        <v>8092</v>
      </c>
      <c r="C192" s="57" t="s">
        <v>8093</v>
      </c>
      <c r="D192" s="58">
        <v>5.127310148E9</v>
      </c>
      <c r="E192" s="56" t="s">
        <v>368</v>
      </c>
      <c r="F192" s="56" t="s">
        <v>2521</v>
      </c>
      <c r="G192" s="56" t="s">
        <v>2286</v>
      </c>
      <c r="H192" s="56" t="s">
        <v>381</v>
      </c>
      <c r="I192" s="56" t="s">
        <v>368</v>
      </c>
      <c r="J192" s="58">
        <v>0.0</v>
      </c>
      <c r="K192" s="56" t="s">
        <v>1798</v>
      </c>
      <c r="L192" s="59"/>
      <c r="M192" s="56" t="s">
        <v>8094</v>
      </c>
      <c r="N192" s="61" t="s">
        <v>373</v>
      </c>
      <c r="O192" s="58" t="s">
        <v>8095</v>
      </c>
    </row>
    <row r="193" ht="15.0" customHeight="1">
      <c r="A193" s="56" t="s">
        <v>153</v>
      </c>
      <c r="B193" s="56" t="s">
        <v>8096</v>
      </c>
      <c r="C193" s="57" t="s">
        <v>8097</v>
      </c>
      <c r="D193" s="58">
        <v>5.122306454E9</v>
      </c>
      <c r="E193" s="56" t="s">
        <v>368</v>
      </c>
      <c r="F193" s="56" t="s">
        <v>7408</v>
      </c>
      <c r="G193" s="56" t="s">
        <v>5715</v>
      </c>
      <c r="H193" s="56" t="s">
        <v>7439</v>
      </c>
      <c r="I193" s="56" t="s">
        <v>368</v>
      </c>
      <c r="J193" s="58">
        <v>0.0</v>
      </c>
      <c r="K193" s="56" t="s">
        <v>8098</v>
      </c>
      <c r="L193" s="59"/>
      <c r="M193" s="56" t="s">
        <v>8099</v>
      </c>
      <c r="N193" s="61" t="s">
        <v>373</v>
      </c>
      <c r="O193" s="58" t="s">
        <v>8100</v>
      </c>
    </row>
    <row r="194" ht="15.0" customHeight="1">
      <c r="A194" s="56" t="s">
        <v>154</v>
      </c>
      <c r="B194" s="56" t="s">
        <v>1290</v>
      </c>
      <c r="C194" s="57" t="s">
        <v>1291</v>
      </c>
      <c r="D194" s="56" t="s">
        <v>5021</v>
      </c>
      <c r="E194" s="56" t="s">
        <v>368</v>
      </c>
      <c r="F194" s="56" t="s">
        <v>8101</v>
      </c>
      <c r="G194" s="56" t="s">
        <v>362</v>
      </c>
      <c r="H194" s="56" t="s">
        <v>7392</v>
      </c>
      <c r="I194" s="56" t="s">
        <v>368</v>
      </c>
      <c r="J194" s="58">
        <v>0.0</v>
      </c>
      <c r="K194" s="56" t="s">
        <v>2944</v>
      </c>
      <c r="L194" s="59"/>
      <c r="M194" s="56" t="s">
        <v>8102</v>
      </c>
      <c r="N194" s="61" t="s">
        <v>373</v>
      </c>
      <c r="O194" s="58" t="s">
        <v>8103</v>
      </c>
    </row>
    <row r="195" ht="15.0" customHeight="1">
      <c r="A195" s="56" t="s">
        <v>155</v>
      </c>
      <c r="B195" s="56" t="s">
        <v>1297</v>
      </c>
      <c r="C195" s="57" t="s">
        <v>1298</v>
      </c>
      <c r="D195" s="56" t="s">
        <v>8104</v>
      </c>
      <c r="E195" s="56" t="s">
        <v>368</v>
      </c>
      <c r="F195" s="56" t="s">
        <v>3968</v>
      </c>
      <c r="G195" s="56" t="s">
        <v>2286</v>
      </c>
      <c r="H195" s="56" t="s">
        <v>1301</v>
      </c>
      <c r="I195" s="56" t="s">
        <v>368</v>
      </c>
      <c r="J195" s="58">
        <v>0.0</v>
      </c>
      <c r="K195" s="56" t="s">
        <v>8105</v>
      </c>
      <c r="L195" s="59"/>
      <c r="M195" s="56" t="s">
        <v>8106</v>
      </c>
      <c r="N195" s="61" t="s">
        <v>373</v>
      </c>
      <c r="O195" s="58" t="s">
        <v>8107</v>
      </c>
    </row>
    <row r="196" ht="15.0" customHeight="1">
      <c r="A196" s="56" t="s">
        <v>156</v>
      </c>
      <c r="B196" s="56" t="s">
        <v>5027</v>
      </c>
      <c r="C196" s="57" t="s">
        <v>5028</v>
      </c>
      <c r="D196" s="56" t="s">
        <v>5029</v>
      </c>
      <c r="E196" s="56" t="s">
        <v>368</v>
      </c>
      <c r="F196" s="56" t="s">
        <v>2286</v>
      </c>
      <c r="G196" s="56" t="s">
        <v>2286</v>
      </c>
      <c r="H196" s="56" t="s">
        <v>7392</v>
      </c>
      <c r="I196" s="56" t="s">
        <v>368</v>
      </c>
      <c r="J196" s="58">
        <v>0.0</v>
      </c>
      <c r="K196" s="56" t="s">
        <v>5634</v>
      </c>
      <c r="L196" s="59"/>
      <c r="M196" s="56" t="s">
        <v>8108</v>
      </c>
      <c r="N196" s="61" t="s">
        <v>373</v>
      </c>
      <c r="O196" s="58" t="s">
        <v>7640</v>
      </c>
    </row>
    <row r="197" ht="15.0" customHeight="1">
      <c r="A197" s="56" t="s">
        <v>8109</v>
      </c>
      <c r="B197" s="56" t="s">
        <v>8110</v>
      </c>
      <c r="C197" s="57" t="s">
        <v>8111</v>
      </c>
      <c r="D197" s="58">
        <v>5.12710945E9</v>
      </c>
      <c r="E197" s="56" t="s">
        <v>368</v>
      </c>
      <c r="F197" s="56" t="s">
        <v>8112</v>
      </c>
      <c r="G197" s="56" t="s">
        <v>452</v>
      </c>
      <c r="H197" s="56" t="s">
        <v>7392</v>
      </c>
      <c r="I197" s="56" t="s">
        <v>368</v>
      </c>
      <c r="J197" s="58">
        <v>0.0</v>
      </c>
      <c r="K197" s="56" t="s">
        <v>2311</v>
      </c>
      <c r="L197" s="59"/>
      <c r="M197" s="56" t="s">
        <v>8113</v>
      </c>
      <c r="N197" s="61" t="s">
        <v>373</v>
      </c>
      <c r="O197" s="58" t="s">
        <v>8114</v>
      </c>
    </row>
    <row r="198" ht="15.0" customHeight="1">
      <c r="A198" s="56" t="s">
        <v>157</v>
      </c>
      <c r="B198" s="56" t="s">
        <v>3373</v>
      </c>
      <c r="C198" s="57" t="s">
        <v>3374</v>
      </c>
      <c r="D198" s="56" t="s">
        <v>3375</v>
      </c>
      <c r="E198" s="56" t="s">
        <v>368</v>
      </c>
      <c r="F198" s="56" t="s">
        <v>3722</v>
      </c>
      <c r="G198" s="56" t="s">
        <v>410</v>
      </c>
      <c r="H198" s="56" t="s">
        <v>7392</v>
      </c>
      <c r="I198" s="56" t="s">
        <v>368</v>
      </c>
      <c r="J198" s="58">
        <v>0.0</v>
      </c>
      <c r="K198" s="56" t="s">
        <v>1355</v>
      </c>
      <c r="L198" s="59"/>
      <c r="M198" s="56" t="s">
        <v>8115</v>
      </c>
      <c r="N198" s="61" t="s">
        <v>373</v>
      </c>
      <c r="O198" s="58" t="s">
        <v>8116</v>
      </c>
    </row>
    <row r="199" ht="15.0" customHeight="1">
      <c r="A199" s="56" t="s">
        <v>8117</v>
      </c>
      <c r="B199" s="56" t="s">
        <v>8118</v>
      </c>
      <c r="C199" s="57" t="s">
        <v>8119</v>
      </c>
      <c r="D199" s="58">
        <v>2.817133097E9</v>
      </c>
      <c r="E199" s="56" t="s">
        <v>368</v>
      </c>
      <c r="F199" s="56" t="s">
        <v>676</v>
      </c>
      <c r="G199" s="56" t="s">
        <v>390</v>
      </c>
      <c r="H199" s="56" t="s">
        <v>7403</v>
      </c>
      <c r="I199" s="56" t="s">
        <v>423</v>
      </c>
      <c r="J199" s="58">
        <v>3.0</v>
      </c>
      <c r="K199" s="56" t="s">
        <v>2095</v>
      </c>
      <c r="L199" s="59"/>
      <c r="M199" s="56" t="s">
        <v>8120</v>
      </c>
      <c r="N199" s="61" t="s">
        <v>373</v>
      </c>
      <c r="O199" s="58" t="s">
        <v>8121</v>
      </c>
    </row>
    <row r="200" ht="15.0" customHeight="1">
      <c r="A200" s="56" t="s">
        <v>8122</v>
      </c>
      <c r="B200" s="56" t="s">
        <v>8123</v>
      </c>
      <c r="C200" s="57" t="s">
        <v>8124</v>
      </c>
      <c r="D200" s="56" t="s">
        <v>8125</v>
      </c>
      <c r="E200" s="56" t="s">
        <v>368</v>
      </c>
      <c r="F200" s="56" t="s">
        <v>2286</v>
      </c>
      <c r="G200" s="56" t="s">
        <v>2286</v>
      </c>
      <c r="H200" s="56" t="s">
        <v>7392</v>
      </c>
      <c r="I200" s="56" t="s">
        <v>423</v>
      </c>
      <c r="J200" s="58">
        <v>0.0</v>
      </c>
      <c r="K200" s="56" t="s">
        <v>2621</v>
      </c>
      <c r="L200" s="59"/>
      <c r="M200" s="56" t="s">
        <v>8126</v>
      </c>
      <c r="N200" s="61" t="s">
        <v>373</v>
      </c>
      <c r="O200" s="58" t="s">
        <v>8127</v>
      </c>
    </row>
    <row r="201" ht="15.0" customHeight="1">
      <c r="A201" s="56" t="s">
        <v>158</v>
      </c>
      <c r="B201" s="56" t="s">
        <v>1332</v>
      </c>
      <c r="C201" s="57" t="s">
        <v>1333</v>
      </c>
      <c r="D201" s="56" t="s">
        <v>5052</v>
      </c>
      <c r="E201" s="56" t="s">
        <v>368</v>
      </c>
      <c r="F201" s="56" t="s">
        <v>2614</v>
      </c>
      <c r="G201" s="56" t="s">
        <v>2286</v>
      </c>
      <c r="H201" s="56" t="s">
        <v>381</v>
      </c>
      <c r="I201" s="56" t="s">
        <v>368</v>
      </c>
      <c r="J201" s="58">
        <v>0.0</v>
      </c>
      <c r="K201" s="56" t="s">
        <v>2273</v>
      </c>
      <c r="L201" s="59"/>
      <c r="M201" s="56" t="s">
        <v>8128</v>
      </c>
      <c r="N201" s="61" t="s">
        <v>373</v>
      </c>
      <c r="O201" s="58" t="s">
        <v>8129</v>
      </c>
    </row>
    <row r="202" ht="15.0" customHeight="1">
      <c r="A202" s="56" t="s">
        <v>8130</v>
      </c>
      <c r="B202" s="56" t="s">
        <v>8131</v>
      </c>
      <c r="C202" s="57" t="s">
        <v>8132</v>
      </c>
      <c r="D202" s="56" t="s">
        <v>1375</v>
      </c>
      <c r="E202" s="56" t="s">
        <v>368</v>
      </c>
      <c r="F202" s="56" t="s">
        <v>411</v>
      </c>
      <c r="G202" s="56" t="s">
        <v>390</v>
      </c>
      <c r="H202" s="56" t="s">
        <v>7392</v>
      </c>
      <c r="I202" s="56" t="s">
        <v>368</v>
      </c>
      <c r="J202" s="58">
        <v>0.0</v>
      </c>
      <c r="K202" s="56" t="s">
        <v>1477</v>
      </c>
      <c r="L202" s="59"/>
      <c r="M202" s="56" t="s">
        <v>8133</v>
      </c>
      <c r="N202" s="61" t="s">
        <v>373</v>
      </c>
      <c r="O202" s="58" t="s">
        <v>8134</v>
      </c>
    </row>
    <row r="203" ht="15.0" customHeight="1">
      <c r="A203" s="56" t="s">
        <v>159</v>
      </c>
      <c r="B203" s="56" t="s">
        <v>8135</v>
      </c>
      <c r="C203" s="57" t="s">
        <v>8136</v>
      </c>
      <c r="D203" s="58">
        <v>5.129401861E9</v>
      </c>
      <c r="E203" s="56" t="s">
        <v>368</v>
      </c>
      <c r="F203" s="56" t="s">
        <v>8137</v>
      </c>
      <c r="G203" s="56" t="s">
        <v>2286</v>
      </c>
      <c r="H203" s="56" t="s">
        <v>7403</v>
      </c>
      <c r="I203" s="56" t="s">
        <v>368</v>
      </c>
      <c r="J203" s="58">
        <v>0.0</v>
      </c>
      <c r="K203" s="56" t="s">
        <v>2687</v>
      </c>
      <c r="L203" s="59"/>
      <c r="M203" s="56" t="s">
        <v>8138</v>
      </c>
      <c r="N203" s="61" t="s">
        <v>373</v>
      </c>
      <c r="O203" s="58" t="s">
        <v>7696</v>
      </c>
    </row>
    <row r="204" ht="15.0" customHeight="1">
      <c r="A204" s="56" t="s">
        <v>160</v>
      </c>
      <c r="B204" s="56" t="s">
        <v>1351</v>
      </c>
      <c r="C204" s="57" t="s">
        <v>1352</v>
      </c>
      <c r="D204" s="56" t="s">
        <v>8139</v>
      </c>
      <c r="E204" s="56" t="s">
        <v>368</v>
      </c>
      <c r="F204" s="56" t="s">
        <v>3197</v>
      </c>
      <c r="G204" s="56" t="s">
        <v>877</v>
      </c>
      <c r="H204" s="56" t="s">
        <v>381</v>
      </c>
      <c r="I204" s="56" t="s">
        <v>368</v>
      </c>
      <c r="J204" s="58">
        <v>3.0</v>
      </c>
      <c r="K204" s="56" t="s">
        <v>21</v>
      </c>
      <c r="L204" s="59"/>
      <c r="M204" s="56" t="s">
        <v>8140</v>
      </c>
      <c r="N204" s="61" t="s">
        <v>373</v>
      </c>
      <c r="O204" s="58" t="s">
        <v>8141</v>
      </c>
    </row>
    <row r="205" ht="15.0" customHeight="1">
      <c r="A205" s="56" t="s">
        <v>161</v>
      </c>
      <c r="B205" s="56" t="s">
        <v>6521</v>
      </c>
      <c r="C205" s="57" t="s">
        <v>6522</v>
      </c>
      <c r="D205" s="58">
        <v>8.168199985E9</v>
      </c>
      <c r="E205" s="56" t="s">
        <v>368</v>
      </c>
      <c r="F205" s="56" t="s">
        <v>2491</v>
      </c>
      <c r="G205" s="56" t="s">
        <v>2286</v>
      </c>
      <c r="H205" s="56" t="s">
        <v>7392</v>
      </c>
      <c r="I205" s="56" t="s">
        <v>423</v>
      </c>
      <c r="J205" s="58">
        <v>2.0</v>
      </c>
      <c r="K205" s="56" t="s">
        <v>2533</v>
      </c>
      <c r="L205" s="59"/>
      <c r="M205" s="56" t="s">
        <v>8142</v>
      </c>
      <c r="N205" s="61" t="s">
        <v>373</v>
      </c>
      <c r="O205" s="58" t="s">
        <v>7751</v>
      </c>
    </row>
    <row r="206" ht="15.0" customHeight="1">
      <c r="A206" s="56" t="s">
        <v>162</v>
      </c>
      <c r="B206" s="56" t="s">
        <v>8143</v>
      </c>
      <c r="C206" s="57" t="s">
        <v>1363</v>
      </c>
      <c r="D206" s="56" t="s">
        <v>8144</v>
      </c>
      <c r="E206" s="56" t="s">
        <v>368</v>
      </c>
      <c r="F206" s="56" t="s">
        <v>8145</v>
      </c>
      <c r="G206" s="56" t="s">
        <v>443</v>
      </c>
      <c r="H206" s="56" t="s">
        <v>7643</v>
      </c>
      <c r="I206" s="56" t="s">
        <v>368</v>
      </c>
      <c r="J206" s="58">
        <v>0.0</v>
      </c>
      <c r="K206" s="56" t="s">
        <v>8146</v>
      </c>
      <c r="L206" s="59"/>
      <c r="M206" s="56" t="s">
        <v>8147</v>
      </c>
      <c r="N206" s="61" t="s">
        <v>373</v>
      </c>
      <c r="O206" s="58" t="s">
        <v>8148</v>
      </c>
    </row>
    <row r="207" ht="15.0" customHeight="1">
      <c r="A207" s="56" t="s">
        <v>6524</v>
      </c>
      <c r="B207" s="56" t="s">
        <v>6525</v>
      </c>
      <c r="C207" s="57" t="s">
        <v>6526</v>
      </c>
      <c r="D207" s="58">
        <v>5.128642833E9</v>
      </c>
      <c r="E207" s="56" t="s">
        <v>368</v>
      </c>
      <c r="F207" s="56" t="s">
        <v>2286</v>
      </c>
      <c r="G207" s="56" t="s">
        <v>2286</v>
      </c>
      <c r="H207" s="56" t="s">
        <v>381</v>
      </c>
      <c r="I207" s="56" t="s">
        <v>423</v>
      </c>
      <c r="J207" s="58">
        <v>2.0</v>
      </c>
      <c r="K207" s="56" t="s">
        <v>803</v>
      </c>
      <c r="L207" s="59"/>
      <c r="M207" s="56" t="s">
        <v>8149</v>
      </c>
      <c r="N207" s="61" t="s">
        <v>373</v>
      </c>
      <c r="O207" s="58" t="s">
        <v>8129</v>
      </c>
    </row>
    <row r="208" ht="15.0" customHeight="1">
      <c r="A208" s="56" t="s">
        <v>8150</v>
      </c>
      <c r="B208" s="56" t="s">
        <v>8151</v>
      </c>
      <c r="C208" s="57" t="s">
        <v>8152</v>
      </c>
      <c r="D208" s="58">
        <v>8.327987297E9</v>
      </c>
      <c r="E208" s="56" t="s">
        <v>368</v>
      </c>
      <c r="F208" s="56" t="s">
        <v>2614</v>
      </c>
      <c r="G208" s="56" t="s">
        <v>2286</v>
      </c>
      <c r="H208" s="56" t="s">
        <v>483</v>
      </c>
      <c r="I208" s="56" t="s">
        <v>368</v>
      </c>
      <c r="J208" s="58">
        <v>0.0</v>
      </c>
      <c r="K208" s="56" t="s">
        <v>2778</v>
      </c>
      <c r="L208" s="59"/>
      <c r="M208" s="56" t="s">
        <v>8153</v>
      </c>
      <c r="N208" s="61" t="s">
        <v>373</v>
      </c>
      <c r="O208" s="58" t="s">
        <v>8154</v>
      </c>
    </row>
    <row r="209" ht="15.0" customHeight="1">
      <c r="A209" s="56" t="s">
        <v>8155</v>
      </c>
      <c r="B209" s="56" t="s">
        <v>8156</v>
      </c>
      <c r="C209" s="57" t="s">
        <v>8157</v>
      </c>
      <c r="D209" s="56" t="s">
        <v>8158</v>
      </c>
      <c r="E209" s="56" t="s">
        <v>368</v>
      </c>
      <c r="F209" s="56" t="s">
        <v>453</v>
      </c>
      <c r="G209" s="56" t="s">
        <v>390</v>
      </c>
      <c r="H209" s="56" t="s">
        <v>7439</v>
      </c>
      <c r="I209" s="56" t="s">
        <v>423</v>
      </c>
      <c r="J209" s="58">
        <v>0.0</v>
      </c>
      <c r="K209" s="56" t="s">
        <v>8159</v>
      </c>
      <c r="L209" s="59"/>
      <c r="M209" s="56" t="s">
        <v>8160</v>
      </c>
      <c r="N209" s="61" t="s">
        <v>373</v>
      </c>
      <c r="O209" s="58" t="s">
        <v>8161</v>
      </c>
    </row>
    <row r="210" ht="15.0" customHeight="1">
      <c r="A210" s="56" t="s">
        <v>8162</v>
      </c>
      <c r="B210" s="56" t="s">
        <v>6530</v>
      </c>
      <c r="C210" s="57" t="s">
        <v>6531</v>
      </c>
      <c r="D210" s="56" t="s">
        <v>6532</v>
      </c>
      <c r="E210" s="56" t="s">
        <v>368</v>
      </c>
      <c r="F210" s="56" t="s">
        <v>2286</v>
      </c>
      <c r="G210" s="56" t="s">
        <v>2286</v>
      </c>
      <c r="H210" s="56" t="s">
        <v>7392</v>
      </c>
      <c r="I210" s="56" t="s">
        <v>368</v>
      </c>
      <c r="J210" s="58">
        <v>0.0</v>
      </c>
      <c r="K210" s="56" t="s">
        <v>2406</v>
      </c>
      <c r="L210" s="59"/>
      <c r="M210" s="56" t="s">
        <v>8163</v>
      </c>
      <c r="N210" s="61" t="s">
        <v>373</v>
      </c>
      <c r="O210" s="58" t="s">
        <v>8164</v>
      </c>
    </row>
    <row r="211" ht="15.0" customHeight="1">
      <c r="A211" s="56" t="s">
        <v>6538</v>
      </c>
      <c r="B211" s="56" t="s">
        <v>8165</v>
      </c>
      <c r="C211" s="57" t="s">
        <v>8166</v>
      </c>
      <c r="D211" s="58">
        <v>3.015432326E9</v>
      </c>
      <c r="E211" s="56" t="s">
        <v>368</v>
      </c>
      <c r="F211" s="56" t="s">
        <v>8167</v>
      </c>
      <c r="G211" s="56" t="s">
        <v>459</v>
      </c>
      <c r="H211" s="56" t="s">
        <v>7392</v>
      </c>
      <c r="I211" s="56" t="s">
        <v>423</v>
      </c>
      <c r="J211" s="58">
        <v>0.0</v>
      </c>
      <c r="K211" s="56" t="s">
        <v>6158</v>
      </c>
      <c r="L211" s="59"/>
      <c r="M211" s="56" t="s">
        <v>8168</v>
      </c>
      <c r="N211" s="61" t="s">
        <v>373</v>
      </c>
      <c r="O211" s="58" t="s">
        <v>8169</v>
      </c>
    </row>
    <row r="212" ht="15.0" customHeight="1">
      <c r="A212" s="56" t="s">
        <v>163</v>
      </c>
      <c r="B212" s="56" t="s">
        <v>8170</v>
      </c>
      <c r="C212" s="57" t="s">
        <v>8171</v>
      </c>
      <c r="D212" s="56" t="s">
        <v>8172</v>
      </c>
      <c r="E212" s="56" t="s">
        <v>368</v>
      </c>
      <c r="F212" s="56" t="s">
        <v>2491</v>
      </c>
      <c r="G212" s="56" t="s">
        <v>2286</v>
      </c>
      <c r="H212" s="56" t="s">
        <v>381</v>
      </c>
      <c r="I212" s="56" t="s">
        <v>368</v>
      </c>
      <c r="J212" s="58">
        <v>0.0</v>
      </c>
      <c r="K212" s="56" t="s">
        <v>1967</v>
      </c>
      <c r="L212" s="59"/>
      <c r="M212" s="56" t="s">
        <v>8173</v>
      </c>
      <c r="N212" s="61" t="s">
        <v>373</v>
      </c>
      <c r="O212" s="58" t="s">
        <v>8174</v>
      </c>
    </row>
    <row r="213" ht="15.0" customHeight="1">
      <c r="A213" s="56" t="s">
        <v>8175</v>
      </c>
      <c r="B213" s="56" t="s">
        <v>8176</v>
      </c>
      <c r="C213" s="57" t="s">
        <v>8177</v>
      </c>
      <c r="D213" s="56" t="s">
        <v>8178</v>
      </c>
      <c r="E213" s="56" t="s">
        <v>368</v>
      </c>
      <c r="F213" s="56" t="s">
        <v>2504</v>
      </c>
      <c r="G213" s="56" t="s">
        <v>2286</v>
      </c>
      <c r="H213" s="56" t="s">
        <v>7392</v>
      </c>
      <c r="I213" s="56" t="s">
        <v>368</v>
      </c>
      <c r="J213" s="58">
        <v>0.0</v>
      </c>
      <c r="K213" s="59"/>
      <c r="L213" s="59"/>
      <c r="M213" s="56" t="s">
        <v>8179</v>
      </c>
      <c r="N213" s="61" t="s">
        <v>394</v>
      </c>
      <c r="O213" s="58" t="s">
        <v>7853</v>
      </c>
    </row>
    <row r="214" ht="15.0" customHeight="1">
      <c r="A214" s="56" t="s">
        <v>8180</v>
      </c>
      <c r="B214" s="56" t="s">
        <v>8181</v>
      </c>
      <c r="C214" s="57" t="s">
        <v>8182</v>
      </c>
      <c r="D214" s="58">
        <v>4.108740042E9</v>
      </c>
      <c r="E214" s="56" t="s">
        <v>368</v>
      </c>
      <c r="F214" s="56" t="s">
        <v>2286</v>
      </c>
      <c r="G214" s="56" t="s">
        <v>2286</v>
      </c>
      <c r="H214" s="56" t="s">
        <v>7392</v>
      </c>
      <c r="I214" s="56" t="s">
        <v>368</v>
      </c>
      <c r="J214" s="58">
        <v>0.0</v>
      </c>
      <c r="K214" s="56" t="s">
        <v>3236</v>
      </c>
      <c r="L214" s="59"/>
      <c r="M214" s="56" t="s">
        <v>8183</v>
      </c>
      <c r="N214" s="61" t="s">
        <v>373</v>
      </c>
      <c r="O214" s="58" t="s">
        <v>8184</v>
      </c>
    </row>
    <row r="215" ht="15.0" customHeight="1">
      <c r="A215" s="56" t="s">
        <v>8185</v>
      </c>
      <c r="B215" s="56" t="s">
        <v>8186</v>
      </c>
      <c r="C215" s="57" t="s">
        <v>8187</v>
      </c>
      <c r="D215" s="56" t="s">
        <v>8188</v>
      </c>
      <c r="E215" s="56" t="s">
        <v>368</v>
      </c>
      <c r="F215" s="56" t="s">
        <v>8189</v>
      </c>
      <c r="G215" s="56" t="s">
        <v>1553</v>
      </c>
      <c r="H215" s="56" t="s">
        <v>381</v>
      </c>
      <c r="I215" s="56" t="s">
        <v>368</v>
      </c>
      <c r="J215" s="58">
        <v>2.0</v>
      </c>
      <c r="K215" s="56" t="s">
        <v>1936</v>
      </c>
      <c r="L215" s="59"/>
      <c r="M215" s="56" t="s">
        <v>8190</v>
      </c>
      <c r="N215" s="61" t="s">
        <v>373</v>
      </c>
      <c r="O215" s="58" t="s">
        <v>8191</v>
      </c>
    </row>
    <row r="216" ht="15.0" customHeight="1">
      <c r="A216" s="56" t="s">
        <v>164</v>
      </c>
      <c r="B216" s="56" t="s">
        <v>1401</v>
      </c>
      <c r="C216" s="57" t="s">
        <v>1402</v>
      </c>
      <c r="D216" s="56" t="s">
        <v>5095</v>
      </c>
      <c r="E216" s="56" t="s">
        <v>368</v>
      </c>
      <c r="F216" s="56" t="s">
        <v>2463</v>
      </c>
      <c r="G216" s="56" t="s">
        <v>410</v>
      </c>
      <c r="H216" s="56" t="s">
        <v>7392</v>
      </c>
      <c r="I216" s="56" t="s">
        <v>368</v>
      </c>
      <c r="J216" s="58">
        <v>0.0</v>
      </c>
      <c r="K216" s="56" t="s">
        <v>1409</v>
      </c>
      <c r="L216" s="59"/>
      <c r="M216" s="56" t="s">
        <v>8192</v>
      </c>
      <c r="N216" s="61" t="s">
        <v>373</v>
      </c>
      <c r="O216" s="58" t="s">
        <v>8193</v>
      </c>
    </row>
    <row r="217" ht="15.0" customHeight="1">
      <c r="A217" s="56" t="s">
        <v>165</v>
      </c>
      <c r="B217" s="56" t="s">
        <v>6553</v>
      </c>
      <c r="C217" s="57" t="s">
        <v>6554</v>
      </c>
      <c r="D217" s="58">
        <v>5.122039285E9</v>
      </c>
      <c r="E217" s="56" t="s">
        <v>368</v>
      </c>
      <c r="F217" s="56" t="s">
        <v>2286</v>
      </c>
      <c r="G217" s="56" t="s">
        <v>2286</v>
      </c>
      <c r="H217" s="56" t="s">
        <v>7392</v>
      </c>
      <c r="I217" s="56" t="s">
        <v>368</v>
      </c>
      <c r="J217" s="58">
        <v>0.0</v>
      </c>
      <c r="K217" s="56" t="s">
        <v>1663</v>
      </c>
      <c r="L217" s="59"/>
      <c r="M217" s="56" t="s">
        <v>8194</v>
      </c>
      <c r="N217" s="61" t="s">
        <v>373</v>
      </c>
      <c r="O217" s="58" t="s">
        <v>8195</v>
      </c>
    </row>
    <row r="218" ht="15.0" customHeight="1">
      <c r="A218" s="56" t="s">
        <v>166</v>
      </c>
      <c r="B218" s="56" t="s">
        <v>5097</v>
      </c>
      <c r="C218" s="57" t="s">
        <v>5098</v>
      </c>
      <c r="D218" s="58">
        <v>4.02699457E9</v>
      </c>
      <c r="E218" s="56" t="s">
        <v>368</v>
      </c>
      <c r="F218" s="56" t="s">
        <v>8196</v>
      </c>
      <c r="G218" s="56" t="s">
        <v>2286</v>
      </c>
      <c r="H218" s="56" t="s">
        <v>7439</v>
      </c>
      <c r="I218" s="56" t="s">
        <v>423</v>
      </c>
      <c r="J218" s="58">
        <v>2.0</v>
      </c>
      <c r="K218" s="56" t="s">
        <v>8197</v>
      </c>
      <c r="L218" s="59"/>
      <c r="M218" s="56" t="s">
        <v>8198</v>
      </c>
      <c r="N218" s="61" t="s">
        <v>373</v>
      </c>
      <c r="O218" s="58" t="s">
        <v>8199</v>
      </c>
    </row>
    <row r="219" ht="15.0" customHeight="1">
      <c r="A219" s="56" t="s">
        <v>167</v>
      </c>
      <c r="B219" s="56" t="s">
        <v>8200</v>
      </c>
      <c r="C219" s="57" t="s">
        <v>8201</v>
      </c>
      <c r="D219" s="58">
        <v>1.219384491E10</v>
      </c>
      <c r="E219" s="56" t="s">
        <v>368</v>
      </c>
      <c r="F219" s="56" t="s">
        <v>8202</v>
      </c>
      <c r="G219" s="56" t="s">
        <v>452</v>
      </c>
      <c r="H219" s="56" t="s">
        <v>7439</v>
      </c>
      <c r="I219" s="56" t="s">
        <v>368</v>
      </c>
      <c r="J219" s="58">
        <v>0.0</v>
      </c>
      <c r="K219" s="56" t="s">
        <v>8203</v>
      </c>
      <c r="L219" s="59"/>
      <c r="M219" s="56" t="s">
        <v>8204</v>
      </c>
      <c r="N219" s="61" t="s">
        <v>373</v>
      </c>
      <c r="O219" s="58" t="s">
        <v>8205</v>
      </c>
    </row>
    <row r="220" ht="15.0" customHeight="1">
      <c r="A220" s="56" t="s">
        <v>168</v>
      </c>
      <c r="B220" s="56" t="s">
        <v>3494</v>
      </c>
      <c r="C220" s="57" t="s">
        <v>3495</v>
      </c>
      <c r="D220" s="56" t="s">
        <v>8206</v>
      </c>
      <c r="E220" s="56" t="s">
        <v>368</v>
      </c>
      <c r="F220" s="56" t="s">
        <v>3351</v>
      </c>
      <c r="G220" s="56" t="s">
        <v>2286</v>
      </c>
      <c r="H220" s="56" t="s">
        <v>7439</v>
      </c>
      <c r="I220" s="56" t="s">
        <v>423</v>
      </c>
      <c r="J220" s="58">
        <v>0.0</v>
      </c>
      <c r="K220" s="56" t="s">
        <v>8207</v>
      </c>
      <c r="L220" s="59"/>
      <c r="M220" s="56" t="s">
        <v>8208</v>
      </c>
      <c r="N220" s="61" t="s">
        <v>373</v>
      </c>
      <c r="O220" s="58" t="s">
        <v>8209</v>
      </c>
    </row>
    <row r="221" ht="15.0" customHeight="1">
      <c r="A221" s="56" t="s">
        <v>169</v>
      </c>
      <c r="B221" s="56" t="s">
        <v>1433</v>
      </c>
      <c r="C221" s="57" t="s">
        <v>1434</v>
      </c>
      <c r="D221" s="58">
        <v>8.17488496E9</v>
      </c>
      <c r="E221" s="56" t="s">
        <v>368</v>
      </c>
      <c r="F221" s="56" t="s">
        <v>2286</v>
      </c>
      <c r="G221" s="56" t="s">
        <v>2286</v>
      </c>
      <c r="H221" s="56" t="s">
        <v>7392</v>
      </c>
      <c r="I221" s="56" t="s">
        <v>368</v>
      </c>
      <c r="J221" s="58">
        <v>0.0</v>
      </c>
      <c r="K221" s="56" t="s">
        <v>484</v>
      </c>
      <c r="L221" s="59"/>
      <c r="M221" s="56" t="s">
        <v>8210</v>
      </c>
      <c r="N221" s="61" t="s">
        <v>373</v>
      </c>
      <c r="O221" s="58" t="s">
        <v>8211</v>
      </c>
    </row>
    <row r="222" ht="15.0" customHeight="1">
      <c r="A222" s="56" t="s">
        <v>170</v>
      </c>
      <c r="B222" s="56" t="s">
        <v>5107</v>
      </c>
      <c r="C222" s="57" t="s">
        <v>5108</v>
      </c>
      <c r="D222" s="58">
        <v>8.175392873E9</v>
      </c>
      <c r="E222" s="56" t="s">
        <v>368</v>
      </c>
      <c r="F222" s="56" t="s">
        <v>3973</v>
      </c>
      <c r="G222" s="56" t="s">
        <v>390</v>
      </c>
      <c r="H222" s="56" t="s">
        <v>7392</v>
      </c>
      <c r="I222" s="56" t="s">
        <v>423</v>
      </c>
      <c r="J222" s="58">
        <v>2.0</v>
      </c>
      <c r="K222" s="56" t="s">
        <v>4468</v>
      </c>
      <c r="L222" s="59"/>
      <c r="M222" s="56" t="s">
        <v>8212</v>
      </c>
      <c r="N222" s="61" t="s">
        <v>373</v>
      </c>
      <c r="O222" s="58" t="s">
        <v>8213</v>
      </c>
    </row>
    <row r="223" ht="15.0" customHeight="1">
      <c r="A223" s="56" t="s">
        <v>171</v>
      </c>
      <c r="B223" s="56" t="s">
        <v>8214</v>
      </c>
      <c r="C223" s="57" t="s">
        <v>8215</v>
      </c>
      <c r="D223" s="56" t="s">
        <v>8216</v>
      </c>
      <c r="E223" s="56" t="s">
        <v>368</v>
      </c>
      <c r="F223" s="56" t="s">
        <v>2846</v>
      </c>
      <c r="G223" s="56" t="s">
        <v>421</v>
      </c>
      <c r="H223" s="56" t="s">
        <v>7392</v>
      </c>
      <c r="I223" s="56" t="s">
        <v>368</v>
      </c>
      <c r="J223" s="58">
        <v>0.0</v>
      </c>
      <c r="K223" s="56" t="s">
        <v>2680</v>
      </c>
      <c r="L223" s="59"/>
      <c r="M223" s="56" t="s">
        <v>8217</v>
      </c>
      <c r="N223" s="61" t="s">
        <v>373</v>
      </c>
      <c r="O223" s="58" t="s">
        <v>8218</v>
      </c>
    </row>
    <row r="224" ht="15.0" customHeight="1">
      <c r="A224" s="56" t="s">
        <v>172</v>
      </c>
      <c r="B224" s="56" t="s">
        <v>1455</v>
      </c>
      <c r="C224" s="57" t="s">
        <v>1456</v>
      </c>
      <c r="D224" s="58">
        <v>5.127587474E9</v>
      </c>
      <c r="E224" s="56" t="s">
        <v>368</v>
      </c>
      <c r="F224" s="56" t="s">
        <v>2286</v>
      </c>
      <c r="G224" s="56" t="s">
        <v>2286</v>
      </c>
      <c r="H224" s="56" t="s">
        <v>7643</v>
      </c>
      <c r="I224" s="56" t="s">
        <v>368</v>
      </c>
      <c r="J224" s="58">
        <v>0.0</v>
      </c>
      <c r="K224" s="56" t="s">
        <v>6902</v>
      </c>
      <c r="L224" s="59"/>
      <c r="M224" s="56" t="s">
        <v>8219</v>
      </c>
      <c r="N224" s="61" t="s">
        <v>373</v>
      </c>
      <c r="O224" s="58" t="s">
        <v>8220</v>
      </c>
    </row>
    <row r="225" ht="15.0" customHeight="1">
      <c r="A225" s="56" t="s">
        <v>6590</v>
      </c>
      <c r="B225" s="56" t="s">
        <v>6591</v>
      </c>
      <c r="C225" s="57" t="s">
        <v>6592</v>
      </c>
      <c r="D225" s="58">
        <v>8.174710042E9</v>
      </c>
      <c r="E225" s="56" t="s">
        <v>368</v>
      </c>
      <c r="F225" s="56" t="s">
        <v>8221</v>
      </c>
      <c r="G225" s="56" t="s">
        <v>421</v>
      </c>
      <c r="H225" s="56" t="s">
        <v>7403</v>
      </c>
      <c r="I225" s="56" t="s">
        <v>423</v>
      </c>
      <c r="J225" s="58">
        <v>3.0</v>
      </c>
      <c r="K225" s="56" t="s">
        <v>4371</v>
      </c>
      <c r="L225" s="59"/>
      <c r="M225" s="56" t="s">
        <v>8222</v>
      </c>
      <c r="N225" s="61" t="s">
        <v>394</v>
      </c>
      <c r="O225" s="58" t="s">
        <v>8223</v>
      </c>
    </row>
    <row r="226" ht="15.0" customHeight="1">
      <c r="A226" s="56" t="s">
        <v>8224</v>
      </c>
      <c r="B226" s="56" t="s">
        <v>8225</v>
      </c>
      <c r="C226" s="57" t="s">
        <v>8226</v>
      </c>
      <c r="D226" s="56" t="s">
        <v>8227</v>
      </c>
      <c r="E226" s="56" t="s">
        <v>368</v>
      </c>
      <c r="F226" s="56" t="s">
        <v>8228</v>
      </c>
      <c r="G226" s="56" t="s">
        <v>2286</v>
      </c>
      <c r="H226" s="56" t="s">
        <v>7643</v>
      </c>
      <c r="I226" s="56" t="s">
        <v>423</v>
      </c>
      <c r="J226" s="58">
        <v>0.0</v>
      </c>
      <c r="K226" s="56" t="s">
        <v>8229</v>
      </c>
      <c r="L226" s="59"/>
      <c r="M226" s="56" t="s">
        <v>8230</v>
      </c>
      <c r="N226" s="61" t="s">
        <v>373</v>
      </c>
      <c r="O226" s="58" t="s">
        <v>8231</v>
      </c>
    </row>
    <row r="227" ht="15.0" customHeight="1">
      <c r="A227" s="56" t="s">
        <v>312</v>
      </c>
      <c r="B227" s="56" t="s">
        <v>8232</v>
      </c>
      <c r="C227" s="57" t="s">
        <v>8233</v>
      </c>
      <c r="D227" s="56" t="s">
        <v>8234</v>
      </c>
      <c r="E227" s="56" t="s">
        <v>368</v>
      </c>
      <c r="F227" s="56" t="s">
        <v>2322</v>
      </c>
      <c r="G227" s="56" t="s">
        <v>459</v>
      </c>
      <c r="H227" s="56" t="s">
        <v>7439</v>
      </c>
      <c r="I227" s="56" t="s">
        <v>423</v>
      </c>
      <c r="J227" s="58">
        <v>5.0</v>
      </c>
      <c r="K227" s="56" t="s">
        <v>8235</v>
      </c>
      <c r="L227" s="59"/>
      <c r="M227" s="56" t="s">
        <v>8236</v>
      </c>
      <c r="N227" s="61" t="s">
        <v>373</v>
      </c>
      <c r="O227" s="58" t="s">
        <v>8237</v>
      </c>
    </row>
    <row r="228" ht="15.0" customHeight="1">
      <c r="A228" s="56" t="s">
        <v>173</v>
      </c>
      <c r="B228" s="56" t="s">
        <v>1467</v>
      </c>
      <c r="C228" s="57" t="s">
        <v>1468</v>
      </c>
      <c r="D228" s="56" t="s">
        <v>5122</v>
      </c>
      <c r="E228" s="56" t="s">
        <v>368</v>
      </c>
      <c r="F228" s="56" t="s">
        <v>5197</v>
      </c>
      <c r="G228" s="56" t="s">
        <v>2291</v>
      </c>
      <c r="H228" s="56" t="s">
        <v>7392</v>
      </c>
      <c r="I228" s="56" t="s">
        <v>368</v>
      </c>
      <c r="J228" s="58">
        <v>0.0</v>
      </c>
      <c r="K228" s="56" t="s">
        <v>2571</v>
      </c>
      <c r="L228" s="59"/>
      <c r="M228" s="56" t="s">
        <v>8238</v>
      </c>
      <c r="N228" s="61" t="s">
        <v>373</v>
      </c>
      <c r="O228" s="58" t="s">
        <v>8239</v>
      </c>
    </row>
    <row r="229" ht="15.0" customHeight="1">
      <c r="A229" s="56" t="s">
        <v>8240</v>
      </c>
      <c r="B229" s="56" t="s">
        <v>8241</v>
      </c>
      <c r="C229" s="57" t="s">
        <v>8242</v>
      </c>
      <c r="D229" s="58">
        <v>8.325302479E9</v>
      </c>
      <c r="E229" s="56" t="s">
        <v>368</v>
      </c>
      <c r="F229" s="56" t="s">
        <v>8243</v>
      </c>
      <c r="G229" s="56" t="s">
        <v>410</v>
      </c>
      <c r="H229" s="56" t="s">
        <v>7392</v>
      </c>
      <c r="I229" s="56" t="s">
        <v>368</v>
      </c>
      <c r="J229" s="58">
        <v>0.0</v>
      </c>
      <c r="K229" s="59"/>
      <c r="L229" s="59"/>
      <c r="M229" s="56" t="s">
        <v>7750</v>
      </c>
      <c r="N229" s="61" t="s">
        <v>394</v>
      </c>
      <c r="O229" s="58" t="s">
        <v>8244</v>
      </c>
    </row>
    <row r="230" ht="15.0" customHeight="1">
      <c r="A230" s="56" t="s">
        <v>174</v>
      </c>
      <c r="B230" s="56" t="s">
        <v>8245</v>
      </c>
      <c r="C230" s="57" t="s">
        <v>8246</v>
      </c>
      <c r="D230" s="56" t="s">
        <v>8247</v>
      </c>
      <c r="E230" s="56" t="s">
        <v>368</v>
      </c>
      <c r="F230" s="56" t="s">
        <v>7408</v>
      </c>
      <c r="G230" s="56" t="s">
        <v>452</v>
      </c>
      <c r="H230" s="56" t="s">
        <v>7392</v>
      </c>
      <c r="I230" s="56" t="s">
        <v>368</v>
      </c>
      <c r="J230" s="58">
        <v>0.0</v>
      </c>
      <c r="K230" s="56" t="s">
        <v>1443</v>
      </c>
      <c r="L230" s="59"/>
      <c r="M230" s="56" t="s">
        <v>8248</v>
      </c>
      <c r="N230" s="61" t="s">
        <v>373</v>
      </c>
      <c r="O230" s="58" t="s">
        <v>7442</v>
      </c>
    </row>
    <row r="231" ht="15.0" customHeight="1">
      <c r="A231" s="56" t="s">
        <v>8249</v>
      </c>
      <c r="B231" s="56" t="s">
        <v>8250</v>
      </c>
      <c r="C231" s="57" t="s">
        <v>8251</v>
      </c>
      <c r="D231" s="58">
        <v>3.12257076E9</v>
      </c>
      <c r="E231" s="56" t="s">
        <v>368</v>
      </c>
      <c r="F231" s="56" t="s">
        <v>8252</v>
      </c>
      <c r="G231" s="56" t="s">
        <v>390</v>
      </c>
      <c r="H231" s="56" t="s">
        <v>7392</v>
      </c>
      <c r="I231" s="56" t="s">
        <v>423</v>
      </c>
      <c r="J231" s="58">
        <v>2.0</v>
      </c>
      <c r="K231" s="56" t="s">
        <v>1001</v>
      </c>
      <c r="L231" s="59"/>
      <c r="M231" s="56" t="s">
        <v>8253</v>
      </c>
      <c r="N231" s="61" t="s">
        <v>373</v>
      </c>
      <c r="O231" s="58" t="s">
        <v>8254</v>
      </c>
    </row>
    <row r="232" ht="15.0" customHeight="1">
      <c r="A232" s="56" t="s">
        <v>8255</v>
      </c>
      <c r="B232" s="56" t="s">
        <v>8256</v>
      </c>
      <c r="C232" s="57" t="s">
        <v>8257</v>
      </c>
      <c r="D232" s="58">
        <v>5.615922924E9</v>
      </c>
      <c r="E232" s="56" t="s">
        <v>368</v>
      </c>
      <c r="F232" s="56" t="s">
        <v>2614</v>
      </c>
      <c r="G232" s="56" t="s">
        <v>2286</v>
      </c>
      <c r="H232" s="56" t="s">
        <v>7392</v>
      </c>
      <c r="I232" s="56" t="s">
        <v>423</v>
      </c>
      <c r="J232" s="58">
        <v>0.0</v>
      </c>
      <c r="K232" s="56" t="s">
        <v>2796</v>
      </c>
      <c r="L232" s="59"/>
      <c r="M232" s="56" t="s">
        <v>8258</v>
      </c>
      <c r="N232" s="61" t="s">
        <v>373</v>
      </c>
      <c r="O232" s="58" t="s">
        <v>8259</v>
      </c>
    </row>
    <row r="233" ht="15.0" customHeight="1">
      <c r="A233" s="56" t="s">
        <v>175</v>
      </c>
      <c r="B233" s="56" t="s">
        <v>6609</v>
      </c>
      <c r="C233" s="57" t="s">
        <v>6610</v>
      </c>
      <c r="D233" s="58">
        <v>3.21289196E9</v>
      </c>
      <c r="E233" s="56" t="s">
        <v>368</v>
      </c>
      <c r="F233" s="56" t="s">
        <v>8260</v>
      </c>
      <c r="G233" s="56" t="s">
        <v>362</v>
      </c>
      <c r="H233" s="56" t="s">
        <v>381</v>
      </c>
      <c r="I233" s="56" t="s">
        <v>423</v>
      </c>
      <c r="J233" s="58">
        <v>0.0</v>
      </c>
      <c r="K233" s="56" t="s">
        <v>880</v>
      </c>
      <c r="L233" s="59"/>
      <c r="M233" s="56" t="s">
        <v>8261</v>
      </c>
      <c r="N233" s="61" t="s">
        <v>373</v>
      </c>
      <c r="O233" s="58" t="s">
        <v>8262</v>
      </c>
    </row>
    <row r="234" ht="15.0" customHeight="1">
      <c r="A234" s="56" t="s">
        <v>8263</v>
      </c>
      <c r="B234" s="56" t="s">
        <v>8264</v>
      </c>
      <c r="C234" s="57" t="s">
        <v>8265</v>
      </c>
      <c r="D234" s="58">
        <v>3.399331555E9</v>
      </c>
      <c r="E234" s="56" t="s">
        <v>368</v>
      </c>
      <c r="F234" s="56" t="s">
        <v>8266</v>
      </c>
      <c r="G234" s="56" t="s">
        <v>421</v>
      </c>
      <c r="H234" s="56" t="s">
        <v>7392</v>
      </c>
      <c r="I234" s="56" t="s">
        <v>368</v>
      </c>
      <c r="J234" s="58">
        <v>0.0</v>
      </c>
      <c r="K234" s="56" t="s">
        <v>5538</v>
      </c>
      <c r="L234" s="59"/>
      <c r="M234" s="56" t="s">
        <v>8267</v>
      </c>
      <c r="N234" s="61" t="s">
        <v>373</v>
      </c>
      <c r="O234" s="58" t="s">
        <v>8268</v>
      </c>
    </row>
    <row r="235" ht="15.0" customHeight="1">
      <c r="A235" s="56" t="s">
        <v>176</v>
      </c>
      <c r="B235" s="56" t="s">
        <v>3543</v>
      </c>
      <c r="C235" s="57" t="s">
        <v>3544</v>
      </c>
      <c r="D235" s="58">
        <v>8.30624601E9</v>
      </c>
      <c r="E235" s="56" t="s">
        <v>368</v>
      </c>
      <c r="F235" s="56" t="s">
        <v>8269</v>
      </c>
      <c r="G235" s="56" t="s">
        <v>390</v>
      </c>
      <c r="H235" s="56" t="s">
        <v>7403</v>
      </c>
      <c r="I235" s="56" t="s">
        <v>368</v>
      </c>
      <c r="J235" s="58">
        <v>0.0</v>
      </c>
      <c r="K235" s="56" t="s">
        <v>528</v>
      </c>
      <c r="L235" s="59"/>
      <c r="M235" s="56" t="s">
        <v>8270</v>
      </c>
      <c r="N235" s="61" t="s">
        <v>373</v>
      </c>
      <c r="O235" s="58" t="s">
        <v>8271</v>
      </c>
    </row>
    <row r="236" ht="15.0" customHeight="1">
      <c r="A236" s="56" t="s">
        <v>177</v>
      </c>
      <c r="B236" s="56" t="s">
        <v>3548</v>
      </c>
      <c r="C236" s="57" t="s">
        <v>3549</v>
      </c>
      <c r="D236" s="56" t="s">
        <v>5131</v>
      </c>
      <c r="E236" s="56" t="s">
        <v>368</v>
      </c>
      <c r="F236" s="56" t="s">
        <v>2286</v>
      </c>
      <c r="G236" s="56" t="s">
        <v>2286</v>
      </c>
      <c r="H236" s="56" t="s">
        <v>381</v>
      </c>
      <c r="I236" s="56" t="s">
        <v>423</v>
      </c>
      <c r="J236" s="58">
        <v>3.0</v>
      </c>
      <c r="K236" s="56" t="s">
        <v>469</v>
      </c>
      <c r="L236" s="59"/>
      <c r="M236" s="56" t="s">
        <v>8272</v>
      </c>
      <c r="N236" s="61" t="s">
        <v>373</v>
      </c>
      <c r="O236" s="58" t="s">
        <v>7412</v>
      </c>
    </row>
    <row r="237" ht="15.0" customHeight="1">
      <c r="A237" s="56" t="s">
        <v>6624</v>
      </c>
      <c r="B237" s="56" t="s">
        <v>6625</v>
      </c>
      <c r="C237" s="57" t="s">
        <v>6626</v>
      </c>
      <c r="D237" s="58">
        <v>4.406738526E9</v>
      </c>
      <c r="E237" s="56" t="s">
        <v>368</v>
      </c>
      <c r="F237" s="56" t="s">
        <v>7970</v>
      </c>
      <c r="G237" s="56" t="s">
        <v>452</v>
      </c>
      <c r="H237" s="56" t="s">
        <v>7392</v>
      </c>
      <c r="I237" s="56" t="s">
        <v>423</v>
      </c>
      <c r="J237" s="58">
        <v>3.0</v>
      </c>
      <c r="K237" s="56" t="s">
        <v>3633</v>
      </c>
      <c r="L237" s="59"/>
      <c r="M237" s="56" t="s">
        <v>8273</v>
      </c>
      <c r="N237" s="61" t="s">
        <v>373</v>
      </c>
      <c r="O237" s="58" t="s">
        <v>8274</v>
      </c>
    </row>
    <row r="238" ht="15.0" customHeight="1">
      <c r="A238" s="56" t="s">
        <v>178</v>
      </c>
      <c r="B238" s="56" t="s">
        <v>5134</v>
      </c>
      <c r="C238" s="57" t="s">
        <v>6629</v>
      </c>
      <c r="D238" s="56" t="s">
        <v>6630</v>
      </c>
      <c r="E238" s="56" t="s">
        <v>368</v>
      </c>
      <c r="F238" s="56" t="s">
        <v>4987</v>
      </c>
      <c r="G238" s="56" t="s">
        <v>390</v>
      </c>
      <c r="H238" s="56" t="s">
        <v>7392</v>
      </c>
      <c r="I238" s="56" t="s">
        <v>368</v>
      </c>
      <c r="J238" s="58">
        <v>0.0</v>
      </c>
      <c r="K238" s="56" t="s">
        <v>5024</v>
      </c>
      <c r="L238" s="59"/>
      <c r="M238" s="56" t="s">
        <v>8275</v>
      </c>
      <c r="N238" s="61" t="s">
        <v>373</v>
      </c>
      <c r="O238" s="58" t="s">
        <v>8276</v>
      </c>
    </row>
    <row r="239" ht="15.0" customHeight="1">
      <c r="A239" s="56" t="s">
        <v>179</v>
      </c>
      <c r="B239" s="56" t="s">
        <v>8277</v>
      </c>
      <c r="C239" s="57" t="s">
        <v>8278</v>
      </c>
      <c r="D239" s="58">
        <v>1.9797090519E10</v>
      </c>
      <c r="E239" s="56" t="s">
        <v>368</v>
      </c>
      <c r="F239" s="56" t="s">
        <v>8279</v>
      </c>
      <c r="G239" s="56" t="s">
        <v>2286</v>
      </c>
      <c r="H239" s="56" t="s">
        <v>7403</v>
      </c>
      <c r="I239" s="56" t="s">
        <v>368</v>
      </c>
      <c r="J239" s="58">
        <v>0.0</v>
      </c>
      <c r="K239" s="56" t="s">
        <v>2627</v>
      </c>
      <c r="L239" s="59"/>
      <c r="M239" s="56" t="s">
        <v>8280</v>
      </c>
      <c r="N239" s="61" t="s">
        <v>373</v>
      </c>
      <c r="O239" s="58" t="s">
        <v>8281</v>
      </c>
    </row>
    <row r="240" ht="15.0" customHeight="1">
      <c r="A240" s="56" t="s">
        <v>180</v>
      </c>
      <c r="B240" s="56" t="s">
        <v>8282</v>
      </c>
      <c r="C240" s="57" t="s">
        <v>8283</v>
      </c>
      <c r="D240" s="58">
        <v>7.138210297E9</v>
      </c>
      <c r="E240" s="56" t="s">
        <v>368</v>
      </c>
      <c r="F240" s="56" t="s">
        <v>8284</v>
      </c>
      <c r="G240" s="56" t="s">
        <v>2286</v>
      </c>
      <c r="H240" s="56" t="s">
        <v>381</v>
      </c>
      <c r="I240" s="56" t="s">
        <v>423</v>
      </c>
      <c r="J240" s="58">
        <v>0.0</v>
      </c>
      <c r="K240" s="56" t="s">
        <v>1436</v>
      </c>
      <c r="L240" s="59"/>
      <c r="M240" s="56" t="s">
        <v>8285</v>
      </c>
      <c r="N240" s="61" t="s">
        <v>373</v>
      </c>
      <c r="O240" s="58" t="s">
        <v>7751</v>
      </c>
    </row>
    <row r="241" ht="15.0" customHeight="1">
      <c r="A241" s="56" t="s">
        <v>181</v>
      </c>
      <c r="B241" s="56" t="s">
        <v>6647</v>
      </c>
      <c r="C241" s="57" t="s">
        <v>5147</v>
      </c>
      <c r="D241" s="58">
        <v>8.326934546E9</v>
      </c>
      <c r="E241" s="56" t="s">
        <v>368</v>
      </c>
      <c r="F241" s="56" t="s">
        <v>3154</v>
      </c>
      <c r="G241" s="56" t="s">
        <v>390</v>
      </c>
      <c r="H241" s="56" t="s">
        <v>7392</v>
      </c>
      <c r="I241" s="56" t="s">
        <v>368</v>
      </c>
      <c r="J241" s="58">
        <v>0.0</v>
      </c>
      <c r="K241" s="56" t="s">
        <v>2228</v>
      </c>
      <c r="L241" s="59"/>
      <c r="M241" s="56" t="s">
        <v>8286</v>
      </c>
      <c r="N241" s="61" t="s">
        <v>373</v>
      </c>
      <c r="O241" s="58" t="s">
        <v>8287</v>
      </c>
    </row>
    <row r="242" ht="15.0" customHeight="1">
      <c r="A242" s="56" t="s">
        <v>3596</v>
      </c>
      <c r="B242" s="56" t="s">
        <v>3597</v>
      </c>
      <c r="C242" s="57" t="s">
        <v>3598</v>
      </c>
      <c r="D242" s="56" t="s">
        <v>8288</v>
      </c>
      <c r="E242" s="56" t="s">
        <v>368</v>
      </c>
      <c r="F242" s="56" t="s">
        <v>8221</v>
      </c>
      <c r="G242" s="56" t="s">
        <v>709</v>
      </c>
      <c r="H242" s="56" t="s">
        <v>381</v>
      </c>
      <c r="I242" s="56" t="s">
        <v>368</v>
      </c>
      <c r="J242" s="58">
        <v>0.0</v>
      </c>
      <c r="K242" s="56" t="s">
        <v>3875</v>
      </c>
      <c r="L242" s="59"/>
      <c r="M242" s="56" t="s">
        <v>8289</v>
      </c>
      <c r="N242" s="61" t="s">
        <v>373</v>
      </c>
      <c r="O242" s="58" t="s">
        <v>8290</v>
      </c>
    </row>
    <row r="243" ht="15.0" customHeight="1">
      <c r="A243" s="56" t="s">
        <v>8291</v>
      </c>
      <c r="B243" s="56" t="s">
        <v>8292</v>
      </c>
      <c r="C243" s="57" t="s">
        <v>8293</v>
      </c>
      <c r="D243" s="58">
        <v>7.816587497E9</v>
      </c>
      <c r="E243" s="56" t="s">
        <v>368</v>
      </c>
      <c r="F243" s="56" t="s">
        <v>8294</v>
      </c>
      <c r="G243" s="56" t="s">
        <v>390</v>
      </c>
      <c r="H243" s="56" t="s">
        <v>381</v>
      </c>
      <c r="I243" s="56" t="s">
        <v>368</v>
      </c>
      <c r="J243" s="58">
        <v>0.0</v>
      </c>
      <c r="K243" s="56" t="s">
        <v>774</v>
      </c>
      <c r="L243" s="59"/>
      <c r="M243" s="56" t="s">
        <v>8295</v>
      </c>
      <c r="N243" s="61" t="s">
        <v>373</v>
      </c>
      <c r="O243" s="58" t="s">
        <v>8296</v>
      </c>
    </row>
    <row r="244" ht="15.0" customHeight="1">
      <c r="A244" s="56" t="s">
        <v>8297</v>
      </c>
      <c r="B244" s="56" t="s">
        <v>8298</v>
      </c>
      <c r="C244" s="57" t="s">
        <v>8299</v>
      </c>
      <c r="D244" s="56" t="s">
        <v>8300</v>
      </c>
      <c r="E244" s="56" t="s">
        <v>368</v>
      </c>
      <c r="F244" s="56" t="s">
        <v>2504</v>
      </c>
      <c r="G244" s="56" t="s">
        <v>2286</v>
      </c>
      <c r="H244" s="56" t="s">
        <v>381</v>
      </c>
      <c r="I244" s="56" t="s">
        <v>368</v>
      </c>
      <c r="J244" s="58">
        <v>0.0</v>
      </c>
      <c r="K244" s="56" t="s">
        <v>415</v>
      </c>
      <c r="L244" s="59"/>
      <c r="M244" s="56" t="s">
        <v>8301</v>
      </c>
      <c r="N244" s="61" t="s">
        <v>373</v>
      </c>
      <c r="O244" s="58" t="s">
        <v>8302</v>
      </c>
    </row>
    <row r="245" ht="15.0" customHeight="1">
      <c r="A245" s="56" t="s">
        <v>8303</v>
      </c>
      <c r="B245" s="56" t="s">
        <v>8304</v>
      </c>
      <c r="C245" s="57" t="s">
        <v>8305</v>
      </c>
      <c r="D245" s="58">
        <v>9.4970143E9</v>
      </c>
      <c r="E245" s="56" t="s">
        <v>368</v>
      </c>
      <c r="F245" s="56" t="s">
        <v>4529</v>
      </c>
      <c r="G245" s="56" t="s">
        <v>675</v>
      </c>
      <c r="H245" s="56" t="s">
        <v>7392</v>
      </c>
      <c r="I245" s="56" t="s">
        <v>368</v>
      </c>
      <c r="J245" s="58">
        <v>0.0</v>
      </c>
      <c r="K245" s="56" t="s">
        <v>3422</v>
      </c>
      <c r="L245" s="59"/>
      <c r="M245" s="56" t="s">
        <v>8306</v>
      </c>
      <c r="N245" s="61" t="s">
        <v>373</v>
      </c>
      <c r="O245" s="58" t="s">
        <v>8307</v>
      </c>
    </row>
    <row r="246" ht="15.0" customHeight="1">
      <c r="A246" s="56" t="s">
        <v>1513</v>
      </c>
      <c r="B246" s="56" t="s">
        <v>8308</v>
      </c>
      <c r="C246" s="57" t="s">
        <v>8309</v>
      </c>
      <c r="D246" s="56" t="s">
        <v>8310</v>
      </c>
      <c r="E246" s="56" t="s">
        <v>368</v>
      </c>
      <c r="F246" s="56" t="s">
        <v>2801</v>
      </c>
      <c r="G246" s="56" t="s">
        <v>5715</v>
      </c>
      <c r="H246" s="56" t="s">
        <v>7643</v>
      </c>
      <c r="I246" s="56" t="s">
        <v>423</v>
      </c>
      <c r="J246" s="58">
        <v>5.0</v>
      </c>
      <c r="K246" s="56" t="s">
        <v>8311</v>
      </c>
      <c r="L246" s="59"/>
      <c r="M246" s="56" t="s">
        <v>8312</v>
      </c>
      <c r="N246" s="61" t="s">
        <v>394</v>
      </c>
      <c r="O246" s="58" t="s">
        <v>8313</v>
      </c>
    </row>
    <row r="247" ht="15.0" customHeight="1">
      <c r="A247" s="56" t="s">
        <v>182</v>
      </c>
      <c r="B247" s="56" t="s">
        <v>6650</v>
      </c>
      <c r="C247" s="57" t="s">
        <v>6651</v>
      </c>
      <c r="D247" s="56" t="s">
        <v>8314</v>
      </c>
      <c r="E247" s="56" t="s">
        <v>368</v>
      </c>
      <c r="F247" s="56" t="s">
        <v>676</v>
      </c>
      <c r="G247" s="56" t="s">
        <v>452</v>
      </c>
      <c r="H247" s="56" t="s">
        <v>483</v>
      </c>
      <c r="I247" s="56" t="s">
        <v>368</v>
      </c>
      <c r="J247" s="58">
        <v>0.0</v>
      </c>
      <c r="K247" s="56" t="s">
        <v>8315</v>
      </c>
      <c r="L247" s="59"/>
      <c r="M247" s="56" t="s">
        <v>8316</v>
      </c>
      <c r="N247" s="61" t="s">
        <v>373</v>
      </c>
      <c r="O247" s="58" t="s">
        <v>8317</v>
      </c>
    </row>
    <row r="248" ht="15.0" customHeight="1">
      <c r="A248" s="56" t="s">
        <v>183</v>
      </c>
      <c r="B248" s="56" t="s">
        <v>3604</v>
      </c>
      <c r="C248" s="57" t="s">
        <v>3605</v>
      </c>
      <c r="D248" s="58">
        <v>4.195642645E9</v>
      </c>
      <c r="E248" s="56" t="s">
        <v>368</v>
      </c>
      <c r="F248" s="56" t="s">
        <v>8318</v>
      </c>
      <c r="G248" s="56" t="s">
        <v>410</v>
      </c>
      <c r="H248" s="56" t="s">
        <v>7392</v>
      </c>
      <c r="I248" s="56" t="s">
        <v>423</v>
      </c>
      <c r="J248" s="58">
        <v>0.0</v>
      </c>
      <c r="K248" s="56" t="s">
        <v>3904</v>
      </c>
      <c r="L248" s="59"/>
      <c r="M248" s="56" t="s">
        <v>8319</v>
      </c>
      <c r="N248" s="61" t="s">
        <v>373</v>
      </c>
      <c r="O248" s="58" t="s">
        <v>8320</v>
      </c>
    </row>
    <row r="249" ht="15.0" customHeight="1">
      <c r="A249" s="56" t="s">
        <v>5165</v>
      </c>
      <c r="B249" s="56" t="s">
        <v>8321</v>
      </c>
      <c r="C249" s="57" t="s">
        <v>8322</v>
      </c>
      <c r="D249" s="58">
        <v>2.109783233E9</v>
      </c>
      <c r="E249" s="56" t="s">
        <v>368</v>
      </c>
      <c r="F249" s="56" t="s">
        <v>5567</v>
      </c>
      <c r="G249" s="56" t="s">
        <v>390</v>
      </c>
      <c r="H249" s="56" t="s">
        <v>7392</v>
      </c>
      <c r="I249" s="56" t="s">
        <v>368</v>
      </c>
      <c r="J249" s="58">
        <v>0.0</v>
      </c>
      <c r="K249" s="56" t="s">
        <v>2887</v>
      </c>
      <c r="L249" s="59"/>
      <c r="M249" s="56" t="s">
        <v>8323</v>
      </c>
      <c r="N249" s="61" t="s">
        <v>373</v>
      </c>
      <c r="O249" s="58" t="s">
        <v>8324</v>
      </c>
    </row>
    <row r="250" ht="15.0" customHeight="1">
      <c r="A250" s="56" t="s">
        <v>184</v>
      </c>
      <c r="B250" s="56" t="s">
        <v>8325</v>
      </c>
      <c r="C250" s="57" t="s">
        <v>6660</v>
      </c>
      <c r="D250" s="58">
        <v>7.138994816E9</v>
      </c>
      <c r="E250" s="56" t="s">
        <v>368</v>
      </c>
      <c r="F250" s="56" t="s">
        <v>411</v>
      </c>
      <c r="G250" s="56" t="s">
        <v>410</v>
      </c>
      <c r="H250" s="56" t="s">
        <v>7643</v>
      </c>
      <c r="I250" s="56" t="s">
        <v>368</v>
      </c>
      <c r="J250" s="58">
        <v>0.0</v>
      </c>
      <c r="K250" s="56" t="s">
        <v>684</v>
      </c>
      <c r="L250" s="59"/>
      <c r="M250" s="56" t="s">
        <v>8326</v>
      </c>
      <c r="N250" s="61" t="s">
        <v>373</v>
      </c>
      <c r="O250" s="58" t="s">
        <v>8327</v>
      </c>
    </row>
    <row r="251" ht="15.0" customHeight="1">
      <c r="A251" s="63" t="s">
        <v>185</v>
      </c>
      <c r="B251" s="63" t="s">
        <v>3617</v>
      </c>
      <c r="C251" s="53" t="s">
        <v>3618</v>
      </c>
      <c r="D251" s="63" t="s">
        <v>5172</v>
      </c>
      <c r="E251" s="63" t="s">
        <v>368</v>
      </c>
      <c r="F251" s="63" t="s">
        <v>2938</v>
      </c>
      <c r="G251" s="63" t="s">
        <v>452</v>
      </c>
      <c r="H251" s="63" t="s">
        <v>483</v>
      </c>
      <c r="I251" s="63" t="s">
        <v>368</v>
      </c>
      <c r="J251" s="64">
        <v>0.0</v>
      </c>
      <c r="K251" s="63" t="s">
        <v>4945</v>
      </c>
      <c r="L251" s="65"/>
      <c r="M251" s="63" t="s">
        <v>8328</v>
      </c>
      <c r="N251" s="67" t="s">
        <v>373</v>
      </c>
      <c r="O251" s="64" t="s">
        <v>8220</v>
      </c>
    </row>
    <row r="252" ht="15.0" customHeight="1">
      <c r="A252" s="56" t="s">
        <v>186</v>
      </c>
      <c r="B252" s="56" t="s">
        <v>3622</v>
      </c>
      <c r="C252" s="57" t="s">
        <v>3623</v>
      </c>
      <c r="D252" s="56" t="s">
        <v>5174</v>
      </c>
      <c r="E252" s="56" t="s">
        <v>368</v>
      </c>
      <c r="F252" s="56" t="s">
        <v>8329</v>
      </c>
      <c r="G252" s="56" t="s">
        <v>2286</v>
      </c>
      <c r="H252" s="56" t="s">
        <v>7392</v>
      </c>
      <c r="I252" s="56" t="s">
        <v>368</v>
      </c>
      <c r="J252" s="58">
        <v>0.0</v>
      </c>
      <c r="K252" s="56" t="s">
        <v>4358</v>
      </c>
      <c r="L252" s="59"/>
      <c r="M252" s="56" t="s">
        <v>8330</v>
      </c>
      <c r="N252" s="61" t="s">
        <v>373</v>
      </c>
      <c r="O252" s="58" t="s">
        <v>8331</v>
      </c>
    </row>
    <row r="253" ht="15.0" customHeight="1">
      <c r="A253" s="56" t="s">
        <v>187</v>
      </c>
      <c r="B253" s="56" t="s">
        <v>1528</v>
      </c>
      <c r="C253" s="57" t="s">
        <v>1529</v>
      </c>
      <c r="D253" s="56" t="s">
        <v>5177</v>
      </c>
      <c r="E253" s="56" t="s">
        <v>368</v>
      </c>
      <c r="F253" s="56" t="s">
        <v>2504</v>
      </c>
      <c r="G253" s="56" t="s">
        <v>390</v>
      </c>
      <c r="H253" s="56" t="s">
        <v>7392</v>
      </c>
      <c r="I253" s="56" t="s">
        <v>368</v>
      </c>
      <c r="J253" s="58">
        <v>0.0</v>
      </c>
      <c r="K253" s="56" t="s">
        <v>1007</v>
      </c>
      <c r="L253" s="59"/>
      <c r="M253" s="56" t="s">
        <v>8332</v>
      </c>
      <c r="N253" s="61" t="s">
        <v>373</v>
      </c>
      <c r="O253" s="58" t="s">
        <v>8333</v>
      </c>
    </row>
    <row r="254" ht="15.0" customHeight="1">
      <c r="A254" s="56" t="s">
        <v>188</v>
      </c>
      <c r="B254" s="56" t="s">
        <v>3628</v>
      </c>
      <c r="C254" s="57" t="s">
        <v>3629</v>
      </c>
      <c r="D254" s="56" t="s">
        <v>5180</v>
      </c>
      <c r="E254" s="56" t="s">
        <v>368</v>
      </c>
      <c r="F254" s="56" t="s">
        <v>2286</v>
      </c>
      <c r="G254" s="56" t="s">
        <v>2286</v>
      </c>
      <c r="H254" s="56" t="s">
        <v>7392</v>
      </c>
      <c r="I254" s="56" t="s">
        <v>368</v>
      </c>
      <c r="J254" s="58">
        <v>2.0</v>
      </c>
      <c r="K254" s="56" t="s">
        <v>4478</v>
      </c>
      <c r="L254" s="59"/>
      <c r="M254" s="56" t="s">
        <v>8334</v>
      </c>
      <c r="N254" s="61" t="s">
        <v>373</v>
      </c>
      <c r="O254" s="58" t="s">
        <v>8335</v>
      </c>
    </row>
    <row r="255" ht="15.0" customHeight="1">
      <c r="A255" s="56" t="s">
        <v>189</v>
      </c>
      <c r="B255" s="56" t="s">
        <v>8336</v>
      </c>
      <c r="C255" s="57" t="s">
        <v>8337</v>
      </c>
      <c r="D255" s="56" t="s">
        <v>8338</v>
      </c>
      <c r="E255" s="56" t="s">
        <v>368</v>
      </c>
      <c r="F255" s="56" t="s">
        <v>3631</v>
      </c>
      <c r="G255" s="56" t="s">
        <v>2291</v>
      </c>
      <c r="H255" s="56" t="s">
        <v>7392</v>
      </c>
      <c r="I255" s="56" t="s">
        <v>368</v>
      </c>
      <c r="J255" s="58">
        <v>0.0</v>
      </c>
      <c r="K255" s="56" t="s">
        <v>4380</v>
      </c>
      <c r="L255" s="59"/>
      <c r="M255" s="56" t="s">
        <v>8339</v>
      </c>
      <c r="N255" s="61" t="s">
        <v>373</v>
      </c>
      <c r="O255" s="58" t="s">
        <v>8340</v>
      </c>
    </row>
    <row r="256" ht="15.0" customHeight="1">
      <c r="A256" s="56" t="s">
        <v>190</v>
      </c>
      <c r="B256" s="56" t="s">
        <v>5182</v>
      </c>
      <c r="C256" s="57" t="s">
        <v>5183</v>
      </c>
      <c r="D256" s="58">
        <v>9.048210211E9</v>
      </c>
      <c r="E256" s="56" t="s">
        <v>368</v>
      </c>
      <c r="F256" s="56" t="s">
        <v>3197</v>
      </c>
      <c r="G256" s="56" t="s">
        <v>877</v>
      </c>
      <c r="H256" s="56" t="s">
        <v>381</v>
      </c>
      <c r="I256" s="56" t="s">
        <v>368</v>
      </c>
      <c r="J256" s="58">
        <v>2.0</v>
      </c>
      <c r="K256" s="56" t="s">
        <v>5947</v>
      </c>
      <c r="L256" s="59"/>
      <c r="M256" s="56" t="s">
        <v>8341</v>
      </c>
      <c r="N256" s="61" t="s">
        <v>373</v>
      </c>
      <c r="O256" s="58" t="s">
        <v>8342</v>
      </c>
    </row>
    <row r="257" ht="15.0" customHeight="1">
      <c r="A257" s="56" t="s">
        <v>191</v>
      </c>
      <c r="B257" s="56" t="s">
        <v>3636</v>
      </c>
      <c r="C257" s="57" t="s">
        <v>3637</v>
      </c>
      <c r="D257" s="56" t="s">
        <v>8343</v>
      </c>
      <c r="E257" s="56" t="s">
        <v>368</v>
      </c>
      <c r="F257" s="56" t="s">
        <v>3032</v>
      </c>
      <c r="G257" s="56" t="s">
        <v>410</v>
      </c>
      <c r="H257" s="56" t="s">
        <v>381</v>
      </c>
      <c r="I257" s="56" t="s">
        <v>368</v>
      </c>
      <c r="J257" s="58">
        <v>0.0</v>
      </c>
      <c r="K257" s="56" t="s">
        <v>754</v>
      </c>
      <c r="L257" s="59"/>
      <c r="M257" s="56" t="s">
        <v>8344</v>
      </c>
      <c r="N257" s="61" t="s">
        <v>373</v>
      </c>
      <c r="O257" s="58" t="s">
        <v>7592</v>
      </c>
    </row>
    <row r="258" ht="15.0" customHeight="1">
      <c r="A258" s="56" t="s">
        <v>192</v>
      </c>
      <c r="B258" s="56" t="s">
        <v>1545</v>
      </c>
      <c r="C258" s="57" t="s">
        <v>1546</v>
      </c>
      <c r="D258" s="58">
        <v>9.1329126E9</v>
      </c>
      <c r="E258" s="56" t="s">
        <v>368</v>
      </c>
      <c r="F258" s="56" t="s">
        <v>2504</v>
      </c>
      <c r="G258" s="56" t="s">
        <v>2286</v>
      </c>
      <c r="H258" s="56" t="s">
        <v>7392</v>
      </c>
      <c r="I258" s="56" t="s">
        <v>368</v>
      </c>
      <c r="J258" s="58">
        <v>2.0</v>
      </c>
      <c r="K258" s="56" t="s">
        <v>432</v>
      </c>
      <c r="L258" s="59"/>
      <c r="M258" s="56" t="s">
        <v>8345</v>
      </c>
      <c r="N258" s="61" t="s">
        <v>373</v>
      </c>
      <c r="O258" s="58" t="s">
        <v>8346</v>
      </c>
    </row>
    <row r="259" ht="15.0" customHeight="1">
      <c r="A259" s="56" t="s">
        <v>193</v>
      </c>
      <c r="B259" s="56" t="s">
        <v>6675</v>
      </c>
      <c r="C259" s="57" t="s">
        <v>1551</v>
      </c>
      <c r="D259" s="56" t="s">
        <v>1552</v>
      </c>
      <c r="E259" s="56" t="s">
        <v>368</v>
      </c>
      <c r="F259" s="56" t="s">
        <v>8347</v>
      </c>
      <c r="G259" s="56" t="s">
        <v>1553</v>
      </c>
      <c r="H259" s="56" t="s">
        <v>7643</v>
      </c>
      <c r="I259" s="56" t="s">
        <v>368</v>
      </c>
      <c r="J259" s="58">
        <v>0.0</v>
      </c>
      <c r="K259" s="56" t="s">
        <v>8348</v>
      </c>
      <c r="L259" s="59"/>
      <c r="M259" s="56" t="s">
        <v>8349</v>
      </c>
      <c r="N259" s="61" t="s">
        <v>373</v>
      </c>
      <c r="O259" s="58" t="s">
        <v>8350</v>
      </c>
    </row>
    <row r="260" ht="15.0" customHeight="1">
      <c r="A260" s="56" t="s">
        <v>194</v>
      </c>
      <c r="B260" s="56" t="s">
        <v>8351</v>
      </c>
      <c r="C260" s="57" t="s">
        <v>8352</v>
      </c>
      <c r="D260" s="56" t="s">
        <v>5193</v>
      </c>
      <c r="E260" s="56" t="s">
        <v>368</v>
      </c>
      <c r="F260" s="56" t="s">
        <v>2286</v>
      </c>
      <c r="G260" s="56" t="s">
        <v>2286</v>
      </c>
      <c r="H260" s="56" t="s">
        <v>7392</v>
      </c>
      <c r="I260" s="56" t="s">
        <v>368</v>
      </c>
      <c r="J260" s="58">
        <v>0.0</v>
      </c>
      <c r="K260" s="56" t="s">
        <v>3904</v>
      </c>
      <c r="L260" s="59"/>
      <c r="M260" s="56" t="s">
        <v>8353</v>
      </c>
      <c r="N260" s="61" t="s">
        <v>373</v>
      </c>
      <c r="O260" s="58" t="s">
        <v>8354</v>
      </c>
    </row>
    <row r="261" ht="15.0" customHeight="1">
      <c r="A261" s="56" t="s">
        <v>195</v>
      </c>
      <c r="B261" s="56" t="s">
        <v>1560</v>
      </c>
      <c r="C261" s="57" t="s">
        <v>1561</v>
      </c>
      <c r="D261" s="56" t="s">
        <v>6677</v>
      </c>
      <c r="E261" s="56" t="s">
        <v>368</v>
      </c>
      <c r="F261" s="56" t="s">
        <v>2286</v>
      </c>
      <c r="G261" s="56" t="s">
        <v>2286</v>
      </c>
      <c r="H261" s="56" t="s">
        <v>7392</v>
      </c>
      <c r="I261" s="56" t="s">
        <v>368</v>
      </c>
      <c r="J261" s="58">
        <v>0.0</v>
      </c>
      <c r="K261" s="56" t="s">
        <v>3445</v>
      </c>
      <c r="L261" s="59"/>
      <c r="M261" s="56" t="s">
        <v>8355</v>
      </c>
      <c r="N261" s="61" t="s">
        <v>373</v>
      </c>
      <c r="O261" s="58" t="s">
        <v>8356</v>
      </c>
    </row>
    <row r="262" ht="15.0" customHeight="1">
      <c r="A262" s="56" t="s">
        <v>196</v>
      </c>
      <c r="B262" s="56" t="s">
        <v>1571</v>
      </c>
      <c r="C262" s="57" t="s">
        <v>1572</v>
      </c>
      <c r="D262" s="56" t="s">
        <v>3661</v>
      </c>
      <c r="E262" s="56" t="s">
        <v>368</v>
      </c>
      <c r="F262" s="56" t="s">
        <v>8329</v>
      </c>
      <c r="G262" s="56" t="s">
        <v>2286</v>
      </c>
      <c r="H262" s="56" t="s">
        <v>483</v>
      </c>
      <c r="I262" s="56" t="s">
        <v>368</v>
      </c>
      <c r="J262" s="58">
        <v>0.0</v>
      </c>
      <c r="K262" s="56" t="s">
        <v>2704</v>
      </c>
      <c r="L262" s="59"/>
      <c r="M262" s="56" t="s">
        <v>8357</v>
      </c>
      <c r="N262" s="61" t="s">
        <v>373</v>
      </c>
      <c r="O262" s="58" t="s">
        <v>8358</v>
      </c>
    </row>
    <row r="263" ht="15.0" customHeight="1">
      <c r="A263" s="56" t="s">
        <v>8359</v>
      </c>
      <c r="B263" s="56" t="s">
        <v>6688</v>
      </c>
      <c r="C263" s="57" t="s">
        <v>6689</v>
      </c>
      <c r="D263" s="56" t="s">
        <v>6690</v>
      </c>
      <c r="E263" s="56" t="s">
        <v>368</v>
      </c>
      <c r="F263" s="56" t="s">
        <v>443</v>
      </c>
      <c r="G263" s="56" t="s">
        <v>443</v>
      </c>
      <c r="H263" s="56" t="s">
        <v>7643</v>
      </c>
      <c r="I263" s="56" t="s">
        <v>368</v>
      </c>
      <c r="J263" s="58">
        <v>0.0</v>
      </c>
      <c r="K263" s="56" t="s">
        <v>1089</v>
      </c>
      <c r="L263" s="59"/>
      <c r="M263" s="56" t="s">
        <v>8360</v>
      </c>
      <c r="N263" s="61" t="s">
        <v>373</v>
      </c>
      <c r="O263" s="58" t="s">
        <v>8361</v>
      </c>
    </row>
    <row r="264" ht="15.0" customHeight="1">
      <c r="A264" s="56" t="s">
        <v>197</v>
      </c>
      <c r="B264" s="56" t="s">
        <v>1580</v>
      </c>
      <c r="C264" s="57" t="s">
        <v>1581</v>
      </c>
      <c r="D264" s="56" t="s">
        <v>5208</v>
      </c>
      <c r="E264" s="56" t="s">
        <v>368</v>
      </c>
      <c r="F264" s="56" t="s">
        <v>1080</v>
      </c>
      <c r="G264" s="56" t="s">
        <v>410</v>
      </c>
      <c r="H264" s="56" t="s">
        <v>483</v>
      </c>
      <c r="I264" s="56" t="s">
        <v>368</v>
      </c>
      <c r="J264" s="58">
        <v>0.0</v>
      </c>
      <c r="K264" s="56" t="s">
        <v>930</v>
      </c>
      <c r="L264" s="59"/>
      <c r="M264" s="56" t="s">
        <v>8362</v>
      </c>
      <c r="N264" s="61" t="s">
        <v>373</v>
      </c>
      <c r="O264" s="58" t="s">
        <v>8363</v>
      </c>
    </row>
    <row r="265" ht="15.0" customHeight="1">
      <c r="A265" s="56" t="s">
        <v>6698</v>
      </c>
      <c r="B265" s="56" t="s">
        <v>6699</v>
      </c>
      <c r="C265" s="57" t="s">
        <v>6700</v>
      </c>
      <c r="D265" s="58">
        <v>9.0356129E9</v>
      </c>
      <c r="E265" s="56" t="s">
        <v>368</v>
      </c>
      <c r="F265" s="56" t="s">
        <v>8364</v>
      </c>
      <c r="G265" s="56" t="s">
        <v>1553</v>
      </c>
      <c r="H265" s="56" t="s">
        <v>7643</v>
      </c>
      <c r="I265" s="56" t="s">
        <v>368</v>
      </c>
      <c r="J265" s="58">
        <v>0.0</v>
      </c>
      <c r="K265" s="56" t="s">
        <v>1555</v>
      </c>
      <c r="L265" s="59"/>
      <c r="M265" s="56" t="s">
        <v>8365</v>
      </c>
      <c r="N265" s="61" t="s">
        <v>373</v>
      </c>
      <c r="O265" s="58" t="s">
        <v>8366</v>
      </c>
    </row>
    <row r="266" ht="15.0" customHeight="1">
      <c r="A266" s="56" t="s">
        <v>6703</v>
      </c>
      <c r="B266" s="56" t="s">
        <v>6704</v>
      </c>
      <c r="C266" s="57" t="s">
        <v>6705</v>
      </c>
      <c r="D266" s="56" t="s">
        <v>6706</v>
      </c>
      <c r="E266" s="56" t="s">
        <v>368</v>
      </c>
      <c r="F266" s="56" t="s">
        <v>2582</v>
      </c>
      <c r="G266" s="56" t="s">
        <v>2286</v>
      </c>
      <c r="H266" s="56" t="s">
        <v>7392</v>
      </c>
      <c r="I266" s="56" t="s">
        <v>368</v>
      </c>
      <c r="J266" s="58">
        <v>0.0</v>
      </c>
      <c r="K266" s="56" t="s">
        <v>1076</v>
      </c>
      <c r="L266" s="59"/>
      <c r="M266" s="56" t="s">
        <v>8367</v>
      </c>
      <c r="N266" s="61" t="s">
        <v>373</v>
      </c>
      <c r="O266" s="58" t="s">
        <v>8368</v>
      </c>
    </row>
    <row r="267" ht="15.0" customHeight="1">
      <c r="A267" s="56" t="s">
        <v>198</v>
      </c>
      <c r="B267" s="56" t="s">
        <v>3693</v>
      </c>
      <c r="C267" s="57" t="s">
        <v>3694</v>
      </c>
      <c r="D267" s="58">
        <v>2.629576058E9</v>
      </c>
      <c r="E267" s="56" t="s">
        <v>368</v>
      </c>
      <c r="F267" s="56" t="s">
        <v>8369</v>
      </c>
      <c r="G267" s="56" t="s">
        <v>421</v>
      </c>
      <c r="H267" s="56" t="s">
        <v>8370</v>
      </c>
      <c r="I267" s="56" t="s">
        <v>368</v>
      </c>
      <c r="J267" s="58">
        <v>0.0</v>
      </c>
      <c r="K267" s="56" t="s">
        <v>8371</v>
      </c>
      <c r="L267" s="59"/>
      <c r="M267" s="56" t="s">
        <v>8372</v>
      </c>
      <c r="N267" s="61" t="s">
        <v>373</v>
      </c>
      <c r="O267" s="58" t="s">
        <v>8373</v>
      </c>
    </row>
    <row r="268" ht="15.0" customHeight="1">
      <c r="A268" s="56" t="s">
        <v>199</v>
      </c>
      <c r="B268" s="56" t="s">
        <v>3697</v>
      </c>
      <c r="C268" s="57" t="s">
        <v>3698</v>
      </c>
      <c r="D268" s="58">
        <v>8.174691671E9</v>
      </c>
      <c r="E268" s="56" t="s">
        <v>368</v>
      </c>
      <c r="F268" s="56" t="s">
        <v>2286</v>
      </c>
      <c r="G268" s="56" t="s">
        <v>2286</v>
      </c>
      <c r="H268" s="56" t="s">
        <v>7392</v>
      </c>
      <c r="I268" s="56" t="s">
        <v>368</v>
      </c>
      <c r="J268" s="58">
        <v>2.0</v>
      </c>
      <c r="K268" s="56" t="s">
        <v>4591</v>
      </c>
      <c r="L268" s="59"/>
      <c r="M268" s="56" t="s">
        <v>8374</v>
      </c>
      <c r="N268" s="61" t="s">
        <v>373</v>
      </c>
      <c r="O268" s="58" t="s">
        <v>8375</v>
      </c>
    </row>
    <row r="269" ht="15.0" customHeight="1">
      <c r="A269" s="56" t="s">
        <v>8376</v>
      </c>
      <c r="B269" s="56" t="s">
        <v>8377</v>
      </c>
      <c r="C269" s="57" t="s">
        <v>8378</v>
      </c>
      <c r="D269" s="56" t="s">
        <v>8379</v>
      </c>
      <c r="E269" s="56" t="s">
        <v>368</v>
      </c>
      <c r="F269" s="56" t="s">
        <v>2286</v>
      </c>
      <c r="G269" s="56" t="s">
        <v>2286</v>
      </c>
      <c r="H269" s="56" t="s">
        <v>7643</v>
      </c>
      <c r="I269" s="56" t="s">
        <v>423</v>
      </c>
      <c r="J269" s="58">
        <v>1.0</v>
      </c>
      <c r="K269" s="56" t="s">
        <v>8380</v>
      </c>
      <c r="L269" s="59"/>
      <c r="M269" s="56" t="s">
        <v>8381</v>
      </c>
      <c r="N269" s="61" t="s">
        <v>373</v>
      </c>
      <c r="O269" s="58" t="s">
        <v>8382</v>
      </c>
    </row>
    <row r="270" ht="15.0" customHeight="1">
      <c r="A270" s="56" t="s">
        <v>6727</v>
      </c>
      <c r="B270" s="56" t="s">
        <v>6728</v>
      </c>
      <c r="C270" s="57" t="s">
        <v>8383</v>
      </c>
      <c r="D270" s="58">
        <v>7.132529841E9</v>
      </c>
      <c r="E270" s="56" t="s">
        <v>368</v>
      </c>
      <c r="F270" s="56" t="s">
        <v>1080</v>
      </c>
      <c r="G270" s="56" t="s">
        <v>410</v>
      </c>
      <c r="H270" s="56" t="s">
        <v>7403</v>
      </c>
      <c r="I270" s="56" t="s">
        <v>368</v>
      </c>
      <c r="J270" s="58">
        <v>0.0</v>
      </c>
      <c r="K270" s="56" t="s">
        <v>1443</v>
      </c>
      <c r="L270" s="59"/>
      <c r="M270" s="56" t="s">
        <v>8384</v>
      </c>
      <c r="N270" s="61" t="s">
        <v>373</v>
      </c>
      <c r="O270" s="58" t="s">
        <v>8385</v>
      </c>
    </row>
    <row r="271" ht="15.0" customHeight="1">
      <c r="A271" s="56" t="s">
        <v>200</v>
      </c>
      <c r="B271" s="56" t="s">
        <v>650</v>
      </c>
      <c r="C271" s="57" t="s">
        <v>1591</v>
      </c>
      <c r="D271" s="56" t="s">
        <v>8386</v>
      </c>
      <c r="E271" s="56" t="s">
        <v>368</v>
      </c>
      <c r="F271" s="56" t="s">
        <v>2938</v>
      </c>
      <c r="G271" s="56" t="s">
        <v>2286</v>
      </c>
      <c r="H271" s="56" t="s">
        <v>7392</v>
      </c>
      <c r="I271" s="56" t="s">
        <v>368</v>
      </c>
      <c r="J271" s="58">
        <v>0.0</v>
      </c>
      <c r="K271" s="56" t="s">
        <v>2174</v>
      </c>
      <c r="L271" s="59"/>
      <c r="M271" s="56" t="s">
        <v>8387</v>
      </c>
      <c r="N271" s="61" t="s">
        <v>373</v>
      </c>
      <c r="O271" s="58" t="s">
        <v>8388</v>
      </c>
    </row>
    <row r="272" ht="15.0" customHeight="1">
      <c r="A272" s="56" t="s">
        <v>201</v>
      </c>
      <c r="B272" s="56" t="s">
        <v>1595</v>
      </c>
      <c r="C272" s="57" t="s">
        <v>1596</v>
      </c>
      <c r="D272" s="58">
        <v>5.013075256E9</v>
      </c>
      <c r="E272" s="56" t="s">
        <v>368</v>
      </c>
      <c r="F272" s="56" t="s">
        <v>3111</v>
      </c>
      <c r="G272" s="56" t="s">
        <v>1598</v>
      </c>
      <c r="H272" s="56" t="s">
        <v>7392</v>
      </c>
      <c r="I272" s="56" t="s">
        <v>368</v>
      </c>
      <c r="J272" s="58">
        <v>0.0</v>
      </c>
      <c r="K272" s="56" t="s">
        <v>3236</v>
      </c>
      <c r="L272" s="59"/>
      <c r="M272" s="56" t="s">
        <v>7499</v>
      </c>
      <c r="N272" s="61" t="s">
        <v>373</v>
      </c>
      <c r="O272" s="58" t="s">
        <v>8389</v>
      </c>
    </row>
    <row r="273" ht="15.0" customHeight="1">
      <c r="A273" s="56" t="s">
        <v>8390</v>
      </c>
      <c r="B273" s="56" t="s">
        <v>8391</v>
      </c>
      <c r="C273" s="57" t="s">
        <v>8392</v>
      </c>
      <c r="D273" s="56" t="s">
        <v>8393</v>
      </c>
      <c r="E273" s="56" t="s">
        <v>368</v>
      </c>
      <c r="F273" s="56" t="s">
        <v>8221</v>
      </c>
      <c r="G273" s="56" t="s">
        <v>3730</v>
      </c>
      <c r="H273" s="56" t="s">
        <v>381</v>
      </c>
      <c r="I273" s="56" t="s">
        <v>368</v>
      </c>
      <c r="J273" s="58">
        <v>0.0</v>
      </c>
      <c r="K273" s="56" t="s">
        <v>5678</v>
      </c>
      <c r="L273" s="59"/>
      <c r="M273" s="56" t="s">
        <v>8394</v>
      </c>
      <c r="N273" s="61" t="s">
        <v>373</v>
      </c>
      <c r="O273" s="58" t="s">
        <v>8395</v>
      </c>
    </row>
    <row r="274" ht="15.0" customHeight="1">
      <c r="A274" s="56" t="s">
        <v>202</v>
      </c>
      <c r="B274" s="56" t="s">
        <v>3724</v>
      </c>
      <c r="C274" s="57" t="s">
        <v>3725</v>
      </c>
      <c r="D274" s="56" t="s">
        <v>5221</v>
      </c>
      <c r="E274" s="56" t="s">
        <v>368</v>
      </c>
      <c r="F274" s="56" t="s">
        <v>2851</v>
      </c>
      <c r="G274" s="56" t="s">
        <v>5715</v>
      </c>
      <c r="H274" s="56" t="s">
        <v>7403</v>
      </c>
      <c r="I274" s="56" t="s">
        <v>368</v>
      </c>
      <c r="J274" s="58">
        <v>0.0</v>
      </c>
      <c r="K274" s="56" t="s">
        <v>477</v>
      </c>
      <c r="L274" s="59"/>
      <c r="M274" s="56" t="s">
        <v>8396</v>
      </c>
      <c r="N274" s="61" t="s">
        <v>373</v>
      </c>
      <c r="O274" s="58" t="s">
        <v>8397</v>
      </c>
    </row>
    <row r="275" ht="15.0" customHeight="1">
      <c r="A275" s="56" t="s">
        <v>8398</v>
      </c>
      <c r="B275" s="56" t="s">
        <v>5225</v>
      </c>
      <c r="C275" s="57" t="s">
        <v>5226</v>
      </c>
      <c r="D275" s="58">
        <v>2.816149908E9</v>
      </c>
      <c r="E275" s="56" t="s">
        <v>368</v>
      </c>
      <c r="F275" s="56" t="s">
        <v>7408</v>
      </c>
      <c r="G275" s="56" t="s">
        <v>390</v>
      </c>
      <c r="H275" s="56" t="s">
        <v>7392</v>
      </c>
      <c r="I275" s="56" t="s">
        <v>423</v>
      </c>
      <c r="J275" s="58">
        <v>0.0</v>
      </c>
      <c r="K275" s="56" t="s">
        <v>1064</v>
      </c>
      <c r="L275" s="59"/>
      <c r="M275" s="56" t="s">
        <v>8399</v>
      </c>
      <c r="N275" s="61" t="s">
        <v>373</v>
      </c>
      <c r="O275" s="58" t="s">
        <v>8400</v>
      </c>
    </row>
    <row r="276" ht="15.0" customHeight="1">
      <c r="A276" s="56" t="s">
        <v>203</v>
      </c>
      <c r="B276" s="56" t="s">
        <v>8401</v>
      </c>
      <c r="C276" s="57" t="s">
        <v>8402</v>
      </c>
      <c r="D276" s="56" t="s">
        <v>8403</v>
      </c>
      <c r="E276" s="56" t="s">
        <v>368</v>
      </c>
      <c r="F276" s="56" t="s">
        <v>7408</v>
      </c>
      <c r="G276" s="56" t="s">
        <v>362</v>
      </c>
      <c r="H276" s="56" t="s">
        <v>7392</v>
      </c>
      <c r="I276" s="56" t="s">
        <v>368</v>
      </c>
      <c r="J276" s="58">
        <v>0.0</v>
      </c>
      <c r="K276" s="56" t="s">
        <v>424</v>
      </c>
      <c r="L276" s="59"/>
      <c r="M276" s="56" t="s">
        <v>8404</v>
      </c>
      <c r="N276" s="61" t="s">
        <v>373</v>
      </c>
      <c r="O276" s="58" t="s">
        <v>8405</v>
      </c>
    </row>
    <row r="277" ht="15.0" customHeight="1">
      <c r="A277" s="56" t="s">
        <v>6751</v>
      </c>
      <c r="B277" s="56" t="s">
        <v>6752</v>
      </c>
      <c r="C277" s="57" t="s">
        <v>6753</v>
      </c>
      <c r="D277" s="56" t="s">
        <v>6754</v>
      </c>
      <c r="E277" s="56" t="s">
        <v>368</v>
      </c>
      <c r="F277" s="56" t="s">
        <v>8406</v>
      </c>
      <c r="G277" s="56" t="s">
        <v>390</v>
      </c>
      <c r="H277" s="56" t="s">
        <v>7392</v>
      </c>
      <c r="I277" s="56" t="s">
        <v>423</v>
      </c>
      <c r="J277" s="58">
        <v>2.0</v>
      </c>
      <c r="K277" s="56" t="s">
        <v>4680</v>
      </c>
      <c r="L277" s="59"/>
      <c r="M277" s="56" t="s">
        <v>8407</v>
      </c>
      <c r="N277" s="61" t="s">
        <v>373</v>
      </c>
      <c r="O277" s="58" t="s">
        <v>8408</v>
      </c>
    </row>
    <row r="278" ht="15.0" customHeight="1">
      <c r="A278" s="56" t="s">
        <v>6756</v>
      </c>
      <c r="B278" s="56" t="s">
        <v>8409</v>
      </c>
      <c r="C278" s="57" t="s">
        <v>8410</v>
      </c>
      <c r="D278" s="56" t="s">
        <v>8411</v>
      </c>
      <c r="E278" s="56" t="s">
        <v>368</v>
      </c>
      <c r="F278" s="56" t="s">
        <v>8412</v>
      </c>
      <c r="G278" s="56" t="s">
        <v>452</v>
      </c>
      <c r="H278" s="56" t="s">
        <v>7392</v>
      </c>
      <c r="I278" s="56" t="s">
        <v>368</v>
      </c>
      <c r="J278" s="58">
        <v>4.0</v>
      </c>
      <c r="K278" s="56" t="s">
        <v>4181</v>
      </c>
      <c r="L278" s="59"/>
      <c r="M278" s="56" t="s">
        <v>8413</v>
      </c>
      <c r="N278" s="61" t="s">
        <v>373</v>
      </c>
      <c r="O278" s="58" t="s">
        <v>8414</v>
      </c>
    </row>
    <row r="279" ht="15.0" customHeight="1">
      <c r="A279" s="56" t="s">
        <v>204</v>
      </c>
      <c r="B279" s="56" t="s">
        <v>8415</v>
      </c>
      <c r="C279" s="57" t="s">
        <v>1608</v>
      </c>
      <c r="D279" s="56" t="s">
        <v>5253</v>
      </c>
      <c r="E279" s="56" t="s">
        <v>368</v>
      </c>
      <c r="F279" s="56" t="s">
        <v>7408</v>
      </c>
      <c r="G279" s="56" t="s">
        <v>390</v>
      </c>
      <c r="H279" s="56" t="s">
        <v>7439</v>
      </c>
      <c r="I279" s="56" t="s">
        <v>423</v>
      </c>
      <c r="J279" s="58">
        <v>5.0</v>
      </c>
      <c r="K279" s="56" t="s">
        <v>3339</v>
      </c>
      <c r="L279" s="59"/>
      <c r="M279" s="56" t="s">
        <v>8416</v>
      </c>
      <c r="N279" s="61" t="s">
        <v>373</v>
      </c>
      <c r="O279" s="58" t="s">
        <v>8417</v>
      </c>
    </row>
    <row r="280" ht="15.0" customHeight="1">
      <c r="A280" s="56" t="s">
        <v>205</v>
      </c>
      <c r="B280" s="56" t="s">
        <v>5256</v>
      </c>
      <c r="C280" s="57" t="s">
        <v>5257</v>
      </c>
      <c r="D280" s="58">
        <v>3.012192991E9</v>
      </c>
      <c r="E280" s="56" t="s">
        <v>368</v>
      </c>
      <c r="F280" s="56" t="s">
        <v>8418</v>
      </c>
      <c r="G280" s="56" t="s">
        <v>877</v>
      </c>
      <c r="H280" s="56" t="s">
        <v>7392</v>
      </c>
      <c r="I280" s="56" t="s">
        <v>368</v>
      </c>
      <c r="J280" s="58">
        <v>1.0</v>
      </c>
      <c r="K280" s="56" t="s">
        <v>4181</v>
      </c>
      <c r="L280" s="59"/>
      <c r="M280" s="56" t="s">
        <v>8419</v>
      </c>
      <c r="N280" s="61" t="s">
        <v>373</v>
      </c>
      <c r="O280" s="58" t="s">
        <v>8420</v>
      </c>
    </row>
    <row r="281" ht="15.0" customHeight="1">
      <c r="A281" s="56" t="s">
        <v>6764</v>
      </c>
      <c r="B281" s="56" t="s">
        <v>8421</v>
      </c>
      <c r="C281" s="57" t="s">
        <v>8422</v>
      </c>
      <c r="D281" s="58">
        <v>8.508328526E9</v>
      </c>
      <c r="E281" s="56" t="s">
        <v>368</v>
      </c>
      <c r="F281" s="56" t="s">
        <v>8423</v>
      </c>
      <c r="G281" s="56" t="s">
        <v>362</v>
      </c>
      <c r="H281" s="56" t="s">
        <v>381</v>
      </c>
      <c r="I281" s="56" t="s">
        <v>423</v>
      </c>
      <c r="J281" s="58">
        <v>0.0</v>
      </c>
      <c r="K281" s="56" t="s">
        <v>2922</v>
      </c>
      <c r="L281" s="59"/>
      <c r="M281" s="56" t="s">
        <v>8424</v>
      </c>
      <c r="N281" s="61" t="s">
        <v>373</v>
      </c>
      <c r="O281" s="58" t="s">
        <v>8425</v>
      </c>
    </row>
    <row r="282" ht="15.0" customHeight="1">
      <c r="A282" s="56" t="s">
        <v>206</v>
      </c>
      <c r="B282" s="56" t="s">
        <v>8426</v>
      </c>
      <c r="C282" s="57" t="s">
        <v>8427</v>
      </c>
      <c r="D282" s="58">
        <v>7.708531889E9</v>
      </c>
      <c r="E282" s="56" t="s">
        <v>368</v>
      </c>
      <c r="F282" s="56" t="s">
        <v>8428</v>
      </c>
      <c r="G282" s="56" t="s">
        <v>362</v>
      </c>
      <c r="H282" s="56" t="s">
        <v>7392</v>
      </c>
      <c r="I282" s="56" t="s">
        <v>368</v>
      </c>
      <c r="J282" s="58">
        <v>0.0</v>
      </c>
      <c r="K282" s="56" t="s">
        <v>3662</v>
      </c>
      <c r="L282" s="59"/>
      <c r="M282" s="56" t="s">
        <v>8429</v>
      </c>
      <c r="N282" s="61" t="s">
        <v>373</v>
      </c>
      <c r="O282" s="58" t="s">
        <v>8430</v>
      </c>
    </row>
    <row r="283" ht="15.0" customHeight="1">
      <c r="A283" s="56" t="s">
        <v>8431</v>
      </c>
      <c r="B283" s="56" t="s">
        <v>8432</v>
      </c>
      <c r="C283" s="57" t="s">
        <v>8433</v>
      </c>
      <c r="D283" s="68" t="s">
        <v>4156</v>
      </c>
      <c r="E283" s="56" t="s">
        <v>368</v>
      </c>
      <c r="F283" s="56" t="s">
        <v>8221</v>
      </c>
      <c r="G283" s="56" t="s">
        <v>410</v>
      </c>
      <c r="H283" s="56" t="s">
        <v>381</v>
      </c>
      <c r="I283" s="56" t="s">
        <v>423</v>
      </c>
      <c r="J283" s="58">
        <v>0.0</v>
      </c>
      <c r="K283" s="56" t="s">
        <v>669</v>
      </c>
      <c r="L283" s="59"/>
      <c r="M283" s="56" t="s">
        <v>8434</v>
      </c>
      <c r="N283" s="61" t="s">
        <v>373</v>
      </c>
      <c r="O283" s="58" t="s">
        <v>8435</v>
      </c>
    </row>
    <row r="284" ht="15.0" customHeight="1">
      <c r="A284" s="56" t="s">
        <v>207</v>
      </c>
      <c r="B284" s="56" t="s">
        <v>8436</v>
      </c>
      <c r="C284" s="57" t="s">
        <v>8437</v>
      </c>
      <c r="D284" s="58">
        <v>7.572360436E9</v>
      </c>
      <c r="E284" s="56" t="s">
        <v>368</v>
      </c>
      <c r="F284" s="56" t="s">
        <v>8438</v>
      </c>
      <c r="G284" s="56" t="s">
        <v>390</v>
      </c>
      <c r="H284" s="56" t="s">
        <v>381</v>
      </c>
      <c r="I284" s="56" t="s">
        <v>368</v>
      </c>
      <c r="J284" s="58">
        <v>0.0</v>
      </c>
      <c r="K284" s="56" t="s">
        <v>3699</v>
      </c>
      <c r="L284" s="59"/>
      <c r="M284" s="56" t="s">
        <v>8439</v>
      </c>
      <c r="N284" s="61" t="s">
        <v>373</v>
      </c>
      <c r="O284" s="58" t="s">
        <v>7595</v>
      </c>
    </row>
    <row r="285" ht="15.0" customHeight="1">
      <c r="A285" s="56" t="s">
        <v>208</v>
      </c>
      <c r="B285" s="56" t="s">
        <v>8440</v>
      </c>
      <c r="C285" s="57" t="s">
        <v>8441</v>
      </c>
      <c r="D285" s="58">
        <v>7.138253203E9</v>
      </c>
      <c r="E285" s="56" t="s">
        <v>368</v>
      </c>
      <c r="F285" s="56" t="s">
        <v>8442</v>
      </c>
      <c r="G285" s="56" t="s">
        <v>390</v>
      </c>
      <c r="H285" s="56" t="s">
        <v>7439</v>
      </c>
      <c r="I285" s="56" t="s">
        <v>368</v>
      </c>
      <c r="J285" s="58">
        <v>2.0</v>
      </c>
      <c r="K285" s="56" t="s">
        <v>8443</v>
      </c>
      <c r="L285" s="59"/>
      <c r="M285" s="56" t="s">
        <v>8444</v>
      </c>
      <c r="N285" s="61" t="s">
        <v>373</v>
      </c>
      <c r="O285" s="58" t="s">
        <v>8445</v>
      </c>
    </row>
    <row r="286" ht="15.0" customHeight="1">
      <c r="A286" s="56" t="s">
        <v>209</v>
      </c>
      <c r="B286" s="56" t="s">
        <v>6792</v>
      </c>
      <c r="C286" s="57" t="s">
        <v>6793</v>
      </c>
      <c r="D286" s="56" t="s">
        <v>6794</v>
      </c>
      <c r="E286" s="56" t="s">
        <v>368</v>
      </c>
      <c r="F286" s="56" t="s">
        <v>8446</v>
      </c>
      <c r="G286" s="56" t="s">
        <v>716</v>
      </c>
      <c r="H286" s="56" t="s">
        <v>483</v>
      </c>
      <c r="I286" s="56" t="s">
        <v>423</v>
      </c>
      <c r="J286" s="58">
        <v>0.0</v>
      </c>
      <c r="K286" s="56" t="s">
        <v>2566</v>
      </c>
      <c r="L286" s="59"/>
      <c r="M286" s="56" t="s">
        <v>8447</v>
      </c>
      <c r="N286" s="61" t="s">
        <v>373</v>
      </c>
      <c r="O286" s="58" t="s">
        <v>8448</v>
      </c>
    </row>
    <row r="287" ht="15.0" customHeight="1">
      <c r="A287" s="56" t="s">
        <v>210</v>
      </c>
      <c r="B287" s="56" t="s">
        <v>6797</v>
      </c>
      <c r="C287" s="57" t="s">
        <v>6798</v>
      </c>
      <c r="D287" s="56" t="s">
        <v>8449</v>
      </c>
      <c r="E287" s="56" t="s">
        <v>368</v>
      </c>
      <c r="F287" s="56" t="s">
        <v>8450</v>
      </c>
      <c r="G287" s="56" t="s">
        <v>452</v>
      </c>
      <c r="H287" s="56" t="s">
        <v>7643</v>
      </c>
      <c r="I287" s="56" t="s">
        <v>368</v>
      </c>
      <c r="J287" s="58">
        <v>0.0</v>
      </c>
      <c r="K287" s="56" t="s">
        <v>8451</v>
      </c>
      <c r="L287" s="59"/>
      <c r="M287" s="56" t="s">
        <v>8452</v>
      </c>
      <c r="N287" s="61" t="s">
        <v>373</v>
      </c>
      <c r="O287" s="58" t="s">
        <v>8453</v>
      </c>
    </row>
    <row r="288" ht="15.0" customHeight="1">
      <c r="A288" s="56" t="s">
        <v>211</v>
      </c>
      <c r="B288" s="56" t="s">
        <v>1653</v>
      </c>
      <c r="C288" s="57" t="s">
        <v>1654</v>
      </c>
      <c r="D288" s="56" t="s">
        <v>5290</v>
      </c>
      <c r="E288" s="56" t="s">
        <v>368</v>
      </c>
      <c r="F288" s="56" t="s">
        <v>8260</v>
      </c>
      <c r="G288" s="56" t="s">
        <v>362</v>
      </c>
      <c r="H288" s="56" t="s">
        <v>7403</v>
      </c>
      <c r="I288" s="56" t="s">
        <v>368</v>
      </c>
      <c r="J288" s="58">
        <v>2.0</v>
      </c>
      <c r="K288" s="56" t="s">
        <v>749</v>
      </c>
      <c r="L288" s="59"/>
      <c r="M288" s="56" t="s">
        <v>8454</v>
      </c>
      <c r="N288" s="61" t="s">
        <v>373</v>
      </c>
      <c r="O288" s="58" t="s">
        <v>8455</v>
      </c>
    </row>
    <row r="289" ht="15.0" customHeight="1">
      <c r="A289" s="56" t="s">
        <v>212</v>
      </c>
      <c r="B289" s="56" t="s">
        <v>1660</v>
      </c>
      <c r="C289" s="57" t="s">
        <v>1661</v>
      </c>
      <c r="D289" s="58">
        <v>9.163163844E9</v>
      </c>
      <c r="E289" s="56" t="s">
        <v>368</v>
      </c>
      <c r="F289" s="56" t="s">
        <v>2286</v>
      </c>
      <c r="G289" s="56" t="s">
        <v>2286</v>
      </c>
      <c r="H289" s="56" t="s">
        <v>381</v>
      </c>
      <c r="I289" s="56" t="s">
        <v>368</v>
      </c>
      <c r="J289" s="58">
        <v>0.0</v>
      </c>
      <c r="K289" s="56" t="s">
        <v>2542</v>
      </c>
      <c r="L289" s="59"/>
      <c r="M289" s="56" t="s">
        <v>8456</v>
      </c>
      <c r="N289" s="61" t="s">
        <v>373</v>
      </c>
      <c r="O289" s="58" t="s">
        <v>8457</v>
      </c>
    </row>
    <row r="290" ht="15.0" customHeight="1">
      <c r="A290" s="56" t="s">
        <v>213</v>
      </c>
      <c r="B290" s="56" t="s">
        <v>1665</v>
      </c>
      <c r="C290" s="57" t="s">
        <v>1666</v>
      </c>
      <c r="D290" s="56" t="s">
        <v>1667</v>
      </c>
      <c r="E290" s="56" t="s">
        <v>368</v>
      </c>
      <c r="F290" s="56" t="s">
        <v>496</v>
      </c>
      <c r="G290" s="56" t="s">
        <v>459</v>
      </c>
      <c r="H290" s="56" t="s">
        <v>381</v>
      </c>
      <c r="I290" s="56" t="s">
        <v>368</v>
      </c>
      <c r="J290" s="58">
        <v>0.0</v>
      </c>
      <c r="K290" s="56" t="s">
        <v>1233</v>
      </c>
      <c r="L290" s="59"/>
      <c r="M290" s="56" t="s">
        <v>8458</v>
      </c>
      <c r="N290" s="61" t="s">
        <v>373</v>
      </c>
      <c r="O290" s="58" t="s">
        <v>7442</v>
      </c>
    </row>
    <row r="291" ht="15.0" customHeight="1">
      <c r="A291" s="56" t="s">
        <v>214</v>
      </c>
      <c r="B291" s="56" t="s">
        <v>1673</v>
      </c>
      <c r="C291" s="57" t="s">
        <v>1674</v>
      </c>
      <c r="D291" s="56" t="s">
        <v>5298</v>
      </c>
      <c r="E291" s="56" t="s">
        <v>368</v>
      </c>
      <c r="F291" s="56" t="s">
        <v>2491</v>
      </c>
      <c r="G291" s="56" t="s">
        <v>2286</v>
      </c>
      <c r="H291" s="56" t="s">
        <v>7392</v>
      </c>
      <c r="I291" s="56" t="s">
        <v>368</v>
      </c>
      <c r="J291" s="58">
        <v>0.0</v>
      </c>
      <c r="K291" s="56" t="s">
        <v>907</v>
      </c>
      <c r="L291" s="59"/>
      <c r="M291" s="56" t="s">
        <v>8459</v>
      </c>
      <c r="N291" s="61" t="s">
        <v>373</v>
      </c>
      <c r="O291" s="58" t="s">
        <v>7442</v>
      </c>
    </row>
    <row r="292" ht="15.0" customHeight="1">
      <c r="A292" s="56" t="s">
        <v>215</v>
      </c>
      <c r="B292" s="56" t="s">
        <v>1678</v>
      </c>
      <c r="C292" s="57" t="s">
        <v>1679</v>
      </c>
      <c r="D292" s="58">
        <v>8.172155223E9</v>
      </c>
      <c r="E292" s="56" t="s">
        <v>368</v>
      </c>
      <c r="F292" s="56" t="s">
        <v>3793</v>
      </c>
      <c r="G292" s="56" t="s">
        <v>452</v>
      </c>
      <c r="H292" s="56" t="s">
        <v>7439</v>
      </c>
      <c r="I292" s="56" t="s">
        <v>368</v>
      </c>
      <c r="J292" s="58">
        <v>0.0</v>
      </c>
      <c r="K292" s="56" t="s">
        <v>6564</v>
      </c>
      <c r="L292" s="59"/>
      <c r="M292" s="56" t="s">
        <v>8460</v>
      </c>
      <c r="N292" s="61" t="s">
        <v>373</v>
      </c>
      <c r="O292" s="58" t="s">
        <v>8461</v>
      </c>
    </row>
    <row r="293" ht="15.0" customHeight="1">
      <c r="A293" s="56" t="s">
        <v>8462</v>
      </c>
      <c r="B293" s="56" t="s">
        <v>8463</v>
      </c>
      <c r="C293" s="57" t="s">
        <v>8464</v>
      </c>
      <c r="D293" s="56" t="s">
        <v>8465</v>
      </c>
      <c r="E293" s="56" t="s">
        <v>368</v>
      </c>
      <c r="F293" s="56" t="s">
        <v>411</v>
      </c>
      <c r="G293" s="56" t="s">
        <v>410</v>
      </c>
      <c r="H293" s="56" t="s">
        <v>7403</v>
      </c>
      <c r="I293" s="56" t="s">
        <v>423</v>
      </c>
      <c r="J293" s="58">
        <v>0.0</v>
      </c>
      <c r="K293" s="56" t="s">
        <v>1157</v>
      </c>
      <c r="L293" s="59"/>
      <c r="M293" s="56" t="s">
        <v>8466</v>
      </c>
      <c r="N293" s="61" t="s">
        <v>373</v>
      </c>
      <c r="O293" s="58" t="s">
        <v>8467</v>
      </c>
    </row>
    <row r="294" ht="15.0" customHeight="1">
      <c r="A294" s="56" t="s">
        <v>216</v>
      </c>
      <c r="B294" s="56" t="s">
        <v>1697</v>
      </c>
      <c r="C294" s="57" t="s">
        <v>1698</v>
      </c>
      <c r="D294" s="56" t="s">
        <v>8468</v>
      </c>
      <c r="E294" s="56" t="s">
        <v>368</v>
      </c>
      <c r="F294" s="56" t="s">
        <v>8469</v>
      </c>
      <c r="G294" s="56" t="s">
        <v>2286</v>
      </c>
      <c r="H294" s="56" t="s">
        <v>7392</v>
      </c>
      <c r="I294" s="56" t="s">
        <v>368</v>
      </c>
      <c r="J294" s="58">
        <v>0.0</v>
      </c>
      <c r="K294" s="56" t="s">
        <v>1349</v>
      </c>
      <c r="L294" s="59"/>
      <c r="M294" s="56" t="s">
        <v>8470</v>
      </c>
      <c r="N294" s="61" t="s">
        <v>373</v>
      </c>
      <c r="O294" s="58" t="s">
        <v>8471</v>
      </c>
    </row>
    <row r="295" ht="15.0" customHeight="1">
      <c r="A295" s="56" t="s">
        <v>8472</v>
      </c>
      <c r="B295" s="56" t="s">
        <v>8473</v>
      </c>
      <c r="C295" s="57" t="s">
        <v>8474</v>
      </c>
      <c r="D295" s="58">
        <v>1.7139758555E10</v>
      </c>
      <c r="E295" s="56" t="s">
        <v>368</v>
      </c>
      <c r="F295" s="56" t="s">
        <v>2286</v>
      </c>
      <c r="G295" s="56" t="s">
        <v>2286</v>
      </c>
      <c r="H295" s="56" t="s">
        <v>7392</v>
      </c>
      <c r="I295" s="56" t="s">
        <v>368</v>
      </c>
      <c r="J295" s="58">
        <v>0.0</v>
      </c>
      <c r="K295" s="56" t="s">
        <v>1642</v>
      </c>
      <c r="L295" s="59"/>
      <c r="M295" s="56" t="s">
        <v>8475</v>
      </c>
      <c r="N295" s="61" t="s">
        <v>373</v>
      </c>
      <c r="O295" s="58" t="s">
        <v>8476</v>
      </c>
    </row>
    <row r="296" ht="15.0" customHeight="1">
      <c r="A296" s="56" t="s">
        <v>1702</v>
      </c>
      <c r="B296" s="56" t="s">
        <v>8477</v>
      </c>
      <c r="C296" s="57" t="s">
        <v>8478</v>
      </c>
      <c r="D296" s="58">
        <v>5.093716908E9</v>
      </c>
      <c r="E296" s="56" t="s">
        <v>368</v>
      </c>
      <c r="F296" s="56" t="s">
        <v>8479</v>
      </c>
      <c r="G296" s="56" t="s">
        <v>362</v>
      </c>
      <c r="H296" s="56" t="s">
        <v>381</v>
      </c>
      <c r="I296" s="56" t="s">
        <v>423</v>
      </c>
      <c r="J296" s="58">
        <v>0.0</v>
      </c>
      <c r="K296" s="56" t="s">
        <v>5270</v>
      </c>
      <c r="L296" s="59"/>
      <c r="M296" s="56" t="s">
        <v>8480</v>
      </c>
      <c r="N296" s="61" t="s">
        <v>373</v>
      </c>
      <c r="O296" s="58" t="s">
        <v>8481</v>
      </c>
    </row>
    <row r="297" ht="15.0" customHeight="1">
      <c r="A297" s="56" t="s">
        <v>8482</v>
      </c>
      <c r="B297" s="56" t="s">
        <v>8483</v>
      </c>
      <c r="C297" s="57" t="s">
        <v>8484</v>
      </c>
      <c r="D297" s="58">
        <v>3.373755957E9</v>
      </c>
      <c r="E297" s="56" t="s">
        <v>368</v>
      </c>
      <c r="F297" s="56" t="s">
        <v>8485</v>
      </c>
      <c r="G297" s="56" t="s">
        <v>452</v>
      </c>
      <c r="H297" s="56" t="s">
        <v>7392</v>
      </c>
      <c r="I297" s="56" t="s">
        <v>368</v>
      </c>
      <c r="J297" s="58">
        <v>0.0</v>
      </c>
      <c r="K297" s="56" t="s">
        <v>3018</v>
      </c>
      <c r="L297" s="59"/>
      <c r="M297" s="56" t="s">
        <v>8486</v>
      </c>
      <c r="N297" s="61" t="s">
        <v>373</v>
      </c>
      <c r="O297" s="58" t="s">
        <v>8487</v>
      </c>
    </row>
    <row r="298" ht="15.0" customHeight="1">
      <c r="A298" s="56" t="s">
        <v>217</v>
      </c>
      <c r="B298" s="56" t="s">
        <v>1717</v>
      </c>
      <c r="C298" s="57" t="s">
        <v>1718</v>
      </c>
      <c r="D298" s="56" t="s">
        <v>5323</v>
      </c>
      <c r="E298" s="56" t="s">
        <v>368</v>
      </c>
      <c r="F298" s="56" t="s">
        <v>2286</v>
      </c>
      <c r="G298" s="56" t="s">
        <v>2286</v>
      </c>
      <c r="H298" s="56" t="s">
        <v>1464</v>
      </c>
      <c r="I298" s="56" t="s">
        <v>368</v>
      </c>
      <c r="J298" s="58">
        <v>3.0</v>
      </c>
      <c r="K298" s="56" t="s">
        <v>8488</v>
      </c>
      <c r="L298" s="59"/>
      <c r="M298" s="56" t="s">
        <v>8489</v>
      </c>
      <c r="N298" s="61" t="s">
        <v>373</v>
      </c>
      <c r="O298" s="58" t="s">
        <v>8174</v>
      </c>
    </row>
    <row r="299" ht="15.0" customHeight="1">
      <c r="A299" s="56" t="s">
        <v>8490</v>
      </c>
      <c r="B299" s="56" t="s">
        <v>8491</v>
      </c>
      <c r="C299" s="57" t="s">
        <v>8492</v>
      </c>
      <c r="D299" s="58">
        <v>4.153628944E9</v>
      </c>
      <c r="E299" s="56" t="s">
        <v>368</v>
      </c>
      <c r="F299" s="56" t="s">
        <v>2614</v>
      </c>
      <c r="G299" s="56" t="s">
        <v>675</v>
      </c>
      <c r="H299" s="56" t="s">
        <v>7392</v>
      </c>
      <c r="I299" s="56" t="s">
        <v>423</v>
      </c>
      <c r="J299" s="58">
        <v>2.0</v>
      </c>
      <c r="K299" s="56" t="s">
        <v>424</v>
      </c>
      <c r="L299" s="59"/>
      <c r="M299" s="56" t="s">
        <v>7899</v>
      </c>
      <c r="N299" s="61" t="s">
        <v>394</v>
      </c>
      <c r="O299" s="58" t="s">
        <v>8493</v>
      </c>
    </row>
    <row r="300" ht="15.0" customHeight="1">
      <c r="A300" s="56" t="s">
        <v>6849</v>
      </c>
      <c r="B300" s="56" t="s">
        <v>8494</v>
      </c>
      <c r="C300" s="57" t="s">
        <v>8495</v>
      </c>
      <c r="D300" s="56" t="s">
        <v>8496</v>
      </c>
      <c r="E300" s="56" t="s">
        <v>368</v>
      </c>
      <c r="F300" s="56" t="s">
        <v>3199</v>
      </c>
      <c r="G300" s="56" t="s">
        <v>2286</v>
      </c>
      <c r="H300" s="56" t="s">
        <v>7403</v>
      </c>
      <c r="I300" s="56" t="s">
        <v>368</v>
      </c>
      <c r="J300" s="58">
        <v>0.0</v>
      </c>
      <c r="K300" s="59"/>
      <c r="L300" s="59"/>
      <c r="M300" s="56" t="s">
        <v>7899</v>
      </c>
      <c r="N300" s="61" t="s">
        <v>394</v>
      </c>
      <c r="O300" s="58" t="s">
        <v>8497</v>
      </c>
    </row>
    <row r="301" ht="15.0" customHeight="1">
      <c r="A301" s="56" t="s">
        <v>6849</v>
      </c>
      <c r="B301" s="56" t="s">
        <v>8494</v>
      </c>
      <c r="C301" s="57" t="s">
        <v>8498</v>
      </c>
      <c r="D301" s="58">
        <v>8.064733514E9</v>
      </c>
      <c r="E301" s="56" t="s">
        <v>368</v>
      </c>
      <c r="F301" s="56" t="s">
        <v>3199</v>
      </c>
      <c r="G301" s="56" t="s">
        <v>2286</v>
      </c>
      <c r="H301" s="56" t="s">
        <v>7403</v>
      </c>
      <c r="I301" s="56" t="s">
        <v>368</v>
      </c>
      <c r="J301" s="58">
        <v>0.0</v>
      </c>
      <c r="K301" s="56" t="s">
        <v>1995</v>
      </c>
      <c r="L301" s="59"/>
      <c r="M301" s="56" t="s">
        <v>8499</v>
      </c>
      <c r="N301" s="61" t="s">
        <v>373</v>
      </c>
      <c r="O301" s="58" t="s">
        <v>8500</v>
      </c>
    </row>
    <row r="302" ht="15.0" customHeight="1">
      <c r="A302" s="56" t="s">
        <v>1722</v>
      </c>
      <c r="B302" s="56" t="s">
        <v>6853</v>
      </c>
      <c r="C302" s="57" t="s">
        <v>8501</v>
      </c>
      <c r="D302" s="56" t="s">
        <v>6855</v>
      </c>
      <c r="E302" s="56" t="s">
        <v>368</v>
      </c>
      <c r="F302" s="56" t="s">
        <v>8502</v>
      </c>
      <c r="G302" s="56" t="s">
        <v>452</v>
      </c>
      <c r="H302" s="56" t="s">
        <v>1301</v>
      </c>
      <c r="I302" s="56" t="s">
        <v>423</v>
      </c>
      <c r="J302" s="58">
        <v>5.0</v>
      </c>
      <c r="K302" s="62" t="s">
        <v>8503</v>
      </c>
      <c r="L302" s="59"/>
      <c r="M302" s="56" t="s">
        <v>8504</v>
      </c>
      <c r="N302" s="61" t="s">
        <v>373</v>
      </c>
      <c r="O302" s="58" t="s">
        <v>8505</v>
      </c>
    </row>
    <row r="303" ht="15.0" customHeight="1">
      <c r="A303" s="56" t="s">
        <v>218</v>
      </c>
      <c r="B303" s="56" t="s">
        <v>8506</v>
      </c>
      <c r="C303" s="57" t="s">
        <v>3868</v>
      </c>
      <c r="D303" s="56" t="s">
        <v>5332</v>
      </c>
      <c r="E303" s="56" t="s">
        <v>368</v>
      </c>
      <c r="F303" s="56" t="s">
        <v>2801</v>
      </c>
      <c r="G303" s="56" t="s">
        <v>362</v>
      </c>
      <c r="H303" s="56" t="s">
        <v>381</v>
      </c>
      <c r="I303" s="56" t="s">
        <v>423</v>
      </c>
      <c r="J303" s="58">
        <v>3.0</v>
      </c>
      <c r="K303" s="56" t="s">
        <v>401</v>
      </c>
      <c r="L303" s="59"/>
      <c r="M303" s="56" t="s">
        <v>8507</v>
      </c>
      <c r="N303" s="61" t="s">
        <v>373</v>
      </c>
      <c r="O303" s="58" t="s">
        <v>8508</v>
      </c>
    </row>
    <row r="304" ht="15.0" customHeight="1">
      <c r="A304" s="56" t="s">
        <v>6863</v>
      </c>
      <c r="B304" s="56" t="s">
        <v>6864</v>
      </c>
      <c r="C304" s="57" t="s">
        <v>6865</v>
      </c>
      <c r="D304" s="56" t="s">
        <v>6866</v>
      </c>
      <c r="E304" s="56" t="s">
        <v>368</v>
      </c>
      <c r="F304" s="56" t="s">
        <v>2286</v>
      </c>
      <c r="G304" s="56" t="s">
        <v>2286</v>
      </c>
      <c r="H304" s="56" t="s">
        <v>7392</v>
      </c>
      <c r="I304" s="56" t="s">
        <v>368</v>
      </c>
      <c r="J304" s="58">
        <v>0.0</v>
      </c>
      <c r="K304" s="56" t="s">
        <v>1689</v>
      </c>
      <c r="L304" s="59"/>
      <c r="M304" s="56" t="s">
        <v>8509</v>
      </c>
      <c r="N304" s="61" t="s">
        <v>373</v>
      </c>
      <c r="O304" s="58" t="s">
        <v>7855</v>
      </c>
    </row>
    <row r="305" ht="15.0" customHeight="1">
      <c r="A305" s="56" t="s">
        <v>219</v>
      </c>
      <c r="B305" s="56" t="s">
        <v>8510</v>
      </c>
      <c r="C305" s="57" t="s">
        <v>6869</v>
      </c>
      <c r="D305" s="56" t="s">
        <v>5338</v>
      </c>
      <c r="E305" s="56" t="s">
        <v>368</v>
      </c>
      <c r="F305" s="56" t="s">
        <v>1554</v>
      </c>
      <c r="G305" s="56" t="s">
        <v>1553</v>
      </c>
      <c r="H305" s="56" t="s">
        <v>7403</v>
      </c>
      <c r="I305" s="56" t="s">
        <v>423</v>
      </c>
      <c r="J305" s="58">
        <v>3.0</v>
      </c>
      <c r="K305" s="56" t="s">
        <v>384</v>
      </c>
      <c r="L305" s="59"/>
      <c r="M305" s="56" t="s">
        <v>7499</v>
      </c>
      <c r="N305" s="61" t="s">
        <v>373</v>
      </c>
      <c r="O305" s="58" t="s">
        <v>8511</v>
      </c>
    </row>
    <row r="306" ht="15.0" customHeight="1">
      <c r="A306" s="56" t="s">
        <v>220</v>
      </c>
      <c r="B306" s="56" t="s">
        <v>3877</v>
      </c>
      <c r="C306" s="57" t="s">
        <v>3878</v>
      </c>
      <c r="D306" s="58">
        <v>4.016421715E9</v>
      </c>
      <c r="E306" s="56" t="s">
        <v>368</v>
      </c>
      <c r="F306" s="56" t="s">
        <v>3747</v>
      </c>
      <c r="G306" s="56" t="s">
        <v>421</v>
      </c>
      <c r="H306" s="56" t="s">
        <v>7643</v>
      </c>
      <c r="I306" s="56" t="s">
        <v>368</v>
      </c>
      <c r="J306" s="58">
        <v>0.0</v>
      </c>
      <c r="K306" s="56" t="s">
        <v>8512</v>
      </c>
      <c r="L306" s="59"/>
      <c r="M306" s="56" t="s">
        <v>8513</v>
      </c>
      <c r="N306" s="61" t="s">
        <v>373</v>
      </c>
      <c r="O306" s="58" t="s">
        <v>8514</v>
      </c>
    </row>
    <row r="307" ht="15.0" customHeight="1">
      <c r="A307" s="56" t="s">
        <v>6877</v>
      </c>
      <c r="B307" s="56" t="s">
        <v>8515</v>
      </c>
      <c r="C307" s="57" t="s">
        <v>8516</v>
      </c>
      <c r="D307" s="58">
        <v>4.326954222E9</v>
      </c>
      <c r="E307" s="56" t="s">
        <v>368</v>
      </c>
      <c r="F307" s="56" t="s">
        <v>8364</v>
      </c>
      <c r="G307" s="56" t="s">
        <v>1553</v>
      </c>
      <c r="H307" s="56" t="s">
        <v>7403</v>
      </c>
      <c r="I307" s="56" t="s">
        <v>368</v>
      </c>
      <c r="J307" s="58">
        <v>0.0</v>
      </c>
      <c r="K307" s="56" t="s">
        <v>4759</v>
      </c>
      <c r="L307" s="59"/>
      <c r="M307" s="56" t="s">
        <v>8517</v>
      </c>
      <c r="N307" s="61" t="s">
        <v>373</v>
      </c>
      <c r="O307" s="58" t="s">
        <v>8518</v>
      </c>
    </row>
    <row r="308" ht="15.0" customHeight="1">
      <c r="A308" s="56" t="s">
        <v>5340</v>
      </c>
      <c r="B308" s="56" t="s">
        <v>5341</v>
      </c>
      <c r="C308" s="57" t="s">
        <v>5342</v>
      </c>
      <c r="D308" s="56" t="s">
        <v>5343</v>
      </c>
      <c r="E308" s="56" t="s">
        <v>368</v>
      </c>
      <c r="F308" s="56" t="s">
        <v>453</v>
      </c>
      <c r="G308" s="56" t="s">
        <v>390</v>
      </c>
      <c r="H308" s="56" t="s">
        <v>7392</v>
      </c>
      <c r="I308" s="56" t="s">
        <v>368</v>
      </c>
      <c r="J308" s="58">
        <v>0.0</v>
      </c>
      <c r="K308" s="56" t="s">
        <v>1898</v>
      </c>
      <c r="L308" s="59"/>
      <c r="M308" s="56" t="s">
        <v>8519</v>
      </c>
      <c r="N308" s="61" t="s">
        <v>373</v>
      </c>
      <c r="O308" s="58" t="s">
        <v>8520</v>
      </c>
    </row>
    <row r="309" ht="15.0" customHeight="1">
      <c r="A309" s="56" t="s">
        <v>5345</v>
      </c>
      <c r="B309" s="56" t="s">
        <v>3895</v>
      </c>
      <c r="C309" s="57" t="s">
        <v>8521</v>
      </c>
      <c r="D309" s="56" t="s">
        <v>3897</v>
      </c>
      <c r="E309" s="56" t="s">
        <v>368</v>
      </c>
      <c r="F309" s="56" t="s">
        <v>2938</v>
      </c>
      <c r="G309" s="56" t="s">
        <v>452</v>
      </c>
      <c r="H309" s="56" t="s">
        <v>7392</v>
      </c>
      <c r="I309" s="56" t="s">
        <v>423</v>
      </c>
      <c r="J309" s="58">
        <v>2.0</v>
      </c>
      <c r="K309" s="56" t="s">
        <v>4687</v>
      </c>
      <c r="L309" s="59"/>
      <c r="M309" s="56" t="s">
        <v>8522</v>
      </c>
      <c r="N309" s="61" t="s">
        <v>373</v>
      </c>
      <c r="O309" s="58" t="s">
        <v>8523</v>
      </c>
    </row>
    <row r="310" ht="15.0" customHeight="1">
      <c r="A310" s="56" t="s">
        <v>221</v>
      </c>
      <c r="B310" s="56" t="s">
        <v>3905</v>
      </c>
      <c r="C310" s="57" t="s">
        <v>3906</v>
      </c>
      <c r="D310" s="56" t="s">
        <v>5350</v>
      </c>
      <c r="E310" s="56" t="s">
        <v>368</v>
      </c>
      <c r="F310" s="56" t="s">
        <v>4045</v>
      </c>
      <c r="G310" s="56" t="s">
        <v>5719</v>
      </c>
      <c r="H310" s="56" t="s">
        <v>7392</v>
      </c>
      <c r="I310" s="56" t="s">
        <v>368</v>
      </c>
      <c r="J310" s="58">
        <v>0.0</v>
      </c>
      <c r="K310" s="56" t="s">
        <v>4223</v>
      </c>
      <c r="L310" s="59"/>
      <c r="M310" s="56" t="s">
        <v>8524</v>
      </c>
      <c r="N310" s="61" t="s">
        <v>373</v>
      </c>
      <c r="O310" s="58" t="s">
        <v>7571</v>
      </c>
    </row>
    <row r="311" ht="15.0" customHeight="1">
      <c r="A311" s="56" t="s">
        <v>8525</v>
      </c>
      <c r="B311" s="56" t="s">
        <v>8526</v>
      </c>
      <c r="C311" s="57" t="s">
        <v>8527</v>
      </c>
      <c r="D311" s="56" t="s">
        <v>8528</v>
      </c>
      <c r="E311" s="56" t="s">
        <v>368</v>
      </c>
      <c r="F311" s="56" t="s">
        <v>8529</v>
      </c>
      <c r="G311" s="56" t="s">
        <v>2286</v>
      </c>
      <c r="H311" s="56" t="s">
        <v>7392</v>
      </c>
      <c r="I311" s="56" t="s">
        <v>368</v>
      </c>
      <c r="J311" s="58">
        <v>0.0</v>
      </c>
      <c r="K311" s="56" t="s">
        <v>5320</v>
      </c>
      <c r="L311" s="59"/>
      <c r="M311" s="56" t="s">
        <v>8530</v>
      </c>
      <c r="N311" s="61" t="s">
        <v>373</v>
      </c>
      <c r="O311" s="58" t="s">
        <v>8531</v>
      </c>
    </row>
    <row r="312" ht="15.0" customHeight="1">
      <c r="A312" s="56" t="s">
        <v>8532</v>
      </c>
      <c r="B312" s="56" t="s">
        <v>8533</v>
      </c>
      <c r="C312" s="57" t="s">
        <v>8534</v>
      </c>
      <c r="D312" s="58">
        <v>4.695078103E9</v>
      </c>
      <c r="E312" s="56" t="s">
        <v>368</v>
      </c>
      <c r="F312" s="56" t="s">
        <v>8535</v>
      </c>
      <c r="G312" s="56" t="s">
        <v>2291</v>
      </c>
      <c r="H312" s="56" t="s">
        <v>483</v>
      </c>
      <c r="I312" s="56" t="s">
        <v>368</v>
      </c>
      <c r="J312" s="58">
        <v>0.0</v>
      </c>
      <c r="K312" s="56" t="s">
        <v>938</v>
      </c>
      <c r="L312" s="59"/>
      <c r="M312" s="56" t="s">
        <v>8536</v>
      </c>
      <c r="N312" s="61" t="s">
        <v>394</v>
      </c>
      <c r="O312" s="58" t="s">
        <v>8537</v>
      </c>
    </row>
    <row r="313" ht="15.0" customHeight="1">
      <c r="A313" s="56" t="s">
        <v>222</v>
      </c>
      <c r="B313" s="56" t="s">
        <v>8538</v>
      </c>
      <c r="C313" s="57" t="s">
        <v>5353</v>
      </c>
      <c r="D313" s="58">
        <v>4.062372082E9</v>
      </c>
      <c r="E313" s="56" t="s">
        <v>368</v>
      </c>
      <c r="F313" s="56" t="s">
        <v>8539</v>
      </c>
      <c r="G313" s="56" t="s">
        <v>421</v>
      </c>
      <c r="H313" s="56" t="s">
        <v>7403</v>
      </c>
      <c r="I313" s="56" t="s">
        <v>423</v>
      </c>
      <c r="J313" s="58">
        <v>5.0</v>
      </c>
      <c r="K313" s="56" t="s">
        <v>3445</v>
      </c>
      <c r="L313" s="59"/>
      <c r="M313" s="56" t="s">
        <v>8540</v>
      </c>
      <c r="N313" s="61" t="s">
        <v>373</v>
      </c>
      <c r="O313" s="58" t="s">
        <v>7543</v>
      </c>
    </row>
    <row r="314" ht="15.0" customHeight="1">
      <c r="A314" s="56" t="s">
        <v>8541</v>
      </c>
      <c r="B314" s="56" t="s">
        <v>8542</v>
      </c>
      <c r="C314" s="57" t="s">
        <v>8543</v>
      </c>
      <c r="D314" s="58">
        <v>2.514732847E9</v>
      </c>
      <c r="E314" s="56" t="s">
        <v>368</v>
      </c>
      <c r="F314" s="56" t="s">
        <v>2286</v>
      </c>
      <c r="G314" s="56" t="s">
        <v>2286</v>
      </c>
      <c r="H314" s="56" t="s">
        <v>7392</v>
      </c>
      <c r="I314" s="56" t="s">
        <v>368</v>
      </c>
      <c r="J314" s="58">
        <v>0.0</v>
      </c>
      <c r="K314" s="56" t="s">
        <v>5185</v>
      </c>
      <c r="L314" s="59"/>
      <c r="M314" s="56" t="s">
        <v>8544</v>
      </c>
      <c r="N314" s="61" t="s">
        <v>373</v>
      </c>
      <c r="O314" s="58" t="s">
        <v>8545</v>
      </c>
    </row>
    <row r="315" ht="15.0" customHeight="1">
      <c r="A315" s="56" t="s">
        <v>8546</v>
      </c>
      <c r="B315" s="56" t="s">
        <v>8547</v>
      </c>
      <c r="C315" s="57" t="s">
        <v>8548</v>
      </c>
      <c r="D315" s="58">
        <v>4.709895812E9</v>
      </c>
      <c r="E315" s="56" t="s">
        <v>368</v>
      </c>
      <c r="F315" s="56" t="s">
        <v>7408</v>
      </c>
      <c r="G315" s="56" t="s">
        <v>390</v>
      </c>
      <c r="H315" s="56" t="s">
        <v>7392</v>
      </c>
      <c r="I315" s="56" t="s">
        <v>368</v>
      </c>
      <c r="J315" s="58">
        <v>0.0</v>
      </c>
      <c r="K315" s="56" t="s">
        <v>5621</v>
      </c>
      <c r="L315" s="59"/>
      <c r="M315" s="56" t="s">
        <v>8549</v>
      </c>
      <c r="N315" s="61" t="s">
        <v>373</v>
      </c>
      <c r="O315" s="58" t="s">
        <v>8550</v>
      </c>
    </row>
    <row r="316" ht="15.0" customHeight="1">
      <c r="A316" s="56" t="s">
        <v>223</v>
      </c>
      <c r="B316" s="56" t="s">
        <v>1756</v>
      </c>
      <c r="C316" s="57" t="s">
        <v>1757</v>
      </c>
      <c r="D316" s="56" t="s">
        <v>1758</v>
      </c>
      <c r="E316" s="56" t="s">
        <v>368</v>
      </c>
      <c r="F316" s="56" t="s">
        <v>2463</v>
      </c>
      <c r="G316" s="56" t="s">
        <v>452</v>
      </c>
      <c r="H316" s="56" t="s">
        <v>7392</v>
      </c>
      <c r="I316" s="56" t="s">
        <v>368</v>
      </c>
      <c r="J316" s="58">
        <v>0.0</v>
      </c>
      <c r="K316" s="56" t="s">
        <v>1663</v>
      </c>
      <c r="L316" s="59"/>
      <c r="M316" s="56" t="s">
        <v>8551</v>
      </c>
      <c r="N316" s="61" t="s">
        <v>373</v>
      </c>
      <c r="O316" s="58" t="s">
        <v>8552</v>
      </c>
    </row>
    <row r="317" ht="15.0" customHeight="1">
      <c r="A317" s="56" t="s">
        <v>8553</v>
      </c>
      <c r="B317" s="56" t="s">
        <v>8554</v>
      </c>
      <c r="C317" s="57" t="s">
        <v>8555</v>
      </c>
      <c r="D317" s="56" t="s">
        <v>8556</v>
      </c>
      <c r="E317" s="56" t="s">
        <v>368</v>
      </c>
      <c r="F317" s="56" t="s">
        <v>2390</v>
      </c>
      <c r="G317" s="56" t="s">
        <v>452</v>
      </c>
      <c r="H317" s="56" t="s">
        <v>381</v>
      </c>
      <c r="I317" s="56" t="s">
        <v>368</v>
      </c>
      <c r="J317" s="58">
        <v>0.0</v>
      </c>
      <c r="K317" s="56" t="s">
        <v>3952</v>
      </c>
      <c r="L317" s="59"/>
      <c r="M317" s="56" t="s">
        <v>8557</v>
      </c>
      <c r="N317" s="61" t="s">
        <v>373</v>
      </c>
      <c r="O317" s="58" t="s">
        <v>8558</v>
      </c>
    </row>
    <row r="318" ht="15.0" customHeight="1">
      <c r="A318" s="56" t="s">
        <v>224</v>
      </c>
      <c r="B318" s="56" t="s">
        <v>8559</v>
      </c>
      <c r="C318" s="57" t="s">
        <v>6917</v>
      </c>
      <c r="D318" s="58">
        <v>9.13433068E9</v>
      </c>
      <c r="E318" s="56" t="s">
        <v>368</v>
      </c>
      <c r="F318" s="56" t="s">
        <v>7408</v>
      </c>
      <c r="G318" s="56" t="s">
        <v>675</v>
      </c>
      <c r="H318" s="56" t="s">
        <v>7403</v>
      </c>
      <c r="I318" s="56" t="s">
        <v>368</v>
      </c>
      <c r="J318" s="58">
        <v>0.0</v>
      </c>
      <c r="K318" s="56" t="s">
        <v>4468</v>
      </c>
      <c r="L318" s="59"/>
      <c r="M318" s="56" t="s">
        <v>8560</v>
      </c>
      <c r="N318" s="61" t="s">
        <v>373</v>
      </c>
      <c r="O318" s="58" t="s">
        <v>8561</v>
      </c>
    </row>
    <row r="319" ht="15.0" customHeight="1">
      <c r="A319" s="56" t="s">
        <v>225</v>
      </c>
      <c r="B319" s="56" t="s">
        <v>1775</v>
      </c>
      <c r="C319" s="57" t="s">
        <v>1776</v>
      </c>
      <c r="D319" s="56" t="s">
        <v>6922</v>
      </c>
      <c r="E319" s="56" t="s">
        <v>368</v>
      </c>
      <c r="F319" s="56" t="s">
        <v>3935</v>
      </c>
      <c r="G319" s="56" t="s">
        <v>2286</v>
      </c>
      <c r="H319" s="56" t="s">
        <v>483</v>
      </c>
      <c r="I319" s="56" t="s">
        <v>368</v>
      </c>
      <c r="J319" s="58">
        <v>0.0</v>
      </c>
      <c r="K319" s="56" t="s">
        <v>5814</v>
      </c>
      <c r="L319" s="59"/>
      <c r="M319" s="56" t="s">
        <v>8562</v>
      </c>
      <c r="N319" s="61" t="s">
        <v>373</v>
      </c>
      <c r="O319" s="58" t="s">
        <v>8385</v>
      </c>
    </row>
    <row r="320" ht="15.0" customHeight="1">
      <c r="A320" s="56" t="s">
        <v>8563</v>
      </c>
      <c r="B320" s="56" t="s">
        <v>5384</v>
      </c>
      <c r="C320" s="57" t="s">
        <v>5385</v>
      </c>
      <c r="D320" s="58">
        <v>7.1346196E9</v>
      </c>
      <c r="E320" s="56" t="s">
        <v>368</v>
      </c>
      <c r="F320" s="56" t="s">
        <v>8564</v>
      </c>
      <c r="G320" s="56" t="s">
        <v>2286</v>
      </c>
      <c r="H320" s="56" t="s">
        <v>7392</v>
      </c>
      <c r="I320" s="56" t="s">
        <v>368</v>
      </c>
      <c r="J320" s="58">
        <v>1.0</v>
      </c>
      <c r="K320" s="56" t="s">
        <v>1037</v>
      </c>
      <c r="L320" s="59"/>
      <c r="M320" s="56" t="s">
        <v>8565</v>
      </c>
      <c r="N320" s="61" t="s">
        <v>373</v>
      </c>
      <c r="O320" s="58" t="s">
        <v>8566</v>
      </c>
    </row>
    <row r="321" ht="15.0" customHeight="1">
      <c r="A321" s="56" t="s">
        <v>226</v>
      </c>
      <c r="B321" s="56" t="s">
        <v>6924</v>
      </c>
      <c r="C321" s="57" t="s">
        <v>8567</v>
      </c>
      <c r="D321" s="56" t="s">
        <v>6926</v>
      </c>
      <c r="E321" s="56" t="s">
        <v>368</v>
      </c>
      <c r="F321" s="56" t="s">
        <v>2286</v>
      </c>
      <c r="G321" s="56" t="s">
        <v>2286</v>
      </c>
      <c r="H321" s="56" t="s">
        <v>7392</v>
      </c>
      <c r="I321" s="56" t="s">
        <v>368</v>
      </c>
      <c r="J321" s="58">
        <v>0.0</v>
      </c>
      <c r="K321" s="56" t="s">
        <v>3668</v>
      </c>
      <c r="L321" s="59"/>
      <c r="M321" s="56" t="s">
        <v>8568</v>
      </c>
      <c r="N321" s="61" t="s">
        <v>373</v>
      </c>
      <c r="O321" s="58" t="s">
        <v>7529</v>
      </c>
    </row>
    <row r="322" ht="15.0" customHeight="1">
      <c r="A322" s="56" t="s">
        <v>3947</v>
      </c>
      <c r="B322" s="56" t="s">
        <v>8569</v>
      </c>
      <c r="C322" s="57" t="s">
        <v>8570</v>
      </c>
      <c r="D322" s="56" t="s">
        <v>8571</v>
      </c>
      <c r="E322" s="56" t="s">
        <v>368</v>
      </c>
      <c r="F322" s="56" t="s">
        <v>4524</v>
      </c>
      <c r="G322" s="56" t="s">
        <v>1553</v>
      </c>
      <c r="H322" s="56" t="s">
        <v>7392</v>
      </c>
      <c r="I322" s="56" t="s">
        <v>423</v>
      </c>
      <c r="J322" s="58">
        <v>0.0</v>
      </c>
      <c r="K322" s="56" t="s">
        <v>2454</v>
      </c>
      <c r="L322" s="59"/>
      <c r="M322" s="56" t="s">
        <v>7899</v>
      </c>
      <c r="N322" s="61" t="s">
        <v>394</v>
      </c>
      <c r="O322" s="58" t="s">
        <v>8572</v>
      </c>
    </row>
    <row r="323" ht="15.0" customHeight="1">
      <c r="A323" s="56" t="s">
        <v>5368</v>
      </c>
      <c r="B323" s="56" t="s">
        <v>5369</v>
      </c>
      <c r="C323" s="57" t="s">
        <v>5370</v>
      </c>
      <c r="D323" s="56" t="s">
        <v>5371</v>
      </c>
      <c r="E323" s="56" t="s">
        <v>368</v>
      </c>
      <c r="F323" s="56" t="s">
        <v>2286</v>
      </c>
      <c r="G323" s="56" t="s">
        <v>2286</v>
      </c>
      <c r="H323" s="56" t="s">
        <v>7392</v>
      </c>
      <c r="I323" s="56" t="s">
        <v>368</v>
      </c>
      <c r="J323" s="58">
        <v>0.0</v>
      </c>
      <c r="K323" s="56" t="s">
        <v>5185</v>
      </c>
      <c r="L323" s="59"/>
      <c r="M323" s="56" t="s">
        <v>8573</v>
      </c>
      <c r="N323" s="61" t="s">
        <v>373</v>
      </c>
      <c r="O323" s="58" t="s">
        <v>8574</v>
      </c>
    </row>
    <row r="324" ht="15.0" customHeight="1">
      <c r="A324" s="56" t="s">
        <v>334</v>
      </c>
      <c r="B324" s="56" t="s">
        <v>1787</v>
      </c>
      <c r="C324" s="57" t="s">
        <v>1788</v>
      </c>
      <c r="D324" s="56" t="s">
        <v>5374</v>
      </c>
      <c r="E324" s="56" t="s">
        <v>368</v>
      </c>
      <c r="F324" s="56" t="s">
        <v>4352</v>
      </c>
      <c r="G324" s="56" t="s">
        <v>1789</v>
      </c>
      <c r="H324" s="56" t="s">
        <v>7392</v>
      </c>
      <c r="I324" s="56" t="s">
        <v>368</v>
      </c>
      <c r="J324" s="58">
        <v>0.0</v>
      </c>
      <c r="K324" s="59"/>
      <c r="L324" s="59"/>
      <c r="M324" s="56" t="s">
        <v>7499</v>
      </c>
      <c r="N324" s="61" t="s">
        <v>394</v>
      </c>
      <c r="O324" s="58" t="s">
        <v>8575</v>
      </c>
    </row>
    <row r="325" ht="15.0" customHeight="1">
      <c r="A325" s="56" t="s">
        <v>8576</v>
      </c>
      <c r="B325" s="56" t="s">
        <v>1826</v>
      </c>
      <c r="C325" s="57" t="s">
        <v>1827</v>
      </c>
      <c r="D325" s="56" t="s">
        <v>5414</v>
      </c>
      <c r="E325" s="56" t="s">
        <v>368</v>
      </c>
      <c r="F325" s="56" t="s">
        <v>8577</v>
      </c>
      <c r="G325" s="56" t="s">
        <v>459</v>
      </c>
      <c r="H325" s="56" t="s">
        <v>7392</v>
      </c>
      <c r="I325" s="56" t="s">
        <v>368</v>
      </c>
      <c r="J325" s="58">
        <v>3.0</v>
      </c>
      <c r="K325" s="56" t="s">
        <v>2498</v>
      </c>
      <c r="L325" s="59"/>
      <c r="M325" s="56" t="s">
        <v>8578</v>
      </c>
      <c r="N325" s="61" t="s">
        <v>373</v>
      </c>
      <c r="O325" s="58" t="s">
        <v>8579</v>
      </c>
    </row>
    <row r="326" ht="15.0" customHeight="1">
      <c r="A326" s="56" t="s">
        <v>227</v>
      </c>
      <c r="B326" s="56" t="s">
        <v>1800</v>
      </c>
      <c r="C326" s="57" t="s">
        <v>1801</v>
      </c>
      <c r="D326" s="58">
        <v>9.795333906E9</v>
      </c>
      <c r="E326" s="56" t="s">
        <v>368</v>
      </c>
      <c r="F326" s="56" t="s">
        <v>3351</v>
      </c>
      <c r="G326" s="56" t="s">
        <v>2286</v>
      </c>
      <c r="H326" s="56" t="s">
        <v>381</v>
      </c>
      <c r="I326" s="56" t="s">
        <v>368</v>
      </c>
      <c r="J326" s="58">
        <v>0.0</v>
      </c>
      <c r="K326" s="56" t="s">
        <v>1930</v>
      </c>
      <c r="L326" s="59"/>
      <c r="M326" s="56" t="s">
        <v>8580</v>
      </c>
      <c r="N326" s="61" t="s">
        <v>373</v>
      </c>
      <c r="O326" s="58" t="s">
        <v>8581</v>
      </c>
    </row>
    <row r="327" ht="15.0" customHeight="1">
      <c r="A327" s="56" t="s">
        <v>8582</v>
      </c>
      <c r="B327" s="56" t="s">
        <v>8583</v>
      </c>
      <c r="C327" s="57" t="s">
        <v>8584</v>
      </c>
      <c r="D327" s="58">
        <v>2.14573981E10</v>
      </c>
      <c r="E327" s="56" t="s">
        <v>368</v>
      </c>
      <c r="F327" s="56" t="s">
        <v>2286</v>
      </c>
      <c r="G327" s="56" t="s">
        <v>2286</v>
      </c>
      <c r="H327" s="56" t="s">
        <v>7392</v>
      </c>
      <c r="I327" s="56" t="s">
        <v>368</v>
      </c>
      <c r="J327" s="58">
        <v>0.0</v>
      </c>
      <c r="K327" s="56" t="s">
        <v>1335</v>
      </c>
      <c r="L327" s="59"/>
      <c r="M327" s="56" t="s">
        <v>8585</v>
      </c>
      <c r="N327" s="61" t="s">
        <v>373</v>
      </c>
      <c r="O327" s="58" t="s">
        <v>8586</v>
      </c>
    </row>
    <row r="328" ht="15.0" customHeight="1">
      <c r="A328" s="56" t="s">
        <v>228</v>
      </c>
      <c r="B328" s="56" t="s">
        <v>8587</v>
      </c>
      <c r="C328" s="57" t="s">
        <v>8588</v>
      </c>
      <c r="D328" s="58">
        <v>7.132815875E9</v>
      </c>
      <c r="E328" s="56" t="s">
        <v>368</v>
      </c>
      <c r="F328" s="56" t="s">
        <v>8589</v>
      </c>
      <c r="G328" s="56" t="s">
        <v>390</v>
      </c>
      <c r="H328" s="56" t="s">
        <v>7392</v>
      </c>
      <c r="I328" s="56" t="s">
        <v>368</v>
      </c>
      <c r="J328" s="58">
        <v>0.0</v>
      </c>
      <c r="K328" s="56" t="s">
        <v>1037</v>
      </c>
      <c r="L328" s="59"/>
      <c r="M328" s="56" t="s">
        <v>8590</v>
      </c>
      <c r="N328" s="61" t="s">
        <v>373</v>
      </c>
      <c r="O328" s="58" t="s">
        <v>8591</v>
      </c>
    </row>
    <row r="329" ht="15.0" customHeight="1">
      <c r="A329" s="56" t="s">
        <v>6947</v>
      </c>
      <c r="B329" s="56" t="s">
        <v>8592</v>
      </c>
      <c r="C329" s="57" t="s">
        <v>8593</v>
      </c>
      <c r="D329" s="58">
        <v>2.817931364E9</v>
      </c>
      <c r="E329" s="56" t="s">
        <v>368</v>
      </c>
      <c r="F329" s="56" t="s">
        <v>2286</v>
      </c>
      <c r="G329" s="56" t="s">
        <v>2286</v>
      </c>
      <c r="H329" s="56" t="s">
        <v>381</v>
      </c>
      <c r="I329" s="56" t="s">
        <v>423</v>
      </c>
      <c r="J329" s="58">
        <v>3.0</v>
      </c>
      <c r="K329" s="56" t="s">
        <v>5234</v>
      </c>
      <c r="L329" s="59"/>
      <c r="M329" s="56" t="s">
        <v>8594</v>
      </c>
      <c r="N329" s="61" t="s">
        <v>373</v>
      </c>
      <c r="O329" s="58" t="s">
        <v>8220</v>
      </c>
    </row>
    <row r="330" ht="15.0" customHeight="1">
      <c r="A330" s="56" t="s">
        <v>8595</v>
      </c>
      <c r="B330" s="56" t="s">
        <v>8596</v>
      </c>
      <c r="C330" s="57" t="s">
        <v>8597</v>
      </c>
      <c r="D330" s="56" t="s">
        <v>8598</v>
      </c>
      <c r="E330" s="56" t="s">
        <v>368</v>
      </c>
      <c r="F330" s="56" t="s">
        <v>452</v>
      </c>
      <c r="G330" s="56" t="s">
        <v>452</v>
      </c>
      <c r="H330" s="56" t="s">
        <v>7392</v>
      </c>
      <c r="I330" s="56" t="s">
        <v>368</v>
      </c>
      <c r="J330" s="58">
        <v>0.0</v>
      </c>
      <c r="K330" s="56" t="s">
        <v>1880</v>
      </c>
      <c r="L330" s="59"/>
      <c r="M330" s="56" t="s">
        <v>8599</v>
      </c>
      <c r="N330" s="61" t="s">
        <v>373</v>
      </c>
      <c r="O330" s="58" t="s">
        <v>8600</v>
      </c>
    </row>
    <row r="331" ht="15.0" customHeight="1">
      <c r="A331" s="56" t="s">
        <v>8601</v>
      </c>
      <c r="B331" s="56" t="s">
        <v>8602</v>
      </c>
      <c r="C331" s="57" t="s">
        <v>8603</v>
      </c>
      <c r="D331" s="56" t="s">
        <v>8604</v>
      </c>
      <c r="E331" s="56" t="s">
        <v>368</v>
      </c>
      <c r="F331" s="56" t="s">
        <v>453</v>
      </c>
      <c r="G331" s="56" t="s">
        <v>390</v>
      </c>
      <c r="H331" s="56" t="s">
        <v>7392</v>
      </c>
      <c r="I331" s="56" t="s">
        <v>368</v>
      </c>
      <c r="J331" s="58">
        <v>0.0</v>
      </c>
      <c r="K331" s="56" t="s">
        <v>5607</v>
      </c>
      <c r="L331" s="59"/>
      <c r="M331" s="56" t="s">
        <v>8605</v>
      </c>
      <c r="N331" s="61" t="s">
        <v>373</v>
      </c>
      <c r="O331" s="58" t="s">
        <v>8606</v>
      </c>
    </row>
    <row r="332" ht="15.0" customHeight="1">
      <c r="A332" s="56" t="s">
        <v>229</v>
      </c>
      <c r="B332" s="56" t="s">
        <v>2568</v>
      </c>
      <c r="C332" s="57" t="s">
        <v>8607</v>
      </c>
      <c r="D332" s="56" t="s">
        <v>8608</v>
      </c>
      <c r="E332" s="56" t="s">
        <v>368</v>
      </c>
      <c r="F332" s="56" t="s">
        <v>4213</v>
      </c>
      <c r="G332" s="56" t="s">
        <v>390</v>
      </c>
      <c r="H332" s="56" t="s">
        <v>7392</v>
      </c>
      <c r="I332" s="56" t="s">
        <v>368</v>
      </c>
      <c r="J332" s="58">
        <v>0.0</v>
      </c>
      <c r="K332" s="56" t="s">
        <v>3173</v>
      </c>
      <c r="L332" s="59"/>
      <c r="M332" s="56" t="s">
        <v>8609</v>
      </c>
      <c r="N332" s="61" t="s">
        <v>373</v>
      </c>
      <c r="O332" s="58" t="s">
        <v>8610</v>
      </c>
    </row>
    <row r="333" ht="15.0" customHeight="1">
      <c r="A333" s="56" t="s">
        <v>230</v>
      </c>
      <c r="B333" s="56" t="s">
        <v>4006</v>
      </c>
      <c r="C333" s="57" t="s">
        <v>1813</v>
      </c>
      <c r="D333" s="58">
        <v>3.3056286E9</v>
      </c>
      <c r="E333" s="56" t="s">
        <v>368</v>
      </c>
      <c r="F333" s="56" t="s">
        <v>8611</v>
      </c>
      <c r="G333" s="56" t="s">
        <v>452</v>
      </c>
      <c r="H333" s="56" t="s">
        <v>7392</v>
      </c>
      <c r="I333" s="56" t="s">
        <v>368</v>
      </c>
      <c r="J333" s="58">
        <v>0.0</v>
      </c>
      <c r="K333" s="56" t="s">
        <v>1152</v>
      </c>
      <c r="L333" s="59"/>
      <c r="M333" s="56" t="s">
        <v>8612</v>
      </c>
      <c r="N333" s="61" t="s">
        <v>373</v>
      </c>
      <c r="O333" s="58" t="s">
        <v>8613</v>
      </c>
    </row>
    <row r="334" ht="15.0" customHeight="1">
      <c r="A334" s="56" t="s">
        <v>4010</v>
      </c>
      <c r="B334" s="56" t="s">
        <v>4011</v>
      </c>
      <c r="C334" s="57" t="s">
        <v>4012</v>
      </c>
      <c r="D334" s="56" t="s">
        <v>4013</v>
      </c>
      <c r="E334" s="56" t="s">
        <v>368</v>
      </c>
      <c r="F334" s="56" t="s">
        <v>2938</v>
      </c>
      <c r="G334" s="56" t="s">
        <v>452</v>
      </c>
      <c r="H334" s="56" t="s">
        <v>7392</v>
      </c>
      <c r="I334" s="56" t="s">
        <v>368</v>
      </c>
      <c r="J334" s="58">
        <v>0.0</v>
      </c>
      <c r="K334" s="59"/>
      <c r="L334" s="59"/>
      <c r="M334" s="56" t="s">
        <v>7499</v>
      </c>
      <c r="N334" s="61" t="s">
        <v>394</v>
      </c>
      <c r="O334" s="58" t="s">
        <v>8614</v>
      </c>
    </row>
    <row r="335" ht="15.0" customHeight="1">
      <c r="A335" s="56" t="s">
        <v>8615</v>
      </c>
      <c r="B335" s="56" t="s">
        <v>8616</v>
      </c>
      <c r="C335" s="57" t="s">
        <v>8617</v>
      </c>
      <c r="D335" s="56" t="s">
        <v>8618</v>
      </c>
      <c r="E335" s="56" t="s">
        <v>368</v>
      </c>
      <c r="F335" s="56" t="s">
        <v>4664</v>
      </c>
      <c r="G335" s="56" t="s">
        <v>2286</v>
      </c>
      <c r="H335" s="56" t="s">
        <v>7392</v>
      </c>
      <c r="I335" s="56" t="s">
        <v>423</v>
      </c>
      <c r="J335" s="58">
        <v>0.0</v>
      </c>
      <c r="K335" s="59"/>
      <c r="L335" s="59"/>
      <c r="M335" s="56" t="s">
        <v>8619</v>
      </c>
      <c r="N335" s="61" t="s">
        <v>394</v>
      </c>
      <c r="O335" s="58" t="s">
        <v>8620</v>
      </c>
    </row>
    <row r="336" ht="15.0" customHeight="1">
      <c r="A336" s="56" t="s">
        <v>231</v>
      </c>
      <c r="B336" s="56" t="s">
        <v>5421</v>
      </c>
      <c r="C336" s="57" t="s">
        <v>5422</v>
      </c>
      <c r="D336" s="56" t="s">
        <v>5423</v>
      </c>
      <c r="E336" s="56" t="s">
        <v>368</v>
      </c>
      <c r="F336" s="56" t="s">
        <v>4023</v>
      </c>
      <c r="G336" s="56" t="s">
        <v>452</v>
      </c>
      <c r="H336" s="56" t="s">
        <v>7643</v>
      </c>
      <c r="I336" s="56" t="s">
        <v>368</v>
      </c>
      <c r="J336" s="58">
        <v>0.0</v>
      </c>
      <c r="K336" s="56" t="s">
        <v>8621</v>
      </c>
      <c r="L336" s="59"/>
      <c r="M336" s="56" t="s">
        <v>8622</v>
      </c>
      <c r="N336" s="61" t="s">
        <v>373</v>
      </c>
      <c r="O336" s="58" t="s">
        <v>8623</v>
      </c>
    </row>
    <row r="337" ht="15.0" customHeight="1">
      <c r="A337" s="56" t="s">
        <v>232</v>
      </c>
      <c r="B337" s="56" t="s">
        <v>8624</v>
      </c>
      <c r="C337" s="57" t="s">
        <v>8625</v>
      </c>
      <c r="D337" s="58">
        <v>7.132229102E9</v>
      </c>
      <c r="E337" s="56" t="s">
        <v>423</v>
      </c>
      <c r="F337" s="56" t="s">
        <v>2825</v>
      </c>
      <c r="G337" s="56" t="s">
        <v>452</v>
      </c>
      <c r="H337" s="56" t="s">
        <v>7403</v>
      </c>
      <c r="I337" s="56" t="s">
        <v>368</v>
      </c>
      <c r="J337" s="58">
        <v>0.0</v>
      </c>
      <c r="K337" s="56" t="s">
        <v>2498</v>
      </c>
      <c r="L337" s="59"/>
      <c r="M337" s="56" t="s">
        <v>8626</v>
      </c>
      <c r="N337" s="61" t="s">
        <v>373</v>
      </c>
      <c r="O337" s="58" t="s">
        <v>8627</v>
      </c>
    </row>
    <row r="338" ht="15.0" customHeight="1">
      <c r="A338" s="56" t="s">
        <v>6969</v>
      </c>
      <c r="B338" s="56" t="s">
        <v>8628</v>
      </c>
      <c r="C338" s="57" t="s">
        <v>6971</v>
      </c>
      <c r="D338" s="58">
        <v>1.2062947493E10</v>
      </c>
      <c r="E338" s="56" t="s">
        <v>368</v>
      </c>
      <c r="F338" s="56" t="s">
        <v>8629</v>
      </c>
      <c r="G338" s="56" t="s">
        <v>2286</v>
      </c>
      <c r="H338" s="56" t="s">
        <v>7392</v>
      </c>
      <c r="I338" s="56" t="s">
        <v>423</v>
      </c>
      <c r="J338" s="58">
        <v>2.0</v>
      </c>
      <c r="K338" s="56" t="s">
        <v>3376</v>
      </c>
      <c r="L338" s="59"/>
      <c r="M338" s="56" t="s">
        <v>8630</v>
      </c>
      <c r="N338" s="61" t="s">
        <v>373</v>
      </c>
      <c r="O338" s="58" t="s">
        <v>8631</v>
      </c>
    </row>
    <row r="339" ht="15.0" customHeight="1">
      <c r="A339" s="56" t="s">
        <v>8632</v>
      </c>
      <c r="B339" s="56" t="s">
        <v>8633</v>
      </c>
      <c r="C339" s="57" t="s">
        <v>8634</v>
      </c>
      <c r="D339" s="58">
        <v>7.63280836E9</v>
      </c>
      <c r="E339" s="56" t="s">
        <v>368</v>
      </c>
      <c r="F339" s="56" t="s">
        <v>2286</v>
      </c>
      <c r="G339" s="56" t="s">
        <v>2286</v>
      </c>
      <c r="H339" s="56" t="s">
        <v>7392</v>
      </c>
      <c r="I339" s="56" t="s">
        <v>423</v>
      </c>
      <c r="J339" s="58">
        <v>0.0</v>
      </c>
      <c r="K339" s="59"/>
      <c r="L339" s="59"/>
      <c r="M339" s="56" t="s">
        <v>7899</v>
      </c>
      <c r="N339" s="61" t="s">
        <v>394</v>
      </c>
      <c r="O339" s="58" t="s">
        <v>8635</v>
      </c>
    </row>
    <row r="340" ht="15.0" customHeight="1">
      <c r="A340" s="56" t="s">
        <v>233</v>
      </c>
      <c r="B340" s="56" t="s">
        <v>4048</v>
      </c>
      <c r="C340" s="57" t="s">
        <v>4049</v>
      </c>
      <c r="D340" s="58">
        <v>5.052640876E9</v>
      </c>
      <c r="E340" s="56" t="s">
        <v>368</v>
      </c>
      <c r="F340" s="56" t="s">
        <v>5245</v>
      </c>
      <c r="G340" s="56" t="s">
        <v>390</v>
      </c>
      <c r="H340" s="56" t="s">
        <v>7392</v>
      </c>
      <c r="I340" s="56" t="s">
        <v>368</v>
      </c>
      <c r="J340" s="58">
        <v>0.0</v>
      </c>
      <c r="K340" s="56" t="s">
        <v>4823</v>
      </c>
      <c r="L340" s="59"/>
      <c r="M340" s="56" t="s">
        <v>8636</v>
      </c>
      <c r="N340" s="61" t="s">
        <v>373</v>
      </c>
      <c r="O340" s="58" t="s">
        <v>7853</v>
      </c>
    </row>
    <row r="341" ht="15.0" customHeight="1">
      <c r="A341" s="56" t="s">
        <v>8637</v>
      </c>
      <c r="B341" s="56" t="s">
        <v>8638</v>
      </c>
      <c r="C341" s="57" t="s">
        <v>8639</v>
      </c>
      <c r="D341" s="56" t="s">
        <v>8640</v>
      </c>
      <c r="E341" s="56" t="s">
        <v>368</v>
      </c>
      <c r="F341" s="56" t="s">
        <v>2286</v>
      </c>
      <c r="G341" s="56" t="s">
        <v>2286</v>
      </c>
      <c r="H341" s="56" t="s">
        <v>7392</v>
      </c>
      <c r="I341" s="56" t="s">
        <v>368</v>
      </c>
      <c r="J341" s="58">
        <v>0.0</v>
      </c>
      <c r="K341" s="56" t="s">
        <v>1536</v>
      </c>
      <c r="L341" s="59"/>
      <c r="M341" s="56" t="s">
        <v>8641</v>
      </c>
      <c r="N341" s="61" t="s">
        <v>373</v>
      </c>
      <c r="O341" s="58" t="s">
        <v>8237</v>
      </c>
    </row>
    <row r="342" ht="15.0" customHeight="1">
      <c r="A342" s="56" t="s">
        <v>234</v>
      </c>
      <c r="B342" s="56" t="s">
        <v>4052</v>
      </c>
      <c r="C342" s="57" t="s">
        <v>4053</v>
      </c>
      <c r="D342" s="56" t="s">
        <v>6983</v>
      </c>
      <c r="E342" s="56" t="s">
        <v>368</v>
      </c>
      <c r="F342" s="56" t="s">
        <v>8642</v>
      </c>
      <c r="G342" s="56" t="s">
        <v>452</v>
      </c>
      <c r="H342" s="56" t="s">
        <v>7392</v>
      </c>
      <c r="I342" s="56" t="s">
        <v>368</v>
      </c>
      <c r="J342" s="58">
        <v>0.0</v>
      </c>
      <c r="K342" s="56" t="s">
        <v>5203</v>
      </c>
      <c r="L342" s="59"/>
      <c r="M342" s="56" t="s">
        <v>8643</v>
      </c>
      <c r="N342" s="61" t="s">
        <v>373</v>
      </c>
      <c r="O342" s="58" t="s">
        <v>8644</v>
      </c>
    </row>
    <row r="343" ht="15.0" customHeight="1">
      <c r="A343" s="56" t="s">
        <v>235</v>
      </c>
      <c r="B343" s="56" t="s">
        <v>1859</v>
      </c>
      <c r="C343" s="57" t="s">
        <v>1860</v>
      </c>
      <c r="D343" s="56" t="s">
        <v>1861</v>
      </c>
      <c r="E343" s="56" t="s">
        <v>368</v>
      </c>
      <c r="F343" s="56" t="s">
        <v>3351</v>
      </c>
      <c r="G343" s="56" t="s">
        <v>2286</v>
      </c>
      <c r="H343" s="56" t="s">
        <v>7392</v>
      </c>
      <c r="I343" s="56" t="s">
        <v>368</v>
      </c>
      <c r="J343" s="58">
        <v>0.0</v>
      </c>
      <c r="K343" s="56" t="s">
        <v>8645</v>
      </c>
      <c r="L343" s="59"/>
      <c r="M343" s="56" t="s">
        <v>8646</v>
      </c>
      <c r="N343" s="61" t="s">
        <v>373</v>
      </c>
      <c r="O343" s="58" t="s">
        <v>8508</v>
      </c>
    </row>
    <row r="344" ht="15.0" customHeight="1">
      <c r="A344" s="56" t="s">
        <v>236</v>
      </c>
      <c r="B344" s="56" t="s">
        <v>8647</v>
      </c>
      <c r="C344" s="57" t="s">
        <v>6994</v>
      </c>
      <c r="D344" s="56" t="s">
        <v>5437</v>
      </c>
      <c r="E344" s="56" t="s">
        <v>368</v>
      </c>
      <c r="F344" s="56" t="s">
        <v>8648</v>
      </c>
      <c r="G344" s="56" t="s">
        <v>2286</v>
      </c>
      <c r="H344" s="56" t="s">
        <v>7392</v>
      </c>
      <c r="I344" s="56" t="s">
        <v>368</v>
      </c>
      <c r="J344" s="58">
        <v>0.0</v>
      </c>
      <c r="K344" s="56" t="s">
        <v>1385</v>
      </c>
      <c r="L344" s="59"/>
      <c r="M344" s="56" t="s">
        <v>8649</v>
      </c>
      <c r="N344" s="61" t="s">
        <v>373</v>
      </c>
      <c r="O344" s="58" t="s">
        <v>8650</v>
      </c>
    </row>
    <row r="345" ht="15.0" customHeight="1">
      <c r="A345" s="56" t="s">
        <v>8651</v>
      </c>
      <c r="B345" s="56" t="s">
        <v>4065</v>
      </c>
      <c r="C345" s="57" t="s">
        <v>4066</v>
      </c>
      <c r="D345" s="56" t="s">
        <v>6991</v>
      </c>
      <c r="E345" s="56" t="s">
        <v>368</v>
      </c>
      <c r="F345" s="56" t="s">
        <v>2286</v>
      </c>
      <c r="G345" s="56" t="s">
        <v>2286</v>
      </c>
      <c r="H345" s="56" t="s">
        <v>381</v>
      </c>
      <c r="I345" s="56" t="s">
        <v>368</v>
      </c>
      <c r="J345" s="58">
        <v>0.0</v>
      </c>
      <c r="K345" s="56" t="s">
        <v>4098</v>
      </c>
      <c r="L345" s="59"/>
      <c r="M345" s="56" t="s">
        <v>7750</v>
      </c>
      <c r="N345" s="61" t="s">
        <v>394</v>
      </c>
      <c r="O345" s="58" t="s">
        <v>8082</v>
      </c>
    </row>
    <row r="346" ht="15.0" customHeight="1">
      <c r="A346" s="56" t="s">
        <v>8652</v>
      </c>
      <c r="B346" s="56" t="s">
        <v>5454</v>
      </c>
      <c r="C346" s="57" t="s">
        <v>5455</v>
      </c>
      <c r="D346" s="56" t="s">
        <v>5456</v>
      </c>
      <c r="E346" s="56" t="s">
        <v>368</v>
      </c>
      <c r="F346" s="56" t="s">
        <v>2606</v>
      </c>
      <c r="G346" s="56" t="s">
        <v>452</v>
      </c>
      <c r="H346" s="56" t="s">
        <v>7392</v>
      </c>
      <c r="I346" s="56" t="s">
        <v>368</v>
      </c>
      <c r="J346" s="58">
        <v>0.0</v>
      </c>
      <c r="K346" s="56" t="s">
        <v>3109</v>
      </c>
      <c r="L346" s="59"/>
      <c r="M346" s="56" t="s">
        <v>8653</v>
      </c>
      <c r="N346" s="61" t="s">
        <v>373</v>
      </c>
      <c r="O346" s="58" t="s">
        <v>8654</v>
      </c>
    </row>
    <row r="347" ht="15.0" customHeight="1">
      <c r="A347" s="56" t="s">
        <v>237</v>
      </c>
      <c r="B347" s="56" t="s">
        <v>7003</v>
      </c>
      <c r="C347" s="57" t="s">
        <v>1872</v>
      </c>
      <c r="D347" s="56" t="s">
        <v>5440</v>
      </c>
      <c r="E347" s="56" t="s">
        <v>368</v>
      </c>
      <c r="F347" s="56" t="s">
        <v>8655</v>
      </c>
      <c r="G347" s="56" t="s">
        <v>452</v>
      </c>
      <c r="H347" s="56" t="s">
        <v>7403</v>
      </c>
      <c r="I347" s="56" t="s">
        <v>423</v>
      </c>
      <c r="J347" s="58">
        <v>1.0</v>
      </c>
      <c r="K347" s="56" t="s">
        <v>1252</v>
      </c>
      <c r="L347" s="59"/>
      <c r="M347" s="56" t="s">
        <v>8656</v>
      </c>
      <c r="N347" s="61" t="s">
        <v>373</v>
      </c>
      <c r="O347" s="58" t="s">
        <v>8657</v>
      </c>
    </row>
    <row r="348" ht="15.0" customHeight="1">
      <c r="A348" s="56" t="s">
        <v>238</v>
      </c>
      <c r="B348" s="56" t="s">
        <v>1876</v>
      </c>
      <c r="C348" s="57" t="s">
        <v>1877</v>
      </c>
      <c r="D348" s="56" t="s">
        <v>7000</v>
      </c>
      <c r="E348" s="56" t="s">
        <v>368</v>
      </c>
      <c r="F348" s="56" t="s">
        <v>3130</v>
      </c>
      <c r="G348" s="56" t="s">
        <v>459</v>
      </c>
      <c r="H348" s="56" t="s">
        <v>381</v>
      </c>
      <c r="I348" s="56" t="s">
        <v>368</v>
      </c>
      <c r="J348" s="58">
        <v>0.0</v>
      </c>
      <c r="K348" s="56" t="s">
        <v>3155</v>
      </c>
      <c r="L348" s="59"/>
      <c r="M348" s="56" t="s">
        <v>8658</v>
      </c>
      <c r="N348" s="61" t="s">
        <v>373</v>
      </c>
      <c r="O348" s="58" t="s">
        <v>8659</v>
      </c>
    </row>
    <row r="349" ht="15.0" customHeight="1">
      <c r="A349" s="56" t="s">
        <v>1882</v>
      </c>
      <c r="B349" s="56" t="s">
        <v>1883</v>
      </c>
      <c r="C349" s="57" t="s">
        <v>1884</v>
      </c>
      <c r="D349" s="56" t="s">
        <v>5450</v>
      </c>
      <c r="E349" s="56" t="s">
        <v>368</v>
      </c>
      <c r="F349" s="56" t="s">
        <v>7408</v>
      </c>
      <c r="G349" s="56" t="s">
        <v>2286</v>
      </c>
      <c r="H349" s="56" t="s">
        <v>8660</v>
      </c>
      <c r="I349" s="56" t="s">
        <v>368</v>
      </c>
      <c r="J349" s="58">
        <v>0.0</v>
      </c>
      <c r="K349" s="59"/>
      <c r="L349" s="59"/>
      <c r="M349" s="56" t="s">
        <v>7899</v>
      </c>
      <c r="N349" s="61" t="s">
        <v>373</v>
      </c>
      <c r="O349" s="58" t="s">
        <v>8661</v>
      </c>
    </row>
    <row r="350" ht="15.0" customHeight="1">
      <c r="A350" s="56" t="s">
        <v>239</v>
      </c>
      <c r="B350" s="56" t="s">
        <v>8662</v>
      </c>
      <c r="C350" s="57" t="s">
        <v>8663</v>
      </c>
      <c r="D350" s="56" t="s">
        <v>8664</v>
      </c>
      <c r="E350" s="56" t="s">
        <v>368</v>
      </c>
      <c r="F350" s="56" t="s">
        <v>2504</v>
      </c>
      <c r="G350" s="56" t="s">
        <v>390</v>
      </c>
      <c r="H350" s="56" t="s">
        <v>7392</v>
      </c>
      <c r="I350" s="56" t="s">
        <v>368</v>
      </c>
      <c r="J350" s="58">
        <v>0.0</v>
      </c>
      <c r="K350" s="56" t="s">
        <v>7950</v>
      </c>
      <c r="L350" s="59"/>
      <c r="M350" s="56" t="s">
        <v>8665</v>
      </c>
      <c r="N350" s="61" t="s">
        <v>373</v>
      </c>
      <c r="O350" s="58" t="s">
        <v>8666</v>
      </c>
    </row>
    <row r="351" ht="15.0" customHeight="1">
      <c r="A351" s="56" t="s">
        <v>240</v>
      </c>
      <c r="B351" s="56" t="s">
        <v>1900</v>
      </c>
      <c r="C351" s="57" t="s">
        <v>1901</v>
      </c>
      <c r="D351" s="56" t="s">
        <v>5458</v>
      </c>
      <c r="E351" s="56" t="s">
        <v>368</v>
      </c>
      <c r="F351" s="56" t="s">
        <v>676</v>
      </c>
      <c r="G351" s="56" t="s">
        <v>390</v>
      </c>
      <c r="H351" s="56" t="s">
        <v>381</v>
      </c>
      <c r="I351" s="56" t="s">
        <v>368</v>
      </c>
      <c r="J351" s="58">
        <v>0.0</v>
      </c>
      <c r="K351" s="56" t="s">
        <v>4062</v>
      </c>
      <c r="L351" s="59"/>
      <c r="M351" s="56" t="s">
        <v>8667</v>
      </c>
      <c r="N351" s="61" t="s">
        <v>373</v>
      </c>
      <c r="O351" s="58" t="s">
        <v>8668</v>
      </c>
    </row>
    <row r="352" ht="15.0" customHeight="1">
      <c r="A352" s="56" t="s">
        <v>5462</v>
      </c>
      <c r="B352" s="56" t="s">
        <v>8669</v>
      </c>
      <c r="C352" s="57" t="s">
        <v>8670</v>
      </c>
      <c r="D352" s="58">
        <v>8.178100696E9</v>
      </c>
      <c r="E352" s="56" t="s">
        <v>368</v>
      </c>
      <c r="F352" s="56" t="s">
        <v>8671</v>
      </c>
      <c r="G352" s="56" t="s">
        <v>2286</v>
      </c>
      <c r="H352" s="56" t="s">
        <v>381</v>
      </c>
      <c r="I352" s="56" t="s">
        <v>368</v>
      </c>
      <c r="J352" s="58">
        <v>0.0</v>
      </c>
      <c r="K352" s="56" t="s">
        <v>4894</v>
      </c>
      <c r="L352" s="59"/>
      <c r="M352" s="56" t="s">
        <v>8672</v>
      </c>
      <c r="N352" s="61" t="s">
        <v>373</v>
      </c>
      <c r="O352" s="58" t="s">
        <v>7529</v>
      </c>
    </row>
    <row r="353" ht="15.0" customHeight="1">
      <c r="A353" s="56" t="s">
        <v>7018</v>
      </c>
      <c r="B353" s="56" t="s">
        <v>8673</v>
      </c>
      <c r="C353" s="57" t="s">
        <v>8674</v>
      </c>
      <c r="D353" s="56" t="s">
        <v>8675</v>
      </c>
      <c r="E353" s="56" t="s">
        <v>368</v>
      </c>
      <c r="F353" s="56" t="s">
        <v>2286</v>
      </c>
      <c r="G353" s="56" t="s">
        <v>2286</v>
      </c>
      <c r="H353" s="56" t="s">
        <v>7392</v>
      </c>
      <c r="I353" s="56" t="s">
        <v>368</v>
      </c>
      <c r="J353" s="58">
        <v>0.0</v>
      </c>
      <c r="K353" s="56" t="s">
        <v>4028</v>
      </c>
      <c r="L353" s="59"/>
      <c r="M353" s="56" t="s">
        <v>8676</v>
      </c>
      <c r="N353" s="61" t="s">
        <v>373</v>
      </c>
      <c r="O353" s="58" t="s">
        <v>8677</v>
      </c>
    </row>
    <row r="354" ht="15.0" customHeight="1">
      <c r="A354" s="56" t="s">
        <v>4104</v>
      </c>
      <c r="B354" s="56" t="s">
        <v>4105</v>
      </c>
      <c r="C354" s="57" t="s">
        <v>4106</v>
      </c>
      <c r="D354" s="58">
        <v>9.528294857E9</v>
      </c>
      <c r="E354" s="56" t="s">
        <v>368</v>
      </c>
      <c r="F354" s="56" t="s">
        <v>8678</v>
      </c>
      <c r="G354" s="56" t="s">
        <v>390</v>
      </c>
      <c r="H354" s="56" t="s">
        <v>7392</v>
      </c>
      <c r="I354" s="56" t="s">
        <v>368</v>
      </c>
      <c r="J354" s="58">
        <v>0.0</v>
      </c>
      <c r="K354" s="59"/>
      <c r="L354" s="59"/>
      <c r="M354" s="56" t="s">
        <v>7899</v>
      </c>
      <c r="N354" s="61" t="s">
        <v>394</v>
      </c>
      <c r="O354" s="58" t="s">
        <v>8080</v>
      </c>
    </row>
    <row r="355" ht="15.0" customHeight="1">
      <c r="A355" s="56" t="s">
        <v>8679</v>
      </c>
      <c r="B355" s="56" t="s">
        <v>8680</v>
      </c>
      <c r="C355" s="57" t="s">
        <v>8681</v>
      </c>
      <c r="D355" s="56" t="s">
        <v>8682</v>
      </c>
      <c r="E355" s="56" t="s">
        <v>368</v>
      </c>
      <c r="F355" s="56" t="s">
        <v>8683</v>
      </c>
      <c r="G355" s="56" t="s">
        <v>452</v>
      </c>
      <c r="H355" s="56" t="s">
        <v>7392</v>
      </c>
      <c r="I355" s="56" t="s">
        <v>368</v>
      </c>
      <c r="J355" s="58">
        <v>0.0</v>
      </c>
      <c r="K355" s="56" t="s">
        <v>5617</v>
      </c>
      <c r="L355" s="59"/>
      <c r="M355" s="56" t="s">
        <v>8684</v>
      </c>
      <c r="N355" s="61" t="s">
        <v>373</v>
      </c>
      <c r="O355" s="58" t="s">
        <v>8685</v>
      </c>
    </row>
    <row r="356" ht="15.0" customHeight="1">
      <c r="A356" s="56" t="s">
        <v>241</v>
      </c>
      <c r="B356" s="56" t="s">
        <v>7031</v>
      </c>
      <c r="C356" s="57" t="s">
        <v>7032</v>
      </c>
      <c r="D356" s="56" t="s">
        <v>7033</v>
      </c>
      <c r="E356" s="56" t="s">
        <v>368</v>
      </c>
      <c r="F356" s="56" t="s">
        <v>8686</v>
      </c>
      <c r="G356" s="56" t="s">
        <v>390</v>
      </c>
      <c r="H356" s="56" t="s">
        <v>7392</v>
      </c>
      <c r="I356" s="56" t="s">
        <v>368</v>
      </c>
      <c r="J356" s="58">
        <v>0.0</v>
      </c>
      <c r="K356" s="56" t="s">
        <v>5079</v>
      </c>
      <c r="L356" s="59"/>
      <c r="M356" s="56" t="s">
        <v>8687</v>
      </c>
      <c r="N356" s="61" t="s">
        <v>373</v>
      </c>
      <c r="O356" s="58" t="s">
        <v>8688</v>
      </c>
    </row>
    <row r="357" ht="15.0" customHeight="1">
      <c r="A357" s="56" t="s">
        <v>242</v>
      </c>
      <c r="B357" s="56" t="s">
        <v>1242</v>
      </c>
      <c r="C357" s="57" t="s">
        <v>4136</v>
      </c>
      <c r="D357" s="56" t="s">
        <v>1244</v>
      </c>
      <c r="E357" s="56" t="s">
        <v>368</v>
      </c>
      <c r="F357" s="56" t="s">
        <v>8689</v>
      </c>
      <c r="G357" s="56" t="s">
        <v>1553</v>
      </c>
      <c r="H357" s="56" t="s">
        <v>8370</v>
      </c>
      <c r="I357" s="56" t="s">
        <v>423</v>
      </c>
      <c r="J357" s="58">
        <v>5.0</v>
      </c>
      <c r="K357" s="56" t="s">
        <v>8690</v>
      </c>
      <c r="L357" s="59"/>
      <c r="M357" s="56" t="s">
        <v>8691</v>
      </c>
      <c r="N357" s="61" t="s">
        <v>373</v>
      </c>
      <c r="O357" s="58" t="s">
        <v>8692</v>
      </c>
    </row>
    <row r="358" ht="15.0" customHeight="1">
      <c r="A358" s="56" t="s">
        <v>243</v>
      </c>
      <c r="B358" s="56" t="s">
        <v>4164</v>
      </c>
      <c r="C358" s="57" t="s">
        <v>1939</v>
      </c>
      <c r="D358" s="58">
        <v>5.123124336E9</v>
      </c>
      <c r="E358" s="56" t="s">
        <v>368</v>
      </c>
      <c r="F358" s="56" t="s">
        <v>2287</v>
      </c>
      <c r="G358" s="56" t="s">
        <v>2286</v>
      </c>
      <c r="H358" s="56" t="s">
        <v>7392</v>
      </c>
      <c r="I358" s="56" t="s">
        <v>368</v>
      </c>
      <c r="J358" s="58">
        <v>0.0</v>
      </c>
      <c r="K358" s="56" t="s">
        <v>484</v>
      </c>
      <c r="L358" s="59"/>
      <c r="M358" s="56" t="s">
        <v>8693</v>
      </c>
      <c r="N358" s="61" t="s">
        <v>373</v>
      </c>
      <c r="O358" s="58" t="s">
        <v>8694</v>
      </c>
    </row>
    <row r="359" ht="15.0" customHeight="1">
      <c r="A359" s="56" t="s">
        <v>7059</v>
      </c>
      <c r="B359" s="56" t="s">
        <v>8695</v>
      </c>
      <c r="C359" s="57" t="s">
        <v>8696</v>
      </c>
      <c r="D359" s="56" t="s">
        <v>8697</v>
      </c>
      <c r="E359" s="56" t="s">
        <v>368</v>
      </c>
      <c r="F359" s="56" t="s">
        <v>8698</v>
      </c>
      <c r="G359" s="56" t="s">
        <v>452</v>
      </c>
      <c r="H359" s="56" t="s">
        <v>7392</v>
      </c>
      <c r="I359" s="56" t="s">
        <v>368</v>
      </c>
      <c r="J359" s="58">
        <v>1.0</v>
      </c>
      <c r="K359" s="56" t="s">
        <v>2331</v>
      </c>
      <c r="L359" s="59"/>
      <c r="M359" s="56" t="s">
        <v>8699</v>
      </c>
      <c r="N359" s="61" t="s">
        <v>373</v>
      </c>
      <c r="O359" s="58" t="s">
        <v>8700</v>
      </c>
    </row>
    <row r="360" ht="15.0" customHeight="1">
      <c r="A360" s="56" t="s">
        <v>244</v>
      </c>
      <c r="B360" s="56" t="s">
        <v>1940</v>
      </c>
      <c r="C360" s="57" t="s">
        <v>1941</v>
      </c>
      <c r="D360" s="56" t="s">
        <v>5480</v>
      </c>
      <c r="E360" s="56" t="s">
        <v>368</v>
      </c>
      <c r="F360" s="56" t="s">
        <v>2851</v>
      </c>
      <c r="G360" s="56" t="s">
        <v>452</v>
      </c>
      <c r="H360" s="56" t="s">
        <v>7392</v>
      </c>
      <c r="I360" s="56" t="s">
        <v>368</v>
      </c>
      <c r="J360" s="58">
        <v>0.0</v>
      </c>
      <c r="K360" s="56" t="s">
        <v>3371</v>
      </c>
      <c r="L360" s="59"/>
      <c r="M360" s="56" t="s">
        <v>8701</v>
      </c>
      <c r="N360" s="61" t="s">
        <v>373</v>
      </c>
      <c r="O360" s="58" t="s">
        <v>7657</v>
      </c>
    </row>
    <row r="361" ht="15.0" customHeight="1">
      <c r="A361" s="56" t="s">
        <v>1945</v>
      </c>
      <c r="B361" s="56" t="s">
        <v>8702</v>
      </c>
      <c r="C361" s="57" t="s">
        <v>8703</v>
      </c>
      <c r="D361" s="58">
        <v>9.563582771E9</v>
      </c>
      <c r="E361" s="56" t="s">
        <v>368</v>
      </c>
      <c r="F361" s="56" t="s">
        <v>7408</v>
      </c>
      <c r="G361" s="56" t="s">
        <v>634</v>
      </c>
      <c r="H361" s="56" t="s">
        <v>381</v>
      </c>
      <c r="I361" s="56" t="s">
        <v>423</v>
      </c>
      <c r="J361" s="58">
        <v>3.0</v>
      </c>
      <c r="K361" s="56" t="s">
        <v>3620</v>
      </c>
      <c r="L361" s="59"/>
      <c r="M361" s="56" t="s">
        <v>8704</v>
      </c>
      <c r="N361" s="61" t="s">
        <v>373</v>
      </c>
      <c r="O361" s="58" t="s">
        <v>8705</v>
      </c>
    </row>
    <row r="362" ht="15.0" customHeight="1">
      <c r="A362" s="56" t="s">
        <v>245</v>
      </c>
      <c r="B362" s="56" t="s">
        <v>4169</v>
      </c>
      <c r="C362" s="57" t="s">
        <v>4170</v>
      </c>
      <c r="D362" s="58">
        <v>2.147978805E9</v>
      </c>
      <c r="E362" s="56" t="s">
        <v>368</v>
      </c>
      <c r="F362" s="56" t="s">
        <v>2286</v>
      </c>
      <c r="G362" s="56" t="s">
        <v>2286</v>
      </c>
      <c r="H362" s="56" t="s">
        <v>7403</v>
      </c>
      <c r="I362" s="56" t="s">
        <v>368</v>
      </c>
      <c r="J362" s="58">
        <v>0.0</v>
      </c>
      <c r="K362" s="56" t="s">
        <v>2134</v>
      </c>
      <c r="L362" s="59"/>
      <c r="M362" s="56" t="s">
        <v>8706</v>
      </c>
      <c r="N362" s="61" t="s">
        <v>373</v>
      </c>
      <c r="O362" s="58" t="s">
        <v>8707</v>
      </c>
    </row>
    <row r="363" ht="15.0" customHeight="1">
      <c r="A363" s="56" t="s">
        <v>7070</v>
      </c>
      <c r="B363" s="56" t="s">
        <v>8708</v>
      </c>
      <c r="C363" s="57" t="s">
        <v>8709</v>
      </c>
      <c r="D363" s="58">
        <v>4.19852871E9</v>
      </c>
      <c r="E363" s="56" t="s">
        <v>368</v>
      </c>
      <c r="F363" s="56" t="s">
        <v>8710</v>
      </c>
      <c r="G363" s="56" t="s">
        <v>390</v>
      </c>
      <c r="H363" s="56" t="s">
        <v>7392</v>
      </c>
      <c r="I363" s="56" t="s">
        <v>423</v>
      </c>
      <c r="J363" s="58">
        <v>2.0</v>
      </c>
      <c r="K363" s="56" t="s">
        <v>958</v>
      </c>
      <c r="L363" s="59"/>
      <c r="M363" s="56" t="s">
        <v>8711</v>
      </c>
      <c r="N363" s="61" t="s">
        <v>373</v>
      </c>
      <c r="O363" s="58" t="s">
        <v>8712</v>
      </c>
    </row>
    <row r="364" ht="15.0" customHeight="1">
      <c r="A364" s="56" t="s">
        <v>246</v>
      </c>
      <c r="B364" s="56" t="s">
        <v>8713</v>
      </c>
      <c r="C364" s="57" t="s">
        <v>8714</v>
      </c>
      <c r="D364" s="58">
        <v>2.62270986E9</v>
      </c>
      <c r="E364" s="56" t="s">
        <v>368</v>
      </c>
      <c r="F364" s="56" t="s">
        <v>8715</v>
      </c>
      <c r="G364" s="56" t="s">
        <v>2286</v>
      </c>
      <c r="H364" s="56" t="s">
        <v>7392</v>
      </c>
      <c r="I364" s="56" t="s">
        <v>423</v>
      </c>
      <c r="J364" s="58">
        <v>2.0</v>
      </c>
      <c r="K364" s="56" t="s">
        <v>1335</v>
      </c>
      <c r="L364" s="59"/>
      <c r="M364" s="56" t="s">
        <v>8716</v>
      </c>
      <c r="N364" s="61" t="s">
        <v>373</v>
      </c>
      <c r="O364" s="58" t="s">
        <v>8717</v>
      </c>
    </row>
    <row r="365" ht="15.0" customHeight="1">
      <c r="A365" s="56" t="s">
        <v>247</v>
      </c>
      <c r="B365" s="56" t="s">
        <v>4175</v>
      </c>
      <c r="C365" s="57" t="s">
        <v>4176</v>
      </c>
      <c r="D365" s="56" t="s">
        <v>5489</v>
      </c>
      <c r="E365" s="56" t="s">
        <v>368</v>
      </c>
      <c r="F365" s="56" t="s">
        <v>2463</v>
      </c>
      <c r="G365" s="56" t="s">
        <v>2286</v>
      </c>
      <c r="H365" s="56" t="s">
        <v>483</v>
      </c>
      <c r="I365" s="56" t="s">
        <v>368</v>
      </c>
      <c r="J365" s="58">
        <v>0.0</v>
      </c>
      <c r="K365" s="56" t="s">
        <v>2511</v>
      </c>
      <c r="L365" s="59"/>
      <c r="M365" s="56" t="s">
        <v>8718</v>
      </c>
      <c r="N365" s="61" t="s">
        <v>373</v>
      </c>
      <c r="O365" s="58" t="s">
        <v>8719</v>
      </c>
    </row>
    <row r="366" ht="15.0" customHeight="1">
      <c r="A366" s="56" t="s">
        <v>7084</v>
      </c>
      <c r="B366" s="56" t="s">
        <v>7085</v>
      </c>
      <c r="C366" s="57" t="s">
        <v>7086</v>
      </c>
      <c r="D366" s="56" t="s">
        <v>7087</v>
      </c>
      <c r="E366" s="56" t="s">
        <v>368</v>
      </c>
      <c r="F366" s="56" t="s">
        <v>8720</v>
      </c>
      <c r="G366" s="56" t="s">
        <v>452</v>
      </c>
      <c r="H366" s="56" t="s">
        <v>7392</v>
      </c>
      <c r="I366" s="56" t="s">
        <v>368</v>
      </c>
      <c r="J366" s="58">
        <v>0.0</v>
      </c>
      <c r="K366" s="56" t="s">
        <v>541</v>
      </c>
      <c r="L366" s="59"/>
      <c r="M366" s="56" t="s">
        <v>8721</v>
      </c>
      <c r="N366" s="61" t="s">
        <v>373</v>
      </c>
      <c r="O366" s="58" t="s">
        <v>8722</v>
      </c>
    </row>
    <row r="367" ht="15.0" customHeight="1">
      <c r="A367" s="56" t="s">
        <v>248</v>
      </c>
      <c r="B367" s="56" t="s">
        <v>4178</v>
      </c>
      <c r="C367" s="57" t="s">
        <v>4179</v>
      </c>
      <c r="D367" s="56" t="s">
        <v>5497</v>
      </c>
      <c r="E367" s="56" t="s">
        <v>368</v>
      </c>
      <c r="F367" s="56" t="s">
        <v>453</v>
      </c>
      <c r="G367" s="56" t="s">
        <v>452</v>
      </c>
      <c r="H367" s="56" t="s">
        <v>7392</v>
      </c>
      <c r="I367" s="56" t="s">
        <v>368</v>
      </c>
      <c r="J367" s="58">
        <v>0.0</v>
      </c>
      <c r="K367" s="56" t="s">
        <v>1125</v>
      </c>
      <c r="L367" s="59"/>
      <c r="M367" s="56" t="s">
        <v>8723</v>
      </c>
      <c r="N367" s="61" t="s">
        <v>373</v>
      </c>
      <c r="O367" s="58" t="s">
        <v>7454</v>
      </c>
    </row>
    <row r="368" ht="15.0" customHeight="1">
      <c r="A368" s="56" t="s">
        <v>8724</v>
      </c>
      <c r="B368" s="56" t="s">
        <v>8725</v>
      </c>
      <c r="C368" s="57" t="s">
        <v>8726</v>
      </c>
      <c r="D368" s="56" t="s">
        <v>8727</v>
      </c>
      <c r="E368" s="56" t="s">
        <v>368</v>
      </c>
      <c r="F368" s="56" t="s">
        <v>2286</v>
      </c>
      <c r="G368" s="56" t="s">
        <v>2286</v>
      </c>
      <c r="H368" s="56" t="s">
        <v>7392</v>
      </c>
      <c r="I368" s="56" t="s">
        <v>423</v>
      </c>
      <c r="J368" s="58">
        <v>0.0</v>
      </c>
      <c r="K368" s="59"/>
      <c r="L368" s="59"/>
      <c r="M368" s="56" t="s">
        <v>8728</v>
      </c>
      <c r="N368" s="61" t="s">
        <v>394</v>
      </c>
      <c r="O368" s="58" t="s">
        <v>8729</v>
      </c>
    </row>
    <row r="369" ht="15.0" customHeight="1">
      <c r="A369" s="56" t="s">
        <v>250</v>
      </c>
      <c r="B369" s="56" t="s">
        <v>7093</v>
      </c>
      <c r="C369" s="57" t="s">
        <v>7094</v>
      </c>
      <c r="D369" s="58">
        <v>2.146401732E9</v>
      </c>
      <c r="E369" s="56" t="s">
        <v>368</v>
      </c>
      <c r="F369" s="56" t="s">
        <v>3968</v>
      </c>
      <c r="G369" s="56" t="s">
        <v>2286</v>
      </c>
      <c r="H369" s="56" t="s">
        <v>7392</v>
      </c>
      <c r="I369" s="56" t="s">
        <v>368</v>
      </c>
      <c r="J369" s="58">
        <v>0.0</v>
      </c>
      <c r="K369" s="56" t="s">
        <v>1426</v>
      </c>
      <c r="L369" s="59"/>
      <c r="M369" s="56" t="s">
        <v>8730</v>
      </c>
      <c r="N369" s="61" t="s">
        <v>373</v>
      </c>
      <c r="O369" s="58" t="s">
        <v>8731</v>
      </c>
    </row>
    <row r="370" ht="15.0" customHeight="1">
      <c r="A370" s="56" t="s">
        <v>251</v>
      </c>
      <c r="B370" s="56" t="s">
        <v>4191</v>
      </c>
      <c r="C370" s="57" t="s">
        <v>1975</v>
      </c>
      <c r="D370" s="58">
        <v>3.466029089E9</v>
      </c>
      <c r="E370" s="56" t="s">
        <v>368</v>
      </c>
      <c r="F370" s="56" t="s">
        <v>4514</v>
      </c>
      <c r="G370" s="56" t="s">
        <v>390</v>
      </c>
      <c r="H370" s="56" t="s">
        <v>483</v>
      </c>
      <c r="I370" s="56" t="s">
        <v>368</v>
      </c>
      <c r="J370" s="58">
        <v>0.0</v>
      </c>
      <c r="K370" s="56" t="s">
        <v>851</v>
      </c>
      <c r="L370" s="59"/>
      <c r="M370" s="56" t="s">
        <v>8732</v>
      </c>
      <c r="N370" s="61" t="s">
        <v>373</v>
      </c>
      <c r="O370" s="58" t="s">
        <v>8733</v>
      </c>
    </row>
    <row r="371" ht="15.0" customHeight="1">
      <c r="A371" s="56" t="s">
        <v>8734</v>
      </c>
      <c r="B371" s="56" t="s">
        <v>8735</v>
      </c>
      <c r="C371" s="57" t="s">
        <v>8736</v>
      </c>
      <c r="D371" s="56" t="s">
        <v>8737</v>
      </c>
      <c r="E371" s="56" t="s">
        <v>368</v>
      </c>
      <c r="F371" s="56" t="s">
        <v>8738</v>
      </c>
      <c r="G371" s="56" t="s">
        <v>2286</v>
      </c>
      <c r="H371" s="56" t="s">
        <v>381</v>
      </c>
      <c r="I371" s="56" t="s">
        <v>368</v>
      </c>
      <c r="J371" s="58">
        <v>0.0</v>
      </c>
      <c r="K371" s="56" t="s">
        <v>1904</v>
      </c>
      <c r="L371" s="59"/>
      <c r="M371" s="56" t="s">
        <v>8739</v>
      </c>
      <c r="N371" s="61" t="s">
        <v>373</v>
      </c>
      <c r="O371" s="58" t="s">
        <v>8740</v>
      </c>
    </row>
    <row r="372" ht="15.0" customHeight="1">
      <c r="A372" s="56" t="s">
        <v>252</v>
      </c>
      <c r="B372" s="56" t="s">
        <v>6463</v>
      </c>
      <c r="C372" s="57" t="s">
        <v>6464</v>
      </c>
      <c r="D372" s="58">
        <v>3.347825389E9</v>
      </c>
      <c r="E372" s="56" t="s">
        <v>368</v>
      </c>
      <c r="F372" s="56" t="s">
        <v>453</v>
      </c>
      <c r="G372" s="56" t="s">
        <v>390</v>
      </c>
      <c r="H372" s="56" t="s">
        <v>7392</v>
      </c>
      <c r="I372" s="56" t="s">
        <v>368</v>
      </c>
      <c r="J372" s="58">
        <v>0.0</v>
      </c>
      <c r="K372" s="56" t="s">
        <v>596</v>
      </c>
      <c r="L372" s="59"/>
      <c r="M372" s="56" t="s">
        <v>8741</v>
      </c>
      <c r="N372" s="61" t="s">
        <v>373</v>
      </c>
      <c r="O372" s="58" t="s">
        <v>8742</v>
      </c>
    </row>
    <row r="373" ht="15.0" customHeight="1">
      <c r="A373" s="56" t="s">
        <v>253</v>
      </c>
      <c r="B373" s="56" t="s">
        <v>8743</v>
      </c>
      <c r="C373" s="57" t="s">
        <v>8744</v>
      </c>
      <c r="D373" s="56" t="s">
        <v>8745</v>
      </c>
      <c r="E373" s="56" t="s">
        <v>368</v>
      </c>
      <c r="F373" s="56" t="s">
        <v>3584</v>
      </c>
      <c r="G373" s="56" t="s">
        <v>452</v>
      </c>
      <c r="H373" s="56" t="s">
        <v>381</v>
      </c>
      <c r="I373" s="56" t="s">
        <v>368</v>
      </c>
      <c r="J373" s="58">
        <v>0.0</v>
      </c>
      <c r="K373" s="56" t="s">
        <v>8746</v>
      </c>
      <c r="L373" s="59"/>
      <c r="M373" s="56" t="s">
        <v>8747</v>
      </c>
      <c r="N373" s="61" t="s">
        <v>373</v>
      </c>
      <c r="O373" s="58" t="s">
        <v>8748</v>
      </c>
    </row>
    <row r="374" ht="15.0" customHeight="1">
      <c r="A374" s="56" t="s">
        <v>1997</v>
      </c>
      <c r="B374" s="56" t="s">
        <v>1998</v>
      </c>
      <c r="C374" s="57" t="s">
        <v>1999</v>
      </c>
      <c r="D374" s="58">
        <v>3.102543656E9</v>
      </c>
      <c r="E374" s="56" t="s">
        <v>368</v>
      </c>
      <c r="F374" s="56" t="s">
        <v>675</v>
      </c>
      <c r="G374" s="56" t="s">
        <v>675</v>
      </c>
      <c r="H374" s="56" t="s">
        <v>7392</v>
      </c>
      <c r="I374" s="56" t="s">
        <v>423</v>
      </c>
      <c r="J374" s="58">
        <v>2.0</v>
      </c>
      <c r="K374" s="56" t="s">
        <v>1874</v>
      </c>
      <c r="L374" s="59"/>
      <c r="M374" s="56" t="s">
        <v>8749</v>
      </c>
      <c r="N374" s="61" t="s">
        <v>373</v>
      </c>
      <c r="O374" s="58" t="s">
        <v>8750</v>
      </c>
    </row>
    <row r="375" ht="15.0" customHeight="1">
      <c r="A375" s="56" t="s">
        <v>8751</v>
      </c>
      <c r="B375" s="56" t="s">
        <v>2047</v>
      </c>
      <c r="C375" s="57" t="s">
        <v>8752</v>
      </c>
      <c r="D375" s="58">
        <v>9.794581635E9</v>
      </c>
      <c r="E375" s="56" t="s">
        <v>368</v>
      </c>
      <c r="F375" s="56" t="s">
        <v>7408</v>
      </c>
      <c r="G375" s="56" t="s">
        <v>410</v>
      </c>
      <c r="H375" s="56" t="s">
        <v>381</v>
      </c>
      <c r="I375" s="56" t="s">
        <v>368</v>
      </c>
      <c r="J375" s="58">
        <v>0.0</v>
      </c>
      <c r="K375" s="56" t="s">
        <v>1390</v>
      </c>
      <c r="L375" s="59"/>
      <c r="M375" s="56" t="s">
        <v>8753</v>
      </c>
      <c r="N375" s="61" t="s">
        <v>373</v>
      </c>
      <c r="O375" s="58" t="s">
        <v>7751</v>
      </c>
    </row>
    <row r="376" ht="15.0" customHeight="1">
      <c r="A376" s="56" t="s">
        <v>5511</v>
      </c>
      <c r="B376" s="56" t="s">
        <v>5512</v>
      </c>
      <c r="C376" s="57" t="s">
        <v>5513</v>
      </c>
      <c r="D376" s="56" t="s">
        <v>5514</v>
      </c>
      <c r="E376" s="56" t="s">
        <v>368</v>
      </c>
      <c r="F376" s="56" t="s">
        <v>8040</v>
      </c>
      <c r="G376" s="56" t="s">
        <v>390</v>
      </c>
      <c r="H376" s="56" t="s">
        <v>381</v>
      </c>
      <c r="I376" s="56" t="s">
        <v>423</v>
      </c>
      <c r="J376" s="58">
        <v>3.0</v>
      </c>
      <c r="K376" s="56" t="s">
        <v>943</v>
      </c>
      <c r="L376" s="59"/>
      <c r="M376" s="56" t="s">
        <v>8754</v>
      </c>
      <c r="N376" s="61" t="s">
        <v>373</v>
      </c>
      <c r="O376" s="58" t="s">
        <v>8755</v>
      </c>
    </row>
    <row r="377" ht="15.0" customHeight="1">
      <c r="A377" s="56" t="s">
        <v>254</v>
      </c>
      <c r="B377" s="56" t="s">
        <v>4236</v>
      </c>
      <c r="C377" s="57" t="s">
        <v>4237</v>
      </c>
      <c r="D377" s="56" t="s">
        <v>8756</v>
      </c>
      <c r="E377" s="56" t="s">
        <v>368</v>
      </c>
      <c r="F377" s="56" t="s">
        <v>8757</v>
      </c>
      <c r="G377" s="56" t="s">
        <v>410</v>
      </c>
      <c r="H377" s="56" t="s">
        <v>381</v>
      </c>
      <c r="I377" s="56" t="s">
        <v>423</v>
      </c>
      <c r="J377" s="58">
        <v>0.0</v>
      </c>
      <c r="K377" s="56" t="s">
        <v>1324</v>
      </c>
      <c r="L377" s="59"/>
      <c r="M377" s="56" t="s">
        <v>8758</v>
      </c>
      <c r="N377" s="61" t="s">
        <v>373</v>
      </c>
      <c r="O377" s="58" t="s">
        <v>8759</v>
      </c>
    </row>
    <row r="378" ht="15.0" customHeight="1">
      <c r="A378" s="56" t="s">
        <v>255</v>
      </c>
      <c r="B378" s="56" t="s">
        <v>4242</v>
      </c>
      <c r="C378" s="57" t="s">
        <v>4243</v>
      </c>
      <c r="D378" s="56" t="s">
        <v>5524</v>
      </c>
      <c r="E378" s="56" t="s">
        <v>368</v>
      </c>
      <c r="F378" s="56" t="s">
        <v>8760</v>
      </c>
      <c r="G378" s="56" t="s">
        <v>390</v>
      </c>
      <c r="H378" s="56" t="s">
        <v>381</v>
      </c>
      <c r="I378" s="56" t="s">
        <v>423</v>
      </c>
      <c r="J378" s="58">
        <v>4.0</v>
      </c>
      <c r="K378" s="56" t="s">
        <v>2464</v>
      </c>
      <c r="L378" s="59"/>
      <c r="M378" s="56" t="s">
        <v>8761</v>
      </c>
      <c r="N378" s="61" t="s">
        <v>373</v>
      </c>
      <c r="O378" s="58" t="s">
        <v>8762</v>
      </c>
    </row>
    <row r="379" ht="15.0" customHeight="1">
      <c r="A379" s="56" t="s">
        <v>8763</v>
      </c>
      <c r="B379" s="56" t="s">
        <v>8764</v>
      </c>
      <c r="C379" s="57" t="s">
        <v>8765</v>
      </c>
      <c r="D379" s="56" t="s">
        <v>8766</v>
      </c>
      <c r="E379" s="56" t="s">
        <v>368</v>
      </c>
      <c r="F379" s="56" t="s">
        <v>2851</v>
      </c>
      <c r="G379" s="56" t="s">
        <v>452</v>
      </c>
      <c r="H379" s="56" t="s">
        <v>7403</v>
      </c>
      <c r="I379" s="56" t="s">
        <v>423</v>
      </c>
      <c r="J379" s="58">
        <v>1.0</v>
      </c>
      <c r="K379" s="56" t="s">
        <v>3000</v>
      </c>
      <c r="L379" s="59"/>
      <c r="M379" s="56" t="s">
        <v>7499</v>
      </c>
      <c r="N379" s="61" t="s">
        <v>373</v>
      </c>
      <c r="O379" s="58" t="s">
        <v>8767</v>
      </c>
    </row>
    <row r="380" ht="15.0" customHeight="1">
      <c r="A380" s="56" t="s">
        <v>256</v>
      </c>
      <c r="B380" s="56" t="s">
        <v>5528</v>
      </c>
      <c r="C380" s="57" t="s">
        <v>5529</v>
      </c>
      <c r="D380" s="56" t="s">
        <v>5530</v>
      </c>
      <c r="E380" s="56" t="s">
        <v>368</v>
      </c>
      <c r="F380" s="56" t="s">
        <v>8768</v>
      </c>
      <c r="G380" s="56" t="s">
        <v>421</v>
      </c>
      <c r="H380" s="56" t="s">
        <v>381</v>
      </c>
      <c r="I380" s="56" t="s">
        <v>423</v>
      </c>
      <c r="J380" s="58">
        <v>2.0</v>
      </c>
      <c r="K380" s="56" t="s">
        <v>2202</v>
      </c>
      <c r="L380" s="59"/>
      <c r="M380" s="56" t="s">
        <v>8769</v>
      </c>
      <c r="N380" s="61" t="s">
        <v>373</v>
      </c>
      <c r="O380" s="58" t="s">
        <v>8770</v>
      </c>
    </row>
    <row r="381" ht="15.0" customHeight="1">
      <c r="A381" s="56" t="s">
        <v>8771</v>
      </c>
      <c r="B381" s="56" t="s">
        <v>8772</v>
      </c>
      <c r="C381" s="57" t="s">
        <v>8773</v>
      </c>
      <c r="D381" s="58">
        <v>6.038017148E9</v>
      </c>
      <c r="E381" s="56" t="s">
        <v>368</v>
      </c>
      <c r="F381" s="56" t="s">
        <v>8774</v>
      </c>
      <c r="G381" s="56" t="s">
        <v>452</v>
      </c>
      <c r="H381" s="56" t="s">
        <v>7392</v>
      </c>
      <c r="I381" s="56" t="s">
        <v>368</v>
      </c>
      <c r="J381" s="58">
        <v>0.0</v>
      </c>
      <c r="K381" s="56" t="s">
        <v>3211</v>
      </c>
      <c r="L381" s="59"/>
      <c r="M381" s="56" t="s">
        <v>8775</v>
      </c>
      <c r="N381" s="61" t="s">
        <v>373</v>
      </c>
      <c r="O381" s="58" t="s">
        <v>8776</v>
      </c>
    </row>
    <row r="382" ht="15.0" customHeight="1">
      <c r="A382" s="56" t="s">
        <v>257</v>
      </c>
      <c r="B382" s="56" t="s">
        <v>4261</v>
      </c>
      <c r="C382" s="57" t="s">
        <v>4262</v>
      </c>
      <c r="D382" s="56" t="s">
        <v>4263</v>
      </c>
      <c r="E382" s="56" t="s">
        <v>368</v>
      </c>
      <c r="F382" s="56" t="s">
        <v>8777</v>
      </c>
      <c r="G382" s="56" t="s">
        <v>2286</v>
      </c>
      <c r="H382" s="56" t="s">
        <v>7643</v>
      </c>
      <c r="I382" s="56" t="s">
        <v>423</v>
      </c>
      <c r="J382" s="58">
        <v>0.0</v>
      </c>
      <c r="K382" s="56" t="s">
        <v>8778</v>
      </c>
      <c r="L382" s="59"/>
      <c r="M382" s="56" t="s">
        <v>8779</v>
      </c>
      <c r="N382" s="61" t="s">
        <v>373</v>
      </c>
      <c r="O382" s="58" t="s">
        <v>7468</v>
      </c>
    </row>
    <row r="383" ht="15.0" customHeight="1">
      <c r="A383" s="56" t="s">
        <v>5533</v>
      </c>
      <c r="B383" s="56" t="s">
        <v>5534</v>
      </c>
      <c r="C383" s="57" t="s">
        <v>5535</v>
      </c>
      <c r="D383" s="58">
        <v>2.102997937E9</v>
      </c>
      <c r="E383" s="56" t="s">
        <v>368</v>
      </c>
      <c r="F383" s="56" t="s">
        <v>2286</v>
      </c>
      <c r="G383" s="56" t="s">
        <v>2286</v>
      </c>
      <c r="H383" s="56" t="s">
        <v>7392</v>
      </c>
      <c r="I383" s="56" t="s">
        <v>368</v>
      </c>
      <c r="J383" s="58">
        <v>0.0</v>
      </c>
      <c r="K383" s="56" t="s">
        <v>1317</v>
      </c>
      <c r="L383" s="59"/>
      <c r="M383" s="56" t="s">
        <v>8780</v>
      </c>
      <c r="N383" s="61" t="s">
        <v>373</v>
      </c>
      <c r="O383" s="58" t="s">
        <v>8781</v>
      </c>
    </row>
    <row r="384" ht="15.0" customHeight="1">
      <c r="A384" s="56" t="s">
        <v>258</v>
      </c>
      <c r="B384" s="56" t="s">
        <v>2040</v>
      </c>
      <c r="C384" s="57" t="s">
        <v>2041</v>
      </c>
      <c r="D384" s="56" t="s">
        <v>2042</v>
      </c>
      <c r="E384" s="56" t="s">
        <v>368</v>
      </c>
      <c r="F384" s="56" t="s">
        <v>7408</v>
      </c>
      <c r="G384" s="56" t="s">
        <v>3730</v>
      </c>
      <c r="H384" s="56" t="s">
        <v>381</v>
      </c>
      <c r="I384" s="56" t="s">
        <v>368</v>
      </c>
      <c r="J384" s="58">
        <v>0.0</v>
      </c>
      <c r="K384" s="56" t="s">
        <v>5878</v>
      </c>
      <c r="L384" s="59"/>
      <c r="M384" s="56" t="s">
        <v>8782</v>
      </c>
      <c r="N384" s="61" t="s">
        <v>373</v>
      </c>
      <c r="O384" s="58" t="s">
        <v>8783</v>
      </c>
    </row>
    <row r="385" ht="15.0" customHeight="1">
      <c r="A385" s="56" t="s">
        <v>7136</v>
      </c>
      <c r="B385" s="56" t="s">
        <v>7137</v>
      </c>
      <c r="C385" s="57" t="s">
        <v>7138</v>
      </c>
      <c r="D385" s="56" t="s">
        <v>8784</v>
      </c>
      <c r="E385" s="56" t="s">
        <v>368</v>
      </c>
      <c r="F385" s="56" t="s">
        <v>7408</v>
      </c>
      <c r="G385" s="56" t="s">
        <v>1553</v>
      </c>
      <c r="H385" s="56" t="s">
        <v>381</v>
      </c>
      <c r="I385" s="56" t="s">
        <v>368</v>
      </c>
      <c r="J385" s="58">
        <v>0.0</v>
      </c>
      <c r="K385" s="56" t="s">
        <v>1707</v>
      </c>
      <c r="L385" s="59"/>
      <c r="M385" s="56" t="s">
        <v>8785</v>
      </c>
      <c r="N385" s="61" t="s">
        <v>373</v>
      </c>
      <c r="O385" s="58" t="s">
        <v>8786</v>
      </c>
    </row>
    <row r="386" ht="15.0" customHeight="1">
      <c r="A386" s="56" t="s">
        <v>8787</v>
      </c>
      <c r="B386" s="56" t="s">
        <v>705</v>
      </c>
      <c r="C386" s="57" t="s">
        <v>706</v>
      </c>
      <c r="D386" s="58">
        <v>9.798628843E9</v>
      </c>
      <c r="E386" s="56" t="s">
        <v>368</v>
      </c>
      <c r="F386" s="56" t="s">
        <v>7408</v>
      </c>
      <c r="G386" s="56" t="s">
        <v>2286</v>
      </c>
      <c r="H386" s="56" t="s">
        <v>381</v>
      </c>
      <c r="I386" s="56" t="s">
        <v>368</v>
      </c>
      <c r="J386" s="58">
        <v>0.0</v>
      </c>
      <c r="K386" s="56" t="s">
        <v>371</v>
      </c>
      <c r="L386" s="59"/>
      <c r="M386" s="56" t="s">
        <v>8788</v>
      </c>
      <c r="N386" s="61" t="s">
        <v>373</v>
      </c>
      <c r="O386" s="58" t="s">
        <v>8789</v>
      </c>
    </row>
    <row r="387" ht="15.0" customHeight="1">
      <c r="A387" s="56" t="s">
        <v>260</v>
      </c>
      <c r="B387" s="56" t="s">
        <v>8790</v>
      </c>
      <c r="C387" s="57" t="s">
        <v>8791</v>
      </c>
      <c r="D387" s="56" t="s">
        <v>8792</v>
      </c>
      <c r="E387" s="56" t="s">
        <v>368</v>
      </c>
      <c r="F387" s="56" t="s">
        <v>3126</v>
      </c>
      <c r="G387" s="56" t="s">
        <v>2286</v>
      </c>
      <c r="H387" s="56" t="s">
        <v>7392</v>
      </c>
      <c r="I387" s="56" t="s">
        <v>368</v>
      </c>
      <c r="J387" s="58">
        <v>0.0</v>
      </c>
      <c r="K387" s="56" t="s">
        <v>4695</v>
      </c>
      <c r="L387" s="59"/>
      <c r="M387" s="56" t="s">
        <v>8793</v>
      </c>
      <c r="N387" s="61" t="s">
        <v>373</v>
      </c>
      <c r="O387" s="58" t="s">
        <v>8794</v>
      </c>
    </row>
    <row r="388" ht="15.0" customHeight="1">
      <c r="A388" s="56" t="s">
        <v>261</v>
      </c>
      <c r="B388" s="56" t="s">
        <v>2059</v>
      </c>
      <c r="C388" s="57" t="s">
        <v>2060</v>
      </c>
      <c r="D388" s="56" t="s">
        <v>5559</v>
      </c>
      <c r="E388" s="56" t="s">
        <v>368</v>
      </c>
      <c r="F388" s="56" t="s">
        <v>5560</v>
      </c>
      <c r="G388" s="56" t="s">
        <v>2286</v>
      </c>
      <c r="H388" s="56" t="s">
        <v>7439</v>
      </c>
      <c r="I388" s="56" t="s">
        <v>423</v>
      </c>
      <c r="J388" s="58">
        <v>2.0</v>
      </c>
      <c r="K388" s="56" t="s">
        <v>1633</v>
      </c>
      <c r="L388" s="59"/>
      <c r="M388" s="56" t="s">
        <v>8795</v>
      </c>
      <c r="N388" s="61" t="s">
        <v>373</v>
      </c>
      <c r="O388" s="58" t="s">
        <v>8796</v>
      </c>
    </row>
    <row r="389" ht="15.0" customHeight="1">
      <c r="A389" s="56" t="s">
        <v>262</v>
      </c>
      <c r="B389" s="56" t="s">
        <v>2064</v>
      </c>
      <c r="C389" s="57" t="s">
        <v>2065</v>
      </c>
      <c r="D389" s="56" t="s">
        <v>919</v>
      </c>
      <c r="E389" s="56" t="s">
        <v>368</v>
      </c>
      <c r="F389" s="56" t="s">
        <v>8797</v>
      </c>
      <c r="G389" s="56" t="s">
        <v>452</v>
      </c>
      <c r="H389" s="56" t="s">
        <v>7439</v>
      </c>
      <c r="I389" s="56" t="s">
        <v>423</v>
      </c>
      <c r="J389" s="58">
        <v>5.0</v>
      </c>
      <c r="K389" s="56" t="s">
        <v>8798</v>
      </c>
      <c r="L389" s="59"/>
      <c r="M389" s="56" t="s">
        <v>8799</v>
      </c>
      <c r="N389" s="61" t="s">
        <v>373</v>
      </c>
      <c r="O389" s="58" t="s">
        <v>7446</v>
      </c>
    </row>
    <row r="390" ht="15.0" customHeight="1">
      <c r="A390" s="56" t="s">
        <v>8800</v>
      </c>
      <c r="B390" s="56" t="s">
        <v>8801</v>
      </c>
      <c r="C390" s="57" t="s">
        <v>8802</v>
      </c>
      <c r="D390" s="58">
        <v>9.367567101E9</v>
      </c>
      <c r="E390" s="56" t="s">
        <v>368</v>
      </c>
      <c r="F390" s="56" t="s">
        <v>2692</v>
      </c>
      <c r="G390" s="56" t="s">
        <v>2286</v>
      </c>
      <c r="H390" s="56" t="s">
        <v>7392</v>
      </c>
      <c r="I390" s="56" t="s">
        <v>368</v>
      </c>
      <c r="J390" s="58">
        <v>0.0</v>
      </c>
      <c r="K390" s="56" t="s">
        <v>1282</v>
      </c>
      <c r="L390" s="59"/>
      <c r="M390" s="56" t="s">
        <v>8803</v>
      </c>
      <c r="N390" s="61" t="s">
        <v>373</v>
      </c>
      <c r="O390" s="58" t="s">
        <v>8804</v>
      </c>
    </row>
    <row r="391" ht="15.0" customHeight="1">
      <c r="A391" s="56" t="s">
        <v>8805</v>
      </c>
      <c r="B391" s="56" t="s">
        <v>8806</v>
      </c>
      <c r="C391" s="57" t="s">
        <v>8807</v>
      </c>
      <c r="D391" s="56" t="s">
        <v>8808</v>
      </c>
      <c r="E391" s="56" t="s">
        <v>368</v>
      </c>
      <c r="F391" s="56" t="s">
        <v>8809</v>
      </c>
      <c r="G391" s="56" t="s">
        <v>2286</v>
      </c>
      <c r="H391" s="56" t="s">
        <v>7392</v>
      </c>
      <c r="I391" s="56" t="s">
        <v>368</v>
      </c>
      <c r="J391" s="58">
        <v>0.0</v>
      </c>
      <c r="K391" s="56" t="s">
        <v>2953</v>
      </c>
      <c r="L391" s="59"/>
      <c r="M391" s="56" t="s">
        <v>8810</v>
      </c>
      <c r="N391" s="61" t="s">
        <v>373</v>
      </c>
      <c r="O391" s="58" t="s">
        <v>8811</v>
      </c>
    </row>
    <row r="392" ht="15.0" customHeight="1">
      <c r="A392" s="56" t="s">
        <v>8812</v>
      </c>
      <c r="B392" s="56" t="s">
        <v>8813</v>
      </c>
      <c r="C392" s="57" t="s">
        <v>8814</v>
      </c>
      <c r="D392" s="56" t="s">
        <v>8815</v>
      </c>
      <c r="E392" s="56" t="s">
        <v>368</v>
      </c>
      <c r="F392" s="56" t="s">
        <v>2692</v>
      </c>
      <c r="G392" s="56" t="s">
        <v>2286</v>
      </c>
      <c r="H392" s="56" t="s">
        <v>381</v>
      </c>
      <c r="I392" s="56" t="s">
        <v>368</v>
      </c>
      <c r="J392" s="58">
        <v>0.0</v>
      </c>
      <c r="K392" s="56" t="s">
        <v>2615</v>
      </c>
      <c r="L392" s="59"/>
      <c r="M392" s="56" t="s">
        <v>8816</v>
      </c>
      <c r="N392" s="61" t="s">
        <v>373</v>
      </c>
      <c r="O392" s="58" t="s">
        <v>8817</v>
      </c>
    </row>
    <row r="393" ht="15.0" customHeight="1">
      <c r="A393" s="56" t="s">
        <v>263</v>
      </c>
      <c r="B393" s="56" t="s">
        <v>5565</v>
      </c>
      <c r="C393" s="57" t="s">
        <v>5566</v>
      </c>
      <c r="D393" s="58">
        <v>2.106070565E9</v>
      </c>
      <c r="E393" s="56" t="s">
        <v>368</v>
      </c>
      <c r="F393" s="56" t="s">
        <v>8818</v>
      </c>
      <c r="G393" s="56" t="s">
        <v>390</v>
      </c>
      <c r="H393" s="56" t="s">
        <v>7392</v>
      </c>
      <c r="I393" s="56" t="s">
        <v>368</v>
      </c>
      <c r="J393" s="58">
        <v>0.0</v>
      </c>
      <c r="K393" s="56" t="s">
        <v>554</v>
      </c>
      <c r="L393" s="59"/>
      <c r="M393" s="56" t="s">
        <v>8819</v>
      </c>
      <c r="N393" s="61" t="s">
        <v>373</v>
      </c>
      <c r="O393" s="58" t="s">
        <v>7887</v>
      </c>
    </row>
    <row r="394" ht="15.0" customHeight="1">
      <c r="A394" s="56" t="s">
        <v>8820</v>
      </c>
      <c r="B394" s="56" t="s">
        <v>8821</v>
      </c>
      <c r="C394" s="57" t="s">
        <v>8822</v>
      </c>
      <c r="D394" s="58">
        <v>3.616760306E9</v>
      </c>
      <c r="E394" s="56" t="s">
        <v>368</v>
      </c>
      <c r="F394" s="56" t="s">
        <v>2286</v>
      </c>
      <c r="G394" s="56" t="s">
        <v>2286</v>
      </c>
      <c r="H394" s="56" t="s">
        <v>7392</v>
      </c>
      <c r="I394" s="56" t="s">
        <v>368</v>
      </c>
      <c r="J394" s="58">
        <v>0.0</v>
      </c>
      <c r="K394" s="56" t="s">
        <v>4614</v>
      </c>
      <c r="L394" s="59"/>
      <c r="M394" s="56" t="s">
        <v>8823</v>
      </c>
      <c r="N394" s="61" t="s">
        <v>373</v>
      </c>
      <c r="O394" s="58" t="s">
        <v>8666</v>
      </c>
    </row>
    <row r="395" ht="15.0" customHeight="1">
      <c r="A395" s="56" t="s">
        <v>8824</v>
      </c>
      <c r="B395" s="56" t="s">
        <v>8825</v>
      </c>
      <c r="C395" s="57" t="s">
        <v>8826</v>
      </c>
      <c r="D395" s="56" t="s">
        <v>8827</v>
      </c>
      <c r="E395" s="56" t="s">
        <v>368</v>
      </c>
      <c r="F395" s="56" t="s">
        <v>8828</v>
      </c>
      <c r="G395" s="56" t="s">
        <v>390</v>
      </c>
      <c r="H395" s="56" t="s">
        <v>7403</v>
      </c>
      <c r="I395" s="56" t="s">
        <v>368</v>
      </c>
      <c r="J395" s="58">
        <v>0.0</v>
      </c>
      <c r="K395" s="56" t="s">
        <v>547</v>
      </c>
      <c r="L395" s="59"/>
      <c r="M395" s="56" t="s">
        <v>8829</v>
      </c>
      <c r="N395" s="61" t="s">
        <v>373</v>
      </c>
      <c r="O395" s="58" t="s">
        <v>8830</v>
      </c>
    </row>
    <row r="396" ht="15.0" customHeight="1">
      <c r="A396" s="56" t="s">
        <v>264</v>
      </c>
      <c r="B396" s="56" t="s">
        <v>7196</v>
      </c>
      <c r="C396" s="57" t="s">
        <v>7197</v>
      </c>
      <c r="D396" s="56" t="s">
        <v>7198</v>
      </c>
      <c r="E396" s="56" t="s">
        <v>368</v>
      </c>
      <c r="F396" s="56" t="s">
        <v>8831</v>
      </c>
      <c r="G396" s="56" t="s">
        <v>421</v>
      </c>
      <c r="H396" s="56" t="s">
        <v>7392</v>
      </c>
      <c r="I396" s="56" t="s">
        <v>368</v>
      </c>
      <c r="J396" s="58">
        <v>5.0</v>
      </c>
      <c r="K396" s="56" t="s">
        <v>2095</v>
      </c>
      <c r="L396" s="59"/>
      <c r="M396" s="56" t="s">
        <v>8832</v>
      </c>
      <c r="N396" s="61" t="s">
        <v>373</v>
      </c>
      <c r="O396" s="58" t="s">
        <v>8209</v>
      </c>
    </row>
    <row r="397" ht="15.0" customHeight="1">
      <c r="A397" s="56" t="s">
        <v>8833</v>
      </c>
      <c r="B397" s="56" t="s">
        <v>8834</v>
      </c>
      <c r="C397" s="57" t="s">
        <v>8835</v>
      </c>
      <c r="D397" s="56" t="s">
        <v>8836</v>
      </c>
      <c r="E397" s="56" t="s">
        <v>368</v>
      </c>
      <c r="F397" s="56" t="s">
        <v>2504</v>
      </c>
      <c r="G397" s="56" t="s">
        <v>2286</v>
      </c>
      <c r="H397" s="56" t="s">
        <v>7392</v>
      </c>
      <c r="I397" s="56" t="s">
        <v>368</v>
      </c>
      <c r="J397" s="58">
        <v>0.0</v>
      </c>
      <c r="K397" s="59"/>
      <c r="L397" s="59"/>
      <c r="M397" s="56" t="s">
        <v>7899</v>
      </c>
      <c r="N397" s="61" t="s">
        <v>394</v>
      </c>
      <c r="O397" s="58" t="s">
        <v>8837</v>
      </c>
    </row>
    <row r="398" ht="15.0" customHeight="1">
      <c r="A398" s="56" t="s">
        <v>7200</v>
      </c>
      <c r="B398" s="56" t="s">
        <v>7201</v>
      </c>
      <c r="C398" s="57" t="s">
        <v>7202</v>
      </c>
      <c r="D398" s="56" t="s">
        <v>7203</v>
      </c>
      <c r="E398" s="56" t="s">
        <v>368</v>
      </c>
      <c r="F398" s="56" t="s">
        <v>3333</v>
      </c>
      <c r="G398" s="56" t="s">
        <v>390</v>
      </c>
      <c r="H398" s="56" t="s">
        <v>7392</v>
      </c>
      <c r="I398" s="56" t="s">
        <v>368</v>
      </c>
      <c r="J398" s="58">
        <v>0.0</v>
      </c>
      <c r="K398" s="56" t="s">
        <v>3173</v>
      </c>
      <c r="L398" s="59"/>
      <c r="M398" s="56" t="s">
        <v>8838</v>
      </c>
      <c r="N398" s="61" t="s">
        <v>373</v>
      </c>
      <c r="O398" s="58" t="s">
        <v>8839</v>
      </c>
    </row>
    <row r="399" ht="15.0" customHeight="1">
      <c r="A399" s="56" t="s">
        <v>265</v>
      </c>
      <c r="B399" s="56" t="s">
        <v>5575</v>
      </c>
      <c r="C399" s="57" t="s">
        <v>5576</v>
      </c>
      <c r="D399" s="58">
        <v>2.102325746E9</v>
      </c>
      <c r="E399" s="56" t="s">
        <v>368</v>
      </c>
      <c r="F399" s="56" t="s">
        <v>8840</v>
      </c>
      <c r="G399" s="56" t="s">
        <v>362</v>
      </c>
      <c r="H399" s="56" t="s">
        <v>381</v>
      </c>
      <c r="I399" s="56" t="s">
        <v>368</v>
      </c>
      <c r="J399" s="58">
        <v>0.0</v>
      </c>
      <c r="K399" s="56" t="s">
        <v>1984</v>
      </c>
      <c r="L399" s="59"/>
      <c r="M399" s="56" t="s">
        <v>8841</v>
      </c>
      <c r="N399" s="61" t="s">
        <v>373</v>
      </c>
      <c r="O399" s="58" t="s">
        <v>8842</v>
      </c>
    </row>
    <row r="400" ht="15.0" customHeight="1">
      <c r="A400" s="56" t="s">
        <v>266</v>
      </c>
      <c r="B400" s="56" t="s">
        <v>5578</v>
      </c>
      <c r="C400" s="57" t="s">
        <v>5579</v>
      </c>
      <c r="D400" s="56" t="s">
        <v>5580</v>
      </c>
      <c r="E400" s="56" t="s">
        <v>368</v>
      </c>
      <c r="F400" s="56" t="s">
        <v>2938</v>
      </c>
      <c r="G400" s="56" t="s">
        <v>452</v>
      </c>
      <c r="H400" s="56" t="s">
        <v>483</v>
      </c>
      <c r="I400" s="56" t="s">
        <v>368</v>
      </c>
      <c r="J400" s="58">
        <v>0.0</v>
      </c>
      <c r="K400" s="56" t="s">
        <v>1268</v>
      </c>
      <c r="L400" s="59"/>
      <c r="M400" s="56" t="s">
        <v>8843</v>
      </c>
      <c r="N400" s="61" t="s">
        <v>373</v>
      </c>
      <c r="O400" s="58" t="s">
        <v>8844</v>
      </c>
    </row>
    <row r="401" ht="15.0" customHeight="1">
      <c r="A401" s="56" t="s">
        <v>267</v>
      </c>
      <c r="B401" s="56" t="s">
        <v>267</v>
      </c>
      <c r="C401" s="57" t="s">
        <v>4314</v>
      </c>
      <c r="D401" s="56" t="s">
        <v>5582</v>
      </c>
      <c r="E401" s="56" t="s">
        <v>368</v>
      </c>
      <c r="F401" s="56" t="s">
        <v>2286</v>
      </c>
      <c r="G401" s="56" t="s">
        <v>2286</v>
      </c>
      <c r="H401" s="56" t="s">
        <v>7392</v>
      </c>
      <c r="I401" s="56" t="s">
        <v>368</v>
      </c>
      <c r="J401" s="58">
        <v>0.0</v>
      </c>
      <c r="K401" s="56" t="s">
        <v>2438</v>
      </c>
      <c r="L401" s="59"/>
      <c r="M401" s="56" t="s">
        <v>8845</v>
      </c>
      <c r="N401" s="61" t="s">
        <v>373</v>
      </c>
      <c r="O401" s="58" t="s">
        <v>8623</v>
      </c>
    </row>
    <row r="402" ht="15.0" customHeight="1">
      <c r="A402" s="56" t="s">
        <v>268</v>
      </c>
      <c r="B402" s="56" t="s">
        <v>2098</v>
      </c>
      <c r="C402" s="57" t="s">
        <v>2099</v>
      </c>
      <c r="D402" s="56" t="s">
        <v>8846</v>
      </c>
      <c r="E402" s="56" t="s">
        <v>368</v>
      </c>
      <c r="F402" s="56" t="s">
        <v>8847</v>
      </c>
      <c r="G402" s="56" t="s">
        <v>452</v>
      </c>
      <c r="H402" s="56" t="s">
        <v>7403</v>
      </c>
      <c r="I402" s="56" t="s">
        <v>368</v>
      </c>
      <c r="J402" s="58">
        <v>0.0</v>
      </c>
      <c r="K402" s="56" t="s">
        <v>3064</v>
      </c>
      <c r="L402" s="59"/>
      <c r="M402" s="56" t="s">
        <v>8848</v>
      </c>
      <c r="N402" s="61" t="s">
        <v>373</v>
      </c>
      <c r="O402" s="58" t="s">
        <v>8205</v>
      </c>
    </row>
    <row r="403" ht="15.0" customHeight="1">
      <c r="A403" s="56" t="s">
        <v>269</v>
      </c>
      <c r="B403" s="56" t="s">
        <v>2110</v>
      </c>
      <c r="C403" s="57" t="s">
        <v>2111</v>
      </c>
      <c r="D403" s="58">
        <v>8.173710502E9</v>
      </c>
      <c r="E403" s="56" t="s">
        <v>368</v>
      </c>
      <c r="F403" s="56" t="s">
        <v>3414</v>
      </c>
      <c r="G403" s="56" t="s">
        <v>390</v>
      </c>
      <c r="H403" s="56" t="s">
        <v>7392</v>
      </c>
      <c r="I403" s="56" t="s">
        <v>423</v>
      </c>
      <c r="J403" s="58">
        <v>0.0</v>
      </c>
      <c r="K403" s="56" t="s">
        <v>4779</v>
      </c>
      <c r="L403" s="59"/>
      <c r="M403" s="56" t="s">
        <v>8849</v>
      </c>
      <c r="N403" s="61" t="s">
        <v>373</v>
      </c>
      <c r="O403" s="58" t="s">
        <v>7551</v>
      </c>
    </row>
    <row r="404" ht="15.0" customHeight="1">
      <c r="A404" s="56" t="s">
        <v>7237</v>
      </c>
      <c r="B404" s="56" t="s">
        <v>7238</v>
      </c>
      <c r="C404" s="57" t="s">
        <v>7239</v>
      </c>
      <c r="D404" s="56" t="s">
        <v>7240</v>
      </c>
      <c r="E404" s="56" t="s">
        <v>368</v>
      </c>
      <c r="F404" s="56" t="s">
        <v>2286</v>
      </c>
      <c r="G404" s="56" t="s">
        <v>2286</v>
      </c>
      <c r="H404" s="56" t="s">
        <v>7392</v>
      </c>
      <c r="I404" s="56" t="s">
        <v>368</v>
      </c>
      <c r="J404" s="58">
        <v>0.0</v>
      </c>
      <c r="K404" s="56" t="s">
        <v>4695</v>
      </c>
      <c r="L404" s="59"/>
      <c r="M404" s="56" t="s">
        <v>8850</v>
      </c>
      <c r="N404" s="61" t="s">
        <v>373</v>
      </c>
      <c r="O404" s="58" t="s">
        <v>8103</v>
      </c>
    </row>
    <row r="405" ht="15.0" customHeight="1">
      <c r="A405" s="56" t="s">
        <v>270</v>
      </c>
      <c r="B405" s="56" t="s">
        <v>4346</v>
      </c>
      <c r="C405" s="57" t="s">
        <v>4347</v>
      </c>
      <c r="D405" s="56" t="s">
        <v>5600</v>
      </c>
      <c r="E405" s="56" t="s">
        <v>368</v>
      </c>
      <c r="F405" s="56" t="s">
        <v>2287</v>
      </c>
      <c r="G405" s="56" t="s">
        <v>2286</v>
      </c>
      <c r="H405" s="56" t="s">
        <v>7392</v>
      </c>
      <c r="I405" s="56" t="s">
        <v>368</v>
      </c>
      <c r="J405" s="58">
        <v>0.0</v>
      </c>
      <c r="K405" s="56" t="s">
        <v>3112</v>
      </c>
      <c r="L405" s="59"/>
      <c r="M405" s="56" t="s">
        <v>8851</v>
      </c>
      <c r="N405" s="61" t="s">
        <v>373</v>
      </c>
      <c r="O405" s="58" t="s">
        <v>8852</v>
      </c>
    </row>
    <row r="406" ht="15.0" customHeight="1">
      <c r="A406" s="56" t="s">
        <v>5602</v>
      </c>
      <c r="B406" s="56" t="s">
        <v>5603</v>
      </c>
      <c r="C406" s="57" t="s">
        <v>5604</v>
      </c>
      <c r="D406" s="58">
        <v>8.064331494E9</v>
      </c>
      <c r="E406" s="56" t="s">
        <v>368</v>
      </c>
      <c r="F406" s="56" t="s">
        <v>8853</v>
      </c>
      <c r="G406" s="56" t="s">
        <v>362</v>
      </c>
      <c r="H406" s="56" t="s">
        <v>7392</v>
      </c>
      <c r="I406" s="56" t="s">
        <v>368</v>
      </c>
      <c r="J406" s="58">
        <v>0.0</v>
      </c>
      <c r="K406" s="56" t="s">
        <v>3270</v>
      </c>
      <c r="L406" s="59"/>
      <c r="M406" s="56" t="s">
        <v>8854</v>
      </c>
      <c r="N406" s="61" t="s">
        <v>373</v>
      </c>
      <c r="O406" s="58" t="s">
        <v>8855</v>
      </c>
    </row>
    <row r="407" ht="15.0" customHeight="1">
      <c r="A407" s="56" t="s">
        <v>271</v>
      </c>
      <c r="B407" s="56" t="s">
        <v>8856</v>
      </c>
      <c r="C407" s="57" t="s">
        <v>8857</v>
      </c>
      <c r="D407" s="56" t="s">
        <v>8858</v>
      </c>
      <c r="E407" s="56" t="s">
        <v>368</v>
      </c>
      <c r="F407" s="56" t="s">
        <v>3384</v>
      </c>
      <c r="G407" s="56" t="s">
        <v>410</v>
      </c>
      <c r="H407" s="56" t="s">
        <v>7643</v>
      </c>
      <c r="I407" s="56" t="s">
        <v>423</v>
      </c>
      <c r="J407" s="58">
        <v>5.0</v>
      </c>
      <c r="K407" s="56" t="s">
        <v>6455</v>
      </c>
      <c r="L407" s="59"/>
      <c r="M407" s="56" t="s">
        <v>8859</v>
      </c>
      <c r="N407" s="61" t="s">
        <v>373</v>
      </c>
      <c r="O407" s="58" t="s">
        <v>8860</v>
      </c>
    </row>
    <row r="408" ht="15.0" customHeight="1">
      <c r="A408" s="56" t="s">
        <v>8861</v>
      </c>
      <c r="B408" s="56" t="s">
        <v>8862</v>
      </c>
      <c r="C408" s="57" t="s">
        <v>8863</v>
      </c>
      <c r="D408" s="58">
        <v>9.038410064E9</v>
      </c>
      <c r="E408" s="56" t="s">
        <v>368</v>
      </c>
      <c r="F408" s="56" t="s">
        <v>8864</v>
      </c>
      <c r="G408" s="56" t="s">
        <v>2291</v>
      </c>
      <c r="H408" s="56" t="s">
        <v>7392</v>
      </c>
      <c r="I408" s="56" t="s">
        <v>368</v>
      </c>
      <c r="J408" s="58">
        <v>0.0</v>
      </c>
      <c r="K408" s="56" t="s">
        <v>1349</v>
      </c>
      <c r="L408" s="59"/>
      <c r="M408" s="56" t="s">
        <v>8865</v>
      </c>
      <c r="N408" s="61" t="s">
        <v>373</v>
      </c>
      <c r="O408" s="58" t="s">
        <v>8866</v>
      </c>
    </row>
    <row r="409" ht="15.0" customHeight="1">
      <c r="A409" s="56" t="s">
        <v>7263</v>
      </c>
      <c r="B409" s="56" t="s">
        <v>8867</v>
      </c>
      <c r="C409" s="57" t="s">
        <v>8868</v>
      </c>
      <c r="D409" s="58">
        <v>2.022858334E9</v>
      </c>
      <c r="E409" s="56" t="s">
        <v>368</v>
      </c>
      <c r="F409" s="56" t="s">
        <v>8869</v>
      </c>
      <c r="G409" s="56" t="s">
        <v>1598</v>
      </c>
      <c r="H409" s="56" t="s">
        <v>381</v>
      </c>
      <c r="I409" s="56" t="s">
        <v>423</v>
      </c>
      <c r="J409" s="58">
        <v>0.0</v>
      </c>
      <c r="K409" s="56" t="s">
        <v>3240</v>
      </c>
      <c r="L409" s="59"/>
      <c r="M409" s="56" t="s">
        <v>7750</v>
      </c>
      <c r="N409" s="61" t="s">
        <v>394</v>
      </c>
      <c r="O409" s="58" t="s">
        <v>8870</v>
      </c>
    </row>
    <row r="410" ht="15.0" customHeight="1">
      <c r="A410" s="56" t="s">
        <v>272</v>
      </c>
      <c r="B410" s="56" t="s">
        <v>2143</v>
      </c>
      <c r="C410" s="57" t="s">
        <v>2144</v>
      </c>
      <c r="D410" s="56" t="s">
        <v>5614</v>
      </c>
      <c r="E410" s="56" t="s">
        <v>368</v>
      </c>
      <c r="F410" s="56" t="s">
        <v>3631</v>
      </c>
      <c r="G410" s="56" t="s">
        <v>2291</v>
      </c>
      <c r="H410" s="56" t="s">
        <v>381</v>
      </c>
      <c r="I410" s="56" t="s">
        <v>368</v>
      </c>
      <c r="J410" s="58">
        <v>0.0</v>
      </c>
      <c r="K410" s="56" t="s">
        <v>2016</v>
      </c>
      <c r="L410" s="59"/>
      <c r="M410" s="56" t="s">
        <v>8871</v>
      </c>
      <c r="N410" s="61" t="s">
        <v>373</v>
      </c>
      <c r="O410" s="58" t="s">
        <v>8872</v>
      </c>
    </row>
    <row r="411" ht="15.0" customHeight="1">
      <c r="A411" s="56" t="s">
        <v>273</v>
      </c>
      <c r="B411" s="56" t="s">
        <v>5628</v>
      </c>
      <c r="C411" s="57" t="s">
        <v>5629</v>
      </c>
      <c r="D411" s="56" t="s">
        <v>5630</v>
      </c>
      <c r="E411" s="56" t="s">
        <v>368</v>
      </c>
      <c r="F411" s="56" t="s">
        <v>8873</v>
      </c>
      <c r="G411" s="56" t="s">
        <v>2286</v>
      </c>
      <c r="H411" s="56" t="s">
        <v>381</v>
      </c>
      <c r="I411" s="56" t="s">
        <v>368</v>
      </c>
      <c r="J411" s="58">
        <v>0.0</v>
      </c>
      <c r="K411" s="56" t="s">
        <v>8874</v>
      </c>
      <c r="L411" s="59"/>
      <c r="M411" s="56" t="s">
        <v>8875</v>
      </c>
      <c r="N411" s="61" t="s">
        <v>373</v>
      </c>
      <c r="O411" s="58" t="s">
        <v>8876</v>
      </c>
    </row>
    <row r="412" ht="15.0" customHeight="1">
      <c r="A412" s="56" t="s">
        <v>274</v>
      </c>
      <c r="B412" s="56" t="s">
        <v>7287</v>
      </c>
      <c r="C412" s="57" t="s">
        <v>7288</v>
      </c>
      <c r="D412" s="56" t="s">
        <v>7289</v>
      </c>
      <c r="E412" s="56" t="s">
        <v>368</v>
      </c>
      <c r="F412" s="56" t="s">
        <v>2975</v>
      </c>
      <c r="G412" s="56" t="s">
        <v>5715</v>
      </c>
      <c r="H412" s="56" t="s">
        <v>7392</v>
      </c>
      <c r="I412" s="56" t="s">
        <v>368</v>
      </c>
      <c r="J412" s="58">
        <v>0.0</v>
      </c>
      <c r="K412" s="56" t="s">
        <v>5483</v>
      </c>
      <c r="L412" s="59"/>
      <c r="M412" s="56" t="s">
        <v>8877</v>
      </c>
      <c r="N412" s="61" t="s">
        <v>373</v>
      </c>
      <c r="O412" s="58" t="s">
        <v>8878</v>
      </c>
    </row>
    <row r="413" ht="15.0" customHeight="1">
      <c r="A413" s="56" t="s">
        <v>7291</v>
      </c>
      <c r="B413" s="56" t="s">
        <v>8879</v>
      </c>
      <c r="C413" s="57" t="s">
        <v>8880</v>
      </c>
      <c r="D413" s="58">
        <v>8.325259892E9</v>
      </c>
      <c r="E413" s="56" t="s">
        <v>368</v>
      </c>
      <c r="F413" s="56" t="s">
        <v>2985</v>
      </c>
      <c r="G413" s="56" t="s">
        <v>1553</v>
      </c>
      <c r="H413" s="56" t="s">
        <v>7392</v>
      </c>
      <c r="I413" s="56" t="s">
        <v>423</v>
      </c>
      <c r="J413" s="58">
        <v>1.0</v>
      </c>
      <c r="K413" s="56" t="s">
        <v>1152</v>
      </c>
      <c r="L413" s="59"/>
      <c r="M413" s="56" t="s">
        <v>8881</v>
      </c>
      <c r="N413" s="61" t="s">
        <v>373</v>
      </c>
      <c r="O413" s="58" t="s">
        <v>8882</v>
      </c>
    </row>
    <row r="414" ht="15.0" customHeight="1">
      <c r="A414" s="56" t="s">
        <v>275</v>
      </c>
      <c r="B414" s="56" t="s">
        <v>8883</v>
      </c>
      <c r="C414" s="57" t="s">
        <v>7297</v>
      </c>
      <c r="D414" s="56" t="s">
        <v>8884</v>
      </c>
      <c r="E414" s="56" t="s">
        <v>368</v>
      </c>
      <c r="F414" s="56" t="s">
        <v>2975</v>
      </c>
      <c r="G414" s="56" t="s">
        <v>362</v>
      </c>
      <c r="H414" s="56" t="s">
        <v>7392</v>
      </c>
      <c r="I414" s="56" t="s">
        <v>368</v>
      </c>
      <c r="J414" s="58">
        <v>0.0</v>
      </c>
      <c r="K414" s="56" t="s">
        <v>19</v>
      </c>
      <c r="L414" s="59"/>
      <c r="M414" s="56" t="s">
        <v>8885</v>
      </c>
      <c r="N414" s="61" t="s">
        <v>373</v>
      </c>
      <c r="O414" s="58" t="s">
        <v>8886</v>
      </c>
    </row>
    <row r="415" ht="15.0" customHeight="1">
      <c r="A415" s="56" t="s">
        <v>8887</v>
      </c>
      <c r="B415" s="56" t="s">
        <v>8888</v>
      </c>
      <c r="C415" s="57" t="s">
        <v>8889</v>
      </c>
      <c r="D415" s="58">
        <v>7.142573719E9</v>
      </c>
      <c r="E415" s="56" t="s">
        <v>368</v>
      </c>
      <c r="F415" s="56" t="s">
        <v>8890</v>
      </c>
      <c r="G415" s="56" t="s">
        <v>2291</v>
      </c>
      <c r="H415" s="56" t="s">
        <v>381</v>
      </c>
      <c r="I415" s="56" t="s">
        <v>423</v>
      </c>
      <c r="J415" s="58">
        <v>3.0</v>
      </c>
      <c r="K415" s="56" t="s">
        <v>5125</v>
      </c>
      <c r="L415" s="59"/>
      <c r="M415" s="56" t="s">
        <v>8891</v>
      </c>
      <c r="N415" s="61" t="s">
        <v>373</v>
      </c>
      <c r="O415" s="58" t="s">
        <v>8892</v>
      </c>
    </row>
    <row r="416" ht="15.0" customHeight="1">
      <c r="A416" s="56" t="s">
        <v>276</v>
      </c>
      <c r="B416" s="56" t="s">
        <v>8893</v>
      </c>
      <c r="C416" s="57" t="s">
        <v>8894</v>
      </c>
      <c r="D416" s="56" t="s">
        <v>8895</v>
      </c>
      <c r="E416" s="56" t="s">
        <v>368</v>
      </c>
      <c r="F416" s="56" t="s">
        <v>8896</v>
      </c>
      <c r="G416" s="56" t="s">
        <v>410</v>
      </c>
      <c r="H416" s="56" t="s">
        <v>381</v>
      </c>
      <c r="I416" s="56" t="s">
        <v>368</v>
      </c>
      <c r="J416" s="58">
        <v>0.0</v>
      </c>
      <c r="K416" s="56" t="s">
        <v>521</v>
      </c>
      <c r="L416" s="59"/>
      <c r="M416" s="56" t="s">
        <v>8897</v>
      </c>
      <c r="N416" s="61" t="s">
        <v>373</v>
      </c>
      <c r="O416" s="58" t="s">
        <v>8898</v>
      </c>
    </row>
    <row r="417" ht="15.0" customHeight="1">
      <c r="A417" s="56" t="s">
        <v>277</v>
      </c>
      <c r="B417" s="56" t="s">
        <v>4405</v>
      </c>
      <c r="C417" s="57" t="s">
        <v>4406</v>
      </c>
      <c r="D417" s="56" t="s">
        <v>5649</v>
      </c>
      <c r="E417" s="56" t="s">
        <v>368</v>
      </c>
      <c r="F417" s="56" t="s">
        <v>5650</v>
      </c>
      <c r="G417" s="56" t="s">
        <v>5715</v>
      </c>
      <c r="H417" s="56" t="s">
        <v>7392</v>
      </c>
      <c r="I417" s="56" t="s">
        <v>368</v>
      </c>
      <c r="J417" s="58">
        <v>0.0</v>
      </c>
      <c r="K417" s="56" t="s">
        <v>3992</v>
      </c>
      <c r="L417" s="59"/>
      <c r="M417" s="56" t="s">
        <v>8899</v>
      </c>
      <c r="N417" s="61" t="s">
        <v>373</v>
      </c>
      <c r="O417" s="58" t="s">
        <v>8900</v>
      </c>
    </row>
    <row r="418" ht="15.0" customHeight="1">
      <c r="A418" s="56" t="s">
        <v>5660</v>
      </c>
      <c r="B418" s="56" t="s">
        <v>5661</v>
      </c>
      <c r="C418" s="57" t="s">
        <v>5662</v>
      </c>
      <c r="D418" s="58">
        <v>7.137820042E9</v>
      </c>
      <c r="E418" s="56" t="s">
        <v>368</v>
      </c>
      <c r="F418" s="56" t="s">
        <v>2286</v>
      </c>
      <c r="G418" s="56" t="s">
        <v>2286</v>
      </c>
      <c r="H418" s="56" t="s">
        <v>7392</v>
      </c>
      <c r="I418" s="56" t="s">
        <v>368</v>
      </c>
      <c r="J418" s="58">
        <v>0.0</v>
      </c>
      <c r="K418" s="56" t="s">
        <v>1365</v>
      </c>
      <c r="L418" s="59"/>
      <c r="M418" s="56" t="s">
        <v>8901</v>
      </c>
      <c r="N418" s="61" t="s">
        <v>373</v>
      </c>
      <c r="O418" s="58" t="s">
        <v>8902</v>
      </c>
    </row>
    <row r="419" ht="15.0" customHeight="1">
      <c r="A419" s="56" t="s">
        <v>8903</v>
      </c>
      <c r="B419" s="56" t="s">
        <v>8904</v>
      </c>
      <c r="C419" s="57" t="s">
        <v>8905</v>
      </c>
      <c r="D419" s="56" t="s">
        <v>8906</v>
      </c>
      <c r="E419" s="56" t="s">
        <v>368</v>
      </c>
      <c r="F419" s="56" t="s">
        <v>8907</v>
      </c>
      <c r="G419" s="56" t="s">
        <v>390</v>
      </c>
      <c r="H419" s="56" t="s">
        <v>381</v>
      </c>
      <c r="I419" s="56" t="s">
        <v>368</v>
      </c>
      <c r="J419" s="58">
        <v>0.0</v>
      </c>
      <c r="K419" s="56" t="s">
        <v>3530</v>
      </c>
      <c r="L419" s="59"/>
      <c r="M419" s="56" t="s">
        <v>8908</v>
      </c>
      <c r="N419" s="61" t="s">
        <v>373</v>
      </c>
      <c r="O419" s="58" t="s">
        <v>8909</v>
      </c>
    </row>
    <row r="420" ht="15.0" customHeight="1">
      <c r="A420" s="56" t="s">
        <v>278</v>
      </c>
      <c r="B420" s="56" t="s">
        <v>2204</v>
      </c>
      <c r="C420" s="57" t="s">
        <v>2205</v>
      </c>
      <c r="D420" s="58">
        <v>1.2543277113E10</v>
      </c>
      <c r="E420" s="56" t="s">
        <v>368</v>
      </c>
      <c r="F420" s="56" t="s">
        <v>2286</v>
      </c>
      <c r="G420" s="56" t="s">
        <v>2286</v>
      </c>
      <c r="H420" s="56" t="s">
        <v>483</v>
      </c>
      <c r="I420" s="56" t="s">
        <v>423</v>
      </c>
      <c r="J420" s="58">
        <v>2.0</v>
      </c>
      <c r="K420" s="56" t="s">
        <v>4500</v>
      </c>
      <c r="L420" s="59"/>
      <c r="M420" s="56" t="s">
        <v>8910</v>
      </c>
      <c r="N420" s="61" t="s">
        <v>373</v>
      </c>
      <c r="O420" s="58" t="s">
        <v>8911</v>
      </c>
    </row>
    <row r="421" ht="15.0" customHeight="1">
      <c r="A421" s="56" t="s">
        <v>279</v>
      </c>
      <c r="B421" s="56" t="s">
        <v>8912</v>
      </c>
      <c r="C421" s="57" t="s">
        <v>4435</v>
      </c>
      <c r="D421" s="58">
        <v>2.14558372E9</v>
      </c>
      <c r="E421" s="56" t="s">
        <v>368</v>
      </c>
      <c r="F421" s="56" t="s">
        <v>2287</v>
      </c>
      <c r="G421" s="56" t="s">
        <v>2286</v>
      </c>
      <c r="H421" s="56" t="s">
        <v>7392</v>
      </c>
      <c r="I421" s="56" t="s">
        <v>368</v>
      </c>
      <c r="J421" s="58">
        <v>0.0</v>
      </c>
      <c r="K421" s="56" t="s">
        <v>2168</v>
      </c>
      <c r="L421" s="59"/>
      <c r="M421" s="56" t="s">
        <v>8913</v>
      </c>
      <c r="N421" s="61" t="s">
        <v>373</v>
      </c>
      <c r="O421" s="58" t="s">
        <v>8914</v>
      </c>
    </row>
    <row r="422" ht="15.0" customHeight="1">
      <c r="A422" s="56" t="s">
        <v>280</v>
      </c>
      <c r="B422" s="56" t="s">
        <v>5672</v>
      </c>
      <c r="C422" s="57" t="s">
        <v>7324</v>
      </c>
      <c r="D422" s="56" t="s">
        <v>7325</v>
      </c>
      <c r="E422" s="56" t="s">
        <v>368</v>
      </c>
      <c r="F422" s="56" t="s">
        <v>4339</v>
      </c>
      <c r="G422" s="56" t="s">
        <v>2286</v>
      </c>
      <c r="H422" s="56" t="s">
        <v>7439</v>
      </c>
      <c r="I422" s="56" t="s">
        <v>368</v>
      </c>
      <c r="J422" s="58">
        <v>4.0</v>
      </c>
      <c r="K422" s="56" t="s">
        <v>3263</v>
      </c>
      <c r="L422" s="59"/>
      <c r="M422" s="56" t="s">
        <v>8915</v>
      </c>
      <c r="N422" s="61" t="s">
        <v>373</v>
      </c>
      <c r="O422" s="58" t="s">
        <v>8435</v>
      </c>
    </row>
    <row r="423" ht="15.0" customHeight="1">
      <c r="A423" s="56" t="s">
        <v>281</v>
      </c>
      <c r="B423" s="56" t="s">
        <v>2231</v>
      </c>
      <c r="C423" s="57" t="s">
        <v>8916</v>
      </c>
      <c r="D423" s="58">
        <v>8.88937515E9</v>
      </c>
      <c r="E423" s="56" t="s">
        <v>368</v>
      </c>
      <c r="F423" s="56" t="s">
        <v>8917</v>
      </c>
      <c r="G423" s="56" t="s">
        <v>2286</v>
      </c>
      <c r="H423" s="56" t="s">
        <v>7439</v>
      </c>
      <c r="I423" s="56" t="s">
        <v>423</v>
      </c>
      <c r="J423" s="58">
        <v>4.0</v>
      </c>
      <c r="K423" s="56" t="s">
        <v>8918</v>
      </c>
      <c r="L423" s="59"/>
      <c r="M423" s="56" t="s">
        <v>8919</v>
      </c>
      <c r="N423" s="61" t="s">
        <v>373</v>
      </c>
      <c r="O423" s="58" t="s">
        <v>8920</v>
      </c>
    </row>
    <row r="424" ht="15.0" customHeight="1">
      <c r="A424" s="56" t="s">
        <v>2230</v>
      </c>
      <c r="B424" s="56" t="s">
        <v>2231</v>
      </c>
      <c r="C424" s="57" t="s">
        <v>2232</v>
      </c>
      <c r="D424" s="58">
        <v>2.108838247E9</v>
      </c>
      <c r="E424" s="56" t="s">
        <v>368</v>
      </c>
      <c r="F424" s="56" t="s">
        <v>2521</v>
      </c>
      <c r="G424" s="56" t="s">
        <v>2286</v>
      </c>
      <c r="H424" s="56" t="s">
        <v>7643</v>
      </c>
      <c r="I424" s="56" t="s">
        <v>423</v>
      </c>
      <c r="J424" s="58">
        <v>3.0</v>
      </c>
      <c r="K424" s="59"/>
      <c r="L424" s="59"/>
      <c r="M424" s="56" t="s">
        <v>8921</v>
      </c>
      <c r="N424" s="61" t="s">
        <v>394</v>
      </c>
      <c r="O424" s="58" t="s">
        <v>8922</v>
      </c>
    </row>
    <row r="425" ht="15.0" customHeight="1">
      <c r="A425" s="56" t="s">
        <v>282</v>
      </c>
      <c r="B425" s="56" t="s">
        <v>1368</v>
      </c>
      <c r="C425" s="57" t="s">
        <v>8923</v>
      </c>
      <c r="D425" s="56" t="s">
        <v>5680</v>
      </c>
      <c r="E425" s="56" t="s">
        <v>368</v>
      </c>
      <c r="F425" s="56" t="s">
        <v>3968</v>
      </c>
      <c r="G425" s="56" t="s">
        <v>2286</v>
      </c>
      <c r="H425" s="56" t="s">
        <v>7439</v>
      </c>
      <c r="I425" s="56" t="s">
        <v>368</v>
      </c>
      <c r="J425" s="58">
        <v>4.0</v>
      </c>
      <c r="K425" s="56" t="s">
        <v>1488</v>
      </c>
      <c r="L425" s="59"/>
      <c r="M425" s="56" t="s">
        <v>8924</v>
      </c>
      <c r="N425" s="61" t="s">
        <v>373</v>
      </c>
      <c r="O425" s="58" t="s">
        <v>8209</v>
      </c>
    </row>
    <row r="426" ht="15.0" customHeight="1">
      <c r="A426" s="56" t="s">
        <v>8925</v>
      </c>
      <c r="B426" s="56" t="s">
        <v>2251</v>
      </c>
      <c r="C426" s="57" t="s">
        <v>2252</v>
      </c>
      <c r="D426" s="58">
        <v>4.43224154E9</v>
      </c>
      <c r="E426" s="56" t="s">
        <v>368</v>
      </c>
      <c r="F426" s="56" t="s">
        <v>3333</v>
      </c>
      <c r="G426" s="56" t="s">
        <v>2286</v>
      </c>
      <c r="H426" s="56" t="s">
        <v>7392</v>
      </c>
      <c r="I426" s="56" t="s">
        <v>368</v>
      </c>
      <c r="J426" s="58">
        <v>0.0</v>
      </c>
      <c r="K426" s="56" t="s">
        <v>4371</v>
      </c>
      <c r="L426" s="59"/>
      <c r="M426" s="56" t="s">
        <v>8926</v>
      </c>
      <c r="N426" s="61" t="s">
        <v>373</v>
      </c>
      <c r="O426" s="58" t="s">
        <v>8927</v>
      </c>
    </row>
    <row r="427" ht="15.0" customHeight="1">
      <c r="A427" s="56" t="s">
        <v>283</v>
      </c>
      <c r="B427" s="56" t="s">
        <v>8928</v>
      </c>
      <c r="C427" s="57" t="s">
        <v>8929</v>
      </c>
      <c r="D427" s="56" t="s">
        <v>8930</v>
      </c>
      <c r="E427" s="56" t="s">
        <v>368</v>
      </c>
      <c r="F427" s="56" t="s">
        <v>452</v>
      </c>
      <c r="G427" s="56" t="s">
        <v>452</v>
      </c>
      <c r="H427" s="56" t="s">
        <v>7392</v>
      </c>
      <c r="I427" s="56" t="s">
        <v>368</v>
      </c>
      <c r="J427" s="58">
        <v>0.0</v>
      </c>
      <c r="K427" s="56" t="s">
        <v>1536</v>
      </c>
      <c r="L427" s="59"/>
      <c r="M427" s="56" t="s">
        <v>8931</v>
      </c>
      <c r="N427" s="61" t="s">
        <v>373</v>
      </c>
      <c r="O427" s="58" t="s">
        <v>8932</v>
      </c>
    </row>
    <row r="428" ht="15.0" customHeight="1">
      <c r="A428" s="56" t="s">
        <v>284</v>
      </c>
      <c r="B428" s="56" t="s">
        <v>2253</v>
      </c>
      <c r="C428" s="57" t="s">
        <v>5684</v>
      </c>
      <c r="D428" s="58">
        <v>2.818266782E9</v>
      </c>
      <c r="E428" s="56" t="s">
        <v>368</v>
      </c>
      <c r="F428" s="56" t="s">
        <v>8933</v>
      </c>
      <c r="G428" s="56" t="s">
        <v>410</v>
      </c>
      <c r="H428" s="56" t="s">
        <v>7439</v>
      </c>
      <c r="I428" s="56" t="s">
        <v>368</v>
      </c>
      <c r="J428" s="58">
        <v>0.0</v>
      </c>
      <c r="K428" s="56" t="s">
        <v>7749</v>
      </c>
      <c r="L428" s="59"/>
      <c r="M428" s="56" t="s">
        <v>8934</v>
      </c>
      <c r="N428" s="61" t="s">
        <v>373</v>
      </c>
      <c r="O428" s="58" t="s">
        <v>8935</v>
      </c>
    </row>
    <row r="429" ht="15.0" customHeight="1">
      <c r="A429" s="56" t="s">
        <v>285</v>
      </c>
      <c r="B429" s="56" t="s">
        <v>2259</v>
      </c>
      <c r="C429" s="57" t="s">
        <v>2260</v>
      </c>
      <c r="D429" s="56" t="s">
        <v>2261</v>
      </c>
      <c r="E429" s="56" t="s">
        <v>368</v>
      </c>
      <c r="F429" s="56" t="s">
        <v>3077</v>
      </c>
      <c r="G429" s="56" t="s">
        <v>390</v>
      </c>
      <c r="H429" s="56" t="s">
        <v>7403</v>
      </c>
      <c r="I429" s="56" t="s">
        <v>368</v>
      </c>
      <c r="J429" s="58">
        <v>0.0</v>
      </c>
      <c r="K429" s="56" t="s">
        <v>4211</v>
      </c>
      <c r="L429" s="59"/>
      <c r="M429" s="56" t="s">
        <v>8936</v>
      </c>
      <c r="N429" s="61" t="s">
        <v>373</v>
      </c>
      <c r="O429" s="58" t="s">
        <v>8937</v>
      </c>
    </row>
    <row r="430" ht="15.0" customHeight="1">
      <c r="A430" s="56" t="s">
        <v>7364</v>
      </c>
      <c r="B430" s="56" t="s">
        <v>7365</v>
      </c>
      <c r="C430" s="57" t="s">
        <v>8938</v>
      </c>
      <c r="D430" s="56" t="s">
        <v>8939</v>
      </c>
      <c r="E430" s="56" t="s">
        <v>368</v>
      </c>
      <c r="F430" s="56" t="s">
        <v>2286</v>
      </c>
      <c r="G430" s="56" t="s">
        <v>2286</v>
      </c>
      <c r="H430" s="56" t="s">
        <v>7392</v>
      </c>
      <c r="I430" s="56" t="s">
        <v>368</v>
      </c>
      <c r="J430" s="58">
        <v>0.0</v>
      </c>
      <c r="K430" s="56" t="s">
        <v>591</v>
      </c>
      <c r="L430" s="59"/>
      <c r="M430" s="56" t="s">
        <v>8940</v>
      </c>
      <c r="N430" s="61" t="s">
        <v>394</v>
      </c>
      <c r="O430" s="58" t="s">
        <v>8941</v>
      </c>
    </row>
    <row r="431" ht="15.0" customHeight="1">
      <c r="A431" s="56" t="s">
        <v>8942</v>
      </c>
      <c r="B431" s="56" t="s">
        <v>8943</v>
      </c>
      <c r="C431" s="57" t="s">
        <v>8944</v>
      </c>
      <c r="D431" s="58">
        <v>1.7014004728E10</v>
      </c>
      <c r="E431" s="56" t="s">
        <v>368</v>
      </c>
      <c r="F431" s="56" t="s">
        <v>2287</v>
      </c>
      <c r="G431" s="56" t="s">
        <v>2286</v>
      </c>
      <c r="H431" s="56" t="s">
        <v>7392</v>
      </c>
      <c r="I431" s="56" t="s">
        <v>423</v>
      </c>
      <c r="J431" s="58">
        <v>5.0</v>
      </c>
      <c r="K431" s="56" t="s">
        <v>2148</v>
      </c>
      <c r="L431" s="59"/>
      <c r="M431" s="56" t="s">
        <v>8945</v>
      </c>
      <c r="N431" s="61" t="s">
        <v>373</v>
      </c>
      <c r="O431" s="58" t="s">
        <v>8946</v>
      </c>
    </row>
    <row r="432" ht="15.0" customHeight="1">
      <c r="A432" s="56" t="s">
        <v>286</v>
      </c>
      <c r="B432" s="56" t="s">
        <v>8947</v>
      </c>
      <c r="C432" s="57" t="s">
        <v>8948</v>
      </c>
      <c r="D432" s="58">
        <v>2.1458334E9</v>
      </c>
      <c r="E432" s="56" t="s">
        <v>368</v>
      </c>
      <c r="F432" s="56" t="s">
        <v>8949</v>
      </c>
      <c r="G432" s="56" t="s">
        <v>2286</v>
      </c>
      <c r="H432" s="56" t="s">
        <v>7392</v>
      </c>
      <c r="I432" s="56" t="s">
        <v>368</v>
      </c>
      <c r="J432" s="58">
        <v>0.0</v>
      </c>
      <c r="K432" s="56" t="s">
        <v>2546</v>
      </c>
      <c r="L432" s="59"/>
      <c r="M432" s="56" t="s">
        <v>8950</v>
      </c>
      <c r="N432" s="61" t="s">
        <v>373</v>
      </c>
      <c r="O432" s="58" t="s">
        <v>8951</v>
      </c>
    </row>
    <row r="433" ht="15.0" customHeight="1">
      <c r="A433" s="56" t="s">
        <v>287</v>
      </c>
      <c r="B433" s="56" t="s">
        <v>2270</v>
      </c>
      <c r="C433" s="57" t="s">
        <v>2271</v>
      </c>
      <c r="D433" s="56" t="s">
        <v>5696</v>
      </c>
      <c r="E433" s="56" t="s">
        <v>368</v>
      </c>
      <c r="F433" s="56" t="s">
        <v>676</v>
      </c>
      <c r="G433" s="56" t="s">
        <v>675</v>
      </c>
      <c r="H433" s="56" t="s">
        <v>7392</v>
      </c>
      <c r="I433" s="56" t="s">
        <v>368</v>
      </c>
      <c r="J433" s="58">
        <v>0.0</v>
      </c>
      <c r="K433" s="56" t="s">
        <v>3662</v>
      </c>
      <c r="L433" s="59"/>
      <c r="M433" s="56" t="s">
        <v>8952</v>
      </c>
      <c r="N433" s="61" t="s">
        <v>373</v>
      </c>
      <c r="O433" s="58" t="s">
        <v>7595</v>
      </c>
    </row>
    <row r="434" ht="15.0" customHeight="1">
      <c r="A434" s="56" t="s">
        <v>288</v>
      </c>
      <c r="B434" s="56" t="s">
        <v>2276</v>
      </c>
      <c r="C434" s="57" t="s">
        <v>2277</v>
      </c>
      <c r="D434" s="58">
        <v>2.549535353E9</v>
      </c>
      <c r="E434" s="56" t="s">
        <v>368</v>
      </c>
      <c r="F434" s="56" t="s">
        <v>3175</v>
      </c>
      <c r="G434" s="56" t="s">
        <v>2286</v>
      </c>
      <c r="H434" s="56" t="s">
        <v>483</v>
      </c>
      <c r="I434" s="56" t="s">
        <v>368</v>
      </c>
      <c r="J434" s="58">
        <v>0.0</v>
      </c>
      <c r="K434" s="56" t="s">
        <v>4098</v>
      </c>
      <c r="L434" s="59"/>
      <c r="M434" s="56" t="s">
        <v>8953</v>
      </c>
      <c r="N434" s="61" t="s">
        <v>373</v>
      </c>
      <c r="O434" s="58" t="s">
        <v>7442</v>
      </c>
    </row>
    <row r="435" ht="15.0" customHeight="1">
      <c r="A435" s="63" t="s">
        <v>8954</v>
      </c>
      <c r="B435" s="63" t="s">
        <v>8955</v>
      </c>
      <c r="C435" s="53" t="s">
        <v>8956</v>
      </c>
      <c r="D435" s="63" t="s">
        <v>8957</v>
      </c>
      <c r="E435" s="63" t="s">
        <v>368</v>
      </c>
      <c r="F435" s="63" t="s">
        <v>8958</v>
      </c>
      <c r="G435" s="63" t="s">
        <v>452</v>
      </c>
      <c r="H435" s="63" t="s">
        <v>483</v>
      </c>
      <c r="I435" s="63" t="s">
        <v>368</v>
      </c>
      <c r="J435" s="64">
        <v>0.0</v>
      </c>
      <c r="K435" s="63" t="s">
        <v>4254</v>
      </c>
      <c r="L435" s="65"/>
      <c r="M435" s="63" t="s">
        <v>8959</v>
      </c>
      <c r="N435" s="67" t="s">
        <v>373</v>
      </c>
      <c r="O435" s="64" t="s">
        <v>8960</v>
      </c>
    </row>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A$435"/>
  <hyperlinks>
    <hyperlink r:id="rId1" ref="A1"/>
    <hyperlink r:id="rId2" ref="B1"/>
    <hyperlink r:id="rId3" ref="D1"/>
    <hyperlink r:id="rId4" ref="E1"/>
    <hyperlink r:id="rId5" ref="I1"/>
    <hyperlink r:id="rId6" ref="J1"/>
    <hyperlink r:id="rId7" ref="K1"/>
    <hyperlink r:id="rId8" ref="L1"/>
    <hyperlink r:id="rId9" ref="O1"/>
    <hyperlink r:id="rId10" ref="C2"/>
    <hyperlink r:id="rId11" ref="C3"/>
    <hyperlink r:id="rId12" ref="C4"/>
    <hyperlink r:id="rId13" ref="C5"/>
    <hyperlink r:id="rId14" ref="C6"/>
    <hyperlink r:id="rId15" ref="C7"/>
    <hyperlink r:id="rId16" ref="C8"/>
    <hyperlink r:id="rId17" ref="C9"/>
    <hyperlink r:id="rId18" ref="C10"/>
    <hyperlink r:id="rId19" ref="C11"/>
    <hyperlink r:id="rId20" ref="C12"/>
    <hyperlink r:id="rId21" ref="C13"/>
    <hyperlink r:id="rId22" ref="C14"/>
    <hyperlink r:id="rId23" ref="C15"/>
    <hyperlink r:id="rId24" ref="C16"/>
    <hyperlink r:id="rId25" ref="C17"/>
    <hyperlink r:id="rId26" ref="C18"/>
    <hyperlink r:id="rId27" ref="C19"/>
    <hyperlink r:id="rId28" ref="C20"/>
    <hyperlink r:id="rId29" ref="C21"/>
    <hyperlink r:id="rId30" ref="C22"/>
    <hyperlink r:id="rId31" ref="C23"/>
    <hyperlink r:id="rId32" ref="C24"/>
    <hyperlink r:id="rId33" ref="C25"/>
    <hyperlink r:id="rId34" ref="C26"/>
    <hyperlink r:id="rId35" ref="C27"/>
    <hyperlink r:id="rId36" ref="C28"/>
    <hyperlink r:id="rId37" ref="C29"/>
    <hyperlink r:id="rId38" ref="C30"/>
    <hyperlink r:id="rId39" ref="C31"/>
    <hyperlink r:id="rId40" ref="C32"/>
    <hyperlink r:id="rId41" ref="C33"/>
    <hyperlink r:id="rId42" ref="C34"/>
    <hyperlink r:id="rId43" ref="C35"/>
    <hyperlink r:id="rId44" ref="C36"/>
    <hyperlink r:id="rId45" ref="C37"/>
    <hyperlink r:id="rId46" ref="C38"/>
    <hyperlink r:id="rId47" ref="C39"/>
    <hyperlink r:id="rId48" ref="C40"/>
    <hyperlink r:id="rId49" ref="C41"/>
    <hyperlink r:id="rId50" ref="C42"/>
    <hyperlink r:id="rId51" ref="C43"/>
    <hyperlink r:id="rId52" ref="C44"/>
    <hyperlink r:id="rId53" ref="C45"/>
    <hyperlink r:id="rId54" ref="C46"/>
    <hyperlink r:id="rId55" ref="C47"/>
    <hyperlink r:id="rId56" ref="C48"/>
    <hyperlink r:id="rId57" ref="C49"/>
    <hyperlink r:id="rId58" ref="C50"/>
    <hyperlink r:id="rId59" ref="C51"/>
    <hyperlink r:id="rId60" ref="C52"/>
    <hyperlink r:id="rId61" ref="C53"/>
    <hyperlink r:id="rId62" ref="C54"/>
    <hyperlink r:id="rId63" ref="C55"/>
    <hyperlink r:id="rId64" ref="C56"/>
    <hyperlink r:id="rId65" ref="C57"/>
    <hyperlink r:id="rId66" ref="C58"/>
    <hyperlink r:id="rId67" ref="C59"/>
    <hyperlink r:id="rId68" ref="C60"/>
    <hyperlink r:id="rId69" ref="C61"/>
    <hyperlink r:id="rId70" ref="C62"/>
    <hyperlink r:id="rId71" ref="C63"/>
    <hyperlink r:id="rId72" ref="C64"/>
    <hyperlink r:id="rId73" ref="C65"/>
    <hyperlink r:id="rId74" ref="C66"/>
    <hyperlink r:id="rId75" ref="C67"/>
    <hyperlink r:id="rId76" ref="C68"/>
    <hyperlink r:id="rId77" ref="C69"/>
    <hyperlink r:id="rId78" ref="C70"/>
    <hyperlink r:id="rId79" ref="C71"/>
    <hyperlink r:id="rId80" ref="C72"/>
    <hyperlink r:id="rId81" ref="C73"/>
    <hyperlink r:id="rId82" ref="C74"/>
    <hyperlink r:id="rId83" ref="C75"/>
    <hyperlink r:id="rId84" ref="C76"/>
    <hyperlink r:id="rId85" ref="C77"/>
    <hyperlink r:id="rId86" ref="C78"/>
    <hyperlink r:id="rId87" ref="C79"/>
    <hyperlink r:id="rId88" ref="C80"/>
    <hyperlink r:id="rId89" ref="C81"/>
    <hyperlink r:id="rId90" ref="C82"/>
    <hyperlink r:id="rId91" ref="C83"/>
    <hyperlink r:id="rId92" ref="C84"/>
    <hyperlink r:id="rId93" ref="C85"/>
    <hyperlink r:id="rId94" ref="C86"/>
    <hyperlink r:id="rId95" ref="C87"/>
    <hyperlink r:id="rId96" ref="C88"/>
    <hyperlink r:id="rId97" ref="C89"/>
    <hyperlink r:id="rId98" ref="C90"/>
    <hyperlink r:id="rId99" ref="C91"/>
    <hyperlink r:id="rId100" ref="C92"/>
    <hyperlink r:id="rId101" ref="C93"/>
    <hyperlink r:id="rId102" ref="C94"/>
    <hyperlink r:id="rId103" ref="C95"/>
    <hyperlink r:id="rId104" ref="C96"/>
    <hyperlink r:id="rId105" ref="C97"/>
    <hyperlink r:id="rId106" ref="C98"/>
    <hyperlink r:id="rId107" ref="C99"/>
    <hyperlink r:id="rId108" ref="C100"/>
    <hyperlink r:id="rId109" ref="C101"/>
    <hyperlink r:id="rId110" ref="C102"/>
    <hyperlink r:id="rId111" ref="C103"/>
    <hyperlink r:id="rId112" ref="C104"/>
    <hyperlink r:id="rId113" ref="C105"/>
    <hyperlink r:id="rId114" ref="C106"/>
    <hyperlink r:id="rId115" ref="C107"/>
    <hyperlink r:id="rId116" ref="C108"/>
    <hyperlink r:id="rId117" ref="C109"/>
    <hyperlink r:id="rId118" ref="C110"/>
    <hyperlink r:id="rId119" ref="C111"/>
    <hyperlink r:id="rId120" ref="C112"/>
    <hyperlink r:id="rId121" ref="C113"/>
    <hyperlink r:id="rId122" ref="C114"/>
    <hyperlink r:id="rId123" ref="C115"/>
    <hyperlink r:id="rId124" ref="C116"/>
    <hyperlink r:id="rId125" ref="C117"/>
    <hyperlink r:id="rId126" ref="C118"/>
    <hyperlink r:id="rId127" ref="C119"/>
    <hyperlink r:id="rId128" ref="C120"/>
    <hyperlink r:id="rId129" ref="C121"/>
    <hyperlink r:id="rId130" ref="C122"/>
    <hyperlink r:id="rId131" ref="C123"/>
    <hyperlink r:id="rId132" ref="C124"/>
    <hyperlink r:id="rId133" ref="C125"/>
    <hyperlink r:id="rId134" ref="C126"/>
    <hyperlink r:id="rId135" ref="C127"/>
    <hyperlink r:id="rId136" ref="C128"/>
    <hyperlink r:id="rId137" ref="C129"/>
    <hyperlink r:id="rId138" ref="C130"/>
    <hyperlink r:id="rId139" ref="C131"/>
    <hyperlink r:id="rId140" ref="C132"/>
    <hyperlink r:id="rId141" ref="C133"/>
    <hyperlink r:id="rId142" ref="C134"/>
    <hyperlink r:id="rId143" ref="C135"/>
    <hyperlink r:id="rId144" ref="C136"/>
    <hyperlink r:id="rId145" ref="C137"/>
    <hyperlink r:id="rId146" ref="C138"/>
    <hyperlink r:id="rId147" ref="C139"/>
    <hyperlink r:id="rId148" ref="C140"/>
    <hyperlink r:id="rId149" ref="C141"/>
    <hyperlink r:id="rId150" ref="C142"/>
    <hyperlink r:id="rId151" ref="C143"/>
    <hyperlink r:id="rId152" ref="C144"/>
    <hyperlink r:id="rId153" ref="C145"/>
    <hyperlink r:id="rId154" ref="C146"/>
    <hyperlink r:id="rId155" ref="C147"/>
    <hyperlink r:id="rId156" ref="C148"/>
    <hyperlink r:id="rId157" ref="C149"/>
    <hyperlink r:id="rId158" ref="C150"/>
    <hyperlink r:id="rId159" ref="C151"/>
    <hyperlink r:id="rId160" ref="C152"/>
    <hyperlink r:id="rId161" ref="C153"/>
    <hyperlink r:id="rId162" ref="C154"/>
    <hyperlink r:id="rId163" ref="C155"/>
    <hyperlink r:id="rId164" ref="C156"/>
    <hyperlink r:id="rId165" ref="C157"/>
    <hyperlink r:id="rId166" ref="C158"/>
    <hyperlink r:id="rId167" ref="C159"/>
    <hyperlink r:id="rId168" ref="C160"/>
    <hyperlink r:id="rId169" ref="C161"/>
    <hyperlink r:id="rId170" ref="C162"/>
    <hyperlink r:id="rId171" ref="C163"/>
    <hyperlink r:id="rId172" ref="C164"/>
    <hyperlink r:id="rId173" ref="C165"/>
    <hyperlink r:id="rId174" ref="C166"/>
    <hyperlink r:id="rId175" ref="C167"/>
    <hyperlink r:id="rId176" ref="C168"/>
    <hyperlink r:id="rId177" ref="C169"/>
    <hyperlink r:id="rId178" ref="C170"/>
    <hyperlink r:id="rId179" ref="C171"/>
    <hyperlink r:id="rId180" ref="C172"/>
    <hyperlink r:id="rId181" ref="C173"/>
    <hyperlink r:id="rId182" ref="C174"/>
    <hyperlink r:id="rId183" ref="C175"/>
    <hyperlink r:id="rId184" ref="C176"/>
    <hyperlink r:id="rId185" ref="C177"/>
    <hyperlink r:id="rId186" ref="C178"/>
    <hyperlink r:id="rId187" ref="C179"/>
    <hyperlink r:id="rId188" ref="C180"/>
    <hyperlink r:id="rId189" ref="C181"/>
    <hyperlink r:id="rId190" ref="C182"/>
    <hyperlink r:id="rId191" ref="C183"/>
    <hyperlink r:id="rId192" ref="C184"/>
    <hyperlink r:id="rId193" ref="C185"/>
    <hyperlink r:id="rId194" ref="C186"/>
    <hyperlink r:id="rId195" ref="C187"/>
    <hyperlink r:id="rId196" ref="C188"/>
    <hyperlink r:id="rId197" ref="C189"/>
    <hyperlink r:id="rId198" ref="C190"/>
    <hyperlink r:id="rId199" ref="C191"/>
    <hyperlink r:id="rId200" ref="C192"/>
    <hyperlink r:id="rId201" ref="C193"/>
    <hyperlink r:id="rId202" ref="C194"/>
    <hyperlink r:id="rId203" ref="C195"/>
    <hyperlink r:id="rId204" ref="C196"/>
    <hyperlink r:id="rId205" ref="C197"/>
    <hyperlink r:id="rId206" ref="C198"/>
    <hyperlink r:id="rId207" ref="C199"/>
    <hyperlink r:id="rId208" ref="C200"/>
    <hyperlink r:id="rId209" ref="C201"/>
    <hyperlink r:id="rId210" ref="C202"/>
    <hyperlink r:id="rId211" ref="C203"/>
    <hyperlink r:id="rId212" ref="C204"/>
    <hyperlink r:id="rId213" ref="C205"/>
    <hyperlink r:id="rId214" ref="C206"/>
    <hyperlink r:id="rId215" ref="C207"/>
    <hyperlink r:id="rId216" ref="C208"/>
    <hyperlink r:id="rId217" ref="C209"/>
    <hyperlink r:id="rId218" ref="C210"/>
    <hyperlink r:id="rId219" ref="C211"/>
    <hyperlink r:id="rId220" ref="C212"/>
    <hyperlink r:id="rId221" ref="C213"/>
    <hyperlink r:id="rId222" ref="C214"/>
    <hyperlink r:id="rId223" ref="C215"/>
    <hyperlink r:id="rId224" ref="C216"/>
    <hyperlink r:id="rId225" ref="C217"/>
    <hyperlink r:id="rId226" ref="C218"/>
    <hyperlink r:id="rId227" ref="C219"/>
    <hyperlink r:id="rId228" ref="C220"/>
    <hyperlink r:id="rId229" ref="C221"/>
    <hyperlink r:id="rId230" ref="C222"/>
    <hyperlink r:id="rId231" ref="C223"/>
    <hyperlink r:id="rId232" ref="C224"/>
    <hyperlink r:id="rId233" ref="C225"/>
    <hyperlink r:id="rId234" ref="C226"/>
    <hyperlink r:id="rId235" ref="C227"/>
    <hyperlink r:id="rId236" ref="C228"/>
    <hyperlink r:id="rId237" ref="C229"/>
    <hyperlink r:id="rId238" ref="C230"/>
    <hyperlink r:id="rId239" ref="C231"/>
    <hyperlink r:id="rId240" ref="C232"/>
    <hyperlink r:id="rId241" ref="C233"/>
    <hyperlink r:id="rId242" ref="C234"/>
    <hyperlink r:id="rId243" ref="C235"/>
    <hyperlink r:id="rId244" ref="C236"/>
    <hyperlink r:id="rId245" ref="C237"/>
    <hyperlink r:id="rId246" ref="C238"/>
    <hyperlink r:id="rId247" ref="C239"/>
    <hyperlink r:id="rId248" ref="C240"/>
    <hyperlink r:id="rId249" ref="C241"/>
    <hyperlink r:id="rId250" ref="C242"/>
    <hyperlink r:id="rId251" ref="C243"/>
    <hyperlink r:id="rId252" ref="C244"/>
    <hyperlink r:id="rId253" ref="C245"/>
    <hyperlink r:id="rId254" ref="C246"/>
    <hyperlink r:id="rId255" ref="C247"/>
    <hyperlink r:id="rId256" ref="C248"/>
    <hyperlink r:id="rId257" ref="C249"/>
    <hyperlink r:id="rId258" ref="C250"/>
    <hyperlink r:id="rId259" ref="C251"/>
    <hyperlink r:id="rId260" ref="C252"/>
    <hyperlink r:id="rId261" ref="C253"/>
    <hyperlink r:id="rId262" ref="C254"/>
    <hyperlink r:id="rId263" ref="C255"/>
    <hyperlink r:id="rId264" ref="C256"/>
    <hyperlink r:id="rId265" ref="C257"/>
    <hyperlink r:id="rId266" ref="C258"/>
    <hyperlink r:id="rId267" ref="C259"/>
    <hyperlink r:id="rId268" ref="C260"/>
    <hyperlink r:id="rId269" ref="C261"/>
    <hyperlink r:id="rId270" ref="C262"/>
    <hyperlink r:id="rId271" ref="C263"/>
    <hyperlink r:id="rId272" ref="C264"/>
    <hyperlink r:id="rId273" ref="C265"/>
    <hyperlink r:id="rId274" ref="C266"/>
    <hyperlink r:id="rId275" ref="C267"/>
    <hyperlink r:id="rId276" ref="C268"/>
    <hyperlink r:id="rId277" ref="C269"/>
    <hyperlink r:id="rId278" ref="C270"/>
    <hyperlink r:id="rId279" ref="C271"/>
    <hyperlink r:id="rId280" ref="C272"/>
    <hyperlink r:id="rId281" ref="C273"/>
    <hyperlink r:id="rId282" ref="C274"/>
    <hyperlink r:id="rId283" ref="C275"/>
    <hyperlink r:id="rId284" ref="C276"/>
    <hyperlink r:id="rId285" ref="C277"/>
    <hyperlink r:id="rId286" ref="C278"/>
    <hyperlink r:id="rId287" ref="C279"/>
    <hyperlink r:id="rId288" ref="C280"/>
    <hyperlink r:id="rId289" ref="C281"/>
    <hyperlink r:id="rId290" ref="C282"/>
    <hyperlink r:id="rId291" ref="C283"/>
    <hyperlink r:id="rId292" ref="C284"/>
    <hyperlink r:id="rId293" ref="C285"/>
    <hyperlink r:id="rId294" ref="C286"/>
    <hyperlink r:id="rId295" ref="C287"/>
    <hyperlink r:id="rId296" ref="C288"/>
    <hyperlink r:id="rId297" ref="C289"/>
    <hyperlink r:id="rId298" ref="C290"/>
    <hyperlink r:id="rId299" ref="C291"/>
    <hyperlink r:id="rId300" ref="C292"/>
    <hyperlink r:id="rId301" ref="C293"/>
    <hyperlink r:id="rId302" ref="C294"/>
    <hyperlink r:id="rId303" ref="C295"/>
    <hyperlink r:id="rId304" ref="C296"/>
    <hyperlink r:id="rId305" ref="C297"/>
    <hyperlink r:id="rId306" ref="C298"/>
    <hyperlink r:id="rId307" ref="C299"/>
    <hyperlink r:id="rId308" ref="C300"/>
    <hyperlink r:id="rId309" ref="C301"/>
    <hyperlink r:id="rId310" ref="C302"/>
    <hyperlink r:id="rId311" ref="C303"/>
    <hyperlink r:id="rId312" ref="C304"/>
    <hyperlink r:id="rId313" ref="C305"/>
    <hyperlink r:id="rId314" ref="C306"/>
    <hyperlink r:id="rId315" ref="C307"/>
    <hyperlink r:id="rId316" ref="C308"/>
    <hyperlink r:id="rId317" ref="C309"/>
    <hyperlink r:id="rId318" ref="C310"/>
    <hyperlink r:id="rId319" ref="C311"/>
    <hyperlink r:id="rId320" ref="C312"/>
    <hyperlink r:id="rId321" ref="C313"/>
    <hyperlink r:id="rId322" ref="C314"/>
    <hyperlink r:id="rId323" ref="C315"/>
    <hyperlink r:id="rId324" ref="C316"/>
    <hyperlink r:id="rId325" ref="C317"/>
    <hyperlink r:id="rId326" ref="C318"/>
    <hyperlink r:id="rId327" ref="C319"/>
    <hyperlink r:id="rId328" ref="C320"/>
    <hyperlink r:id="rId329" ref="C321"/>
    <hyperlink r:id="rId330" ref="C322"/>
    <hyperlink r:id="rId331" ref="C323"/>
    <hyperlink r:id="rId332" ref="C324"/>
    <hyperlink r:id="rId333" ref="C325"/>
    <hyperlink r:id="rId334" ref="C326"/>
    <hyperlink r:id="rId335" ref="C327"/>
    <hyperlink r:id="rId336" ref="C328"/>
    <hyperlink r:id="rId337" ref="C329"/>
    <hyperlink r:id="rId338" ref="C330"/>
    <hyperlink r:id="rId339" ref="C331"/>
    <hyperlink r:id="rId340" ref="C332"/>
    <hyperlink r:id="rId341" ref="C333"/>
    <hyperlink r:id="rId342" ref="C334"/>
    <hyperlink r:id="rId343" ref="C335"/>
    <hyperlink r:id="rId344" ref="C336"/>
    <hyperlink r:id="rId345" ref="C337"/>
    <hyperlink r:id="rId346" ref="C338"/>
    <hyperlink r:id="rId347" ref="C339"/>
    <hyperlink r:id="rId348" ref="C340"/>
    <hyperlink r:id="rId349" ref="C341"/>
    <hyperlink r:id="rId350" ref="C342"/>
    <hyperlink r:id="rId351" ref="C343"/>
    <hyperlink r:id="rId352" ref="C344"/>
    <hyperlink r:id="rId353" ref="C345"/>
    <hyperlink r:id="rId354" ref="C346"/>
    <hyperlink r:id="rId355" ref="C347"/>
    <hyperlink r:id="rId356" ref="C348"/>
    <hyperlink r:id="rId357" ref="C349"/>
    <hyperlink r:id="rId358" ref="C350"/>
    <hyperlink r:id="rId359" ref="C351"/>
    <hyperlink r:id="rId360" ref="C352"/>
    <hyperlink r:id="rId361" ref="C353"/>
    <hyperlink r:id="rId362" ref="C354"/>
    <hyperlink r:id="rId363" ref="C355"/>
    <hyperlink r:id="rId364" ref="C356"/>
    <hyperlink r:id="rId365" ref="C357"/>
    <hyperlink r:id="rId366" ref="C358"/>
    <hyperlink r:id="rId367" ref="C359"/>
    <hyperlink r:id="rId368" ref="C360"/>
    <hyperlink r:id="rId369" ref="C361"/>
    <hyperlink r:id="rId370" ref="C362"/>
    <hyperlink r:id="rId371" ref="C363"/>
    <hyperlink r:id="rId372" ref="C364"/>
    <hyperlink r:id="rId373" ref="C365"/>
    <hyperlink r:id="rId374" ref="C366"/>
    <hyperlink r:id="rId375" ref="C367"/>
    <hyperlink r:id="rId376" ref="C368"/>
    <hyperlink r:id="rId377" ref="C369"/>
    <hyperlink r:id="rId378" ref="C370"/>
    <hyperlink r:id="rId379" ref="C371"/>
    <hyperlink r:id="rId380" ref="C372"/>
    <hyperlink r:id="rId381" ref="C373"/>
    <hyperlink r:id="rId382" ref="C374"/>
    <hyperlink r:id="rId383" ref="C375"/>
    <hyperlink r:id="rId384" ref="C376"/>
    <hyperlink r:id="rId385" ref="C377"/>
    <hyperlink r:id="rId386" ref="C378"/>
    <hyperlink r:id="rId387" ref="C379"/>
    <hyperlink r:id="rId388" ref="C380"/>
    <hyperlink r:id="rId389" ref="C381"/>
    <hyperlink r:id="rId390" ref="C382"/>
    <hyperlink r:id="rId391" ref="C383"/>
    <hyperlink r:id="rId392" ref="C384"/>
    <hyperlink r:id="rId393" ref="C385"/>
    <hyperlink r:id="rId394" ref="C386"/>
    <hyperlink r:id="rId395" ref="C387"/>
    <hyperlink r:id="rId396" ref="C388"/>
    <hyperlink r:id="rId397" ref="C389"/>
    <hyperlink r:id="rId398" ref="C390"/>
    <hyperlink r:id="rId399" ref="C391"/>
    <hyperlink r:id="rId400" ref="C392"/>
    <hyperlink r:id="rId401" ref="C393"/>
    <hyperlink r:id="rId402" ref="C394"/>
    <hyperlink r:id="rId403" ref="C395"/>
    <hyperlink r:id="rId404" ref="C396"/>
    <hyperlink r:id="rId405" ref="C397"/>
    <hyperlink r:id="rId406" ref="C398"/>
    <hyperlink r:id="rId407" ref="C399"/>
    <hyperlink r:id="rId408" ref="C400"/>
    <hyperlink r:id="rId409" ref="C401"/>
    <hyperlink r:id="rId410" ref="C402"/>
    <hyperlink r:id="rId411" ref="C403"/>
    <hyperlink r:id="rId412" ref="C404"/>
    <hyperlink r:id="rId413" ref="C405"/>
    <hyperlink r:id="rId414" ref="C406"/>
    <hyperlink r:id="rId415" ref="C407"/>
    <hyperlink r:id="rId416" ref="C408"/>
    <hyperlink r:id="rId417" ref="C409"/>
    <hyperlink r:id="rId418" ref="C410"/>
    <hyperlink r:id="rId419" ref="C411"/>
    <hyperlink r:id="rId420" ref="C412"/>
    <hyperlink r:id="rId421" ref="C413"/>
    <hyperlink r:id="rId422" ref="C414"/>
    <hyperlink r:id="rId423" ref="C415"/>
    <hyperlink r:id="rId424" ref="C416"/>
    <hyperlink r:id="rId425" ref="C417"/>
    <hyperlink r:id="rId426" ref="C418"/>
    <hyperlink r:id="rId427" ref="C419"/>
    <hyperlink r:id="rId428" ref="C420"/>
    <hyperlink r:id="rId429" ref="C421"/>
    <hyperlink r:id="rId430" ref="C422"/>
    <hyperlink r:id="rId431" ref="C423"/>
    <hyperlink r:id="rId432" ref="C424"/>
    <hyperlink r:id="rId433" ref="C425"/>
    <hyperlink r:id="rId434" ref="C426"/>
    <hyperlink r:id="rId435" ref="C427"/>
    <hyperlink r:id="rId436" ref="C428"/>
    <hyperlink r:id="rId437" ref="C429"/>
    <hyperlink r:id="rId438" ref="C430"/>
    <hyperlink r:id="rId439" ref="C431"/>
    <hyperlink r:id="rId440" ref="C432"/>
    <hyperlink r:id="rId441" ref="C433"/>
    <hyperlink r:id="rId442" ref="C434"/>
    <hyperlink r:id="rId443" ref="C435"/>
  </hyperlinks>
  <printOptions/>
  <pageMargins bottom="0.75" footer="0.0" header="0.0" left="0.7" right="0.7" top="0.75"/>
  <pageSetup orientation="landscape"/>
  <drawing r:id="rId44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2D0"/>
    <pageSetUpPr/>
  </sheetPr>
  <sheetViews>
    <sheetView workbookViewId="0"/>
  </sheetViews>
  <sheetFormatPr customHeight="1" defaultColWidth="12.63" defaultRowHeight="15.0"/>
  <cols>
    <col customWidth="1" min="1" max="26" width="8.63"/>
  </cols>
  <sheetData>
    <row r="1" ht="14.25" customHeight="1">
      <c r="A1" s="55" t="s">
        <v>8961</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2D0"/>
    <pageSetUpPr/>
  </sheetPr>
  <sheetViews>
    <sheetView workbookViewId="0"/>
  </sheetViews>
  <sheetFormatPr customHeight="1" defaultColWidth="12.63" defaultRowHeight="15.0"/>
  <cols>
    <col customWidth="1" min="1" max="26" width="8.63"/>
  </cols>
  <sheetData>
    <row r="1" ht="14.25" customHeight="1">
      <c r="A1" s="55" t="s">
        <v>8961</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2D0"/>
    <pageSetUpPr/>
  </sheetPr>
  <sheetViews>
    <sheetView workbookViewId="0"/>
  </sheetViews>
  <sheetFormatPr customHeight="1" defaultColWidth="12.63" defaultRowHeight="15.0"/>
  <cols>
    <col customWidth="1" min="1" max="1" width="33.88"/>
    <col customWidth="1" min="2" max="2" width="14.88"/>
    <col customWidth="1" min="3" max="3" width="49.0"/>
    <col customWidth="1" min="4" max="4" width="46.63"/>
    <col customWidth="1" min="5" max="26" width="8.63"/>
  </cols>
  <sheetData>
    <row r="1" ht="14.25" customHeight="1">
      <c r="A1" s="70" t="s">
        <v>8962</v>
      </c>
      <c r="B1" s="70" t="s">
        <v>8963</v>
      </c>
      <c r="C1" s="70" t="s">
        <v>8964</v>
      </c>
      <c r="D1" s="70" t="s">
        <v>8965</v>
      </c>
    </row>
    <row r="2" ht="14.25" customHeight="1">
      <c r="A2" s="71" t="s">
        <v>8966</v>
      </c>
      <c r="B2" s="71" t="s">
        <v>40</v>
      </c>
      <c r="C2" s="71" t="s">
        <v>8967</v>
      </c>
      <c r="D2" s="71" t="s">
        <v>8968</v>
      </c>
    </row>
    <row r="3" ht="14.25" customHeight="1">
      <c r="C3" s="71" t="s">
        <v>8969</v>
      </c>
      <c r="D3" s="71" t="s">
        <v>8970</v>
      </c>
    </row>
    <row r="4" ht="14.25" customHeight="1">
      <c r="C4" s="71" t="s">
        <v>8971</v>
      </c>
      <c r="D4" s="71" t="s">
        <v>8968</v>
      </c>
    </row>
    <row r="5" ht="14.25" customHeight="1">
      <c r="C5" s="71" t="s">
        <v>8972</v>
      </c>
      <c r="D5" s="71" t="s">
        <v>8973</v>
      </c>
    </row>
    <row r="6" ht="14.25" customHeight="1">
      <c r="D6" s="71" t="s">
        <v>8968</v>
      </c>
    </row>
    <row r="7" ht="14.25" customHeight="1">
      <c r="C7" s="71" t="s">
        <v>8974</v>
      </c>
      <c r="D7" s="71" t="s">
        <v>8973</v>
      </c>
    </row>
    <row r="8" ht="14.25" customHeight="1">
      <c r="C8" s="71" t="s">
        <v>8975</v>
      </c>
      <c r="D8" s="71" t="s">
        <v>8976</v>
      </c>
    </row>
    <row r="9" ht="14.25" customHeight="1">
      <c r="C9" s="71" t="s">
        <v>8977</v>
      </c>
      <c r="D9" s="71" t="s">
        <v>8978</v>
      </c>
    </row>
    <row r="10" ht="14.25" customHeight="1">
      <c r="C10" s="71" t="s">
        <v>6057</v>
      </c>
      <c r="D10" s="71" t="s">
        <v>8968</v>
      </c>
    </row>
    <row r="11" ht="14.25" customHeight="1">
      <c r="D11" s="71" t="s">
        <v>8976</v>
      </c>
    </row>
    <row r="12" ht="14.25" customHeight="1">
      <c r="C12" s="71" t="s">
        <v>8979</v>
      </c>
      <c r="D12" s="71" t="s">
        <v>8980</v>
      </c>
    </row>
    <row r="13" ht="14.25" customHeight="1">
      <c r="C13" s="71" t="s">
        <v>8981</v>
      </c>
      <c r="D13" s="71" t="s">
        <v>8982</v>
      </c>
    </row>
    <row r="14" ht="14.25" customHeight="1">
      <c r="C14" s="71" t="s">
        <v>8983</v>
      </c>
      <c r="D14" s="71" t="s">
        <v>8984</v>
      </c>
    </row>
    <row r="15" ht="14.25" customHeight="1">
      <c r="C15" s="71" t="s">
        <v>8985</v>
      </c>
      <c r="D15" s="71" t="s">
        <v>8986</v>
      </c>
    </row>
    <row r="16" ht="14.25" customHeight="1">
      <c r="C16" s="71" t="s">
        <v>1058</v>
      </c>
      <c r="D16" s="71" t="s">
        <v>8968</v>
      </c>
    </row>
    <row r="17" ht="14.25" customHeight="1">
      <c r="C17" s="71" t="s">
        <v>8987</v>
      </c>
      <c r="D17" s="71" t="s">
        <v>8988</v>
      </c>
    </row>
    <row r="18" ht="14.25" customHeight="1">
      <c r="C18" s="71" t="s">
        <v>3313</v>
      </c>
      <c r="D18" s="71" t="s">
        <v>8976</v>
      </c>
    </row>
    <row r="19" ht="14.25" customHeight="1">
      <c r="C19" s="71" t="s">
        <v>3566</v>
      </c>
      <c r="D19" s="71" t="s">
        <v>8989</v>
      </c>
    </row>
    <row r="20" ht="14.25" customHeight="1">
      <c r="D20" s="71" t="s">
        <v>8990</v>
      </c>
    </row>
    <row r="21" ht="14.25" customHeight="1">
      <c r="D21" s="71" t="s">
        <v>8991</v>
      </c>
    </row>
    <row r="22" ht="14.25" customHeight="1">
      <c r="D22" s="71" t="s">
        <v>8992</v>
      </c>
    </row>
    <row r="23" ht="14.25" customHeight="1">
      <c r="D23" s="71" t="s">
        <v>8993</v>
      </c>
    </row>
    <row r="24" ht="14.25" customHeight="1">
      <c r="D24" s="71" t="s">
        <v>8994</v>
      </c>
    </row>
    <row r="25" ht="14.25" customHeight="1">
      <c r="D25" s="71" t="s">
        <v>8976</v>
      </c>
    </row>
    <row r="26" ht="14.25" customHeight="1">
      <c r="C26" s="71" t="s">
        <v>8995</v>
      </c>
      <c r="D26" s="71" t="s">
        <v>8968</v>
      </c>
    </row>
    <row r="27" ht="14.25" customHeight="1">
      <c r="C27" s="71" t="s">
        <v>8996</v>
      </c>
      <c r="D27" s="71" t="s">
        <v>8989</v>
      </c>
    </row>
    <row r="28" ht="14.25" customHeight="1">
      <c r="C28" s="71" t="s">
        <v>8997</v>
      </c>
      <c r="D28" s="71" t="s">
        <v>8998</v>
      </c>
    </row>
    <row r="29" ht="14.25" customHeight="1">
      <c r="C29" s="71" t="s">
        <v>8999</v>
      </c>
      <c r="D29" s="71" t="s">
        <v>9000</v>
      </c>
    </row>
    <row r="30" ht="14.25" customHeight="1">
      <c r="D30" s="71" t="s">
        <v>8998</v>
      </c>
    </row>
    <row r="31" ht="14.25" customHeight="1">
      <c r="C31" s="71" t="s">
        <v>9001</v>
      </c>
      <c r="D31" s="71" t="s">
        <v>9002</v>
      </c>
    </row>
    <row r="32" ht="14.25" customHeight="1">
      <c r="C32" s="71" t="s">
        <v>9003</v>
      </c>
      <c r="D32" s="71" t="s">
        <v>9004</v>
      </c>
    </row>
    <row r="33" ht="14.25" customHeight="1">
      <c r="C33" s="71" t="s">
        <v>9005</v>
      </c>
      <c r="D33" s="71" t="s">
        <v>9006</v>
      </c>
    </row>
    <row r="34" ht="14.25" customHeight="1">
      <c r="C34" s="71" t="s">
        <v>9007</v>
      </c>
      <c r="D34" s="71" t="s">
        <v>9008</v>
      </c>
    </row>
    <row r="35" ht="14.25" customHeight="1">
      <c r="C35" s="71" t="s">
        <v>9009</v>
      </c>
      <c r="D35" s="71" t="s">
        <v>9010</v>
      </c>
    </row>
    <row r="36" ht="14.25" customHeight="1">
      <c r="C36" s="71" t="s">
        <v>9011</v>
      </c>
      <c r="D36" s="71" t="s">
        <v>9012</v>
      </c>
    </row>
    <row r="37" ht="14.25" customHeight="1">
      <c r="B37" s="71" t="s">
        <v>41</v>
      </c>
      <c r="C37" s="71" t="s">
        <v>9013</v>
      </c>
      <c r="D37" s="71" t="s">
        <v>9014</v>
      </c>
    </row>
    <row r="38" ht="14.25" customHeight="1">
      <c r="C38" s="71" t="s">
        <v>9015</v>
      </c>
      <c r="D38" s="71" t="s">
        <v>9016</v>
      </c>
    </row>
    <row r="39" ht="14.25" customHeight="1">
      <c r="C39" s="71" t="s">
        <v>9017</v>
      </c>
      <c r="D39" s="71" t="s">
        <v>9018</v>
      </c>
    </row>
    <row r="40" ht="14.25" customHeight="1">
      <c r="C40" s="71" t="s">
        <v>9019</v>
      </c>
      <c r="D40" s="71" t="s">
        <v>9020</v>
      </c>
    </row>
    <row r="41" ht="14.25" customHeight="1">
      <c r="C41" s="71" t="s">
        <v>9005</v>
      </c>
      <c r="D41" s="71" t="s">
        <v>9006</v>
      </c>
    </row>
    <row r="42" ht="14.25" customHeight="1">
      <c r="C42" s="71" t="s">
        <v>2163</v>
      </c>
      <c r="D42" s="71" t="s">
        <v>9021</v>
      </c>
    </row>
    <row r="43" ht="14.25" customHeight="1">
      <c r="A43" s="71" t="s">
        <v>9022</v>
      </c>
      <c r="B43" s="71" t="s">
        <v>40</v>
      </c>
      <c r="C43" s="71" t="s">
        <v>9023</v>
      </c>
      <c r="D43" s="71" t="s">
        <v>9024</v>
      </c>
    </row>
    <row r="44" ht="14.25" customHeight="1">
      <c r="C44" s="71" t="s">
        <v>9025</v>
      </c>
      <c r="D44" s="71" t="s">
        <v>9026</v>
      </c>
    </row>
    <row r="45" ht="14.25" customHeight="1">
      <c r="C45" s="71" t="s">
        <v>9027</v>
      </c>
      <c r="D45" s="71" t="s">
        <v>9028</v>
      </c>
    </row>
    <row r="46" ht="14.25" customHeight="1">
      <c r="C46" s="71" t="s">
        <v>9029</v>
      </c>
      <c r="D46" s="71" t="s">
        <v>9030</v>
      </c>
    </row>
    <row r="47" ht="14.25" customHeight="1">
      <c r="C47" s="71" t="s">
        <v>9031</v>
      </c>
      <c r="D47" s="71" t="s">
        <v>9032</v>
      </c>
    </row>
    <row r="48" ht="14.25" customHeight="1">
      <c r="C48" s="71" t="s">
        <v>89</v>
      </c>
      <c r="D48" s="71" t="s">
        <v>9033</v>
      </c>
    </row>
    <row r="49" ht="14.25" customHeight="1">
      <c r="C49" s="71" t="s">
        <v>145</v>
      </c>
      <c r="D49" s="71" t="s">
        <v>9034</v>
      </c>
    </row>
    <row r="50" ht="14.25" customHeight="1">
      <c r="C50" s="71" t="s">
        <v>9035</v>
      </c>
      <c r="D50" s="71" t="s">
        <v>9036</v>
      </c>
    </row>
    <row r="51" ht="14.25" customHeight="1">
      <c r="D51" s="71" t="s">
        <v>9037</v>
      </c>
    </row>
    <row r="52" ht="14.25" customHeight="1">
      <c r="C52" s="71" t="s">
        <v>9038</v>
      </c>
      <c r="D52" s="71" t="s">
        <v>9039</v>
      </c>
    </row>
    <row r="53" ht="14.25" customHeight="1">
      <c r="C53" s="71" t="s">
        <v>9040</v>
      </c>
      <c r="D53" s="71" t="s">
        <v>9041</v>
      </c>
    </row>
    <row r="54" ht="14.25" customHeight="1">
      <c r="C54" s="71" t="s">
        <v>9042</v>
      </c>
      <c r="D54" s="71" t="s">
        <v>9043</v>
      </c>
    </row>
    <row r="55" ht="14.25" customHeight="1">
      <c r="C55" s="71" t="s">
        <v>3359</v>
      </c>
      <c r="D55" s="71" t="s">
        <v>9044</v>
      </c>
    </row>
    <row r="56" ht="14.25" customHeight="1">
      <c r="C56" s="71" t="s">
        <v>5036</v>
      </c>
      <c r="D56" s="71" t="s">
        <v>9045</v>
      </c>
    </row>
    <row r="57" ht="14.25" customHeight="1">
      <c r="C57" s="71" t="s">
        <v>166</v>
      </c>
      <c r="D57" s="71" t="s">
        <v>8994</v>
      </c>
    </row>
    <row r="58" ht="14.25" customHeight="1">
      <c r="C58" s="71" t="s">
        <v>9046</v>
      </c>
      <c r="D58" s="71" t="s">
        <v>8994</v>
      </c>
    </row>
    <row r="59" ht="14.25" customHeight="1">
      <c r="C59" s="71" t="s">
        <v>9047</v>
      </c>
      <c r="D59" s="71" t="s">
        <v>9028</v>
      </c>
    </row>
    <row r="60" ht="14.25" customHeight="1">
      <c r="C60" s="71" t="s">
        <v>9048</v>
      </c>
      <c r="D60" s="71" t="s">
        <v>9037</v>
      </c>
    </row>
    <row r="61" ht="14.25" customHeight="1">
      <c r="C61" s="71" t="s">
        <v>9049</v>
      </c>
      <c r="D61" s="71" t="s">
        <v>9050</v>
      </c>
    </row>
    <row r="62" ht="14.25" customHeight="1">
      <c r="C62" s="71" t="s">
        <v>214</v>
      </c>
      <c r="D62" s="71" t="s">
        <v>9051</v>
      </c>
    </row>
    <row r="63" ht="14.25" customHeight="1">
      <c r="C63" s="71" t="s">
        <v>9052</v>
      </c>
      <c r="D63" s="71" t="s">
        <v>9050</v>
      </c>
    </row>
    <row r="64" ht="14.25" customHeight="1">
      <c r="C64" s="71" t="s">
        <v>9053</v>
      </c>
      <c r="D64" s="71" t="s">
        <v>9054</v>
      </c>
    </row>
    <row r="65" ht="14.25" customHeight="1">
      <c r="C65" s="71" t="s">
        <v>4247</v>
      </c>
      <c r="D65" s="71" t="s">
        <v>9055</v>
      </c>
    </row>
    <row r="66" ht="14.25" customHeight="1">
      <c r="C66" s="71" t="s">
        <v>9056</v>
      </c>
      <c r="D66" s="71" t="s">
        <v>9057</v>
      </c>
    </row>
    <row r="67" ht="14.25" customHeight="1">
      <c r="A67" s="71" t="s">
        <v>9058</v>
      </c>
      <c r="B67" s="71" t="s">
        <v>40</v>
      </c>
      <c r="C67" s="71" t="s">
        <v>9059</v>
      </c>
      <c r="D67" s="71" t="s">
        <v>9060</v>
      </c>
    </row>
    <row r="68" ht="14.25" customHeight="1">
      <c r="C68" s="71" t="s">
        <v>9061</v>
      </c>
      <c r="D68" s="71" t="s">
        <v>9062</v>
      </c>
    </row>
    <row r="69" ht="14.25" customHeight="1">
      <c r="C69" s="71" t="s">
        <v>8981</v>
      </c>
      <c r="D69" s="71" t="s">
        <v>8982</v>
      </c>
    </row>
    <row r="70" ht="14.25" customHeight="1">
      <c r="C70" s="71" t="s">
        <v>9063</v>
      </c>
      <c r="D70" s="71" t="s">
        <v>9064</v>
      </c>
    </row>
    <row r="71" ht="14.25" customHeight="1">
      <c r="C71" s="71" t="s">
        <v>9065</v>
      </c>
      <c r="D71" s="71" t="s">
        <v>9066</v>
      </c>
    </row>
    <row r="72" ht="14.25" customHeight="1">
      <c r="C72" s="71" t="s">
        <v>162</v>
      </c>
      <c r="D72" s="71" t="s">
        <v>9067</v>
      </c>
    </row>
    <row r="73" ht="14.25" customHeight="1">
      <c r="C73" s="71" t="s">
        <v>9068</v>
      </c>
      <c r="D73" s="71" t="s">
        <v>9069</v>
      </c>
    </row>
    <row r="74" ht="14.25" customHeight="1">
      <c r="D74" s="71" t="s">
        <v>9070</v>
      </c>
    </row>
    <row r="75" ht="14.25" customHeight="1">
      <c r="D75" s="71" t="s">
        <v>9071</v>
      </c>
    </row>
    <row r="76" ht="14.25" customHeight="1">
      <c r="C76" s="71" t="s">
        <v>9072</v>
      </c>
      <c r="D76" s="71" t="s">
        <v>9073</v>
      </c>
    </row>
    <row r="77" ht="14.25" customHeight="1">
      <c r="C77" s="71" t="s">
        <v>9074</v>
      </c>
      <c r="D77" s="71" t="s">
        <v>9075</v>
      </c>
    </row>
    <row r="78" ht="14.25" customHeight="1">
      <c r="C78" s="71" t="s">
        <v>9076</v>
      </c>
      <c r="D78" s="71" t="s">
        <v>9077</v>
      </c>
    </row>
    <row r="79" ht="14.25" customHeight="1">
      <c r="C79" s="71" t="s">
        <v>9078</v>
      </c>
      <c r="D79" s="71" t="s">
        <v>9079</v>
      </c>
    </row>
    <row r="80" ht="14.25" customHeight="1">
      <c r="C80" s="71" t="s">
        <v>9080</v>
      </c>
      <c r="D80" s="71" t="s">
        <v>9081</v>
      </c>
    </row>
    <row r="81" ht="14.25" customHeight="1">
      <c r="C81" s="71" t="s">
        <v>9082</v>
      </c>
      <c r="D81" s="71" t="s">
        <v>9083</v>
      </c>
    </row>
    <row r="82" ht="14.25" customHeight="1">
      <c r="C82" s="71" t="s">
        <v>9084</v>
      </c>
      <c r="D82" s="71" t="s">
        <v>9085</v>
      </c>
    </row>
    <row r="83" ht="14.25" customHeight="1">
      <c r="B83" s="71" t="s">
        <v>41</v>
      </c>
      <c r="C83" s="71" t="s">
        <v>2342</v>
      </c>
      <c r="D83" s="71" t="s">
        <v>9086</v>
      </c>
    </row>
    <row r="84" ht="14.25" customHeight="1">
      <c r="C84" s="71" t="s">
        <v>162</v>
      </c>
      <c r="D84" s="71" t="s">
        <v>9060</v>
      </c>
    </row>
    <row r="85" ht="14.25" customHeight="1">
      <c r="D85" s="71" t="s">
        <v>9087</v>
      </c>
    </row>
    <row r="86" ht="14.25" customHeight="1">
      <c r="C86" s="71" t="s">
        <v>9088</v>
      </c>
      <c r="D86" s="71" t="s">
        <v>9089</v>
      </c>
    </row>
    <row r="87" ht="14.25" customHeight="1">
      <c r="C87" s="71" t="s">
        <v>9090</v>
      </c>
      <c r="D87" s="71" t="s">
        <v>9091</v>
      </c>
    </row>
    <row r="88" ht="14.25" customHeight="1">
      <c r="B88" s="71" t="s">
        <v>13</v>
      </c>
      <c r="C88" s="71" t="s">
        <v>9092</v>
      </c>
      <c r="D88" s="71" t="s">
        <v>9093</v>
      </c>
    </row>
    <row r="89" ht="14.25" customHeight="1">
      <c r="A89" s="71" t="s">
        <v>9094</v>
      </c>
      <c r="B89" s="71" t="s">
        <v>41</v>
      </c>
      <c r="C89" s="71" t="s">
        <v>9090</v>
      </c>
      <c r="D89" s="71" t="s">
        <v>9095</v>
      </c>
    </row>
    <row r="90" ht="14.25" customHeight="1">
      <c r="D90" s="71" t="s">
        <v>9096</v>
      </c>
    </row>
    <row r="91" ht="14.25" customHeight="1">
      <c r="A91" s="71" t="s">
        <v>9097</v>
      </c>
      <c r="B91" s="71" t="s">
        <v>40</v>
      </c>
      <c r="C91" s="71" t="s">
        <v>9098</v>
      </c>
      <c r="D91" s="71" t="s">
        <v>9099</v>
      </c>
    </row>
    <row r="92" ht="14.25" customHeight="1">
      <c r="C92" s="71" t="s">
        <v>9100</v>
      </c>
      <c r="D92" s="71" t="s">
        <v>9101</v>
      </c>
    </row>
    <row r="93" ht="14.25" customHeight="1">
      <c r="C93" s="71" t="s">
        <v>5795</v>
      </c>
      <c r="D93" s="71" t="s">
        <v>9051</v>
      </c>
    </row>
    <row r="94" ht="14.25" customHeight="1">
      <c r="C94" s="71" t="s">
        <v>5828</v>
      </c>
      <c r="D94" s="71" t="s">
        <v>9102</v>
      </c>
    </row>
    <row r="95" ht="14.25" customHeight="1">
      <c r="C95" s="71" t="s">
        <v>77</v>
      </c>
      <c r="D95" s="71" t="s">
        <v>9103</v>
      </c>
    </row>
    <row r="96" ht="14.25" customHeight="1">
      <c r="C96" s="71" t="s">
        <v>9104</v>
      </c>
      <c r="D96" s="71" t="s">
        <v>9073</v>
      </c>
    </row>
    <row r="97" ht="14.25" customHeight="1">
      <c r="C97" s="71" t="s">
        <v>9105</v>
      </c>
      <c r="D97" s="71" t="s">
        <v>9026</v>
      </c>
    </row>
    <row r="98" ht="14.25" customHeight="1">
      <c r="C98" s="71" t="s">
        <v>88</v>
      </c>
      <c r="D98" s="71" t="s">
        <v>9106</v>
      </c>
    </row>
    <row r="99" ht="14.25" customHeight="1">
      <c r="D99" s="71" t="s">
        <v>9107</v>
      </c>
    </row>
    <row r="100" ht="14.25" customHeight="1">
      <c r="C100" s="71" t="s">
        <v>9108</v>
      </c>
      <c r="D100" s="71" t="s">
        <v>9109</v>
      </c>
    </row>
    <row r="101" ht="14.25" customHeight="1">
      <c r="C101" s="71" t="s">
        <v>2700</v>
      </c>
      <c r="D101" s="71" t="s">
        <v>9109</v>
      </c>
    </row>
    <row r="102" ht="14.25" customHeight="1">
      <c r="C102" s="71" t="s">
        <v>9110</v>
      </c>
      <c r="D102" s="71" t="s">
        <v>9111</v>
      </c>
    </row>
    <row r="103" ht="14.25" customHeight="1">
      <c r="D103" s="71" t="s">
        <v>9112</v>
      </c>
    </row>
    <row r="104" ht="14.25" customHeight="1">
      <c r="C104" s="71" t="s">
        <v>9113</v>
      </c>
      <c r="D104" s="71" t="s">
        <v>8968</v>
      </c>
    </row>
    <row r="105" ht="14.25" customHeight="1">
      <c r="C105" s="71" t="s">
        <v>9114</v>
      </c>
      <c r="D105" s="71" t="s">
        <v>9075</v>
      </c>
    </row>
    <row r="106" ht="14.25" customHeight="1">
      <c r="C106" s="71" t="s">
        <v>9115</v>
      </c>
      <c r="D106" s="71" t="s">
        <v>9116</v>
      </c>
    </row>
    <row r="107" ht="14.25" customHeight="1">
      <c r="C107" s="71" t="s">
        <v>9117</v>
      </c>
      <c r="D107" s="71" t="s">
        <v>9118</v>
      </c>
    </row>
    <row r="108" ht="14.25" customHeight="1">
      <c r="C108" s="71" t="s">
        <v>9119</v>
      </c>
      <c r="D108" s="71" t="s">
        <v>9120</v>
      </c>
    </row>
    <row r="109" ht="14.25" customHeight="1">
      <c r="C109" s="71" t="s">
        <v>9121</v>
      </c>
      <c r="D109" s="71" t="s">
        <v>9122</v>
      </c>
    </row>
    <row r="110" ht="14.25" customHeight="1">
      <c r="D110" s="71" t="s">
        <v>9002</v>
      </c>
    </row>
    <row r="111" ht="14.25" customHeight="1">
      <c r="D111" s="71" t="s">
        <v>9075</v>
      </c>
    </row>
    <row r="112" ht="14.25" customHeight="1">
      <c r="C112" s="71" t="s">
        <v>9123</v>
      </c>
      <c r="D112" s="71" t="s">
        <v>9073</v>
      </c>
    </row>
    <row r="113" ht="14.25" customHeight="1">
      <c r="D113" s="71" t="s">
        <v>9124</v>
      </c>
    </row>
    <row r="114" ht="14.25" customHeight="1">
      <c r="C114" s="71" t="s">
        <v>9125</v>
      </c>
      <c r="D114" s="71" t="s">
        <v>9126</v>
      </c>
    </row>
    <row r="115" ht="14.25" customHeight="1">
      <c r="C115" s="71" t="s">
        <v>9127</v>
      </c>
      <c r="D115" s="71" t="s">
        <v>9073</v>
      </c>
    </row>
    <row r="116" ht="14.25" customHeight="1">
      <c r="D116" s="71" t="s">
        <v>9128</v>
      </c>
    </row>
    <row r="117" ht="14.25" customHeight="1">
      <c r="C117" s="71" t="s">
        <v>9129</v>
      </c>
      <c r="D117" s="71" t="s">
        <v>9073</v>
      </c>
    </row>
    <row r="118" ht="14.25" customHeight="1">
      <c r="C118" s="71" t="s">
        <v>9130</v>
      </c>
      <c r="D118" s="71" t="s">
        <v>9131</v>
      </c>
    </row>
    <row r="119" ht="14.25" customHeight="1">
      <c r="C119" s="71" t="s">
        <v>9132</v>
      </c>
      <c r="D119" s="71" t="s">
        <v>9055</v>
      </c>
    </row>
    <row r="120" ht="14.25" customHeight="1">
      <c r="C120" s="71" t="s">
        <v>9133</v>
      </c>
      <c r="D120" s="71" t="s">
        <v>9073</v>
      </c>
    </row>
    <row r="121" ht="14.25" customHeight="1">
      <c r="D121" s="71" t="s">
        <v>9002</v>
      </c>
    </row>
    <row r="122" ht="14.25" customHeight="1">
      <c r="D122" s="71" t="s">
        <v>9134</v>
      </c>
    </row>
    <row r="123" ht="14.25" customHeight="1">
      <c r="C123" s="71" t="s">
        <v>9135</v>
      </c>
      <c r="D123" s="71" t="s">
        <v>9136</v>
      </c>
    </row>
    <row r="124" ht="14.25" customHeight="1">
      <c r="C124" s="71" t="s">
        <v>3059</v>
      </c>
      <c r="D124" s="71" t="s">
        <v>9137</v>
      </c>
    </row>
    <row r="125" ht="14.25" customHeight="1">
      <c r="C125" s="71" t="s">
        <v>9138</v>
      </c>
      <c r="D125" s="71" t="s">
        <v>9073</v>
      </c>
    </row>
    <row r="126" ht="14.25" customHeight="1">
      <c r="C126" s="71" t="s">
        <v>9139</v>
      </c>
      <c r="D126" s="71" t="s">
        <v>9073</v>
      </c>
    </row>
    <row r="127" ht="14.25" customHeight="1">
      <c r="C127" s="71" t="s">
        <v>9140</v>
      </c>
      <c r="D127" s="71" t="s">
        <v>9141</v>
      </c>
    </row>
    <row r="128" ht="14.25" customHeight="1">
      <c r="C128" s="71" t="s">
        <v>3138</v>
      </c>
      <c r="D128" s="71" t="s">
        <v>9142</v>
      </c>
    </row>
    <row r="129" ht="14.25" customHeight="1">
      <c r="C129" s="71" t="s">
        <v>9143</v>
      </c>
      <c r="D129" s="71" t="s">
        <v>9144</v>
      </c>
    </row>
    <row r="130" ht="14.25" customHeight="1">
      <c r="C130" s="71" t="s">
        <v>3313</v>
      </c>
      <c r="D130" s="71" t="s">
        <v>9073</v>
      </c>
    </row>
    <row r="131" ht="14.25" customHeight="1">
      <c r="C131" s="71" t="s">
        <v>9145</v>
      </c>
      <c r="D131" s="71" t="s">
        <v>9146</v>
      </c>
    </row>
    <row r="132" ht="14.25" customHeight="1">
      <c r="C132" s="71" t="s">
        <v>9147</v>
      </c>
      <c r="D132" s="71" t="s">
        <v>9002</v>
      </c>
    </row>
    <row r="133" ht="14.25" customHeight="1">
      <c r="C133" s="71" t="s">
        <v>3466</v>
      </c>
      <c r="D133" s="71" t="s">
        <v>9073</v>
      </c>
    </row>
    <row r="134" ht="14.25" customHeight="1">
      <c r="C134" s="71" t="s">
        <v>9148</v>
      </c>
      <c r="D134" s="71" t="s">
        <v>9149</v>
      </c>
    </row>
    <row r="135" ht="14.25" customHeight="1">
      <c r="C135" s="71" t="s">
        <v>9150</v>
      </c>
      <c r="D135" s="71" t="s">
        <v>9151</v>
      </c>
    </row>
    <row r="136" ht="14.25" customHeight="1">
      <c r="C136" s="71" t="s">
        <v>193</v>
      </c>
      <c r="D136" s="71" t="s">
        <v>9152</v>
      </c>
    </row>
    <row r="137" ht="14.25" customHeight="1">
      <c r="C137" s="71" t="s">
        <v>9153</v>
      </c>
      <c r="D137" s="71" t="s">
        <v>9154</v>
      </c>
    </row>
    <row r="138" ht="14.25" customHeight="1">
      <c r="C138" s="71" t="s">
        <v>204</v>
      </c>
      <c r="D138" s="71" t="s">
        <v>9111</v>
      </c>
    </row>
    <row r="139" ht="14.25" customHeight="1">
      <c r="C139" s="71" t="s">
        <v>315</v>
      </c>
      <c r="D139" s="71" t="s">
        <v>9002</v>
      </c>
    </row>
    <row r="140" ht="14.25" customHeight="1">
      <c r="C140" s="71" t="s">
        <v>3810</v>
      </c>
      <c r="D140" s="71" t="s">
        <v>9071</v>
      </c>
    </row>
    <row r="141" ht="14.25" customHeight="1">
      <c r="C141" s="71" t="s">
        <v>3814</v>
      </c>
      <c r="D141" s="71" t="s">
        <v>9051</v>
      </c>
    </row>
    <row r="142" ht="14.25" customHeight="1">
      <c r="D142" s="71" t="s">
        <v>9155</v>
      </c>
    </row>
    <row r="143" ht="14.25" customHeight="1">
      <c r="D143" s="71" t="s">
        <v>9075</v>
      </c>
    </row>
    <row r="144" ht="14.25" customHeight="1">
      <c r="C144" s="71" t="s">
        <v>220</v>
      </c>
      <c r="D144" s="71" t="s">
        <v>9141</v>
      </c>
    </row>
    <row r="145" ht="14.25" customHeight="1">
      <c r="C145" s="71" t="s">
        <v>9156</v>
      </c>
      <c r="D145" s="71" t="s">
        <v>9157</v>
      </c>
    </row>
    <row r="146" ht="14.25" customHeight="1">
      <c r="C146" s="71" t="s">
        <v>9158</v>
      </c>
      <c r="D146" s="71" t="s">
        <v>9073</v>
      </c>
    </row>
    <row r="147" ht="14.25" customHeight="1">
      <c r="C147" s="71" t="s">
        <v>9159</v>
      </c>
      <c r="D147" s="71" t="s">
        <v>9073</v>
      </c>
    </row>
    <row r="148" ht="14.25" customHeight="1">
      <c r="C148" s="71" t="s">
        <v>318</v>
      </c>
      <c r="D148" s="71" t="s">
        <v>9026</v>
      </c>
    </row>
    <row r="149" ht="14.25" customHeight="1">
      <c r="C149" s="71" t="s">
        <v>4225</v>
      </c>
      <c r="D149" s="71" t="s">
        <v>9073</v>
      </c>
    </row>
    <row r="150" ht="14.25" customHeight="1">
      <c r="C150" s="71" t="s">
        <v>9160</v>
      </c>
      <c r="D150" s="71" t="s">
        <v>9073</v>
      </c>
    </row>
    <row r="151" ht="14.25" customHeight="1">
      <c r="C151" s="71" t="s">
        <v>9005</v>
      </c>
      <c r="D151" s="71" t="s">
        <v>9006</v>
      </c>
    </row>
    <row r="152" ht="14.25" customHeight="1">
      <c r="C152" s="71" t="s">
        <v>324</v>
      </c>
      <c r="D152" s="71" t="s">
        <v>9161</v>
      </c>
    </row>
    <row r="153" ht="14.25" customHeight="1">
      <c r="D153" s="71" t="s">
        <v>9162</v>
      </c>
    </row>
    <row r="154" ht="14.25" customHeight="1">
      <c r="C154" s="71" t="s">
        <v>9163</v>
      </c>
      <c r="D154" s="71" t="s">
        <v>9075</v>
      </c>
    </row>
    <row r="155" ht="14.25" customHeight="1">
      <c r="C155" s="71" t="s">
        <v>9164</v>
      </c>
      <c r="D155" s="71" t="s">
        <v>8968</v>
      </c>
    </row>
    <row r="156" ht="14.25" customHeight="1">
      <c r="C156" s="71" t="s">
        <v>9165</v>
      </c>
      <c r="D156" s="71" t="s">
        <v>9073</v>
      </c>
    </row>
    <row r="157" ht="14.25" customHeight="1">
      <c r="C157" s="71" t="s">
        <v>285</v>
      </c>
      <c r="D157" s="71" t="s">
        <v>9073</v>
      </c>
    </row>
    <row r="158" ht="14.25" customHeight="1">
      <c r="D158" s="71" t="s">
        <v>9166</v>
      </c>
    </row>
    <row r="159" ht="14.25" customHeight="1">
      <c r="C159" s="71" t="s">
        <v>9167</v>
      </c>
      <c r="D159" s="71" t="s">
        <v>9168</v>
      </c>
    </row>
    <row r="160" ht="14.25" customHeight="1">
      <c r="B160" s="71" t="s">
        <v>41</v>
      </c>
      <c r="C160" s="71" t="s">
        <v>9145</v>
      </c>
      <c r="D160" s="71" t="s">
        <v>9168</v>
      </c>
    </row>
    <row r="161" ht="14.25" customHeight="1">
      <c r="C161" s="71" t="s">
        <v>9169</v>
      </c>
      <c r="D161" s="71" t="s">
        <v>9073</v>
      </c>
    </row>
    <row r="162" ht="14.25" customHeight="1">
      <c r="B162" s="71" t="s">
        <v>13</v>
      </c>
      <c r="C162" s="71" t="s">
        <v>9170</v>
      </c>
      <c r="D162" s="71" t="s">
        <v>9171</v>
      </c>
    </row>
    <row r="163" ht="14.25" customHeight="1">
      <c r="C163" s="71" t="s">
        <v>9172</v>
      </c>
      <c r="D163" s="71" t="s">
        <v>9073</v>
      </c>
    </row>
    <row r="164" ht="14.25" customHeight="1">
      <c r="C164" s="71" t="s">
        <v>9173</v>
      </c>
      <c r="D164" s="71" t="s">
        <v>9174</v>
      </c>
    </row>
    <row r="165" ht="14.25" customHeight="1">
      <c r="C165" s="71" t="s">
        <v>9175</v>
      </c>
      <c r="D165" s="71" t="s">
        <v>9176</v>
      </c>
    </row>
    <row r="166" ht="14.25" customHeight="1">
      <c r="A166" s="71" t="s">
        <v>9177</v>
      </c>
      <c r="B166" s="71" t="s">
        <v>40</v>
      </c>
      <c r="C166" s="71" t="s">
        <v>9105</v>
      </c>
      <c r="D166" s="71" t="s">
        <v>9178</v>
      </c>
    </row>
    <row r="167" ht="14.25" customHeight="1">
      <c r="C167" s="71" t="s">
        <v>81</v>
      </c>
      <c r="D167" s="71" t="s">
        <v>8994</v>
      </c>
    </row>
    <row r="168" ht="14.25" customHeight="1">
      <c r="C168" s="71" t="s">
        <v>9179</v>
      </c>
      <c r="D168" s="71" t="s">
        <v>9180</v>
      </c>
    </row>
    <row r="169" ht="14.25" customHeight="1">
      <c r="C169" s="71" t="s">
        <v>89</v>
      </c>
      <c r="D169" s="71" t="s">
        <v>9181</v>
      </c>
    </row>
    <row r="170" ht="14.25" customHeight="1">
      <c r="C170" s="71" t="s">
        <v>9182</v>
      </c>
      <c r="D170" s="71" t="s">
        <v>9055</v>
      </c>
    </row>
    <row r="171" ht="14.25" customHeight="1">
      <c r="C171" s="71" t="s">
        <v>102</v>
      </c>
      <c r="D171" s="71" t="s">
        <v>8968</v>
      </c>
    </row>
    <row r="172" ht="14.25" customHeight="1">
      <c r="C172" s="71" t="s">
        <v>9183</v>
      </c>
      <c r="D172" s="71" t="s">
        <v>9043</v>
      </c>
    </row>
    <row r="173" ht="14.25" customHeight="1">
      <c r="C173" s="71" t="s">
        <v>9184</v>
      </c>
      <c r="D173" s="71" t="s">
        <v>9180</v>
      </c>
    </row>
    <row r="174" ht="14.25" customHeight="1">
      <c r="C174" s="71" t="s">
        <v>9185</v>
      </c>
      <c r="D174" s="71" t="s">
        <v>9180</v>
      </c>
    </row>
    <row r="175" ht="14.25" customHeight="1">
      <c r="C175" s="71" t="s">
        <v>9186</v>
      </c>
      <c r="D175" s="71" t="s">
        <v>9187</v>
      </c>
    </row>
    <row r="176" ht="14.25" customHeight="1">
      <c r="C176" s="71" t="s">
        <v>117</v>
      </c>
      <c r="D176" s="71" t="s">
        <v>9131</v>
      </c>
    </row>
    <row r="177" ht="14.25" customHeight="1">
      <c r="C177" s="71" t="s">
        <v>9133</v>
      </c>
      <c r="D177" s="71" t="s">
        <v>9188</v>
      </c>
    </row>
    <row r="178" ht="14.25" customHeight="1">
      <c r="C178" s="71" t="s">
        <v>4911</v>
      </c>
      <c r="D178" s="71" t="s">
        <v>9043</v>
      </c>
    </row>
    <row r="179" ht="14.25" customHeight="1">
      <c r="D179" s="71" t="s">
        <v>9189</v>
      </c>
    </row>
    <row r="180" ht="14.25" customHeight="1">
      <c r="D180" s="71" t="s">
        <v>9190</v>
      </c>
    </row>
    <row r="181" ht="14.25" customHeight="1">
      <c r="C181" s="71" t="s">
        <v>9191</v>
      </c>
      <c r="D181" s="71" t="s">
        <v>9026</v>
      </c>
    </row>
    <row r="182" ht="14.25" customHeight="1">
      <c r="C182" s="71" t="s">
        <v>9192</v>
      </c>
      <c r="D182" s="71" t="s">
        <v>9193</v>
      </c>
    </row>
    <row r="183" ht="14.25" customHeight="1">
      <c r="C183" s="71" t="s">
        <v>9035</v>
      </c>
      <c r="D183" s="71" t="s">
        <v>9193</v>
      </c>
    </row>
    <row r="184" ht="14.25" customHeight="1">
      <c r="C184" s="71" t="s">
        <v>148</v>
      </c>
      <c r="D184" s="71" t="s">
        <v>8994</v>
      </c>
    </row>
    <row r="185" ht="14.25" customHeight="1">
      <c r="D185" s="71" t="s">
        <v>9194</v>
      </c>
    </row>
    <row r="186" ht="14.25" customHeight="1">
      <c r="D186" s="71" t="s">
        <v>9195</v>
      </c>
    </row>
    <row r="187" ht="14.25" customHeight="1">
      <c r="C187" s="71" t="s">
        <v>9196</v>
      </c>
      <c r="D187" s="71" t="s">
        <v>9197</v>
      </c>
    </row>
    <row r="188" ht="14.25" customHeight="1">
      <c r="C188" s="71" t="s">
        <v>155</v>
      </c>
      <c r="D188" s="71" t="s">
        <v>9034</v>
      </c>
    </row>
    <row r="189" ht="14.25" customHeight="1">
      <c r="D189" s="71" t="s">
        <v>9131</v>
      </c>
    </row>
    <row r="190" ht="14.25" customHeight="1">
      <c r="C190" s="71" t="s">
        <v>9198</v>
      </c>
      <c r="D190" s="71" t="s">
        <v>9043</v>
      </c>
    </row>
    <row r="191" ht="14.25" customHeight="1">
      <c r="C191" s="71" t="s">
        <v>9199</v>
      </c>
      <c r="D191" s="71" t="s">
        <v>9043</v>
      </c>
    </row>
    <row r="192" ht="14.25" customHeight="1">
      <c r="C192" s="71" t="s">
        <v>9200</v>
      </c>
      <c r="D192" s="71" t="s">
        <v>9197</v>
      </c>
    </row>
    <row r="193" ht="14.25" customHeight="1">
      <c r="C193" s="71" t="s">
        <v>9201</v>
      </c>
      <c r="D193" s="71" t="s">
        <v>9202</v>
      </c>
    </row>
    <row r="194" ht="14.25" customHeight="1">
      <c r="C194" s="71" t="s">
        <v>166</v>
      </c>
      <c r="D194" s="71" t="s">
        <v>9151</v>
      </c>
    </row>
    <row r="195" ht="14.25" customHeight="1">
      <c r="C195" s="71" t="s">
        <v>9203</v>
      </c>
      <c r="D195" s="71" t="s">
        <v>9204</v>
      </c>
    </row>
    <row r="196" ht="14.25" customHeight="1">
      <c r="D196" s="71" t="s">
        <v>9180</v>
      </c>
    </row>
    <row r="197" ht="14.25" customHeight="1">
      <c r="D197" s="71" t="s">
        <v>9043</v>
      </c>
    </row>
    <row r="198" ht="14.25" customHeight="1">
      <c r="C198" s="71" t="s">
        <v>179</v>
      </c>
      <c r="D198" s="71" t="s">
        <v>9205</v>
      </c>
    </row>
    <row r="199" ht="14.25" customHeight="1">
      <c r="D199" s="71" t="s">
        <v>9131</v>
      </c>
    </row>
    <row r="200" ht="14.25" customHeight="1">
      <c r="D200" s="71" t="s">
        <v>9043</v>
      </c>
    </row>
    <row r="201" ht="14.25" customHeight="1">
      <c r="D201" s="71" t="s">
        <v>9026</v>
      </c>
    </row>
    <row r="202" ht="14.25" customHeight="1">
      <c r="D202" s="71" t="s">
        <v>9206</v>
      </c>
    </row>
    <row r="203" ht="14.25" customHeight="1">
      <c r="C203" s="71" t="s">
        <v>9207</v>
      </c>
      <c r="D203" s="71" t="s">
        <v>9034</v>
      </c>
    </row>
    <row r="204" ht="14.25" customHeight="1">
      <c r="C204" s="71" t="s">
        <v>9208</v>
      </c>
      <c r="D204" s="71" t="s">
        <v>9055</v>
      </c>
    </row>
    <row r="205" ht="14.25" customHeight="1">
      <c r="C205" s="71" t="s">
        <v>9209</v>
      </c>
      <c r="D205" s="71" t="s">
        <v>9055</v>
      </c>
    </row>
    <row r="206" ht="14.25" customHeight="1">
      <c r="C206" s="71" t="s">
        <v>9210</v>
      </c>
      <c r="D206" s="71" t="s">
        <v>9197</v>
      </c>
    </row>
    <row r="207" ht="14.25" customHeight="1">
      <c r="C207" s="71" t="s">
        <v>332</v>
      </c>
      <c r="D207" s="71" t="s">
        <v>9131</v>
      </c>
    </row>
    <row r="208" ht="14.25" customHeight="1">
      <c r="C208" s="71" t="s">
        <v>214</v>
      </c>
      <c r="D208" s="71" t="s">
        <v>9181</v>
      </c>
    </row>
    <row r="209" ht="14.25" customHeight="1">
      <c r="C209" s="71" t="s">
        <v>9211</v>
      </c>
      <c r="D209" s="71" t="s">
        <v>9034</v>
      </c>
    </row>
    <row r="210" ht="14.25" customHeight="1">
      <c r="D210" s="71" t="s">
        <v>8968</v>
      </c>
    </row>
    <row r="211" ht="14.25" customHeight="1">
      <c r="D211" s="71" t="s">
        <v>9195</v>
      </c>
    </row>
    <row r="212" ht="14.25" customHeight="1">
      <c r="C212" s="71" t="s">
        <v>9212</v>
      </c>
      <c r="D212" s="71" t="s">
        <v>9213</v>
      </c>
    </row>
    <row r="213" ht="14.25" customHeight="1">
      <c r="C213" s="71" t="s">
        <v>225</v>
      </c>
      <c r="D213" s="71" t="s">
        <v>9131</v>
      </c>
    </row>
    <row r="214" ht="14.25" customHeight="1">
      <c r="D214" s="71" t="s">
        <v>9043</v>
      </c>
    </row>
    <row r="215" ht="14.25" customHeight="1">
      <c r="C215" s="71" t="s">
        <v>9214</v>
      </c>
      <c r="D215" s="71" t="s">
        <v>9131</v>
      </c>
    </row>
    <row r="216" ht="14.25" customHeight="1">
      <c r="C216" s="71" t="s">
        <v>9215</v>
      </c>
      <c r="D216" s="71" t="s">
        <v>9216</v>
      </c>
    </row>
    <row r="217" ht="14.25" customHeight="1">
      <c r="C217" s="71" t="s">
        <v>245</v>
      </c>
      <c r="D217" s="71" t="s">
        <v>9043</v>
      </c>
    </row>
    <row r="218" ht="14.25" customHeight="1">
      <c r="C218" s="71" t="s">
        <v>9217</v>
      </c>
      <c r="D218" s="71" t="s">
        <v>9043</v>
      </c>
    </row>
    <row r="219" ht="14.25" customHeight="1">
      <c r="C219" s="71" t="s">
        <v>9218</v>
      </c>
      <c r="D219" s="71" t="s">
        <v>9034</v>
      </c>
    </row>
    <row r="220" ht="14.25" customHeight="1">
      <c r="C220" s="71" t="s">
        <v>8820</v>
      </c>
      <c r="D220" s="71" t="s">
        <v>9043</v>
      </c>
    </row>
    <row r="221" ht="14.25" customHeight="1">
      <c r="D221" s="71" t="s">
        <v>9219</v>
      </c>
    </row>
    <row r="222" ht="14.25" customHeight="1">
      <c r="C222" s="71" t="s">
        <v>9220</v>
      </c>
      <c r="D222" s="71" t="s">
        <v>9221</v>
      </c>
    </row>
    <row r="223" ht="14.25" customHeight="1">
      <c r="C223" s="71" t="s">
        <v>9005</v>
      </c>
      <c r="D223" s="71" t="s">
        <v>9006</v>
      </c>
    </row>
    <row r="224" ht="14.25" customHeight="1">
      <c r="C224" s="71" t="s">
        <v>2163</v>
      </c>
      <c r="D224" s="71" t="s">
        <v>8968</v>
      </c>
    </row>
    <row r="225" ht="14.25" customHeight="1">
      <c r="C225" s="71" t="s">
        <v>9222</v>
      </c>
      <c r="D225" s="71" t="s">
        <v>9131</v>
      </c>
    </row>
    <row r="226" ht="14.25" customHeight="1">
      <c r="C226" s="71" t="s">
        <v>281</v>
      </c>
      <c r="D226" s="71" t="s">
        <v>9180</v>
      </c>
    </row>
    <row r="227" ht="14.25" customHeight="1">
      <c r="D227" s="71" t="s">
        <v>9131</v>
      </c>
    </row>
    <row r="228" ht="14.25" customHeight="1">
      <c r="D228" s="71" t="s">
        <v>9043</v>
      </c>
    </row>
    <row r="229" ht="14.25" customHeight="1">
      <c r="D229" s="71" t="s">
        <v>9223</v>
      </c>
    </row>
    <row r="230" ht="14.25" customHeight="1">
      <c r="D230" s="71" t="s">
        <v>9224</v>
      </c>
    </row>
    <row r="231" ht="14.25" customHeight="1">
      <c r="C231" s="71" t="s">
        <v>9225</v>
      </c>
      <c r="D231" s="71" t="s">
        <v>9026</v>
      </c>
    </row>
    <row r="232" ht="14.25" customHeight="1">
      <c r="C232" s="71" t="s">
        <v>9226</v>
      </c>
      <c r="D232" s="71" t="s">
        <v>9131</v>
      </c>
    </row>
    <row r="233" ht="14.25" customHeight="1">
      <c r="C233" s="71" t="s">
        <v>4487</v>
      </c>
      <c r="D233" s="71" t="s">
        <v>9151</v>
      </c>
    </row>
    <row r="234" ht="14.25" customHeight="1">
      <c r="B234" s="71" t="s">
        <v>41</v>
      </c>
      <c r="C234" s="71" t="s">
        <v>81</v>
      </c>
      <c r="D234" s="71" t="s">
        <v>8994</v>
      </c>
    </row>
    <row r="235" ht="14.25" customHeight="1">
      <c r="C235" s="71" t="s">
        <v>9227</v>
      </c>
      <c r="D235" s="71" t="s">
        <v>9228</v>
      </c>
    </row>
    <row r="236" ht="14.25" customHeight="1">
      <c r="C236" s="71" t="s">
        <v>7652</v>
      </c>
      <c r="D236" s="71" t="s">
        <v>8968</v>
      </c>
    </row>
    <row r="237" ht="14.25" customHeight="1">
      <c r="C237" s="71" t="s">
        <v>9229</v>
      </c>
      <c r="D237" s="71" t="s">
        <v>9230</v>
      </c>
    </row>
    <row r="238" ht="14.25" customHeight="1">
      <c r="C238" s="71" t="s">
        <v>9231</v>
      </c>
      <c r="D238" s="71" t="s">
        <v>9232</v>
      </c>
    </row>
    <row r="239" ht="14.25" customHeight="1">
      <c r="C239" s="71" t="s">
        <v>9233</v>
      </c>
      <c r="D239" s="71" t="s">
        <v>9043</v>
      </c>
    </row>
    <row r="240" ht="14.25" customHeight="1">
      <c r="C240" s="71" t="s">
        <v>6119</v>
      </c>
      <c r="D240" s="71" t="s">
        <v>9026</v>
      </c>
    </row>
    <row r="241" ht="14.25" customHeight="1">
      <c r="C241" s="71" t="s">
        <v>9234</v>
      </c>
      <c r="D241" s="71" t="s">
        <v>9216</v>
      </c>
    </row>
    <row r="242" ht="14.25" customHeight="1">
      <c r="C242" s="71" t="s">
        <v>9235</v>
      </c>
      <c r="D242" s="71" t="s">
        <v>9180</v>
      </c>
    </row>
    <row r="243" ht="14.25" customHeight="1">
      <c r="C243" s="71" t="s">
        <v>9138</v>
      </c>
      <c r="D243" s="71" t="s">
        <v>9236</v>
      </c>
    </row>
    <row r="244" ht="14.25" customHeight="1">
      <c r="C244" s="71" t="s">
        <v>9237</v>
      </c>
      <c r="D244" s="71" t="s">
        <v>9238</v>
      </c>
    </row>
    <row r="245" ht="14.25" customHeight="1">
      <c r="C245" s="71" t="s">
        <v>9239</v>
      </c>
      <c r="D245" s="71" t="s">
        <v>9055</v>
      </c>
    </row>
    <row r="246" ht="14.25" customHeight="1">
      <c r="C246" s="71" t="s">
        <v>9240</v>
      </c>
      <c r="D246" s="71" t="s">
        <v>9055</v>
      </c>
    </row>
    <row r="247" ht="14.25" customHeight="1">
      <c r="C247" s="71" t="s">
        <v>9241</v>
      </c>
      <c r="D247" s="71" t="s">
        <v>9030</v>
      </c>
    </row>
    <row r="248" ht="14.25" customHeight="1">
      <c r="C248" s="71" t="s">
        <v>166</v>
      </c>
      <c r="D248" s="71" t="s">
        <v>9242</v>
      </c>
    </row>
    <row r="249" ht="14.25" customHeight="1">
      <c r="C249" s="71" t="s">
        <v>9211</v>
      </c>
      <c r="D249" s="71" t="s">
        <v>9190</v>
      </c>
    </row>
    <row r="250" ht="14.25" customHeight="1">
      <c r="C250" s="71" t="s">
        <v>9169</v>
      </c>
      <c r="D250" s="71" t="s">
        <v>9043</v>
      </c>
    </row>
    <row r="251" ht="14.25" customHeight="1">
      <c r="C251" s="71" t="s">
        <v>9243</v>
      </c>
      <c r="D251" s="71" t="s">
        <v>9244</v>
      </c>
    </row>
    <row r="252" ht="14.25" customHeight="1">
      <c r="C252" s="71" t="s">
        <v>250</v>
      </c>
      <c r="D252" s="71" t="s">
        <v>9245</v>
      </c>
    </row>
    <row r="253" ht="14.25" customHeight="1">
      <c r="C253" s="71" t="s">
        <v>9246</v>
      </c>
      <c r="D253" s="71" t="s">
        <v>9043</v>
      </c>
    </row>
    <row r="254" ht="14.25" customHeight="1">
      <c r="B254" s="71" t="s">
        <v>13</v>
      </c>
      <c r="C254" s="71" t="s">
        <v>9247</v>
      </c>
      <c r="D254" s="71" t="s">
        <v>8968</v>
      </c>
    </row>
    <row r="255" ht="14.25" customHeight="1">
      <c r="C255" s="71" t="s">
        <v>9248</v>
      </c>
      <c r="D255" s="71" t="s">
        <v>9249</v>
      </c>
    </row>
    <row r="256" ht="14.25" customHeight="1">
      <c r="C256" s="71" t="s">
        <v>9250</v>
      </c>
      <c r="D256" s="71" t="s">
        <v>9174</v>
      </c>
    </row>
    <row r="257" ht="14.25" customHeight="1">
      <c r="C257" s="71" t="s">
        <v>9251</v>
      </c>
      <c r="D257" s="71" t="s">
        <v>9213</v>
      </c>
    </row>
    <row r="258" ht="14.25" customHeight="1">
      <c r="C258" s="71" t="s">
        <v>9090</v>
      </c>
      <c r="D258" s="71" t="s">
        <v>9176</v>
      </c>
    </row>
    <row r="259" ht="14.25" customHeight="1">
      <c r="C259" s="71" t="s">
        <v>9252</v>
      </c>
      <c r="D259" s="71" t="s">
        <v>9176</v>
      </c>
    </row>
    <row r="260" ht="14.25" customHeight="1">
      <c r="C260" s="71" t="s">
        <v>9253</v>
      </c>
      <c r="D260" s="71" t="s">
        <v>9050</v>
      </c>
    </row>
    <row r="261" ht="14.25" customHeight="1">
      <c r="A261" s="71" t="s">
        <v>9254</v>
      </c>
      <c r="B261" s="71" t="s">
        <v>40</v>
      </c>
      <c r="C261" s="71" t="s">
        <v>9034</v>
      </c>
      <c r="D261" s="71" t="s">
        <v>9255</v>
      </c>
    </row>
    <row r="262" ht="14.25" customHeight="1">
      <c r="D262" s="71" t="s">
        <v>8978</v>
      </c>
    </row>
    <row r="263" ht="14.25" customHeight="1">
      <c r="C263" s="71" t="s">
        <v>8969</v>
      </c>
      <c r="D263" s="71" t="s">
        <v>9256</v>
      </c>
    </row>
    <row r="264" ht="14.25" customHeight="1">
      <c r="C264" s="71" t="s">
        <v>9257</v>
      </c>
      <c r="D264" s="71" t="s">
        <v>9258</v>
      </c>
    </row>
    <row r="265" ht="14.25" customHeight="1">
      <c r="C265" s="71" t="s">
        <v>9259</v>
      </c>
      <c r="D265" s="71" t="s">
        <v>8978</v>
      </c>
    </row>
    <row r="266" ht="14.25" customHeight="1">
      <c r="C266" s="71" t="s">
        <v>1889</v>
      </c>
      <c r="D266" s="71" t="s">
        <v>8978</v>
      </c>
    </row>
    <row r="267" ht="14.25" customHeight="1">
      <c r="C267" s="71" t="s">
        <v>89</v>
      </c>
      <c r="D267" s="71" t="s">
        <v>9260</v>
      </c>
    </row>
    <row r="268" ht="14.25" customHeight="1">
      <c r="C268" s="71" t="s">
        <v>9261</v>
      </c>
      <c r="D268" s="71" t="s">
        <v>9262</v>
      </c>
    </row>
    <row r="269" ht="14.25" customHeight="1">
      <c r="C269" s="71" t="s">
        <v>9263</v>
      </c>
      <c r="D269" s="71" t="s">
        <v>9050</v>
      </c>
    </row>
    <row r="270" ht="14.25" customHeight="1">
      <c r="C270" s="71" t="s">
        <v>9264</v>
      </c>
      <c r="D270" s="71" t="s">
        <v>9265</v>
      </c>
    </row>
    <row r="271" ht="14.25" customHeight="1">
      <c r="C271" s="71" t="s">
        <v>916</v>
      </c>
      <c r="D271" s="71" t="s">
        <v>8978</v>
      </c>
    </row>
    <row r="272" ht="14.25" customHeight="1">
      <c r="C272" s="71" t="s">
        <v>6182</v>
      </c>
      <c r="D272" s="71" t="s">
        <v>9266</v>
      </c>
    </row>
    <row r="273" ht="14.25" customHeight="1">
      <c r="C273" s="71" t="s">
        <v>8981</v>
      </c>
      <c r="D273" s="71" t="s">
        <v>9267</v>
      </c>
    </row>
    <row r="274" ht="14.25" customHeight="1">
      <c r="C274" s="71" t="s">
        <v>9268</v>
      </c>
      <c r="D274" s="71" t="s">
        <v>9269</v>
      </c>
    </row>
    <row r="275" ht="14.25" customHeight="1">
      <c r="C275" s="71" t="s">
        <v>9270</v>
      </c>
      <c r="D275" s="71" t="s">
        <v>9271</v>
      </c>
    </row>
    <row r="276" ht="14.25" customHeight="1">
      <c r="C276" s="71" t="s">
        <v>9272</v>
      </c>
      <c r="D276" s="71" t="s">
        <v>9273</v>
      </c>
    </row>
    <row r="277" ht="14.25" customHeight="1">
      <c r="D277" s="71" t="s">
        <v>8968</v>
      </c>
    </row>
    <row r="278" ht="14.25" customHeight="1">
      <c r="C278" s="71" t="s">
        <v>153</v>
      </c>
      <c r="D278" s="71" t="s">
        <v>9274</v>
      </c>
    </row>
    <row r="279" ht="14.25" customHeight="1">
      <c r="C279" s="71" t="s">
        <v>9275</v>
      </c>
      <c r="D279" s="71" t="s">
        <v>9276</v>
      </c>
    </row>
    <row r="280" ht="14.25" customHeight="1">
      <c r="C280" s="71" t="s">
        <v>9277</v>
      </c>
      <c r="D280" s="71" t="s">
        <v>8978</v>
      </c>
    </row>
    <row r="281" ht="14.25" customHeight="1">
      <c r="C281" s="71" t="s">
        <v>9278</v>
      </c>
      <c r="D281" s="71" t="s">
        <v>9279</v>
      </c>
    </row>
    <row r="282" ht="14.25" customHeight="1">
      <c r="C282" s="71" t="s">
        <v>8996</v>
      </c>
      <c r="D282" s="71" t="s">
        <v>8978</v>
      </c>
    </row>
    <row r="283" ht="14.25" customHeight="1">
      <c r="C283" s="71" t="s">
        <v>9280</v>
      </c>
      <c r="D283" s="71" t="s">
        <v>9281</v>
      </c>
    </row>
    <row r="284" ht="14.25" customHeight="1">
      <c r="C284" s="71" t="s">
        <v>9282</v>
      </c>
      <c r="D284" s="71" t="s">
        <v>8978</v>
      </c>
    </row>
    <row r="285" ht="14.25" customHeight="1">
      <c r="C285" s="71" t="s">
        <v>218</v>
      </c>
      <c r="D285" s="71" t="s">
        <v>8978</v>
      </c>
    </row>
    <row r="286" ht="14.25" customHeight="1">
      <c r="C286" s="71" t="s">
        <v>9283</v>
      </c>
      <c r="D286" s="71" t="s">
        <v>9284</v>
      </c>
    </row>
    <row r="287" ht="14.25" customHeight="1">
      <c r="C287" s="71" t="s">
        <v>9285</v>
      </c>
      <c r="D287" s="71" t="s">
        <v>9258</v>
      </c>
    </row>
    <row r="288" ht="14.25" customHeight="1">
      <c r="C288" s="71" t="s">
        <v>9286</v>
      </c>
      <c r="D288" s="71" t="s">
        <v>9050</v>
      </c>
    </row>
    <row r="289" ht="14.25" customHeight="1">
      <c r="C289" s="71" t="s">
        <v>9287</v>
      </c>
      <c r="D289" s="71" t="s">
        <v>8978</v>
      </c>
    </row>
    <row r="290" ht="14.25" customHeight="1">
      <c r="C290" s="71" t="s">
        <v>4165</v>
      </c>
      <c r="D290" s="71" t="s">
        <v>9265</v>
      </c>
    </row>
    <row r="291" ht="14.25" customHeight="1">
      <c r="C291" s="71" t="s">
        <v>4171</v>
      </c>
      <c r="D291" s="71" t="s">
        <v>8978</v>
      </c>
    </row>
    <row r="292" ht="14.25" customHeight="1">
      <c r="C292" s="71" t="s">
        <v>9288</v>
      </c>
      <c r="D292" s="71" t="s">
        <v>9289</v>
      </c>
    </row>
    <row r="293" ht="14.25" customHeight="1">
      <c r="C293" s="71" t="s">
        <v>9290</v>
      </c>
      <c r="D293" s="71" t="s">
        <v>8968</v>
      </c>
    </row>
    <row r="294" ht="14.25" customHeight="1">
      <c r="C294" s="71" t="s">
        <v>9160</v>
      </c>
      <c r="D294" s="71" t="s">
        <v>9291</v>
      </c>
    </row>
    <row r="295" ht="14.25" customHeight="1">
      <c r="D295" s="71" t="s">
        <v>9292</v>
      </c>
    </row>
    <row r="296" ht="14.25" customHeight="1">
      <c r="C296" s="71" t="s">
        <v>9293</v>
      </c>
      <c r="D296" s="71" t="s">
        <v>9109</v>
      </c>
    </row>
    <row r="297" ht="14.25" customHeight="1">
      <c r="C297" s="71" t="s">
        <v>2163</v>
      </c>
      <c r="D297" s="71" t="s">
        <v>9294</v>
      </c>
    </row>
    <row r="298" ht="14.25" customHeight="1">
      <c r="C298" s="71" t="s">
        <v>9295</v>
      </c>
      <c r="D298" s="71" t="s">
        <v>8978</v>
      </c>
    </row>
    <row r="299" ht="14.25" customHeight="1">
      <c r="C299" s="71" t="s">
        <v>9296</v>
      </c>
      <c r="D299" s="71" t="s">
        <v>8978</v>
      </c>
    </row>
    <row r="300" ht="14.25" customHeight="1">
      <c r="C300" s="71" t="s">
        <v>9297</v>
      </c>
      <c r="D300" s="71" t="s">
        <v>9298</v>
      </c>
    </row>
    <row r="301" ht="14.25" customHeight="1">
      <c r="A301" s="71" t="s">
        <v>9299</v>
      </c>
      <c r="B301" s="71" t="s">
        <v>41</v>
      </c>
      <c r="C301" s="71" t="s">
        <v>9300</v>
      </c>
      <c r="D301" s="71" t="s">
        <v>9301</v>
      </c>
    </row>
    <row r="302" ht="14.25" customHeight="1">
      <c r="C302" s="71" t="s">
        <v>9302</v>
      </c>
      <c r="D302" s="71" t="s">
        <v>8968</v>
      </c>
    </row>
    <row r="303" ht="14.25" customHeight="1">
      <c r="C303" s="71" t="s">
        <v>9303</v>
      </c>
      <c r="D303" s="71" t="s">
        <v>9304</v>
      </c>
    </row>
    <row r="304" ht="14.25" customHeight="1">
      <c r="C304" s="71" t="s">
        <v>9160</v>
      </c>
      <c r="D304" s="71" t="s">
        <v>9305</v>
      </c>
    </row>
    <row r="305" ht="14.25" customHeight="1">
      <c r="B305" s="71" t="s">
        <v>13</v>
      </c>
      <c r="C305" s="71" t="s">
        <v>8969</v>
      </c>
      <c r="D305" s="71" t="s">
        <v>9306</v>
      </c>
    </row>
    <row r="306" ht="14.25" customHeight="1">
      <c r="C306" s="71" t="s">
        <v>9307</v>
      </c>
      <c r="D306" s="71" t="s">
        <v>9308</v>
      </c>
    </row>
    <row r="307" ht="14.25" customHeight="1">
      <c r="A307" s="71" t="s">
        <v>9309</v>
      </c>
      <c r="B307" s="71" t="s">
        <v>41</v>
      </c>
      <c r="C307" s="71" t="s">
        <v>8969</v>
      </c>
      <c r="D307" s="71" t="s">
        <v>9256</v>
      </c>
    </row>
    <row r="308" ht="14.25" customHeight="1">
      <c r="C308" s="71" t="s">
        <v>9310</v>
      </c>
      <c r="D308" s="71" t="s">
        <v>9034</v>
      </c>
    </row>
    <row r="309" ht="14.25" customHeight="1">
      <c r="D309" s="71" t="s">
        <v>9281</v>
      </c>
    </row>
    <row r="310" ht="14.25" customHeight="1">
      <c r="D310" s="71" t="s">
        <v>9311</v>
      </c>
    </row>
    <row r="311" ht="14.25" customHeight="1">
      <c r="D311" s="71" t="s">
        <v>9086</v>
      </c>
    </row>
    <row r="312" ht="14.25" customHeight="1">
      <c r="C312" s="71" t="s">
        <v>9312</v>
      </c>
      <c r="D312" s="71" t="s">
        <v>9281</v>
      </c>
    </row>
    <row r="313" ht="14.25" customHeight="1">
      <c r="C313" s="71" t="s">
        <v>9313</v>
      </c>
      <c r="D313" s="71" t="s">
        <v>9034</v>
      </c>
    </row>
    <row r="314" ht="14.25" customHeight="1">
      <c r="D314" s="71" t="s">
        <v>9281</v>
      </c>
    </row>
    <row r="315" ht="14.25" customHeight="1">
      <c r="D315" s="71" t="s">
        <v>9314</v>
      </c>
    </row>
    <row r="316" ht="14.25" customHeight="1">
      <c r="D316" s="71" t="s">
        <v>8968</v>
      </c>
    </row>
    <row r="317" ht="14.25" customHeight="1">
      <c r="D317" s="71" t="s">
        <v>9315</v>
      </c>
    </row>
    <row r="318" ht="14.25" customHeight="1">
      <c r="C318" s="71" t="s">
        <v>9172</v>
      </c>
      <c r="D318" s="71" t="s">
        <v>8978</v>
      </c>
    </row>
    <row r="319" ht="14.25" customHeight="1">
      <c r="C319" s="71" t="s">
        <v>9316</v>
      </c>
      <c r="D319" s="71" t="s">
        <v>9317</v>
      </c>
    </row>
    <row r="320" ht="14.25" customHeight="1">
      <c r="C320" s="71" t="s">
        <v>9318</v>
      </c>
      <c r="D320" s="71" t="s">
        <v>9319</v>
      </c>
    </row>
    <row r="321" ht="14.25" customHeight="1">
      <c r="C321" s="71" t="s">
        <v>9320</v>
      </c>
      <c r="D321" s="71" t="s">
        <v>9131</v>
      </c>
    </row>
    <row r="322" ht="14.25" customHeight="1">
      <c r="D322" s="71" t="s">
        <v>9321</v>
      </c>
    </row>
    <row r="323" ht="14.25" customHeight="1">
      <c r="C323" s="71" t="s">
        <v>9322</v>
      </c>
      <c r="D323" s="71" t="s">
        <v>9281</v>
      </c>
    </row>
    <row r="324" ht="14.25" customHeight="1">
      <c r="C324" s="71" t="s">
        <v>9323</v>
      </c>
      <c r="D324" s="71" t="s">
        <v>9324</v>
      </c>
    </row>
    <row r="325" ht="14.25" customHeight="1">
      <c r="D325" s="71" t="s">
        <v>8968</v>
      </c>
    </row>
    <row r="326" ht="14.25" customHeight="1">
      <c r="C326" s="71" t="s">
        <v>9325</v>
      </c>
      <c r="D326" s="71" t="s">
        <v>9326</v>
      </c>
    </row>
    <row r="327" ht="14.25" customHeight="1">
      <c r="C327" s="71" t="s">
        <v>9327</v>
      </c>
      <c r="D327" s="71" t="s">
        <v>9328</v>
      </c>
    </row>
    <row r="328" ht="14.25" customHeight="1">
      <c r="C328" s="71" t="s">
        <v>9329</v>
      </c>
      <c r="D328" s="71" t="s">
        <v>9131</v>
      </c>
    </row>
    <row r="329" ht="14.25" customHeight="1">
      <c r="C329" s="71" t="s">
        <v>9330</v>
      </c>
      <c r="D329" s="71" t="s">
        <v>9281</v>
      </c>
    </row>
    <row r="330" ht="14.25" customHeight="1">
      <c r="C330" s="71" t="s">
        <v>9331</v>
      </c>
      <c r="D330" s="71" t="s">
        <v>8978</v>
      </c>
    </row>
    <row r="331" ht="14.25" customHeight="1">
      <c r="C331" s="71" t="s">
        <v>9280</v>
      </c>
      <c r="D331" s="71" t="s">
        <v>9324</v>
      </c>
    </row>
    <row r="332" ht="14.25" customHeight="1">
      <c r="D332" s="71" t="s">
        <v>8968</v>
      </c>
    </row>
    <row r="333" ht="14.25" customHeight="1">
      <c r="D333" s="71" t="s">
        <v>9332</v>
      </c>
    </row>
    <row r="334" ht="14.25" customHeight="1">
      <c r="C334" s="71" t="s">
        <v>9333</v>
      </c>
      <c r="D334" s="71" t="s">
        <v>9034</v>
      </c>
    </row>
    <row r="335" ht="14.25" customHeight="1">
      <c r="D335" s="71" t="s">
        <v>9281</v>
      </c>
    </row>
    <row r="336" ht="14.25" customHeight="1">
      <c r="C336" s="71" t="s">
        <v>9334</v>
      </c>
      <c r="D336" s="71" t="s">
        <v>9335</v>
      </c>
    </row>
    <row r="337" ht="14.25" customHeight="1">
      <c r="C337" s="71" t="s">
        <v>4035</v>
      </c>
      <c r="D337" s="71" t="s">
        <v>9281</v>
      </c>
    </row>
    <row r="338" ht="14.25" customHeight="1">
      <c r="C338" s="71" t="s">
        <v>9336</v>
      </c>
      <c r="D338" s="71" t="s">
        <v>9337</v>
      </c>
    </row>
    <row r="339" ht="14.25" customHeight="1">
      <c r="C339" s="71" t="s">
        <v>9338</v>
      </c>
      <c r="D339" s="71" t="s">
        <v>8978</v>
      </c>
    </row>
    <row r="340" ht="14.25" customHeight="1">
      <c r="B340" s="71" t="s">
        <v>13</v>
      </c>
      <c r="C340" s="71" t="s">
        <v>9313</v>
      </c>
      <c r="D340" s="71" t="s">
        <v>9326</v>
      </c>
    </row>
    <row r="341" ht="14.25" customHeight="1">
      <c r="A341" s="71" t="s">
        <v>9339</v>
      </c>
      <c r="B341" s="71" t="s">
        <v>40</v>
      </c>
      <c r="C341" s="71" t="s">
        <v>9340</v>
      </c>
      <c r="D341" s="71" t="s">
        <v>9341</v>
      </c>
    </row>
    <row r="342" ht="14.25" customHeight="1">
      <c r="C342" s="71" t="s">
        <v>9342</v>
      </c>
      <c r="D342" s="71" t="s">
        <v>8978</v>
      </c>
    </row>
    <row r="343" ht="14.25" customHeight="1">
      <c r="C343" s="71" t="s">
        <v>8969</v>
      </c>
      <c r="D343" s="71" t="s">
        <v>8968</v>
      </c>
    </row>
    <row r="344" ht="14.25" customHeight="1">
      <c r="D344" s="71" t="s">
        <v>9256</v>
      </c>
    </row>
    <row r="345" ht="14.25" customHeight="1">
      <c r="D345" s="71" t="s">
        <v>8978</v>
      </c>
    </row>
    <row r="346" ht="14.25" customHeight="1">
      <c r="C346" s="71" t="s">
        <v>2379</v>
      </c>
      <c r="D346" s="71" t="s">
        <v>9343</v>
      </c>
    </row>
    <row r="347" ht="14.25" customHeight="1">
      <c r="D347" s="71" t="s">
        <v>9344</v>
      </c>
    </row>
    <row r="348" ht="14.25" customHeight="1">
      <c r="D348" s="71" t="s">
        <v>9345</v>
      </c>
    </row>
    <row r="349" ht="14.25" customHeight="1">
      <c r="C349" s="71" t="s">
        <v>9346</v>
      </c>
      <c r="D349" s="71" t="s">
        <v>8978</v>
      </c>
    </row>
    <row r="350" ht="14.25" customHeight="1">
      <c r="C350" s="71" t="s">
        <v>9347</v>
      </c>
      <c r="D350" s="71" t="s">
        <v>9348</v>
      </c>
    </row>
    <row r="351" ht="14.25" customHeight="1">
      <c r="C351" s="71" t="s">
        <v>9349</v>
      </c>
      <c r="D351" s="71" t="s">
        <v>8978</v>
      </c>
    </row>
    <row r="352" ht="14.25" customHeight="1">
      <c r="C352" s="71" t="s">
        <v>9350</v>
      </c>
      <c r="D352" s="71" t="s">
        <v>8978</v>
      </c>
    </row>
    <row r="353" ht="14.25" customHeight="1">
      <c r="C353" s="71" t="s">
        <v>9351</v>
      </c>
      <c r="D353" s="71" t="s">
        <v>9266</v>
      </c>
    </row>
    <row r="354" ht="14.25" customHeight="1">
      <c r="D354" s="71" t="s">
        <v>9352</v>
      </c>
    </row>
    <row r="355" ht="14.25" customHeight="1">
      <c r="C355" s="71" t="s">
        <v>9353</v>
      </c>
      <c r="D355" s="71" t="s">
        <v>9354</v>
      </c>
    </row>
    <row r="356" ht="14.25" customHeight="1">
      <c r="C356" s="71" t="s">
        <v>9355</v>
      </c>
      <c r="D356" s="71" t="s">
        <v>8978</v>
      </c>
    </row>
    <row r="357" ht="14.25" customHeight="1">
      <c r="C357" s="71" t="s">
        <v>9015</v>
      </c>
      <c r="D357" s="71" t="s">
        <v>9356</v>
      </c>
    </row>
    <row r="358" ht="14.25" customHeight="1">
      <c r="C358" s="71" t="s">
        <v>9357</v>
      </c>
      <c r="D358" s="71" t="s">
        <v>8968</v>
      </c>
    </row>
    <row r="359" ht="14.25" customHeight="1">
      <c r="D359" s="71" t="s">
        <v>8978</v>
      </c>
    </row>
    <row r="360" ht="14.25" customHeight="1">
      <c r="C360" s="71" t="s">
        <v>9358</v>
      </c>
      <c r="D360" s="71" t="s">
        <v>9258</v>
      </c>
    </row>
    <row r="361" ht="14.25" customHeight="1">
      <c r="C361" s="71" t="s">
        <v>2669</v>
      </c>
      <c r="D361" s="71" t="s">
        <v>9345</v>
      </c>
    </row>
    <row r="362" ht="14.25" customHeight="1">
      <c r="D362" s="71" t="s">
        <v>9359</v>
      </c>
    </row>
    <row r="363" ht="14.25" customHeight="1">
      <c r="D363" s="71" t="s">
        <v>8978</v>
      </c>
    </row>
    <row r="364" ht="14.25" customHeight="1">
      <c r="D364" s="71" t="s">
        <v>9360</v>
      </c>
    </row>
    <row r="365" ht="14.25" customHeight="1">
      <c r="C365" s="71" t="s">
        <v>9361</v>
      </c>
      <c r="D365" s="71" t="s">
        <v>8968</v>
      </c>
    </row>
    <row r="366" ht="14.25" customHeight="1">
      <c r="C366" s="71" t="s">
        <v>9362</v>
      </c>
      <c r="D366" s="71" t="s">
        <v>9345</v>
      </c>
    </row>
    <row r="367" ht="14.25" customHeight="1">
      <c r="C367" s="71" t="s">
        <v>9363</v>
      </c>
      <c r="D367" s="71" t="s">
        <v>8978</v>
      </c>
    </row>
    <row r="368" ht="14.25" customHeight="1">
      <c r="C368" s="71" t="s">
        <v>9364</v>
      </c>
      <c r="D368" s="71" t="s">
        <v>8978</v>
      </c>
    </row>
    <row r="369" ht="14.25" customHeight="1">
      <c r="C369" s="71" t="s">
        <v>9365</v>
      </c>
      <c r="D369" s="71" t="s">
        <v>9366</v>
      </c>
    </row>
    <row r="370" ht="14.25" customHeight="1">
      <c r="C370" s="71" t="s">
        <v>916</v>
      </c>
      <c r="D370" s="71" t="s">
        <v>8968</v>
      </c>
    </row>
    <row r="371" ht="14.25" customHeight="1">
      <c r="D371" s="71" t="s">
        <v>8978</v>
      </c>
    </row>
    <row r="372" ht="14.25" customHeight="1">
      <c r="C372" s="71" t="s">
        <v>9367</v>
      </c>
      <c r="D372" s="71" t="s">
        <v>9368</v>
      </c>
    </row>
    <row r="373" ht="14.25" customHeight="1">
      <c r="C373" s="71" t="s">
        <v>8981</v>
      </c>
      <c r="D373" s="71" t="s">
        <v>9258</v>
      </c>
    </row>
    <row r="374" ht="14.25" customHeight="1">
      <c r="D374" s="71" t="s">
        <v>8978</v>
      </c>
    </row>
    <row r="375" ht="14.25" customHeight="1">
      <c r="C375" s="71" t="s">
        <v>1051</v>
      </c>
      <c r="D375" s="71" t="s">
        <v>9369</v>
      </c>
    </row>
    <row r="376" ht="14.25" customHeight="1">
      <c r="D376" s="71" t="s">
        <v>8978</v>
      </c>
    </row>
    <row r="377" ht="14.25" customHeight="1">
      <c r="C377" s="71" t="s">
        <v>9370</v>
      </c>
      <c r="D377" s="71" t="s">
        <v>8968</v>
      </c>
    </row>
    <row r="378" ht="14.25" customHeight="1">
      <c r="D378" s="71" t="s">
        <v>8978</v>
      </c>
    </row>
    <row r="379" ht="14.25" customHeight="1">
      <c r="C379" s="71" t="s">
        <v>3138</v>
      </c>
      <c r="D379" s="71" t="s">
        <v>8978</v>
      </c>
    </row>
    <row r="380" ht="14.25" customHeight="1">
      <c r="C380" s="71" t="s">
        <v>9303</v>
      </c>
      <c r="D380" s="71" t="s">
        <v>9371</v>
      </c>
    </row>
    <row r="381" ht="14.25" customHeight="1">
      <c r="C381" s="71" t="s">
        <v>9372</v>
      </c>
      <c r="D381" s="71" t="s">
        <v>9373</v>
      </c>
    </row>
    <row r="382" ht="14.25" customHeight="1">
      <c r="C382" s="71" t="s">
        <v>9374</v>
      </c>
      <c r="D382" s="71" t="s">
        <v>8968</v>
      </c>
    </row>
    <row r="383" ht="14.25" customHeight="1">
      <c r="C383" s="71" t="s">
        <v>9375</v>
      </c>
      <c r="D383" s="71" t="s">
        <v>8968</v>
      </c>
    </row>
    <row r="384" ht="14.25" customHeight="1">
      <c r="C384" s="71" t="s">
        <v>9376</v>
      </c>
      <c r="D384" s="71" t="s">
        <v>8978</v>
      </c>
    </row>
    <row r="385" ht="14.25" customHeight="1">
      <c r="C385" s="71" t="s">
        <v>9377</v>
      </c>
      <c r="D385" s="71" t="s">
        <v>9118</v>
      </c>
    </row>
    <row r="386" ht="14.25" customHeight="1">
      <c r="C386" s="71" t="s">
        <v>9272</v>
      </c>
      <c r="D386" s="71" t="s">
        <v>8978</v>
      </c>
    </row>
    <row r="387" ht="14.25" customHeight="1">
      <c r="C387" s="71" t="s">
        <v>9378</v>
      </c>
      <c r="D387" s="71" t="s">
        <v>8978</v>
      </c>
    </row>
    <row r="388" ht="14.25" customHeight="1">
      <c r="C388" s="71" t="s">
        <v>9379</v>
      </c>
      <c r="D388" s="71" t="s">
        <v>9380</v>
      </c>
    </row>
    <row r="389" ht="14.25" customHeight="1">
      <c r="C389" s="71" t="s">
        <v>9275</v>
      </c>
      <c r="D389" s="71" t="s">
        <v>8968</v>
      </c>
    </row>
    <row r="390" ht="14.25" customHeight="1">
      <c r="D390" s="71" t="s">
        <v>8978</v>
      </c>
    </row>
    <row r="391" ht="14.25" customHeight="1">
      <c r="D391" s="71" t="s">
        <v>9381</v>
      </c>
    </row>
    <row r="392" ht="14.25" customHeight="1">
      <c r="C392" s="71" t="s">
        <v>9382</v>
      </c>
      <c r="D392" s="71" t="s">
        <v>9383</v>
      </c>
    </row>
    <row r="393" ht="14.25" customHeight="1">
      <c r="D393" s="71" t="s">
        <v>9384</v>
      </c>
    </row>
    <row r="394" ht="14.25" customHeight="1">
      <c r="D394" s="71" t="s">
        <v>8978</v>
      </c>
    </row>
    <row r="395" ht="14.25" customHeight="1">
      <c r="C395" s="71" t="s">
        <v>9385</v>
      </c>
      <c r="D395" s="71" t="s">
        <v>8978</v>
      </c>
    </row>
    <row r="396" ht="14.25" customHeight="1">
      <c r="C396" s="71" t="s">
        <v>173</v>
      </c>
      <c r="D396" s="71" t="s">
        <v>9258</v>
      </c>
    </row>
    <row r="397" ht="14.25" customHeight="1">
      <c r="D397" s="71" t="s">
        <v>8978</v>
      </c>
    </row>
    <row r="398" ht="14.25" customHeight="1">
      <c r="C398" s="71" t="s">
        <v>9386</v>
      </c>
      <c r="D398" s="71" t="s">
        <v>9345</v>
      </c>
    </row>
    <row r="399" ht="14.25" customHeight="1">
      <c r="C399" s="71" t="s">
        <v>9387</v>
      </c>
      <c r="D399" s="71" t="s">
        <v>8978</v>
      </c>
    </row>
    <row r="400" ht="14.25" customHeight="1">
      <c r="C400" s="71" t="s">
        <v>3566</v>
      </c>
      <c r="D400" s="71" t="s">
        <v>9388</v>
      </c>
    </row>
    <row r="401" ht="14.25" customHeight="1">
      <c r="D401" s="71" t="s">
        <v>9345</v>
      </c>
    </row>
    <row r="402" ht="14.25" customHeight="1">
      <c r="D402" s="71" t="s">
        <v>8968</v>
      </c>
    </row>
    <row r="403" ht="14.25" customHeight="1">
      <c r="D403" s="71" t="s">
        <v>8978</v>
      </c>
    </row>
    <row r="404" ht="14.25" customHeight="1">
      <c r="C404" s="71" t="s">
        <v>9389</v>
      </c>
      <c r="D404" s="71" t="s">
        <v>8968</v>
      </c>
    </row>
    <row r="405" ht="14.25" customHeight="1">
      <c r="C405" s="71" t="s">
        <v>9390</v>
      </c>
      <c r="D405" s="71" t="s">
        <v>9002</v>
      </c>
    </row>
    <row r="406" ht="14.25" customHeight="1">
      <c r="D406" s="71" t="s">
        <v>8978</v>
      </c>
    </row>
    <row r="407" ht="14.25" customHeight="1">
      <c r="C407" s="71" t="s">
        <v>9277</v>
      </c>
      <c r="D407" s="71" t="s">
        <v>9391</v>
      </c>
    </row>
    <row r="408" ht="14.25" customHeight="1">
      <c r="D408" s="71" t="s">
        <v>8978</v>
      </c>
    </row>
    <row r="409" ht="14.25" customHeight="1">
      <c r="C409" s="71" t="s">
        <v>9392</v>
      </c>
      <c r="D409" s="71" t="s">
        <v>8978</v>
      </c>
    </row>
    <row r="410" ht="14.25" customHeight="1">
      <c r="C410" s="71" t="s">
        <v>9280</v>
      </c>
      <c r="D410" s="71" t="s">
        <v>9034</v>
      </c>
    </row>
    <row r="411" ht="14.25" customHeight="1">
      <c r="D411" s="71" t="s">
        <v>8978</v>
      </c>
    </row>
    <row r="412" ht="14.25" customHeight="1">
      <c r="C412" s="71" t="s">
        <v>9282</v>
      </c>
      <c r="D412" s="71" t="s">
        <v>8978</v>
      </c>
    </row>
    <row r="413" ht="14.25" customHeight="1">
      <c r="C413" s="71" t="s">
        <v>9393</v>
      </c>
      <c r="D413" s="71" t="s">
        <v>9394</v>
      </c>
    </row>
    <row r="414" ht="14.25" customHeight="1">
      <c r="D414" s="71" t="s">
        <v>8978</v>
      </c>
    </row>
    <row r="415" ht="14.25" customHeight="1">
      <c r="C415" s="71" t="s">
        <v>9395</v>
      </c>
      <c r="D415" s="71" t="s">
        <v>8978</v>
      </c>
    </row>
    <row r="416" ht="14.25" customHeight="1">
      <c r="C416" s="71" t="s">
        <v>218</v>
      </c>
      <c r="D416" s="71" t="s">
        <v>9258</v>
      </c>
    </row>
    <row r="417" ht="14.25" customHeight="1">
      <c r="D417" s="71" t="s">
        <v>9256</v>
      </c>
    </row>
    <row r="418" ht="14.25" customHeight="1">
      <c r="D418" s="71" t="s">
        <v>8978</v>
      </c>
    </row>
    <row r="419" ht="14.25" customHeight="1">
      <c r="C419" s="71" t="s">
        <v>9396</v>
      </c>
      <c r="D419" s="71" t="s">
        <v>8978</v>
      </c>
    </row>
    <row r="420" ht="14.25" customHeight="1">
      <c r="C420" s="71" t="s">
        <v>9397</v>
      </c>
      <c r="D420" s="71" t="s">
        <v>8978</v>
      </c>
    </row>
    <row r="421" ht="14.25" customHeight="1">
      <c r="C421" s="71" t="s">
        <v>9286</v>
      </c>
      <c r="D421" s="71" t="s">
        <v>8968</v>
      </c>
    </row>
    <row r="422" ht="14.25" customHeight="1">
      <c r="C422" s="71" t="s">
        <v>9398</v>
      </c>
      <c r="D422" s="71" t="s">
        <v>9034</v>
      </c>
    </row>
    <row r="423" ht="14.25" customHeight="1">
      <c r="C423" s="71" t="s">
        <v>9399</v>
      </c>
      <c r="D423" s="71" t="s">
        <v>9258</v>
      </c>
    </row>
    <row r="424" ht="14.25" customHeight="1">
      <c r="C424" s="71" t="s">
        <v>9400</v>
      </c>
      <c r="D424" s="71" t="s">
        <v>9258</v>
      </c>
    </row>
    <row r="425" ht="14.25" customHeight="1">
      <c r="C425" s="71" t="s">
        <v>9401</v>
      </c>
      <c r="D425" s="71" t="s">
        <v>9391</v>
      </c>
    </row>
    <row r="426" ht="14.25" customHeight="1">
      <c r="D426" s="71" t="s">
        <v>8978</v>
      </c>
    </row>
    <row r="427" ht="14.25" customHeight="1">
      <c r="C427" s="71" t="s">
        <v>9402</v>
      </c>
      <c r="D427" s="71" t="s">
        <v>8978</v>
      </c>
    </row>
    <row r="428" ht="14.25" customHeight="1">
      <c r="C428" s="71" t="s">
        <v>9403</v>
      </c>
      <c r="D428" s="71" t="s">
        <v>9404</v>
      </c>
    </row>
    <row r="429" ht="14.25" customHeight="1">
      <c r="C429" s="71" t="s">
        <v>9405</v>
      </c>
      <c r="D429" s="71" t="s">
        <v>8978</v>
      </c>
    </row>
    <row r="430" ht="14.25" customHeight="1">
      <c r="C430" s="71" t="s">
        <v>244</v>
      </c>
      <c r="D430" s="71" t="s">
        <v>9406</v>
      </c>
    </row>
    <row r="431" ht="14.25" customHeight="1">
      <c r="C431" s="71" t="s">
        <v>9407</v>
      </c>
      <c r="D431" s="71" t="s">
        <v>8968</v>
      </c>
    </row>
    <row r="432" ht="14.25" customHeight="1">
      <c r="C432" s="71" t="s">
        <v>9408</v>
      </c>
      <c r="D432" s="71" t="s">
        <v>9383</v>
      </c>
    </row>
    <row r="433" ht="14.25" customHeight="1">
      <c r="C433" s="71" t="s">
        <v>9409</v>
      </c>
      <c r="D433" s="71" t="s">
        <v>9345</v>
      </c>
    </row>
    <row r="434" ht="14.25" customHeight="1">
      <c r="C434" s="71" t="s">
        <v>9090</v>
      </c>
      <c r="D434" s="71" t="s">
        <v>8976</v>
      </c>
    </row>
    <row r="435" ht="14.25" customHeight="1">
      <c r="C435" s="71" t="s">
        <v>9160</v>
      </c>
      <c r="D435" s="71" t="s">
        <v>9292</v>
      </c>
    </row>
    <row r="436" ht="14.25" customHeight="1">
      <c r="C436" s="71" t="s">
        <v>4281</v>
      </c>
      <c r="D436" s="71" t="s">
        <v>9410</v>
      </c>
    </row>
    <row r="437" ht="14.25" customHeight="1">
      <c r="C437" s="71" t="s">
        <v>2089</v>
      </c>
      <c r="D437" s="71" t="s">
        <v>9345</v>
      </c>
    </row>
    <row r="438" ht="14.25" customHeight="1">
      <c r="C438" s="71" t="s">
        <v>9411</v>
      </c>
      <c r="D438" s="71" t="s">
        <v>9258</v>
      </c>
    </row>
    <row r="439" ht="14.25" customHeight="1">
      <c r="C439" s="71" t="s">
        <v>9412</v>
      </c>
      <c r="D439" s="71" t="s">
        <v>8968</v>
      </c>
    </row>
    <row r="440" ht="14.25" customHeight="1">
      <c r="D440" s="71" t="s">
        <v>8978</v>
      </c>
    </row>
    <row r="441" ht="14.25" customHeight="1">
      <c r="C441" s="71" t="s">
        <v>9007</v>
      </c>
      <c r="D441" s="71" t="s">
        <v>9006</v>
      </c>
    </row>
    <row r="442" ht="14.25" customHeight="1">
      <c r="C442" s="71" t="s">
        <v>274</v>
      </c>
      <c r="D442" s="71" t="s">
        <v>9319</v>
      </c>
    </row>
    <row r="443" ht="14.25" customHeight="1">
      <c r="D443" s="71" t="s">
        <v>8968</v>
      </c>
    </row>
    <row r="444" ht="14.25" customHeight="1">
      <c r="D444" s="71" t="s">
        <v>8978</v>
      </c>
    </row>
    <row r="445" ht="14.25" customHeight="1">
      <c r="C445" s="71" t="s">
        <v>7351</v>
      </c>
      <c r="D445" s="71" t="s">
        <v>9413</v>
      </c>
    </row>
    <row r="446" ht="14.25" customHeight="1">
      <c r="C446" s="71" t="s">
        <v>9414</v>
      </c>
      <c r="D446" s="71" t="s">
        <v>8978</v>
      </c>
    </row>
    <row r="447" ht="14.25" customHeight="1">
      <c r="B447" s="71" t="s">
        <v>41</v>
      </c>
      <c r="C447" s="71" t="s">
        <v>8969</v>
      </c>
      <c r="D447" s="71" t="s">
        <v>9306</v>
      </c>
    </row>
    <row r="448" ht="14.25" customHeight="1">
      <c r="D448" s="71" t="s">
        <v>9256</v>
      </c>
    </row>
    <row r="449" ht="14.25" customHeight="1">
      <c r="D449" s="71" t="s">
        <v>8978</v>
      </c>
    </row>
    <row r="450" ht="14.25" customHeight="1">
      <c r="D450" s="71" t="s">
        <v>9415</v>
      </c>
    </row>
    <row r="451" ht="14.25" customHeight="1">
      <c r="C451" s="71" t="s">
        <v>9416</v>
      </c>
      <c r="D451" s="71" t="s">
        <v>9258</v>
      </c>
    </row>
    <row r="452" ht="14.25" customHeight="1">
      <c r="D452" s="71" t="s">
        <v>8978</v>
      </c>
    </row>
    <row r="453" ht="14.25" customHeight="1">
      <c r="C453" s="71" t="s">
        <v>9417</v>
      </c>
      <c r="D453" s="71" t="s">
        <v>8968</v>
      </c>
    </row>
    <row r="454" ht="14.25" customHeight="1">
      <c r="C454" s="71" t="s">
        <v>9418</v>
      </c>
      <c r="D454" s="71" t="s">
        <v>8978</v>
      </c>
    </row>
    <row r="455" ht="14.25" customHeight="1">
      <c r="C455" s="71" t="s">
        <v>9261</v>
      </c>
      <c r="D455" s="71" t="s">
        <v>9388</v>
      </c>
    </row>
    <row r="456" ht="14.25" customHeight="1">
      <c r="C456" s="71" t="s">
        <v>2669</v>
      </c>
      <c r="D456" s="71" t="s">
        <v>8968</v>
      </c>
    </row>
    <row r="457" ht="14.25" customHeight="1">
      <c r="C457" s="71" t="s">
        <v>9419</v>
      </c>
      <c r="D457" s="71" t="s">
        <v>8978</v>
      </c>
    </row>
    <row r="458" ht="14.25" customHeight="1">
      <c r="C458" s="71" t="s">
        <v>916</v>
      </c>
      <c r="D458" s="71" t="s">
        <v>8978</v>
      </c>
    </row>
    <row r="459" ht="14.25" customHeight="1">
      <c r="C459" s="71" t="s">
        <v>9420</v>
      </c>
      <c r="D459" s="71" t="s">
        <v>9421</v>
      </c>
    </row>
    <row r="460" ht="14.25" customHeight="1">
      <c r="C460" s="71" t="s">
        <v>9422</v>
      </c>
      <c r="D460" s="71" t="s">
        <v>9423</v>
      </c>
    </row>
    <row r="461" ht="14.25" customHeight="1">
      <c r="C461" s="71" t="s">
        <v>9424</v>
      </c>
      <c r="D461" s="71" t="s">
        <v>9345</v>
      </c>
    </row>
    <row r="462" ht="14.25" customHeight="1">
      <c r="C462" s="71" t="s">
        <v>9425</v>
      </c>
      <c r="D462" s="71" t="s">
        <v>8978</v>
      </c>
    </row>
    <row r="463" ht="14.25" customHeight="1">
      <c r="C463" s="71" t="s">
        <v>9426</v>
      </c>
      <c r="D463" s="71" t="s">
        <v>8978</v>
      </c>
    </row>
    <row r="464" ht="14.25" customHeight="1">
      <c r="C464" s="71" t="s">
        <v>9303</v>
      </c>
      <c r="D464" s="71" t="s">
        <v>9258</v>
      </c>
    </row>
    <row r="465" ht="14.25" customHeight="1">
      <c r="C465" s="71" t="s">
        <v>9374</v>
      </c>
      <c r="D465" s="71" t="s">
        <v>8978</v>
      </c>
    </row>
    <row r="466" ht="14.25" customHeight="1">
      <c r="C466" s="71" t="s">
        <v>9272</v>
      </c>
      <c r="D466" s="71" t="s">
        <v>8978</v>
      </c>
    </row>
    <row r="467" ht="14.25" customHeight="1">
      <c r="C467" s="71" t="s">
        <v>9275</v>
      </c>
      <c r="D467" s="71" t="s">
        <v>8978</v>
      </c>
    </row>
    <row r="468" ht="14.25" customHeight="1">
      <c r="C468" s="71" t="s">
        <v>9330</v>
      </c>
      <c r="D468" s="71" t="s">
        <v>8978</v>
      </c>
    </row>
    <row r="469" ht="14.25" customHeight="1">
      <c r="C469" s="71" t="s">
        <v>9427</v>
      </c>
      <c r="D469" s="71" t="s">
        <v>8978</v>
      </c>
    </row>
    <row r="470" ht="14.25" customHeight="1">
      <c r="C470" s="71" t="s">
        <v>9428</v>
      </c>
      <c r="D470" s="71" t="s">
        <v>9256</v>
      </c>
    </row>
    <row r="471" ht="14.25" customHeight="1">
      <c r="C471" s="71" t="s">
        <v>3566</v>
      </c>
      <c r="D471" s="71" t="s">
        <v>8978</v>
      </c>
    </row>
    <row r="472" ht="14.25" customHeight="1">
      <c r="C472" s="71" t="s">
        <v>9429</v>
      </c>
      <c r="D472" s="71" t="s">
        <v>8978</v>
      </c>
    </row>
    <row r="473" ht="14.25" customHeight="1">
      <c r="C473" s="71" t="s">
        <v>9390</v>
      </c>
      <c r="D473" s="71" t="s">
        <v>9314</v>
      </c>
    </row>
    <row r="474" ht="14.25" customHeight="1">
      <c r="D474" s="71" t="s">
        <v>8978</v>
      </c>
    </row>
    <row r="475" ht="14.25" customHeight="1">
      <c r="C475" s="71" t="s">
        <v>6841</v>
      </c>
      <c r="D475" s="71" t="s">
        <v>9430</v>
      </c>
    </row>
    <row r="476" ht="14.25" customHeight="1">
      <c r="C476" s="71" t="s">
        <v>218</v>
      </c>
      <c r="D476" s="71" t="s">
        <v>9258</v>
      </c>
    </row>
    <row r="477" ht="14.25" customHeight="1">
      <c r="C477" s="71" t="s">
        <v>9431</v>
      </c>
      <c r="D477" s="71" t="s">
        <v>8978</v>
      </c>
    </row>
    <row r="478" ht="14.25" customHeight="1">
      <c r="C478" s="71" t="s">
        <v>9333</v>
      </c>
      <c r="D478" s="71" t="s">
        <v>8978</v>
      </c>
    </row>
    <row r="479" ht="14.25" customHeight="1">
      <c r="C479" s="71" t="s">
        <v>233</v>
      </c>
      <c r="D479" s="71" t="s">
        <v>9432</v>
      </c>
    </row>
    <row r="480" ht="14.25" customHeight="1">
      <c r="C480" s="71" t="s">
        <v>9433</v>
      </c>
      <c r="D480" s="71" t="s">
        <v>8978</v>
      </c>
    </row>
    <row r="481" ht="14.25" customHeight="1">
      <c r="C481" s="71" t="s">
        <v>9434</v>
      </c>
      <c r="D481" s="71" t="s">
        <v>9258</v>
      </c>
    </row>
    <row r="482" ht="14.25" customHeight="1">
      <c r="D482" s="71" t="s">
        <v>8978</v>
      </c>
    </row>
    <row r="483" ht="14.25" customHeight="1">
      <c r="C483" s="71" t="s">
        <v>9090</v>
      </c>
      <c r="D483" s="71" t="s">
        <v>9435</v>
      </c>
    </row>
    <row r="484" ht="14.25" customHeight="1">
      <c r="C484" s="71" t="s">
        <v>9160</v>
      </c>
      <c r="D484" s="71" t="s">
        <v>9388</v>
      </c>
    </row>
    <row r="485" ht="14.25" customHeight="1">
      <c r="C485" s="71" t="s">
        <v>9436</v>
      </c>
      <c r="D485" s="71" t="s">
        <v>8978</v>
      </c>
    </row>
    <row r="486" ht="14.25" customHeight="1">
      <c r="C486" s="71" t="s">
        <v>9437</v>
      </c>
      <c r="D486" s="71" t="s">
        <v>8978</v>
      </c>
    </row>
    <row r="487" ht="14.25" customHeight="1">
      <c r="C487" s="71" t="s">
        <v>9438</v>
      </c>
      <c r="D487" s="71" t="s">
        <v>8968</v>
      </c>
    </row>
    <row r="488" ht="14.25" customHeight="1">
      <c r="C488" s="71" t="s">
        <v>325</v>
      </c>
      <c r="D488" s="71" t="s">
        <v>9258</v>
      </c>
    </row>
    <row r="489" ht="14.25" customHeight="1">
      <c r="B489" s="71" t="s">
        <v>13</v>
      </c>
      <c r="C489" s="71" t="s">
        <v>9439</v>
      </c>
      <c r="D489" s="71" t="s">
        <v>9034</v>
      </c>
    </row>
    <row r="490" ht="14.25" customHeight="1">
      <c r="C490" s="71" t="s">
        <v>8969</v>
      </c>
      <c r="D490" s="71" t="s">
        <v>9306</v>
      </c>
    </row>
    <row r="491" ht="14.25" customHeight="1">
      <c r="C491" s="71" t="s">
        <v>9390</v>
      </c>
      <c r="D491" s="71" t="s">
        <v>9440</v>
      </c>
    </row>
    <row r="492" ht="14.25" customHeight="1">
      <c r="C492" s="71" t="s">
        <v>9441</v>
      </c>
      <c r="D492" s="71" t="s">
        <v>9442</v>
      </c>
    </row>
    <row r="493" ht="14.25" customHeight="1">
      <c r="A493" s="71" t="s">
        <v>9443</v>
      </c>
      <c r="B493" s="71" t="s">
        <v>40</v>
      </c>
      <c r="C493" s="71" t="s">
        <v>9444</v>
      </c>
      <c r="D493" s="71" t="s">
        <v>9445</v>
      </c>
    </row>
    <row r="494" ht="14.25" customHeight="1">
      <c r="C494" s="71" t="s">
        <v>9446</v>
      </c>
      <c r="D494" s="71" t="s">
        <v>9236</v>
      </c>
    </row>
    <row r="495" ht="14.25" customHeight="1">
      <c r="C495" s="71" t="s">
        <v>9447</v>
      </c>
      <c r="D495" s="71" t="s">
        <v>9383</v>
      </c>
    </row>
    <row r="496" ht="14.25" customHeight="1">
      <c r="C496" s="71" t="s">
        <v>9448</v>
      </c>
      <c r="D496" s="71" t="s">
        <v>8968</v>
      </c>
    </row>
    <row r="497" ht="14.25" customHeight="1">
      <c r="C497" s="71" t="s">
        <v>9449</v>
      </c>
      <c r="D497" s="71" t="s">
        <v>9450</v>
      </c>
    </row>
    <row r="498" ht="14.25" customHeight="1">
      <c r="C498" s="71" t="s">
        <v>9275</v>
      </c>
      <c r="D498" s="71" t="s">
        <v>8968</v>
      </c>
    </row>
    <row r="499" ht="14.25" customHeight="1">
      <c r="C499" s="71" t="s">
        <v>3566</v>
      </c>
      <c r="D499" s="71" t="s">
        <v>8968</v>
      </c>
    </row>
    <row r="500" ht="14.25" customHeight="1">
      <c r="C500" s="71" t="s">
        <v>9390</v>
      </c>
      <c r="D500" s="71" t="s">
        <v>8968</v>
      </c>
    </row>
    <row r="501" ht="14.25" customHeight="1">
      <c r="C501" s="71" t="s">
        <v>9277</v>
      </c>
      <c r="D501" s="71" t="s">
        <v>8968</v>
      </c>
    </row>
    <row r="502" ht="14.25" customHeight="1">
      <c r="C502" s="71" t="s">
        <v>9451</v>
      </c>
      <c r="D502" s="71" t="s">
        <v>9258</v>
      </c>
    </row>
    <row r="503" ht="14.25" customHeight="1">
      <c r="C503" s="71" t="s">
        <v>218</v>
      </c>
      <c r="D503" s="71" t="s">
        <v>8978</v>
      </c>
    </row>
    <row r="504" ht="14.25" customHeight="1">
      <c r="C504" s="71" t="s">
        <v>9452</v>
      </c>
      <c r="D504" s="71" t="s">
        <v>8968</v>
      </c>
    </row>
    <row r="505" ht="14.25" customHeight="1">
      <c r="C505" s="71" t="s">
        <v>9453</v>
      </c>
      <c r="D505" s="71" t="s">
        <v>9258</v>
      </c>
    </row>
    <row r="506" ht="14.25" customHeight="1">
      <c r="A506" s="71" t="s">
        <v>9454</v>
      </c>
      <c r="B506" s="71" t="s">
        <v>41</v>
      </c>
      <c r="C506" s="71" t="s">
        <v>9310</v>
      </c>
      <c r="D506" s="71" t="s">
        <v>9034</v>
      </c>
    </row>
    <row r="507" ht="14.25" customHeight="1">
      <c r="D507" s="71" t="s">
        <v>9258</v>
      </c>
    </row>
    <row r="508" ht="14.25" customHeight="1">
      <c r="C508" s="71" t="s">
        <v>9455</v>
      </c>
      <c r="D508" s="71" t="s">
        <v>9380</v>
      </c>
    </row>
    <row r="509" ht="14.25" customHeight="1">
      <c r="C509" s="71" t="s">
        <v>9434</v>
      </c>
      <c r="D509" s="71" t="s">
        <v>9380</v>
      </c>
    </row>
    <row r="510" ht="14.25" customHeight="1">
      <c r="C510" s="71" t="s">
        <v>9456</v>
      </c>
      <c r="D510" s="71" t="s">
        <v>405</v>
      </c>
    </row>
    <row r="511" ht="14.25" customHeight="1">
      <c r="A511" s="71" t="s">
        <v>9457</v>
      </c>
      <c r="B511" s="71" t="s">
        <v>40</v>
      </c>
      <c r="C511" s="71" t="s">
        <v>8969</v>
      </c>
      <c r="D511" s="71" t="s">
        <v>9256</v>
      </c>
    </row>
    <row r="512" ht="14.25" customHeight="1">
      <c r="C512" s="71" t="s">
        <v>9458</v>
      </c>
      <c r="D512" s="71" t="s">
        <v>9075</v>
      </c>
    </row>
    <row r="513" ht="14.25" customHeight="1">
      <c r="C513" s="71" t="s">
        <v>9459</v>
      </c>
      <c r="D513" s="71" t="s">
        <v>8976</v>
      </c>
    </row>
    <row r="514" ht="14.25" customHeight="1">
      <c r="C514" s="71" t="s">
        <v>9025</v>
      </c>
      <c r="D514" s="71" t="s">
        <v>9265</v>
      </c>
    </row>
    <row r="515" ht="14.25" customHeight="1">
      <c r="C515" s="71" t="s">
        <v>9351</v>
      </c>
      <c r="D515" s="71" t="s">
        <v>9352</v>
      </c>
    </row>
    <row r="516" ht="14.25" customHeight="1">
      <c r="C516" s="71" t="s">
        <v>9460</v>
      </c>
      <c r="D516" s="71" t="s">
        <v>9055</v>
      </c>
    </row>
    <row r="517" ht="14.25" customHeight="1">
      <c r="C517" s="71" t="s">
        <v>8974</v>
      </c>
      <c r="D517" s="71" t="s">
        <v>9265</v>
      </c>
    </row>
    <row r="518" ht="14.25" customHeight="1">
      <c r="C518" s="71" t="s">
        <v>81</v>
      </c>
      <c r="D518" s="71" t="s">
        <v>9265</v>
      </c>
    </row>
    <row r="519" ht="14.25" customHeight="1">
      <c r="D519" s="71" t="s">
        <v>9461</v>
      </c>
    </row>
    <row r="520" ht="14.25" customHeight="1">
      <c r="C520" s="71" t="s">
        <v>9462</v>
      </c>
      <c r="D520" s="71" t="s">
        <v>9265</v>
      </c>
    </row>
    <row r="521" ht="14.25" customHeight="1">
      <c r="C521" s="71" t="s">
        <v>9463</v>
      </c>
      <c r="D521" s="71" t="s">
        <v>9464</v>
      </c>
    </row>
    <row r="522" ht="14.25" customHeight="1">
      <c r="C522" s="71" t="s">
        <v>89</v>
      </c>
      <c r="D522" s="71" t="s">
        <v>9181</v>
      </c>
    </row>
    <row r="523" ht="14.25" customHeight="1">
      <c r="D523" s="71" t="s">
        <v>9465</v>
      </c>
    </row>
    <row r="524" ht="14.25" customHeight="1">
      <c r="C524" s="71" t="s">
        <v>9466</v>
      </c>
      <c r="D524" s="71" t="s">
        <v>9305</v>
      </c>
    </row>
    <row r="525" ht="14.25" customHeight="1">
      <c r="C525" s="71" t="s">
        <v>9467</v>
      </c>
      <c r="D525" s="71" t="s">
        <v>9034</v>
      </c>
    </row>
    <row r="526" ht="14.25" customHeight="1">
      <c r="C526" s="71" t="s">
        <v>2669</v>
      </c>
      <c r="D526" s="71" t="s">
        <v>8978</v>
      </c>
    </row>
    <row r="527" ht="14.25" customHeight="1">
      <c r="C527" s="71" t="s">
        <v>9468</v>
      </c>
      <c r="D527" s="71" t="s">
        <v>9352</v>
      </c>
    </row>
    <row r="528" ht="14.25" customHeight="1">
      <c r="C528" s="71" t="s">
        <v>9469</v>
      </c>
      <c r="D528" s="71" t="s">
        <v>9470</v>
      </c>
    </row>
    <row r="529" ht="14.25" customHeight="1">
      <c r="C529" s="71" t="s">
        <v>296</v>
      </c>
      <c r="D529" s="71" t="s">
        <v>9265</v>
      </c>
    </row>
    <row r="530" ht="14.25" customHeight="1">
      <c r="C530" s="71" t="s">
        <v>9471</v>
      </c>
      <c r="D530" s="71" t="s">
        <v>9265</v>
      </c>
    </row>
    <row r="531" ht="14.25" customHeight="1">
      <c r="C531" s="71" t="s">
        <v>9472</v>
      </c>
      <c r="D531" s="71" t="s">
        <v>9473</v>
      </c>
    </row>
    <row r="532" ht="14.25" customHeight="1">
      <c r="C532" s="71" t="s">
        <v>9184</v>
      </c>
      <c r="D532" s="71" t="s">
        <v>9474</v>
      </c>
    </row>
    <row r="533" ht="14.25" customHeight="1">
      <c r="D533" s="71" t="s">
        <v>9026</v>
      </c>
    </row>
    <row r="534" ht="14.25" customHeight="1">
      <c r="C534" s="71" t="s">
        <v>6152</v>
      </c>
      <c r="D534" s="71" t="s">
        <v>9109</v>
      </c>
    </row>
    <row r="535" ht="14.25" customHeight="1">
      <c r="C535" s="71" t="s">
        <v>9475</v>
      </c>
      <c r="D535" s="71" t="s">
        <v>9039</v>
      </c>
    </row>
    <row r="536" ht="14.25" customHeight="1">
      <c r="C536" s="71" t="s">
        <v>2928</v>
      </c>
      <c r="D536" s="71" t="s">
        <v>9476</v>
      </c>
    </row>
    <row r="537" ht="14.25" customHeight="1">
      <c r="C537" s="71" t="s">
        <v>9477</v>
      </c>
      <c r="D537" s="71" t="s">
        <v>8978</v>
      </c>
    </row>
    <row r="538" ht="14.25" customHeight="1">
      <c r="C538" s="71" t="s">
        <v>9478</v>
      </c>
      <c r="D538" s="71" t="s">
        <v>9479</v>
      </c>
    </row>
    <row r="539" ht="14.25" customHeight="1">
      <c r="C539" s="71" t="s">
        <v>9132</v>
      </c>
      <c r="D539" s="71" t="s">
        <v>9020</v>
      </c>
    </row>
    <row r="540" ht="14.25" customHeight="1">
      <c r="C540" s="71" t="s">
        <v>9480</v>
      </c>
      <c r="D540" s="71" t="s">
        <v>9131</v>
      </c>
    </row>
    <row r="541" ht="14.25" customHeight="1">
      <c r="C541" s="71" t="s">
        <v>8981</v>
      </c>
      <c r="D541" s="71" t="s">
        <v>8982</v>
      </c>
    </row>
    <row r="542" ht="14.25" customHeight="1">
      <c r="C542" s="71" t="s">
        <v>9481</v>
      </c>
      <c r="D542" s="71" t="s">
        <v>9482</v>
      </c>
    </row>
    <row r="543" ht="14.25" customHeight="1">
      <c r="D543" s="71" t="s">
        <v>9483</v>
      </c>
    </row>
    <row r="544" ht="14.25" customHeight="1">
      <c r="C544" s="71" t="s">
        <v>9484</v>
      </c>
      <c r="D544" s="71" t="s">
        <v>9039</v>
      </c>
    </row>
    <row r="545" ht="14.25" customHeight="1">
      <c r="C545" s="71" t="s">
        <v>9133</v>
      </c>
      <c r="D545" s="71" t="s">
        <v>9485</v>
      </c>
    </row>
    <row r="546" ht="14.25" customHeight="1">
      <c r="C546" s="71" t="s">
        <v>8985</v>
      </c>
      <c r="D546" s="71" t="s">
        <v>9486</v>
      </c>
    </row>
    <row r="547" ht="14.25" customHeight="1">
      <c r="C547" s="71" t="s">
        <v>9487</v>
      </c>
      <c r="D547" s="71" t="s">
        <v>9236</v>
      </c>
    </row>
    <row r="548" ht="14.25" customHeight="1">
      <c r="D548" s="71" t="s">
        <v>9488</v>
      </c>
    </row>
    <row r="549" ht="14.25" customHeight="1">
      <c r="C549" s="71" t="s">
        <v>9489</v>
      </c>
      <c r="D549" s="71" t="s">
        <v>9034</v>
      </c>
    </row>
    <row r="550" ht="14.25" customHeight="1">
      <c r="C550" s="71" t="s">
        <v>9490</v>
      </c>
      <c r="D550" s="71" t="s">
        <v>9491</v>
      </c>
    </row>
    <row r="551" ht="14.25" customHeight="1">
      <c r="C551" s="71" t="s">
        <v>145</v>
      </c>
      <c r="D551" s="71" t="s">
        <v>9492</v>
      </c>
    </row>
    <row r="552" ht="14.25" customHeight="1">
      <c r="C552" s="71" t="s">
        <v>9272</v>
      </c>
      <c r="D552" s="71" t="s">
        <v>9493</v>
      </c>
    </row>
    <row r="553" ht="14.25" customHeight="1">
      <c r="D553" s="71" t="s">
        <v>9494</v>
      </c>
    </row>
    <row r="554" ht="14.25" customHeight="1">
      <c r="C554" s="71" t="s">
        <v>153</v>
      </c>
      <c r="D554" s="71" t="s">
        <v>9495</v>
      </c>
    </row>
    <row r="555" ht="14.25" customHeight="1">
      <c r="C555" s="71" t="s">
        <v>9496</v>
      </c>
      <c r="D555" s="71" t="s">
        <v>9497</v>
      </c>
    </row>
    <row r="556" ht="14.25" customHeight="1">
      <c r="C556" s="71" t="s">
        <v>9201</v>
      </c>
      <c r="D556" s="71" t="s">
        <v>9265</v>
      </c>
    </row>
    <row r="557" ht="14.25" customHeight="1">
      <c r="D557" s="71" t="s">
        <v>9498</v>
      </c>
    </row>
    <row r="558" ht="14.25" customHeight="1">
      <c r="C558" s="71" t="s">
        <v>3466</v>
      </c>
      <c r="D558" s="71" t="s">
        <v>9265</v>
      </c>
    </row>
    <row r="559" ht="14.25" customHeight="1">
      <c r="C559" s="71" t="s">
        <v>166</v>
      </c>
      <c r="D559" s="71" t="s">
        <v>9499</v>
      </c>
    </row>
    <row r="560" ht="14.25" customHeight="1">
      <c r="C560" s="71" t="s">
        <v>9203</v>
      </c>
      <c r="D560" s="71" t="s">
        <v>9500</v>
      </c>
    </row>
    <row r="561" ht="14.25" customHeight="1">
      <c r="C561" s="71" t="s">
        <v>9501</v>
      </c>
      <c r="D561" s="71" t="s">
        <v>9265</v>
      </c>
    </row>
    <row r="562" ht="14.25" customHeight="1">
      <c r="C562" s="71" t="s">
        <v>179</v>
      </c>
      <c r="D562" s="71" t="s">
        <v>9026</v>
      </c>
    </row>
    <row r="563" ht="14.25" customHeight="1">
      <c r="C563" s="71" t="s">
        <v>3566</v>
      </c>
      <c r="D563" s="71" t="s">
        <v>9265</v>
      </c>
    </row>
    <row r="564" ht="14.25" customHeight="1">
      <c r="D564" s="71" t="s">
        <v>9502</v>
      </c>
    </row>
    <row r="565" ht="14.25" customHeight="1">
      <c r="C565" s="71" t="s">
        <v>9503</v>
      </c>
      <c r="D565" s="71" t="s">
        <v>9055</v>
      </c>
    </row>
    <row r="566" ht="14.25" customHeight="1">
      <c r="C566" s="71" t="s">
        <v>9504</v>
      </c>
      <c r="D566" s="71" t="s">
        <v>9265</v>
      </c>
    </row>
    <row r="567" ht="14.25" customHeight="1">
      <c r="C567" s="71" t="s">
        <v>9505</v>
      </c>
      <c r="D567" s="71" t="s">
        <v>9265</v>
      </c>
    </row>
    <row r="568" ht="14.25" customHeight="1">
      <c r="C568" s="71" t="s">
        <v>9506</v>
      </c>
      <c r="D568" s="71" t="s">
        <v>9507</v>
      </c>
    </row>
    <row r="569" ht="14.25" customHeight="1">
      <c r="C569" s="71" t="s">
        <v>8996</v>
      </c>
      <c r="D569" s="71" t="s">
        <v>9508</v>
      </c>
    </row>
    <row r="570" ht="14.25" customHeight="1">
      <c r="C570" s="71" t="s">
        <v>9509</v>
      </c>
      <c r="D570" s="71" t="s">
        <v>9510</v>
      </c>
    </row>
    <row r="571" ht="14.25" customHeight="1">
      <c r="C571" s="71" t="s">
        <v>3814</v>
      </c>
      <c r="D571" s="71" t="s">
        <v>9508</v>
      </c>
    </row>
    <row r="572" ht="14.25" customHeight="1">
      <c r="C572" s="71" t="s">
        <v>9511</v>
      </c>
      <c r="D572" s="71" t="s">
        <v>9265</v>
      </c>
    </row>
    <row r="573" ht="14.25" customHeight="1">
      <c r="C573" s="71" t="s">
        <v>1743</v>
      </c>
      <c r="D573" s="71" t="s">
        <v>9168</v>
      </c>
    </row>
    <row r="574" ht="14.25" customHeight="1">
      <c r="C574" s="71" t="s">
        <v>9512</v>
      </c>
      <c r="D574" s="71" t="s">
        <v>9216</v>
      </c>
    </row>
    <row r="575" ht="14.25" customHeight="1">
      <c r="C575" s="71" t="s">
        <v>9513</v>
      </c>
      <c r="D575" s="71" t="s">
        <v>9499</v>
      </c>
    </row>
    <row r="576" ht="14.25" customHeight="1">
      <c r="C576" s="71" t="s">
        <v>225</v>
      </c>
      <c r="D576" s="71" t="s">
        <v>9514</v>
      </c>
    </row>
    <row r="577" ht="14.25" customHeight="1">
      <c r="C577" s="71" t="s">
        <v>9515</v>
      </c>
      <c r="D577" s="71" t="s">
        <v>9516</v>
      </c>
    </row>
    <row r="578" ht="14.25" customHeight="1">
      <c r="C578" s="71" t="s">
        <v>9517</v>
      </c>
      <c r="D578" s="71" t="s">
        <v>8968</v>
      </c>
    </row>
    <row r="579" ht="14.25" customHeight="1">
      <c r="C579" s="71" t="s">
        <v>233</v>
      </c>
      <c r="D579" s="71" t="s">
        <v>9265</v>
      </c>
    </row>
    <row r="580" ht="14.25" customHeight="1">
      <c r="D580" s="71" t="s">
        <v>9518</v>
      </c>
    </row>
    <row r="581" ht="14.25" customHeight="1">
      <c r="C581" s="71" t="s">
        <v>9519</v>
      </c>
      <c r="D581" s="71" t="s">
        <v>9305</v>
      </c>
    </row>
    <row r="582" ht="14.25" customHeight="1">
      <c r="C582" s="71" t="s">
        <v>1906</v>
      </c>
      <c r="D582" s="71" t="s">
        <v>9520</v>
      </c>
    </row>
    <row r="583" ht="14.25" customHeight="1">
      <c r="D583" s="71" t="s">
        <v>9521</v>
      </c>
    </row>
    <row r="584" ht="14.25" customHeight="1">
      <c r="C584" s="71" t="s">
        <v>241</v>
      </c>
      <c r="D584" s="71" t="s">
        <v>9522</v>
      </c>
    </row>
    <row r="585" ht="14.25" customHeight="1">
      <c r="C585" s="71" t="s">
        <v>9523</v>
      </c>
      <c r="D585" s="71" t="s">
        <v>9265</v>
      </c>
    </row>
    <row r="586" ht="14.25" customHeight="1">
      <c r="D586" s="71" t="s">
        <v>9249</v>
      </c>
    </row>
    <row r="587" ht="14.25" customHeight="1">
      <c r="C587" s="71" t="s">
        <v>9524</v>
      </c>
      <c r="D587" s="71" t="s">
        <v>8968</v>
      </c>
    </row>
    <row r="588" ht="14.25" customHeight="1">
      <c r="C588" s="71" t="s">
        <v>9160</v>
      </c>
      <c r="D588" s="71" t="s">
        <v>9305</v>
      </c>
    </row>
    <row r="589" ht="14.25" customHeight="1">
      <c r="D589" s="71" t="s">
        <v>9073</v>
      </c>
    </row>
    <row r="590" ht="14.25" customHeight="1">
      <c r="D590" s="71" t="s">
        <v>9525</v>
      </c>
    </row>
    <row r="591" ht="14.25" customHeight="1">
      <c r="D591" s="71" t="s">
        <v>9292</v>
      </c>
    </row>
    <row r="592" ht="14.25" customHeight="1">
      <c r="D592" s="71" t="s">
        <v>9526</v>
      </c>
    </row>
    <row r="593" ht="14.25" customHeight="1">
      <c r="D593" s="71" t="s">
        <v>9118</v>
      </c>
    </row>
    <row r="594" ht="14.25" customHeight="1">
      <c r="D594" s="71" t="s">
        <v>9086</v>
      </c>
    </row>
    <row r="595" ht="14.25" customHeight="1">
      <c r="C595" s="71" t="s">
        <v>9527</v>
      </c>
      <c r="D595" s="71" t="s">
        <v>8968</v>
      </c>
    </row>
    <row r="596" ht="14.25" customHeight="1">
      <c r="C596" s="71" t="s">
        <v>4354</v>
      </c>
      <c r="D596" s="71" t="s">
        <v>9528</v>
      </c>
    </row>
    <row r="597" ht="14.25" customHeight="1">
      <c r="C597" s="71" t="s">
        <v>9005</v>
      </c>
      <c r="D597" s="71" t="s">
        <v>9006</v>
      </c>
    </row>
    <row r="598" ht="14.25" customHeight="1">
      <c r="C598" s="71" t="s">
        <v>9529</v>
      </c>
      <c r="D598" s="71" t="s">
        <v>9006</v>
      </c>
    </row>
    <row r="599" ht="14.25" customHeight="1">
      <c r="C599" s="71" t="s">
        <v>9530</v>
      </c>
      <c r="D599" s="71" t="s">
        <v>9034</v>
      </c>
    </row>
    <row r="600" ht="14.25" customHeight="1">
      <c r="C600" s="71" t="s">
        <v>9531</v>
      </c>
      <c r="D600" s="71" t="s">
        <v>9532</v>
      </c>
    </row>
    <row r="601" ht="14.25" customHeight="1">
      <c r="C601" s="71" t="s">
        <v>9533</v>
      </c>
      <c r="D601" s="71" t="s">
        <v>9534</v>
      </c>
    </row>
    <row r="602" ht="14.25" customHeight="1">
      <c r="B602" s="71" t="s">
        <v>41</v>
      </c>
      <c r="C602" s="71" t="s">
        <v>2379</v>
      </c>
      <c r="D602" s="71" t="s">
        <v>8968</v>
      </c>
    </row>
    <row r="603" ht="14.25" customHeight="1">
      <c r="C603" s="71" t="s">
        <v>9313</v>
      </c>
      <c r="D603" s="71" t="s">
        <v>8968</v>
      </c>
    </row>
    <row r="604" ht="14.25" customHeight="1">
      <c r="D604" s="71" t="s">
        <v>8976</v>
      </c>
    </row>
    <row r="605" ht="14.25" customHeight="1">
      <c r="C605" s="71" t="s">
        <v>7471</v>
      </c>
      <c r="D605" s="71" t="s">
        <v>9265</v>
      </c>
    </row>
    <row r="606" ht="14.25" customHeight="1">
      <c r="C606" s="71" t="s">
        <v>9535</v>
      </c>
      <c r="D606" s="71" t="s">
        <v>9265</v>
      </c>
    </row>
    <row r="607" ht="14.25" customHeight="1">
      <c r="C607" s="71" t="s">
        <v>89</v>
      </c>
      <c r="D607" s="71" t="s">
        <v>9536</v>
      </c>
    </row>
    <row r="608" ht="14.25" customHeight="1">
      <c r="C608" s="71" t="s">
        <v>9537</v>
      </c>
      <c r="D608" s="71" t="s">
        <v>9521</v>
      </c>
    </row>
    <row r="609" ht="14.25" customHeight="1">
      <c r="C609" s="71" t="s">
        <v>9481</v>
      </c>
      <c r="D609" s="71" t="s">
        <v>8968</v>
      </c>
    </row>
    <row r="610" ht="14.25" customHeight="1">
      <c r="C610" s="71" t="s">
        <v>9268</v>
      </c>
      <c r="D610" s="71" t="s">
        <v>9538</v>
      </c>
    </row>
    <row r="611" ht="14.25" customHeight="1">
      <c r="C611" s="71" t="s">
        <v>9539</v>
      </c>
      <c r="D611" s="71" t="s">
        <v>9540</v>
      </c>
    </row>
    <row r="612" ht="14.25" customHeight="1">
      <c r="C612" s="71" t="s">
        <v>9541</v>
      </c>
      <c r="D612" s="71" t="s">
        <v>8968</v>
      </c>
    </row>
    <row r="613" ht="14.25" customHeight="1">
      <c r="C613" s="71" t="s">
        <v>153</v>
      </c>
      <c r="D613" s="71" t="s">
        <v>9542</v>
      </c>
    </row>
    <row r="614" ht="14.25" customHeight="1">
      <c r="C614" s="71" t="s">
        <v>3566</v>
      </c>
      <c r="D614" s="71" t="s">
        <v>9265</v>
      </c>
    </row>
    <row r="615" ht="14.25" customHeight="1">
      <c r="C615" s="71" t="s">
        <v>9543</v>
      </c>
      <c r="D615" s="71" t="s">
        <v>8968</v>
      </c>
    </row>
    <row r="616" ht="14.25" customHeight="1">
      <c r="C616" s="71" t="s">
        <v>9544</v>
      </c>
      <c r="D616" s="71" t="s">
        <v>9545</v>
      </c>
    </row>
    <row r="617" ht="14.25" customHeight="1">
      <c r="C617" s="71" t="s">
        <v>9546</v>
      </c>
      <c r="D617" s="71" t="s">
        <v>9034</v>
      </c>
    </row>
    <row r="618" ht="14.25" customHeight="1">
      <c r="C618" s="71" t="s">
        <v>9547</v>
      </c>
      <c r="D618" s="71" t="s">
        <v>8968</v>
      </c>
    </row>
    <row r="619" ht="14.25" customHeight="1">
      <c r="C619" s="71" t="s">
        <v>3922</v>
      </c>
      <c r="D619" s="71" t="s">
        <v>9545</v>
      </c>
    </row>
    <row r="620" ht="14.25" customHeight="1">
      <c r="C620" s="71" t="s">
        <v>9548</v>
      </c>
      <c r="D620" s="71" t="s">
        <v>9549</v>
      </c>
    </row>
    <row r="621" ht="14.25" customHeight="1">
      <c r="C621" s="71" t="s">
        <v>4131</v>
      </c>
      <c r="D621" s="71" t="s">
        <v>9131</v>
      </c>
    </row>
    <row r="622" ht="14.25" customHeight="1">
      <c r="C622" s="71" t="s">
        <v>9434</v>
      </c>
      <c r="D622" s="71" t="s">
        <v>9109</v>
      </c>
    </row>
    <row r="623" ht="14.25" customHeight="1">
      <c r="D623" s="71" t="s">
        <v>9168</v>
      </c>
    </row>
    <row r="624" ht="14.25" customHeight="1">
      <c r="D624" s="71" t="s">
        <v>8968</v>
      </c>
    </row>
    <row r="625" ht="14.25" customHeight="1">
      <c r="D625" s="71" t="s">
        <v>9404</v>
      </c>
    </row>
    <row r="626" ht="14.25" customHeight="1">
      <c r="C626" s="71" t="s">
        <v>9160</v>
      </c>
      <c r="D626" s="71" t="s">
        <v>9131</v>
      </c>
    </row>
    <row r="627" ht="14.25" customHeight="1">
      <c r="D627" s="71" t="s">
        <v>8976</v>
      </c>
    </row>
    <row r="628" ht="14.25" customHeight="1">
      <c r="B628" s="71" t="s">
        <v>13</v>
      </c>
      <c r="C628" s="71" t="s">
        <v>9090</v>
      </c>
      <c r="D628" s="71" t="s">
        <v>9176</v>
      </c>
    </row>
    <row r="629" ht="14.25" customHeight="1">
      <c r="C629" s="71" t="s">
        <v>9160</v>
      </c>
      <c r="D629" s="71" t="s">
        <v>9545</v>
      </c>
    </row>
    <row r="630" ht="14.25" customHeight="1">
      <c r="C630" s="71" t="s">
        <v>9550</v>
      </c>
      <c r="D630" s="71" t="s">
        <v>9176</v>
      </c>
    </row>
    <row r="631" ht="14.25" customHeight="1">
      <c r="A631" s="71" t="s">
        <v>9551</v>
      </c>
      <c r="B631" s="71" t="s">
        <v>40</v>
      </c>
      <c r="C631" s="71" t="s">
        <v>9552</v>
      </c>
      <c r="D631" s="71" t="s">
        <v>9553</v>
      </c>
    </row>
    <row r="632" ht="14.25" customHeight="1">
      <c r="C632" s="71" t="s">
        <v>9554</v>
      </c>
      <c r="D632" s="71" t="s">
        <v>9555</v>
      </c>
    </row>
    <row r="633" ht="14.25" customHeight="1">
      <c r="C633" s="71" t="s">
        <v>6057</v>
      </c>
      <c r="D633" s="71" t="s">
        <v>8978</v>
      </c>
    </row>
    <row r="634" ht="14.25" customHeight="1">
      <c r="C634" s="71" t="s">
        <v>9556</v>
      </c>
      <c r="D634" s="71" t="s">
        <v>9486</v>
      </c>
    </row>
    <row r="635" ht="14.25" customHeight="1">
      <c r="C635" s="71" t="s">
        <v>8981</v>
      </c>
      <c r="D635" s="71" t="s">
        <v>8968</v>
      </c>
    </row>
    <row r="636" ht="14.25" customHeight="1">
      <c r="D636" s="71" t="s">
        <v>8982</v>
      </c>
    </row>
    <row r="637" ht="14.25" customHeight="1">
      <c r="C637" s="71" t="s">
        <v>9557</v>
      </c>
      <c r="D637" s="71" t="s">
        <v>9265</v>
      </c>
    </row>
    <row r="638" ht="14.25" customHeight="1">
      <c r="C638" s="71" t="s">
        <v>9385</v>
      </c>
      <c r="D638" s="71" t="s">
        <v>8976</v>
      </c>
    </row>
    <row r="639" ht="14.25" customHeight="1">
      <c r="C639" s="71" t="s">
        <v>9558</v>
      </c>
      <c r="D639" s="71" t="s">
        <v>9055</v>
      </c>
    </row>
    <row r="640" ht="14.25" customHeight="1">
      <c r="C640" s="71" t="s">
        <v>3566</v>
      </c>
      <c r="D640" s="71" t="s">
        <v>9265</v>
      </c>
    </row>
    <row r="641" ht="14.25" customHeight="1">
      <c r="D641" s="71" t="s">
        <v>8978</v>
      </c>
    </row>
    <row r="642" ht="14.25" customHeight="1">
      <c r="C642" s="71" t="s">
        <v>9088</v>
      </c>
      <c r="D642" s="71" t="s">
        <v>9559</v>
      </c>
    </row>
    <row r="643" ht="14.25" customHeight="1">
      <c r="C643" s="71" t="s">
        <v>9560</v>
      </c>
      <c r="D643" s="71" t="s">
        <v>9345</v>
      </c>
    </row>
    <row r="644" ht="14.25" customHeight="1">
      <c r="C644" s="71" t="s">
        <v>9561</v>
      </c>
      <c r="D644" s="71" t="s">
        <v>9034</v>
      </c>
    </row>
    <row r="645" ht="14.25" customHeight="1">
      <c r="C645" s="71" t="s">
        <v>9277</v>
      </c>
      <c r="D645" s="71" t="s">
        <v>8978</v>
      </c>
    </row>
    <row r="646" ht="14.25" customHeight="1">
      <c r="C646" s="71" t="s">
        <v>9562</v>
      </c>
      <c r="D646" s="71" t="s">
        <v>9563</v>
      </c>
    </row>
    <row r="647" ht="14.25" customHeight="1">
      <c r="D647" s="71" t="s">
        <v>9564</v>
      </c>
    </row>
    <row r="648" ht="14.25" customHeight="1">
      <c r="C648" s="71" t="s">
        <v>222</v>
      </c>
      <c r="D648" s="71" t="s">
        <v>9265</v>
      </c>
    </row>
    <row r="649" ht="14.25" customHeight="1">
      <c r="C649" s="71" t="s">
        <v>9565</v>
      </c>
      <c r="D649" s="71" t="s">
        <v>9566</v>
      </c>
    </row>
    <row r="650" ht="14.25" customHeight="1">
      <c r="C650" s="71" t="s">
        <v>9160</v>
      </c>
      <c r="D650" s="71" t="s">
        <v>8968</v>
      </c>
    </row>
    <row r="651" ht="14.25" customHeight="1">
      <c r="D651" s="71" t="s">
        <v>9567</v>
      </c>
    </row>
    <row r="652" ht="14.25" customHeight="1">
      <c r="D652" s="71" t="s">
        <v>9525</v>
      </c>
    </row>
    <row r="653" ht="14.25" customHeight="1">
      <c r="D653" s="71" t="s">
        <v>9118</v>
      </c>
    </row>
    <row r="654" ht="14.25" customHeight="1">
      <c r="D654" s="71" t="s">
        <v>9086</v>
      </c>
    </row>
    <row r="655" ht="14.25" customHeight="1">
      <c r="C655" s="71" t="s">
        <v>9005</v>
      </c>
      <c r="D655" s="71" t="s">
        <v>9568</v>
      </c>
    </row>
    <row r="656" ht="14.25" customHeight="1">
      <c r="C656" s="71" t="s">
        <v>9007</v>
      </c>
      <c r="D656" s="71" t="s">
        <v>9006</v>
      </c>
    </row>
    <row r="657" ht="14.25" customHeight="1">
      <c r="A657" s="71" t="s">
        <v>579</v>
      </c>
      <c r="B657" s="71" t="s">
        <v>41</v>
      </c>
      <c r="C657" s="71" t="s">
        <v>9434</v>
      </c>
      <c r="D657" s="71" t="s">
        <v>9569</v>
      </c>
    </row>
    <row r="658" ht="14.25" customHeight="1">
      <c r="A658" s="71" t="s">
        <v>361</v>
      </c>
      <c r="B658" s="71" t="s">
        <v>41</v>
      </c>
      <c r="C658" s="71" t="s">
        <v>8969</v>
      </c>
      <c r="D658" s="71" t="s">
        <v>9168</v>
      </c>
    </row>
    <row r="659" ht="14.25" customHeight="1">
      <c r="A659" s="71" t="s">
        <v>9570</v>
      </c>
      <c r="B659" s="71" t="s">
        <v>41</v>
      </c>
      <c r="C659" s="71" t="s">
        <v>9552</v>
      </c>
      <c r="D659" s="71" t="s">
        <v>9571</v>
      </c>
    </row>
    <row r="660" ht="14.25" customHeight="1">
      <c r="C660" s="71" t="s">
        <v>9572</v>
      </c>
      <c r="D660" s="71" t="s">
        <v>9573</v>
      </c>
    </row>
    <row r="661" ht="14.25" customHeight="1">
      <c r="C661" s="71" t="s">
        <v>9418</v>
      </c>
      <c r="D661" s="71" t="s">
        <v>9574</v>
      </c>
    </row>
    <row r="662" ht="14.25" customHeight="1">
      <c r="C662" s="71" t="s">
        <v>9575</v>
      </c>
      <c r="D662" s="71" t="s">
        <v>9576</v>
      </c>
    </row>
    <row r="663" ht="14.25" customHeight="1">
      <c r="C663" s="71" t="s">
        <v>3566</v>
      </c>
      <c r="D663" s="71" t="s">
        <v>9445</v>
      </c>
    </row>
    <row r="664" ht="14.25" customHeight="1">
      <c r="C664" s="71" t="s">
        <v>9577</v>
      </c>
      <c r="D664" s="71" t="s">
        <v>9578</v>
      </c>
    </row>
    <row r="665" ht="14.25" customHeight="1">
      <c r="C665" s="71" t="s">
        <v>8997</v>
      </c>
      <c r="D665" s="71" t="s">
        <v>8976</v>
      </c>
    </row>
    <row r="666" ht="14.25" customHeight="1">
      <c r="C666" s="71" t="s">
        <v>9090</v>
      </c>
      <c r="D666" s="71" t="s">
        <v>9579</v>
      </c>
    </row>
    <row r="667" ht="14.25" customHeight="1">
      <c r="A667" s="71" t="s">
        <v>9580</v>
      </c>
      <c r="B667" s="71" t="s">
        <v>41</v>
      </c>
      <c r="C667" s="71" t="s">
        <v>9581</v>
      </c>
      <c r="D667" s="71" t="s">
        <v>9582</v>
      </c>
    </row>
    <row r="668" ht="14.25" customHeight="1">
      <c r="C668" s="71" t="s">
        <v>3566</v>
      </c>
      <c r="D668" s="71" t="s">
        <v>9583</v>
      </c>
    </row>
    <row r="669" ht="14.25" customHeight="1">
      <c r="C669" s="71" t="s">
        <v>8997</v>
      </c>
      <c r="D669" s="71" t="s">
        <v>9118</v>
      </c>
    </row>
    <row r="670" ht="14.25" customHeight="1">
      <c r="C670" s="71" t="s">
        <v>9584</v>
      </c>
      <c r="D670" s="71" t="s">
        <v>8968</v>
      </c>
    </row>
    <row r="671" ht="14.25" customHeight="1">
      <c r="A671" s="71" t="s">
        <v>9585</v>
      </c>
      <c r="B671" s="71" t="s">
        <v>40</v>
      </c>
      <c r="C671" s="71" t="s">
        <v>9586</v>
      </c>
      <c r="D671" s="71" t="s">
        <v>9213</v>
      </c>
    </row>
    <row r="672" ht="14.25" customHeight="1">
      <c r="C672" s="71" t="s">
        <v>7652</v>
      </c>
      <c r="D672" s="71" t="s">
        <v>9587</v>
      </c>
    </row>
    <row r="673" ht="14.25" customHeight="1">
      <c r="C673" s="71" t="s">
        <v>9588</v>
      </c>
      <c r="D673" s="71" t="s">
        <v>9180</v>
      </c>
    </row>
    <row r="674" ht="14.25" customHeight="1">
      <c r="C674" s="71" t="s">
        <v>9589</v>
      </c>
      <c r="D674" s="71" t="s">
        <v>8968</v>
      </c>
    </row>
    <row r="675" ht="14.25" customHeight="1">
      <c r="C675" s="71" t="s">
        <v>9590</v>
      </c>
      <c r="D675" s="71" t="s">
        <v>9043</v>
      </c>
    </row>
    <row r="676" ht="14.25" customHeight="1">
      <c r="C676" s="71" t="s">
        <v>9591</v>
      </c>
      <c r="D676" s="71" t="s">
        <v>8968</v>
      </c>
    </row>
    <row r="677" ht="14.25" customHeight="1">
      <c r="C677" s="71" t="s">
        <v>155</v>
      </c>
      <c r="D677" s="71" t="s">
        <v>9131</v>
      </c>
    </row>
    <row r="678" ht="14.25" customHeight="1">
      <c r="C678" s="71" t="s">
        <v>9203</v>
      </c>
      <c r="D678" s="71" t="s">
        <v>9204</v>
      </c>
    </row>
    <row r="679" ht="14.25" customHeight="1">
      <c r="C679" s="71" t="s">
        <v>9592</v>
      </c>
      <c r="D679" s="71" t="s">
        <v>9180</v>
      </c>
    </row>
    <row r="680" ht="14.25" customHeight="1">
      <c r="C680" s="71" t="s">
        <v>9593</v>
      </c>
      <c r="D680" s="71" t="s">
        <v>8968</v>
      </c>
    </row>
    <row r="681" ht="14.25" customHeight="1">
      <c r="C681" s="71" t="s">
        <v>9594</v>
      </c>
      <c r="D681" s="71" t="s">
        <v>9595</v>
      </c>
    </row>
    <row r="682" ht="14.25" customHeight="1">
      <c r="A682" s="71" t="s">
        <v>9596</v>
      </c>
      <c r="B682" s="71" t="s">
        <v>40</v>
      </c>
      <c r="C682" s="71" t="s">
        <v>9597</v>
      </c>
      <c r="D682" s="71" t="s">
        <v>9598</v>
      </c>
    </row>
    <row r="683" ht="14.25" customHeight="1">
      <c r="C683" s="71" t="s">
        <v>9340</v>
      </c>
      <c r="D683" s="71" t="s">
        <v>9236</v>
      </c>
    </row>
    <row r="684" ht="14.25" customHeight="1">
      <c r="C684" s="71" t="s">
        <v>9599</v>
      </c>
      <c r="D684" s="71" t="s">
        <v>9600</v>
      </c>
    </row>
    <row r="685" ht="14.25" customHeight="1">
      <c r="C685" s="71" t="s">
        <v>9601</v>
      </c>
      <c r="D685" s="71" t="s">
        <v>9602</v>
      </c>
    </row>
    <row r="686" ht="14.25" customHeight="1">
      <c r="C686" s="71" t="s">
        <v>9603</v>
      </c>
      <c r="D686" s="71" t="s">
        <v>9604</v>
      </c>
    </row>
    <row r="687" ht="14.25" customHeight="1">
      <c r="C687" s="71" t="s">
        <v>9605</v>
      </c>
      <c r="D687" s="71" t="s">
        <v>9606</v>
      </c>
    </row>
    <row r="688" ht="14.25" customHeight="1">
      <c r="C688" s="71" t="s">
        <v>9355</v>
      </c>
      <c r="D688" s="71" t="s">
        <v>9607</v>
      </c>
    </row>
    <row r="689" ht="14.25" customHeight="1">
      <c r="C689" s="71" t="s">
        <v>9608</v>
      </c>
      <c r="D689" s="71" t="s">
        <v>9020</v>
      </c>
    </row>
    <row r="690" ht="14.25" customHeight="1">
      <c r="D690" s="71" t="s">
        <v>9168</v>
      </c>
    </row>
    <row r="691" ht="14.25" customHeight="1">
      <c r="D691" s="71" t="s">
        <v>9609</v>
      </c>
    </row>
    <row r="692" ht="14.25" customHeight="1">
      <c r="D692" s="71" t="s">
        <v>9610</v>
      </c>
    </row>
    <row r="693" ht="14.25" customHeight="1">
      <c r="C693" s="71" t="s">
        <v>9611</v>
      </c>
      <c r="D693" s="71" t="s">
        <v>9612</v>
      </c>
    </row>
    <row r="694" ht="14.25" customHeight="1">
      <c r="C694" s="71" t="s">
        <v>294</v>
      </c>
      <c r="D694" s="71" t="s">
        <v>9613</v>
      </c>
    </row>
    <row r="695" ht="14.25" customHeight="1">
      <c r="D695" s="71" t="s">
        <v>9614</v>
      </c>
    </row>
    <row r="696" ht="14.25" customHeight="1">
      <c r="C696" s="71" t="s">
        <v>9615</v>
      </c>
      <c r="D696" s="71" t="s">
        <v>9616</v>
      </c>
    </row>
    <row r="697" ht="14.25" customHeight="1">
      <c r="C697" s="71" t="s">
        <v>9617</v>
      </c>
      <c r="D697" s="71" t="s">
        <v>9618</v>
      </c>
    </row>
    <row r="698" ht="14.25" customHeight="1">
      <c r="C698" s="71" t="s">
        <v>9619</v>
      </c>
      <c r="D698" s="71" t="s">
        <v>9620</v>
      </c>
    </row>
    <row r="699" ht="14.25" customHeight="1">
      <c r="C699" s="71" t="s">
        <v>9113</v>
      </c>
      <c r="D699" s="71" t="s">
        <v>9621</v>
      </c>
    </row>
    <row r="700" ht="14.25" customHeight="1">
      <c r="C700" s="71" t="s">
        <v>9622</v>
      </c>
      <c r="D700" s="71" t="s">
        <v>9623</v>
      </c>
    </row>
    <row r="701" ht="14.25" customHeight="1">
      <c r="C701" s="71" t="s">
        <v>9624</v>
      </c>
      <c r="D701" s="71" t="s">
        <v>9625</v>
      </c>
    </row>
    <row r="702" ht="14.25" customHeight="1">
      <c r="C702" s="71" t="s">
        <v>9626</v>
      </c>
      <c r="D702" s="71" t="s">
        <v>9602</v>
      </c>
    </row>
    <row r="703" ht="14.25" customHeight="1">
      <c r="C703" s="71" t="s">
        <v>9627</v>
      </c>
      <c r="D703" s="71" t="s">
        <v>9628</v>
      </c>
    </row>
    <row r="704" ht="14.25" customHeight="1">
      <c r="C704" s="71" t="s">
        <v>9629</v>
      </c>
      <c r="D704" s="71" t="s">
        <v>9628</v>
      </c>
    </row>
    <row r="705" ht="14.25" customHeight="1">
      <c r="C705" s="71" t="s">
        <v>916</v>
      </c>
      <c r="D705" s="71" t="s">
        <v>9574</v>
      </c>
    </row>
    <row r="706" ht="14.25" customHeight="1">
      <c r="C706" s="71" t="s">
        <v>9630</v>
      </c>
      <c r="D706" s="71" t="s">
        <v>9631</v>
      </c>
    </row>
    <row r="707" ht="14.25" customHeight="1">
      <c r="C707" s="71" t="s">
        <v>9632</v>
      </c>
      <c r="D707" s="71" t="s">
        <v>9633</v>
      </c>
    </row>
    <row r="708" ht="14.25" customHeight="1">
      <c r="C708" s="71" t="s">
        <v>9634</v>
      </c>
      <c r="D708" s="71" t="s">
        <v>9099</v>
      </c>
    </row>
    <row r="709" ht="14.25" customHeight="1">
      <c r="C709" s="71" t="s">
        <v>9635</v>
      </c>
      <c r="D709" s="71" t="s">
        <v>9636</v>
      </c>
    </row>
    <row r="710" ht="14.25" customHeight="1">
      <c r="C710" s="71" t="s">
        <v>8981</v>
      </c>
      <c r="D710" s="71" t="s">
        <v>9216</v>
      </c>
    </row>
    <row r="711" ht="14.25" customHeight="1">
      <c r="C711" s="71" t="s">
        <v>9455</v>
      </c>
      <c r="D711" s="71" t="s">
        <v>9637</v>
      </c>
    </row>
    <row r="712" ht="14.25" customHeight="1">
      <c r="C712" s="71" t="s">
        <v>9638</v>
      </c>
      <c r="D712" s="71" t="s">
        <v>9639</v>
      </c>
    </row>
    <row r="713" ht="14.25" customHeight="1">
      <c r="C713" s="71" t="s">
        <v>9640</v>
      </c>
      <c r="D713" s="71" t="s">
        <v>9641</v>
      </c>
    </row>
    <row r="714" ht="14.25" customHeight="1">
      <c r="C714" s="71" t="s">
        <v>9642</v>
      </c>
      <c r="D714" s="71" t="s">
        <v>9643</v>
      </c>
    </row>
    <row r="715" ht="14.25" customHeight="1">
      <c r="C715" s="71" t="s">
        <v>9644</v>
      </c>
      <c r="D715" s="71" t="s">
        <v>9645</v>
      </c>
    </row>
    <row r="716" ht="14.25" customHeight="1">
      <c r="C716" s="71" t="s">
        <v>141</v>
      </c>
      <c r="D716" s="71" t="s">
        <v>9646</v>
      </c>
    </row>
    <row r="717" ht="14.25" customHeight="1">
      <c r="C717" s="71" t="s">
        <v>9272</v>
      </c>
      <c r="D717" s="71" t="s">
        <v>9647</v>
      </c>
    </row>
    <row r="718" ht="14.25" customHeight="1">
      <c r="C718" s="71" t="s">
        <v>9648</v>
      </c>
      <c r="D718" s="71" t="s">
        <v>9649</v>
      </c>
    </row>
    <row r="719" ht="14.25" customHeight="1">
      <c r="C719" s="71" t="s">
        <v>9650</v>
      </c>
      <c r="D719" s="71" t="s">
        <v>9649</v>
      </c>
    </row>
    <row r="720" ht="14.25" customHeight="1">
      <c r="C720" s="71" t="s">
        <v>1983</v>
      </c>
      <c r="D720" s="71" t="s">
        <v>9602</v>
      </c>
    </row>
    <row r="721" ht="14.25" customHeight="1">
      <c r="C721" s="71" t="s">
        <v>9651</v>
      </c>
      <c r="D721" s="71" t="s">
        <v>9652</v>
      </c>
    </row>
    <row r="722" ht="14.25" customHeight="1">
      <c r="C722" s="71" t="s">
        <v>153</v>
      </c>
      <c r="D722" s="71" t="s">
        <v>9653</v>
      </c>
    </row>
    <row r="723" ht="14.25" customHeight="1">
      <c r="D723" s="71" t="s">
        <v>9654</v>
      </c>
    </row>
    <row r="724" ht="14.25" customHeight="1">
      <c r="C724" s="71" t="s">
        <v>9655</v>
      </c>
      <c r="D724" s="71" t="s">
        <v>9656</v>
      </c>
    </row>
    <row r="725" ht="14.25" customHeight="1">
      <c r="C725" s="71" t="s">
        <v>9657</v>
      </c>
      <c r="D725" s="71" t="s">
        <v>9613</v>
      </c>
    </row>
    <row r="726" ht="14.25" customHeight="1">
      <c r="C726" s="71" t="s">
        <v>9658</v>
      </c>
      <c r="D726" s="71" t="s">
        <v>9659</v>
      </c>
    </row>
    <row r="727" ht="14.25" customHeight="1">
      <c r="C727" s="71" t="s">
        <v>9660</v>
      </c>
      <c r="D727" s="71" t="s">
        <v>1948</v>
      </c>
    </row>
    <row r="728" ht="14.25" customHeight="1">
      <c r="C728" s="71" t="s">
        <v>9661</v>
      </c>
      <c r="D728" s="71" t="s">
        <v>9662</v>
      </c>
    </row>
    <row r="729" ht="14.25" customHeight="1">
      <c r="C729" s="71" t="s">
        <v>9663</v>
      </c>
      <c r="D729" s="71" t="s">
        <v>9602</v>
      </c>
    </row>
    <row r="730" ht="14.25" customHeight="1">
      <c r="C730" s="71" t="s">
        <v>6624</v>
      </c>
      <c r="D730" s="71" t="s">
        <v>9659</v>
      </c>
    </row>
    <row r="731" ht="14.25" customHeight="1">
      <c r="C731" s="71" t="s">
        <v>3566</v>
      </c>
      <c r="D731" s="71" t="s">
        <v>9664</v>
      </c>
    </row>
    <row r="732" ht="14.25" customHeight="1">
      <c r="D732" s="71" t="s">
        <v>9665</v>
      </c>
    </row>
    <row r="733" ht="14.25" customHeight="1">
      <c r="D733" s="71" t="s">
        <v>9666</v>
      </c>
    </row>
    <row r="734" ht="14.25" customHeight="1">
      <c r="D734" s="71" t="s">
        <v>9667</v>
      </c>
    </row>
    <row r="735" ht="14.25" customHeight="1">
      <c r="D735" s="71" t="s">
        <v>9668</v>
      </c>
    </row>
    <row r="736" ht="14.25" customHeight="1">
      <c r="D736" s="71" t="s">
        <v>9669</v>
      </c>
    </row>
    <row r="737" ht="14.25" customHeight="1">
      <c r="D737" s="71" t="s">
        <v>9404</v>
      </c>
    </row>
    <row r="738" ht="14.25" customHeight="1">
      <c r="C738" s="71" t="s">
        <v>9670</v>
      </c>
      <c r="D738" s="71" t="s">
        <v>9671</v>
      </c>
    </row>
    <row r="739" ht="14.25" customHeight="1">
      <c r="C739" s="71" t="s">
        <v>9672</v>
      </c>
      <c r="D739" s="71" t="s">
        <v>9673</v>
      </c>
    </row>
    <row r="740" ht="14.25" customHeight="1">
      <c r="C740" s="71" t="s">
        <v>9674</v>
      </c>
      <c r="D740" s="71" t="s">
        <v>9228</v>
      </c>
    </row>
    <row r="741" ht="14.25" customHeight="1">
      <c r="C741" s="71" t="s">
        <v>9675</v>
      </c>
      <c r="D741" s="71" t="s">
        <v>9602</v>
      </c>
    </row>
    <row r="742" ht="14.25" customHeight="1">
      <c r="C742" s="71" t="s">
        <v>9676</v>
      </c>
      <c r="D742" s="71" t="s">
        <v>9616</v>
      </c>
    </row>
    <row r="743" ht="14.25" customHeight="1">
      <c r="C743" s="71" t="s">
        <v>6788</v>
      </c>
      <c r="D743" s="71" t="s">
        <v>9677</v>
      </c>
    </row>
    <row r="744" ht="14.25" customHeight="1">
      <c r="C744" s="71" t="s">
        <v>9283</v>
      </c>
      <c r="D744" s="71" t="s">
        <v>9678</v>
      </c>
    </row>
    <row r="745" ht="14.25" customHeight="1">
      <c r="C745" s="71" t="s">
        <v>9679</v>
      </c>
      <c r="D745" s="71" t="s">
        <v>9680</v>
      </c>
    </row>
    <row r="746" ht="14.25" customHeight="1">
      <c r="C746" s="71" t="s">
        <v>9286</v>
      </c>
      <c r="D746" s="71" t="s">
        <v>9289</v>
      </c>
    </row>
    <row r="747" ht="14.25" customHeight="1">
      <c r="C747" s="71" t="s">
        <v>9681</v>
      </c>
      <c r="D747" s="71" t="s">
        <v>9682</v>
      </c>
    </row>
    <row r="748" ht="14.25" customHeight="1">
      <c r="C748" s="71" t="s">
        <v>9683</v>
      </c>
      <c r="D748" s="71" t="s">
        <v>9684</v>
      </c>
    </row>
    <row r="749" ht="14.25" customHeight="1">
      <c r="C749" s="71" t="s">
        <v>9685</v>
      </c>
      <c r="D749" s="71" t="s">
        <v>9649</v>
      </c>
    </row>
    <row r="750" ht="14.25" customHeight="1">
      <c r="C750" s="71" t="s">
        <v>9686</v>
      </c>
      <c r="D750" s="71" t="s">
        <v>9687</v>
      </c>
    </row>
    <row r="751" ht="14.25" customHeight="1">
      <c r="C751" s="71" t="s">
        <v>9688</v>
      </c>
      <c r="D751" s="71" t="s">
        <v>9689</v>
      </c>
    </row>
    <row r="752" ht="14.25" customHeight="1">
      <c r="C752" s="71" t="s">
        <v>3984</v>
      </c>
      <c r="D752" s="71" t="s">
        <v>9690</v>
      </c>
    </row>
    <row r="753" ht="14.25" customHeight="1">
      <c r="C753" s="71" t="s">
        <v>9517</v>
      </c>
      <c r="D753" s="71" t="s">
        <v>9618</v>
      </c>
    </row>
    <row r="754" ht="14.25" customHeight="1">
      <c r="C754" s="71" t="s">
        <v>9691</v>
      </c>
      <c r="D754" s="71" t="s">
        <v>9692</v>
      </c>
    </row>
    <row r="755" ht="14.25" customHeight="1">
      <c r="D755" s="71" t="s">
        <v>9656</v>
      </c>
    </row>
    <row r="756" ht="14.25" customHeight="1">
      <c r="C756" s="71" t="s">
        <v>9693</v>
      </c>
      <c r="D756" s="71" t="s">
        <v>9694</v>
      </c>
    </row>
    <row r="757" ht="14.25" customHeight="1">
      <c r="D757" s="71" t="s">
        <v>9643</v>
      </c>
    </row>
    <row r="758" ht="14.25" customHeight="1">
      <c r="C758" s="71" t="s">
        <v>4109</v>
      </c>
      <c r="D758" s="71" t="s">
        <v>9649</v>
      </c>
    </row>
    <row r="759" ht="14.25" customHeight="1">
      <c r="C759" s="71" t="s">
        <v>9695</v>
      </c>
      <c r="D759" s="71" t="s">
        <v>9667</v>
      </c>
    </row>
    <row r="760" ht="14.25" customHeight="1">
      <c r="C760" s="71" t="s">
        <v>9696</v>
      </c>
      <c r="D760" s="71" t="s">
        <v>9697</v>
      </c>
    </row>
    <row r="761" ht="14.25" customHeight="1">
      <c r="C761" s="71" t="s">
        <v>9698</v>
      </c>
      <c r="D761" s="71" t="s">
        <v>9602</v>
      </c>
    </row>
    <row r="762" ht="14.25" customHeight="1">
      <c r="D762" s="71" t="s">
        <v>9639</v>
      </c>
    </row>
    <row r="763" ht="14.25" customHeight="1">
      <c r="C763" s="71" t="s">
        <v>9699</v>
      </c>
      <c r="D763" s="71" t="s">
        <v>9656</v>
      </c>
    </row>
    <row r="764" ht="14.25" customHeight="1">
      <c r="C764" s="71" t="s">
        <v>9700</v>
      </c>
      <c r="D764" s="71" t="s">
        <v>9701</v>
      </c>
    </row>
    <row r="765" ht="14.25" customHeight="1">
      <c r="C765" s="71" t="s">
        <v>9702</v>
      </c>
      <c r="D765" s="71" t="s">
        <v>9659</v>
      </c>
    </row>
    <row r="766" ht="14.25" customHeight="1">
      <c r="C766" s="71" t="s">
        <v>9703</v>
      </c>
      <c r="D766" s="71" t="s">
        <v>9055</v>
      </c>
    </row>
    <row r="767" ht="14.25" customHeight="1">
      <c r="C767" s="71" t="s">
        <v>9704</v>
      </c>
      <c r="D767" s="71" t="s">
        <v>9705</v>
      </c>
    </row>
    <row r="768" ht="14.25" customHeight="1">
      <c r="C768" s="71" t="s">
        <v>269</v>
      </c>
      <c r="D768" s="71" t="s">
        <v>9706</v>
      </c>
    </row>
    <row r="769" ht="14.25" customHeight="1">
      <c r="C769" s="71" t="s">
        <v>9707</v>
      </c>
      <c r="D769" s="71" t="s">
        <v>9708</v>
      </c>
    </row>
    <row r="770" ht="14.25" customHeight="1">
      <c r="C770" s="71" t="s">
        <v>9005</v>
      </c>
      <c r="D770" s="71" t="s">
        <v>9006</v>
      </c>
    </row>
    <row r="771" ht="14.25" customHeight="1">
      <c r="C771" s="71" t="s">
        <v>9529</v>
      </c>
      <c r="D771" s="71" t="s">
        <v>9006</v>
      </c>
    </row>
    <row r="772" ht="14.25" customHeight="1">
      <c r="C772" s="71" t="s">
        <v>9007</v>
      </c>
      <c r="D772" s="71" t="s">
        <v>9006</v>
      </c>
    </row>
    <row r="773" ht="14.25" customHeight="1">
      <c r="C773" s="71" t="s">
        <v>2163</v>
      </c>
      <c r="D773" s="71" t="s">
        <v>9021</v>
      </c>
    </row>
    <row r="774" ht="14.25" customHeight="1">
      <c r="C774" s="71" t="s">
        <v>9709</v>
      </c>
      <c r="D774" s="71" t="s">
        <v>9649</v>
      </c>
    </row>
    <row r="775" ht="14.25" customHeight="1">
      <c r="C775" s="71" t="s">
        <v>9710</v>
      </c>
      <c r="D775" s="71" t="s">
        <v>9711</v>
      </c>
    </row>
    <row r="776" ht="14.25" customHeight="1">
      <c r="C776" s="71" t="s">
        <v>9712</v>
      </c>
      <c r="D776" s="71" t="s">
        <v>9430</v>
      </c>
    </row>
    <row r="777" ht="14.25" customHeight="1">
      <c r="B777" s="71" t="s">
        <v>41</v>
      </c>
      <c r="C777" s="71" t="s">
        <v>9713</v>
      </c>
      <c r="D777" s="71" t="s">
        <v>9714</v>
      </c>
    </row>
    <row r="778" ht="14.25" customHeight="1">
      <c r="C778" s="71" t="s">
        <v>9715</v>
      </c>
      <c r="D778" s="71" t="s">
        <v>9716</v>
      </c>
    </row>
    <row r="779" ht="14.25" customHeight="1">
      <c r="C779" s="71" t="s">
        <v>9717</v>
      </c>
      <c r="D779" s="71" t="s">
        <v>9718</v>
      </c>
    </row>
    <row r="780" ht="14.25" customHeight="1">
      <c r="C780" s="71" t="s">
        <v>9719</v>
      </c>
      <c r="D780" s="71" t="s">
        <v>9720</v>
      </c>
    </row>
    <row r="781" ht="14.25" customHeight="1">
      <c r="C781" s="71" t="s">
        <v>9721</v>
      </c>
      <c r="D781" s="71" t="s">
        <v>9722</v>
      </c>
    </row>
    <row r="782" ht="14.25" customHeight="1">
      <c r="C782" s="71" t="s">
        <v>9723</v>
      </c>
      <c r="D782" s="71" t="s">
        <v>9216</v>
      </c>
    </row>
    <row r="783" ht="14.25" customHeight="1">
      <c r="C783" s="71" t="s">
        <v>3566</v>
      </c>
      <c r="D783" s="71" t="s">
        <v>9724</v>
      </c>
    </row>
    <row r="784" ht="14.25" customHeight="1">
      <c r="C784" s="71" t="s">
        <v>9725</v>
      </c>
      <c r="D784" s="71" t="s">
        <v>9726</v>
      </c>
    </row>
    <row r="785" ht="14.25" customHeight="1">
      <c r="C785" s="71" t="s">
        <v>9727</v>
      </c>
      <c r="D785" s="71" t="s">
        <v>9714</v>
      </c>
    </row>
    <row r="786" ht="14.25" customHeight="1">
      <c r="C786" s="71" t="s">
        <v>9529</v>
      </c>
      <c r="D786" s="71" t="s">
        <v>8962</v>
      </c>
    </row>
    <row r="787" ht="14.25" customHeight="1">
      <c r="A787" s="71" t="s">
        <v>9728</v>
      </c>
      <c r="B787" s="71" t="s">
        <v>40</v>
      </c>
      <c r="C787" s="71" t="s">
        <v>8969</v>
      </c>
      <c r="D787" s="71" t="s">
        <v>9729</v>
      </c>
    </row>
    <row r="788" ht="14.25" customHeight="1">
      <c r="C788" s="71" t="s">
        <v>2379</v>
      </c>
      <c r="D788" s="71" t="s">
        <v>9730</v>
      </c>
    </row>
    <row r="789" ht="14.25" customHeight="1">
      <c r="C789" s="71" t="s">
        <v>9172</v>
      </c>
      <c r="D789" s="71" t="s">
        <v>9151</v>
      </c>
    </row>
    <row r="790" ht="14.25" customHeight="1">
      <c r="D790" s="71" t="s">
        <v>9731</v>
      </c>
    </row>
    <row r="791" ht="14.25" customHeight="1">
      <c r="C791" s="71" t="s">
        <v>9351</v>
      </c>
      <c r="D791" s="71" t="s">
        <v>9732</v>
      </c>
    </row>
    <row r="792" ht="14.25" customHeight="1">
      <c r="C792" s="71" t="s">
        <v>9733</v>
      </c>
      <c r="D792" s="71" t="s">
        <v>405</v>
      </c>
    </row>
    <row r="793" ht="14.25" customHeight="1">
      <c r="C793" s="71" t="s">
        <v>4609</v>
      </c>
      <c r="D793" s="71" t="s">
        <v>9734</v>
      </c>
    </row>
    <row r="794" ht="14.25" customHeight="1">
      <c r="C794" s="71" t="s">
        <v>9353</v>
      </c>
      <c r="D794" s="71" t="s">
        <v>9354</v>
      </c>
    </row>
    <row r="795" ht="14.25" customHeight="1">
      <c r="C795" s="71" t="s">
        <v>9357</v>
      </c>
      <c r="D795" s="71" t="s">
        <v>9735</v>
      </c>
    </row>
    <row r="796" ht="14.25" customHeight="1">
      <c r="C796" s="71" t="s">
        <v>9300</v>
      </c>
      <c r="D796" s="71" t="s">
        <v>9736</v>
      </c>
    </row>
    <row r="797" ht="14.25" customHeight="1">
      <c r="D797" s="71" t="s">
        <v>9737</v>
      </c>
    </row>
    <row r="798" ht="14.25" customHeight="1">
      <c r="C798" s="71" t="s">
        <v>9738</v>
      </c>
      <c r="D798" s="71" t="s">
        <v>9216</v>
      </c>
    </row>
    <row r="799" ht="14.25" customHeight="1">
      <c r="C799" s="71" t="s">
        <v>9739</v>
      </c>
      <c r="D799" s="71" t="s">
        <v>9430</v>
      </c>
    </row>
    <row r="800" ht="14.25" customHeight="1">
      <c r="C800" s="71" t="s">
        <v>9740</v>
      </c>
      <c r="D800" s="71" t="s">
        <v>9741</v>
      </c>
    </row>
    <row r="801" ht="14.25" customHeight="1">
      <c r="C801" s="71" t="s">
        <v>9742</v>
      </c>
      <c r="D801" s="71" t="s">
        <v>9667</v>
      </c>
    </row>
    <row r="802" ht="14.25" customHeight="1">
      <c r="C802" s="71" t="s">
        <v>9743</v>
      </c>
      <c r="D802" s="71" t="s">
        <v>9055</v>
      </c>
    </row>
    <row r="803" ht="14.25" customHeight="1">
      <c r="C803" s="71" t="s">
        <v>9744</v>
      </c>
      <c r="D803" s="71" t="s">
        <v>9745</v>
      </c>
    </row>
    <row r="804" ht="14.25" customHeight="1">
      <c r="C804" s="71" t="s">
        <v>916</v>
      </c>
      <c r="D804" s="71" t="s">
        <v>9746</v>
      </c>
    </row>
    <row r="805" ht="14.25" customHeight="1">
      <c r="C805" s="71" t="s">
        <v>9747</v>
      </c>
      <c r="D805" s="71" t="s">
        <v>9034</v>
      </c>
    </row>
    <row r="806" ht="14.25" customHeight="1">
      <c r="C806" s="71" t="s">
        <v>9537</v>
      </c>
      <c r="D806" s="71" t="s">
        <v>9578</v>
      </c>
    </row>
    <row r="807" ht="14.25" customHeight="1">
      <c r="C807" s="71" t="s">
        <v>9748</v>
      </c>
      <c r="D807" s="71" t="s">
        <v>9667</v>
      </c>
    </row>
    <row r="808" ht="14.25" customHeight="1">
      <c r="C808" s="71" t="s">
        <v>9455</v>
      </c>
      <c r="D808" s="71" t="s">
        <v>9749</v>
      </c>
    </row>
    <row r="809" ht="14.25" customHeight="1">
      <c r="C809" s="71" t="s">
        <v>1066</v>
      </c>
      <c r="D809" s="71" t="s">
        <v>9034</v>
      </c>
    </row>
    <row r="810" ht="14.25" customHeight="1">
      <c r="D810" s="71" t="s">
        <v>9750</v>
      </c>
    </row>
    <row r="811" ht="14.25" customHeight="1">
      <c r="D811" s="71" t="s">
        <v>9075</v>
      </c>
    </row>
    <row r="812" ht="14.25" customHeight="1">
      <c r="C812" s="71" t="s">
        <v>9138</v>
      </c>
      <c r="D812" s="71" t="s">
        <v>9751</v>
      </c>
    </row>
    <row r="813" ht="14.25" customHeight="1">
      <c r="C813" s="71" t="s">
        <v>9752</v>
      </c>
      <c r="D813" s="71" t="s">
        <v>9075</v>
      </c>
    </row>
    <row r="814" ht="14.25" customHeight="1">
      <c r="C814" s="71" t="s">
        <v>141</v>
      </c>
      <c r="D814" s="71" t="s">
        <v>9753</v>
      </c>
    </row>
    <row r="815" ht="14.25" customHeight="1">
      <c r="C815" s="71" t="s">
        <v>9754</v>
      </c>
      <c r="D815" s="71" t="s">
        <v>9755</v>
      </c>
    </row>
    <row r="816" ht="14.25" customHeight="1">
      <c r="C816" s="71" t="s">
        <v>9756</v>
      </c>
      <c r="D816" s="71" t="s">
        <v>8978</v>
      </c>
    </row>
    <row r="817" ht="14.25" customHeight="1">
      <c r="C817" s="71" t="s">
        <v>9272</v>
      </c>
      <c r="D817" s="71" t="s">
        <v>8976</v>
      </c>
    </row>
    <row r="818" ht="14.25" customHeight="1">
      <c r="C818" s="71" t="s">
        <v>9757</v>
      </c>
      <c r="D818" s="71" t="s">
        <v>9649</v>
      </c>
    </row>
    <row r="819" ht="14.25" customHeight="1">
      <c r="C819" s="71" t="s">
        <v>153</v>
      </c>
      <c r="D819" s="71" t="s">
        <v>9758</v>
      </c>
    </row>
    <row r="820" ht="14.25" customHeight="1">
      <c r="C820" s="71" t="s">
        <v>1372</v>
      </c>
      <c r="D820" s="71" t="s">
        <v>9055</v>
      </c>
    </row>
    <row r="821" ht="14.25" customHeight="1">
      <c r="C821" s="71" t="s">
        <v>9203</v>
      </c>
      <c r="D821" s="71" t="s">
        <v>9180</v>
      </c>
    </row>
    <row r="822" ht="14.25" customHeight="1">
      <c r="C822" s="71" t="s">
        <v>9382</v>
      </c>
      <c r="D822" s="71" t="s">
        <v>9404</v>
      </c>
    </row>
    <row r="823" ht="14.25" customHeight="1">
      <c r="C823" s="71" t="s">
        <v>9385</v>
      </c>
      <c r="D823" s="71" t="s">
        <v>9759</v>
      </c>
    </row>
    <row r="824" ht="14.25" customHeight="1">
      <c r="C824" s="71" t="s">
        <v>9387</v>
      </c>
      <c r="D824" s="71" t="s">
        <v>9760</v>
      </c>
    </row>
    <row r="825" ht="14.25" customHeight="1">
      <c r="C825" s="71" t="s">
        <v>3566</v>
      </c>
      <c r="D825" s="71" t="s">
        <v>9761</v>
      </c>
    </row>
    <row r="826" ht="14.25" customHeight="1">
      <c r="D826" s="71" t="s">
        <v>8968</v>
      </c>
    </row>
    <row r="827" ht="14.25" customHeight="1">
      <c r="D827" s="71" t="s">
        <v>9762</v>
      </c>
    </row>
    <row r="828" ht="14.25" customHeight="1">
      <c r="D828" s="71" t="s">
        <v>9763</v>
      </c>
    </row>
    <row r="829" ht="14.25" customHeight="1">
      <c r="D829" s="71" t="s">
        <v>9724</v>
      </c>
    </row>
    <row r="830" ht="14.25" customHeight="1">
      <c r="C830" s="71" t="s">
        <v>1507</v>
      </c>
      <c r="D830" s="71" t="s">
        <v>9216</v>
      </c>
    </row>
    <row r="831" ht="14.25" customHeight="1">
      <c r="C831" s="71" t="s">
        <v>5150</v>
      </c>
      <c r="D831" s="71" t="s">
        <v>9109</v>
      </c>
    </row>
    <row r="832" ht="14.25" customHeight="1">
      <c r="C832" s="71" t="s">
        <v>9277</v>
      </c>
      <c r="D832" s="71" t="s">
        <v>9526</v>
      </c>
    </row>
    <row r="833" ht="14.25" customHeight="1">
      <c r="C833" s="71" t="s">
        <v>9764</v>
      </c>
      <c r="D833" s="71" t="s">
        <v>9071</v>
      </c>
    </row>
    <row r="834" ht="14.25" customHeight="1">
      <c r="C834" s="71" t="s">
        <v>9765</v>
      </c>
      <c r="D834" s="71" t="s">
        <v>9731</v>
      </c>
    </row>
    <row r="835" ht="14.25" customHeight="1">
      <c r="C835" s="71" t="s">
        <v>9280</v>
      </c>
      <c r="D835" s="71" t="s">
        <v>9766</v>
      </c>
    </row>
    <row r="836" ht="14.25" customHeight="1">
      <c r="C836" s="71" t="s">
        <v>9767</v>
      </c>
      <c r="D836" s="71" t="s">
        <v>9741</v>
      </c>
    </row>
    <row r="837" ht="14.25" customHeight="1">
      <c r="C837" s="71" t="s">
        <v>9768</v>
      </c>
      <c r="D837" s="71" t="s">
        <v>9769</v>
      </c>
    </row>
    <row r="838" ht="14.25" customHeight="1">
      <c r="C838" s="71" t="s">
        <v>9286</v>
      </c>
      <c r="D838" s="71" t="s">
        <v>9050</v>
      </c>
    </row>
    <row r="839" ht="14.25" customHeight="1">
      <c r="D839" s="71" t="s">
        <v>9430</v>
      </c>
    </row>
    <row r="840" ht="14.25" customHeight="1">
      <c r="C840" s="71" t="s">
        <v>9770</v>
      </c>
      <c r="D840" s="71" t="s">
        <v>9771</v>
      </c>
    </row>
    <row r="841" ht="14.25" customHeight="1">
      <c r="C841" s="71" t="s">
        <v>9772</v>
      </c>
      <c r="D841" s="71" t="s">
        <v>9034</v>
      </c>
    </row>
    <row r="842" ht="14.25" customHeight="1">
      <c r="C842" s="71" t="s">
        <v>9773</v>
      </c>
      <c r="D842" s="71" t="s">
        <v>9131</v>
      </c>
    </row>
    <row r="843" ht="14.25" customHeight="1">
      <c r="C843" s="71" t="s">
        <v>9774</v>
      </c>
      <c r="D843" s="71" t="s">
        <v>9775</v>
      </c>
    </row>
    <row r="844" ht="14.25" customHeight="1">
      <c r="C844" s="71" t="s">
        <v>1906</v>
      </c>
      <c r="D844" s="71" t="s">
        <v>9776</v>
      </c>
    </row>
    <row r="845" ht="14.25" customHeight="1">
      <c r="C845" s="71" t="s">
        <v>9777</v>
      </c>
      <c r="D845" s="71" t="s">
        <v>9026</v>
      </c>
    </row>
    <row r="846" ht="14.25" customHeight="1">
      <c r="C846" s="71" t="s">
        <v>4231</v>
      </c>
      <c r="D846" s="71" t="s">
        <v>9778</v>
      </c>
    </row>
    <row r="847" ht="14.25" customHeight="1">
      <c r="C847" s="71" t="s">
        <v>256</v>
      </c>
      <c r="D847" s="71" t="s">
        <v>9779</v>
      </c>
    </row>
    <row r="848" ht="14.25" customHeight="1">
      <c r="C848" s="71" t="s">
        <v>9780</v>
      </c>
      <c r="D848" s="71" t="s">
        <v>9781</v>
      </c>
    </row>
    <row r="849" ht="14.25" customHeight="1">
      <c r="C849" s="71" t="s">
        <v>9160</v>
      </c>
      <c r="D849" s="71" t="s">
        <v>9526</v>
      </c>
    </row>
    <row r="850" ht="14.25" customHeight="1">
      <c r="C850" s="71" t="s">
        <v>4354</v>
      </c>
      <c r="D850" s="71" t="s">
        <v>9782</v>
      </c>
    </row>
    <row r="851" ht="14.25" customHeight="1">
      <c r="D851" s="71" t="s">
        <v>9002</v>
      </c>
    </row>
    <row r="852" ht="14.25" customHeight="1">
      <c r="C852" s="71" t="s">
        <v>5618</v>
      </c>
      <c r="D852" s="71" t="s">
        <v>9783</v>
      </c>
    </row>
    <row r="853" ht="14.25" customHeight="1">
      <c r="C853" s="71" t="s">
        <v>9005</v>
      </c>
      <c r="D853" s="71" t="s">
        <v>9006</v>
      </c>
    </row>
    <row r="854" ht="14.25" customHeight="1">
      <c r="C854" s="71" t="s">
        <v>9529</v>
      </c>
      <c r="D854" s="71" t="s">
        <v>9006</v>
      </c>
    </row>
    <row r="855" ht="14.25" customHeight="1">
      <c r="C855" s="71" t="s">
        <v>7310</v>
      </c>
      <c r="D855" s="71" t="s">
        <v>9784</v>
      </c>
    </row>
    <row r="856" ht="14.25" customHeight="1">
      <c r="C856" s="71" t="s">
        <v>9785</v>
      </c>
      <c r="D856" s="71" t="s">
        <v>9786</v>
      </c>
    </row>
    <row r="857" ht="14.25" customHeight="1">
      <c r="C857" s="71" t="s">
        <v>9787</v>
      </c>
      <c r="D857" s="71" t="s">
        <v>9236</v>
      </c>
    </row>
    <row r="858" ht="14.25" customHeight="1">
      <c r="D858" s="71" t="s">
        <v>9788</v>
      </c>
    </row>
    <row r="859" ht="14.25" customHeight="1">
      <c r="B859" s="71" t="s">
        <v>41</v>
      </c>
      <c r="C859" s="71" t="s">
        <v>9597</v>
      </c>
      <c r="D859" s="71" t="s">
        <v>9099</v>
      </c>
    </row>
    <row r="860" ht="14.25" customHeight="1">
      <c r="C860" s="71" t="s">
        <v>9789</v>
      </c>
      <c r="D860" s="71" t="s">
        <v>9790</v>
      </c>
    </row>
    <row r="861" ht="14.25" customHeight="1">
      <c r="C861" s="71" t="s">
        <v>9791</v>
      </c>
      <c r="D861" s="71" t="s">
        <v>9792</v>
      </c>
    </row>
    <row r="862" ht="14.25" customHeight="1">
      <c r="C862" s="71" t="s">
        <v>9434</v>
      </c>
      <c r="D862" s="71" t="s">
        <v>9793</v>
      </c>
    </row>
    <row r="863" ht="14.25" customHeight="1">
      <c r="D863" s="71" t="s">
        <v>9073</v>
      </c>
    </row>
    <row r="864" ht="14.25" customHeight="1">
      <c r="C864" s="71" t="s">
        <v>9160</v>
      </c>
      <c r="D864" s="71" t="s">
        <v>9667</v>
      </c>
    </row>
    <row r="865" ht="14.25" customHeight="1">
      <c r="C865" s="71" t="s">
        <v>4393</v>
      </c>
      <c r="D865" s="71" t="s">
        <v>9794</v>
      </c>
    </row>
    <row r="866" ht="14.25" customHeight="1">
      <c r="C866" s="71" t="s">
        <v>9795</v>
      </c>
      <c r="D866" s="71" t="s">
        <v>9775</v>
      </c>
    </row>
    <row r="867" ht="14.25" customHeight="1">
      <c r="A867" s="71" t="s">
        <v>9796</v>
      </c>
      <c r="B867" s="71" t="s">
        <v>40</v>
      </c>
      <c r="C867" s="71" t="s">
        <v>9261</v>
      </c>
      <c r="D867" s="71" t="s">
        <v>9797</v>
      </c>
    </row>
    <row r="868" ht="14.25" customHeight="1">
      <c r="C868" s="71" t="s">
        <v>170</v>
      </c>
      <c r="D868" s="71" t="s">
        <v>9525</v>
      </c>
    </row>
    <row r="869" ht="14.25" customHeight="1">
      <c r="C869" s="71" t="s">
        <v>3566</v>
      </c>
      <c r="D869" s="71" t="s">
        <v>9798</v>
      </c>
    </row>
    <row r="870" ht="14.25" customHeight="1">
      <c r="C870" s="71" t="s">
        <v>9277</v>
      </c>
      <c r="D870" s="71" t="s">
        <v>8978</v>
      </c>
    </row>
    <row r="871" ht="14.25" customHeight="1">
      <c r="C871" s="71" t="s">
        <v>9799</v>
      </c>
      <c r="D871" s="71" t="s">
        <v>9800</v>
      </c>
    </row>
    <row r="872" ht="14.25" customHeight="1">
      <c r="C872" s="71" t="s">
        <v>9005</v>
      </c>
      <c r="D872" s="71" t="s">
        <v>9006</v>
      </c>
    </row>
    <row r="873" ht="14.25" customHeight="1">
      <c r="B873" s="71" t="s">
        <v>13</v>
      </c>
      <c r="C873" s="71" t="s">
        <v>9458</v>
      </c>
      <c r="D873" s="71" t="s">
        <v>9332</v>
      </c>
    </row>
    <row r="874" ht="14.25" customHeight="1">
      <c r="C874" s="71" t="s">
        <v>9801</v>
      </c>
      <c r="D874" s="71" t="s">
        <v>9802</v>
      </c>
    </row>
    <row r="875" ht="14.25" customHeight="1">
      <c r="C875" s="71" t="s">
        <v>9803</v>
      </c>
      <c r="D875" s="71" t="s">
        <v>9242</v>
      </c>
    </row>
    <row r="876" ht="14.25" customHeight="1">
      <c r="C876" s="71" t="s">
        <v>9804</v>
      </c>
      <c r="D876" s="71" t="s">
        <v>9805</v>
      </c>
    </row>
    <row r="877" ht="14.25" customHeight="1">
      <c r="A877" s="71" t="s">
        <v>9806</v>
      </c>
      <c r="B877" s="71" t="s">
        <v>40</v>
      </c>
      <c r="C877" s="71" t="s">
        <v>9807</v>
      </c>
      <c r="D877" s="71" t="s">
        <v>9034</v>
      </c>
    </row>
    <row r="878" ht="14.25" customHeight="1">
      <c r="C878" s="71" t="s">
        <v>9808</v>
      </c>
      <c r="D878" s="71" t="s">
        <v>9028</v>
      </c>
    </row>
    <row r="879" ht="14.25" customHeight="1">
      <c r="C879" s="71" t="s">
        <v>9809</v>
      </c>
      <c r="D879" s="71" t="s">
        <v>8968</v>
      </c>
    </row>
    <row r="880" ht="14.25" customHeight="1">
      <c r="C880" s="71" t="s">
        <v>9810</v>
      </c>
      <c r="D880" s="71" t="s">
        <v>9071</v>
      </c>
    </row>
    <row r="881" ht="14.25" customHeight="1">
      <c r="D881" s="71" t="s">
        <v>9404</v>
      </c>
    </row>
    <row r="882" ht="14.25" customHeight="1">
      <c r="C882" s="71" t="s">
        <v>9811</v>
      </c>
      <c r="D882" s="71" t="s">
        <v>9812</v>
      </c>
    </row>
    <row r="883" ht="14.25" customHeight="1">
      <c r="C883" s="71" t="s">
        <v>294</v>
      </c>
      <c r="D883" s="71" t="s">
        <v>9813</v>
      </c>
    </row>
    <row r="884" ht="14.25" customHeight="1">
      <c r="C884" s="71" t="s">
        <v>2780</v>
      </c>
      <c r="D884" s="71" t="s">
        <v>9071</v>
      </c>
    </row>
    <row r="885" ht="14.25" customHeight="1">
      <c r="C885" s="71" t="s">
        <v>9748</v>
      </c>
      <c r="D885" s="71" t="s">
        <v>9028</v>
      </c>
    </row>
    <row r="886" ht="14.25" customHeight="1">
      <c r="C886" s="71" t="s">
        <v>9133</v>
      </c>
      <c r="D886" s="71" t="s">
        <v>9814</v>
      </c>
    </row>
    <row r="887" ht="14.25" customHeight="1">
      <c r="C887" s="71" t="s">
        <v>9815</v>
      </c>
      <c r="D887" s="71" t="s">
        <v>9816</v>
      </c>
    </row>
    <row r="888" ht="14.25" customHeight="1">
      <c r="C888" s="71" t="s">
        <v>166</v>
      </c>
      <c r="D888" s="71" t="s">
        <v>9817</v>
      </c>
    </row>
    <row r="889" ht="14.25" customHeight="1">
      <c r="D889" s="71" t="s">
        <v>9151</v>
      </c>
    </row>
    <row r="890" ht="14.25" customHeight="1">
      <c r="C890" s="71" t="s">
        <v>9818</v>
      </c>
      <c r="D890" s="71" t="s">
        <v>9055</v>
      </c>
    </row>
    <row r="891" ht="14.25" customHeight="1">
      <c r="C891" s="71" t="s">
        <v>3566</v>
      </c>
      <c r="D891" s="71" t="s">
        <v>9071</v>
      </c>
    </row>
    <row r="892" ht="14.25" customHeight="1">
      <c r="C892" s="71" t="s">
        <v>9819</v>
      </c>
      <c r="D892" s="71" t="s">
        <v>9820</v>
      </c>
    </row>
    <row r="893" ht="14.25" customHeight="1">
      <c r="C893" s="71" t="s">
        <v>9821</v>
      </c>
      <c r="D893" s="71" t="s">
        <v>8968</v>
      </c>
    </row>
    <row r="894" ht="14.25" customHeight="1">
      <c r="C894" s="71" t="s">
        <v>210</v>
      </c>
      <c r="D894" s="71" t="s">
        <v>9073</v>
      </c>
    </row>
    <row r="895" ht="14.25" customHeight="1">
      <c r="C895" s="71" t="s">
        <v>3850</v>
      </c>
      <c r="D895" s="71" t="s">
        <v>9822</v>
      </c>
    </row>
    <row r="896" ht="14.25" customHeight="1">
      <c r="C896" s="71" t="s">
        <v>9005</v>
      </c>
      <c r="D896" s="71" t="s">
        <v>9006</v>
      </c>
    </row>
    <row r="897" ht="14.25" customHeight="1">
      <c r="C897" s="71" t="s">
        <v>2163</v>
      </c>
      <c r="D897" s="71" t="s">
        <v>9021</v>
      </c>
    </row>
    <row r="898" ht="14.25" customHeight="1">
      <c r="C898" s="71" t="s">
        <v>9823</v>
      </c>
      <c r="D898" s="71" t="s">
        <v>9055</v>
      </c>
    </row>
    <row r="899" ht="14.25" customHeight="1">
      <c r="A899" s="71" t="s">
        <v>9824</v>
      </c>
      <c r="B899" s="71" t="s">
        <v>40</v>
      </c>
      <c r="C899" s="71" t="s">
        <v>9458</v>
      </c>
      <c r="D899" s="71" t="s">
        <v>8968</v>
      </c>
    </row>
    <row r="900" ht="14.25" customHeight="1">
      <c r="C900" s="71" t="s">
        <v>9603</v>
      </c>
      <c r="D900" s="71" t="s">
        <v>9825</v>
      </c>
    </row>
    <row r="901" ht="14.25" customHeight="1">
      <c r="C901" s="71" t="s">
        <v>9826</v>
      </c>
      <c r="D901" s="71" t="s">
        <v>9073</v>
      </c>
    </row>
    <row r="902" ht="14.25" customHeight="1">
      <c r="C902" s="71" t="s">
        <v>9121</v>
      </c>
      <c r="D902" s="71" t="s">
        <v>9827</v>
      </c>
    </row>
    <row r="903" ht="14.25" customHeight="1">
      <c r="C903" s="71" t="s">
        <v>9828</v>
      </c>
      <c r="D903" s="71" t="s">
        <v>9829</v>
      </c>
    </row>
    <row r="904" ht="14.25" customHeight="1">
      <c r="C904" s="71" t="s">
        <v>9830</v>
      </c>
      <c r="D904" s="71" t="s">
        <v>9831</v>
      </c>
    </row>
    <row r="905" ht="14.25" customHeight="1">
      <c r="C905" s="71" t="s">
        <v>9832</v>
      </c>
      <c r="D905" s="71" t="s">
        <v>9778</v>
      </c>
    </row>
    <row r="906" ht="14.25" customHeight="1">
      <c r="D906" s="71" t="s">
        <v>9075</v>
      </c>
    </row>
    <row r="907" ht="14.25" customHeight="1">
      <c r="C907" s="71" t="s">
        <v>9833</v>
      </c>
      <c r="D907" s="71" t="s">
        <v>9834</v>
      </c>
    </row>
    <row r="908" ht="14.25" customHeight="1">
      <c r="C908" s="71" t="s">
        <v>9835</v>
      </c>
      <c r="D908" s="71" t="s">
        <v>9075</v>
      </c>
    </row>
    <row r="909" ht="14.25" customHeight="1">
      <c r="C909" s="71" t="s">
        <v>3566</v>
      </c>
      <c r="D909" s="71" t="s">
        <v>9836</v>
      </c>
    </row>
    <row r="910" ht="14.25" customHeight="1">
      <c r="C910" s="71" t="s">
        <v>332</v>
      </c>
      <c r="D910" s="71" t="s">
        <v>9837</v>
      </c>
    </row>
    <row r="911" ht="14.25" customHeight="1">
      <c r="C911" s="71" t="s">
        <v>9156</v>
      </c>
      <c r="D911" s="71" t="s">
        <v>9152</v>
      </c>
    </row>
    <row r="912" ht="14.25" customHeight="1">
      <c r="C912" s="71" t="s">
        <v>4035</v>
      </c>
      <c r="D912" s="71" t="s">
        <v>8968</v>
      </c>
    </row>
    <row r="913" ht="14.25" customHeight="1">
      <c r="C913" s="71" t="s">
        <v>257</v>
      </c>
      <c r="D913" s="71" t="s">
        <v>9151</v>
      </c>
    </row>
    <row r="914" ht="14.25" customHeight="1">
      <c r="C914" s="71" t="s">
        <v>9160</v>
      </c>
      <c r="D914" s="71" t="s">
        <v>9073</v>
      </c>
    </row>
    <row r="915" ht="14.25" customHeight="1">
      <c r="C915" s="71" t="s">
        <v>9005</v>
      </c>
      <c r="D915" s="71" t="s">
        <v>9006</v>
      </c>
    </row>
    <row r="916" ht="14.25" customHeight="1">
      <c r="C916" s="71" t="s">
        <v>2163</v>
      </c>
      <c r="D916" s="71" t="s">
        <v>9021</v>
      </c>
    </row>
    <row r="917" ht="14.25" customHeight="1">
      <c r="B917" s="71" t="s">
        <v>13</v>
      </c>
      <c r="C917" s="71" t="s">
        <v>202</v>
      </c>
      <c r="D917" s="71" t="s">
        <v>9838</v>
      </c>
    </row>
    <row r="918" ht="14.25" customHeight="1">
      <c r="C918" s="71" t="s">
        <v>9839</v>
      </c>
      <c r="D918" s="71" t="s">
        <v>8968</v>
      </c>
    </row>
    <row r="919" ht="14.25" customHeight="1">
      <c r="A919" s="71" t="s">
        <v>9840</v>
      </c>
      <c r="B919" s="71" t="s">
        <v>40</v>
      </c>
      <c r="C919" s="71" t="s">
        <v>9597</v>
      </c>
      <c r="D919" s="71" t="s">
        <v>9841</v>
      </c>
    </row>
    <row r="920" ht="14.25" customHeight="1">
      <c r="C920" s="71" t="s">
        <v>8969</v>
      </c>
      <c r="D920" s="71" t="s">
        <v>9755</v>
      </c>
    </row>
    <row r="921" ht="14.25" customHeight="1">
      <c r="C921" s="71" t="s">
        <v>9458</v>
      </c>
      <c r="D921" s="71" t="s">
        <v>9842</v>
      </c>
    </row>
    <row r="922" ht="14.25" customHeight="1">
      <c r="D922" s="71" t="s">
        <v>8968</v>
      </c>
    </row>
    <row r="923" ht="14.25" customHeight="1">
      <c r="D923" s="71" t="s">
        <v>9075</v>
      </c>
    </row>
    <row r="924" ht="14.25" customHeight="1">
      <c r="C924" s="71" t="s">
        <v>500</v>
      </c>
      <c r="D924" s="71" t="s">
        <v>9843</v>
      </c>
    </row>
    <row r="925" ht="14.25" customHeight="1">
      <c r="C925" s="71" t="s">
        <v>9844</v>
      </c>
      <c r="D925" s="71" t="s">
        <v>9118</v>
      </c>
    </row>
    <row r="926" ht="14.25" customHeight="1">
      <c r="C926" s="71" t="s">
        <v>9845</v>
      </c>
      <c r="D926" s="71" t="s">
        <v>9846</v>
      </c>
    </row>
    <row r="927" ht="14.25" customHeight="1">
      <c r="C927" s="71" t="s">
        <v>77</v>
      </c>
      <c r="D927" s="71" t="s">
        <v>9778</v>
      </c>
    </row>
    <row r="928" ht="14.25" customHeight="1">
      <c r="C928" s="71" t="s">
        <v>9810</v>
      </c>
      <c r="D928" s="71" t="s">
        <v>9028</v>
      </c>
    </row>
    <row r="929" ht="14.25" customHeight="1">
      <c r="C929" s="71" t="s">
        <v>8974</v>
      </c>
      <c r="D929" s="71" t="s">
        <v>9028</v>
      </c>
    </row>
    <row r="930" ht="14.25" customHeight="1">
      <c r="C930" s="71" t="s">
        <v>1889</v>
      </c>
      <c r="D930" s="71" t="s">
        <v>9812</v>
      </c>
    </row>
    <row r="931" ht="14.25" customHeight="1">
      <c r="C931" s="71" t="s">
        <v>9300</v>
      </c>
      <c r="D931" s="71" t="s">
        <v>9028</v>
      </c>
    </row>
    <row r="932" ht="14.25" customHeight="1">
      <c r="C932" s="71" t="s">
        <v>9572</v>
      </c>
      <c r="D932" s="71" t="s">
        <v>9034</v>
      </c>
    </row>
    <row r="933" ht="14.25" customHeight="1">
      <c r="D933" s="71" t="s">
        <v>9075</v>
      </c>
    </row>
    <row r="934" ht="14.25" customHeight="1">
      <c r="C934" s="71" t="s">
        <v>89</v>
      </c>
      <c r="D934" s="71" t="s">
        <v>9236</v>
      </c>
    </row>
    <row r="935" ht="14.25" customHeight="1">
      <c r="D935" s="71" t="s">
        <v>9028</v>
      </c>
    </row>
    <row r="936" ht="14.25" customHeight="1">
      <c r="C936" s="71" t="s">
        <v>8977</v>
      </c>
      <c r="D936" s="71" t="s">
        <v>9583</v>
      </c>
    </row>
    <row r="937" ht="14.25" customHeight="1">
      <c r="D937" s="71" t="s">
        <v>9028</v>
      </c>
    </row>
    <row r="938" ht="14.25" customHeight="1">
      <c r="C938" s="71" t="s">
        <v>294</v>
      </c>
      <c r="D938" s="71" t="s">
        <v>9066</v>
      </c>
    </row>
    <row r="939" ht="14.25" customHeight="1">
      <c r="C939" s="71" t="s">
        <v>98</v>
      </c>
      <c r="D939" s="71" t="s">
        <v>9075</v>
      </c>
    </row>
    <row r="940" ht="14.25" customHeight="1">
      <c r="C940" s="71" t="s">
        <v>9847</v>
      </c>
      <c r="D940" s="71" t="s">
        <v>8968</v>
      </c>
    </row>
    <row r="941" ht="14.25" customHeight="1">
      <c r="C941" s="71" t="s">
        <v>9848</v>
      </c>
      <c r="D941" s="71" t="s">
        <v>9028</v>
      </c>
    </row>
    <row r="942" ht="14.25" customHeight="1">
      <c r="C942" s="71" t="s">
        <v>6057</v>
      </c>
      <c r="D942" s="71" t="s">
        <v>9131</v>
      </c>
    </row>
    <row r="943" ht="14.25" customHeight="1">
      <c r="D943" s="71" t="s">
        <v>9583</v>
      </c>
    </row>
    <row r="944" ht="14.25" customHeight="1">
      <c r="C944" s="71" t="s">
        <v>6099</v>
      </c>
      <c r="D944" s="71" t="s">
        <v>9034</v>
      </c>
    </row>
    <row r="945" ht="14.25" customHeight="1">
      <c r="C945" s="71" t="s">
        <v>9626</v>
      </c>
      <c r="D945" s="71" t="s">
        <v>9028</v>
      </c>
    </row>
    <row r="946" ht="14.25" customHeight="1">
      <c r="C946" s="71" t="s">
        <v>9849</v>
      </c>
      <c r="D946" s="71" t="s">
        <v>9850</v>
      </c>
    </row>
    <row r="947" ht="14.25" customHeight="1">
      <c r="C947" s="71" t="s">
        <v>9851</v>
      </c>
      <c r="D947" s="71" t="s">
        <v>9109</v>
      </c>
    </row>
    <row r="948" ht="14.25" customHeight="1">
      <c r="C948" s="71" t="s">
        <v>9852</v>
      </c>
      <c r="D948" s="71" t="s">
        <v>9853</v>
      </c>
    </row>
    <row r="949" ht="14.25" customHeight="1">
      <c r="C949" s="71" t="s">
        <v>9854</v>
      </c>
      <c r="D949" s="71" t="s">
        <v>9216</v>
      </c>
    </row>
    <row r="950" ht="14.25" customHeight="1">
      <c r="C950" s="71" t="s">
        <v>2894</v>
      </c>
      <c r="D950" s="71" t="s">
        <v>9002</v>
      </c>
    </row>
    <row r="951" ht="14.25" customHeight="1">
      <c r="D951" s="71" t="s">
        <v>9855</v>
      </c>
    </row>
    <row r="952" ht="14.25" customHeight="1">
      <c r="C952" s="71" t="s">
        <v>9856</v>
      </c>
      <c r="D952" s="71" t="s">
        <v>9028</v>
      </c>
    </row>
    <row r="953" ht="14.25" customHeight="1">
      <c r="C953" s="71" t="s">
        <v>9748</v>
      </c>
      <c r="D953" s="71" t="s">
        <v>9028</v>
      </c>
    </row>
    <row r="954" ht="14.25" customHeight="1">
      <c r="C954" s="71" t="s">
        <v>9478</v>
      </c>
      <c r="D954" s="71" t="s">
        <v>9857</v>
      </c>
    </row>
    <row r="955" ht="14.25" customHeight="1">
      <c r="C955" s="71" t="s">
        <v>9858</v>
      </c>
      <c r="D955" s="71" t="s">
        <v>9859</v>
      </c>
    </row>
    <row r="956" ht="14.25" customHeight="1">
      <c r="C956" s="71" t="s">
        <v>9132</v>
      </c>
      <c r="D956" s="71" t="s">
        <v>9151</v>
      </c>
    </row>
    <row r="957" ht="14.25" customHeight="1">
      <c r="C957" s="71" t="s">
        <v>9860</v>
      </c>
      <c r="D957" s="71" t="s">
        <v>9861</v>
      </c>
    </row>
    <row r="958" ht="14.25" customHeight="1">
      <c r="C958" s="71" t="s">
        <v>8981</v>
      </c>
      <c r="D958" s="71" t="s">
        <v>8982</v>
      </c>
    </row>
    <row r="959" ht="14.25" customHeight="1">
      <c r="C959" s="71" t="s">
        <v>2967</v>
      </c>
      <c r="D959" s="71" t="s">
        <v>9131</v>
      </c>
    </row>
    <row r="960" ht="14.25" customHeight="1">
      <c r="C960" s="71" t="s">
        <v>9133</v>
      </c>
      <c r="D960" s="71" t="s">
        <v>9051</v>
      </c>
    </row>
    <row r="961" ht="14.25" customHeight="1">
      <c r="D961" s="71" t="s">
        <v>9151</v>
      </c>
    </row>
    <row r="962" ht="14.25" customHeight="1">
      <c r="C962" s="71" t="s">
        <v>9862</v>
      </c>
      <c r="D962" s="71" t="s">
        <v>9073</v>
      </c>
    </row>
    <row r="963" ht="14.25" customHeight="1">
      <c r="C963" s="71" t="s">
        <v>9863</v>
      </c>
      <c r="D963" s="71" t="s">
        <v>9864</v>
      </c>
    </row>
    <row r="964" ht="14.25" customHeight="1">
      <c r="C964" s="71" t="s">
        <v>132</v>
      </c>
      <c r="D964" s="71" t="s">
        <v>9430</v>
      </c>
    </row>
    <row r="965" ht="14.25" customHeight="1">
      <c r="C965" s="71" t="s">
        <v>9865</v>
      </c>
      <c r="D965" s="71" t="s">
        <v>9866</v>
      </c>
    </row>
    <row r="966" ht="14.25" customHeight="1">
      <c r="C966" s="71" t="s">
        <v>3138</v>
      </c>
      <c r="D966" s="71" t="s">
        <v>9867</v>
      </c>
    </row>
    <row r="967" ht="14.25" customHeight="1">
      <c r="D967" s="71" t="s">
        <v>9868</v>
      </c>
    </row>
    <row r="968" ht="14.25" customHeight="1">
      <c r="C968" s="71" t="s">
        <v>9869</v>
      </c>
      <c r="D968" s="71" t="s">
        <v>9870</v>
      </c>
    </row>
    <row r="969" ht="14.25" customHeight="1">
      <c r="C969" s="71" t="s">
        <v>141</v>
      </c>
      <c r="D969" s="71" t="s">
        <v>9871</v>
      </c>
    </row>
    <row r="970" ht="14.25" customHeight="1">
      <c r="D970" s="71" t="s">
        <v>9872</v>
      </c>
    </row>
    <row r="971" ht="14.25" customHeight="1">
      <c r="D971" s="71" t="s">
        <v>9028</v>
      </c>
    </row>
    <row r="972" ht="14.25" customHeight="1">
      <c r="D972" s="71" t="s">
        <v>9873</v>
      </c>
    </row>
    <row r="973" ht="14.25" customHeight="1">
      <c r="D973" s="71" t="s">
        <v>9753</v>
      </c>
    </row>
    <row r="974" ht="14.25" customHeight="1">
      <c r="C974" s="71" t="s">
        <v>9874</v>
      </c>
      <c r="D974" s="71" t="s">
        <v>9216</v>
      </c>
    </row>
    <row r="975" ht="14.25" customHeight="1">
      <c r="C975" s="71" t="s">
        <v>3313</v>
      </c>
      <c r="D975" s="71" t="s">
        <v>9875</v>
      </c>
    </row>
    <row r="976" ht="14.25" customHeight="1">
      <c r="C976" s="71" t="s">
        <v>9876</v>
      </c>
      <c r="D976" s="71" t="s">
        <v>9583</v>
      </c>
    </row>
    <row r="977" ht="14.25" customHeight="1">
      <c r="C977" s="71" t="s">
        <v>3466</v>
      </c>
      <c r="D977" s="71" t="s">
        <v>9877</v>
      </c>
    </row>
    <row r="978" ht="14.25" customHeight="1">
      <c r="C978" s="71" t="s">
        <v>9878</v>
      </c>
      <c r="D978" s="71" t="s">
        <v>9879</v>
      </c>
    </row>
    <row r="979" ht="14.25" customHeight="1">
      <c r="C979" s="71" t="s">
        <v>166</v>
      </c>
      <c r="D979" s="71" t="s">
        <v>9151</v>
      </c>
    </row>
    <row r="980" ht="14.25" customHeight="1">
      <c r="D980" s="71" t="s">
        <v>9028</v>
      </c>
    </row>
    <row r="981" ht="14.25" customHeight="1">
      <c r="C981" s="71" t="s">
        <v>9203</v>
      </c>
      <c r="D981" s="71" t="s">
        <v>9180</v>
      </c>
    </row>
    <row r="982" ht="14.25" customHeight="1">
      <c r="D982" s="71" t="s">
        <v>9880</v>
      </c>
    </row>
    <row r="983" ht="14.25" customHeight="1">
      <c r="D983" s="71" t="s">
        <v>9189</v>
      </c>
    </row>
    <row r="984" ht="14.25" customHeight="1">
      <c r="C984" s="71" t="s">
        <v>3499</v>
      </c>
      <c r="D984" s="71" t="s">
        <v>9881</v>
      </c>
    </row>
    <row r="985" ht="14.25" customHeight="1">
      <c r="C985" s="71" t="s">
        <v>170</v>
      </c>
      <c r="D985" s="71" t="s">
        <v>9525</v>
      </c>
    </row>
    <row r="986" ht="14.25" customHeight="1">
      <c r="C986" s="71" t="s">
        <v>9882</v>
      </c>
      <c r="D986" s="71" t="s">
        <v>9883</v>
      </c>
    </row>
    <row r="987" ht="14.25" customHeight="1">
      <c r="C987" s="71" t="s">
        <v>8249</v>
      </c>
      <c r="D987" s="71" t="s">
        <v>9884</v>
      </c>
    </row>
    <row r="988" ht="14.25" customHeight="1">
      <c r="C988" s="71" t="s">
        <v>3566</v>
      </c>
      <c r="D988" s="71" t="s">
        <v>9885</v>
      </c>
    </row>
    <row r="989" ht="14.25" customHeight="1">
      <c r="D989" s="71" t="s">
        <v>9071</v>
      </c>
    </row>
    <row r="990" ht="14.25" customHeight="1">
      <c r="D990" s="71" t="s">
        <v>9886</v>
      </c>
    </row>
    <row r="991" ht="14.25" customHeight="1">
      <c r="D991" s="71" t="s">
        <v>9028</v>
      </c>
    </row>
    <row r="992" ht="14.25" customHeight="1">
      <c r="D992" s="71" t="s">
        <v>9669</v>
      </c>
    </row>
    <row r="993" ht="14.25" customHeight="1">
      <c r="D993" s="71" t="s">
        <v>9118</v>
      </c>
    </row>
    <row r="994" ht="14.25" customHeight="1">
      <c r="C994" s="71" t="s">
        <v>9804</v>
      </c>
      <c r="D994" s="71" t="s">
        <v>8968</v>
      </c>
    </row>
    <row r="995" ht="14.25" customHeight="1">
      <c r="D995" s="71" t="s">
        <v>9887</v>
      </c>
    </row>
    <row r="996" ht="14.25" customHeight="1">
      <c r="C996" s="71" t="s">
        <v>9888</v>
      </c>
      <c r="D996" s="71" t="s">
        <v>9889</v>
      </c>
    </row>
    <row r="997" ht="14.25" customHeight="1">
      <c r="C997" s="71" t="s">
        <v>5165</v>
      </c>
      <c r="D997" s="71" t="s">
        <v>9109</v>
      </c>
    </row>
    <row r="998" ht="14.25" customHeight="1">
      <c r="C998" s="71" t="s">
        <v>9890</v>
      </c>
      <c r="D998" s="71" t="s">
        <v>9891</v>
      </c>
    </row>
    <row r="999" ht="14.25" customHeight="1">
      <c r="D999" s="71" t="s">
        <v>8968</v>
      </c>
    </row>
    <row r="1000" ht="14.25" customHeight="1">
      <c r="C1000" s="71" t="s">
        <v>200</v>
      </c>
      <c r="D1000" s="71" t="s">
        <v>9151</v>
      </c>
    </row>
    <row r="1001" ht="14.25" customHeight="1">
      <c r="C1001" s="71" t="s">
        <v>8398</v>
      </c>
      <c r="D1001" s="71" t="s">
        <v>9892</v>
      </c>
    </row>
    <row r="1002" ht="14.25" customHeight="1">
      <c r="C1002" s="71" t="s">
        <v>9791</v>
      </c>
      <c r="D1002" s="71" t="s">
        <v>9893</v>
      </c>
    </row>
    <row r="1003" ht="14.25" customHeight="1">
      <c r="C1003" s="71" t="s">
        <v>332</v>
      </c>
      <c r="D1003" s="71" t="s">
        <v>9073</v>
      </c>
    </row>
    <row r="1004" ht="14.25" customHeight="1">
      <c r="C1004" s="71" t="s">
        <v>214</v>
      </c>
      <c r="D1004" s="71" t="s">
        <v>9583</v>
      </c>
    </row>
    <row r="1005" ht="14.25" customHeight="1">
      <c r="C1005" s="71" t="s">
        <v>3814</v>
      </c>
      <c r="D1005" s="71" t="s">
        <v>9827</v>
      </c>
    </row>
    <row r="1006" ht="14.25" customHeight="1">
      <c r="C1006" s="71" t="s">
        <v>9894</v>
      </c>
      <c r="D1006" s="71" t="s">
        <v>9141</v>
      </c>
    </row>
    <row r="1007" ht="14.25" customHeight="1">
      <c r="C1007" s="71" t="s">
        <v>9895</v>
      </c>
      <c r="D1007" s="71" t="s">
        <v>9618</v>
      </c>
    </row>
    <row r="1008" ht="14.25" customHeight="1">
      <c r="C1008" s="71" t="s">
        <v>9896</v>
      </c>
      <c r="D1008" s="71" t="s">
        <v>9073</v>
      </c>
    </row>
    <row r="1009" ht="14.25" customHeight="1">
      <c r="C1009" s="71" t="s">
        <v>9897</v>
      </c>
      <c r="D1009" s="71" t="s">
        <v>9028</v>
      </c>
    </row>
    <row r="1010" ht="14.25" customHeight="1">
      <c r="C1010" s="71" t="s">
        <v>1743</v>
      </c>
      <c r="D1010" s="71" t="s">
        <v>9168</v>
      </c>
    </row>
    <row r="1011" ht="14.25" customHeight="1">
      <c r="C1011" s="71" t="s">
        <v>9156</v>
      </c>
      <c r="D1011" s="71" t="s">
        <v>8968</v>
      </c>
    </row>
    <row r="1012" ht="14.25" customHeight="1">
      <c r="D1012" s="71" t="s">
        <v>9071</v>
      </c>
    </row>
    <row r="1013" ht="14.25" customHeight="1">
      <c r="C1013" s="71" t="s">
        <v>9898</v>
      </c>
      <c r="D1013" s="71" t="s">
        <v>405</v>
      </c>
    </row>
    <row r="1014" ht="14.25" customHeight="1">
      <c r="C1014" s="71" t="s">
        <v>9899</v>
      </c>
      <c r="D1014" s="71" t="s">
        <v>9028</v>
      </c>
    </row>
    <row r="1015" ht="14.25" customHeight="1">
      <c r="C1015" s="71" t="s">
        <v>230</v>
      </c>
      <c r="D1015" s="71" t="s">
        <v>8976</v>
      </c>
    </row>
    <row r="1016" ht="14.25" customHeight="1">
      <c r="C1016" s="71" t="s">
        <v>4035</v>
      </c>
      <c r="D1016" s="71" t="s">
        <v>8968</v>
      </c>
    </row>
    <row r="1017" ht="14.25" customHeight="1">
      <c r="C1017" s="71" t="s">
        <v>9900</v>
      </c>
      <c r="D1017" s="71" t="s">
        <v>9901</v>
      </c>
    </row>
    <row r="1018" ht="14.25" customHeight="1">
      <c r="C1018" s="71" t="s">
        <v>9402</v>
      </c>
      <c r="D1018" s="71" t="s">
        <v>9034</v>
      </c>
    </row>
    <row r="1019" ht="14.25" customHeight="1">
      <c r="D1019" s="71" t="s">
        <v>405</v>
      </c>
    </row>
    <row r="1020" ht="14.25" customHeight="1">
      <c r="D1020" s="71" t="s">
        <v>9071</v>
      </c>
    </row>
    <row r="1021" ht="14.25" customHeight="1">
      <c r="C1021" s="71" t="s">
        <v>9902</v>
      </c>
      <c r="D1021" s="71" t="s">
        <v>9037</v>
      </c>
    </row>
    <row r="1022" ht="14.25" customHeight="1">
      <c r="C1022" s="71" t="s">
        <v>9903</v>
      </c>
      <c r="D1022" s="71" t="s">
        <v>8976</v>
      </c>
    </row>
    <row r="1023" ht="14.25" customHeight="1">
      <c r="C1023" s="71" t="s">
        <v>9215</v>
      </c>
      <c r="D1023" s="71" t="s">
        <v>9904</v>
      </c>
    </row>
    <row r="1024" ht="14.25" customHeight="1">
      <c r="C1024" s="71" t="s">
        <v>321</v>
      </c>
      <c r="D1024" s="71" t="s">
        <v>9055</v>
      </c>
    </row>
    <row r="1025" ht="14.25" customHeight="1">
      <c r="C1025" s="71" t="s">
        <v>4187</v>
      </c>
      <c r="D1025" s="71" t="s">
        <v>9026</v>
      </c>
    </row>
    <row r="1026" ht="14.25" customHeight="1">
      <c r="C1026" s="71" t="s">
        <v>9523</v>
      </c>
      <c r="D1026" s="71" t="s">
        <v>9118</v>
      </c>
    </row>
    <row r="1027" ht="14.25" customHeight="1">
      <c r="C1027" s="71" t="s">
        <v>9905</v>
      </c>
      <c r="D1027" s="71" t="s">
        <v>9034</v>
      </c>
    </row>
    <row r="1028" ht="14.25" customHeight="1">
      <c r="C1028" s="71" t="s">
        <v>255</v>
      </c>
      <c r="D1028" s="71" t="s">
        <v>9028</v>
      </c>
    </row>
    <row r="1029" ht="14.25" customHeight="1">
      <c r="D1029" s="71" t="s">
        <v>9075</v>
      </c>
    </row>
    <row r="1030" ht="14.25" customHeight="1">
      <c r="C1030" s="71" t="s">
        <v>9434</v>
      </c>
      <c r="D1030" s="71" t="s">
        <v>9071</v>
      </c>
    </row>
    <row r="1031" ht="14.25" customHeight="1">
      <c r="C1031" s="71" t="s">
        <v>9906</v>
      </c>
      <c r="D1031" s="71" t="s">
        <v>9249</v>
      </c>
    </row>
    <row r="1032" ht="14.25" customHeight="1">
      <c r="C1032" s="71" t="s">
        <v>9160</v>
      </c>
      <c r="D1032" s="71" t="s">
        <v>9907</v>
      </c>
    </row>
    <row r="1033" ht="14.25" customHeight="1">
      <c r="C1033" s="71" t="s">
        <v>9908</v>
      </c>
      <c r="D1033" s="71" t="s">
        <v>8968</v>
      </c>
    </row>
    <row r="1034" ht="14.25" customHeight="1">
      <c r="C1034" s="71" t="s">
        <v>9909</v>
      </c>
      <c r="D1034" s="71" t="s">
        <v>9910</v>
      </c>
    </row>
    <row r="1035" ht="14.25" customHeight="1">
      <c r="C1035" s="71" t="s">
        <v>4349</v>
      </c>
      <c r="D1035" s="71" t="s">
        <v>9587</v>
      </c>
    </row>
    <row r="1036" ht="14.25" customHeight="1">
      <c r="C1036" s="71" t="s">
        <v>4354</v>
      </c>
      <c r="D1036" s="71" t="s">
        <v>9911</v>
      </c>
    </row>
    <row r="1037" ht="14.25" customHeight="1">
      <c r="C1037" s="71" t="s">
        <v>9912</v>
      </c>
      <c r="D1037" s="71" t="s">
        <v>9875</v>
      </c>
    </row>
    <row r="1038" ht="14.25" customHeight="1">
      <c r="C1038" s="71" t="s">
        <v>9005</v>
      </c>
      <c r="D1038" s="71" t="s">
        <v>9006</v>
      </c>
    </row>
    <row r="1039" ht="14.25" customHeight="1">
      <c r="C1039" s="71" t="s">
        <v>2163</v>
      </c>
      <c r="D1039" s="71" t="s">
        <v>9294</v>
      </c>
    </row>
    <row r="1040" ht="14.25" customHeight="1">
      <c r="C1040" s="71" t="s">
        <v>324</v>
      </c>
      <c r="D1040" s="71" t="s">
        <v>9913</v>
      </c>
    </row>
    <row r="1041" ht="14.25" customHeight="1">
      <c r="D1041" s="71" t="s">
        <v>9914</v>
      </c>
    </row>
    <row r="1042" ht="14.25" customHeight="1">
      <c r="C1042" s="71" t="s">
        <v>9915</v>
      </c>
      <c r="D1042" s="71" t="s">
        <v>9916</v>
      </c>
    </row>
    <row r="1043" ht="14.25" customHeight="1">
      <c r="C1043" s="71" t="s">
        <v>9917</v>
      </c>
      <c r="D1043" s="71" t="s">
        <v>9131</v>
      </c>
    </row>
    <row r="1044" ht="14.25" customHeight="1">
      <c r="B1044" s="71" t="s">
        <v>41</v>
      </c>
      <c r="C1044" s="71" t="s">
        <v>9313</v>
      </c>
      <c r="D1044" s="71" t="s">
        <v>9918</v>
      </c>
    </row>
    <row r="1045" ht="14.25" customHeight="1">
      <c r="C1045" s="71" t="s">
        <v>9919</v>
      </c>
      <c r="D1045" s="71" t="s">
        <v>9920</v>
      </c>
    </row>
    <row r="1046" ht="14.25" customHeight="1">
      <c r="C1046" s="71" t="s">
        <v>9921</v>
      </c>
      <c r="D1046" s="71" t="s">
        <v>9922</v>
      </c>
    </row>
    <row r="1047" ht="14.25" customHeight="1">
      <c r="C1047" s="71" t="s">
        <v>9121</v>
      </c>
      <c r="D1047" s="71" t="s">
        <v>9827</v>
      </c>
    </row>
    <row r="1048" ht="14.25" customHeight="1">
      <c r="C1048" s="71" t="s">
        <v>9478</v>
      </c>
      <c r="D1048" s="71" t="s">
        <v>9028</v>
      </c>
    </row>
    <row r="1049" ht="14.25" customHeight="1">
      <c r="C1049" s="71" t="s">
        <v>9132</v>
      </c>
      <c r="D1049" s="71" t="s">
        <v>9034</v>
      </c>
    </row>
    <row r="1050" ht="14.25" customHeight="1">
      <c r="C1050" s="71" t="s">
        <v>9923</v>
      </c>
      <c r="D1050" s="71" t="s">
        <v>8968</v>
      </c>
    </row>
    <row r="1051" ht="14.25" customHeight="1">
      <c r="C1051" s="71" t="s">
        <v>9658</v>
      </c>
      <c r="D1051" s="71" t="s">
        <v>9168</v>
      </c>
    </row>
    <row r="1052" ht="14.25" customHeight="1">
      <c r="C1052" s="71" t="s">
        <v>3566</v>
      </c>
      <c r="D1052" s="71" t="s">
        <v>9034</v>
      </c>
    </row>
    <row r="1053" ht="14.25" customHeight="1">
      <c r="D1053" s="71" t="s">
        <v>9131</v>
      </c>
    </row>
    <row r="1054" ht="14.25" customHeight="1">
      <c r="C1054" s="71" t="s">
        <v>9924</v>
      </c>
      <c r="D1054" s="71" t="s">
        <v>9371</v>
      </c>
    </row>
    <row r="1055" ht="14.25" customHeight="1">
      <c r="C1055" s="71" t="s">
        <v>9156</v>
      </c>
      <c r="D1055" s="71" t="s">
        <v>9071</v>
      </c>
    </row>
    <row r="1056" ht="14.25" customHeight="1">
      <c r="D1056" s="71" t="s">
        <v>9073</v>
      </c>
    </row>
    <row r="1057" ht="14.25" customHeight="1">
      <c r="C1057" s="71" t="s">
        <v>3922</v>
      </c>
      <c r="D1057" s="71" t="s">
        <v>9925</v>
      </c>
    </row>
    <row r="1058" ht="14.25" customHeight="1">
      <c r="C1058" s="71" t="s">
        <v>9926</v>
      </c>
      <c r="D1058" s="71" t="s">
        <v>9118</v>
      </c>
    </row>
    <row r="1059" ht="14.25" customHeight="1">
      <c r="C1059" s="71" t="s">
        <v>9691</v>
      </c>
      <c r="D1059" s="71" t="s">
        <v>9055</v>
      </c>
    </row>
    <row r="1060" ht="14.25" customHeight="1">
      <c r="C1060" s="71" t="s">
        <v>9215</v>
      </c>
      <c r="D1060" s="71" t="s">
        <v>8968</v>
      </c>
    </row>
    <row r="1061" ht="14.25" customHeight="1">
      <c r="C1061" s="71" t="s">
        <v>9434</v>
      </c>
      <c r="D1061" s="71" t="s">
        <v>9927</v>
      </c>
    </row>
    <row r="1062" ht="14.25" customHeight="1">
      <c r="D1062" s="71" t="s">
        <v>9131</v>
      </c>
    </row>
    <row r="1063" ht="14.25" customHeight="1">
      <c r="C1063" s="71" t="s">
        <v>9928</v>
      </c>
      <c r="D1063" s="71" t="s">
        <v>9249</v>
      </c>
    </row>
    <row r="1064" ht="14.25" customHeight="1">
      <c r="C1064" s="71" t="s">
        <v>4354</v>
      </c>
      <c r="D1064" s="71" t="s">
        <v>8968</v>
      </c>
    </row>
    <row r="1065" ht="14.25" customHeight="1">
      <c r="D1065" s="71" t="s">
        <v>9817</v>
      </c>
    </row>
    <row r="1066" ht="14.25" customHeight="1">
      <c r="C1066" s="71" t="s">
        <v>9929</v>
      </c>
      <c r="D1066" s="71" t="s">
        <v>405</v>
      </c>
    </row>
    <row r="1067" ht="14.25" customHeight="1">
      <c r="B1067" s="71" t="s">
        <v>13</v>
      </c>
      <c r="C1067" s="71" t="s">
        <v>9930</v>
      </c>
      <c r="D1067" s="71" t="s">
        <v>9931</v>
      </c>
    </row>
    <row r="1068" ht="14.25" customHeight="1">
      <c r="C1068" s="71" t="s">
        <v>9932</v>
      </c>
      <c r="D1068" s="71" t="s">
        <v>9176</v>
      </c>
    </row>
    <row r="1069" ht="14.25" customHeight="1">
      <c r="C1069" s="71" t="s">
        <v>9424</v>
      </c>
      <c r="D1069" s="71" t="s">
        <v>9933</v>
      </c>
    </row>
    <row r="1070" ht="14.25" customHeight="1">
      <c r="C1070" s="71" t="s">
        <v>9934</v>
      </c>
      <c r="D1070" s="71" t="s">
        <v>8968</v>
      </c>
    </row>
    <row r="1071" ht="14.25" customHeight="1">
      <c r="C1071" s="71" t="s">
        <v>9541</v>
      </c>
      <c r="D1071" s="71" t="s">
        <v>8968</v>
      </c>
    </row>
    <row r="1072" ht="14.25" customHeight="1">
      <c r="C1072" s="71" t="s">
        <v>3566</v>
      </c>
      <c r="D1072" s="71" t="s">
        <v>9168</v>
      </c>
    </row>
    <row r="1073" ht="14.25" customHeight="1">
      <c r="C1073" s="71" t="s">
        <v>244</v>
      </c>
      <c r="D1073" s="71" t="s">
        <v>9249</v>
      </c>
    </row>
    <row r="1074" ht="14.25" customHeight="1">
      <c r="A1074" s="71" t="s">
        <v>9935</v>
      </c>
      <c r="B1074" s="71" t="s">
        <v>40</v>
      </c>
      <c r="C1074" s="71" t="s">
        <v>9936</v>
      </c>
      <c r="D1074" s="71" t="s">
        <v>9937</v>
      </c>
    </row>
    <row r="1075" ht="14.25" customHeight="1">
      <c r="C1075" s="71" t="s">
        <v>9938</v>
      </c>
      <c r="D1075" s="71" t="s">
        <v>8970</v>
      </c>
    </row>
    <row r="1076" ht="14.25" customHeight="1">
      <c r="C1076" s="71" t="s">
        <v>294</v>
      </c>
      <c r="D1076" s="71" t="s">
        <v>9911</v>
      </c>
    </row>
    <row r="1077" ht="14.25" customHeight="1">
      <c r="C1077" s="71" t="s">
        <v>916</v>
      </c>
      <c r="D1077" s="71" t="s">
        <v>9602</v>
      </c>
    </row>
    <row r="1078" ht="14.25" customHeight="1">
      <c r="C1078" s="71" t="s">
        <v>9939</v>
      </c>
      <c r="D1078" s="71" t="s">
        <v>9755</v>
      </c>
    </row>
    <row r="1079" ht="14.25" customHeight="1">
      <c r="C1079" s="71" t="s">
        <v>9940</v>
      </c>
      <c r="D1079" s="71" t="s">
        <v>9941</v>
      </c>
    </row>
    <row r="1080" ht="14.25" customHeight="1">
      <c r="C1080" s="71" t="s">
        <v>141</v>
      </c>
      <c r="D1080" s="71" t="s">
        <v>9942</v>
      </c>
    </row>
    <row r="1081" ht="14.25" customHeight="1">
      <c r="C1081" s="71" t="s">
        <v>3411</v>
      </c>
      <c r="D1081" s="71" t="s">
        <v>9943</v>
      </c>
    </row>
    <row r="1082" ht="14.25" customHeight="1">
      <c r="C1082" s="71" t="s">
        <v>9088</v>
      </c>
      <c r="D1082" s="71" t="s">
        <v>9873</v>
      </c>
    </row>
    <row r="1083" ht="14.25" customHeight="1">
      <c r="C1083" s="71" t="s">
        <v>210</v>
      </c>
      <c r="D1083" s="71" t="s">
        <v>9944</v>
      </c>
    </row>
    <row r="1084" ht="14.25" customHeight="1">
      <c r="C1084" s="71" t="s">
        <v>9562</v>
      </c>
      <c r="D1084" s="71" t="s">
        <v>9945</v>
      </c>
    </row>
    <row r="1085" ht="14.25" customHeight="1">
      <c r="C1085" s="71" t="s">
        <v>9946</v>
      </c>
      <c r="D1085" s="71" t="s">
        <v>9947</v>
      </c>
    </row>
    <row r="1086" ht="14.25" customHeight="1">
      <c r="C1086" s="71" t="s">
        <v>248</v>
      </c>
      <c r="D1086" s="71" t="s">
        <v>9265</v>
      </c>
    </row>
    <row r="1087" ht="14.25" customHeight="1">
      <c r="C1087" s="71" t="s">
        <v>9160</v>
      </c>
      <c r="D1087" s="71" t="s">
        <v>9034</v>
      </c>
    </row>
    <row r="1088" ht="14.25" customHeight="1">
      <c r="C1088" s="71" t="s">
        <v>2163</v>
      </c>
      <c r="D1088" s="71" t="s">
        <v>9021</v>
      </c>
    </row>
    <row r="1089" ht="14.25" customHeight="1">
      <c r="A1089" s="71" t="s">
        <v>9948</v>
      </c>
      <c r="B1089" s="71" t="s">
        <v>40</v>
      </c>
      <c r="C1089" s="71" t="s">
        <v>9949</v>
      </c>
      <c r="D1089" s="71" t="s">
        <v>8968</v>
      </c>
    </row>
    <row r="1090" ht="14.25" customHeight="1">
      <c r="C1090" s="71" t="s">
        <v>9950</v>
      </c>
      <c r="D1090" s="71" t="s">
        <v>9028</v>
      </c>
    </row>
    <row r="1091" ht="14.25" customHeight="1">
      <c r="D1091" s="71" t="s">
        <v>9951</v>
      </c>
    </row>
    <row r="1092" ht="14.25" customHeight="1">
      <c r="C1092" s="71" t="s">
        <v>9952</v>
      </c>
      <c r="D1092" s="71" t="s">
        <v>9953</v>
      </c>
    </row>
    <row r="1093" ht="14.25" customHeight="1">
      <c r="C1093" s="71" t="s">
        <v>9624</v>
      </c>
      <c r="D1093" s="71" t="s">
        <v>9954</v>
      </c>
    </row>
    <row r="1094" ht="14.25" customHeight="1">
      <c r="C1094" s="71" t="s">
        <v>9133</v>
      </c>
      <c r="D1094" s="71" t="s">
        <v>9955</v>
      </c>
    </row>
    <row r="1095" ht="14.25" customHeight="1">
      <c r="C1095" s="71" t="s">
        <v>9956</v>
      </c>
      <c r="D1095" s="71" t="s">
        <v>9957</v>
      </c>
    </row>
    <row r="1096" ht="14.25" customHeight="1">
      <c r="C1096" s="71" t="s">
        <v>9958</v>
      </c>
      <c r="D1096" s="71" t="s">
        <v>9034</v>
      </c>
    </row>
    <row r="1097" ht="14.25" customHeight="1">
      <c r="C1097" s="71" t="s">
        <v>9959</v>
      </c>
      <c r="D1097" s="71" t="s">
        <v>405</v>
      </c>
    </row>
    <row r="1098" ht="14.25" customHeight="1">
      <c r="C1098" s="71" t="s">
        <v>166</v>
      </c>
      <c r="D1098" s="71" t="s">
        <v>9151</v>
      </c>
    </row>
    <row r="1099" ht="14.25" customHeight="1">
      <c r="C1099" s="71" t="s">
        <v>9804</v>
      </c>
      <c r="D1099" s="71" t="s">
        <v>9960</v>
      </c>
    </row>
    <row r="1100" ht="14.25" customHeight="1">
      <c r="D1100" s="71" t="s">
        <v>9961</v>
      </c>
    </row>
    <row r="1101" ht="14.25" customHeight="1">
      <c r="C1101" s="71" t="s">
        <v>204</v>
      </c>
      <c r="D1101" s="71" t="s">
        <v>9109</v>
      </c>
    </row>
    <row r="1102" ht="14.25" customHeight="1">
      <c r="C1102" s="71" t="s">
        <v>333</v>
      </c>
      <c r="D1102" s="71" t="s">
        <v>9962</v>
      </c>
    </row>
    <row r="1103" ht="14.25" customHeight="1">
      <c r="C1103" s="71" t="s">
        <v>9963</v>
      </c>
      <c r="D1103" s="71" t="s">
        <v>9964</v>
      </c>
    </row>
    <row r="1104" ht="14.25" customHeight="1">
      <c r="C1104" s="71" t="s">
        <v>234</v>
      </c>
      <c r="D1104" s="71" t="s">
        <v>9965</v>
      </c>
    </row>
    <row r="1105" ht="14.25" customHeight="1">
      <c r="C1105" s="71" t="s">
        <v>4056</v>
      </c>
      <c r="D1105" s="71" t="s">
        <v>9109</v>
      </c>
    </row>
    <row r="1106" ht="14.25" customHeight="1">
      <c r="C1106" s="71" t="s">
        <v>9966</v>
      </c>
      <c r="D1106" s="71" t="s">
        <v>9967</v>
      </c>
    </row>
    <row r="1107" ht="14.25" customHeight="1">
      <c r="C1107" s="71" t="s">
        <v>9968</v>
      </c>
      <c r="D1107" s="71" t="s">
        <v>8968</v>
      </c>
    </row>
    <row r="1108" ht="14.25" customHeight="1">
      <c r="C1108" s="71" t="s">
        <v>248</v>
      </c>
      <c r="D1108" s="71" t="s">
        <v>9969</v>
      </c>
    </row>
    <row r="1109" ht="14.25" customHeight="1">
      <c r="C1109" s="71" t="s">
        <v>9005</v>
      </c>
      <c r="D1109" s="71" t="s">
        <v>9006</v>
      </c>
    </row>
    <row r="1110" ht="14.25" customHeight="1">
      <c r="C1110" s="71" t="s">
        <v>2163</v>
      </c>
      <c r="D1110" s="71" t="s">
        <v>9021</v>
      </c>
    </row>
    <row r="1111" ht="14.25" customHeight="1">
      <c r="D1111" s="71" t="s">
        <v>9970</v>
      </c>
    </row>
    <row r="1112" ht="14.25" customHeight="1">
      <c r="C1112" s="71" t="s">
        <v>9971</v>
      </c>
      <c r="D1112" s="71" t="s">
        <v>9972</v>
      </c>
    </row>
    <row r="1113" ht="14.25" customHeight="1">
      <c r="C1113" s="71" t="s">
        <v>4481</v>
      </c>
      <c r="D1113" s="71" t="s">
        <v>8968</v>
      </c>
    </row>
    <row r="1114" ht="14.25" customHeight="1">
      <c r="C1114" s="71" t="s">
        <v>9973</v>
      </c>
      <c r="D1114" s="71" t="s">
        <v>9961</v>
      </c>
    </row>
    <row r="1115" ht="14.25" customHeight="1">
      <c r="C1115" s="71" t="s">
        <v>9974</v>
      </c>
      <c r="D1115" s="71" t="s">
        <v>9109</v>
      </c>
    </row>
    <row r="1116" ht="14.25" customHeight="1">
      <c r="B1116" s="71" t="s">
        <v>41</v>
      </c>
      <c r="C1116" s="71" t="s">
        <v>8996</v>
      </c>
      <c r="D1116" s="71" t="s">
        <v>8976</v>
      </c>
    </row>
    <row r="1117" ht="14.25" customHeight="1">
      <c r="C1117" s="71" t="s">
        <v>9975</v>
      </c>
      <c r="D1117" s="71" t="s">
        <v>9432</v>
      </c>
    </row>
    <row r="1118" ht="14.25" customHeight="1">
      <c r="C1118" s="71" t="s">
        <v>9529</v>
      </c>
      <c r="D1118" s="71" t="s">
        <v>9976</v>
      </c>
    </row>
    <row r="1119" ht="14.25" customHeight="1">
      <c r="C1119" s="71" t="s">
        <v>9977</v>
      </c>
      <c r="D1119" s="71" t="s">
        <v>9972</v>
      </c>
    </row>
    <row r="1120" ht="14.25" customHeight="1">
      <c r="A1120" s="71" t="s">
        <v>9978</v>
      </c>
      <c r="B1120" s="71" t="s">
        <v>40</v>
      </c>
      <c r="C1120" s="71" t="s">
        <v>9458</v>
      </c>
      <c r="D1120" s="71" t="s">
        <v>8968</v>
      </c>
    </row>
    <row r="1121" ht="14.25" customHeight="1">
      <c r="C1121" s="71" t="s">
        <v>9979</v>
      </c>
      <c r="D1121" s="71" t="s">
        <v>9980</v>
      </c>
    </row>
    <row r="1122" ht="14.25" customHeight="1">
      <c r="C1122" s="71" t="s">
        <v>9981</v>
      </c>
      <c r="D1122" s="71" t="s">
        <v>405</v>
      </c>
    </row>
    <row r="1123" ht="14.25" customHeight="1">
      <c r="C1123" s="71" t="s">
        <v>9982</v>
      </c>
      <c r="D1123" s="71" t="s">
        <v>9983</v>
      </c>
    </row>
    <row r="1124" ht="14.25" customHeight="1">
      <c r="C1124" s="71" t="s">
        <v>135</v>
      </c>
      <c r="D1124" s="71" t="s">
        <v>8968</v>
      </c>
    </row>
    <row r="1125" ht="14.25" customHeight="1">
      <c r="C1125" s="71" t="s">
        <v>9984</v>
      </c>
      <c r="D1125" s="71" t="s">
        <v>9151</v>
      </c>
    </row>
    <row r="1126" ht="14.25" customHeight="1">
      <c r="C1126" s="71" t="s">
        <v>9985</v>
      </c>
      <c r="D1126" s="71" t="s">
        <v>9986</v>
      </c>
    </row>
    <row r="1127" ht="14.25" customHeight="1">
      <c r="C1127" s="71" t="s">
        <v>179</v>
      </c>
      <c r="D1127" s="71" t="s">
        <v>9026</v>
      </c>
    </row>
    <row r="1128" ht="14.25" customHeight="1">
      <c r="C1128" s="71" t="s">
        <v>9987</v>
      </c>
      <c r="D1128" s="71" t="s">
        <v>9988</v>
      </c>
    </row>
    <row r="1129" ht="14.25" customHeight="1">
      <c r="C1129" s="71" t="s">
        <v>9989</v>
      </c>
      <c r="D1129" s="71" t="s">
        <v>9990</v>
      </c>
    </row>
    <row r="1130" ht="14.25" customHeight="1">
      <c r="C1130" s="71" t="s">
        <v>9991</v>
      </c>
      <c r="D1130" s="71" t="s">
        <v>9992</v>
      </c>
    </row>
    <row r="1131" ht="14.25" customHeight="1">
      <c r="C1131" s="71" t="s">
        <v>9993</v>
      </c>
      <c r="D1131" s="71" t="s">
        <v>9039</v>
      </c>
    </row>
    <row r="1132" ht="14.25" customHeight="1">
      <c r="D1132" s="71" t="s">
        <v>8968</v>
      </c>
    </row>
    <row r="1133" ht="14.25" customHeight="1">
      <c r="D1133" s="71" t="s">
        <v>9990</v>
      </c>
    </row>
    <row r="1134" ht="14.25" customHeight="1">
      <c r="C1134" s="71" t="s">
        <v>9994</v>
      </c>
      <c r="D1134" s="71" t="s">
        <v>9990</v>
      </c>
    </row>
    <row r="1135" ht="14.25" customHeight="1">
      <c r="C1135" s="71" t="s">
        <v>9995</v>
      </c>
      <c r="D1135" s="71" t="s">
        <v>9996</v>
      </c>
    </row>
    <row r="1136" ht="14.25" customHeight="1">
      <c r="C1136" s="71" t="s">
        <v>2163</v>
      </c>
      <c r="D1136" s="71" t="s">
        <v>9021</v>
      </c>
    </row>
    <row r="1137" ht="14.25" customHeight="1">
      <c r="B1137" s="71" t="s">
        <v>13</v>
      </c>
      <c r="C1137" s="71" t="s">
        <v>9997</v>
      </c>
      <c r="D1137" s="71" t="s">
        <v>8968</v>
      </c>
    </row>
    <row r="1138" ht="14.25" customHeight="1">
      <c r="A1138" s="71" t="s">
        <v>9998</v>
      </c>
      <c r="B1138" s="71" t="s">
        <v>40</v>
      </c>
      <c r="C1138" s="71" t="s">
        <v>5795</v>
      </c>
      <c r="D1138" s="71" t="s">
        <v>9999</v>
      </c>
    </row>
    <row r="1139" ht="14.25" customHeight="1">
      <c r="C1139" s="71" t="s">
        <v>10000</v>
      </c>
      <c r="D1139" s="71" t="s">
        <v>10001</v>
      </c>
    </row>
    <row r="1140" ht="14.25" customHeight="1">
      <c r="D1140" s="71" t="s">
        <v>9002</v>
      </c>
    </row>
    <row r="1141" ht="14.25" customHeight="1">
      <c r="C1141" s="71" t="s">
        <v>10002</v>
      </c>
      <c r="D1141" s="71" t="s">
        <v>9151</v>
      </c>
    </row>
    <row r="1142" ht="14.25" customHeight="1">
      <c r="C1142" s="71" t="s">
        <v>9469</v>
      </c>
      <c r="D1142" s="71" t="s">
        <v>10001</v>
      </c>
    </row>
    <row r="1143" ht="14.25" customHeight="1">
      <c r="C1143" s="71" t="s">
        <v>3281</v>
      </c>
      <c r="D1143" s="71" t="s">
        <v>10003</v>
      </c>
    </row>
    <row r="1144" ht="14.25" customHeight="1">
      <c r="C1144" s="71" t="s">
        <v>10004</v>
      </c>
      <c r="D1144" s="71" t="s">
        <v>9999</v>
      </c>
    </row>
    <row r="1145" ht="14.25" customHeight="1">
      <c r="C1145" s="71" t="s">
        <v>3499</v>
      </c>
      <c r="D1145" s="71" t="s">
        <v>9002</v>
      </c>
    </row>
    <row r="1146" ht="14.25" customHeight="1">
      <c r="C1146" s="71" t="s">
        <v>9150</v>
      </c>
      <c r="D1146" s="71" t="s">
        <v>10005</v>
      </c>
    </row>
    <row r="1147" ht="14.25" customHeight="1">
      <c r="C1147" s="71" t="s">
        <v>193</v>
      </c>
      <c r="D1147" s="71" t="s">
        <v>9999</v>
      </c>
    </row>
    <row r="1148" ht="14.25" customHeight="1">
      <c r="C1148" s="71" t="s">
        <v>6698</v>
      </c>
      <c r="D1148" s="71" t="s">
        <v>10001</v>
      </c>
    </row>
    <row r="1149" ht="14.25" customHeight="1">
      <c r="C1149" s="71" t="s">
        <v>3814</v>
      </c>
      <c r="D1149" s="71" t="s">
        <v>9002</v>
      </c>
    </row>
    <row r="1150" ht="14.25" customHeight="1">
      <c r="C1150" s="71" t="s">
        <v>6877</v>
      </c>
      <c r="D1150" s="71" t="s">
        <v>10006</v>
      </c>
    </row>
    <row r="1151" ht="14.25" customHeight="1">
      <c r="C1151" s="71" t="s">
        <v>10007</v>
      </c>
      <c r="D1151" s="71" t="s">
        <v>9034</v>
      </c>
    </row>
    <row r="1152" ht="14.25" customHeight="1">
      <c r="D1152" s="71" t="s">
        <v>10008</v>
      </c>
    </row>
    <row r="1153" ht="14.25" customHeight="1">
      <c r="D1153" s="71" t="s">
        <v>8968</v>
      </c>
    </row>
    <row r="1154" ht="14.25" customHeight="1">
      <c r="D1154" s="71" t="s">
        <v>10001</v>
      </c>
    </row>
    <row r="1155" ht="14.25" customHeight="1">
      <c r="D1155" s="71" t="s">
        <v>9002</v>
      </c>
    </row>
    <row r="1156" ht="14.25" customHeight="1">
      <c r="D1156" s="71" t="s">
        <v>9999</v>
      </c>
    </row>
    <row r="1157" ht="14.25" customHeight="1">
      <c r="C1157" s="71" t="s">
        <v>4139</v>
      </c>
      <c r="D1157" s="71" t="s">
        <v>8968</v>
      </c>
    </row>
    <row r="1158" ht="14.25" customHeight="1">
      <c r="C1158" s="71" t="s">
        <v>4225</v>
      </c>
      <c r="D1158" s="71" t="s">
        <v>9073</v>
      </c>
    </row>
    <row r="1159" ht="14.25" customHeight="1">
      <c r="C1159" s="71" t="s">
        <v>10009</v>
      </c>
      <c r="D1159" s="71" t="s">
        <v>9034</v>
      </c>
    </row>
    <row r="1160" ht="14.25" customHeight="1">
      <c r="C1160" s="71" t="s">
        <v>9005</v>
      </c>
      <c r="D1160" s="71" t="s">
        <v>9006</v>
      </c>
    </row>
    <row r="1161" ht="14.25" customHeight="1">
      <c r="C1161" s="71" t="s">
        <v>10010</v>
      </c>
      <c r="D1161" s="71" t="s">
        <v>9152</v>
      </c>
    </row>
    <row r="1162" ht="14.25" customHeight="1">
      <c r="B1162" s="71" t="s">
        <v>41</v>
      </c>
      <c r="C1162" s="71" t="s">
        <v>9133</v>
      </c>
      <c r="D1162" s="71" t="s">
        <v>10011</v>
      </c>
    </row>
    <row r="1163" ht="14.25" customHeight="1">
      <c r="C1163" s="71" t="s">
        <v>3814</v>
      </c>
      <c r="D1163" s="71" t="s">
        <v>9028</v>
      </c>
    </row>
    <row r="1164" ht="14.25" customHeight="1">
      <c r="C1164" s="71" t="s">
        <v>10012</v>
      </c>
      <c r="D1164" s="71" t="s">
        <v>9999</v>
      </c>
    </row>
    <row r="1165" ht="14.25" customHeight="1">
      <c r="C1165" s="71" t="s">
        <v>10013</v>
      </c>
      <c r="D1165" s="71" t="s">
        <v>9999</v>
      </c>
    </row>
    <row r="1166" ht="14.25" customHeight="1">
      <c r="A1166" s="71" t="s">
        <v>10014</v>
      </c>
      <c r="B1166" s="71" t="s">
        <v>41</v>
      </c>
      <c r="C1166" s="71" t="s">
        <v>10000</v>
      </c>
      <c r="D1166" s="71" t="s">
        <v>9073</v>
      </c>
    </row>
    <row r="1167" ht="14.25" customHeight="1">
      <c r="C1167" s="71" t="s">
        <v>9747</v>
      </c>
      <c r="D1167" s="71" t="s">
        <v>10015</v>
      </c>
    </row>
    <row r="1168" ht="14.25" customHeight="1">
      <c r="A1168" s="71" t="s">
        <v>10016</v>
      </c>
      <c r="B1168" s="71" t="s">
        <v>41</v>
      </c>
      <c r="C1168" s="71" t="s">
        <v>10017</v>
      </c>
      <c r="D1168" s="71" t="s">
        <v>9404</v>
      </c>
    </row>
    <row r="1169" ht="14.25" customHeight="1">
      <c r="C1169" s="71" t="s">
        <v>3313</v>
      </c>
      <c r="D1169" s="71" t="s">
        <v>9055</v>
      </c>
    </row>
    <row r="1170" ht="14.25" customHeight="1">
      <c r="C1170" s="71" t="s">
        <v>9804</v>
      </c>
      <c r="D1170" s="71" t="s">
        <v>10018</v>
      </c>
    </row>
    <row r="1171" ht="14.25" customHeight="1">
      <c r="D1171" s="71" t="s">
        <v>10019</v>
      </c>
    </row>
    <row r="1172" ht="14.25" customHeight="1">
      <c r="D1172" s="71" t="s">
        <v>9526</v>
      </c>
    </row>
    <row r="1173" ht="14.25" customHeight="1">
      <c r="D1173" s="71" t="s">
        <v>9216</v>
      </c>
    </row>
    <row r="1174" ht="14.25" customHeight="1">
      <c r="C1174" s="71" t="s">
        <v>316</v>
      </c>
      <c r="D1174" s="71" t="s">
        <v>8968</v>
      </c>
    </row>
    <row r="1175" ht="14.25" customHeight="1">
      <c r="C1175" s="71" t="s">
        <v>10020</v>
      </c>
      <c r="D1175" s="71" t="s">
        <v>9216</v>
      </c>
    </row>
    <row r="1176" ht="14.25" customHeight="1">
      <c r="C1176" s="71" t="s">
        <v>10021</v>
      </c>
      <c r="D1176" s="71" t="s">
        <v>9526</v>
      </c>
    </row>
    <row r="1177" ht="14.25" customHeight="1">
      <c r="C1177" s="71" t="s">
        <v>10022</v>
      </c>
      <c r="D1177" s="71" t="s">
        <v>10023</v>
      </c>
    </row>
    <row r="1178" ht="14.25" customHeight="1">
      <c r="A1178" s="71" t="s">
        <v>10024</v>
      </c>
      <c r="B1178" s="71" t="s">
        <v>40</v>
      </c>
      <c r="C1178" s="71" t="s">
        <v>10025</v>
      </c>
      <c r="D1178" s="71" t="s">
        <v>10026</v>
      </c>
    </row>
    <row r="1179" ht="14.25" customHeight="1">
      <c r="C1179" s="71" t="s">
        <v>9257</v>
      </c>
      <c r="D1179" s="71" t="s">
        <v>10027</v>
      </c>
    </row>
    <row r="1180" ht="14.25" customHeight="1">
      <c r="D1180" s="71" t="s">
        <v>10028</v>
      </c>
    </row>
    <row r="1181" ht="14.25" customHeight="1">
      <c r="C1181" s="71" t="s">
        <v>10000</v>
      </c>
      <c r="D1181" s="71" t="s">
        <v>9345</v>
      </c>
    </row>
    <row r="1182" ht="14.25" customHeight="1">
      <c r="C1182" s="71" t="s">
        <v>2669</v>
      </c>
      <c r="D1182" s="71" t="s">
        <v>10029</v>
      </c>
    </row>
    <row r="1183" ht="14.25" customHeight="1">
      <c r="C1183" s="71" t="s">
        <v>10030</v>
      </c>
      <c r="D1183" s="71" t="s">
        <v>10031</v>
      </c>
    </row>
    <row r="1184" ht="14.25" customHeight="1">
      <c r="C1184" s="71" t="s">
        <v>9630</v>
      </c>
      <c r="D1184" s="71" t="s">
        <v>9631</v>
      </c>
    </row>
    <row r="1185" ht="14.25" customHeight="1">
      <c r="C1185" s="71" t="s">
        <v>10032</v>
      </c>
      <c r="D1185" s="71" t="s">
        <v>10033</v>
      </c>
    </row>
    <row r="1186" ht="14.25" customHeight="1">
      <c r="C1186" s="71" t="s">
        <v>10034</v>
      </c>
      <c r="D1186" s="71" t="s">
        <v>10035</v>
      </c>
    </row>
    <row r="1187" ht="14.25" customHeight="1">
      <c r="C1187" s="71" t="s">
        <v>9374</v>
      </c>
      <c r="D1187" s="71" t="s">
        <v>10036</v>
      </c>
    </row>
    <row r="1188" ht="14.25" customHeight="1">
      <c r="C1188" s="71" t="s">
        <v>153</v>
      </c>
      <c r="D1188" s="71" t="s">
        <v>9654</v>
      </c>
    </row>
    <row r="1189" ht="14.25" customHeight="1">
      <c r="C1189" s="71" t="s">
        <v>10037</v>
      </c>
      <c r="D1189" s="71" t="s">
        <v>10038</v>
      </c>
    </row>
    <row r="1190" ht="14.25" customHeight="1">
      <c r="C1190" s="71" t="s">
        <v>10039</v>
      </c>
      <c r="D1190" s="71" t="s">
        <v>9034</v>
      </c>
    </row>
    <row r="1191" ht="14.25" customHeight="1">
      <c r="C1191" s="71" t="s">
        <v>6628</v>
      </c>
      <c r="D1191" s="71" t="s">
        <v>10040</v>
      </c>
    </row>
    <row r="1192" ht="14.25" customHeight="1">
      <c r="C1192" s="71" t="s">
        <v>10041</v>
      </c>
      <c r="D1192" s="71" t="s">
        <v>9216</v>
      </c>
    </row>
    <row r="1193" ht="14.25" customHeight="1">
      <c r="C1193" s="71" t="s">
        <v>10042</v>
      </c>
      <c r="D1193" s="71" t="s">
        <v>9034</v>
      </c>
    </row>
    <row r="1194" ht="14.25" customHeight="1">
      <c r="C1194" s="71" t="s">
        <v>316</v>
      </c>
      <c r="D1194" s="71" t="s">
        <v>10043</v>
      </c>
    </row>
    <row r="1195" ht="14.25" customHeight="1">
      <c r="C1195" s="71" t="s">
        <v>10044</v>
      </c>
      <c r="D1195" s="71" t="s">
        <v>10045</v>
      </c>
    </row>
    <row r="1196" ht="14.25" customHeight="1">
      <c r="C1196" s="71" t="s">
        <v>9215</v>
      </c>
      <c r="D1196" s="71" t="s">
        <v>10046</v>
      </c>
    </row>
    <row r="1197" ht="14.25" customHeight="1">
      <c r="C1197" s="71" t="s">
        <v>4225</v>
      </c>
      <c r="D1197" s="71" t="s">
        <v>10047</v>
      </c>
    </row>
    <row r="1198" ht="14.25" customHeight="1">
      <c r="C1198" s="71" t="s">
        <v>9090</v>
      </c>
      <c r="D1198" s="71" t="s">
        <v>9034</v>
      </c>
    </row>
    <row r="1199" ht="14.25" customHeight="1">
      <c r="D1199" s="71" t="s">
        <v>10048</v>
      </c>
    </row>
    <row r="1200" ht="14.25" customHeight="1">
      <c r="D1200" s="71" t="s">
        <v>9435</v>
      </c>
    </row>
    <row r="1201" ht="14.25" customHeight="1">
      <c r="C1201" s="71" t="s">
        <v>10049</v>
      </c>
      <c r="D1201" s="71" t="s">
        <v>10050</v>
      </c>
    </row>
    <row r="1202" ht="14.25" customHeight="1">
      <c r="C1202" s="71" t="s">
        <v>9005</v>
      </c>
      <c r="D1202" s="71" t="s">
        <v>9006</v>
      </c>
    </row>
    <row r="1203" ht="14.25" customHeight="1">
      <c r="C1203" s="71" t="s">
        <v>10051</v>
      </c>
      <c r="D1203" s="71" t="s">
        <v>10052</v>
      </c>
    </row>
  </sheetData>
  <mergeCells count="208">
    <mergeCell ref="C936:C937"/>
    <mergeCell ref="C942:C943"/>
    <mergeCell ref="C862:C863"/>
    <mergeCell ref="C880:C881"/>
    <mergeCell ref="C888:C889"/>
    <mergeCell ref="C905:C906"/>
    <mergeCell ref="C921:C923"/>
    <mergeCell ref="C932:C933"/>
    <mergeCell ref="C934:C935"/>
    <mergeCell ref="C994:C995"/>
    <mergeCell ref="C998:C999"/>
    <mergeCell ref="C950:C951"/>
    <mergeCell ref="C960:C961"/>
    <mergeCell ref="C966:C967"/>
    <mergeCell ref="C969:C973"/>
    <mergeCell ref="C979:C980"/>
    <mergeCell ref="C981:C983"/>
    <mergeCell ref="C988:C993"/>
    <mergeCell ref="C1040:C1041"/>
    <mergeCell ref="C1052:C1053"/>
    <mergeCell ref="B899:B916"/>
    <mergeCell ref="B917:B918"/>
    <mergeCell ref="B919:B1043"/>
    <mergeCell ref="C1011:C1012"/>
    <mergeCell ref="C1018:C1020"/>
    <mergeCell ref="C1028:C1029"/>
    <mergeCell ref="B1044:B1066"/>
    <mergeCell ref="C1064:C1065"/>
    <mergeCell ref="B1089:B1115"/>
    <mergeCell ref="B1116:B1119"/>
    <mergeCell ref="B1120:B1136"/>
    <mergeCell ref="B1138:B1161"/>
    <mergeCell ref="C1151:C1156"/>
    <mergeCell ref="C1055:C1056"/>
    <mergeCell ref="C1061:C1062"/>
    <mergeCell ref="B1067:B1073"/>
    <mergeCell ref="B1074:B1088"/>
    <mergeCell ref="C1090:C1091"/>
    <mergeCell ref="C1099:C1100"/>
    <mergeCell ref="C1110:C1111"/>
    <mergeCell ref="C754:C755"/>
    <mergeCell ref="C756:C757"/>
    <mergeCell ref="B682:B776"/>
    <mergeCell ref="B777:B786"/>
    <mergeCell ref="A671:A681"/>
    <mergeCell ref="A682:A786"/>
    <mergeCell ref="C689:C692"/>
    <mergeCell ref="C694:C695"/>
    <mergeCell ref="C722:C723"/>
    <mergeCell ref="C731:C737"/>
    <mergeCell ref="C761:C762"/>
    <mergeCell ref="A787:A866"/>
    <mergeCell ref="B787:B858"/>
    <mergeCell ref="B859:B866"/>
    <mergeCell ref="A867:A876"/>
    <mergeCell ref="B867:B872"/>
    <mergeCell ref="B873:B876"/>
    <mergeCell ref="B877:B898"/>
    <mergeCell ref="C789:C790"/>
    <mergeCell ref="C796:C797"/>
    <mergeCell ref="C809:C811"/>
    <mergeCell ref="C825:C829"/>
    <mergeCell ref="C838:C839"/>
    <mergeCell ref="C850:C851"/>
    <mergeCell ref="C857:C858"/>
    <mergeCell ref="C1131:C1133"/>
    <mergeCell ref="C1139:C1140"/>
    <mergeCell ref="B1162:B1165"/>
    <mergeCell ref="B1166:B1167"/>
    <mergeCell ref="B1178:B1203"/>
    <mergeCell ref="C1179:C1180"/>
    <mergeCell ref="C1198:C1200"/>
    <mergeCell ref="A1166:A1167"/>
    <mergeCell ref="A1168:A1177"/>
    <mergeCell ref="B1168:B1177"/>
    <mergeCell ref="C1170:C1173"/>
    <mergeCell ref="A877:A898"/>
    <mergeCell ref="A899:A918"/>
    <mergeCell ref="A919:A1073"/>
    <mergeCell ref="A1074:A1088"/>
    <mergeCell ref="A1089:A1119"/>
    <mergeCell ref="A1120:A1137"/>
    <mergeCell ref="A1138:A1165"/>
    <mergeCell ref="A1178:A1203"/>
    <mergeCell ref="C120:C122"/>
    <mergeCell ref="C141:C143"/>
    <mergeCell ref="C152:C153"/>
    <mergeCell ref="C157:C158"/>
    <mergeCell ref="C178:C180"/>
    <mergeCell ref="C184:C186"/>
    <mergeCell ref="C188:C189"/>
    <mergeCell ref="C195:C197"/>
    <mergeCell ref="C198:C202"/>
    <mergeCell ref="C209:C211"/>
    <mergeCell ref="C213:C214"/>
    <mergeCell ref="C220:C221"/>
    <mergeCell ref="C226:C230"/>
    <mergeCell ref="C261:C262"/>
    <mergeCell ref="C276:C277"/>
    <mergeCell ref="C294:C295"/>
    <mergeCell ref="C308:C311"/>
    <mergeCell ref="C313:C317"/>
    <mergeCell ref="C321:C322"/>
    <mergeCell ref="C324:C325"/>
    <mergeCell ref="C331:C333"/>
    <mergeCell ref="C334:C335"/>
    <mergeCell ref="C343:C345"/>
    <mergeCell ref="C346:C348"/>
    <mergeCell ref="C353:C354"/>
    <mergeCell ref="C358:C359"/>
    <mergeCell ref="C361:C364"/>
    <mergeCell ref="C370:C371"/>
    <mergeCell ref="C442:C444"/>
    <mergeCell ref="C447:C450"/>
    <mergeCell ref="C405:C406"/>
    <mergeCell ref="C407:C408"/>
    <mergeCell ref="C410:C411"/>
    <mergeCell ref="C413:C414"/>
    <mergeCell ref="C416:C418"/>
    <mergeCell ref="C425:C426"/>
    <mergeCell ref="C439:C440"/>
    <mergeCell ref="B447:B488"/>
    <mergeCell ref="B489:B492"/>
    <mergeCell ref="B166:B233"/>
    <mergeCell ref="B234:B253"/>
    <mergeCell ref="B261:B300"/>
    <mergeCell ref="B301:B304"/>
    <mergeCell ref="B305:B306"/>
    <mergeCell ref="B307:B339"/>
    <mergeCell ref="B341:B446"/>
    <mergeCell ref="C532:C533"/>
    <mergeCell ref="C542:C543"/>
    <mergeCell ref="C547:C548"/>
    <mergeCell ref="C552:C553"/>
    <mergeCell ref="C556:C557"/>
    <mergeCell ref="C563:C564"/>
    <mergeCell ref="C579:C580"/>
    <mergeCell ref="C582:C583"/>
    <mergeCell ref="C585:C586"/>
    <mergeCell ref="C588:C594"/>
    <mergeCell ref="C451:C452"/>
    <mergeCell ref="C473:C474"/>
    <mergeCell ref="C481:C482"/>
    <mergeCell ref="B493:B505"/>
    <mergeCell ref="B506:B510"/>
    <mergeCell ref="C506:C507"/>
    <mergeCell ref="B511:B601"/>
    <mergeCell ref="C626:C627"/>
    <mergeCell ref="C635:C636"/>
    <mergeCell ref="C640:C641"/>
    <mergeCell ref="C646:C647"/>
    <mergeCell ref="C518:C519"/>
    <mergeCell ref="C522:C523"/>
    <mergeCell ref="B602:B627"/>
    <mergeCell ref="C603:C604"/>
    <mergeCell ref="C622:C625"/>
    <mergeCell ref="B628:B630"/>
    <mergeCell ref="B631:B656"/>
    <mergeCell ref="C650:C654"/>
    <mergeCell ref="A2:A42"/>
    <mergeCell ref="B2:B36"/>
    <mergeCell ref="C5:C6"/>
    <mergeCell ref="C10:C11"/>
    <mergeCell ref="C19:C25"/>
    <mergeCell ref="C29:C30"/>
    <mergeCell ref="B37:B42"/>
    <mergeCell ref="A43:A66"/>
    <mergeCell ref="B43:B66"/>
    <mergeCell ref="C50:C51"/>
    <mergeCell ref="B67:B82"/>
    <mergeCell ref="C73:C75"/>
    <mergeCell ref="B83:B87"/>
    <mergeCell ref="C84:C85"/>
    <mergeCell ref="B89:B90"/>
    <mergeCell ref="C89:C90"/>
    <mergeCell ref="C98:C99"/>
    <mergeCell ref="C102:C103"/>
    <mergeCell ref="C109:C111"/>
    <mergeCell ref="C112:C113"/>
    <mergeCell ref="C115:C116"/>
    <mergeCell ref="A67:A88"/>
    <mergeCell ref="A89:A90"/>
    <mergeCell ref="A91:A165"/>
    <mergeCell ref="B91:B159"/>
    <mergeCell ref="B160:B161"/>
    <mergeCell ref="B162:B165"/>
    <mergeCell ref="B254:B260"/>
    <mergeCell ref="C373:C374"/>
    <mergeCell ref="C375:C376"/>
    <mergeCell ref="C377:C378"/>
    <mergeCell ref="C389:C391"/>
    <mergeCell ref="C392:C394"/>
    <mergeCell ref="C396:C397"/>
    <mergeCell ref="C400:C403"/>
    <mergeCell ref="A166:A260"/>
    <mergeCell ref="A261:A300"/>
    <mergeCell ref="A301:A306"/>
    <mergeCell ref="A307:A340"/>
    <mergeCell ref="A341:A492"/>
    <mergeCell ref="A493:A505"/>
    <mergeCell ref="A506:A510"/>
    <mergeCell ref="A511:A630"/>
    <mergeCell ref="A631:A656"/>
    <mergeCell ref="A659:A666"/>
    <mergeCell ref="B659:B666"/>
    <mergeCell ref="A667:A670"/>
    <mergeCell ref="B667:B670"/>
    <mergeCell ref="B671:B68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2D0"/>
    <pageSetUpPr/>
  </sheetPr>
  <sheetViews>
    <sheetView workbookViewId="0"/>
  </sheetViews>
  <sheetFormatPr customHeight="1" defaultColWidth="12.63" defaultRowHeight="15.0"/>
  <cols>
    <col customWidth="1" min="1" max="1" width="33.88"/>
    <col customWidth="1" min="2" max="2" width="14.88"/>
    <col customWidth="1" min="3" max="3" width="55.25"/>
    <col customWidth="1" min="4" max="4" width="49.5"/>
    <col customWidth="1" min="5" max="26" width="8.63"/>
  </cols>
  <sheetData>
    <row r="1" ht="14.25" customHeight="1">
      <c r="A1" s="70" t="s">
        <v>8962</v>
      </c>
      <c r="B1" s="70" t="s">
        <v>8963</v>
      </c>
      <c r="C1" s="70" t="s">
        <v>8964</v>
      </c>
      <c r="D1" s="70" t="s">
        <v>8965</v>
      </c>
    </row>
    <row r="2" ht="14.25" customHeight="1">
      <c r="A2" s="71" t="s">
        <v>8966</v>
      </c>
      <c r="B2" s="71" t="s">
        <v>40</v>
      </c>
      <c r="C2" s="71" t="s">
        <v>10053</v>
      </c>
      <c r="D2" s="71" t="s">
        <v>8976</v>
      </c>
    </row>
    <row r="3" ht="14.25" customHeight="1">
      <c r="C3" s="71" t="s">
        <v>58</v>
      </c>
      <c r="D3" s="71" t="s">
        <v>8978</v>
      </c>
    </row>
    <row r="4" ht="14.25" customHeight="1">
      <c r="C4" s="71" t="s">
        <v>9261</v>
      </c>
      <c r="D4" s="71" t="s">
        <v>10054</v>
      </c>
    </row>
    <row r="5" ht="14.25" customHeight="1">
      <c r="C5" s="71" t="s">
        <v>3566</v>
      </c>
      <c r="D5" s="71" t="s">
        <v>8968</v>
      </c>
    </row>
    <row r="6" ht="14.25" customHeight="1">
      <c r="D6" s="71" t="s">
        <v>8976</v>
      </c>
    </row>
    <row r="7" ht="14.25" customHeight="1">
      <c r="C7" s="71" t="s">
        <v>10055</v>
      </c>
      <c r="D7" s="71" t="s">
        <v>9877</v>
      </c>
    </row>
    <row r="8" ht="14.25" customHeight="1">
      <c r="C8" s="71" t="s">
        <v>9088</v>
      </c>
      <c r="D8" s="71" t="s">
        <v>9873</v>
      </c>
    </row>
    <row r="9" ht="14.25" customHeight="1">
      <c r="C9" s="71" t="s">
        <v>9924</v>
      </c>
      <c r="D9" s="71" t="s">
        <v>8973</v>
      </c>
    </row>
    <row r="10" ht="14.25" customHeight="1">
      <c r="C10" s="71" t="s">
        <v>10056</v>
      </c>
      <c r="D10" s="71" t="s">
        <v>8973</v>
      </c>
    </row>
    <row r="11" ht="14.25" customHeight="1">
      <c r="C11" s="71" t="s">
        <v>10057</v>
      </c>
      <c r="D11" s="71" t="s">
        <v>10058</v>
      </c>
    </row>
    <row r="12" ht="14.25" customHeight="1">
      <c r="C12" s="71" t="s">
        <v>10059</v>
      </c>
      <c r="D12" s="71" t="s">
        <v>405</v>
      </c>
    </row>
    <row r="13" ht="14.25" customHeight="1">
      <c r="C13" s="71" t="s">
        <v>213</v>
      </c>
      <c r="D13" s="71" t="s">
        <v>9034</v>
      </c>
    </row>
    <row r="14" ht="14.25" customHeight="1">
      <c r="D14" s="71" t="s">
        <v>8973</v>
      </c>
    </row>
    <row r="15" ht="14.25" customHeight="1">
      <c r="C15" s="71" t="s">
        <v>10060</v>
      </c>
      <c r="D15" s="71" t="s">
        <v>8973</v>
      </c>
    </row>
    <row r="16" ht="14.25" customHeight="1">
      <c r="C16" s="71" t="s">
        <v>10061</v>
      </c>
      <c r="D16" s="71" t="s">
        <v>8968</v>
      </c>
    </row>
    <row r="17" ht="14.25" customHeight="1">
      <c r="C17" s="71" t="s">
        <v>9005</v>
      </c>
      <c r="D17" s="71" t="s">
        <v>9006</v>
      </c>
    </row>
    <row r="18" ht="14.25" customHeight="1">
      <c r="D18" s="71" t="s">
        <v>10062</v>
      </c>
    </row>
    <row r="19" ht="14.25" customHeight="1">
      <c r="C19" s="71" t="s">
        <v>10063</v>
      </c>
      <c r="D19" s="71" t="s">
        <v>10064</v>
      </c>
    </row>
    <row r="20" ht="14.25" customHeight="1">
      <c r="C20" s="71" t="s">
        <v>9007</v>
      </c>
      <c r="D20" s="71" t="s">
        <v>10062</v>
      </c>
    </row>
    <row r="21" ht="14.25" customHeight="1">
      <c r="C21" s="71" t="s">
        <v>2163</v>
      </c>
      <c r="D21" s="71" t="s">
        <v>9034</v>
      </c>
    </row>
    <row r="22" ht="14.25" customHeight="1">
      <c r="D22" s="71" t="s">
        <v>9021</v>
      </c>
    </row>
    <row r="23" ht="14.25" customHeight="1">
      <c r="C23" s="71" t="s">
        <v>10065</v>
      </c>
      <c r="D23" s="71" t="s">
        <v>10066</v>
      </c>
    </row>
    <row r="24" ht="14.25" customHeight="1">
      <c r="B24" s="71" t="s">
        <v>41</v>
      </c>
      <c r="C24" s="71" t="s">
        <v>10067</v>
      </c>
      <c r="D24" s="71" t="s">
        <v>10068</v>
      </c>
    </row>
    <row r="25" ht="14.25" customHeight="1">
      <c r="C25" s="71" t="s">
        <v>10069</v>
      </c>
      <c r="D25" s="71" t="s">
        <v>8973</v>
      </c>
    </row>
    <row r="26" ht="14.25" customHeight="1">
      <c r="C26" s="71" t="s">
        <v>3566</v>
      </c>
      <c r="D26" s="71" t="s">
        <v>8989</v>
      </c>
    </row>
    <row r="27" ht="14.25" customHeight="1">
      <c r="C27" s="71" t="s">
        <v>213</v>
      </c>
      <c r="D27" s="71" t="s">
        <v>8976</v>
      </c>
    </row>
    <row r="28" ht="14.25" customHeight="1">
      <c r="C28" s="71" t="s">
        <v>233</v>
      </c>
      <c r="D28" s="71" t="s">
        <v>405</v>
      </c>
    </row>
    <row r="29" ht="14.25" customHeight="1">
      <c r="C29" s="71" t="s">
        <v>10070</v>
      </c>
      <c r="D29" s="71" t="s">
        <v>9118</v>
      </c>
    </row>
    <row r="30" ht="14.25" customHeight="1">
      <c r="B30" s="71" t="s">
        <v>13</v>
      </c>
      <c r="C30" s="71" t="s">
        <v>3566</v>
      </c>
      <c r="D30" s="71" t="s">
        <v>8989</v>
      </c>
    </row>
    <row r="31" ht="14.25" customHeight="1">
      <c r="D31" s="71" t="s">
        <v>10071</v>
      </c>
    </row>
    <row r="32" ht="14.25" customHeight="1">
      <c r="C32" s="71" t="s">
        <v>10072</v>
      </c>
      <c r="D32" s="71" t="s">
        <v>10073</v>
      </c>
    </row>
    <row r="33" ht="14.25" customHeight="1">
      <c r="A33" s="71" t="s">
        <v>9022</v>
      </c>
      <c r="B33" s="71" t="s">
        <v>40</v>
      </c>
      <c r="C33" s="71" t="s">
        <v>6119</v>
      </c>
      <c r="D33" s="71" t="s">
        <v>8994</v>
      </c>
    </row>
    <row r="34" ht="14.25" customHeight="1">
      <c r="C34" s="71" t="s">
        <v>10074</v>
      </c>
      <c r="D34" s="71" t="s">
        <v>10075</v>
      </c>
    </row>
    <row r="35" ht="14.25" customHeight="1">
      <c r="C35" s="71" t="s">
        <v>1144</v>
      </c>
      <c r="D35" s="71" t="s">
        <v>9055</v>
      </c>
    </row>
    <row r="36" ht="14.25" customHeight="1">
      <c r="C36" s="71" t="s">
        <v>9047</v>
      </c>
      <c r="D36" s="71" t="s">
        <v>9028</v>
      </c>
    </row>
    <row r="37" ht="14.25" customHeight="1">
      <c r="C37" s="71" t="s">
        <v>9053</v>
      </c>
      <c r="D37" s="71" t="s">
        <v>9028</v>
      </c>
    </row>
    <row r="38" ht="14.25" customHeight="1">
      <c r="C38" s="71" t="s">
        <v>9437</v>
      </c>
      <c r="D38" s="71" t="s">
        <v>10076</v>
      </c>
    </row>
    <row r="39" ht="14.25" customHeight="1">
      <c r="C39" s="71" t="s">
        <v>10077</v>
      </c>
      <c r="D39" s="71" t="s">
        <v>9043</v>
      </c>
    </row>
    <row r="40" ht="14.25" customHeight="1">
      <c r="C40" s="71" t="s">
        <v>9246</v>
      </c>
      <c r="D40" s="71" t="s">
        <v>9859</v>
      </c>
    </row>
    <row r="41" ht="14.25" customHeight="1">
      <c r="A41" s="71" t="s">
        <v>9058</v>
      </c>
      <c r="B41" s="71" t="s">
        <v>40</v>
      </c>
      <c r="C41" s="71" t="s">
        <v>9826</v>
      </c>
      <c r="D41" s="71" t="s">
        <v>10078</v>
      </c>
    </row>
    <row r="42" ht="14.25" customHeight="1">
      <c r="C42" s="71" t="s">
        <v>220</v>
      </c>
      <c r="D42" s="71" t="s">
        <v>9753</v>
      </c>
    </row>
    <row r="43" ht="14.25" customHeight="1">
      <c r="C43" s="71" t="s">
        <v>10079</v>
      </c>
      <c r="D43" s="71" t="s">
        <v>10080</v>
      </c>
    </row>
    <row r="44" ht="14.25" customHeight="1">
      <c r="C44" s="71" t="s">
        <v>10081</v>
      </c>
      <c r="D44" s="71" t="s">
        <v>10082</v>
      </c>
    </row>
    <row r="45" ht="14.25" customHeight="1">
      <c r="B45" s="71" t="s">
        <v>41</v>
      </c>
      <c r="C45" s="71" t="s">
        <v>9127</v>
      </c>
      <c r="D45" s="71" t="s">
        <v>9332</v>
      </c>
    </row>
    <row r="46" ht="14.25" customHeight="1">
      <c r="B46" s="71" t="s">
        <v>13</v>
      </c>
      <c r="C46" s="71" t="s">
        <v>10083</v>
      </c>
      <c r="D46" s="71" t="s">
        <v>10084</v>
      </c>
    </row>
    <row r="47" ht="14.25" customHeight="1">
      <c r="C47" s="71" t="s">
        <v>10085</v>
      </c>
      <c r="D47" s="71" t="s">
        <v>10086</v>
      </c>
    </row>
    <row r="48" ht="14.25" customHeight="1">
      <c r="A48" s="71" t="s">
        <v>9097</v>
      </c>
      <c r="B48" s="71" t="s">
        <v>40</v>
      </c>
      <c r="C48" s="71" t="s">
        <v>9034</v>
      </c>
      <c r="D48" s="71" t="s">
        <v>9073</v>
      </c>
    </row>
    <row r="49" ht="14.25" customHeight="1">
      <c r="C49" s="71" t="s">
        <v>9100</v>
      </c>
      <c r="D49" s="71" t="s">
        <v>8968</v>
      </c>
    </row>
    <row r="50" ht="14.25" customHeight="1">
      <c r="C50" s="71" t="s">
        <v>10087</v>
      </c>
      <c r="D50" s="71" t="s">
        <v>10088</v>
      </c>
    </row>
    <row r="51" ht="14.25" customHeight="1">
      <c r="C51" s="71" t="s">
        <v>77</v>
      </c>
      <c r="D51" s="71" t="s">
        <v>9151</v>
      </c>
    </row>
    <row r="52" ht="14.25" customHeight="1">
      <c r="C52" s="71" t="s">
        <v>10089</v>
      </c>
      <c r="D52" s="71" t="s">
        <v>9050</v>
      </c>
    </row>
    <row r="53" ht="14.25" customHeight="1">
      <c r="C53" s="71" t="s">
        <v>89</v>
      </c>
      <c r="D53" s="71" t="s">
        <v>9111</v>
      </c>
    </row>
    <row r="54" ht="14.25" customHeight="1">
      <c r="C54" s="71" t="s">
        <v>9469</v>
      </c>
      <c r="D54" s="71" t="s">
        <v>10090</v>
      </c>
    </row>
    <row r="55" ht="14.25" customHeight="1">
      <c r="C55" s="71" t="s">
        <v>9113</v>
      </c>
      <c r="D55" s="71" t="s">
        <v>9073</v>
      </c>
    </row>
    <row r="56" ht="14.25" customHeight="1">
      <c r="C56" s="71" t="s">
        <v>9121</v>
      </c>
      <c r="D56" s="71" t="s">
        <v>10091</v>
      </c>
    </row>
    <row r="57" ht="14.25" customHeight="1">
      <c r="D57" s="71" t="s">
        <v>9002</v>
      </c>
    </row>
    <row r="58" ht="14.25" customHeight="1">
      <c r="C58" s="71" t="s">
        <v>298</v>
      </c>
      <c r="D58" s="71" t="s">
        <v>9073</v>
      </c>
    </row>
    <row r="59" ht="14.25" customHeight="1">
      <c r="D59" s="71" t="s">
        <v>9124</v>
      </c>
    </row>
    <row r="60" ht="14.25" customHeight="1">
      <c r="C60" s="71" t="s">
        <v>10092</v>
      </c>
      <c r="D60" s="71" t="s">
        <v>9073</v>
      </c>
    </row>
    <row r="61" ht="14.25" customHeight="1">
      <c r="C61" s="71" t="s">
        <v>9132</v>
      </c>
      <c r="D61" s="71" t="s">
        <v>8968</v>
      </c>
    </row>
    <row r="62" ht="14.25" customHeight="1">
      <c r="C62" s="71" t="s">
        <v>9133</v>
      </c>
      <c r="D62" s="71" t="s">
        <v>10093</v>
      </c>
    </row>
    <row r="63" ht="14.25" customHeight="1">
      <c r="D63" s="71" t="s">
        <v>9746</v>
      </c>
    </row>
    <row r="64" ht="14.25" customHeight="1">
      <c r="C64" s="71" t="s">
        <v>3059</v>
      </c>
      <c r="D64" s="71" t="s">
        <v>9073</v>
      </c>
    </row>
    <row r="65" ht="14.25" customHeight="1">
      <c r="C65" s="71" t="s">
        <v>9138</v>
      </c>
      <c r="D65" s="71" t="s">
        <v>9034</v>
      </c>
    </row>
    <row r="66" ht="14.25" customHeight="1">
      <c r="C66" s="71" t="s">
        <v>10094</v>
      </c>
      <c r="D66" s="71" t="s">
        <v>10095</v>
      </c>
    </row>
    <row r="67" ht="14.25" customHeight="1">
      <c r="C67" s="71" t="s">
        <v>10096</v>
      </c>
      <c r="D67" s="71" t="s">
        <v>10097</v>
      </c>
    </row>
    <row r="68" ht="14.25" customHeight="1">
      <c r="C68" s="71" t="s">
        <v>141</v>
      </c>
      <c r="D68" s="71" t="s">
        <v>10098</v>
      </c>
    </row>
    <row r="69" ht="14.25" customHeight="1">
      <c r="C69" s="71" t="s">
        <v>9145</v>
      </c>
      <c r="D69" s="71" t="s">
        <v>9073</v>
      </c>
    </row>
    <row r="70" ht="14.25" customHeight="1">
      <c r="C70" s="71" t="s">
        <v>3499</v>
      </c>
      <c r="D70" s="71" t="s">
        <v>9216</v>
      </c>
    </row>
    <row r="71" ht="14.25" customHeight="1">
      <c r="C71" s="71" t="s">
        <v>9882</v>
      </c>
      <c r="D71" s="71" t="s">
        <v>10099</v>
      </c>
    </row>
    <row r="72" ht="14.25" customHeight="1">
      <c r="C72" s="71" t="s">
        <v>9148</v>
      </c>
      <c r="D72" s="71" t="s">
        <v>9034</v>
      </c>
    </row>
    <row r="73" ht="14.25" customHeight="1">
      <c r="C73" s="71" t="s">
        <v>10100</v>
      </c>
      <c r="D73" s="71" t="s">
        <v>9073</v>
      </c>
    </row>
    <row r="74" ht="14.25" customHeight="1">
      <c r="C74" s="71" t="s">
        <v>10101</v>
      </c>
      <c r="D74" s="71" t="s">
        <v>9073</v>
      </c>
    </row>
    <row r="75" ht="14.25" customHeight="1">
      <c r="D75" s="71" t="s">
        <v>10102</v>
      </c>
    </row>
    <row r="76" ht="14.25" customHeight="1">
      <c r="C76" s="71" t="s">
        <v>9505</v>
      </c>
      <c r="D76" s="71" t="s">
        <v>9073</v>
      </c>
    </row>
    <row r="77" ht="14.25" customHeight="1">
      <c r="C77" s="71" t="s">
        <v>10103</v>
      </c>
      <c r="D77" s="71" t="s">
        <v>10104</v>
      </c>
    </row>
    <row r="78" ht="14.25" customHeight="1">
      <c r="C78" s="71" t="s">
        <v>10105</v>
      </c>
      <c r="D78" s="71" t="s">
        <v>9111</v>
      </c>
    </row>
    <row r="79" ht="14.25" customHeight="1">
      <c r="C79" s="71" t="s">
        <v>3814</v>
      </c>
      <c r="D79" s="71" t="s">
        <v>9073</v>
      </c>
    </row>
    <row r="80" ht="14.25" customHeight="1">
      <c r="D80" s="71" t="s">
        <v>9002</v>
      </c>
    </row>
    <row r="81" ht="14.25" customHeight="1">
      <c r="D81" s="71" t="s">
        <v>9112</v>
      </c>
    </row>
    <row r="82" ht="14.25" customHeight="1">
      <c r="C82" s="71" t="s">
        <v>9156</v>
      </c>
      <c r="D82" s="71" t="s">
        <v>10106</v>
      </c>
    </row>
    <row r="83" ht="14.25" customHeight="1">
      <c r="C83" s="71" t="s">
        <v>10107</v>
      </c>
      <c r="D83" s="71" t="s">
        <v>10099</v>
      </c>
    </row>
    <row r="84" ht="14.25" customHeight="1">
      <c r="C84" s="71" t="s">
        <v>255</v>
      </c>
      <c r="D84" s="71" t="s">
        <v>9168</v>
      </c>
    </row>
    <row r="85" ht="14.25" customHeight="1">
      <c r="C85" s="71" t="s">
        <v>9160</v>
      </c>
      <c r="D85" s="71" t="s">
        <v>10108</v>
      </c>
    </row>
    <row r="86" ht="14.25" customHeight="1">
      <c r="C86" s="71" t="s">
        <v>10109</v>
      </c>
      <c r="D86" s="71" t="s">
        <v>9055</v>
      </c>
    </row>
    <row r="87" ht="14.25" customHeight="1">
      <c r="C87" s="71" t="s">
        <v>10110</v>
      </c>
      <c r="D87" s="71" t="s">
        <v>10111</v>
      </c>
    </row>
    <row r="88" ht="14.25" customHeight="1">
      <c r="C88" s="71" t="s">
        <v>10112</v>
      </c>
      <c r="D88" s="71" t="s">
        <v>9827</v>
      </c>
    </row>
    <row r="89" ht="14.25" customHeight="1">
      <c r="C89" s="71" t="s">
        <v>324</v>
      </c>
      <c r="D89" s="71" t="s">
        <v>9162</v>
      </c>
    </row>
    <row r="90" ht="14.25" customHeight="1">
      <c r="C90" s="71" t="s">
        <v>7351</v>
      </c>
      <c r="D90" s="71" t="s">
        <v>9075</v>
      </c>
    </row>
    <row r="91" ht="14.25" customHeight="1">
      <c r="B91" s="71" t="s">
        <v>41</v>
      </c>
      <c r="C91" s="71" t="s">
        <v>10113</v>
      </c>
      <c r="D91" s="71" t="s">
        <v>9055</v>
      </c>
    </row>
    <row r="92" ht="14.25" customHeight="1">
      <c r="C92" s="71" t="s">
        <v>3059</v>
      </c>
      <c r="D92" s="71" t="s">
        <v>9136</v>
      </c>
    </row>
    <row r="93" ht="14.25" customHeight="1">
      <c r="C93" s="71" t="s">
        <v>10114</v>
      </c>
      <c r="D93" s="71" t="s">
        <v>9249</v>
      </c>
    </row>
    <row r="94" ht="14.25" customHeight="1">
      <c r="B94" s="71" t="s">
        <v>13</v>
      </c>
      <c r="C94" s="71" t="s">
        <v>10115</v>
      </c>
      <c r="D94" s="71" t="s">
        <v>9326</v>
      </c>
    </row>
    <row r="95" ht="14.25" customHeight="1">
      <c r="C95" s="71" t="s">
        <v>10116</v>
      </c>
      <c r="D95" s="71" t="s">
        <v>9176</v>
      </c>
    </row>
    <row r="96" ht="14.25" customHeight="1">
      <c r="A96" s="71" t="s">
        <v>9177</v>
      </c>
      <c r="B96" s="71" t="s">
        <v>40</v>
      </c>
      <c r="C96" s="71" t="s">
        <v>10117</v>
      </c>
      <c r="D96" s="71" t="s">
        <v>8968</v>
      </c>
    </row>
    <row r="97" ht="14.25" customHeight="1">
      <c r="C97" s="71" t="s">
        <v>10118</v>
      </c>
      <c r="D97" s="71" t="s">
        <v>10119</v>
      </c>
    </row>
    <row r="98" ht="14.25" customHeight="1">
      <c r="C98" s="71" t="s">
        <v>10120</v>
      </c>
      <c r="D98" s="71" t="s">
        <v>9213</v>
      </c>
    </row>
    <row r="99" ht="14.25" customHeight="1">
      <c r="C99" s="71" t="s">
        <v>9105</v>
      </c>
      <c r="D99" s="71" t="s">
        <v>9043</v>
      </c>
    </row>
    <row r="100" ht="14.25" customHeight="1">
      <c r="C100" s="71" t="s">
        <v>7561</v>
      </c>
      <c r="D100" s="71" t="s">
        <v>9213</v>
      </c>
    </row>
    <row r="101" ht="14.25" customHeight="1">
      <c r="C101" s="71" t="s">
        <v>10121</v>
      </c>
      <c r="D101" s="71" t="s">
        <v>10122</v>
      </c>
    </row>
    <row r="102" ht="14.25" customHeight="1">
      <c r="C102" s="71" t="s">
        <v>2804</v>
      </c>
      <c r="D102" s="71" t="s">
        <v>9055</v>
      </c>
    </row>
    <row r="103" ht="14.25" customHeight="1">
      <c r="C103" s="71" t="s">
        <v>10123</v>
      </c>
      <c r="D103" s="71" t="s">
        <v>9618</v>
      </c>
    </row>
    <row r="104" ht="14.25" customHeight="1">
      <c r="C104" s="71" t="s">
        <v>9186</v>
      </c>
      <c r="D104" s="71" t="s">
        <v>9043</v>
      </c>
    </row>
    <row r="105" ht="14.25" customHeight="1">
      <c r="C105" s="71" t="s">
        <v>9589</v>
      </c>
      <c r="D105" s="71" t="s">
        <v>10124</v>
      </c>
    </row>
    <row r="106" ht="14.25" customHeight="1">
      <c r="C106" s="71" t="s">
        <v>6310</v>
      </c>
      <c r="D106" s="71" t="s">
        <v>9055</v>
      </c>
    </row>
    <row r="107" ht="14.25" customHeight="1">
      <c r="C107" s="71" t="s">
        <v>4911</v>
      </c>
      <c r="D107" s="71" t="s">
        <v>10125</v>
      </c>
    </row>
    <row r="108" ht="14.25" customHeight="1">
      <c r="C108" s="71" t="s">
        <v>10126</v>
      </c>
      <c r="D108" s="71" t="s">
        <v>9043</v>
      </c>
    </row>
    <row r="109" ht="14.25" customHeight="1">
      <c r="C109" s="71" t="s">
        <v>9192</v>
      </c>
      <c r="D109" s="71" t="s">
        <v>9180</v>
      </c>
    </row>
    <row r="110" ht="14.25" customHeight="1">
      <c r="D110" s="71" t="s">
        <v>9189</v>
      </c>
    </row>
    <row r="111" ht="14.25" customHeight="1">
      <c r="C111" s="71" t="s">
        <v>150</v>
      </c>
      <c r="D111" s="71" t="s">
        <v>8968</v>
      </c>
    </row>
    <row r="112" ht="14.25" customHeight="1">
      <c r="C112" s="71" t="s">
        <v>155</v>
      </c>
      <c r="D112" s="71" t="s">
        <v>9131</v>
      </c>
    </row>
    <row r="113" ht="14.25" customHeight="1">
      <c r="C113" s="71" t="s">
        <v>10127</v>
      </c>
      <c r="D113" s="71" t="s">
        <v>9026</v>
      </c>
    </row>
    <row r="114" ht="14.25" customHeight="1">
      <c r="C114" s="71" t="s">
        <v>10128</v>
      </c>
      <c r="D114" s="71" t="s">
        <v>9043</v>
      </c>
    </row>
    <row r="115" ht="14.25" customHeight="1">
      <c r="C115" s="71" t="s">
        <v>165</v>
      </c>
      <c r="D115" s="71" t="s">
        <v>9043</v>
      </c>
    </row>
    <row r="116" ht="14.25" customHeight="1">
      <c r="C116" s="71" t="s">
        <v>166</v>
      </c>
      <c r="D116" s="71" t="s">
        <v>9151</v>
      </c>
    </row>
    <row r="117" ht="14.25" customHeight="1">
      <c r="D117" s="71" t="s">
        <v>9055</v>
      </c>
    </row>
    <row r="118" ht="14.25" customHeight="1">
      <c r="C118" s="71" t="s">
        <v>9203</v>
      </c>
      <c r="D118" s="71" t="s">
        <v>9204</v>
      </c>
    </row>
    <row r="119" ht="14.25" customHeight="1">
      <c r="D119" s="71" t="s">
        <v>10129</v>
      </c>
    </row>
    <row r="120" ht="14.25" customHeight="1">
      <c r="D120" s="71" t="s">
        <v>10124</v>
      </c>
    </row>
    <row r="121" ht="14.25" customHeight="1">
      <c r="D121" s="71" t="s">
        <v>10130</v>
      </c>
    </row>
    <row r="122" ht="14.25" customHeight="1">
      <c r="D122" s="71" t="s">
        <v>9178</v>
      </c>
    </row>
    <row r="123" ht="14.25" customHeight="1">
      <c r="C123" s="71" t="s">
        <v>179</v>
      </c>
      <c r="D123" s="71" t="s">
        <v>9026</v>
      </c>
    </row>
    <row r="124" ht="14.25" customHeight="1">
      <c r="D124" s="71" t="s">
        <v>10131</v>
      </c>
    </row>
    <row r="125" ht="14.25" customHeight="1">
      <c r="C125" s="71" t="s">
        <v>10132</v>
      </c>
      <c r="D125" s="71" t="s">
        <v>10133</v>
      </c>
    </row>
    <row r="126" ht="14.25" customHeight="1">
      <c r="C126" s="71" t="s">
        <v>10134</v>
      </c>
      <c r="D126" s="71" t="s">
        <v>9043</v>
      </c>
    </row>
    <row r="127" ht="14.25" customHeight="1">
      <c r="C127" s="71" t="s">
        <v>9211</v>
      </c>
      <c r="D127" s="71" t="s">
        <v>10124</v>
      </c>
    </row>
    <row r="128" ht="14.25" customHeight="1">
      <c r="C128" s="71" t="s">
        <v>10135</v>
      </c>
      <c r="D128" s="71" t="s">
        <v>9055</v>
      </c>
    </row>
    <row r="129" ht="14.25" customHeight="1">
      <c r="C129" s="71" t="s">
        <v>10136</v>
      </c>
      <c r="D129" s="71" t="s">
        <v>9043</v>
      </c>
    </row>
    <row r="130" ht="14.25" customHeight="1">
      <c r="C130" s="71" t="s">
        <v>10137</v>
      </c>
      <c r="D130" s="71" t="s">
        <v>9055</v>
      </c>
    </row>
    <row r="131" ht="14.25" customHeight="1">
      <c r="C131" s="71" t="s">
        <v>9593</v>
      </c>
      <c r="D131" s="71" t="s">
        <v>9043</v>
      </c>
    </row>
    <row r="132" ht="14.25" customHeight="1">
      <c r="C132" s="71" t="s">
        <v>9243</v>
      </c>
      <c r="D132" s="71" t="s">
        <v>9202</v>
      </c>
    </row>
    <row r="133" ht="14.25" customHeight="1">
      <c r="C133" s="71" t="s">
        <v>10138</v>
      </c>
      <c r="D133" s="71" t="s">
        <v>10119</v>
      </c>
    </row>
    <row r="134" ht="14.25" customHeight="1">
      <c r="C134" s="71" t="s">
        <v>10139</v>
      </c>
      <c r="D134" s="71" t="s">
        <v>10140</v>
      </c>
    </row>
    <row r="135" ht="14.25" customHeight="1">
      <c r="C135" s="71" t="s">
        <v>9005</v>
      </c>
      <c r="D135" s="71" t="s">
        <v>9006</v>
      </c>
    </row>
    <row r="136" ht="14.25" customHeight="1">
      <c r="D136" s="71" t="s">
        <v>10062</v>
      </c>
    </row>
    <row r="137" ht="14.25" customHeight="1">
      <c r="C137" s="71" t="s">
        <v>9007</v>
      </c>
      <c r="D137" s="71" t="s">
        <v>9006</v>
      </c>
    </row>
    <row r="138" ht="14.25" customHeight="1">
      <c r="C138" s="71" t="s">
        <v>7338</v>
      </c>
      <c r="D138" s="71" t="s">
        <v>9026</v>
      </c>
    </row>
    <row r="139" ht="14.25" customHeight="1">
      <c r="C139" s="71" t="s">
        <v>281</v>
      </c>
      <c r="D139" s="71" t="s">
        <v>9180</v>
      </c>
    </row>
    <row r="140" ht="14.25" customHeight="1">
      <c r="D140" s="71" t="s">
        <v>10141</v>
      </c>
    </row>
    <row r="141" ht="14.25" customHeight="1">
      <c r="D141" s="71" t="s">
        <v>10142</v>
      </c>
    </row>
    <row r="142" ht="14.25" customHeight="1">
      <c r="C142" s="71" t="s">
        <v>9225</v>
      </c>
      <c r="D142" s="71" t="s">
        <v>9026</v>
      </c>
    </row>
    <row r="143" ht="14.25" customHeight="1">
      <c r="D143" s="71" t="s">
        <v>9178</v>
      </c>
    </row>
    <row r="144" ht="14.25" customHeight="1">
      <c r="C144" s="71" t="s">
        <v>10143</v>
      </c>
      <c r="D144" s="71" t="s">
        <v>9026</v>
      </c>
    </row>
    <row r="145" ht="14.25" customHeight="1">
      <c r="C145" s="71" t="s">
        <v>10144</v>
      </c>
      <c r="D145" s="71" t="s">
        <v>9151</v>
      </c>
    </row>
    <row r="146" ht="14.25" customHeight="1">
      <c r="B146" s="71" t="s">
        <v>41</v>
      </c>
      <c r="C146" s="71" t="s">
        <v>10145</v>
      </c>
      <c r="D146" s="71" t="s">
        <v>9026</v>
      </c>
    </row>
    <row r="147" ht="14.25" customHeight="1">
      <c r="C147" s="71" t="s">
        <v>10146</v>
      </c>
      <c r="D147" s="71" t="s">
        <v>9151</v>
      </c>
    </row>
    <row r="148" ht="14.25" customHeight="1">
      <c r="C148" s="71" t="s">
        <v>10147</v>
      </c>
      <c r="D148" s="71" t="s">
        <v>8968</v>
      </c>
    </row>
    <row r="149" ht="14.25" customHeight="1">
      <c r="C149" s="71" t="s">
        <v>10148</v>
      </c>
      <c r="D149" s="71" t="s">
        <v>9213</v>
      </c>
    </row>
    <row r="150" ht="14.25" customHeight="1">
      <c r="C150" s="71" t="s">
        <v>10149</v>
      </c>
      <c r="D150" s="71" t="s">
        <v>10150</v>
      </c>
    </row>
    <row r="151" ht="14.25" customHeight="1">
      <c r="C151" s="71" t="s">
        <v>7652</v>
      </c>
      <c r="D151" s="71" t="s">
        <v>9587</v>
      </c>
    </row>
    <row r="152" ht="14.25" customHeight="1">
      <c r="D152" s="71" t="s">
        <v>8994</v>
      </c>
    </row>
    <row r="153" ht="14.25" customHeight="1">
      <c r="D153" s="71" t="s">
        <v>9189</v>
      </c>
    </row>
    <row r="154" ht="14.25" customHeight="1">
      <c r="C154" s="71" t="s">
        <v>6119</v>
      </c>
      <c r="D154" s="71" t="s">
        <v>9055</v>
      </c>
    </row>
    <row r="155" ht="14.25" customHeight="1">
      <c r="C155" s="71" t="s">
        <v>10151</v>
      </c>
      <c r="D155" s="71" t="s">
        <v>9026</v>
      </c>
    </row>
    <row r="156" ht="14.25" customHeight="1">
      <c r="C156" s="71" t="s">
        <v>4911</v>
      </c>
      <c r="D156" s="71" t="s">
        <v>9073</v>
      </c>
    </row>
    <row r="157" ht="14.25" customHeight="1">
      <c r="D157" s="71" t="s">
        <v>8994</v>
      </c>
    </row>
    <row r="158" ht="14.25" customHeight="1">
      <c r="C158" s="71" t="s">
        <v>10152</v>
      </c>
      <c r="D158" s="71" t="s">
        <v>9055</v>
      </c>
    </row>
    <row r="159" ht="14.25" customHeight="1">
      <c r="C159" s="71" t="s">
        <v>9192</v>
      </c>
      <c r="D159" s="71" t="s">
        <v>9026</v>
      </c>
    </row>
    <row r="160" ht="14.25" customHeight="1">
      <c r="C160" s="71" t="s">
        <v>145</v>
      </c>
      <c r="D160" s="71" t="s">
        <v>10153</v>
      </c>
    </row>
    <row r="161" ht="14.25" customHeight="1">
      <c r="C161" s="71" t="s">
        <v>10154</v>
      </c>
      <c r="D161" s="71" t="s">
        <v>10155</v>
      </c>
    </row>
    <row r="162" ht="14.25" customHeight="1">
      <c r="C162" s="71" t="s">
        <v>3359</v>
      </c>
      <c r="D162" s="71" t="s">
        <v>9055</v>
      </c>
    </row>
    <row r="163" ht="14.25" customHeight="1">
      <c r="C163" s="71" t="s">
        <v>166</v>
      </c>
      <c r="D163" s="71" t="s">
        <v>8994</v>
      </c>
    </row>
    <row r="164" ht="14.25" customHeight="1">
      <c r="C164" s="71" t="s">
        <v>10156</v>
      </c>
      <c r="D164" s="71" t="s">
        <v>8968</v>
      </c>
    </row>
    <row r="165" ht="14.25" customHeight="1">
      <c r="C165" s="71" t="s">
        <v>10157</v>
      </c>
      <c r="D165" s="71" t="s">
        <v>9055</v>
      </c>
    </row>
    <row r="166" ht="14.25" customHeight="1">
      <c r="C166" s="71" t="s">
        <v>10158</v>
      </c>
      <c r="D166" s="71" t="s">
        <v>10159</v>
      </c>
    </row>
    <row r="167" ht="14.25" customHeight="1">
      <c r="C167" s="71" t="s">
        <v>10160</v>
      </c>
      <c r="D167" s="71" t="s">
        <v>10142</v>
      </c>
    </row>
    <row r="168" ht="14.25" customHeight="1">
      <c r="C168" s="71" t="s">
        <v>9169</v>
      </c>
      <c r="D168" s="71" t="s">
        <v>10161</v>
      </c>
    </row>
    <row r="169" ht="14.25" customHeight="1">
      <c r="D169" s="71" t="s">
        <v>9189</v>
      </c>
    </row>
    <row r="170" ht="14.25" customHeight="1">
      <c r="C170" s="71" t="s">
        <v>10162</v>
      </c>
      <c r="D170" s="71" t="s">
        <v>9202</v>
      </c>
    </row>
    <row r="171" ht="14.25" customHeight="1">
      <c r="C171" s="71" t="s">
        <v>10163</v>
      </c>
      <c r="D171" s="71" t="s">
        <v>10164</v>
      </c>
    </row>
    <row r="172" ht="14.25" customHeight="1">
      <c r="C172" s="71" t="s">
        <v>10165</v>
      </c>
      <c r="D172" s="71" t="s">
        <v>9034</v>
      </c>
    </row>
    <row r="173" ht="14.25" customHeight="1">
      <c r="C173" s="71" t="s">
        <v>10166</v>
      </c>
      <c r="D173" s="71" t="s">
        <v>9026</v>
      </c>
    </row>
    <row r="174" ht="14.25" customHeight="1">
      <c r="C174" s="71" t="s">
        <v>280</v>
      </c>
      <c r="D174" s="71" t="s">
        <v>9131</v>
      </c>
    </row>
    <row r="175" ht="14.25" customHeight="1">
      <c r="D175" s="71" t="s">
        <v>9151</v>
      </c>
    </row>
    <row r="176" ht="14.25" customHeight="1">
      <c r="C176" s="71" t="s">
        <v>9246</v>
      </c>
      <c r="D176" s="71" t="s">
        <v>10167</v>
      </c>
    </row>
    <row r="177" ht="14.25" customHeight="1">
      <c r="B177" s="71" t="s">
        <v>13</v>
      </c>
      <c r="C177" s="71" t="s">
        <v>10118</v>
      </c>
      <c r="D177" s="71" t="s">
        <v>9242</v>
      </c>
    </row>
    <row r="178" ht="14.25" customHeight="1">
      <c r="C178" s="71" t="s">
        <v>10168</v>
      </c>
      <c r="D178" s="71" t="s">
        <v>9244</v>
      </c>
    </row>
    <row r="179" ht="14.25" customHeight="1">
      <c r="C179" s="71" t="s">
        <v>10169</v>
      </c>
      <c r="D179" s="71" t="s">
        <v>9249</v>
      </c>
    </row>
    <row r="180" ht="14.25" customHeight="1">
      <c r="C180" s="71" t="s">
        <v>9169</v>
      </c>
      <c r="D180" s="71" t="s">
        <v>9045</v>
      </c>
    </row>
    <row r="181" ht="14.25" customHeight="1">
      <c r="C181" s="71" t="s">
        <v>9090</v>
      </c>
      <c r="D181" s="71" t="s">
        <v>9176</v>
      </c>
    </row>
    <row r="182" ht="14.25" customHeight="1">
      <c r="C182" s="71" t="s">
        <v>9929</v>
      </c>
      <c r="D182" s="71" t="s">
        <v>9026</v>
      </c>
    </row>
    <row r="183" ht="14.25" customHeight="1">
      <c r="A183" s="71" t="s">
        <v>9254</v>
      </c>
      <c r="B183" s="71" t="s">
        <v>40</v>
      </c>
      <c r="C183" s="71" t="s">
        <v>8969</v>
      </c>
      <c r="D183" s="71" t="s">
        <v>8978</v>
      </c>
    </row>
    <row r="184" ht="14.25" customHeight="1">
      <c r="C184" s="71" t="s">
        <v>10170</v>
      </c>
      <c r="D184" s="71" t="s">
        <v>8978</v>
      </c>
    </row>
    <row r="185" ht="14.25" customHeight="1">
      <c r="C185" s="71" t="s">
        <v>2669</v>
      </c>
      <c r="D185" s="71" t="s">
        <v>9383</v>
      </c>
    </row>
    <row r="186" ht="14.25" customHeight="1">
      <c r="C186" s="71" t="s">
        <v>10171</v>
      </c>
      <c r="D186" s="71" t="s">
        <v>10172</v>
      </c>
    </row>
    <row r="187" ht="14.25" customHeight="1">
      <c r="C187" s="71" t="s">
        <v>10173</v>
      </c>
      <c r="D187" s="71" t="s">
        <v>8978</v>
      </c>
    </row>
    <row r="188" ht="14.25" customHeight="1">
      <c r="C188" s="71" t="s">
        <v>3566</v>
      </c>
      <c r="D188" s="71" t="s">
        <v>10174</v>
      </c>
    </row>
    <row r="189" ht="14.25" customHeight="1">
      <c r="C189" s="71" t="s">
        <v>9277</v>
      </c>
      <c r="D189" s="71" t="s">
        <v>8978</v>
      </c>
    </row>
    <row r="190" ht="14.25" customHeight="1">
      <c r="C190" s="71" t="s">
        <v>208</v>
      </c>
      <c r="D190" s="71" t="s">
        <v>8978</v>
      </c>
    </row>
    <row r="191" ht="14.25" customHeight="1">
      <c r="C191" s="71" t="s">
        <v>149</v>
      </c>
      <c r="D191" s="71" t="s">
        <v>10175</v>
      </c>
    </row>
    <row r="192" ht="14.25" customHeight="1">
      <c r="C192" s="71" t="s">
        <v>4109</v>
      </c>
      <c r="D192" s="71" t="s">
        <v>9291</v>
      </c>
    </row>
    <row r="193" ht="14.25" customHeight="1">
      <c r="C193" s="71" t="s">
        <v>9215</v>
      </c>
      <c r="D193" s="71" t="s">
        <v>10176</v>
      </c>
    </row>
    <row r="194" ht="14.25" customHeight="1">
      <c r="C194" s="71" t="s">
        <v>274</v>
      </c>
      <c r="D194" s="71" t="s">
        <v>10177</v>
      </c>
    </row>
    <row r="195" ht="14.25" customHeight="1">
      <c r="A195" s="71" t="s">
        <v>9299</v>
      </c>
      <c r="B195" s="71" t="s">
        <v>13</v>
      </c>
      <c r="C195" s="71" t="s">
        <v>10178</v>
      </c>
      <c r="D195" s="71" t="s">
        <v>10179</v>
      </c>
    </row>
    <row r="196" ht="14.25" customHeight="1">
      <c r="C196" s="71" t="s">
        <v>9374</v>
      </c>
      <c r="D196" s="71" t="s">
        <v>8978</v>
      </c>
    </row>
    <row r="197" ht="14.25" customHeight="1">
      <c r="C197" s="71" t="s">
        <v>9333</v>
      </c>
      <c r="D197" s="71" t="s">
        <v>10180</v>
      </c>
    </row>
    <row r="198" ht="14.25" customHeight="1">
      <c r="A198" s="71" t="s">
        <v>9309</v>
      </c>
      <c r="B198" s="71" t="s">
        <v>41</v>
      </c>
      <c r="C198" s="71" t="s">
        <v>9313</v>
      </c>
      <c r="D198" s="71" t="s">
        <v>9131</v>
      </c>
    </row>
    <row r="199" ht="14.25" customHeight="1">
      <c r="D199" s="71" t="s">
        <v>9281</v>
      </c>
    </row>
    <row r="200" ht="14.25" customHeight="1">
      <c r="D200" s="71" t="s">
        <v>8968</v>
      </c>
    </row>
    <row r="201" ht="14.25" customHeight="1">
      <c r="C201" s="71" t="s">
        <v>9323</v>
      </c>
      <c r="D201" s="71" t="s">
        <v>9324</v>
      </c>
    </row>
    <row r="202" ht="14.25" customHeight="1">
      <c r="C202" s="71" t="s">
        <v>9329</v>
      </c>
      <c r="D202" s="71" t="s">
        <v>10181</v>
      </c>
    </row>
    <row r="203" ht="14.25" customHeight="1">
      <c r="C203" s="71" t="s">
        <v>3566</v>
      </c>
      <c r="D203" s="71" t="s">
        <v>8978</v>
      </c>
    </row>
    <row r="204" ht="14.25" customHeight="1">
      <c r="C204" s="71" t="s">
        <v>10182</v>
      </c>
      <c r="D204" s="71" t="s">
        <v>9131</v>
      </c>
    </row>
    <row r="205" ht="14.25" customHeight="1">
      <c r="C205" s="71" t="s">
        <v>10183</v>
      </c>
      <c r="D205" s="71" t="s">
        <v>9281</v>
      </c>
    </row>
    <row r="206" ht="14.25" customHeight="1">
      <c r="C206" s="71" t="s">
        <v>10184</v>
      </c>
      <c r="D206" s="71" t="s">
        <v>9332</v>
      </c>
    </row>
    <row r="207" ht="14.25" customHeight="1">
      <c r="C207" s="71" t="s">
        <v>9090</v>
      </c>
      <c r="D207" s="71" t="s">
        <v>10185</v>
      </c>
    </row>
    <row r="208" ht="14.25" customHeight="1">
      <c r="C208" s="71" t="s">
        <v>9160</v>
      </c>
      <c r="D208" s="71" t="s">
        <v>9319</v>
      </c>
    </row>
    <row r="209" ht="14.25" customHeight="1">
      <c r="B209" s="71" t="s">
        <v>13</v>
      </c>
      <c r="C209" s="71" t="s">
        <v>9303</v>
      </c>
      <c r="D209" s="71" t="s">
        <v>10186</v>
      </c>
    </row>
    <row r="210" ht="14.25" customHeight="1">
      <c r="C210" s="71" t="s">
        <v>10184</v>
      </c>
      <c r="D210" s="71" t="s">
        <v>10187</v>
      </c>
    </row>
    <row r="211" ht="14.25" customHeight="1">
      <c r="A211" s="71" t="s">
        <v>9339</v>
      </c>
      <c r="B211" s="71" t="s">
        <v>40</v>
      </c>
      <c r="C211" s="71" t="s">
        <v>9257</v>
      </c>
      <c r="D211" s="71" t="s">
        <v>9256</v>
      </c>
    </row>
    <row r="212" ht="14.25" customHeight="1">
      <c r="C212" s="71" t="s">
        <v>10188</v>
      </c>
      <c r="D212" s="71" t="s">
        <v>8978</v>
      </c>
    </row>
    <row r="213" ht="14.25" customHeight="1">
      <c r="C213" s="71" t="s">
        <v>10170</v>
      </c>
      <c r="D213" s="71" t="s">
        <v>10189</v>
      </c>
    </row>
    <row r="214" ht="14.25" customHeight="1">
      <c r="C214" s="71" t="s">
        <v>2669</v>
      </c>
      <c r="D214" s="71" t="s">
        <v>9574</v>
      </c>
    </row>
    <row r="215" ht="14.25" customHeight="1">
      <c r="D215" s="71" t="s">
        <v>8978</v>
      </c>
    </row>
    <row r="216" ht="14.25" customHeight="1">
      <c r="C216" s="71" t="s">
        <v>6057</v>
      </c>
      <c r="D216" s="71" t="s">
        <v>8978</v>
      </c>
    </row>
    <row r="217" ht="14.25" customHeight="1">
      <c r="C217" s="71" t="s">
        <v>10173</v>
      </c>
      <c r="D217" s="71" t="s">
        <v>8978</v>
      </c>
    </row>
    <row r="218" ht="14.25" customHeight="1">
      <c r="C218" s="71" t="s">
        <v>9630</v>
      </c>
      <c r="D218" s="71" t="s">
        <v>9354</v>
      </c>
    </row>
    <row r="219" ht="14.25" customHeight="1">
      <c r="C219" s="71" t="s">
        <v>1051</v>
      </c>
      <c r="D219" s="71" t="s">
        <v>8978</v>
      </c>
    </row>
    <row r="220" ht="14.25" customHeight="1">
      <c r="C220" s="71" t="s">
        <v>3138</v>
      </c>
      <c r="D220" s="71" t="s">
        <v>8978</v>
      </c>
    </row>
    <row r="221" ht="14.25" customHeight="1">
      <c r="C221" s="71" t="s">
        <v>9374</v>
      </c>
      <c r="D221" s="71" t="s">
        <v>8978</v>
      </c>
    </row>
    <row r="222" ht="14.25" customHeight="1">
      <c r="C222" s="71" t="s">
        <v>9272</v>
      </c>
      <c r="D222" s="71" t="s">
        <v>8978</v>
      </c>
    </row>
    <row r="223" ht="14.25" customHeight="1">
      <c r="C223" s="71" t="s">
        <v>153</v>
      </c>
      <c r="D223" s="71" t="s">
        <v>8978</v>
      </c>
    </row>
    <row r="224" ht="14.25" customHeight="1">
      <c r="C224" s="71" t="s">
        <v>10190</v>
      </c>
      <c r="D224" s="71" t="s">
        <v>8978</v>
      </c>
    </row>
    <row r="225" ht="14.25" customHeight="1">
      <c r="C225" s="71" t="s">
        <v>10191</v>
      </c>
      <c r="D225" s="71" t="s">
        <v>8978</v>
      </c>
    </row>
    <row r="226" ht="14.25" customHeight="1">
      <c r="C226" s="71" t="s">
        <v>10192</v>
      </c>
      <c r="D226" s="71" t="s">
        <v>8978</v>
      </c>
    </row>
    <row r="227" ht="14.25" customHeight="1">
      <c r="C227" s="71" t="s">
        <v>10193</v>
      </c>
      <c r="D227" s="71" t="s">
        <v>8978</v>
      </c>
    </row>
    <row r="228" ht="14.25" customHeight="1">
      <c r="C228" s="71" t="s">
        <v>10194</v>
      </c>
      <c r="D228" s="71" t="s">
        <v>8978</v>
      </c>
    </row>
    <row r="229" ht="14.25" customHeight="1">
      <c r="C229" s="71" t="s">
        <v>9390</v>
      </c>
      <c r="D229" s="71" t="s">
        <v>8978</v>
      </c>
    </row>
    <row r="230" ht="14.25" customHeight="1">
      <c r="C230" s="71" t="s">
        <v>9277</v>
      </c>
      <c r="D230" s="71" t="s">
        <v>8978</v>
      </c>
    </row>
    <row r="231" ht="14.25" customHeight="1">
      <c r="C231" s="71" t="s">
        <v>10195</v>
      </c>
      <c r="D231" s="71" t="s">
        <v>8978</v>
      </c>
    </row>
    <row r="232" ht="14.25" customHeight="1">
      <c r="C232" s="71" t="s">
        <v>218</v>
      </c>
      <c r="D232" s="71" t="s">
        <v>9258</v>
      </c>
    </row>
    <row r="233" ht="14.25" customHeight="1">
      <c r="C233" s="71" t="s">
        <v>10196</v>
      </c>
      <c r="D233" s="71" t="s">
        <v>8978</v>
      </c>
    </row>
    <row r="234" ht="14.25" customHeight="1">
      <c r="C234" s="71" t="s">
        <v>9770</v>
      </c>
      <c r="D234" s="71" t="s">
        <v>10197</v>
      </c>
    </row>
    <row r="235" ht="14.25" customHeight="1">
      <c r="C235" s="71" t="s">
        <v>10198</v>
      </c>
      <c r="D235" s="71" t="s">
        <v>9771</v>
      </c>
    </row>
    <row r="236" ht="14.25" customHeight="1">
      <c r="C236" s="71" t="s">
        <v>9160</v>
      </c>
      <c r="D236" s="71" t="s">
        <v>9291</v>
      </c>
    </row>
    <row r="237" ht="14.25" customHeight="1">
      <c r="D237" s="71" t="s">
        <v>10199</v>
      </c>
    </row>
    <row r="238" ht="14.25" customHeight="1">
      <c r="C238" s="71" t="s">
        <v>9005</v>
      </c>
      <c r="D238" s="71" t="s">
        <v>9006</v>
      </c>
    </row>
    <row r="239" ht="14.25" customHeight="1">
      <c r="C239" s="71" t="s">
        <v>275</v>
      </c>
      <c r="D239" s="71" t="s">
        <v>10200</v>
      </c>
    </row>
    <row r="240" ht="14.25" customHeight="1">
      <c r="C240" s="71" t="s">
        <v>10201</v>
      </c>
      <c r="D240" s="71" t="s">
        <v>10202</v>
      </c>
    </row>
    <row r="241" ht="14.25" customHeight="1">
      <c r="B241" s="71" t="s">
        <v>41</v>
      </c>
      <c r="C241" s="71" t="s">
        <v>10203</v>
      </c>
      <c r="D241" s="71" t="s">
        <v>10204</v>
      </c>
    </row>
    <row r="242" ht="14.25" customHeight="1">
      <c r="C242" s="71" t="s">
        <v>8969</v>
      </c>
      <c r="D242" s="71" t="s">
        <v>9256</v>
      </c>
    </row>
    <row r="243" ht="14.25" customHeight="1">
      <c r="C243" s="71" t="s">
        <v>9938</v>
      </c>
      <c r="D243" s="71" t="s">
        <v>8978</v>
      </c>
    </row>
    <row r="244" ht="14.25" customHeight="1">
      <c r="C244" s="71" t="s">
        <v>10205</v>
      </c>
      <c r="D244" s="71" t="s">
        <v>9256</v>
      </c>
    </row>
    <row r="245" ht="14.25" customHeight="1">
      <c r="C245" s="71" t="s">
        <v>10206</v>
      </c>
      <c r="D245" s="71" t="s">
        <v>9380</v>
      </c>
    </row>
    <row r="246" ht="14.25" customHeight="1">
      <c r="C246" s="71" t="s">
        <v>10207</v>
      </c>
      <c r="D246" s="71" t="s">
        <v>10208</v>
      </c>
    </row>
    <row r="247" ht="14.25" customHeight="1">
      <c r="C247" s="71" t="s">
        <v>9390</v>
      </c>
      <c r="D247" s="71" t="s">
        <v>8978</v>
      </c>
    </row>
    <row r="248" ht="14.25" customHeight="1">
      <c r="C248" s="71" t="s">
        <v>9277</v>
      </c>
      <c r="D248" s="71" t="s">
        <v>8978</v>
      </c>
    </row>
    <row r="249" ht="14.25" customHeight="1">
      <c r="C249" s="71" t="s">
        <v>218</v>
      </c>
      <c r="D249" s="71" t="s">
        <v>9258</v>
      </c>
    </row>
    <row r="250" ht="14.25" customHeight="1">
      <c r="D250" s="71" t="s">
        <v>8978</v>
      </c>
    </row>
    <row r="251" ht="14.25" customHeight="1">
      <c r="C251" s="71" t="s">
        <v>233</v>
      </c>
      <c r="D251" s="71" t="s">
        <v>9258</v>
      </c>
    </row>
    <row r="252" ht="14.25" customHeight="1">
      <c r="C252" s="71" t="s">
        <v>10209</v>
      </c>
      <c r="D252" s="71" t="s">
        <v>8978</v>
      </c>
    </row>
    <row r="253" ht="14.25" customHeight="1">
      <c r="C253" s="71" t="s">
        <v>9437</v>
      </c>
      <c r="D253" s="71" t="s">
        <v>8978</v>
      </c>
    </row>
    <row r="254" ht="14.25" customHeight="1">
      <c r="C254" s="71" t="s">
        <v>9412</v>
      </c>
      <c r="D254" s="71" t="s">
        <v>9256</v>
      </c>
    </row>
    <row r="255" ht="14.25" customHeight="1">
      <c r="C255" s="71" t="s">
        <v>274</v>
      </c>
      <c r="D255" s="71" t="s">
        <v>8978</v>
      </c>
    </row>
    <row r="256" ht="14.25" customHeight="1">
      <c r="C256" s="71" t="s">
        <v>10210</v>
      </c>
      <c r="D256" s="71" t="s">
        <v>8978</v>
      </c>
    </row>
    <row r="257" ht="14.25" customHeight="1">
      <c r="C257" s="71" t="s">
        <v>9295</v>
      </c>
      <c r="D257" s="71" t="s">
        <v>10211</v>
      </c>
    </row>
    <row r="258" ht="14.25" customHeight="1">
      <c r="B258" s="71" t="s">
        <v>13</v>
      </c>
      <c r="C258" s="71" t="s">
        <v>8969</v>
      </c>
      <c r="D258" s="71" t="s">
        <v>9306</v>
      </c>
    </row>
    <row r="259" ht="14.25" customHeight="1">
      <c r="C259" s="71" t="s">
        <v>10212</v>
      </c>
      <c r="D259" s="71" t="s">
        <v>9258</v>
      </c>
    </row>
    <row r="260" ht="14.25" customHeight="1">
      <c r="C260" s="71" t="s">
        <v>10213</v>
      </c>
      <c r="D260" s="71" t="s">
        <v>9176</v>
      </c>
    </row>
    <row r="261" ht="14.25" customHeight="1">
      <c r="A261" s="71" t="s">
        <v>9443</v>
      </c>
      <c r="B261" s="71" t="s">
        <v>40</v>
      </c>
      <c r="C261" s="71" t="s">
        <v>10214</v>
      </c>
      <c r="D261" s="71" t="s">
        <v>10215</v>
      </c>
    </row>
    <row r="262" ht="14.25" customHeight="1">
      <c r="C262" s="71" t="s">
        <v>10216</v>
      </c>
      <c r="D262" s="71" t="s">
        <v>8978</v>
      </c>
    </row>
    <row r="263" ht="14.25" customHeight="1">
      <c r="A263" s="71" t="s">
        <v>9454</v>
      </c>
      <c r="B263" s="71" t="s">
        <v>41</v>
      </c>
      <c r="C263" s="71" t="s">
        <v>10217</v>
      </c>
      <c r="D263" s="71" t="s">
        <v>8978</v>
      </c>
    </row>
    <row r="264" ht="14.25" customHeight="1">
      <c r="A264" s="71" t="s">
        <v>9457</v>
      </c>
      <c r="B264" s="71" t="s">
        <v>40</v>
      </c>
      <c r="C264" s="71" t="s">
        <v>10218</v>
      </c>
      <c r="D264" s="71" t="s">
        <v>9292</v>
      </c>
    </row>
    <row r="265" ht="14.25" customHeight="1">
      <c r="C265" s="71" t="s">
        <v>10178</v>
      </c>
      <c r="D265" s="71" t="s">
        <v>10219</v>
      </c>
    </row>
    <row r="266" ht="14.25" customHeight="1">
      <c r="C266" s="71" t="s">
        <v>10220</v>
      </c>
      <c r="D266" s="71" t="s">
        <v>9131</v>
      </c>
    </row>
    <row r="267" ht="14.25" customHeight="1">
      <c r="C267" s="71" t="s">
        <v>10221</v>
      </c>
      <c r="D267" s="71" t="s">
        <v>10222</v>
      </c>
    </row>
    <row r="268" ht="14.25" customHeight="1">
      <c r="C268" s="71" t="s">
        <v>9313</v>
      </c>
      <c r="D268" s="71" t="s">
        <v>10223</v>
      </c>
    </row>
    <row r="269" ht="14.25" customHeight="1">
      <c r="C269" s="71" t="s">
        <v>5902</v>
      </c>
      <c r="D269" s="71" t="s">
        <v>9131</v>
      </c>
    </row>
    <row r="270" ht="14.25" customHeight="1">
      <c r="C270" s="71" t="s">
        <v>81</v>
      </c>
      <c r="D270" s="71" t="s">
        <v>10224</v>
      </c>
    </row>
    <row r="271" ht="14.25" customHeight="1">
      <c r="C271" s="71" t="s">
        <v>2700</v>
      </c>
      <c r="D271" s="71" t="s">
        <v>9265</v>
      </c>
    </row>
    <row r="272" ht="14.25" customHeight="1">
      <c r="C272" s="71" t="s">
        <v>10225</v>
      </c>
      <c r="D272" s="71" t="s">
        <v>9265</v>
      </c>
    </row>
    <row r="273" ht="14.25" customHeight="1">
      <c r="C273" s="71" t="s">
        <v>10226</v>
      </c>
      <c r="D273" s="71" t="s">
        <v>10227</v>
      </c>
    </row>
    <row r="274" ht="14.25" customHeight="1">
      <c r="C274" s="71" t="s">
        <v>10123</v>
      </c>
      <c r="D274" s="71" t="s">
        <v>10224</v>
      </c>
    </row>
    <row r="275" ht="14.25" customHeight="1">
      <c r="D275" s="71" t="s">
        <v>9474</v>
      </c>
    </row>
    <row r="276" ht="14.25" customHeight="1">
      <c r="C276" s="71" t="s">
        <v>10228</v>
      </c>
      <c r="D276" s="71" t="s">
        <v>10229</v>
      </c>
    </row>
    <row r="277" ht="14.25" customHeight="1">
      <c r="C277" s="71" t="s">
        <v>300</v>
      </c>
      <c r="D277" s="71" t="s">
        <v>9109</v>
      </c>
    </row>
    <row r="278" ht="14.25" customHeight="1">
      <c r="C278" s="71" t="s">
        <v>10230</v>
      </c>
      <c r="D278" s="71" t="s">
        <v>10224</v>
      </c>
    </row>
    <row r="279" ht="14.25" customHeight="1">
      <c r="C279" s="71" t="s">
        <v>10231</v>
      </c>
      <c r="D279" s="71" t="s">
        <v>10232</v>
      </c>
    </row>
    <row r="280" ht="14.25" customHeight="1">
      <c r="C280" s="71" t="s">
        <v>10233</v>
      </c>
      <c r="D280" s="71" t="s">
        <v>10224</v>
      </c>
    </row>
    <row r="281" ht="14.25" customHeight="1">
      <c r="C281" s="71" t="s">
        <v>141</v>
      </c>
      <c r="D281" s="71" t="s">
        <v>9151</v>
      </c>
    </row>
    <row r="282" ht="14.25" customHeight="1">
      <c r="C282" s="71" t="s">
        <v>9272</v>
      </c>
      <c r="D282" s="71" t="s">
        <v>9867</v>
      </c>
    </row>
    <row r="283" ht="14.25" customHeight="1">
      <c r="C283" s="71" t="s">
        <v>3313</v>
      </c>
      <c r="D283" s="71" t="s">
        <v>10224</v>
      </c>
    </row>
    <row r="284" ht="14.25" customHeight="1">
      <c r="C284" s="71" t="s">
        <v>10234</v>
      </c>
      <c r="D284" s="71" t="s">
        <v>10224</v>
      </c>
    </row>
    <row r="285" ht="14.25" customHeight="1">
      <c r="C285" s="71" t="s">
        <v>10235</v>
      </c>
      <c r="D285" s="71" t="s">
        <v>9265</v>
      </c>
    </row>
    <row r="286" ht="14.25" customHeight="1">
      <c r="C286" s="71" t="s">
        <v>9201</v>
      </c>
      <c r="D286" s="71" t="s">
        <v>9265</v>
      </c>
    </row>
    <row r="287" ht="14.25" customHeight="1">
      <c r="C287" s="71" t="s">
        <v>10236</v>
      </c>
      <c r="D287" s="71" t="s">
        <v>10237</v>
      </c>
    </row>
    <row r="288" ht="14.25" customHeight="1">
      <c r="C288" s="71" t="s">
        <v>3566</v>
      </c>
      <c r="D288" s="71" t="s">
        <v>9369</v>
      </c>
    </row>
    <row r="289" ht="14.25" customHeight="1">
      <c r="C289" s="71" t="s">
        <v>9088</v>
      </c>
      <c r="D289" s="71" t="s">
        <v>10238</v>
      </c>
    </row>
    <row r="290" ht="14.25" customHeight="1">
      <c r="C290" s="71" t="s">
        <v>6662</v>
      </c>
      <c r="D290" s="71" t="s">
        <v>10239</v>
      </c>
    </row>
    <row r="291" ht="14.25" customHeight="1">
      <c r="C291" s="71" t="s">
        <v>10240</v>
      </c>
      <c r="D291" s="71" t="s">
        <v>9726</v>
      </c>
    </row>
    <row r="292" ht="14.25" customHeight="1">
      <c r="C292" s="71" t="s">
        <v>200</v>
      </c>
      <c r="D292" s="71" t="s">
        <v>10224</v>
      </c>
    </row>
    <row r="293" ht="14.25" customHeight="1">
      <c r="C293" s="71" t="s">
        <v>10241</v>
      </c>
      <c r="D293" s="71" t="s">
        <v>10224</v>
      </c>
    </row>
    <row r="294" ht="14.25" customHeight="1">
      <c r="C294" s="71" t="s">
        <v>10242</v>
      </c>
      <c r="D294" s="71" t="s">
        <v>9508</v>
      </c>
    </row>
    <row r="295" ht="14.25" customHeight="1">
      <c r="C295" s="71" t="s">
        <v>9562</v>
      </c>
      <c r="D295" s="71" t="s">
        <v>9109</v>
      </c>
    </row>
    <row r="296" ht="14.25" customHeight="1">
      <c r="D296" s="71" t="s">
        <v>10243</v>
      </c>
    </row>
    <row r="297" ht="14.25" customHeight="1">
      <c r="C297" s="71" t="s">
        <v>10244</v>
      </c>
      <c r="D297" s="71" t="s">
        <v>10245</v>
      </c>
    </row>
    <row r="298" ht="14.25" customHeight="1">
      <c r="C298" s="71" t="s">
        <v>10246</v>
      </c>
      <c r="D298" s="71" t="s">
        <v>9131</v>
      </c>
    </row>
    <row r="299" ht="14.25" customHeight="1">
      <c r="C299" s="71" t="s">
        <v>10247</v>
      </c>
      <c r="D299" s="71" t="s">
        <v>10124</v>
      </c>
    </row>
    <row r="300" ht="14.25" customHeight="1">
      <c r="C300" s="71" t="s">
        <v>10248</v>
      </c>
      <c r="D300" s="71" t="s">
        <v>9265</v>
      </c>
    </row>
    <row r="301" ht="14.25" customHeight="1">
      <c r="C301" s="71" t="s">
        <v>10249</v>
      </c>
      <c r="D301" s="71" t="s">
        <v>10186</v>
      </c>
    </row>
    <row r="302" ht="14.25" customHeight="1">
      <c r="C302" s="71" t="s">
        <v>232</v>
      </c>
      <c r="D302" s="71" t="s">
        <v>10124</v>
      </c>
    </row>
    <row r="303" ht="14.25" customHeight="1">
      <c r="D303" s="71" t="s">
        <v>9875</v>
      </c>
    </row>
    <row r="304" ht="14.25" customHeight="1">
      <c r="C304" s="71" t="s">
        <v>4035</v>
      </c>
      <c r="D304" s="71" t="s">
        <v>10124</v>
      </c>
    </row>
    <row r="305" ht="14.25" customHeight="1">
      <c r="D305" s="71" t="s">
        <v>10250</v>
      </c>
    </row>
    <row r="306" ht="14.25" customHeight="1">
      <c r="C306" s="71" t="s">
        <v>10251</v>
      </c>
      <c r="D306" s="71" t="s">
        <v>9265</v>
      </c>
    </row>
    <row r="307" ht="14.25" customHeight="1">
      <c r="C307" s="71" t="s">
        <v>10252</v>
      </c>
      <c r="D307" s="71" t="s">
        <v>9265</v>
      </c>
    </row>
    <row r="308" ht="14.25" customHeight="1">
      <c r="C308" s="71" t="s">
        <v>4109</v>
      </c>
      <c r="D308" s="71" t="s">
        <v>10253</v>
      </c>
    </row>
    <row r="309" ht="14.25" customHeight="1">
      <c r="C309" s="71" t="s">
        <v>10254</v>
      </c>
      <c r="D309" s="71" t="s">
        <v>10255</v>
      </c>
    </row>
    <row r="310" ht="14.25" customHeight="1">
      <c r="C310" s="71" t="s">
        <v>255</v>
      </c>
      <c r="D310" s="71" t="s">
        <v>9144</v>
      </c>
    </row>
    <row r="311" ht="14.25" customHeight="1">
      <c r="C311" s="71" t="s">
        <v>10256</v>
      </c>
      <c r="D311" s="71" t="s">
        <v>10257</v>
      </c>
    </row>
    <row r="312" ht="14.25" customHeight="1">
      <c r="C312" s="71" t="s">
        <v>10163</v>
      </c>
      <c r="D312" s="71" t="s">
        <v>9249</v>
      </c>
    </row>
    <row r="313" ht="14.25" customHeight="1">
      <c r="C313" s="71" t="s">
        <v>9160</v>
      </c>
      <c r="D313" s="71" t="s">
        <v>9034</v>
      </c>
    </row>
    <row r="314" ht="14.25" customHeight="1">
      <c r="D314" s="71" t="s">
        <v>9291</v>
      </c>
    </row>
    <row r="315" ht="14.25" customHeight="1">
      <c r="D315" s="71" t="s">
        <v>9292</v>
      </c>
    </row>
    <row r="316" ht="14.25" customHeight="1">
      <c r="C316" s="71" t="s">
        <v>10109</v>
      </c>
      <c r="D316" s="71" t="s">
        <v>9265</v>
      </c>
    </row>
    <row r="317" ht="14.25" customHeight="1">
      <c r="C317" s="71" t="s">
        <v>10258</v>
      </c>
      <c r="D317" s="71" t="s">
        <v>10259</v>
      </c>
    </row>
    <row r="318" ht="14.25" customHeight="1">
      <c r="C318" s="71" t="s">
        <v>10260</v>
      </c>
      <c r="D318" s="71" t="s">
        <v>10261</v>
      </c>
    </row>
    <row r="319" ht="14.25" customHeight="1">
      <c r="C319" s="71" t="s">
        <v>9005</v>
      </c>
      <c r="D319" s="71" t="s">
        <v>9006</v>
      </c>
    </row>
    <row r="320" ht="14.25" customHeight="1">
      <c r="C320" s="71" t="s">
        <v>10262</v>
      </c>
      <c r="D320" s="71" t="s">
        <v>10263</v>
      </c>
    </row>
    <row r="321" ht="14.25" customHeight="1">
      <c r="C321" s="71" t="s">
        <v>10264</v>
      </c>
      <c r="D321" s="71" t="s">
        <v>9643</v>
      </c>
    </row>
    <row r="322" ht="14.25" customHeight="1">
      <c r="B322" s="71" t="s">
        <v>41</v>
      </c>
      <c r="C322" s="71" t="s">
        <v>8969</v>
      </c>
      <c r="D322" s="71" t="s">
        <v>10265</v>
      </c>
    </row>
    <row r="323" ht="14.25" customHeight="1">
      <c r="C323" s="71" t="s">
        <v>10266</v>
      </c>
      <c r="D323" s="71" t="s">
        <v>9485</v>
      </c>
    </row>
    <row r="324" ht="14.25" customHeight="1">
      <c r="C324" s="71" t="s">
        <v>81</v>
      </c>
      <c r="D324" s="71" t="s">
        <v>10124</v>
      </c>
    </row>
    <row r="325" ht="14.25" customHeight="1">
      <c r="C325" s="71" t="s">
        <v>1889</v>
      </c>
      <c r="D325" s="71" t="s">
        <v>9542</v>
      </c>
    </row>
    <row r="326" ht="14.25" customHeight="1">
      <c r="C326" s="71" t="s">
        <v>10267</v>
      </c>
      <c r="D326" s="71" t="s">
        <v>9534</v>
      </c>
    </row>
    <row r="327" ht="14.25" customHeight="1">
      <c r="C327" s="71" t="s">
        <v>10268</v>
      </c>
      <c r="D327" s="71" t="s">
        <v>9265</v>
      </c>
    </row>
    <row r="328" ht="14.25" customHeight="1">
      <c r="C328" s="71" t="s">
        <v>3922</v>
      </c>
      <c r="D328" s="71" t="s">
        <v>9545</v>
      </c>
    </row>
    <row r="329" ht="14.25" customHeight="1">
      <c r="C329" s="71" t="s">
        <v>4131</v>
      </c>
      <c r="D329" s="71" t="s">
        <v>9265</v>
      </c>
    </row>
    <row r="330" ht="14.25" customHeight="1">
      <c r="C330" s="71" t="s">
        <v>253</v>
      </c>
      <c r="D330" s="71" t="s">
        <v>10269</v>
      </c>
    </row>
    <row r="331" ht="14.25" customHeight="1">
      <c r="C331" s="71" t="s">
        <v>9160</v>
      </c>
      <c r="D331" s="71" t="s">
        <v>9545</v>
      </c>
    </row>
    <row r="332" ht="14.25" customHeight="1">
      <c r="D332" s="71" t="s">
        <v>10270</v>
      </c>
    </row>
    <row r="333" ht="14.25" customHeight="1">
      <c r="C333" s="71" t="s">
        <v>4354</v>
      </c>
      <c r="D333" s="71" t="s">
        <v>9525</v>
      </c>
    </row>
    <row r="334" ht="14.25" customHeight="1">
      <c r="C334" s="71" t="s">
        <v>7338</v>
      </c>
      <c r="D334" s="71" t="s">
        <v>9265</v>
      </c>
    </row>
    <row r="335" ht="14.25" customHeight="1">
      <c r="B335" s="71" t="s">
        <v>13</v>
      </c>
      <c r="C335" s="71" t="s">
        <v>9320</v>
      </c>
      <c r="D335" s="71" t="s">
        <v>9131</v>
      </c>
    </row>
    <row r="336" ht="14.25" customHeight="1">
      <c r="C336" s="71" t="s">
        <v>9090</v>
      </c>
      <c r="D336" s="71" t="s">
        <v>9176</v>
      </c>
    </row>
    <row r="337" ht="14.25" customHeight="1">
      <c r="A337" s="71" t="s">
        <v>9551</v>
      </c>
      <c r="B337" s="71" t="s">
        <v>40</v>
      </c>
      <c r="C337" s="71" t="s">
        <v>10271</v>
      </c>
      <c r="D337" s="71" t="s">
        <v>10272</v>
      </c>
    </row>
    <row r="338" ht="14.25" customHeight="1">
      <c r="C338" s="71" t="s">
        <v>10273</v>
      </c>
      <c r="D338" s="71" t="s">
        <v>10274</v>
      </c>
    </row>
    <row r="339" ht="14.25" customHeight="1">
      <c r="C339" s="71" t="s">
        <v>10275</v>
      </c>
      <c r="D339" s="71" t="s">
        <v>9266</v>
      </c>
    </row>
    <row r="340" ht="14.25" customHeight="1">
      <c r="C340" s="71" t="s">
        <v>10276</v>
      </c>
      <c r="D340" s="71" t="s">
        <v>10277</v>
      </c>
    </row>
    <row r="341" ht="14.25" customHeight="1">
      <c r="C341" s="71" t="s">
        <v>10278</v>
      </c>
      <c r="D341" s="71" t="s">
        <v>9034</v>
      </c>
    </row>
    <row r="342" ht="14.25" customHeight="1">
      <c r="C342" s="71" t="s">
        <v>10279</v>
      </c>
      <c r="D342" s="71" t="s">
        <v>9073</v>
      </c>
    </row>
    <row r="343" ht="14.25" customHeight="1">
      <c r="C343" s="71" t="s">
        <v>255</v>
      </c>
      <c r="D343" s="71" t="s">
        <v>9034</v>
      </c>
    </row>
    <row r="344" ht="14.25" customHeight="1">
      <c r="C344" s="71" t="s">
        <v>9453</v>
      </c>
      <c r="D344" s="71" t="s">
        <v>9341</v>
      </c>
    </row>
    <row r="345" ht="14.25" customHeight="1">
      <c r="C345" s="71" t="s">
        <v>9160</v>
      </c>
      <c r="D345" s="71" t="s">
        <v>9525</v>
      </c>
    </row>
    <row r="346" ht="14.25" customHeight="1">
      <c r="D346" s="71" t="s">
        <v>9118</v>
      </c>
    </row>
    <row r="347" ht="14.25" customHeight="1">
      <c r="C347" s="71" t="s">
        <v>9007</v>
      </c>
      <c r="D347" s="71" t="s">
        <v>10280</v>
      </c>
    </row>
    <row r="348" ht="14.25" customHeight="1">
      <c r="A348" s="71" t="s">
        <v>579</v>
      </c>
      <c r="B348" s="71" t="s">
        <v>41</v>
      </c>
      <c r="C348" s="71" t="s">
        <v>10281</v>
      </c>
      <c r="D348" s="71" t="s">
        <v>10282</v>
      </c>
    </row>
    <row r="349" ht="14.25" customHeight="1">
      <c r="C349" s="71" t="s">
        <v>10283</v>
      </c>
      <c r="D349" s="71" t="s">
        <v>10284</v>
      </c>
    </row>
    <row r="350" ht="14.25" customHeight="1">
      <c r="C350" s="71" t="s">
        <v>10285</v>
      </c>
      <c r="D350" s="71" t="s">
        <v>10286</v>
      </c>
    </row>
    <row r="351" ht="14.25" customHeight="1">
      <c r="A351" s="71" t="s">
        <v>361</v>
      </c>
      <c r="B351" s="71" t="s">
        <v>41</v>
      </c>
      <c r="C351" s="71" t="s">
        <v>10287</v>
      </c>
      <c r="D351" s="71" t="s">
        <v>8994</v>
      </c>
    </row>
    <row r="352" ht="14.25" customHeight="1">
      <c r="C352" s="71" t="s">
        <v>10288</v>
      </c>
      <c r="D352" s="71" t="s">
        <v>10289</v>
      </c>
    </row>
    <row r="353" ht="14.25" customHeight="1">
      <c r="C353" s="71" t="s">
        <v>10290</v>
      </c>
      <c r="D353" s="71" t="s">
        <v>9151</v>
      </c>
    </row>
    <row r="354" ht="14.25" customHeight="1">
      <c r="D354" s="71" t="s">
        <v>10291</v>
      </c>
    </row>
    <row r="355" ht="14.25" customHeight="1">
      <c r="C355" s="71" t="s">
        <v>9090</v>
      </c>
      <c r="D355" s="71" t="s">
        <v>10292</v>
      </c>
    </row>
    <row r="356" ht="14.25" customHeight="1">
      <c r="A356" s="71" t="s">
        <v>9570</v>
      </c>
      <c r="B356" s="71" t="s">
        <v>41</v>
      </c>
      <c r="C356" s="71" t="s">
        <v>10293</v>
      </c>
      <c r="D356" s="71" t="s">
        <v>9445</v>
      </c>
    </row>
    <row r="357" ht="14.25" customHeight="1">
      <c r="C357" s="71" t="s">
        <v>8974</v>
      </c>
      <c r="D357" s="71" t="s">
        <v>9445</v>
      </c>
    </row>
    <row r="358" ht="14.25" customHeight="1">
      <c r="C358" s="71" t="s">
        <v>10294</v>
      </c>
      <c r="D358" s="71" t="s">
        <v>10295</v>
      </c>
    </row>
    <row r="359" ht="14.25" customHeight="1">
      <c r="C359" s="71" t="s">
        <v>10182</v>
      </c>
      <c r="D359" s="71" t="s">
        <v>10124</v>
      </c>
    </row>
    <row r="360" ht="14.25" customHeight="1">
      <c r="A360" s="71" t="s">
        <v>9580</v>
      </c>
      <c r="B360" s="71" t="s">
        <v>41</v>
      </c>
      <c r="C360" s="71" t="s">
        <v>10296</v>
      </c>
      <c r="D360" s="71" t="s">
        <v>10297</v>
      </c>
    </row>
    <row r="361" ht="14.25" customHeight="1">
      <c r="C361" s="71" t="s">
        <v>3581</v>
      </c>
      <c r="D361" s="71" t="s">
        <v>10298</v>
      </c>
    </row>
    <row r="362" ht="14.25" customHeight="1">
      <c r="C362" s="71" t="s">
        <v>10299</v>
      </c>
      <c r="D362" s="71" t="s">
        <v>10300</v>
      </c>
    </row>
    <row r="363" ht="14.25" customHeight="1">
      <c r="A363" s="71" t="s">
        <v>9585</v>
      </c>
      <c r="B363" s="71" t="s">
        <v>40</v>
      </c>
      <c r="C363" s="71" t="s">
        <v>9133</v>
      </c>
      <c r="D363" s="71" t="s">
        <v>9055</v>
      </c>
    </row>
    <row r="364" ht="14.25" customHeight="1">
      <c r="C364" s="71" t="s">
        <v>9192</v>
      </c>
      <c r="D364" s="71" t="s">
        <v>9180</v>
      </c>
    </row>
    <row r="365" ht="14.25" customHeight="1">
      <c r="C365" s="71" t="s">
        <v>9005</v>
      </c>
      <c r="D365" s="71" t="s">
        <v>9034</v>
      </c>
    </row>
    <row r="366" ht="14.25" customHeight="1">
      <c r="A366" s="71" t="s">
        <v>9596</v>
      </c>
      <c r="B366" s="71" t="s">
        <v>40</v>
      </c>
      <c r="C366" s="71" t="s">
        <v>10301</v>
      </c>
      <c r="D366" s="71" t="s">
        <v>10302</v>
      </c>
    </row>
    <row r="367" ht="14.25" customHeight="1">
      <c r="C367" s="71" t="s">
        <v>10303</v>
      </c>
      <c r="D367" s="71" t="s">
        <v>10304</v>
      </c>
    </row>
    <row r="368" ht="14.25" customHeight="1">
      <c r="C368" s="71" t="s">
        <v>10305</v>
      </c>
      <c r="D368" s="71" t="s">
        <v>9034</v>
      </c>
    </row>
    <row r="369" ht="14.25" customHeight="1">
      <c r="C369" s="71" t="s">
        <v>8969</v>
      </c>
      <c r="D369" s="71" t="s">
        <v>10306</v>
      </c>
    </row>
    <row r="370" ht="14.25" customHeight="1">
      <c r="C370" s="71" t="s">
        <v>10307</v>
      </c>
      <c r="D370" s="71" t="s">
        <v>10308</v>
      </c>
    </row>
    <row r="371" ht="14.25" customHeight="1">
      <c r="C371" s="71" t="s">
        <v>9608</v>
      </c>
      <c r="D371" s="71" t="s">
        <v>9020</v>
      </c>
    </row>
    <row r="372" ht="14.25" customHeight="1">
      <c r="C372" s="71" t="s">
        <v>10309</v>
      </c>
      <c r="D372" s="71" t="s">
        <v>9216</v>
      </c>
    </row>
    <row r="373" ht="14.25" customHeight="1">
      <c r="C373" s="71" t="s">
        <v>9615</v>
      </c>
      <c r="D373" s="71" t="s">
        <v>9616</v>
      </c>
    </row>
    <row r="374" ht="14.25" customHeight="1">
      <c r="C374" s="71" t="s">
        <v>10310</v>
      </c>
      <c r="D374" s="71" t="s">
        <v>10304</v>
      </c>
    </row>
    <row r="375" ht="14.25" customHeight="1">
      <c r="C375" s="71" t="s">
        <v>10311</v>
      </c>
      <c r="D375" s="71" t="s">
        <v>9236</v>
      </c>
    </row>
    <row r="376" ht="14.25" customHeight="1">
      <c r="C376" s="71" t="s">
        <v>10312</v>
      </c>
      <c r="D376" s="71" t="s">
        <v>10313</v>
      </c>
    </row>
    <row r="377" ht="14.25" customHeight="1">
      <c r="C377" s="71" t="s">
        <v>10314</v>
      </c>
      <c r="D377" s="71" t="s">
        <v>10315</v>
      </c>
    </row>
    <row r="378" ht="14.25" customHeight="1">
      <c r="C378" s="71" t="s">
        <v>9113</v>
      </c>
      <c r="D378" s="71" t="s">
        <v>9746</v>
      </c>
    </row>
    <row r="379" ht="14.25" customHeight="1">
      <c r="C379" s="71" t="s">
        <v>9622</v>
      </c>
      <c r="D379" s="71" t="s">
        <v>9034</v>
      </c>
    </row>
    <row r="380" ht="14.25" customHeight="1">
      <c r="D380" s="71" t="s">
        <v>9639</v>
      </c>
    </row>
    <row r="381" ht="14.25" customHeight="1">
      <c r="D381" s="71" t="s">
        <v>9616</v>
      </c>
    </row>
    <row r="382" ht="14.25" customHeight="1">
      <c r="C382" s="71" t="s">
        <v>10173</v>
      </c>
      <c r="D382" s="71" t="s">
        <v>10316</v>
      </c>
    </row>
    <row r="383" ht="14.25" customHeight="1">
      <c r="D383" s="71" t="s">
        <v>9602</v>
      </c>
    </row>
    <row r="384" ht="14.25" customHeight="1">
      <c r="D384" s="71" t="s">
        <v>10317</v>
      </c>
    </row>
    <row r="385" ht="14.25" customHeight="1">
      <c r="C385" s="71" t="s">
        <v>10318</v>
      </c>
      <c r="D385" s="71" t="s">
        <v>10319</v>
      </c>
    </row>
    <row r="386" ht="14.25" customHeight="1">
      <c r="C386" s="71" t="s">
        <v>9630</v>
      </c>
      <c r="D386" s="71" t="s">
        <v>10026</v>
      </c>
    </row>
    <row r="387" ht="14.25" customHeight="1">
      <c r="C387" s="71" t="s">
        <v>10320</v>
      </c>
      <c r="D387" s="71" t="s">
        <v>10321</v>
      </c>
    </row>
    <row r="388" ht="14.25" customHeight="1">
      <c r="C388" s="71" t="s">
        <v>9635</v>
      </c>
      <c r="D388" s="71" t="s">
        <v>9636</v>
      </c>
    </row>
    <row r="389" ht="14.25" customHeight="1">
      <c r="C389" s="71" t="s">
        <v>9268</v>
      </c>
      <c r="D389" s="71" t="s">
        <v>10322</v>
      </c>
    </row>
    <row r="390" ht="14.25" customHeight="1">
      <c r="C390" s="71" t="s">
        <v>9638</v>
      </c>
      <c r="D390" s="71" t="s">
        <v>9616</v>
      </c>
    </row>
    <row r="391" ht="14.25" customHeight="1">
      <c r="C391" s="71" t="s">
        <v>10323</v>
      </c>
      <c r="D391" s="71" t="s">
        <v>9034</v>
      </c>
    </row>
    <row r="392" ht="14.25" customHeight="1">
      <c r="C392" s="71" t="s">
        <v>9865</v>
      </c>
      <c r="D392" s="71" t="s">
        <v>10321</v>
      </c>
    </row>
    <row r="393" ht="14.25" customHeight="1">
      <c r="C393" s="71" t="s">
        <v>10324</v>
      </c>
      <c r="D393" s="71" t="s">
        <v>10325</v>
      </c>
    </row>
    <row r="394" ht="14.25" customHeight="1">
      <c r="C394" s="71" t="s">
        <v>10326</v>
      </c>
      <c r="D394" s="71" t="s">
        <v>9034</v>
      </c>
    </row>
    <row r="395" ht="14.25" customHeight="1">
      <c r="C395" s="71" t="s">
        <v>10327</v>
      </c>
      <c r="D395" s="71" t="s">
        <v>10328</v>
      </c>
    </row>
    <row r="396" ht="14.25" customHeight="1">
      <c r="C396" s="71" t="s">
        <v>10329</v>
      </c>
      <c r="D396" s="71" t="s">
        <v>10330</v>
      </c>
    </row>
    <row r="397" ht="14.25" customHeight="1">
      <c r="C397" s="71" t="s">
        <v>9648</v>
      </c>
      <c r="D397" s="71" t="s">
        <v>10331</v>
      </c>
    </row>
    <row r="398" ht="14.25" customHeight="1">
      <c r="C398" s="71" t="s">
        <v>10332</v>
      </c>
      <c r="D398" s="71" t="s">
        <v>9128</v>
      </c>
    </row>
    <row r="399" ht="14.25" customHeight="1">
      <c r="C399" s="71" t="s">
        <v>10333</v>
      </c>
      <c r="D399" s="71" t="s">
        <v>9034</v>
      </c>
    </row>
    <row r="400" ht="14.25" customHeight="1">
      <c r="C400" s="71" t="s">
        <v>9658</v>
      </c>
      <c r="D400" s="71" t="s">
        <v>9649</v>
      </c>
    </row>
    <row r="401" ht="14.25" customHeight="1">
      <c r="C401" s="71" t="s">
        <v>10334</v>
      </c>
      <c r="D401" s="71" t="s">
        <v>9030</v>
      </c>
    </row>
    <row r="402" ht="14.25" customHeight="1">
      <c r="C402" s="71" t="s">
        <v>10335</v>
      </c>
      <c r="D402" s="71" t="s">
        <v>10336</v>
      </c>
    </row>
    <row r="403" ht="14.25" customHeight="1">
      <c r="C403" s="71" t="s">
        <v>3566</v>
      </c>
      <c r="D403" s="71" t="s">
        <v>10337</v>
      </c>
    </row>
    <row r="404" ht="14.25" customHeight="1">
      <c r="D404" s="71" t="s">
        <v>10338</v>
      </c>
    </row>
    <row r="405" ht="14.25" customHeight="1">
      <c r="C405" s="71" t="s">
        <v>10339</v>
      </c>
      <c r="D405" s="71" t="s">
        <v>9034</v>
      </c>
    </row>
    <row r="406" ht="14.25" customHeight="1">
      <c r="C406" s="71" t="s">
        <v>10340</v>
      </c>
      <c r="D406" s="71" t="s">
        <v>9636</v>
      </c>
    </row>
    <row r="407" ht="14.25" customHeight="1">
      <c r="C407" s="71" t="s">
        <v>9282</v>
      </c>
      <c r="D407" s="71" t="s">
        <v>10341</v>
      </c>
    </row>
    <row r="408" ht="14.25" customHeight="1">
      <c r="C408" s="71" t="s">
        <v>3810</v>
      </c>
      <c r="D408" s="71" t="s">
        <v>10342</v>
      </c>
    </row>
    <row r="409" ht="14.25" customHeight="1">
      <c r="C409" s="71" t="s">
        <v>220</v>
      </c>
      <c r="D409" s="71" t="s">
        <v>9236</v>
      </c>
    </row>
    <row r="410" ht="14.25" customHeight="1">
      <c r="D410" s="71" t="s">
        <v>9746</v>
      </c>
    </row>
    <row r="411" ht="14.25" customHeight="1">
      <c r="C411" s="71" t="s">
        <v>10343</v>
      </c>
      <c r="D411" s="71" t="s">
        <v>10344</v>
      </c>
    </row>
    <row r="412" ht="14.25" customHeight="1">
      <c r="C412" s="71" t="s">
        <v>10345</v>
      </c>
      <c r="D412" s="71" t="s">
        <v>9034</v>
      </c>
    </row>
    <row r="413" ht="14.25" customHeight="1">
      <c r="D413" s="71" t="s">
        <v>9705</v>
      </c>
    </row>
    <row r="414" ht="14.25" customHeight="1">
      <c r="C414" s="71" t="s">
        <v>10346</v>
      </c>
      <c r="D414" s="71" t="s">
        <v>9922</v>
      </c>
    </row>
    <row r="415" ht="14.25" customHeight="1">
      <c r="C415" s="71" t="s">
        <v>9693</v>
      </c>
      <c r="D415" s="71" t="s">
        <v>9694</v>
      </c>
    </row>
    <row r="416" ht="14.25" customHeight="1">
      <c r="C416" s="71" t="s">
        <v>10347</v>
      </c>
      <c r="D416" s="71" t="s">
        <v>10348</v>
      </c>
    </row>
    <row r="417" ht="14.25" customHeight="1">
      <c r="C417" s="71" t="s">
        <v>10349</v>
      </c>
      <c r="D417" s="71" t="s">
        <v>10350</v>
      </c>
    </row>
    <row r="418" ht="14.25" customHeight="1">
      <c r="C418" s="71" t="s">
        <v>9698</v>
      </c>
      <c r="D418" s="71" t="s">
        <v>9645</v>
      </c>
    </row>
    <row r="419" ht="14.25" customHeight="1">
      <c r="D419" s="71" t="s">
        <v>9639</v>
      </c>
    </row>
    <row r="420" ht="14.25" customHeight="1">
      <c r="D420" s="71" t="s">
        <v>10351</v>
      </c>
    </row>
    <row r="421" ht="14.25" customHeight="1">
      <c r="D421" s="71" t="s">
        <v>9623</v>
      </c>
    </row>
    <row r="422" ht="14.25" customHeight="1">
      <c r="C422" s="71" t="s">
        <v>10352</v>
      </c>
      <c r="D422" s="71" t="s">
        <v>9614</v>
      </c>
    </row>
    <row r="423" ht="14.25" customHeight="1">
      <c r="C423" s="71" t="s">
        <v>10353</v>
      </c>
      <c r="D423" s="71" t="s">
        <v>9659</v>
      </c>
    </row>
    <row r="424" ht="14.25" customHeight="1">
      <c r="C424" s="71" t="s">
        <v>10354</v>
      </c>
      <c r="D424" s="71" t="s">
        <v>10355</v>
      </c>
    </row>
    <row r="425" ht="14.25" customHeight="1">
      <c r="C425" s="71" t="s">
        <v>10356</v>
      </c>
      <c r="D425" s="71" t="s">
        <v>10357</v>
      </c>
    </row>
    <row r="426" ht="14.25" customHeight="1">
      <c r="C426" s="71" t="s">
        <v>10358</v>
      </c>
      <c r="D426" s="71" t="s">
        <v>10359</v>
      </c>
    </row>
    <row r="427" ht="14.25" customHeight="1">
      <c r="C427" s="71" t="s">
        <v>256</v>
      </c>
      <c r="D427" s="71" t="s">
        <v>10360</v>
      </c>
    </row>
    <row r="428" ht="14.25" customHeight="1">
      <c r="C428" s="71" t="s">
        <v>9703</v>
      </c>
      <c r="D428" s="71" t="s">
        <v>9055</v>
      </c>
    </row>
    <row r="429" ht="14.25" customHeight="1">
      <c r="D429" s="71" t="s">
        <v>9216</v>
      </c>
    </row>
    <row r="430" ht="14.25" customHeight="1">
      <c r="C430" s="71" t="s">
        <v>269</v>
      </c>
      <c r="D430" s="71" t="s">
        <v>9705</v>
      </c>
    </row>
    <row r="431" ht="14.25" customHeight="1">
      <c r="D431" s="71" t="s">
        <v>10361</v>
      </c>
    </row>
    <row r="432" ht="14.25" customHeight="1">
      <c r="C432" s="71" t="s">
        <v>10362</v>
      </c>
      <c r="D432" s="71" t="s">
        <v>10363</v>
      </c>
    </row>
    <row r="433" ht="14.25" customHeight="1">
      <c r="C433" s="71" t="s">
        <v>9005</v>
      </c>
      <c r="D433" s="71" t="s">
        <v>10062</v>
      </c>
    </row>
    <row r="434" ht="14.25" customHeight="1">
      <c r="C434" s="71" t="s">
        <v>10364</v>
      </c>
      <c r="D434" s="71" t="s">
        <v>10365</v>
      </c>
    </row>
    <row r="435" ht="14.25" customHeight="1">
      <c r="C435" s="71" t="s">
        <v>10366</v>
      </c>
      <c r="D435" s="71" t="s">
        <v>9305</v>
      </c>
    </row>
    <row r="436" ht="14.25" customHeight="1">
      <c r="C436" s="71" t="s">
        <v>10367</v>
      </c>
      <c r="D436" s="71" t="s">
        <v>10368</v>
      </c>
    </row>
    <row r="437" ht="14.25" customHeight="1">
      <c r="A437" s="71" t="s">
        <v>9728</v>
      </c>
      <c r="B437" s="71" t="s">
        <v>40</v>
      </c>
      <c r="C437" s="71" t="s">
        <v>9034</v>
      </c>
      <c r="D437" s="71" t="s">
        <v>9028</v>
      </c>
    </row>
    <row r="438" ht="14.25" customHeight="1">
      <c r="C438" s="71" t="s">
        <v>10301</v>
      </c>
      <c r="D438" s="71" t="s">
        <v>10369</v>
      </c>
    </row>
    <row r="439" ht="14.25" customHeight="1">
      <c r="C439" s="71" t="s">
        <v>77</v>
      </c>
      <c r="D439" s="71" t="s">
        <v>9141</v>
      </c>
    </row>
    <row r="440" ht="14.25" customHeight="1">
      <c r="C440" s="71" t="s">
        <v>10370</v>
      </c>
      <c r="D440" s="71" t="s">
        <v>10371</v>
      </c>
    </row>
    <row r="441" ht="14.25" customHeight="1">
      <c r="C441" s="71" t="s">
        <v>10372</v>
      </c>
      <c r="D441" s="71" t="s">
        <v>10373</v>
      </c>
    </row>
    <row r="442" ht="14.25" customHeight="1">
      <c r="C442" s="71" t="s">
        <v>10374</v>
      </c>
      <c r="D442" s="71" t="s">
        <v>10375</v>
      </c>
    </row>
    <row r="443" ht="14.25" customHeight="1">
      <c r="C443" s="71" t="s">
        <v>10376</v>
      </c>
      <c r="D443" s="71" t="s">
        <v>10377</v>
      </c>
    </row>
    <row r="444" ht="14.25" customHeight="1">
      <c r="C444" s="71" t="s">
        <v>10378</v>
      </c>
      <c r="D444" s="71" t="s">
        <v>10379</v>
      </c>
    </row>
    <row r="445" ht="14.25" customHeight="1">
      <c r="C445" s="71" t="s">
        <v>10380</v>
      </c>
      <c r="D445" s="71" t="s">
        <v>9645</v>
      </c>
    </row>
    <row r="446" ht="14.25" customHeight="1">
      <c r="C446" s="71" t="s">
        <v>10381</v>
      </c>
      <c r="D446" s="71" t="s">
        <v>10382</v>
      </c>
    </row>
    <row r="447" ht="14.25" customHeight="1">
      <c r="C447" s="71" t="s">
        <v>98</v>
      </c>
      <c r="D447" s="71" t="s">
        <v>9075</v>
      </c>
    </row>
    <row r="448" ht="14.25" customHeight="1">
      <c r="C448" s="71" t="s">
        <v>10383</v>
      </c>
      <c r="D448" s="71" t="s">
        <v>10384</v>
      </c>
    </row>
    <row r="449" ht="14.25" customHeight="1">
      <c r="C449" s="71" t="s">
        <v>10385</v>
      </c>
      <c r="D449" s="71" t="s">
        <v>10386</v>
      </c>
    </row>
    <row r="450" ht="14.25" customHeight="1">
      <c r="C450" s="71" t="s">
        <v>9629</v>
      </c>
      <c r="D450" s="71" t="s">
        <v>8968</v>
      </c>
    </row>
    <row r="451" ht="14.25" customHeight="1">
      <c r="C451" s="71" t="s">
        <v>10387</v>
      </c>
      <c r="D451" s="71" t="s">
        <v>9430</v>
      </c>
    </row>
    <row r="452" ht="14.25" customHeight="1">
      <c r="C452" s="71" t="s">
        <v>3138</v>
      </c>
      <c r="D452" s="71" t="s">
        <v>10388</v>
      </c>
    </row>
    <row r="453" ht="14.25" customHeight="1">
      <c r="C453" s="71" t="s">
        <v>9752</v>
      </c>
      <c r="D453" s="71" t="s">
        <v>9109</v>
      </c>
    </row>
    <row r="454" ht="14.25" customHeight="1">
      <c r="C454" s="71" t="s">
        <v>10389</v>
      </c>
      <c r="D454" s="71" t="s">
        <v>9055</v>
      </c>
    </row>
    <row r="455" ht="14.25" customHeight="1">
      <c r="C455" s="71" t="s">
        <v>10390</v>
      </c>
      <c r="D455" s="71" t="s">
        <v>10391</v>
      </c>
    </row>
    <row r="456" ht="14.25" customHeight="1">
      <c r="C456" s="71" t="s">
        <v>10392</v>
      </c>
      <c r="D456" s="71" t="s">
        <v>8976</v>
      </c>
    </row>
    <row r="457" ht="14.25" customHeight="1">
      <c r="C457" s="71" t="s">
        <v>3566</v>
      </c>
      <c r="D457" s="71" t="s">
        <v>9667</v>
      </c>
    </row>
    <row r="458" ht="14.25" customHeight="1">
      <c r="D458" s="71" t="s">
        <v>10393</v>
      </c>
    </row>
    <row r="459" ht="14.25" customHeight="1">
      <c r="C459" s="71" t="s">
        <v>9277</v>
      </c>
      <c r="D459" s="71" t="s">
        <v>9673</v>
      </c>
    </row>
    <row r="460" ht="14.25" customHeight="1">
      <c r="C460" s="71" t="s">
        <v>10394</v>
      </c>
      <c r="D460" s="71" t="s">
        <v>10382</v>
      </c>
    </row>
    <row r="461" ht="14.25" customHeight="1">
      <c r="C461" s="71" t="s">
        <v>10395</v>
      </c>
      <c r="D461" s="71" t="s">
        <v>10396</v>
      </c>
    </row>
    <row r="462" ht="14.25" customHeight="1">
      <c r="C462" s="71" t="s">
        <v>149</v>
      </c>
      <c r="D462" s="71" t="s">
        <v>9305</v>
      </c>
    </row>
    <row r="463" ht="14.25" customHeight="1">
      <c r="C463" s="71" t="s">
        <v>220</v>
      </c>
      <c r="D463" s="71" t="s">
        <v>10397</v>
      </c>
    </row>
    <row r="464" ht="14.25" customHeight="1">
      <c r="D464" s="71" t="s">
        <v>9731</v>
      </c>
    </row>
    <row r="465" ht="14.25" customHeight="1">
      <c r="C465" s="71" t="s">
        <v>10398</v>
      </c>
      <c r="D465" s="71" t="s">
        <v>10399</v>
      </c>
    </row>
    <row r="466" ht="14.25" customHeight="1">
      <c r="C466" s="71" t="s">
        <v>9286</v>
      </c>
      <c r="D466" s="71" t="s">
        <v>8978</v>
      </c>
    </row>
    <row r="467" ht="14.25" customHeight="1">
      <c r="C467" s="71" t="s">
        <v>9156</v>
      </c>
      <c r="D467" s="71" t="s">
        <v>10400</v>
      </c>
    </row>
    <row r="468" ht="14.25" customHeight="1">
      <c r="D468" s="71" t="s">
        <v>9071</v>
      </c>
    </row>
    <row r="469" ht="14.25" customHeight="1">
      <c r="D469" s="71" t="s">
        <v>9073</v>
      </c>
    </row>
    <row r="470" ht="14.25" customHeight="1">
      <c r="C470" s="71" t="s">
        <v>10401</v>
      </c>
      <c r="D470" s="71" t="s">
        <v>9073</v>
      </c>
    </row>
    <row r="471" ht="14.25" customHeight="1">
      <c r="C471" s="71" t="s">
        <v>4109</v>
      </c>
      <c r="D471" s="71" t="s">
        <v>10402</v>
      </c>
    </row>
    <row r="472" ht="14.25" customHeight="1">
      <c r="C472" s="71" t="s">
        <v>10403</v>
      </c>
      <c r="D472" s="71" t="s">
        <v>10404</v>
      </c>
    </row>
    <row r="473" ht="14.25" customHeight="1">
      <c r="C473" s="71" t="s">
        <v>10405</v>
      </c>
      <c r="D473" s="71" t="s">
        <v>10406</v>
      </c>
    </row>
    <row r="474" ht="14.25" customHeight="1">
      <c r="C474" s="71" t="s">
        <v>255</v>
      </c>
      <c r="D474" s="71" t="s">
        <v>9075</v>
      </c>
    </row>
    <row r="475" ht="14.25" customHeight="1">
      <c r="C475" s="71" t="s">
        <v>9908</v>
      </c>
      <c r="D475" s="71" t="s">
        <v>10407</v>
      </c>
    </row>
    <row r="476" ht="14.25" customHeight="1">
      <c r="C476" s="71" t="s">
        <v>10408</v>
      </c>
      <c r="D476" s="71" t="s">
        <v>9667</v>
      </c>
    </row>
    <row r="477" ht="14.25" customHeight="1">
      <c r="C477" s="71" t="s">
        <v>9787</v>
      </c>
      <c r="D477" s="71" t="s">
        <v>9731</v>
      </c>
    </row>
    <row r="478" ht="14.25" customHeight="1">
      <c r="C478" s="71" t="s">
        <v>10409</v>
      </c>
      <c r="D478" s="71" t="s">
        <v>9667</v>
      </c>
    </row>
    <row r="479" ht="14.25" customHeight="1">
      <c r="B479" s="71" t="s">
        <v>41</v>
      </c>
      <c r="C479" s="71" t="s">
        <v>10410</v>
      </c>
      <c r="D479" s="71" t="s">
        <v>9525</v>
      </c>
    </row>
    <row r="480" ht="14.25" customHeight="1">
      <c r="C480" s="71" t="s">
        <v>10411</v>
      </c>
      <c r="D480" s="71" t="s">
        <v>10412</v>
      </c>
    </row>
    <row r="481" ht="14.25" customHeight="1">
      <c r="C481" s="71" t="s">
        <v>10413</v>
      </c>
      <c r="D481" s="71" t="s">
        <v>10414</v>
      </c>
    </row>
    <row r="482" ht="14.25" customHeight="1">
      <c r="C482" s="71" t="s">
        <v>10182</v>
      </c>
      <c r="D482" s="71" t="s">
        <v>9034</v>
      </c>
    </row>
    <row r="483" ht="14.25" customHeight="1">
      <c r="D483" s="71" t="s">
        <v>10415</v>
      </c>
    </row>
    <row r="484" ht="14.25" customHeight="1">
      <c r="C484" s="71" t="s">
        <v>9691</v>
      </c>
      <c r="D484" s="71" t="s">
        <v>9578</v>
      </c>
    </row>
    <row r="485" ht="14.25" customHeight="1">
      <c r="D485" s="71" t="s">
        <v>9404</v>
      </c>
    </row>
    <row r="486" ht="14.25" customHeight="1">
      <c r="C486" s="71" t="s">
        <v>10256</v>
      </c>
      <c r="D486" s="71" t="s">
        <v>10416</v>
      </c>
    </row>
    <row r="487" ht="14.25" customHeight="1">
      <c r="D487" s="71" t="s">
        <v>9162</v>
      </c>
    </row>
    <row r="488" ht="14.25" customHeight="1">
      <c r="D488" s="71" t="s">
        <v>9073</v>
      </c>
    </row>
    <row r="489" ht="14.25" customHeight="1">
      <c r="D489" s="71" t="s">
        <v>9404</v>
      </c>
    </row>
    <row r="490" ht="14.25" customHeight="1">
      <c r="B490" s="71" t="s">
        <v>13</v>
      </c>
      <c r="C490" s="71" t="s">
        <v>2379</v>
      </c>
      <c r="D490" s="71" t="s">
        <v>9236</v>
      </c>
    </row>
    <row r="491" ht="14.25" customHeight="1">
      <c r="C491" s="71" t="s">
        <v>10417</v>
      </c>
      <c r="D491" s="71" t="s">
        <v>10418</v>
      </c>
    </row>
    <row r="492" ht="14.25" customHeight="1">
      <c r="C492" s="71" t="s">
        <v>10419</v>
      </c>
      <c r="D492" s="71" t="s">
        <v>9430</v>
      </c>
    </row>
    <row r="493" ht="14.25" customHeight="1">
      <c r="A493" s="71" t="s">
        <v>9796</v>
      </c>
      <c r="B493" s="71" t="s">
        <v>40</v>
      </c>
      <c r="C493" s="71" t="s">
        <v>10420</v>
      </c>
      <c r="D493" s="71" t="s">
        <v>9922</v>
      </c>
    </row>
    <row r="494" ht="14.25" customHeight="1">
      <c r="A494" s="71" t="s">
        <v>9806</v>
      </c>
      <c r="B494" s="71" t="s">
        <v>40</v>
      </c>
      <c r="C494" s="71" t="s">
        <v>10421</v>
      </c>
      <c r="D494" s="71" t="s">
        <v>9071</v>
      </c>
    </row>
    <row r="495" ht="14.25" customHeight="1">
      <c r="C495" s="71" t="s">
        <v>10422</v>
      </c>
      <c r="D495" s="71" t="s">
        <v>10423</v>
      </c>
    </row>
    <row r="496" ht="14.25" customHeight="1">
      <c r="C496" s="71" t="s">
        <v>10424</v>
      </c>
      <c r="D496" s="71" t="s">
        <v>9755</v>
      </c>
    </row>
    <row r="497" ht="14.25" customHeight="1">
      <c r="C497" s="71" t="s">
        <v>9133</v>
      </c>
      <c r="D497" s="71" t="s">
        <v>10425</v>
      </c>
    </row>
    <row r="498" ht="14.25" customHeight="1">
      <c r="D498" s="71" t="s">
        <v>9814</v>
      </c>
    </row>
    <row r="499" ht="14.25" customHeight="1">
      <c r="C499" s="71" t="s">
        <v>3566</v>
      </c>
      <c r="D499" s="71" t="s">
        <v>9071</v>
      </c>
    </row>
    <row r="500" ht="14.25" customHeight="1">
      <c r="D500" s="71" t="s">
        <v>10426</v>
      </c>
    </row>
    <row r="501" ht="14.25" customHeight="1">
      <c r="C501" s="71" t="s">
        <v>10427</v>
      </c>
      <c r="D501" s="71" t="s">
        <v>10428</v>
      </c>
    </row>
    <row r="502" ht="14.25" customHeight="1">
      <c r="C502" s="71" t="s">
        <v>9804</v>
      </c>
      <c r="D502" s="71" t="s">
        <v>10429</v>
      </c>
    </row>
    <row r="503" ht="14.25" customHeight="1">
      <c r="C503" s="71" t="s">
        <v>9283</v>
      </c>
      <c r="D503" s="71" t="s">
        <v>10430</v>
      </c>
    </row>
    <row r="504" ht="14.25" customHeight="1">
      <c r="C504" s="71" t="s">
        <v>10431</v>
      </c>
      <c r="D504" s="71" t="s">
        <v>9151</v>
      </c>
    </row>
    <row r="505" ht="14.25" customHeight="1">
      <c r="C505" s="71" t="s">
        <v>10432</v>
      </c>
      <c r="D505" s="71" t="s">
        <v>8968</v>
      </c>
    </row>
    <row r="506" ht="14.25" customHeight="1">
      <c r="C506" s="71" t="s">
        <v>10433</v>
      </c>
      <c r="D506" s="71" t="s">
        <v>10434</v>
      </c>
    </row>
    <row r="507" ht="14.25" customHeight="1">
      <c r="C507" s="71" t="s">
        <v>10435</v>
      </c>
      <c r="D507" s="71" t="s">
        <v>9131</v>
      </c>
    </row>
    <row r="508" ht="14.25" customHeight="1">
      <c r="C508" s="71" t="s">
        <v>10436</v>
      </c>
      <c r="D508" s="71" t="s">
        <v>9028</v>
      </c>
    </row>
    <row r="509" ht="14.25" customHeight="1">
      <c r="A509" s="71" t="s">
        <v>9824</v>
      </c>
      <c r="B509" s="71" t="s">
        <v>40</v>
      </c>
      <c r="C509" s="71" t="s">
        <v>10437</v>
      </c>
      <c r="D509" s="71" t="s">
        <v>10438</v>
      </c>
    </row>
    <row r="510" ht="14.25" customHeight="1">
      <c r="C510" s="71" t="s">
        <v>9090</v>
      </c>
      <c r="D510" s="71" t="s">
        <v>10439</v>
      </c>
    </row>
    <row r="511" ht="14.25" customHeight="1">
      <c r="B511" s="71" t="s">
        <v>41</v>
      </c>
      <c r="C511" s="71" t="s">
        <v>10440</v>
      </c>
      <c r="D511" s="71" t="s">
        <v>10441</v>
      </c>
    </row>
    <row r="512" ht="14.25" customHeight="1">
      <c r="C512" s="71" t="s">
        <v>10442</v>
      </c>
      <c r="D512" s="71" t="s">
        <v>10443</v>
      </c>
    </row>
    <row r="513" ht="14.25" customHeight="1">
      <c r="B513" s="71" t="s">
        <v>13</v>
      </c>
      <c r="C513" s="71" t="s">
        <v>10444</v>
      </c>
      <c r="D513" s="71" t="s">
        <v>10445</v>
      </c>
    </row>
    <row r="514" ht="14.25" customHeight="1">
      <c r="C514" s="71" t="s">
        <v>321</v>
      </c>
      <c r="D514" s="71" t="s">
        <v>10441</v>
      </c>
    </row>
    <row r="515" ht="14.25" customHeight="1">
      <c r="C515" s="71" t="s">
        <v>9090</v>
      </c>
      <c r="D515" s="71" t="s">
        <v>10446</v>
      </c>
    </row>
    <row r="516" ht="14.25" customHeight="1">
      <c r="C516" s="71" t="s">
        <v>10447</v>
      </c>
      <c r="D516" s="71" t="s">
        <v>10448</v>
      </c>
    </row>
    <row r="517" ht="14.25" customHeight="1">
      <c r="A517" s="71" t="s">
        <v>9840</v>
      </c>
      <c r="B517" s="71" t="s">
        <v>40</v>
      </c>
      <c r="C517" s="71" t="s">
        <v>10449</v>
      </c>
      <c r="D517" s="71" t="s">
        <v>9034</v>
      </c>
    </row>
    <row r="518" ht="14.25" customHeight="1">
      <c r="C518" s="71" t="s">
        <v>10450</v>
      </c>
      <c r="D518" s="71" t="s">
        <v>10451</v>
      </c>
    </row>
    <row r="519" ht="14.25" customHeight="1">
      <c r="C519" s="71" t="s">
        <v>10452</v>
      </c>
      <c r="D519" s="71" t="s">
        <v>10453</v>
      </c>
    </row>
    <row r="520" ht="14.25" customHeight="1">
      <c r="C520" s="71" t="s">
        <v>8974</v>
      </c>
      <c r="D520" s="71" t="s">
        <v>9583</v>
      </c>
    </row>
    <row r="521" ht="14.25" customHeight="1">
      <c r="C521" s="71" t="s">
        <v>10376</v>
      </c>
      <c r="D521" s="71" t="s">
        <v>10454</v>
      </c>
    </row>
    <row r="522" ht="14.25" customHeight="1">
      <c r="C522" s="71" t="s">
        <v>89</v>
      </c>
      <c r="D522" s="71" t="s">
        <v>9028</v>
      </c>
    </row>
    <row r="523" ht="14.25" customHeight="1">
      <c r="C523" s="71" t="s">
        <v>294</v>
      </c>
      <c r="D523" s="71" t="s">
        <v>10455</v>
      </c>
    </row>
    <row r="524" ht="14.25" customHeight="1">
      <c r="C524" s="71" t="s">
        <v>10456</v>
      </c>
      <c r="D524" s="71" t="s">
        <v>10377</v>
      </c>
    </row>
    <row r="525" ht="14.25" customHeight="1">
      <c r="C525" s="71" t="s">
        <v>9110</v>
      </c>
      <c r="D525" s="71" t="s">
        <v>10457</v>
      </c>
    </row>
    <row r="526" ht="14.25" customHeight="1">
      <c r="C526" s="71" t="s">
        <v>10458</v>
      </c>
      <c r="D526" s="71" t="s">
        <v>9055</v>
      </c>
    </row>
    <row r="527" ht="14.25" customHeight="1">
      <c r="C527" s="71" t="s">
        <v>9121</v>
      </c>
      <c r="D527" s="71" t="s">
        <v>9827</v>
      </c>
    </row>
    <row r="528" ht="14.25" customHeight="1">
      <c r="C528" s="71" t="s">
        <v>9478</v>
      </c>
      <c r="D528" s="71" t="s">
        <v>9873</v>
      </c>
    </row>
    <row r="529" ht="14.25" customHeight="1">
      <c r="C529" s="71" t="s">
        <v>124</v>
      </c>
      <c r="D529" s="71" t="s">
        <v>9034</v>
      </c>
    </row>
    <row r="530" ht="14.25" customHeight="1">
      <c r="C530" s="71" t="s">
        <v>1127</v>
      </c>
      <c r="D530" s="71" t="s">
        <v>10459</v>
      </c>
    </row>
    <row r="531" ht="14.25" customHeight="1">
      <c r="C531" s="71" t="s">
        <v>135</v>
      </c>
      <c r="D531" s="71" t="s">
        <v>8994</v>
      </c>
    </row>
    <row r="532" ht="14.25" customHeight="1">
      <c r="C532" s="71" t="s">
        <v>3138</v>
      </c>
      <c r="D532" s="71" t="s">
        <v>9034</v>
      </c>
    </row>
    <row r="533" ht="14.25" customHeight="1">
      <c r="C533" s="71" t="s">
        <v>141</v>
      </c>
      <c r="D533" s="71" t="s">
        <v>10457</v>
      </c>
    </row>
    <row r="534" ht="14.25" customHeight="1">
      <c r="C534" s="71" t="s">
        <v>10460</v>
      </c>
      <c r="D534" s="71" t="s">
        <v>10461</v>
      </c>
    </row>
    <row r="535" ht="14.25" customHeight="1">
      <c r="C535" s="71" t="s">
        <v>10462</v>
      </c>
      <c r="D535" s="71" t="s">
        <v>10463</v>
      </c>
    </row>
    <row r="536" ht="14.25" customHeight="1">
      <c r="C536" s="71" t="s">
        <v>9650</v>
      </c>
      <c r="D536" s="71" t="s">
        <v>9649</v>
      </c>
    </row>
    <row r="537" ht="14.25" customHeight="1">
      <c r="C537" s="71" t="s">
        <v>10464</v>
      </c>
      <c r="D537" s="71" t="s">
        <v>9028</v>
      </c>
    </row>
    <row r="538" ht="14.25" customHeight="1">
      <c r="C538" s="71" t="s">
        <v>9203</v>
      </c>
      <c r="D538" s="71" t="s">
        <v>9204</v>
      </c>
    </row>
    <row r="539" ht="14.25" customHeight="1">
      <c r="C539" s="71" t="s">
        <v>10465</v>
      </c>
      <c r="D539" s="71" t="s">
        <v>10466</v>
      </c>
    </row>
    <row r="540" ht="14.25" customHeight="1">
      <c r="D540" s="71" t="s">
        <v>10467</v>
      </c>
    </row>
    <row r="541" ht="14.25" customHeight="1">
      <c r="C541" s="71" t="s">
        <v>9804</v>
      </c>
      <c r="D541" s="71" t="s">
        <v>10080</v>
      </c>
    </row>
    <row r="542" ht="14.25" customHeight="1">
      <c r="C542" s="71" t="s">
        <v>10468</v>
      </c>
      <c r="D542" s="71" t="s">
        <v>9131</v>
      </c>
    </row>
    <row r="543" ht="14.25" customHeight="1">
      <c r="C543" s="71" t="s">
        <v>10057</v>
      </c>
      <c r="D543" s="71" t="s">
        <v>10469</v>
      </c>
    </row>
    <row r="544" ht="14.25" customHeight="1">
      <c r="C544" s="71" t="s">
        <v>10470</v>
      </c>
      <c r="D544" s="71" t="s">
        <v>10471</v>
      </c>
    </row>
    <row r="545" ht="14.25" customHeight="1">
      <c r="C545" s="71" t="s">
        <v>208</v>
      </c>
      <c r="D545" s="71" t="s">
        <v>9131</v>
      </c>
    </row>
    <row r="546" ht="14.25" customHeight="1">
      <c r="C546" s="71" t="s">
        <v>9562</v>
      </c>
      <c r="D546" s="71" t="s">
        <v>9028</v>
      </c>
    </row>
    <row r="547" ht="14.25" customHeight="1">
      <c r="C547" s="71" t="s">
        <v>3850</v>
      </c>
      <c r="D547" s="71" t="s">
        <v>10472</v>
      </c>
    </row>
    <row r="548" ht="14.25" customHeight="1">
      <c r="C548" s="71" t="s">
        <v>149</v>
      </c>
      <c r="D548" s="71" t="s">
        <v>9055</v>
      </c>
    </row>
    <row r="549" ht="14.25" customHeight="1">
      <c r="C549" s="71" t="s">
        <v>220</v>
      </c>
      <c r="D549" s="71" t="s">
        <v>9731</v>
      </c>
    </row>
    <row r="550" ht="14.25" customHeight="1">
      <c r="C550" s="71" t="s">
        <v>10473</v>
      </c>
      <c r="D550" s="71" t="s">
        <v>10474</v>
      </c>
    </row>
    <row r="551" ht="14.25" customHeight="1">
      <c r="C551" s="71" t="s">
        <v>10475</v>
      </c>
      <c r="D551" s="71" t="s">
        <v>9028</v>
      </c>
    </row>
    <row r="552" ht="14.25" customHeight="1">
      <c r="C552" s="71" t="s">
        <v>10476</v>
      </c>
      <c r="D552" s="71" t="s">
        <v>10477</v>
      </c>
    </row>
    <row r="553" ht="14.25" customHeight="1">
      <c r="C553" s="71" t="s">
        <v>251</v>
      </c>
      <c r="D553" s="71" t="s">
        <v>10478</v>
      </c>
    </row>
    <row r="554" ht="14.25" customHeight="1">
      <c r="C554" s="71" t="s">
        <v>10479</v>
      </c>
      <c r="D554" s="71" t="s">
        <v>9055</v>
      </c>
    </row>
    <row r="555" ht="14.25" customHeight="1">
      <c r="C555" s="71" t="s">
        <v>10256</v>
      </c>
      <c r="D555" s="71" t="s">
        <v>10480</v>
      </c>
    </row>
    <row r="556" ht="14.25" customHeight="1">
      <c r="C556" s="71" t="s">
        <v>10481</v>
      </c>
      <c r="D556" s="71" t="s">
        <v>10482</v>
      </c>
    </row>
    <row r="557" ht="14.25" customHeight="1">
      <c r="C557" s="71" t="s">
        <v>4281</v>
      </c>
      <c r="D557" s="71" t="s">
        <v>9636</v>
      </c>
    </row>
    <row r="558" ht="14.25" customHeight="1">
      <c r="C558" s="71" t="s">
        <v>4354</v>
      </c>
      <c r="D558" s="71" t="s">
        <v>9817</v>
      </c>
    </row>
    <row r="559" ht="14.25" customHeight="1">
      <c r="C559" s="71" t="s">
        <v>9005</v>
      </c>
      <c r="D559" s="71" t="s">
        <v>10062</v>
      </c>
    </row>
    <row r="560" ht="14.25" customHeight="1">
      <c r="C560" s="71" t="s">
        <v>2163</v>
      </c>
      <c r="D560" s="71" t="s">
        <v>9021</v>
      </c>
    </row>
    <row r="561" ht="14.25" customHeight="1">
      <c r="C561" s="71" t="s">
        <v>9246</v>
      </c>
      <c r="D561" s="71" t="s">
        <v>9028</v>
      </c>
    </row>
    <row r="562" ht="14.25" customHeight="1">
      <c r="B562" s="71" t="s">
        <v>41</v>
      </c>
      <c r="C562" s="71" t="s">
        <v>10483</v>
      </c>
      <c r="D562" s="71" t="s">
        <v>10484</v>
      </c>
    </row>
    <row r="563" ht="14.25" customHeight="1">
      <c r="C563" s="71" t="s">
        <v>10485</v>
      </c>
      <c r="D563" s="71" t="s">
        <v>10486</v>
      </c>
    </row>
    <row r="564" ht="14.25" customHeight="1">
      <c r="C564" s="71" t="s">
        <v>7471</v>
      </c>
      <c r="D564" s="71" t="s">
        <v>10487</v>
      </c>
    </row>
    <row r="565" ht="14.25" customHeight="1">
      <c r="C565" s="71" t="s">
        <v>89</v>
      </c>
      <c r="D565" s="71" t="s">
        <v>10488</v>
      </c>
    </row>
    <row r="566" ht="14.25" customHeight="1">
      <c r="C566" s="71" t="s">
        <v>294</v>
      </c>
      <c r="D566" s="71" t="s">
        <v>9305</v>
      </c>
    </row>
    <row r="567" ht="14.25" customHeight="1">
      <c r="C567" s="71" t="s">
        <v>9110</v>
      </c>
      <c r="D567" s="71" t="s">
        <v>9122</v>
      </c>
    </row>
    <row r="568" ht="14.25" customHeight="1">
      <c r="C568" s="71" t="s">
        <v>10489</v>
      </c>
      <c r="D568" s="71" t="s">
        <v>8968</v>
      </c>
    </row>
    <row r="569" ht="14.25" customHeight="1">
      <c r="C569" s="71" t="s">
        <v>10490</v>
      </c>
      <c r="D569" s="71" t="s">
        <v>10491</v>
      </c>
    </row>
    <row r="570" ht="14.25" customHeight="1">
      <c r="C570" s="71" t="s">
        <v>10492</v>
      </c>
      <c r="D570" s="71" t="s">
        <v>10493</v>
      </c>
    </row>
    <row r="571" ht="14.25" customHeight="1">
      <c r="C571" s="71" t="s">
        <v>3138</v>
      </c>
      <c r="D571" s="71" t="s">
        <v>10494</v>
      </c>
    </row>
    <row r="572" ht="14.25" customHeight="1">
      <c r="C572" s="71" t="s">
        <v>10495</v>
      </c>
      <c r="D572" s="71" t="s">
        <v>10496</v>
      </c>
    </row>
    <row r="573" ht="14.25" customHeight="1">
      <c r="C573" s="71" t="s">
        <v>3566</v>
      </c>
      <c r="D573" s="71" t="s">
        <v>8989</v>
      </c>
    </row>
    <row r="574" ht="14.25" customHeight="1">
      <c r="C574" s="71" t="s">
        <v>9543</v>
      </c>
      <c r="D574" s="71" t="s">
        <v>10497</v>
      </c>
    </row>
    <row r="575" ht="14.25" customHeight="1">
      <c r="C575" s="71" t="s">
        <v>10498</v>
      </c>
      <c r="D575" s="71" t="s">
        <v>9877</v>
      </c>
    </row>
    <row r="576" ht="14.25" customHeight="1">
      <c r="C576" s="71" t="s">
        <v>10499</v>
      </c>
      <c r="D576" s="71" t="s">
        <v>9028</v>
      </c>
    </row>
    <row r="577" ht="14.25" customHeight="1">
      <c r="C577" s="71" t="s">
        <v>10500</v>
      </c>
      <c r="D577" s="71" t="s">
        <v>8978</v>
      </c>
    </row>
    <row r="578" ht="14.25" customHeight="1">
      <c r="C578" s="71" t="s">
        <v>10256</v>
      </c>
      <c r="D578" s="71" t="s">
        <v>9583</v>
      </c>
    </row>
    <row r="579" ht="14.25" customHeight="1">
      <c r="B579" s="71" t="s">
        <v>13</v>
      </c>
      <c r="C579" s="71" t="s">
        <v>10501</v>
      </c>
      <c r="D579" s="71" t="s">
        <v>10502</v>
      </c>
    </row>
    <row r="580" ht="14.25" customHeight="1">
      <c r="C580" s="71" t="s">
        <v>10503</v>
      </c>
      <c r="D580" s="71" t="s">
        <v>9176</v>
      </c>
    </row>
    <row r="581" ht="14.25" customHeight="1">
      <c r="C581" s="71" t="s">
        <v>10504</v>
      </c>
      <c r="D581" s="71" t="s">
        <v>10505</v>
      </c>
    </row>
    <row r="582" ht="14.25" customHeight="1">
      <c r="C582" s="71" t="s">
        <v>202</v>
      </c>
      <c r="D582" s="71" t="s">
        <v>10506</v>
      </c>
    </row>
    <row r="583" ht="14.25" customHeight="1">
      <c r="C583" s="71" t="s">
        <v>10507</v>
      </c>
      <c r="D583" s="71" t="s">
        <v>8968</v>
      </c>
    </row>
    <row r="584" ht="14.25" customHeight="1">
      <c r="C584" s="71" t="s">
        <v>1702</v>
      </c>
      <c r="D584" s="71" t="s">
        <v>9176</v>
      </c>
    </row>
    <row r="585" ht="14.25" customHeight="1">
      <c r="C585" s="71" t="s">
        <v>244</v>
      </c>
      <c r="D585" s="71" t="s">
        <v>9249</v>
      </c>
    </row>
    <row r="586" ht="14.25" customHeight="1">
      <c r="C586" s="71" t="s">
        <v>321</v>
      </c>
      <c r="D586" s="71" t="s">
        <v>9050</v>
      </c>
    </row>
    <row r="587" ht="14.25" customHeight="1">
      <c r="C587" s="71" t="s">
        <v>10508</v>
      </c>
      <c r="D587" s="71" t="s">
        <v>10073</v>
      </c>
    </row>
    <row r="588" ht="14.25" customHeight="1">
      <c r="C588" s="71" t="s">
        <v>9090</v>
      </c>
      <c r="D588" s="71" t="s">
        <v>9176</v>
      </c>
    </row>
    <row r="589" ht="14.25" customHeight="1">
      <c r="C589" s="71" t="s">
        <v>10509</v>
      </c>
      <c r="D589" s="71" t="s">
        <v>9176</v>
      </c>
    </row>
    <row r="590" ht="14.25" customHeight="1">
      <c r="A590" s="71" t="s">
        <v>9935</v>
      </c>
      <c r="B590" s="71" t="s">
        <v>40</v>
      </c>
      <c r="C590" s="71" t="s">
        <v>10510</v>
      </c>
      <c r="D590" s="71" t="s">
        <v>10511</v>
      </c>
    </row>
    <row r="591" ht="14.25" customHeight="1">
      <c r="C591" s="71" t="s">
        <v>8981</v>
      </c>
      <c r="D591" s="71" t="s">
        <v>10512</v>
      </c>
    </row>
    <row r="592" ht="14.25" customHeight="1">
      <c r="C592" s="71" t="s">
        <v>10513</v>
      </c>
      <c r="D592" s="71" t="s">
        <v>10514</v>
      </c>
    </row>
    <row r="593" ht="14.25" customHeight="1">
      <c r="C593" s="71" t="s">
        <v>10515</v>
      </c>
      <c r="D593" s="71" t="s">
        <v>10516</v>
      </c>
    </row>
    <row r="594" ht="14.25" customHeight="1">
      <c r="C594" s="71" t="s">
        <v>9804</v>
      </c>
      <c r="D594" s="71" t="s">
        <v>405</v>
      </c>
    </row>
    <row r="595" ht="14.25" customHeight="1">
      <c r="C595" s="71" t="s">
        <v>9562</v>
      </c>
      <c r="D595" s="71" t="s">
        <v>9563</v>
      </c>
    </row>
    <row r="596" ht="14.25" customHeight="1">
      <c r="D596" s="71" t="s">
        <v>10517</v>
      </c>
    </row>
    <row r="597" ht="14.25" customHeight="1">
      <c r="C597" s="71" t="s">
        <v>10518</v>
      </c>
      <c r="D597" s="71" t="s">
        <v>10519</v>
      </c>
    </row>
    <row r="598" ht="14.25" customHeight="1">
      <c r="C598" s="71" t="s">
        <v>3984</v>
      </c>
      <c r="D598" s="71" t="s">
        <v>9729</v>
      </c>
    </row>
    <row r="599" ht="14.25" customHeight="1">
      <c r="C599" s="71" t="s">
        <v>10520</v>
      </c>
      <c r="D599" s="71" t="s">
        <v>10521</v>
      </c>
    </row>
    <row r="600" ht="14.25" customHeight="1">
      <c r="C600" s="71" t="s">
        <v>1906</v>
      </c>
      <c r="D600" s="71" t="s">
        <v>10522</v>
      </c>
    </row>
    <row r="601" ht="14.25" customHeight="1">
      <c r="C601" s="71" t="s">
        <v>9160</v>
      </c>
      <c r="D601" s="71" t="s">
        <v>10523</v>
      </c>
    </row>
    <row r="602" ht="14.25" customHeight="1">
      <c r="C602" s="71" t="s">
        <v>2163</v>
      </c>
      <c r="D602" s="71" t="s">
        <v>9021</v>
      </c>
    </row>
    <row r="603" ht="14.25" customHeight="1">
      <c r="A603" s="71" t="s">
        <v>9948</v>
      </c>
      <c r="B603" s="71" t="s">
        <v>40</v>
      </c>
      <c r="C603" s="71" t="s">
        <v>9529</v>
      </c>
      <c r="D603" s="71" t="s">
        <v>9006</v>
      </c>
    </row>
    <row r="604" ht="14.25" customHeight="1">
      <c r="A604" s="71" t="s">
        <v>9978</v>
      </c>
      <c r="B604" s="71" t="s">
        <v>40</v>
      </c>
      <c r="C604" s="71" t="s">
        <v>10524</v>
      </c>
      <c r="D604" s="71" t="s">
        <v>10525</v>
      </c>
    </row>
    <row r="605" ht="14.25" customHeight="1">
      <c r="C605" s="71" t="s">
        <v>10526</v>
      </c>
      <c r="D605" s="71" t="s">
        <v>10527</v>
      </c>
    </row>
    <row r="606" ht="14.25" customHeight="1">
      <c r="C606" s="71" t="s">
        <v>10528</v>
      </c>
      <c r="D606" s="71" t="s">
        <v>10529</v>
      </c>
    </row>
    <row r="607" ht="14.25" customHeight="1">
      <c r="C607" s="71" t="s">
        <v>10530</v>
      </c>
      <c r="D607" s="71" t="s">
        <v>10457</v>
      </c>
    </row>
    <row r="608" ht="14.25" customHeight="1">
      <c r="A608" s="71" t="s">
        <v>9998</v>
      </c>
      <c r="B608" s="71" t="s">
        <v>40</v>
      </c>
      <c r="C608" s="71" t="s">
        <v>10531</v>
      </c>
      <c r="D608" s="71" t="s">
        <v>10532</v>
      </c>
    </row>
    <row r="609" ht="14.25" customHeight="1">
      <c r="C609" s="71" t="s">
        <v>9132</v>
      </c>
      <c r="D609" s="71" t="s">
        <v>9075</v>
      </c>
    </row>
    <row r="610" ht="14.25" customHeight="1">
      <c r="C610" s="71" t="s">
        <v>10533</v>
      </c>
      <c r="D610" s="71" t="s">
        <v>10534</v>
      </c>
    </row>
    <row r="611" ht="14.25" customHeight="1">
      <c r="C611" s="71" t="s">
        <v>10535</v>
      </c>
      <c r="D611" s="71" t="s">
        <v>9034</v>
      </c>
    </row>
    <row r="612" ht="14.25" customHeight="1">
      <c r="C612" s="71" t="s">
        <v>10536</v>
      </c>
      <c r="D612" s="71" t="s">
        <v>10537</v>
      </c>
    </row>
    <row r="613" ht="14.25" customHeight="1">
      <c r="C613" s="71" t="s">
        <v>3499</v>
      </c>
      <c r="D613" s="71" t="s">
        <v>10538</v>
      </c>
    </row>
    <row r="614" ht="14.25" customHeight="1">
      <c r="C614" s="71" t="s">
        <v>10539</v>
      </c>
      <c r="D614" s="71" t="s">
        <v>10540</v>
      </c>
    </row>
    <row r="615" ht="14.25" customHeight="1">
      <c r="C615" s="71" t="s">
        <v>193</v>
      </c>
      <c r="D615" s="71" t="s">
        <v>9152</v>
      </c>
    </row>
    <row r="616" ht="14.25" customHeight="1">
      <c r="C616" s="71" t="s">
        <v>149</v>
      </c>
      <c r="D616" s="71" t="s">
        <v>10541</v>
      </c>
    </row>
    <row r="617" ht="14.25" customHeight="1">
      <c r="C617" s="71" t="s">
        <v>10007</v>
      </c>
      <c r="D617" s="71" t="s">
        <v>10001</v>
      </c>
    </row>
    <row r="618" ht="14.25" customHeight="1">
      <c r="C618" s="71" t="s">
        <v>10542</v>
      </c>
      <c r="D618" s="71" t="s">
        <v>10543</v>
      </c>
    </row>
    <row r="619" ht="14.25" customHeight="1">
      <c r="C619" s="71" t="s">
        <v>10544</v>
      </c>
      <c r="D619" s="71" t="s">
        <v>10457</v>
      </c>
    </row>
    <row r="620" ht="14.25" customHeight="1">
      <c r="C620" s="71" t="s">
        <v>10545</v>
      </c>
      <c r="D620" s="71" t="s">
        <v>9034</v>
      </c>
    </row>
    <row r="621" ht="14.25" customHeight="1">
      <c r="B621" s="71" t="s">
        <v>41</v>
      </c>
      <c r="C621" s="71" t="s">
        <v>10546</v>
      </c>
      <c r="D621" s="71" t="s">
        <v>9034</v>
      </c>
    </row>
    <row r="622" ht="14.25" customHeight="1">
      <c r="C622" s="71" t="s">
        <v>10547</v>
      </c>
      <c r="D622" s="71" t="s">
        <v>10548</v>
      </c>
    </row>
    <row r="623" ht="14.25" customHeight="1">
      <c r="B623" s="71" t="s">
        <v>13</v>
      </c>
      <c r="C623" s="71" t="s">
        <v>10549</v>
      </c>
      <c r="D623" s="71" t="s">
        <v>9999</v>
      </c>
    </row>
    <row r="624" ht="14.25" customHeight="1">
      <c r="A624" s="71" t="s">
        <v>10024</v>
      </c>
      <c r="B624" s="71" t="s">
        <v>40</v>
      </c>
      <c r="C624" s="71" t="s">
        <v>10550</v>
      </c>
      <c r="D624" s="71" t="s">
        <v>10551</v>
      </c>
    </row>
    <row r="625" ht="14.25" customHeight="1">
      <c r="C625" s="71" t="s">
        <v>9313</v>
      </c>
      <c r="D625" s="71" t="s">
        <v>10552</v>
      </c>
    </row>
    <row r="626" ht="14.25" customHeight="1">
      <c r="C626" s="71" t="s">
        <v>10553</v>
      </c>
      <c r="D626" s="71" t="s">
        <v>10554</v>
      </c>
    </row>
    <row r="627" ht="14.25" customHeight="1">
      <c r="C627" s="71" t="s">
        <v>10555</v>
      </c>
      <c r="D627" s="71" t="s">
        <v>10556</v>
      </c>
    </row>
    <row r="628" ht="14.25" customHeight="1">
      <c r="C628" s="71" t="s">
        <v>916</v>
      </c>
      <c r="D628" s="71" t="s">
        <v>9236</v>
      </c>
    </row>
    <row r="629" ht="14.25" customHeight="1">
      <c r="C629" s="71" t="s">
        <v>10557</v>
      </c>
      <c r="D629" s="71" t="s">
        <v>10558</v>
      </c>
    </row>
    <row r="630" ht="14.25" customHeight="1">
      <c r="C630" s="71" t="s">
        <v>10559</v>
      </c>
      <c r="D630" s="71" t="s">
        <v>10560</v>
      </c>
    </row>
    <row r="631" ht="14.25" customHeight="1">
      <c r="C631" s="71" t="s">
        <v>10561</v>
      </c>
      <c r="D631" s="71" t="s">
        <v>9345</v>
      </c>
    </row>
    <row r="632" ht="14.25" customHeight="1">
      <c r="C632" s="71" t="s">
        <v>9562</v>
      </c>
      <c r="D632" s="71" t="s">
        <v>10562</v>
      </c>
    </row>
    <row r="633" ht="14.25" customHeight="1">
      <c r="C633" s="71" t="s">
        <v>10563</v>
      </c>
      <c r="D633" s="71" t="s">
        <v>10564</v>
      </c>
    </row>
    <row r="634" ht="14.25" customHeight="1">
      <c r="C634" s="71" t="s">
        <v>10565</v>
      </c>
      <c r="D634" s="71" t="s">
        <v>405</v>
      </c>
    </row>
    <row r="635" ht="14.25" customHeight="1">
      <c r="C635" s="71" t="s">
        <v>10566</v>
      </c>
      <c r="D635" s="71" t="s">
        <v>9034</v>
      </c>
    </row>
    <row r="636" ht="14.25" customHeight="1">
      <c r="C636" s="71" t="s">
        <v>9090</v>
      </c>
      <c r="D636" s="71" t="s">
        <v>10567</v>
      </c>
    </row>
    <row r="637" ht="14.25" customHeight="1">
      <c r="C637" s="71" t="s">
        <v>10110</v>
      </c>
      <c r="D637" s="71" t="s">
        <v>9352</v>
      </c>
    </row>
    <row r="638" ht="14.25" customHeight="1">
      <c r="C638" s="71" t="s">
        <v>10568</v>
      </c>
      <c r="D638" s="71" t="s">
        <v>10569</v>
      </c>
    </row>
    <row r="639" ht="14.25" customHeight="1">
      <c r="C639" s="71" t="s">
        <v>10570</v>
      </c>
      <c r="D639" s="71" t="s">
        <v>10571</v>
      </c>
    </row>
    <row r="640" ht="14.25" customHeight="1">
      <c r="A640" s="71" t="s">
        <v>10572</v>
      </c>
      <c r="B640" s="71" t="s">
        <v>13</v>
      </c>
      <c r="C640" s="71" t="s">
        <v>10573</v>
      </c>
      <c r="D640" s="71" t="s">
        <v>10574</v>
      </c>
    </row>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2">
    <mergeCell ref="C214:C215"/>
    <mergeCell ref="C236:C237"/>
    <mergeCell ref="C249:C250"/>
    <mergeCell ref="C274:C275"/>
    <mergeCell ref="C295:C296"/>
    <mergeCell ref="C302:C303"/>
    <mergeCell ref="C304:C305"/>
    <mergeCell ref="C313:C315"/>
    <mergeCell ref="C331:C332"/>
    <mergeCell ref="C345:C346"/>
    <mergeCell ref="C353:C354"/>
    <mergeCell ref="C379:C381"/>
    <mergeCell ref="C382:C384"/>
    <mergeCell ref="C403:C404"/>
    <mergeCell ref="C467:C469"/>
    <mergeCell ref="C482:C483"/>
    <mergeCell ref="C484:C485"/>
    <mergeCell ref="C486:C489"/>
    <mergeCell ref="C497:C498"/>
    <mergeCell ref="C499:C500"/>
    <mergeCell ref="C539:C540"/>
    <mergeCell ref="C595:C596"/>
    <mergeCell ref="C409:C410"/>
    <mergeCell ref="C412:C413"/>
    <mergeCell ref="C418:C421"/>
    <mergeCell ref="C428:C429"/>
    <mergeCell ref="C430:C431"/>
    <mergeCell ref="C457:C458"/>
    <mergeCell ref="C463:C464"/>
    <mergeCell ref="B30:B32"/>
    <mergeCell ref="C30:C31"/>
    <mergeCell ref="C56:C57"/>
    <mergeCell ref="C58:C59"/>
    <mergeCell ref="C62:C63"/>
    <mergeCell ref="C74:C75"/>
    <mergeCell ref="C79:C81"/>
    <mergeCell ref="A2:A32"/>
    <mergeCell ref="B2:B23"/>
    <mergeCell ref="C5:C6"/>
    <mergeCell ref="C13:C14"/>
    <mergeCell ref="C17:C18"/>
    <mergeCell ref="C21:C22"/>
    <mergeCell ref="B24:B29"/>
    <mergeCell ref="B48:B90"/>
    <mergeCell ref="B96:B145"/>
    <mergeCell ref="B91:B93"/>
    <mergeCell ref="B94:B95"/>
    <mergeCell ref="C109:C110"/>
    <mergeCell ref="C116:C117"/>
    <mergeCell ref="C118:C122"/>
    <mergeCell ref="C123:C124"/>
    <mergeCell ref="C135:C136"/>
    <mergeCell ref="B146:B176"/>
    <mergeCell ref="B177:B182"/>
    <mergeCell ref="A33:A40"/>
    <mergeCell ref="B33:B40"/>
    <mergeCell ref="A41:A47"/>
    <mergeCell ref="B41:B44"/>
    <mergeCell ref="B46:B47"/>
    <mergeCell ref="A48:A95"/>
    <mergeCell ref="A96:A182"/>
    <mergeCell ref="C139:C141"/>
    <mergeCell ref="C142:C143"/>
    <mergeCell ref="C151:C153"/>
    <mergeCell ref="C156:C157"/>
    <mergeCell ref="C168:C169"/>
    <mergeCell ref="C174:C175"/>
    <mergeCell ref="C198:C200"/>
    <mergeCell ref="B562:B578"/>
    <mergeCell ref="B579:B589"/>
    <mergeCell ref="B479:B489"/>
    <mergeCell ref="B490:B492"/>
    <mergeCell ref="B494:B508"/>
    <mergeCell ref="B509:B510"/>
    <mergeCell ref="B511:B512"/>
    <mergeCell ref="B513:B516"/>
    <mergeCell ref="B517:B561"/>
    <mergeCell ref="B209:B210"/>
    <mergeCell ref="B211:B240"/>
    <mergeCell ref="B241:B257"/>
    <mergeCell ref="B258:B260"/>
    <mergeCell ref="A183:A194"/>
    <mergeCell ref="B183:B194"/>
    <mergeCell ref="A195:A197"/>
    <mergeCell ref="B195:B197"/>
    <mergeCell ref="A198:A210"/>
    <mergeCell ref="B198:B208"/>
    <mergeCell ref="A211:A260"/>
    <mergeCell ref="A261:A262"/>
    <mergeCell ref="B261:B262"/>
    <mergeCell ref="A264:A336"/>
    <mergeCell ref="B264:B321"/>
    <mergeCell ref="B322:B334"/>
    <mergeCell ref="B335:B336"/>
    <mergeCell ref="B337:B347"/>
    <mergeCell ref="A437:A492"/>
    <mergeCell ref="A494:A508"/>
    <mergeCell ref="A509:A516"/>
    <mergeCell ref="A517:A589"/>
    <mergeCell ref="A590:A602"/>
    <mergeCell ref="A604:A607"/>
    <mergeCell ref="A608:A623"/>
    <mergeCell ref="A624:A639"/>
    <mergeCell ref="A337:A347"/>
    <mergeCell ref="A348:A350"/>
    <mergeCell ref="A351:A355"/>
    <mergeCell ref="A356:A359"/>
    <mergeCell ref="A360:A362"/>
    <mergeCell ref="A363:A365"/>
    <mergeCell ref="A366:A436"/>
    <mergeCell ref="B590:B602"/>
    <mergeCell ref="B604:B607"/>
    <mergeCell ref="B608:B620"/>
    <mergeCell ref="B621:B622"/>
    <mergeCell ref="B624:B639"/>
    <mergeCell ref="B348:B350"/>
    <mergeCell ref="B351:B355"/>
    <mergeCell ref="B356:B359"/>
    <mergeCell ref="B360:B362"/>
    <mergeCell ref="B363:B365"/>
    <mergeCell ref="B366:B436"/>
    <mergeCell ref="B437:B478"/>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2D0"/>
    <pageSetUpPr/>
  </sheetPr>
  <sheetViews>
    <sheetView workbookViewId="0"/>
  </sheetViews>
  <sheetFormatPr customHeight="1" defaultColWidth="12.63" defaultRowHeight="15.0"/>
  <cols>
    <col customWidth="1" min="1" max="1" width="33.88"/>
    <col customWidth="1" min="2" max="2" width="14.88"/>
    <col customWidth="1" min="3" max="3" width="55.25"/>
    <col customWidth="1" min="4" max="4" width="54.5"/>
    <col customWidth="1" min="5" max="26" width="8.63"/>
  </cols>
  <sheetData>
    <row r="1" ht="14.25" customHeight="1">
      <c r="A1" s="70" t="s">
        <v>8962</v>
      </c>
      <c r="B1" s="70" t="s">
        <v>8963</v>
      </c>
      <c r="C1" s="70" t="s">
        <v>8964</v>
      </c>
      <c r="D1" s="70" t="s">
        <v>8965</v>
      </c>
    </row>
    <row r="2" ht="14.25" customHeight="1">
      <c r="A2" s="71" t="s">
        <v>8966</v>
      </c>
      <c r="B2" s="71" t="s">
        <v>40</v>
      </c>
      <c r="C2" s="71" t="s">
        <v>9034</v>
      </c>
      <c r="D2" s="71" t="s">
        <v>10575</v>
      </c>
    </row>
    <row r="3" ht="14.25" customHeight="1">
      <c r="D3" s="71" t="s">
        <v>10576</v>
      </c>
    </row>
    <row r="4" ht="14.25" customHeight="1">
      <c r="D4" s="71" t="s">
        <v>10577</v>
      </c>
    </row>
    <row r="5" ht="14.25" customHeight="1">
      <c r="C5" s="71" t="s">
        <v>2379</v>
      </c>
      <c r="D5" s="71" t="s">
        <v>8968</v>
      </c>
    </row>
    <row r="6" ht="14.25" customHeight="1">
      <c r="C6" s="71" t="s">
        <v>7493</v>
      </c>
      <c r="D6" s="71" t="s">
        <v>9669</v>
      </c>
    </row>
    <row r="7" ht="14.25" customHeight="1">
      <c r="C7" s="71" t="s">
        <v>9810</v>
      </c>
      <c r="D7" s="71" t="s">
        <v>8973</v>
      </c>
    </row>
    <row r="8" ht="14.25" customHeight="1">
      <c r="D8" s="71" t="s">
        <v>10578</v>
      </c>
    </row>
    <row r="9" ht="14.25" customHeight="1">
      <c r="D9" s="71" t="s">
        <v>9404</v>
      </c>
    </row>
    <row r="10" ht="14.25" customHeight="1">
      <c r="C10" s="71" t="s">
        <v>10579</v>
      </c>
      <c r="D10" s="71" t="s">
        <v>10577</v>
      </c>
    </row>
    <row r="11" ht="14.25" customHeight="1">
      <c r="C11" s="71" t="s">
        <v>6057</v>
      </c>
      <c r="D11" s="71" t="s">
        <v>9028</v>
      </c>
    </row>
    <row r="12" ht="14.25" customHeight="1">
      <c r="D12" s="71" t="s">
        <v>8994</v>
      </c>
    </row>
    <row r="13" ht="14.25" customHeight="1">
      <c r="C13" s="71" t="s">
        <v>108</v>
      </c>
      <c r="D13" s="71" t="s">
        <v>9236</v>
      </c>
    </row>
    <row r="14" ht="14.25" customHeight="1">
      <c r="C14" s="71" t="s">
        <v>10580</v>
      </c>
      <c r="D14" s="71" t="s">
        <v>10581</v>
      </c>
    </row>
    <row r="15" ht="14.25" customHeight="1">
      <c r="C15" s="71" t="s">
        <v>126</v>
      </c>
      <c r="D15" s="71" t="s">
        <v>9012</v>
      </c>
    </row>
    <row r="16" ht="14.25" customHeight="1">
      <c r="C16" s="71" t="s">
        <v>128</v>
      </c>
      <c r="D16" s="71" t="s">
        <v>9291</v>
      </c>
    </row>
    <row r="17" ht="14.25" customHeight="1">
      <c r="C17" s="71" t="s">
        <v>135</v>
      </c>
      <c r="D17" s="71" t="s">
        <v>8994</v>
      </c>
    </row>
    <row r="18" ht="14.25" customHeight="1">
      <c r="C18" s="71" t="s">
        <v>3144</v>
      </c>
      <c r="D18" s="71" t="s">
        <v>8978</v>
      </c>
    </row>
    <row r="19" ht="14.25" customHeight="1">
      <c r="C19" s="71" t="s">
        <v>6405</v>
      </c>
      <c r="D19" s="71" t="s">
        <v>8978</v>
      </c>
    </row>
    <row r="20" ht="14.25" customHeight="1">
      <c r="C20" s="71" t="s">
        <v>10582</v>
      </c>
      <c r="D20" s="71" t="s">
        <v>8994</v>
      </c>
    </row>
    <row r="21" ht="14.25" customHeight="1">
      <c r="C21" s="71" t="s">
        <v>10583</v>
      </c>
      <c r="D21" s="71" t="s">
        <v>8968</v>
      </c>
    </row>
    <row r="22" ht="14.25" customHeight="1">
      <c r="C22" s="71" t="s">
        <v>10584</v>
      </c>
      <c r="D22" s="71" t="s">
        <v>8973</v>
      </c>
    </row>
    <row r="23" ht="14.25" customHeight="1">
      <c r="C23" s="71" t="s">
        <v>3566</v>
      </c>
      <c r="D23" s="71" t="s">
        <v>8989</v>
      </c>
    </row>
    <row r="24" ht="14.25" customHeight="1">
      <c r="D24" s="71" t="s">
        <v>10585</v>
      </c>
    </row>
    <row r="25" ht="14.25" customHeight="1">
      <c r="C25" s="71" t="s">
        <v>3596</v>
      </c>
      <c r="D25" s="71" t="s">
        <v>10576</v>
      </c>
    </row>
    <row r="26" ht="14.25" customHeight="1">
      <c r="C26" s="71" t="s">
        <v>8398</v>
      </c>
      <c r="D26" s="71" t="s">
        <v>8968</v>
      </c>
    </row>
    <row r="27" ht="14.25" customHeight="1">
      <c r="C27" s="71" t="s">
        <v>6751</v>
      </c>
      <c r="D27" s="71" t="s">
        <v>8973</v>
      </c>
    </row>
    <row r="28" ht="14.25" customHeight="1">
      <c r="C28" s="71" t="s">
        <v>5242</v>
      </c>
      <c r="D28" s="71" t="s">
        <v>8973</v>
      </c>
    </row>
    <row r="29" ht="14.25" customHeight="1">
      <c r="C29" s="71" t="s">
        <v>10586</v>
      </c>
      <c r="D29" s="71" t="s">
        <v>9990</v>
      </c>
    </row>
    <row r="30" ht="14.25" customHeight="1">
      <c r="C30" s="71" t="s">
        <v>5327</v>
      </c>
      <c r="D30" s="71" t="s">
        <v>10587</v>
      </c>
    </row>
    <row r="31" ht="14.25" customHeight="1">
      <c r="C31" s="71" t="s">
        <v>10588</v>
      </c>
      <c r="D31" s="71" t="s">
        <v>10589</v>
      </c>
    </row>
    <row r="32" ht="14.25" customHeight="1">
      <c r="C32" s="71" t="s">
        <v>8576</v>
      </c>
      <c r="D32" s="71" t="s">
        <v>9028</v>
      </c>
    </row>
    <row r="33" ht="14.25" customHeight="1">
      <c r="D33" s="71" t="s">
        <v>8976</v>
      </c>
    </row>
    <row r="34" ht="14.25" customHeight="1">
      <c r="C34" s="71" t="s">
        <v>10590</v>
      </c>
      <c r="D34" s="71" t="s">
        <v>8989</v>
      </c>
    </row>
    <row r="35" ht="14.25" customHeight="1">
      <c r="C35" s="71" t="s">
        <v>233</v>
      </c>
      <c r="D35" s="71" t="s">
        <v>10591</v>
      </c>
    </row>
    <row r="36" ht="14.25" customHeight="1">
      <c r="D36" s="71" t="s">
        <v>10576</v>
      </c>
    </row>
    <row r="37" ht="14.25" customHeight="1">
      <c r="C37" s="71" t="s">
        <v>10592</v>
      </c>
      <c r="D37" s="71" t="s">
        <v>10593</v>
      </c>
    </row>
    <row r="38" ht="14.25" customHeight="1">
      <c r="C38" s="71" t="s">
        <v>9215</v>
      </c>
      <c r="D38" s="71" t="s">
        <v>10594</v>
      </c>
    </row>
    <row r="39" ht="14.25" customHeight="1">
      <c r="C39" s="71" t="s">
        <v>4187</v>
      </c>
      <c r="D39" s="71" t="s">
        <v>9026</v>
      </c>
    </row>
    <row r="40" ht="14.25" customHeight="1">
      <c r="C40" s="71" t="s">
        <v>10595</v>
      </c>
      <c r="D40" s="71" t="s">
        <v>10596</v>
      </c>
    </row>
    <row r="41" ht="14.25" customHeight="1">
      <c r="C41" s="71" t="s">
        <v>4288</v>
      </c>
      <c r="D41" s="71" t="s">
        <v>9034</v>
      </c>
    </row>
    <row r="42" ht="14.25" customHeight="1">
      <c r="C42" s="71" t="s">
        <v>10597</v>
      </c>
      <c r="D42" s="71" t="s">
        <v>8976</v>
      </c>
    </row>
    <row r="43" ht="14.25" customHeight="1">
      <c r="C43" s="71" t="s">
        <v>4294</v>
      </c>
      <c r="D43" s="71" t="s">
        <v>10598</v>
      </c>
    </row>
    <row r="44" ht="14.25" customHeight="1">
      <c r="D44" s="71" t="s">
        <v>10599</v>
      </c>
    </row>
    <row r="45" ht="14.25" customHeight="1">
      <c r="D45" s="71" t="s">
        <v>9018</v>
      </c>
    </row>
    <row r="46" ht="14.25" customHeight="1">
      <c r="C46" s="71" t="s">
        <v>9005</v>
      </c>
      <c r="D46" s="71" t="s">
        <v>9118</v>
      </c>
    </row>
    <row r="47" ht="14.25" customHeight="1">
      <c r="C47" s="71" t="s">
        <v>10600</v>
      </c>
      <c r="D47" s="71" t="s">
        <v>10601</v>
      </c>
    </row>
    <row r="48" ht="14.25" customHeight="1">
      <c r="B48" s="71" t="s">
        <v>41</v>
      </c>
      <c r="C48" s="71" t="s">
        <v>10444</v>
      </c>
      <c r="D48" s="71" t="s">
        <v>10602</v>
      </c>
    </row>
    <row r="49" ht="14.25" customHeight="1">
      <c r="C49" s="71" t="s">
        <v>3411</v>
      </c>
      <c r="D49" s="71" t="s">
        <v>10603</v>
      </c>
    </row>
    <row r="50" ht="14.25" customHeight="1">
      <c r="C50" s="71" t="s">
        <v>3566</v>
      </c>
      <c r="D50" s="71" t="s">
        <v>8968</v>
      </c>
    </row>
    <row r="51" ht="14.25" customHeight="1">
      <c r="C51" s="71" t="s">
        <v>10604</v>
      </c>
      <c r="D51" s="71" t="s">
        <v>10605</v>
      </c>
    </row>
    <row r="52" ht="14.25" customHeight="1">
      <c r="C52" s="71" t="s">
        <v>10606</v>
      </c>
      <c r="D52" s="71" t="s">
        <v>10607</v>
      </c>
    </row>
    <row r="53" ht="14.25" customHeight="1">
      <c r="B53" s="71" t="s">
        <v>13</v>
      </c>
      <c r="C53" s="71" t="s">
        <v>8398</v>
      </c>
      <c r="D53" s="71" t="s">
        <v>10608</v>
      </c>
    </row>
    <row r="54" ht="14.25" customHeight="1">
      <c r="C54" s="71" t="s">
        <v>9090</v>
      </c>
      <c r="D54" s="71" t="s">
        <v>10608</v>
      </c>
    </row>
    <row r="55" ht="14.25" customHeight="1">
      <c r="A55" s="71" t="s">
        <v>9022</v>
      </c>
      <c r="B55" s="71" t="s">
        <v>40</v>
      </c>
      <c r="C55" s="71" t="s">
        <v>10609</v>
      </c>
      <c r="D55" s="71" t="s">
        <v>9034</v>
      </c>
    </row>
    <row r="56" ht="14.25" customHeight="1">
      <c r="C56" s="71" t="s">
        <v>75</v>
      </c>
      <c r="D56" s="71" t="s">
        <v>10610</v>
      </c>
    </row>
    <row r="57" ht="14.25" customHeight="1">
      <c r="C57" s="71" t="s">
        <v>80</v>
      </c>
      <c r="D57" s="71" t="s">
        <v>9055</v>
      </c>
    </row>
    <row r="58" ht="14.25" customHeight="1">
      <c r="C58" s="71" t="s">
        <v>4657</v>
      </c>
      <c r="D58" s="71" t="s">
        <v>9180</v>
      </c>
    </row>
    <row r="59" ht="14.25" customHeight="1">
      <c r="C59" s="71" t="s">
        <v>10611</v>
      </c>
      <c r="D59" s="71" t="s">
        <v>8994</v>
      </c>
    </row>
    <row r="60" ht="14.25" customHeight="1">
      <c r="C60" s="71" t="s">
        <v>10612</v>
      </c>
      <c r="D60" s="71" t="s">
        <v>10610</v>
      </c>
    </row>
    <row r="61" ht="14.25" customHeight="1">
      <c r="C61" s="71" t="s">
        <v>10613</v>
      </c>
      <c r="D61" s="71" t="s">
        <v>10614</v>
      </c>
    </row>
    <row r="62" ht="14.25" customHeight="1">
      <c r="C62" s="71" t="s">
        <v>10615</v>
      </c>
      <c r="D62" s="71" t="s">
        <v>10616</v>
      </c>
    </row>
    <row r="63" ht="14.25" customHeight="1">
      <c r="C63" s="71" t="s">
        <v>10617</v>
      </c>
      <c r="D63" s="71" t="s">
        <v>8994</v>
      </c>
    </row>
    <row r="64" ht="14.25" customHeight="1">
      <c r="C64" s="71" t="s">
        <v>10618</v>
      </c>
      <c r="D64" s="71" t="s">
        <v>9034</v>
      </c>
    </row>
    <row r="65" ht="14.25" customHeight="1">
      <c r="C65" s="71" t="s">
        <v>10619</v>
      </c>
      <c r="D65" s="71" t="s">
        <v>10620</v>
      </c>
    </row>
    <row r="66" ht="14.25" customHeight="1">
      <c r="C66" s="71" t="s">
        <v>9047</v>
      </c>
      <c r="D66" s="71" t="s">
        <v>9028</v>
      </c>
    </row>
    <row r="67" ht="14.25" customHeight="1">
      <c r="C67" s="71" t="s">
        <v>10621</v>
      </c>
      <c r="D67" s="71" t="s">
        <v>10622</v>
      </c>
    </row>
    <row r="68" ht="14.25" customHeight="1">
      <c r="C68" s="71" t="s">
        <v>10623</v>
      </c>
      <c r="D68" s="71" t="s">
        <v>8994</v>
      </c>
    </row>
    <row r="69" ht="14.25" customHeight="1">
      <c r="C69" s="71" t="s">
        <v>10135</v>
      </c>
      <c r="D69" s="71" t="s">
        <v>9026</v>
      </c>
    </row>
    <row r="70" ht="14.25" customHeight="1">
      <c r="C70" s="71" t="s">
        <v>10624</v>
      </c>
      <c r="D70" s="71" t="s">
        <v>9430</v>
      </c>
    </row>
    <row r="71" ht="14.25" customHeight="1">
      <c r="C71" s="71" t="s">
        <v>10625</v>
      </c>
      <c r="D71" s="71" t="s">
        <v>9109</v>
      </c>
    </row>
    <row r="72" ht="14.25" customHeight="1">
      <c r="C72" s="71" t="s">
        <v>286</v>
      </c>
      <c r="D72" s="71" t="s">
        <v>9028</v>
      </c>
    </row>
    <row r="73" ht="14.25" customHeight="1">
      <c r="A73" s="71" t="s">
        <v>9058</v>
      </c>
      <c r="B73" s="71" t="s">
        <v>40</v>
      </c>
      <c r="C73" s="71" t="s">
        <v>10626</v>
      </c>
      <c r="D73" s="71" t="s">
        <v>10627</v>
      </c>
    </row>
    <row r="74" ht="14.25" customHeight="1">
      <c r="C74" s="71" t="s">
        <v>10628</v>
      </c>
      <c r="D74" s="71" t="s">
        <v>9354</v>
      </c>
    </row>
    <row r="75" ht="14.25" customHeight="1">
      <c r="C75" s="71" t="s">
        <v>10629</v>
      </c>
      <c r="D75" s="71" t="s">
        <v>9067</v>
      </c>
    </row>
    <row r="76" ht="14.25" customHeight="1">
      <c r="D76" s="71" t="s">
        <v>10630</v>
      </c>
    </row>
    <row r="77" ht="14.25" customHeight="1">
      <c r="D77" s="71" t="s">
        <v>10627</v>
      </c>
    </row>
    <row r="78" ht="14.25" customHeight="1">
      <c r="C78" s="71" t="s">
        <v>9826</v>
      </c>
      <c r="D78" s="71" t="s">
        <v>9109</v>
      </c>
    </row>
    <row r="79" ht="14.25" customHeight="1">
      <c r="D79" s="71" t="s">
        <v>10631</v>
      </c>
    </row>
    <row r="80" ht="14.25" customHeight="1">
      <c r="C80" s="71" t="s">
        <v>10632</v>
      </c>
      <c r="D80" s="71" t="s">
        <v>9962</v>
      </c>
    </row>
    <row r="81" ht="14.25" customHeight="1">
      <c r="C81" s="71" t="s">
        <v>8981</v>
      </c>
      <c r="D81" s="71" t="s">
        <v>10633</v>
      </c>
    </row>
    <row r="82" ht="14.25" customHeight="1">
      <c r="D82" s="71" t="s">
        <v>8982</v>
      </c>
    </row>
    <row r="83" ht="14.25" customHeight="1">
      <c r="C83" s="71" t="s">
        <v>162</v>
      </c>
      <c r="D83" s="71" t="s">
        <v>710</v>
      </c>
    </row>
    <row r="84" ht="14.25" customHeight="1">
      <c r="C84" s="71" t="s">
        <v>6654</v>
      </c>
      <c r="D84" s="71" t="s">
        <v>9559</v>
      </c>
    </row>
    <row r="85" ht="14.25" customHeight="1">
      <c r="C85" s="71" t="s">
        <v>10634</v>
      </c>
      <c r="D85" s="71" t="s">
        <v>10635</v>
      </c>
    </row>
    <row r="86" ht="14.25" customHeight="1">
      <c r="C86" s="71" t="s">
        <v>10636</v>
      </c>
      <c r="D86" s="71" t="s">
        <v>10637</v>
      </c>
    </row>
    <row r="87" ht="14.25" customHeight="1">
      <c r="C87" s="71" t="s">
        <v>10638</v>
      </c>
      <c r="D87" s="71" t="s">
        <v>9741</v>
      </c>
    </row>
    <row r="88" ht="14.25" customHeight="1">
      <c r="C88" s="71" t="s">
        <v>9158</v>
      </c>
      <c r="D88" s="71" t="s">
        <v>9157</v>
      </c>
    </row>
    <row r="89" ht="14.25" customHeight="1">
      <c r="C89" s="71" t="s">
        <v>10639</v>
      </c>
      <c r="D89" s="71" t="s">
        <v>10219</v>
      </c>
    </row>
    <row r="90" ht="14.25" customHeight="1">
      <c r="C90" s="71" t="s">
        <v>10640</v>
      </c>
      <c r="D90" s="71" t="s">
        <v>10641</v>
      </c>
    </row>
    <row r="91" ht="14.25" customHeight="1">
      <c r="C91" s="71" t="s">
        <v>262</v>
      </c>
      <c r="D91" s="71" t="s">
        <v>9292</v>
      </c>
    </row>
    <row r="92" ht="14.25" customHeight="1">
      <c r="C92" s="71" t="s">
        <v>10642</v>
      </c>
      <c r="D92" s="71" t="s">
        <v>8978</v>
      </c>
    </row>
    <row r="93" ht="14.25" customHeight="1">
      <c r="C93" s="71" t="s">
        <v>10643</v>
      </c>
      <c r="D93" s="71" t="s">
        <v>10622</v>
      </c>
    </row>
    <row r="94" ht="14.25" customHeight="1">
      <c r="C94" s="71" t="s">
        <v>10644</v>
      </c>
      <c r="D94" s="71" t="s">
        <v>10645</v>
      </c>
    </row>
    <row r="95" ht="14.25" customHeight="1">
      <c r="B95" s="71" t="s">
        <v>41</v>
      </c>
      <c r="C95" s="71" t="s">
        <v>10629</v>
      </c>
      <c r="D95" s="71" t="s">
        <v>9067</v>
      </c>
    </row>
    <row r="96" ht="14.25" customHeight="1">
      <c r="C96" s="71" t="s">
        <v>10646</v>
      </c>
      <c r="D96" s="71" t="s">
        <v>9034</v>
      </c>
    </row>
    <row r="97" ht="14.25" customHeight="1">
      <c r="D97" s="71" t="s">
        <v>10219</v>
      </c>
    </row>
    <row r="98" ht="14.25" customHeight="1">
      <c r="C98" s="71" t="s">
        <v>9826</v>
      </c>
      <c r="D98" s="71" t="s">
        <v>10647</v>
      </c>
    </row>
    <row r="99" ht="14.25" customHeight="1">
      <c r="C99" s="71" t="s">
        <v>10648</v>
      </c>
      <c r="D99" s="71" t="s">
        <v>10649</v>
      </c>
    </row>
    <row r="100" ht="14.25" customHeight="1">
      <c r="C100" s="71" t="s">
        <v>10650</v>
      </c>
      <c r="D100" s="71" t="s">
        <v>9109</v>
      </c>
    </row>
    <row r="101" ht="14.25" customHeight="1">
      <c r="D101" s="71" t="s">
        <v>9055</v>
      </c>
    </row>
    <row r="102" ht="14.25" customHeight="1">
      <c r="C102" s="71" t="s">
        <v>10651</v>
      </c>
      <c r="D102" s="71" t="s">
        <v>8982</v>
      </c>
    </row>
    <row r="103" ht="14.25" customHeight="1">
      <c r="B103" s="71" t="s">
        <v>13</v>
      </c>
      <c r="C103" s="71" t="s">
        <v>10652</v>
      </c>
      <c r="D103" s="71" t="s">
        <v>10653</v>
      </c>
    </row>
    <row r="104" ht="14.25" customHeight="1">
      <c r="C104" s="71" t="s">
        <v>10654</v>
      </c>
      <c r="D104" s="71" t="s">
        <v>10608</v>
      </c>
    </row>
    <row r="105" ht="14.25" customHeight="1">
      <c r="A105" s="71" t="s">
        <v>9097</v>
      </c>
      <c r="B105" s="71" t="s">
        <v>40</v>
      </c>
      <c r="C105" s="71" t="s">
        <v>9034</v>
      </c>
      <c r="D105" s="71" t="s">
        <v>9587</v>
      </c>
    </row>
    <row r="106" ht="14.25" customHeight="1">
      <c r="D106" s="71" t="s">
        <v>9051</v>
      </c>
    </row>
    <row r="107" ht="14.25" customHeight="1">
      <c r="D107" s="71" t="s">
        <v>9073</v>
      </c>
    </row>
    <row r="108" ht="14.25" customHeight="1">
      <c r="C108" s="71" t="s">
        <v>2295</v>
      </c>
      <c r="D108" s="71" t="s">
        <v>9034</v>
      </c>
    </row>
    <row r="109" ht="14.25" customHeight="1">
      <c r="C109" s="71" t="s">
        <v>57</v>
      </c>
      <c r="D109" s="71" t="s">
        <v>8968</v>
      </c>
    </row>
    <row r="110" ht="14.25" customHeight="1">
      <c r="C110" s="71" t="s">
        <v>10655</v>
      </c>
      <c r="D110" s="71" t="s">
        <v>8968</v>
      </c>
    </row>
    <row r="111" ht="14.25" customHeight="1">
      <c r="C111" s="71" t="s">
        <v>10628</v>
      </c>
      <c r="D111" s="71" t="s">
        <v>9354</v>
      </c>
    </row>
    <row r="112" ht="14.25" customHeight="1">
      <c r="C112" s="71" t="s">
        <v>10656</v>
      </c>
      <c r="D112" s="71" t="s">
        <v>9034</v>
      </c>
    </row>
    <row r="113" ht="14.25" customHeight="1">
      <c r="C113" s="71" t="s">
        <v>10657</v>
      </c>
      <c r="D113" s="71" t="s">
        <v>10658</v>
      </c>
    </row>
    <row r="114" ht="14.25" customHeight="1">
      <c r="C114" s="71" t="s">
        <v>88</v>
      </c>
      <c r="D114" s="71" t="s">
        <v>9855</v>
      </c>
    </row>
    <row r="115" ht="14.25" customHeight="1">
      <c r="C115" s="71" t="s">
        <v>10659</v>
      </c>
      <c r="D115" s="71" t="s">
        <v>10111</v>
      </c>
    </row>
    <row r="116" ht="14.25" customHeight="1">
      <c r="C116" s="71" t="s">
        <v>89</v>
      </c>
      <c r="D116" s="71" t="s">
        <v>9168</v>
      </c>
    </row>
    <row r="117" ht="14.25" customHeight="1">
      <c r="C117" s="71" t="s">
        <v>2700</v>
      </c>
      <c r="D117" s="71" t="s">
        <v>9073</v>
      </c>
    </row>
    <row r="118" ht="14.25" customHeight="1">
      <c r="C118" s="71" t="s">
        <v>10660</v>
      </c>
      <c r="D118" s="71" t="s">
        <v>9051</v>
      </c>
    </row>
    <row r="119" ht="14.25" customHeight="1">
      <c r="C119" s="71" t="s">
        <v>9110</v>
      </c>
      <c r="D119" s="71" t="s">
        <v>9073</v>
      </c>
    </row>
    <row r="120" ht="14.25" customHeight="1">
      <c r="C120" s="71" t="s">
        <v>6065</v>
      </c>
      <c r="D120" s="71" t="s">
        <v>10661</v>
      </c>
    </row>
    <row r="121" ht="14.25" customHeight="1">
      <c r="C121" s="71" t="s">
        <v>10662</v>
      </c>
      <c r="D121" s="71" t="s">
        <v>9051</v>
      </c>
    </row>
    <row r="122" ht="14.25" customHeight="1">
      <c r="C122" s="71" t="s">
        <v>10663</v>
      </c>
      <c r="D122" s="71" t="s">
        <v>9034</v>
      </c>
    </row>
    <row r="123" ht="14.25" customHeight="1">
      <c r="D123" s="71" t="s">
        <v>9111</v>
      </c>
    </row>
    <row r="124" ht="14.25" customHeight="1">
      <c r="C124" s="71" t="s">
        <v>2894</v>
      </c>
      <c r="D124" s="71" t="s">
        <v>9073</v>
      </c>
    </row>
    <row r="125" ht="14.25" customHeight="1">
      <c r="C125" s="71" t="s">
        <v>10664</v>
      </c>
      <c r="D125" s="71" t="s">
        <v>9109</v>
      </c>
    </row>
    <row r="126" ht="14.25" customHeight="1">
      <c r="C126" s="71" t="s">
        <v>2982</v>
      </c>
      <c r="D126" s="71" t="s">
        <v>9034</v>
      </c>
    </row>
    <row r="127" ht="14.25" customHeight="1">
      <c r="C127" s="71" t="s">
        <v>9133</v>
      </c>
      <c r="D127" s="71" t="s">
        <v>9034</v>
      </c>
    </row>
    <row r="128" ht="14.25" customHeight="1">
      <c r="D128" s="71" t="s">
        <v>9111</v>
      </c>
    </row>
    <row r="129" ht="14.25" customHeight="1">
      <c r="D129" s="71" t="s">
        <v>10658</v>
      </c>
    </row>
    <row r="130" ht="14.25" customHeight="1">
      <c r="C130" s="71" t="s">
        <v>129</v>
      </c>
      <c r="D130" s="71" t="s">
        <v>10665</v>
      </c>
    </row>
    <row r="131" ht="14.25" customHeight="1">
      <c r="D131" s="71" t="s">
        <v>9073</v>
      </c>
    </row>
    <row r="132" ht="14.25" customHeight="1">
      <c r="C132" s="71" t="s">
        <v>10094</v>
      </c>
      <c r="D132" s="71" t="s">
        <v>9430</v>
      </c>
    </row>
    <row r="133" ht="14.25" customHeight="1">
      <c r="C133" s="71" t="s">
        <v>133</v>
      </c>
      <c r="D133" s="71" t="s">
        <v>9034</v>
      </c>
    </row>
    <row r="134" ht="14.25" customHeight="1">
      <c r="D134" s="71" t="s">
        <v>9073</v>
      </c>
    </row>
    <row r="135" ht="14.25" customHeight="1">
      <c r="C135" s="71" t="s">
        <v>141</v>
      </c>
      <c r="D135" s="71" t="s">
        <v>10666</v>
      </c>
    </row>
    <row r="136" ht="14.25" customHeight="1">
      <c r="C136" s="71" t="s">
        <v>3313</v>
      </c>
      <c r="D136" s="71" t="s">
        <v>9055</v>
      </c>
    </row>
    <row r="137" ht="14.25" customHeight="1">
      <c r="C137" s="71" t="s">
        <v>10667</v>
      </c>
      <c r="D137" s="71" t="s">
        <v>9073</v>
      </c>
    </row>
    <row r="138" ht="14.25" customHeight="1">
      <c r="C138" s="71" t="s">
        <v>166</v>
      </c>
      <c r="D138" s="71" t="s">
        <v>9151</v>
      </c>
    </row>
    <row r="139" ht="14.25" customHeight="1">
      <c r="C139" s="71" t="s">
        <v>3499</v>
      </c>
      <c r="D139" s="71" t="s">
        <v>9034</v>
      </c>
    </row>
    <row r="140" ht="14.25" customHeight="1">
      <c r="D140" s="71" t="s">
        <v>10668</v>
      </c>
    </row>
    <row r="141" ht="14.25" customHeight="1">
      <c r="C141" s="71" t="s">
        <v>9882</v>
      </c>
      <c r="D141" s="71" t="s">
        <v>9216</v>
      </c>
    </row>
    <row r="142" ht="14.25" customHeight="1">
      <c r="C142" s="71" t="s">
        <v>3509</v>
      </c>
      <c r="D142" s="71" t="s">
        <v>9034</v>
      </c>
    </row>
    <row r="143" ht="14.25" customHeight="1">
      <c r="C143" s="71" t="s">
        <v>178</v>
      </c>
      <c r="D143" s="71" t="s">
        <v>9034</v>
      </c>
    </row>
    <row r="144" ht="14.25" customHeight="1">
      <c r="C144" s="71" t="s">
        <v>3596</v>
      </c>
      <c r="D144" s="71" t="s">
        <v>9034</v>
      </c>
    </row>
    <row r="145" ht="14.25" customHeight="1">
      <c r="C145" s="71" t="s">
        <v>10669</v>
      </c>
      <c r="D145" s="71" t="s">
        <v>9034</v>
      </c>
    </row>
    <row r="146" ht="14.25" customHeight="1">
      <c r="C146" s="71" t="s">
        <v>9505</v>
      </c>
      <c r="D146" s="71" t="s">
        <v>9073</v>
      </c>
    </row>
    <row r="147" ht="14.25" customHeight="1">
      <c r="C147" s="71" t="s">
        <v>10670</v>
      </c>
      <c r="D147" s="71" t="s">
        <v>10671</v>
      </c>
    </row>
    <row r="148" ht="14.25" customHeight="1">
      <c r="C148" s="71" t="s">
        <v>10672</v>
      </c>
      <c r="D148" s="71" t="s">
        <v>9034</v>
      </c>
    </row>
    <row r="149" ht="14.25" customHeight="1">
      <c r="C149" s="71" t="s">
        <v>10673</v>
      </c>
      <c r="D149" s="71" t="s">
        <v>9034</v>
      </c>
    </row>
    <row r="150" ht="14.25" customHeight="1">
      <c r="C150" s="71" t="s">
        <v>3814</v>
      </c>
      <c r="D150" s="71" t="s">
        <v>9073</v>
      </c>
    </row>
    <row r="151" ht="14.25" customHeight="1">
      <c r="C151" s="71" t="s">
        <v>3821</v>
      </c>
      <c r="D151" s="71" t="s">
        <v>9073</v>
      </c>
    </row>
    <row r="152" ht="14.25" customHeight="1">
      <c r="C152" s="71" t="s">
        <v>220</v>
      </c>
      <c r="D152" s="71" t="s">
        <v>9034</v>
      </c>
    </row>
    <row r="153" ht="14.25" customHeight="1">
      <c r="D153" s="71" t="s">
        <v>9073</v>
      </c>
    </row>
    <row r="154" ht="14.25" customHeight="1">
      <c r="D154" s="71" t="s">
        <v>9141</v>
      </c>
    </row>
    <row r="155" ht="14.25" customHeight="1">
      <c r="C155" s="71" t="s">
        <v>10674</v>
      </c>
      <c r="D155" s="71" t="s">
        <v>8968</v>
      </c>
    </row>
    <row r="156" ht="14.25" customHeight="1">
      <c r="C156" s="71" t="s">
        <v>10107</v>
      </c>
      <c r="D156" s="71" t="s">
        <v>10675</v>
      </c>
    </row>
    <row r="157" ht="14.25" customHeight="1">
      <c r="C157" s="71" t="s">
        <v>4035</v>
      </c>
      <c r="D157" s="71" t="s">
        <v>9073</v>
      </c>
    </row>
    <row r="158" ht="14.25" customHeight="1">
      <c r="C158" s="71" t="s">
        <v>10252</v>
      </c>
      <c r="D158" s="71" t="s">
        <v>10676</v>
      </c>
    </row>
    <row r="159" ht="14.25" customHeight="1">
      <c r="C159" s="71" t="s">
        <v>10640</v>
      </c>
      <c r="D159" s="71" t="s">
        <v>9034</v>
      </c>
    </row>
    <row r="160" ht="14.25" customHeight="1">
      <c r="D160" s="71" t="s">
        <v>9073</v>
      </c>
    </row>
    <row r="161" ht="14.25" customHeight="1">
      <c r="C161" s="71" t="s">
        <v>244</v>
      </c>
      <c r="D161" s="71" t="s">
        <v>9111</v>
      </c>
    </row>
    <row r="162" ht="14.25" customHeight="1">
      <c r="C162" s="71" t="s">
        <v>4195</v>
      </c>
      <c r="D162" s="71" t="s">
        <v>9034</v>
      </c>
    </row>
    <row r="163" ht="14.25" customHeight="1">
      <c r="C163" s="71" t="s">
        <v>9090</v>
      </c>
      <c r="D163" s="71" t="s">
        <v>9034</v>
      </c>
    </row>
    <row r="164" ht="14.25" customHeight="1">
      <c r="C164" s="71" t="s">
        <v>262</v>
      </c>
      <c r="D164" s="71" t="s">
        <v>9034</v>
      </c>
    </row>
    <row r="165" ht="14.25" customHeight="1">
      <c r="D165" s="71" t="s">
        <v>9051</v>
      </c>
    </row>
    <row r="166" ht="14.25" customHeight="1">
      <c r="C166" s="71" t="s">
        <v>4281</v>
      </c>
      <c r="D166" s="71" t="s">
        <v>9636</v>
      </c>
    </row>
    <row r="167" ht="14.25" customHeight="1">
      <c r="C167" s="71" t="s">
        <v>10677</v>
      </c>
      <c r="D167" s="71" t="s">
        <v>10678</v>
      </c>
    </row>
    <row r="168" ht="14.25" customHeight="1">
      <c r="C168" s="71" t="s">
        <v>10679</v>
      </c>
      <c r="D168" s="71" t="s">
        <v>9034</v>
      </c>
    </row>
    <row r="169" ht="14.25" customHeight="1">
      <c r="C169" s="71" t="s">
        <v>324</v>
      </c>
      <c r="D169" s="71" t="s">
        <v>9034</v>
      </c>
    </row>
    <row r="170" ht="14.25" customHeight="1">
      <c r="D170" s="71" t="s">
        <v>9073</v>
      </c>
    </row>
    <row r="171" ht="14.25" customHeight="1">
      <c r="C171" s="71" t="s">
        <v>9163</v>
      </c>
      <c r="D171" s="71" t="s">
        <v>9002</v>
      </c>
    </row>
    <row r="172" ht="14.25" customHeight="1">
      <c r="C172" s="71" t="s">
        <v>10680</v>
      </c>
      <c r="D172" s="71" t="s">
        <v>9034</v>
      </c>
    </row>
    <row r="173" ht="14.25" customHeight="1">
      <c r="B173" s="71" t="s">
        <v>41</v>
      </c>
      <c r="C173" s="71" t="s">
        <v>10681</v>
      </c>
      <c r="D173" s="71" t="s">
        <v>9073</v>
      </c>
    </row>
    <row r="174" ht="14.25" customHeight="1">
      <c r="C174" s="71" t="s">
        <v>7742</v>
      </c>
      <c r="D174" s="71" t="s">
        <v>9073</v>
      </c>
    </row>
    <row r="175" ht="14.25" customHeight="1">
      <c r="C175" s="71" t="s">
        <v>2918</v>
      </c>
      <c r="D175" s="71" t="s">
        <v>10682</v>
      </c>
    </row>
    <row r="176" ht="14.25" customHeight="1">
      <c r="C176" s="71" t="s">
        <v>10683</v>
      </c>
      <c r="D176" s="71" t="s">
        <v>10684</v>
      </c>
    </row>
    <row r="177" ht="14.25" customHeight="1">
      <c r="C177" s="71" t="s">
        <v>315</v>
      </c>
      <c r="D177" s="71" t="s">
        <v>8968</v>
      </c>
    </row>
    <row r="178" ht="14.25" customHeight="1">
      <c r="B178" s="71" t="s">
        <v>13</v>
      </c>
      <c r="C178" s="71" t="s">
        <v>10640</v>
      </c>
      <c r="D178" s="71" t="s">
        <v>9111</v>
      </c>
    </row>
    <row r="179" ht="14.25" customHeight="1">
      <c r="C179" s="71" t="s">
        <v>10685</v>
      </c>
      <c r="D179" s="71" t="s">
        <v>10686</v>
      </c>
    </row>
    <row r="180" ht="14.25" customHeight="1">
      <c r="A180" s="71" t="s">
        <v>9177</v>
      </c>
      <c r="B180" s="71" t="s">
        <v>40</v>
      </c>
      <c r="C180" s="71" t="s">
        <v>5740</v>
      </c>
      <c r="D180" s="71" t="s">
        <v>9180</v>
      </c>
    </row>
    <row r="181" ht="14.25" customHeight="1">
      <c r="C181" s="71" t="s">
        <v>5762</v>
      </c>
      <c r="D181" s="71" t="s">
        <v>10687</v>
      </c>
    </row>
    <row r="182" ht="14.25" customHeight="1">
      <c r="D182" s="71" t="s">
        <v>10688</v>
      </c>
    </row>
    <row r="183" ht="14.25" customHeight="1">
      <c r="C183" s="71" t="s">
        <v>69</v>
      </c>
      <c r="D183" s="71" t="s">
        <v>8968</v>
      </c>
    </row>
    <row r="184" ht="14.25" customHeight="1">
      <c r="C184" s="71" t="s">
        <v>7493</v>
      </c>
      <c r="D184" s="71" t="s">
        <v>9189</v>
      </c>
    </row>
    <row r="185" ht="14.25" customHeight="1">
      <c r="C185" s="71" t="s">
        <v>75</v>
      </c>
      <c r="D185" s="71" t="s">
        <v>9219</v>
      </c>
    </row>
    <row r="186" ht="14.25" customHeight="1">
      <c r="D186" s="71" t="s">
        <v>8994</v>
      </c>
    </row>
    <row r="187" ht="14.25" customHeight="1">
      <c r="C187" s="71" t="s">
        <v>10656</v>
      </c>
      <c r="D187" s="71" t="s">
        <v>10689</v>
      </c>
    </row>
    <row r="188" ht="14.25" customHeight="1">
      <c r="C188" s="71" t="s">
        <v>2539</v>
      </c>
      <c r="D188" s="71" t="s">
        <v>9244</v>
      </c>
    </row>
    <row r="189" ht="14.25" customHeight="1">
      <c r="C189" s="71" t="s">
        <v>80</v>
      </c>
      <c r="D189" s="71" t="s">
        <v>9034</v>
      </c>
    </row>
    <row r="190" ht="14.25" customHeight="1">
      <c r="D190" s="71" t="s">
        <v>10690</v>
      </c>
    </row>
    <row r="191" ht="14.25" customHeight="1">
      <c r="D191" s="71" t="s">
        <v>8968</v>
      </c>
    </row>
    <row r="192" ht="14.25" customHeight="1">
      <c r="C192" s="71" t="s">
        <v>5922</v>
      </c>
      <c r="D192" s="71" t="s">
        <v>9131</v>
      </c>
    </row>
    <row r="193" ht="14.25" customHeight="1">
      <c r="C193" s="71" t="s">
        <v>10691</v>
      </c>
      <c r="D193" s="71" t="s">
        <v>8994</v>
      </c>
    </row>
    <row r="194" ht="14.25" customHeight="1">
      <c r="C194" s="71" t="s">
        <v>4641</v>
      </c>
      <c r="D194" s="71" t="s">
        <v>405</v>
      </c>
    </row>
    <row r="195" ht="14.25" customHeight="1">
      <c r="C195" s="71" t="s">
        <v>10692</v>
      </c>
      <c r="D195" s="71" t="s">
        <v>9180</v>
      </c>
    </row>
    <row r="196" ht="14.25" customHeight="1">
      <c r="C196" s="71" t="s">
        <v>10693</v>
      </c>
      <c r="D196" s="71" t="s">
        <v>9213</v>
      </c>
    </row>
    <row r="197" ht="14.25" customHeight="1">
      <c r="C197" s="71" t="s">
        <v>10694</v>
      </c>
      <c r="D197" s="71" t="s">
        <v>9043</v>
      </c>
    </row>
    <row r="198" ht="14.25" customHeight="1">
      <c r="D198" s="71" t="s">
        <v>9026</v>
      </c>
    </row>
    <row r="199" ht="14.25" customHeight="1">
      <c r="C199" s="71" t="s">
        <v>7652</v>
      </c>
      <c r="D199" s="71" t="s">
        <v>9189</v>
      </c>
    </row>
    <row r="200" ht="14.25" customHeight="1">
      <c r="C200" s="71" t="s">
        <v>9110</v>
      </c>
      <c r="D200" s="71" t="s">
        <v>10695</v>
      </c>
    </row>
    <row r="201" ht="14.25" customHeight="1">
      <c r="C201" s="71" t="s">
        <v>10696</v>
      </c>
      <c r="D201" s="71" t="s">
        <v>9043</v>
      </c>
    </row>
    <row r="202" ht="14.25" customHeight="1">
      <c r="C202" s="71" t="s">
        <v>102</v>
      </c>
      <c r="D202" s="71" t="s">
        <v>9219</v>
      </c>
    </row>
    <row r="203" ht="14.25" customHeight="1">
      <c r="C203" s="71" t="s">
        <v>10697</v>
      </c>
      <c r="D203" s="71" t="s">
        <v>9055</v>
      </c>
    </row>
    <row r="204" ht="14.25" customHeight="1">
      <c r="C204" s="71" t="s">
        <v>10151</v>
      </c>
      <c r="D204" s="71" t="s">
        <v>9026</v>
      </c>
    </row>
    <row r="205" ht="14.25" customHeight="1">
      <c r="C205" s="71" t="s">
        <v>111</v>
      </c>
      <c r="D205" s="71" t="s">
        <v>9131</v>
      </c>
    </row>
    <row r="206" ht="14.25" customHeight="1">
      <c r="C206" s="71" t="s">
        <v>4837</v>
      </c>
      <c r="D206" s="71" t="s">
        <v>9131</v>
      </c>
    </row>
    <row r="207" ht="14.25" customHeight="1">
      <c r="C207" s="71" t="s">
        <v>118</v>
      </c>
      <c r="D207" s="71" t="s">
        <v>9180</v>
      </c>
    </row>
    <row r="208" ht="14.25" customHeight="1">
      <c r="C208" s="71" t="s">
        <v>129</v>
      </c>
      <c r="D208" s="71" t="s">
        <v>8994</v>
      </c>
    </row>
    <row r="209" ht="14.25" customHeight="1">
      <c r="C209" s="71" t="s">
        <v>10698</v>
      </c>
      <c r="D209" s="71" t="s">
        <v>8968</v>
      </c>
    </row>
    <row r="210" ht="14.25" customHeight="1">
      <c r="C210" s="71" t="s">
        <v>10699</v>
      </c>
      <c r="D210" s="71" t="s">
        <v>9219</v>
      </c>
    </row>
    <row r="211" ht="14.25" customHeight="1">
      <c r="D211" s="71" t="s">
        <v>10700</v>
      </c>
    </row>
    <row r="212" ht="14.25" customHeight="1">
      <c r="D212" s="71" t="s">
        <v>9187</v>
      </c>
    </row>
    <row r="213" ht="14.25" customHeight="1">
      <c r="D213" s="71" t="s">
        <v>9189</v>
      </c>
    </row>
    <row r="214" ht="14.25" customHeight="1">
      <c r="C214" s="71" t="s">
        <v>6310</v>
      </c>
      <c r="D214" s="71" t="s">
        <v>9055</v>
      </c>
    </row>
    <row r="215" ht="14.25" customHeight="1">
      <c r="C215" s="71" t="s">
        <v>4911</v>
      </c>
      <c r="D215" s="71" t="s">
        <v>8968</v>
      </c>
    </row>
    <row r="216" ht="14.25" customHeight="1">
      <c r="C216" s="71" t="s">
        <v>9590</v>
      </c>
      <c r="D216" s="71" t="s">
        <v>10701</v>
      </c>
    </row>
    <row r="217" ht="14.25" customHeight="1">
      <c r="C217" s="71" t="s">
        <v>1144</v>
      </c>
      <c r="D217" s="71" t="s">
        <v>9131</v>
      </c>
    </row>
    <row r="218" ht="14.25" customHeight="1">
      <c r="C218" s="71" t="s">
        <v>6348</v>
      </c>
      <c r="D218" s="71" t="s">
        <v>9219</v>
      </c>
    </row>
    <row r="219" ht="14.25" customHeight="1">
      <c r="C219" s="71" t="s">
        <v>139</v>
      </c>
      <c r="D219" s="71" t="s">
        <v>8994</v>
      </c>
    </row>
    <row r="220" ht="14.25" customHeight="1">
      <c r="C220" s="71" t="s">
        <v>1196</v>
      </c>
      <c r="D220" s="71" t="s">
        <v>8968</v>
      </c>
    </row>
    <row r="221" ht="14.25" customHeight="1">
      <c r="D221" s="71" t="s">
        <v>9219</v>
      </c>
    </row>
    <row r="222" ht="14.25" customHeight="1">
      <c r="C222" s="71" t="s">
        <v>10702</v>
      </c>
      <c r="D222" s="71" t="s">
        <v>9189</v>
      </c>
    </row>
    <row r="223" ht="14.25" customHeight="1">
      <c r="C223" s="71" t="s">
        <v>10703</v>
      </c>
      <c r="D223" s="71" t="s">
        <v>9151</v>
      </c>
    </row>
    <row r="224" ht="14.25" customHeight="1">
      <c r="C224" s="71" t="s">
        <v>147</v>
      </c>
      <c r="D224" s="71" t="s">
        <v>9026</v>
      </c>
    </row>
    <row r="225" ht="14.25" customHeight="1">
      <c r="C225" s="71" t="s">
        <v>148</v>
      </c>
      <c r="D225" s="71" t="s">
        <v>9244</v>
      </c>
    </row>
    <row r="226" ht="14.25" customHeight="1">
      <c r="C226" s="71" t="s">
        <v>152</v>
      </c>
      <c r="D226" s="71" t="s">
        <v>9043</v>
      </c>
    </row>
    <row r="227" ht="14.25" customHeight="1">
      <c r="C227" s="71" t="s">
        <v>155</v>
      </c>
      <c r="D227" s="71" t="s">
        <v>9131</v>
      </c>
    </row>
    <row r="228" ht="14.25" customHeight="1">
      <c r="C228" s="71" t="s">
        <v>156</v>
      </c>
      <c r="D228" s="71" t="s">
        <v>10704</v>
      </c>
    </row>
    <row r="229" ht="14.25" customHeight="1">
      <c r="C229" s="71" t="s">
        <v>9198</v>
      </c>
      <c r="D229" s="71" t="s">
        <v>9026</v>
      </c>
    </row>
    <row r="230" ht="14.25" customHeight="1">
      <c r="C230" s="71" t="s">
        <v>10705</v>
      </c>
      <c r="D230" s="71" t="s">
        <v>9219</v>
      </c>
    </row>
    <row r="231" ht="14.25" customHeight="1">
      <c r="C231" s="71" t="s">
        <v>165</v>
      </c>
      <c r="D231" s="71" t="s">
        <v>9219</v>
      </c>
    </row>
    <row r="232" ht="14.25" customHeight="1">
      <c r="C232" s="71" t="s">
        <v>166</v>
      </c>
      <c r="D232" s="71" t="s">
        <v>9151</v>
      </c>
    </row>
    <row r="233" ht="14.25" customHeight="1">
      <c r="C233" s="71" t="s">
        <v>1417</v>
      </c>
      <c r="D233" s="71" t="s">
        <v>9034</v>
      </c>
    </row>
    <row r="234" ht="14.25" customHeight="1">
      <c r="D234" s="71" t="s">
        <v>9204</v>
      </c>
    </row>
    <row r="235" ht="14.25" customHeight="1">
      <c r="D235" s="71" t="s">
        <v>9180</v>
      </c>
    </row>
    <row r="236" ht="14.25" customHeight="1">
      <c r="D236" s="71" t="s">
        <v>9880</v>
      </c>
    </row>
    <row r="237" ht="14.25" customHeight="1">
      <c r="D237" s="71" t="s">
        <v>8968</v>
      </c>
    </row>
    <row r="238" ht="14.25" customHeight="1">
      <c r="D238" s="71" t="s">
        <v>9043</v>
      </c>
    </row>
    <row r="239" ht="14.25" customHeight="1">
      <c r="D239" s="71" t="s">
        <v>10706</v>
      </c>
    </row>
    <row r="240" ht="14.25" customHeight="1">
      <c r="D240" s="71" t="s">
        <v>10707</v>
      </c>
    </row>
    <row r="241" ht="14.25" customHeight="1">
      <c r="D241" s="71" t="s">
        <v>9244</v>
      </c>
    </row>
    <row r="242" ht="14.25" customHeight="1">
      <c r="C242" s="71" t="s">
        <v>6582</v>
      </c>
      <c r="D242" s="71" t="s">
        <v>10708</v>
      </c>
    </row>
    <row r="243" ht="14.25" customHeight="1">
      <c r="C243" s="71" t="s">
        <v>10709</v>
      </c>
      <c r="D243" s="71" t="s">
        <v>8968</v>
      </c>
    </row>
    <row r="244" ht="14.25" customHeight="1">
      <c r="C244" s="71" t="s">
        <v>179</v>
      </c>
      <c r="D244" s="71" t="s">
        <v>8968</v>
      </c>
    </row>
    <row r="245" ht="14.25" customHeight="1">
      <c r="D245" s="71" t="s">
        <v>9219</v>
      </c>
    </row>
    <row r="246" ht="14.25" customHeight="1">
      <c r="D246" s="71" t="s">
        <v>9026</v>
      </c>
    </row>
    <row r="247" ht="14.25" customHeight="1">
      <c r="D247" s="71" t="s">
        <v>10710</v>
      </c>
    </row>
    <row r="248" ht="14.25" customHeight="1">
      <c r="D248" s="71" t="s">
        <v>8994</v>
      </c>
    </row>
    <row r="249" ht="14.25" customHeight="1">
      <c r="C249" s="71" t="s">
        <v>10711</v>
      </c>
      <c r="D249" s="71" t="s">
        <v>9026</v>
      </c>
    </row>
    <row r="250" ht="14.25" customHeight="1">
      <c r="C250" s="71" t="s">
        <v>180</v>
      </c>
      <c r="D250" s="71" t="s">
        <v>9219</v>
      </c>
    </row>
    <row r="251" ht="14.25" customHeight="1">
      <c r="D251" s="71" t="s">
        <v>9043</v>
      </c>
    </row>
    <row r="252" ht="14.25" customHeight="1">
      <c r="C252" s="71" t="s">
        <v>196</v>
      </c>
      <c r="D252" s="71" t="s">
        <v>9055</v>
      </c>
    </row>
    <row r="253" ht="14.25" customHeight="1">
      <c r="C253" s="71" t="s">
        <v>1615</v>
      </c>
      <c r="D253" s="71" t="s">
        <v>10712</v>
      </c>
    </row>
    <row r="254" ht="14.25" customHeight="1">
      <c r="C254" s="71" t="s">
        <v>215</v>
      </c>
      <c r="D254" s="71" t="s">
        <v>9109</v>
      </c>
    </row>
    <row r="255" ht="14.25" customHeight="1">
      <c r="C255" s="71" t="s">
        <v>10713</v>
      </c>
      <c r="D255" s="71" t="s">
        <v>9180</v>
      </c>
    </row>
    <row r="256" ht="14.25" customHeight="1">
      <c r="C256" s="71" t="s">
        <v>217</v>
      </c>
      <c r="D256" s="71" t="s">
        <v>9180</v>
      </c>
    </row>
    <row r="257" ht="14.25" customHeight="1">
      <c r="D257" s="71" t="s">
        <v>8968</v>
      </c>
    </row>
    <row r="258" ht="14.25" customHeight="1">
      <c r="D258" s="71" t="s">
        <v>9178</v>
      </c>
    </row>
    <row r="259" ht="14.25" customHeight="1">
      <c r="C259" s="71" t="s">
        <v>6849</v>
      </c>
      <c r="D259" s="71" t="s">
        <v>9219</v>
      </c>
    </row>
    <row r="260" ht="14.25" customHeight="1">
      <c r="C260" s="71" t="s">
        <v>3900</v>
      </c>
      <c r="D260" s="71" t="s">
        <v>8968</v>
      </c>
    </row>
    <row r="261" ht="14.25" customHeight="1">
      <c r="C261" s="71" t="s">
        <v>10714</v>
      </c>
      <c r="D261" s="71" t="s">
        <v>9109</v>
      </c>
    </row>
    <row r="262" ht="14.25" customHeight="1">
      <c r="C262" s="71" t="s">
        <v>6904</v>
      </c>
      <c r="D262" s="71" t="s">
        <v>10715</v>
      </c>
    </row>
    <row r="263" ht="14.25" customHeight="1">
      <c r="C263" s="71" t="s">
        <v>225</v>
      </c>
      <c r="D263" s="71" t="s">
        <v>9131</v>
      </c>
    </row>
    <row r="264" ht="14.25" customHeight="1">
      <c r="C264" s="71" t="s">
        <v>10252</v>
      </c>
      <c r="D264" s="71" t="s">
        <v>10716</v>
      </c>
    </row>
    <row r="265" ht="14.25" customHeight="1">
      <c r="C265" s="71" t="s">
        <v>10717</v>
      </c>
      <c r="D265" s="71" t="s">
        <v>9151</v>
      </c>
    </row>
    <row r="266" ht="14.25" customHeight="1">
      <c r="C266" s="71" t="s">
        <v>10718</v>
      </c>
      <c r="D266" s="71" t="s">
        <v>8978</v>
      </c>
    </row>
    <row r="267" ht="14.25" customHeight="1">
      <c r="C267" s="71" t="s">
        <v>245</v>
      </c>
      <c r="D267" s="71" t="s">
        <v>8968</v>
      </c>
    </row>
    <row r="268" ht="14.25" customHeight="1">
      <c r="C268" s="71" t="s">
        <v>10719</v>
      </c>
      <c r="D268" s="71" t="s">
        <v>9180</v>
      </c>
    </row>
    <row r="269" ht="14.25" customHeight="1">
      <c r="D269" s="71" t="s">
        <v>8968</v>
      </c>
    </row>
    <row r="270" ht="14.25" customHeight="1">
      <c r="C270" s="71" t="s">
        <v>250</v>
      </c>
      <c r="D270" s="71" t="s">
        <v>10720</v>
      </c>
    </row>
    <row r="271" ht="14.25" customHeight="1">
      <c r="C271" s="71" t="s">
        <v>10721</v>
      </c>
      <c r="D271" s="71" t="s">
        <v>9026</v>
      </c>
    </row>
    <row r="272" ht="14.25" customHeight="1">
      <c r="C272" s="71" t="s">
        <v>267</v>
      </c>
      <c r="D272" s="71" t="s">
        <v>9180</v>
      </c>
    </row>
    <row r="273" ht="14.25" customHeight="1">
      <c r="C273" s="71" t="s">
        <v>280</v>
      </c>
      <c r="D273" s="71" t="s">
        <v>9151</v>
      </c>
    </row>
    <row r="274" ht="14.25" customHeight="1">
      <c r="C274" s="71" t="s">
        <v>2230</v>
      </c>
      <c r="D274" s="71" t="s">
        <v>9034</v>
      </c>
    </row>
    <row r="275" ht="14.25" customHeight="1">
      <c r="D275" s="71" t="s">
        <v>9180</v>
      </c>
    </row>
    <row r="276" ht="14.25" customHeight="1">
      <c r="D276" s="71" t="s">
        <v>10141</v>
      </c>
    </row>
    <row r="277" ht="14.25" customHeight="1">
      <c r="D277" s="71" t="s">
        <v>9026</v>
      </c>
    </row>
    <row r="278" ht="14.25" customHeight="1">
      <c r="C278" s="71" t="s">
        <v>282</v>
      </c>
      <c r="D278" s="71" t="s">
        <v>9026</v>
      </c>
    </row>
    <row r="279" ht="14.25" customHeight="1">
      <c r="B279" s="71" t="s">
        <v>41</v>
      </c>
      <c r="C279" s="71" t="s">
        <v>9034</v>
      </c>
      <c r="D279" s="71" t="s">
        <v>9618</v>
      </c>
    </row>
    <row r="280" ht="14.25" customHeight="1">
      <c r="C280" s="71" t="s">
        <v>5740</v>
      </c>
      <c r="D280" s="71" t="s">
        <v>9034</v>
      </c>
    </row>
    <row r="281" ht="14.25" customHeight="1">
      <c r="C281" s="71" t="s">
        <v>859</v>
      </c>
      <c r="D281" s="71" t="s">
        <v>9219</v>
      </c>
    </row>
    <row r="282" ht="14.25" customHeight="1">
      <c r="C282" s="71" t="s">
        <v>10722</v>
      </c>
      <c r="D282" s="71" t="s">
        <v>8994</v>
      </c>
    </row>
    <row r="283" ht="14.25" customHeight="1">
      <c r="C283" s="71" t="s">
        <v>10723</v>
      </c>
      <c r="D283" s="71" t="s">
        <v>9055</v>
      </c>
    </row>
    <row r="284" ht="14.25" customHeight="1">
      <c r="C284" s="71" t="s">
        <v>4911</v>
      </c>
      <c r="D284" s="71" t="s">
        <v>8994</v>
      </c>
    </row>
    <row r="285" ht="14.25" customHeight="1">
      <c r="C285" s="71" t="s">
        <v>10724</v>
      </c>
      <c r="D285" s="71" t="s">
        <v>10725</v>
      </c>
    </row>
    <row r="286" ht="14.25" customHeight="1">
      <c r="C286" s="71" t="s">
        <v>1196</v>
      </c>
      <c r="D286" s="71" t="s">
        <v>8994</v>
      </c>
    </row>
    <row r="287" ht="14.25" customHeight="1">
      <c r="C287" s="71" t="s">
        <v>10702</v>
      </c>
      <c r="D287" s="71" t="s">
        <v>9219</v>
      </c>
    </row>
    <row r="288" ht="14.25" customHeight="1">
      <c r="C288" s="71" t="s">
        <v>1417</v>
      </c>
      <c r="D288" s="71" t="s">
        <v>9880</v>
      </c>
    </row>
    <row r="289" ht="14.25" customHeight="1">
      <c r="C289" s="71" t="s">
        <v>10726</v>
      </c>
      <c r="D289" s="71" t="s">
        <v>8968</v>
      </c>
    </row>
    <row r="290" ht="14.25" customHeight="1">
      <c r="C290" s="71" t="s">
        <v>200</v>
      </c>
      <c r="D290" s="71" t="s">
        <v>9151</v>
      </c>
    </row>
    <row r="291" ht="14.25" customHeight="1">
      <c r="C291" s="71" t="s">
        <v>10727</v>
      </c>
      <c r="D291" s="71" t="s">
        <v>9034</v>
      </c>
    </row>
    <row r="292" ht="14.25" customHeight="1">
      <c r="C292" s="71" t="s">
        <v>250</v>
      </c>
      <c r="D292" s="71" t="s">
        <v>10728</v>
      </c>
    </row>
    <row r="293" ht="14.25" customHeight="1">
      <c r="C293" s="71" t="s">
        <v>9434</v>
      </c>
      <c r="D293" s="71" t="s">
        <v>9180</v>
      </c>
    </row>
    <row r="294" ht="14.25" customHeight="1">
      <c r="C294" s="71" t="s">
        <v>10163</v>
      </c>
      <c r="D294" s="71" t="s">
        <v>10729</v>
      </c>
    </row>
    <row r="295" ht="14.25" customHeight="1">
      <c r="C295" s="71" t="s">
        <v>10730</v>
      </c>
      <c r="D295" s="71" t="s">
        <v>8968</v>
      </c>
    </row>
    <row r="296" ht="14.25" customHeight="1">
      <c r="B296" s="71" t="s">
        <v>13</v>
      </c>
      <c r="C296" s="71" t="s">
        <v>10075</v>
      </c>
      <c r="D296" s="71" t="s">
        <v>10731</v>
      </c>
    </row>
    <row r="297" ht="14.25" customHeight="1">
      <c r="C297" s="71" t="s">
        <v>257</v>
      </c>
      <c r="D297" s="71" t="s">
        <v>10732</v>
      </c>
    </row>
    <row r="298" ht="14.25" customHeight="1">
      <c r="C298" s="71" t="s">
        <v>2230</v>
      </c>
      <c r="D298" s="71" t="s">
        <v>9034</v>
      </c>
    </row>
    <row r="299" ht="14.25" customHeight="1">
      <c r="A299" s="71" t="s">
        <v>9254</v>
      </c>
      <c r="B299" s="71" t="s">
        <v>40</v>
      </c>
      <c r="C299" s="71" t="s">
        <v>10733</v>
      </c>
      <c r="D299" s="71" t="s">
        <v>8978</v>
      </c>
    </row>
    <row r="300" ht="14.25" customHeight="1">
      <c r="C300" s="71" t="s">
        <v>9257</v>
      </c>
      <c r="D300" s="71" t="s">
        <v>10734</v>
      </c>
    </row>
    <row r="301" ht="14.25" customHeight="1">
      <c r="C301" s="71" t="s">
        <v>2379</v>
      </c>
      <c r="D301" s="71" t="s">
        <v>9258</v>
      </c>
    </row>
    <row r="302" ht="14.25" customHeight="1">
      <c r="C302" s="71" t="s">
        <v>2444</v>
      </c>
      <c r="D302" s="71" t="s">
        <v>9867</v>
      </c>
    </row>
    <row r="303" ht="14.25" customHeight="1">
      <c r="C303" s="71" t="s">
        <v>10735</v>
      </c>
      <c r="D303" s="71" t="s">
        <v>10736</v>
      </c>
    </row>
    <row r="304" ht="14.25" customHeight="1">
      <c r="C304" s="71" t="s">
        <v>93</v>
      </c>
      <c r="D304" s="71" t="s">
        <v>8978</v>
      </c>
    </row>
    <row r="305" ht="14.25" customHeight="1">
      <c r="C305" s="71" t="s">
        <v>96</v>
      </c>
      <c r="D305" s="71" t="s">
        <v>9508</v>
      </c>
    </row>
    <row r="306" ht="14.25" customHeight="1">
      <c r="C306" s="71" t="s">
        <v>97</v>
      </c>
      <c r="D306" s="71" t="s">
        <v>9755</v>
      </c>
    </row>
    <row r="307" ht="14.25" customHeight="1">
      <c r="C307" s="71" t="s">
        <v>10737</v>
      </c>
      <c r="D307" s="71" t="s">
        <v>10738</v>
      </c>
    </row>
    <row r="308" ht="14.25" customHeight="1">
      <c r="C308" s="71" t="s">
        <v>916</v>
      </c>
      <c r="D308" s="71" t="s">
        <v>10739</v>
      </c>
    </row>
    <row r="309" ht="14.25" customHeight="1">
      <c r="D309" s="71" t="s">
        <v>8978</v>
      </c>
    </row>
    <row r="310" ht="14.25" customHeight="1">
      <c r="C310" s="71" t="s">
        <v>9630</v>
      </c>
      <c r="D310" s="71" t="s">
        <v>10740</v>
      </c>
    </row>
    <row r="311" ht="14.25" customHeight="1">
      <c r="D311" s="71" t="s">
        <v>8978</v>
      </c>
    </row>
    <row r="312" ht="14.25" customHeight="1">
      <c r="C312" s="71" t="s">
        <v>6182</v>
      </c>
      <c r="D312" s="71" t="s">
        <v>9289</v>
      </c>
    </row>
    <row r="313" ht="14.25" customHeight="1">
      <c r="C313" s="71" t="s">
        <v>10741</v>
      </c>
      <c r="D313" s="71" t="s">
        <v>10742</v>
      </c>
    </row>
    <row r="314" ht="14.25" customHeight="1">
      <c r="C314" s="71" t="s">
        <v>2928</v>
      </c>
      <c r="D314" s="71" t="s">
        <v>9258</v>
      </c>
    </row>
    <row r="315" ht="14.25" customHeight="1">
      <c r="C315" s="71" t="s">
        <v>10743</v>
      </c>
      <c r="D315" s="71" t="s">
        <v>8978</v>
      </c>
    </row>
    <row r="316" ht="14.25" customHeight="1">
      <c r="C316" s="71" t="s">
        <v>10744</v>
      </c>
      <c r="D316" s="71" t="s">
        <v>10633</v>
      </c>
    </row>
    <row r="317" ht="14.25" customHeight="1">
      <c r="C317" s="71" t="s">
        <v>6298</v>
      </c>
      <c r="D317" s="71" t="s">
        <v>8978</v>
      </c>
    </row>
    <row r="318" ht="14.25" customHeight="1">
      <c r="C318" s="71" t="s">
        <v>9426</v>
      </c>
      <c r="D318" s="71" t="s">
        <v>9258</v>
      </c>
    </row>
    <row r="319" ht="14.25" customHeight="1">
      <c r="C319" s="71" t="s">
        <v>7967</v>
      </c>
      <c r="D319" s="71" t="s">
        <v>8978</v>
      </c>
    </row>
    <row r="320" ht="14.25" customHeight="1">
      <c r="C320" s="71" t="s">
        <v>10745</v>
      </c>
      <c r="D320" s="71" t="s">
        <v>10746</v>
      </c>
    </row>
    <row r="321" ht="14.25" customHeight="1">
      <c r="C321" s="71" t="s">
        <v>3313</v>
      </c>
      <c r="D321" s="71" t="s">
        <v>9368</v>
      </c>
    </row>
    <row r="322" ht="14.25" customHeight="1">
      <c r="D322" s="71" t="s">
        <v>8978</v>
      </c>
    </row>
    <row r="323" ht="14.25" customHeight="1">
      <c r="C323" s="71" t="s">
        <v>10747</v>
      </c>
      <c r="D323" s="71" t="s">
        <v>9034</v>
      </c>
    </row>
    <row r="324" ht="14.25" customHeight="1">
      <c r="C324" s="71" t="s">
        <v>10748</v>
      </c>
      <c r="D324" s="71" t="s">
        <v>8978</v>
      </c>
    </row>
    <row r="325" ht="14.25" customHeight="1">
      <c r="C325" s="71" t="s">
        <v>10749</v>
      </c>
      <c r="D325" s="71" t="s">
        <v>722</v>
      </c>
    </row>
    <row r="326" ht="14.25" customHeight="1">
      <c r="C326" s="71" t="s">
        <v>173</v>
      </c>
      <c r="D326" s="71" t="s">
        <v>8978</v>
      </c>
    </row>
    <row r="327" ht="14.25" customHeight="1">
      <c r="C327" s="71" t="s">
        <v>3566</v>
      </c>
      <c r="D327" s="71" t="s">
        <v>8978</v>
      </c>
    </row>
    <row r="328" ht="14.25" customHeight="1">
      <c r="D328" s="71" t="s">
        <v>8976</v>
      </c>
    </row>
    <row r="329" ht="14.25" customHeight="1">
      <c r="C329" s="71" t="s">
        <v>9277</v>
      </c>
      <c r="D329" s="71" t="s">
        <v>8978</v>
      </c>
    </row>
    <row r="330" ht="14.25" customHeight="1">
      <c r="C330" s="71" t="s">
        <v>10750</v>
      </c>
      <c r="D330" s="71" t="s">
        <v>10751</v>
      </c>
    </row>
    <row r="331" ht="14.25" customHeight="1">
      <c r="C331" s="71" t="s">
        <v>218</v>
      </c>
      <c r="D331" s="71" t="s">
        <v>9258</v>
      </c>
    </row>
    <row r="332" ht="14.25" customHeight="1">
      <c r="C332" s="71" t="s">
        <v>233</v>
      </c>
      <c r="D332" s="71" t="s">
        <v>9034</v>
      </c>
    </row>
    <row r="333" ht="14.25" customHeight="1">
      <c r="C333" s="71" t="s">
        <v>10752</v>
      </c>
      <c r="D333" s="71" t="s">
        <v>9258</v>
      </c>
    </row>
    <row r="334" ht="14.25" customHeight="1">
      <c r="C334" s="71" t="s">
        <v>8978</v>
      </c>
      <c r="D334" s="71" t="s">
        <v>9034</v>
      </c>
    </row>
    <row r="335" ht="14.25" customHeight="1">
      <c r="C335" s="71" t="s">
        <v>10753</v>
      </c>
      <c r="D335" s="71" t="s">
        <v>9034</v>
      </c>
    </row>
    <row r="336" ht="14.25" customHeight="1">
      <c r="C336" s="71" t="s">
        <v>10754</v>
      </c>
      <c r="D336" s="71" t="s">
        <v>9034</v>
      </c>
    </row>
    <row r="337" ht="14.25" customHeight="1">
      <c r="C337" s="71" t="s">
        <v>262</v>
      </c>
      <c r="D337" s="71" t="s">
        <v>9755</v>
      </c>
    </row>
    <row r="338" ht="14.25" customHeight="1">
      <c r="D338" s="71" t="s">
        <v>10755</v>
      </c>
    </row>
    <row r="339" ht="14.25" customHeight="1">
      <c r="C339" s="71" t="s">
        <v>10597</v>
      </c>
      <c r="D339" s="71" t="s">
        <v>8976</v>
      </c>
    </row>
    <row r="340" ht="14.25" customHeight="1">
      <c r="C340" s="71" t="s">
        <v>4294</v>
      </c>
      <c r="D340" s="71" t="s">
        <v>8978</v>
      </c>
    </row>
    <row r="341" ht="14.25" customHeight="1">
      <c r="C341" s="71" t="s">
        <v>10756</v>
      </c>
      <c r="D341" s="71" t="s">
        <v>9034</v>
      </c>
    </row>
    <row r="342" ht="14.25" customHeight="1">
      <c r="C342" s="71" t="s">
        <v>274</v>
      </c>
      <c r="D342" s="71" t="s">
        <v>8978</v>
      </c>
    </row>
    <row r="343" ht="14.25" customHeight="1">
      <c r="C343" s="71" t="s">
        <v>10757</v>
      </c>
      <c r="D343" s="71" t="s">
        <v>8978</v>
      </c>
    </row>
    <row r="344" ht="14.25" customHeight="1">
      <c r="C344" s="71" t="s">
        <v>10758</v>
      </c>
      <c r="D344" s="71" t="s">
        <v>10759</v>
      </c>
    </row>
    <row r="345" ht="14.25" customHeight="1">
      <c r="D345" s="71" t="s">
        <v>9266</v>
      </c>
    </row>
    <row r="346" ht="14.25" customHeight="1">
      <c r="C346" s="71" t="s">
        <v>10760</v>
      </c>
      <c r="D346" s="71" t="s">
        <v>8978</v>
      </c>
    </row>
    <row r="347" ht="14.25" customHeight="1">
      <c r="A347" s="71" t="s">
        <v>9299</v>
      </c>
      <c r="B347" s="71" t="s">
        <v>40</v>
      </c>
      <c r="C347" s="71" t="s">
        <v>312</v>
      </c>
      <c r="D347" s="71" t="s">
        <v>10761</v>
      </c>
    </row>
    <row r="348" ht="14.25" customHeight="1">
      <c r="B348" s="71" t="s">
        <v>41</v>
      </c>
      <c r="C348" s="71" t="s">
        <v>9313</v>
      </c>
      <c r="D348" s="71" t="s">
        <v>9867</v>
      </c>
    </row>
    <row r="349" ht="14.25" customHeight="1">
      <c r="C349" s="71" t="s">
        <v>10762</v>
      </c>
      <c r="D349" s="71" t="s">
        <v>8968</v>
      </c>
    </row>
    <row r="350" ht="14.25" customHeight="1">
      <c r="C350" s="71" t="s">
        <v>9333</v>
      </c>
      <c r="D350" s="71" t="s">
        <v>10763</v>
      </c>
    </row>
    <row r="351" ht="14.25" customHeight="1">
      <c r="B351" s="71" t="s">
        <v>13</v>
      </c>
      <c r="C351" s="71" t="s">
        <v>9034</v>
      </c>
      <c r="D351" s="71" t="s">
        <v>10764</v>
      </c>
    </row>
    <row r="352" ht="14.25" customHeight="1">
      <c r="C352" s="71" t="s">
        <v>10683</v>
      </c>
      <c r="D352" s="71" t="s">
        <v>10765</v>
      </c>
    </row>
    <row r="353" ht="14.25" customHeight="1">
      <c r="C353" s="71" t="s">
        <v>10766</v>
      </c>
      <c r="D353" s="71" t="s">
        <v>9440</v>
      </c>
    </row>
    <row r="354" ht="14.25" customHeight="1">
      <c r="C354" s="71" t="s">
        <v>9090</v>
      </c>
      <c r="D354" s="71" t="s">
        <v>10608</v>
      </c>
    </row>
    <row r="355" ht="14.25" customHeight="1">
      <c r="A355" s="71" t="s">
        <v>9309</v>
      </c>
      <c r="B355" s="71" t="s">
        <v>41</v>
      </c>
      <c r="C355" s="71" t="s">
        <v>9034</v>
      </c>
      <c r="D355" s="71" t="s">
        <v>8978</v>
      </c>
    </row>
    <row r="356" ht="14.25" customHeight="1">
      <c r="C356" s="71" t="s">
        <v>10767</v>
      </c>
      <c r="D356" s="71" t="s">
        <v>9034</v>
      </c>
    </row>
    <row r="357" ht="14.25" customHeight="1">
      <c r="D357" s="71" t="s">
        <v>10768</v>
      </c>
    </row>
    <row r="358" ht="14.25" customHeight="1">
      <c r="D358" s="71" t="s">
        <v>10223</v>
      </c>
    </row>
    <row r="359" ht="14.25" customHeight="1">
      <c r="D359" s="71" t="s">
        <v>10769</v>
      </c>
    </row>
    <row r="360" ht="14.25" customHeight="1">
      <c r="D360" s="71" t="s">
        <v>9311</v>
      </c>
    </row>
    <row r="361" ht="14.25" customHeight="1">
      <c r="D361" s="71" t="s">
        <v>10770</v>
      </c>
    </row>
    <row r="362" ht="14.25" customHeight="1">
      <c r="C362" s="71" t="s">
        <v>5785</v>
      </c>
      <c r="D362" s="71" t="s">
        <v>10771</v>
      </c>
    </row>
    <row r="363" ht="14.25" customHeight="1">
      <c r="C363" s="71" t="s">
        <v>9313</v>
      </c>
      <c r="D363" s="71" t="s">
        <v>10772</v>
      </c>
    </row>
    <row r="364" ht="14.25" customHeight="1">
      <c r="C364" s="71" t="s">
        <v>2444</v>
      </c>
      <c r="D364" s="71" t="s">
        <v>9867</v>
      </c>
    </row>
    <row r="365" ht="14.25" customHeight="1">
      <c r="D365" s="71" t="s">
        <v>10773</v>
      </c>
    </row>
    <row r="366" ht="14.25" customHeight="1">
      <c r="C366" s="71" t="s">
        <v>10774</v>
      </c>
      <c r="D366" s="71" t="s">
        <v>9131</v>
      </c>
    </row>
    <row r="367" ht="14.25" customHeight="1">
      <c r="C367" s="71" t="s">
        <v>916</v>
      </c>
      <c r="D367" s="71" t="s">
        <v>9867</v>
      </c>
    </row>
    <row r="368" ht="14.25" customHeight="1">
      <c r="C368" s="71" t="s">
        <v>9374</v>
      </c>
      <c r="D368" s="71" t="s">
        <v>10775</v>
      </c>
    </row>
    <row r="369" ht="14.25" customHeight="1">
      <c r="C369" s="71" t="s">
        <v>10683</v>
      </c>
      <c r="D369" s="71" t="s">
        <v>10776</v>
      </c>
    </row>
    <row r="370" ht="14.25" customHeight="1">
      <c r="D370" s="71" t="s">
        <v>10768</v>
      </c>
    </row>
    <row r="371" ht="14.25" customHeight="1">
      <c r="D371" s="71" t="s">
        <v>10777</v>
      </c>
    </row>
    <row r="372" ht="14.25" customHeight="1">
      <c r="D372" s="71" t="s">
        <v>10778</v>
      </c>
    </row>
    <row r="373" ht="14.25" customHeight="1">
      <c r="C373" s="71" t="s">
        <v>10779</v>
      </c>
      <c r="D373" s="71" t="s">
        <v>9050</v>
      </c>
    </row>
    <row r="374" ht="14.25" customHeight="1">
      <c r="C374" s="71" t="s">
        <v>10780</v>
      </c>
      <c r="D374" s="71" t="s">
        <v>10781</v>
      </c>
    </row>
    <row r="375" ht="14.25" customHeight="1">
      <c r="D375" s="71" t="s">
        <v>8968</v>
      </c>
    </row>
    <row r="376" ht="14.25" customHeight="1">
      <c r="C376" s="71" t="s">
        <v>10766</v>
      </c>
      <c r="D376" s="71" t="s">
        <v>9281</v>
      </c>
    </row>
    <row r="377" ht="14.25" customHeight="1">
      <c r="D377" s="71" t="s">
        <v>8968</v>
      </c>
    </row>
    <row r="378" ht="14.25" customHeight="1">
      <c r="C378" s="71" t="s">
        <v>10782</v>
      </c>
      <c r="D378" s="71" t="s">
        <v>9291</v>
      </c>
    </row>
    <row r="379" ht="14.25" customHeight="1">
      <c r="C379" s="71" t="s">
        <v>314</v>
      </c>
      <c r="D379" s="71" t="s">
        <v>9525</v>
      </c>
    </row>
    <row r="380" ht="14.25" customHeight="1">
      <c r="C380" s="71" t="s">
        <v>9277</v>
      </c>
      <c r="D380" s="71" t="s">
        <v>9311</v>
      </c>
    </row>
    <row r="381" ht="14.25" customHeight="1">
      <c r="C381" s="71" t="s">
        <v>10762</v>
      </c>
      <c r="D381" s="71" t="s">
        <v>9034</v>
      </c>
    </row>
    <row r="382" ht="14.25" customHeight="1">
      <c r="D382" s="71" t="s">
        <v>9131</v>
      </c>
    </row>
    <row r="383" ht="14.25" customHeight="1">
      <c r="D383" s="71" t="s">
        <v>10783</v>
      </c>
    </row>
    <row r="384" ht="14.25" customHeight="1">
      <c r="D384" s="71" t="s">
        <v>10784</v>
      </c>
    </row>
    <row r="385" ht="14.25" customHeight="1">
      <c r="D385" s="71" t="s">
        <v>10785</v>
      </c>
    </row>
    <row r="386" ht="14.25" customHeight="1">
      <c r="D386" s="71" t="s">
        <v>9332</v>
      </c>
    </row>
    <row r="387" ht="14.25" customHeight="1">
      <c r="D387" s="71" t="s">
        <v>9315</v>
      </c>
    </row>
    <row r="388" ht="14.25" customHeight="1">
      <c r="C388" s="71" t="s">
        <v>9333</v>
      </c>
      <c r="D388" s="71" t="s">
        <v>9131</v>
      </c>
    </row>
    <row r="389" ht="14.25" customHeight="1">
      <c r="D389" s="71" t="s">
        <v>8968</v>
      </c>
    </row>
    <row r="390" ht="14.25" customHeight="1">
      <c r="D390" s="71" t="s">
        <v>10786</v>
      </c>
    </row>
    <row r="391" ht="14.25" customHeight="1">
      <c r="D391" s="71" t="s">
        <v>10787</v>
      </c>
    </row>
    <row r="392" ht="14.25" customHeight="1">
      <c r="C392" s="71" t="s">
        <v>4131</v>
      </c>
      <c r="D392" s="71" t="s">
        <v>10788</v>
      </c>
    </row>
    <row r="393" ht="14.25" customHeight="1">
      <c r="C393" s="71" t="s">
        <v>10789</v>
      </c>
      <c r="D393" s="71" t="s">
        <v>10204</v>
      </c>
    </row>
    <row r="394" ht="14.25" customHeight="1">
      <c r="C394" s="71" t="s">
        <v>262</v>
      </c>
      <c r="D394" s="71" t="s">
        <v>9034</v>
      </c>
    </row>
    <row r="395" ht="14.25" customHeight="1">
      <c r="C395" s="71" t="s">
        <v>10790</v>
      </c>
      <c r="D395" s="71" t="s">
        <v>10791</v>
      </c>
    </row>
    <row r="396" ht="14.25" customHeight="1">
      <c r="C396" s="71" t="s">
        <v>10792</v>
      </c>
      <c r="D396" s="71" t="s">
        <v>8968</v>
      </c>
    </row>
    <row r="397" ht="14.25" customHeight="1">
      <c r="B397" s="71" t="s">
        <v>13</v>
      </c>
      <c r="C397" s="71" t="s">
        <v>9541</v>
      </c>
      <c r="D397" s="71" t="s">
        <v>10793</v>
      </c>
    </row>
    <row r="398" ht="14.25" customHeight="1">
      <c r="C398" s="71" t="s">
        <v>3344</v>
      </c>
      <c r="D398" s="71" t="s">
        <v>10794</v>
      </c>
    </row>
    <row r="399" ht="14.25" customHeight="1">
      <c r="C399" s="71" t="s">
        <v>9090</v>
      </c>
      <c r="D399" s="71" t="s">
        <v>10608</v>
      </c>
    </row>
    <row r="400" ht="14.25" customHeight="1">
      <c r="A400" s="71" t="s">
        <v>9339</v>
      </c>
      <c r="B400" s="71" t="s">
        <v>40</v>
      </c>
      <c r="C400" s="71" t="s">
        <v>9034</v>
      </c>
      <c r="D400" s="71" t="s">
        <v>9258</v>
      </c>
    </row>
    <row r="401" ht="14.25" customHeight="1">
      <c r="D401" s="71" t="s">
        <v>8978</v>
      </c>
    </row>
    <row r="402" ht="14.25" customHeight="1">
      <c r="C402" s="71" t="s">
        <v>10767</v>
      </c>
      <c r="D402" s="71" t="s">
        <v>10763</v>
      </c>
    </row>
    <row r="403" ht="14.25" customHeight="1">
      <c r="C403" s="71" t="s">
        <v>10795</v>
      </c>
      <c r="D403" s="71" t="s">
        <v>8978</v>
      </c>
    </row>
    <row r="404" ht="14.25" customHeight="1">
      <c r="C404" s="71" t="s">
        <v>8969</v>
      </c>
      <c r="D404" s="71" t="s">
        <v>9256</v>
      </c>
    </row>
    <row r="405" ht="14.25" customHeight="1">
      <c r="D405" s="71" t="s">
        <v>8978</v>
      </c>
    </row>
    <row r="406" ht="14.25" customHeight="1">
      <c r="C406" s="71" t="s">
        <v>9257</v>
      </c>
      <c r="D406" s="71" t="s">
        <v>9256</v>
      </c>
    </row>
    <row r="407" ht="14.25" customHeight="1">
      <c r="C407" s="71" t="s">
        <v>2379</v>
      </c>
      <c r="D407" s="71" t="s">
        <v>10796</v>
      </c>
    </row>
    <row r="408" ht="14.25" customHeight="1">
      <c r="D408" s="71" t="s">
        <v>8978</v>
      </c>
    </row>
    <row r="409" ht="14.25" customHeight="1">
      <c r="C409" s="71" t="s">
        <v>10797</v>
      </c>
      <c r="D409" s="71" t="s">
        <v>8978</v>
      </c>
    </row>
    <row r="410" ht="14.25" customHeight="1">
      <c r="C410" s="71" t="s">
        <v>10798</v>
      </c>
      <c r="D410" s="71" t="s">
        <v>9034</v>
      </c>
    </row>
    <row r="411" ht="14.25" customHeight="1">
      <c r="C411" s="71" t="s">
        <v>10799</v>
      </c>
      <c r="D411" s="71" t="s">
        <v>9354</v>
      </c>
    </row>
    <row r="412" ht="14.25" customHeight="1">
      <c r="C412" s="71" t="s">
        <v>9355</v>
      </c>
      <c r="D412" s="71" t="s">
        <v>10800</v>
      </c>
    </row>
    <row r="413" ht="14.25" customHeight="1">
      <c r="D413" s="71" t="s">
        <v>8978</v>
      </c>
    </row>
    <row r="414" ht="14.25" customHeight="1">
      <c r="C414" s="71" t="s">
        <v>10657</v>
      </c>
      <c r="D414" s="71" t="s">
        <v>10801</v>
      </c>
    </row>
    <row r="415" ht="14.25" customHeight="1">
      <c r="C415" s="71" t="s">
        <v>9261</v>
      </c>
      <c r="D415" s="71" t="s">
        <v>8978</v>
      </c>
    </row>
    <row r="416" ht="14.25" customHeight="1">
      <c r="C416" s="71" t="s">
        <v>2669</v>
      </c>
      <c r="D416" s="71" t="s">
        <v>8978</v>
      </c>
    </row>
    <row r="417" ht="14.25" customHeight="1">
      <c r="C417" s="71" t="s">
        <v>93</v>
      </c>
      <c r="D417" s="71" t="s">
        <v>9258</v>
      </c>
    </row>
    <row r="418" ht="14.25" customHeight="1">
      <c r="D418" s="71" t="s">
        <v>8978</v>
      </c>
    </row>
    <row r="419" ht="14.25" customHeight="1">
      <c r="C419" s="71" t="s">
        <v>6011</v>
      </c>
      <c r="D419" s="71" t="s">
        <v>10802</v>
      </c>
    </row>
    <row r="420" ht="14.25" customHeight="1">
      <c r="C420" s="71" t="s">
        <v>9361</v>
      </c>
      <c r="D420" s="71" t="s">
        <v>9034</v>
      </c>
    </row>
    <row r="421" ht="14.25" customHeight="1">
      <c r="D421" s="71" t="s">
        <v>9383</v>
      </c>
    </row>
    <row r="422" ht="14.25" customHeight="1">
      <c r="C422" s="71" t="s">
        <v>10803</v>
      </c>
      <c r="D422" s="71" t="s">
        <v>9258</v>
      </c>
    </row>
    <row r="423" ht="14.25" customHeight="1">
      <c r="C423" s="71" t="s">
        <v>10804</v>
      </c>
      <c r="D423" s="71" t="s">
        <v>10805</v>
      </c>
    </row>
    <row r="424" ht="14.25" customHeight="1">
      <c r="C424" s="71" t="s">
        <v>4739</v>
      </c>
      <c r="D424" s="71" t="s">
        <v>8978</v>
      </c>
    </row>
    <row r="425" ht="14.25" customHeight="1">
      <c r="C425" s="71" t="s">
        <v>10737</v>
      </c>
      <c r="D425" s="71" t="s">
        <v>9168</v>
      </c>
    </row>
    <row r="426" ht="14.25" customHeight="1">
      <c r="C426" s="71" t="s">
        <v>916</v>
      </c>
      <c r="D426" s="71" t="s">
        <v>9258</v>
      </c>
    </row>
    <row r="427" ht="14.25" customHeight="1">
      <c r="D427" s="71" t="s">
        <v>8978</v>
      </c>
    </row>
    <row r="428" ht="14.25" customHeight="1">
      <c r="D428" s="71" t="s">
        <v>8976</v>
      </c>
    </row>
    <row r="429" ht="14.25" customHeight="1">
      <c r="C429" s="71" t="s">
        <v>9630</v>
      </c>
      <c r="D429" s="71" t="s">
        <v>10806</v>
      </c>
    </row>
    <row r="430" ht="14.25" customHeight="1">
      <c r="D430" s="71" t="s">
        <v>8978</v>
      </c>
    </row>
    <row r="431" ht="14.25" customHeight="1">
      <c r="C431" s="71" t="s">
        <v>10807</v>
      </c>
      <c r="D431" s="71" t="s">
        <v>9034</v>
      </c>
    </row>
    <row r="432" ht="14.25" customHeight="1">
      <c r="C432" s="71" t="s">
        <v>10808</v>
      </c>
      <c r="D432" s="71" t="s">
        <v>9034</v>
      </c>
    </row>
    <row r="433" ht="14.25" customHeight="1">
      <c r="C433" s="71" t="s">
        <v>6182</v>
      </c>
      <c r="D433" s="71" t="s">
        <v>9430</v>
      </c>
    </row>
    <row r="434" ht="14.25" customHeight="1">
      <c r="C434" s="71" t="s">
        <v>10809</v>
      </c>
      <c r="D434" s="71" t="s">
        <v>9380</v>
      </c>
    </row>
    <row r="435" ht="14.25" customHeight="1">
      <c r="C435" s="71" t="s">
        <v>1051</v>
      </c>
      <c r="D435" s="71" t="s">
        <v>9034</v>
      </c>
    </row>
    <row r="436" ht="14.25" customHeight="1">
      <c r="D436" s="71" t="s">
        <v>10810</v>
      </c>
    </row>
    <row r="437" ht="14.25" customHeight="1">
      <c r="D437" s="71" t="s">
        <v>8978</v>
      </c>
    </row>
    <row r="438" ht="14.25" customHeight="1">
      <c r="C438" s="71" t="s">
        <v>128</v>
      </c>
      <c r="D438" s="71" t="s">
        <v>10811</v>
      </c>
    </row>
    <row r="439" ht="14.25" customHeight="1">
      <c r="C439" s="71" t="s">
        <v>10812</v>
      </c>
      <c r="D439" s="71" t="s">
        <v>10813</v>
      </c>
    </row>
    <row r="440" ht="14.25" customHeight="1">
      <c r="C440" s="71" t="s">
        <v>10814</v>
      </c>
      <c r="D440" s="71" t="s">
        <v>10815</v>
      </c>
    </row>
    <row r="441" ht="14.25" customHeight="1">
      <c r="C441" s="71" t="s">
        <v>9370</v>
      </c>
      <c r="D441" s="71" t="s">
        <v>8978</v>
      </c>
    </row>
    <row r="442" ht="14.25" customHeight="1">
      <c r="C442" s="71" t="s">
        <v>10816</v>
      </c>
      <c r="D442" s="71" t="s">
        <v>8978</v>
      </c>
    </row>
    <row r="443" ht="14.25" customHeight="1">
      <c r="C443" s="71" t="s">
        <v>9303</v>
      </c>
      <c r="D443" s="71" t="s">
        <v>10806</v>
      </c>
    </row>
    <row r="444" ht="14.25" customHeight="1">
      <c r="C444" s="71" t="s">
        <v>9374</v>
      </c>
      <c r="D444" s="71" t="s">
        <v>8978</v>
      </c>
    </row>
    <row r="445" ht="14.25" customHeight="1">
      <c r="C445" s="71" t="s">
        <v>6405</v>
      </c>
      <c r="D445" s="71" t="s">
        <v>9258</v>
      </c>
    </row>
    <row r="446" ht="14.25" customHeight="1">
      <c r="C446" s="71" t="s">
        <v>10745</v>
      </c>
      <c r="D446" s="71" t="s">
        <v>9034</v>
      </c>
    </row>
    <row r="447" ht="14.25" customHeight="1">
      <c r="D447" s="71" t="s">
        <v>10204</v>
      </c>
    </row>
    <row r="448" ht="14.25" customHeight="1">
      <c r="C448" s="71" t="s">
        <v>10817</v>
      </c>
      <c r="D448" s="71" t="s">
        <v>559</v>
      </c>
    </row>
    <row r="449" ht="14.25" customHeight="1">
      <c r="C449" s="71" t="s">
        <v>10818</v>
      </c>
      <c r="D449" s="71" t="s">
        <v>8978</v>
      </c>
    </row>
    <row r="450" ht="14.25" customHeight="1">
      <c r="C450" s="71" t="s">
        <v>312</v>
      </c>
      <c r="D450" s="71" t="s">
        <v>10819</v>
      </c>
    </row>
    <row r="451" ht="14.25" customHeight="1">
      <c r="C451" s="71" t="s">
        <v>10820</v>
      </c>
      <c r="D451" s="71" t="s">
        <v>9258</v>
      </c>
    </row>
    <row r="452" ht="14.25" customHeight="1">
      <c r="C452" s="71" t="s">
        <v>10821</v>
      </c>
      <c r="D452" s="71" t="s">
        <v>10576</v>
      </c>
    </row>
    <row r="453" ht="14.25" customHeight="1">
      <c r="C453" s="71" t="s">
        <v>3566</v>
      </c>
      <c r="D453" s="71" t="s">
        <v>10174</v>
      </c>
    </row>
    <row r="454" ht="14.25" customHeight="1">
      <c r="D454" s="71" t="s">
        <v>8978</v>
      </c>
    </row>
    <row r="455" ht="14.25" customHeight="1">
      <c r="C455" s="71" t="s">
        <v>10822</v>
      </c>
      <c r="D455" s="71" t="s">
        <v>8978</v>
      </c>
    </row>
    <row r="456" ht="14.25" customHeight="1">
      <c r="C456" s="71" t="s">
        <v>10823</v>
      </c>
      <c r="D456" s="71" t="s">
        <v>8978</v>
      </c>
    </row>
    <row r="457" ht="14.25" customHeight="1">
      <c r="C457" s="71" t="s">
        <v>10824</v>
      </c>
      <c r="D457" s="71" t="s">
        <v>10189</v>
      </c>
    </row>
    <row r="458" ht="14.25" customHeight="1">
      <c r="C458" s="71" t="s">
        <v>9277</v>
      </c>
      <c r="D458" s="71" t="s">
        <v>9574</v>
      </c>
    </row>
    <row r="459" ht="14.25" customHeight="1">
      <c r="D459" s="71" t="s">
        <v>10825</v>
      </c>
    </row>
    <row r="460" ht="14.25" customHeight="1">
      <c r="D460" s="71" t="s">
        <v>8978</v>
      </c>
    </row>
    <row r="461" ht="14.25" customHeight="1">
      <c r="C461" s="71" t="s">
        <v>203</v>
      </c>
      <c r="D461" s="71" t="s">
        <v>10826</v>
      </c>
    </row>
    <row r="462" ht="14.25" customHeight="1">
      <c r="D462" s="71" t="s">
        <v>8978</v>
      </c>
    </row>
    <row r="463" ht="14.25" customHeight="1">
      <c r="C463" s="71" t="s">
        <v>10827</v>
      </c>
      <c r="D463" s="71" t="s">
        <v>8978</v>
      </c>
    </row>
    <row r="464" ht="14.25" customHeight="1">
      <c r="C464" s="71" t="s">
        <v>9331</v>
      </c>
      <c r="D464" s="71" t="s">
        <v>10828</v>
      </c>
    </row>
    <row r="465" ht="14.25" customHeight="1">
      <c r="C465" s="71" t="s">
        <v>10829</v>
      </c>
      <c r="D465" s="71" t="s">
        <v>10830</v>
      </c>
    </row>
    <row r="466" ht="14.25" customHeight="1">
      <c r="C466" s="71" t="s">
        <v>10831</v>
      </c>
      <c r="D466" s="71" t="s">
        <v>8978</v>
      </c>
    </row>
    <row r="467" ht="14.25" customHeight="1">
      <c r="C467" s="71" t="s">
        <v>6841</v>
      </c>
      <c r="D467" s="71" t="s">
        <v>9430</v>
      </c>
    </row>
    <row r="468" ht="14.25" customHeight="1">
      <c r="C468" s="71" t="s">
        <v>218</v>
      </c>
      <c r="D468" s="71" t="s">
        <v>9034</v>
      </c>
    </row>
    <row r="469" ht="14.25" customHeight="1">
      <c r="D469" s="71" t="s">
        <v>9258</v>
      </c>
    </row>
    <row r="470" ht="14.25" customHeight="1">
      <c r="D470" s="71" t="s">
        <v>9256</v>
      </c>
    </row>
    <row r="471" ht="14.25" customHeight="1">
      <c r="D471" s="71" t="s">
        <v>8978</v>
      </c>
    </row>
    <row r="472" ht="14.25" customHeight="1">
      <c r="C472" s="71" t="s">
        <v>10832</v>
      </c>
      <c r="D472" s="71" t="s">
        <v>8978</v>
      </c>
    </row>
    <row r="473" ht="14.25" customHeight="1">
      <c r="C473" s="71" t="s">
        <v>220</v>
      </c>
      <c r="D473" s="71" t="s">
        <v>9319</v>
      </c>
    </row>
    <row r="474" ht="14.25" customHeight="1">
      <c r="C474" s="71" t="s">
        <v>10833</v>
      </c>
      <c r="D474" s="71" t="s">
        <v>8978</v>
      </c>
    </row>
    <row r="475" ht="14.25" customHeight="1">
      <c r="C475" s="71" t="s">
        <v>10834</v>
      </c>
      <c r="D475" s="71" t="s">
        <v>8978</v>
      </c>
    </row>
    <row r="476" ht="14.25" customHeight="1">
      <c r="C476" s="71" t="s">
        <v>9401</v>
      </c>
      <c r="D476" s="71" t="s">
        <v>8978</v>
      </c>
    </row>
    <row r="477" ht="14.25" customHeight="1">
      <c r="C477" s="71" t="s">
        <v>10835</v>
      </c>
      <c r="D477" s="71" t="s">
        <v>8978</v>
      </c>
    </row>
    <row r="478" ht="14.25" customHeight="1">
      <c r="C478" s="71" t="s">
        <v>10836</v>
      </c>
      <c r="D478" s="71" t="s">
        <v>9383</v>
      </c>
    </row>
    <row r="479" ht="14.25" customHeight="1">
      <c r="C479" s="71" t="s">
        <v>10837</v>
      </c>
      <c r="D479" s="71" t="s">
        <v>8978</v>
      </c>
    </row>
    <row r="480" ht="14.25" customHeight="1">
      <c r="C480" s="71" t="s">
        <v>10838</v>
      </c>
      <c r="D480" s="71" t="s">
        <v>10839</v>
      </c>
    </row>
    <row r="481" ht="14.25" customHeight="1">
      <c r="C481" s="71" t="s">
        <v>244</v>
      </c>
      <c r="D481" s="71" t="s">
        <v>9368</v>
      </c>
    </row>
    <row r="482" ht="14.25" customHeight="1">
      <c r="C482" s="71" t="s">
        <v>10840</v>
      </c>
      <c r="D482" s="71" t="s">
        <v>10841</v>
      </c>
    </row>
    <row r="483" ht="14.25" customHeight="1">
      <c r="C483" s="71" t="s">
        <v>10842</v>
      </c>
      <c r="D483" s="71" t="s">
        <v>8978</v>
      </c>
    </row>
    <row r="484" ht="14.25" customHeight="1">
      <c r="C484" s="71" t="s">
        <v>10843</v>
      </c>
      <c r="D484" s="71" t="s">
        <v>10844</v>
      </c>
    </row>
    <row r="485" ht="14.25" customHeight="1">
      <c r="C485" s="71" t="s">
        <v>9090</v>
      </c>
      <c r="D485" s="71" t="s">
        <v>10845</v>
      </c>
    </row>
    <row r="486" ht="14.25" customHeight="1">
      <c r="D486" s="71" t="s">
        <v>10846</v>
      </c>
    </row>
    <row r="487" ht="14.25" customHeight="1">
      <c r="C487" s="71" t="s">
        <v>262</v>
      </c>
      <c r="D487" s="71" t="s">
        <v>9034</v>
      </c>
    </row>
    <row r="488" ht="14.25" customHeight="1">
      <c r="C488" s="71" t="s">
        <v>10847</v>
      </c>
      <c r="D488" s="71" t="s">
        <v>9319</v>
      </c>
    </row>
    <row r="489" ht="14.25" customHeight="1">
      <c r="C489" s="71" t="s">
        <v>10848</v>
      </c>
      <c r="D489" s="71" t="s">
        <v>8978</v>
      </c>
    </row>
    <row r="490" ht="14.25" customHeight="1">
      <c r="C490" s="71" t="s">
        <v>10849</v>
      </c>
      <c r="D490" s="71" t="s">
        <v>8978</v>
      </c>
    </row>
    <row r="491" ht="14.25" customHeight="1">
      <c r="C491" s="71" t="s">
        <v>324</v>
      </c>
      <c r="D491" s="71" t="s">
        <v>10850</v>
      </c>
    </row>
    <row r="492" ht="14.25" customHeight="1">
      <c r="C492" s="71" t="s">
        <v>10851</v>
      </c>
      <c r="D492" s="71" t="s">
        <v>8978</v>
      </c>
    </row>
    <row r="493" ht="14.25" customHeight="1">
      <c r="C493" s="71" t="s">
        <v>9295</v>
      </c>
      <c r="D493" s="71" t="s">
        <v>8978</v>
      </c>
    </row>
    <row r="494" ht="14.25" customHeight="1">
      <c r="C494" s="71" t="s">
        <v>9787</v>
      </c>
      <c r="D494" s="71" t="s">
        <v>8978</v>
      </c>
    </row>
    <row r="495" ht="14.25" customHeight="1">
      <c r="C495" s="71" t="s">
        <v>10852</v>
      </c>
      <c r="D495" s="71" t="s">
        <v>10853</v>
      </c>
    </row>
    <row r="496" ht="14.25" customHeight="1">
      <c r="B496" s="71" t="s">
        <v>41</v>
      </c>
      <c r="C496" s="71" t="s">
        <v>9034</v>
      </c>
      <c r="D496" s="71" t="s">
        <v>10854</v>
      </c>
    </row>
    <row r="497" ht="14.25" customHeight="1">
      <c r="C497" s="71" t="s">
        <v>10855</v>
      </c>
      <c r="D497" s="71" t="s">
        <v>10856</v>
      </c>
    </row>
    <row r="498" ht="14.25" customHeight="1">
      <c r="C498" s="71" t="s">
        <v>8969</v>
      </c>
      <c r="D498" s="71" t="s">
        <v>9306</v>
      </c>
    </row>
    <row r="499" ht="14.25" customHeight="1">
      <c r="C499" s="71" t="s">
        <v>10857</v>
      </c>
      <c r="D499" s="71" t="s">
        <v>8978</v>
      </c>
    </row>
    <row r="500" ht="14.25" customHeight="1">
      <c r="C500" s="71" t="s">
        <v>2379</v>
      </c>
      <c r="D500" s="71" t="s">
        <v>8978</v>
      </c>
    </row>
    <row r="501" ht="14.25" customHeight="1">
      <c r="C501" s="71" t="s">
        <v>9313</v>
      </c>
      <c r="D501" s="71" t="s">
        <v>10204</v>
      </c>
    </row>
    <row r="502" ht="14.25" customHeight="1">
      <c r="D502" s="71" t="s">
        <v>8978</v>
      </c>
    </row>
    <row r="503" ht="14.25" customHeight="1">
      <c r="C503" s="71" t="s">
        <v>10858</v>
      </c>
      <c r="D503" s="71" t="s">
        <v>8978</v>
      </c>
    </row>
    <row r="504" ht="14.25" customHeight="1">
      <c r="C504" s="71" t="s">
        <v>2682</v>
      </c>
      <c r="D504" s="71" t="s">
        <v>9354</v>
      </c>
    </row>
    <row r="505" ht="14.25" customHeight="1">
      <c r="C505" s="71" t="s">
        <v>6298</v>
      </c>
      <c r="D505" s="71" t="s">
        <v>9258</v>
      </c>
    </row>
    <row r="506" ht="14.25" customHeight="1">
      <c r="D506" s="71" t="s">
        <v>8978</v>
      </c>
    </row>
    <row r="507" ht="14.25" customHeight="1">
      <c r="C507" s="71" t="s">
        <v>9303</v>
      </c>
      <c r="D507" s="71" t="s">
        <v>10859</v>
      </c>
    </row>
    <row r="508" ht="14.25" customHeight="1">
      <c r="C508" s="71" t="s">
        <v>9374</v>
      </c>
      <c r="D508" s="71" t="s">
        <v>8978</v>
      </c>
    </row>
    <row r="509" ht="14.25" customHeight="1">
      <c r="C509" s="71" t="s">
        <v>141</v>
      </c>
      <c r="D509" s="71" t="s">
        <v>9258</v>
      </c>
    </row>
    <row r="510" ht="14.25" customHeight="1">
      <c r="C510" s="71" t="s">
        <v>6405</v>
      </c>
      <c r="D510" s="71" t="s">
        <v>8978</v>
      </c>
    </row>
    <row r="511" ht="14.25" customHeight="1">
      <c r="C511" s="71" t="s">
        <v>10745</v>
      </c>
      <c r="D511" s="71" t="s">
        <v>10860</v>
      </c>
    </row>
    <row r="512" ht="14.25" customHeight="1">
      <c r="D512" s="71" t="s">
        <v>8978</v>
      </c>
    </row>
    <row r="513" ht="14.25" customHeight="1">
      <c r="C513" s="71" t="s">
        <v>307</v>
      </c>
      <c r="D513" s="71" t="s">
        <v>10861</v>
      </c>
    </row>
    <row r="514" ht="14.25" customHeight="1">
      <c r="D514" s="71" t="s">
        <v>9273</v>
      </c>
    </row>
    <row r="515" ht="14.25" customHeight="1">
      <c r="D515" s="71" t="s">
        <v>8968</v>
      </c>
    </row>
    <row r="516" ht="14.25" customHeight="1">
      <c r="D516" s="71" t="s">
        <v>8978</v>
      </c>
    </row>
    <row r="517" ht="14.25" customHeight="1">
      <c r="C517" s="71" t="s">
        <v>153</v>
      </c>
      <c r="D517" s="71" t="s">
        <v>8978</v>
      </c>
    </row>
    <row r="518" ht="14.25" customHeight="1">
      <c r="C518" s="71" t="s">
        <v>10818</v>
      </c>
      <c r="D518" s="71" t="s">
        <v>8978</v>
      </c>
    </row>
    <row r="519" ht="14.25" customHeight="1">
      <c r="C519" s="71" t="s">
        <v>10862</v>
      </c>
      <c r="D519" s="71" t="s">
        <v>10863</v>
      </c>
    </row>
    <row r="520" ht="14.25" customHeight="1">
      <c r="C520" s="71" t="s">
        <v>312</v>
      </c>
      <c r="D520" s="71" t="s">
        <v>8976</v>
      </c>
    </row>
    <row r="521" ht="14.25" customHeight="1">
      <c r="C521" s="71" t="s">
        <v>9277</v>
      </c>
      <c r="D521" s="71" t="s">
        <v>8978</v>
      </c>
    </row>
    <row r="522" ht="14.25" customHeight="1">
      <c r="C522" s="71" t="s">
        <v>10762</v>
      </c>
      <c r="D522" s="71" t="s">
        <v>10763</v>
      </c>
    </row>
    <row r="523" ht="14.25" customHeight="1">
      <c r="D523" s="71" t="s">
        <v>8978</v>
      </c>
    </row>
    <row r="524" ht="14.25" customHeight="1">
      <c r="C524" s="71" t="s">
        <v>210</v>
      </c>
      <c r="D524" s="71" t="s">
        <v>10770</v>
      </c>
    </row>
    <row r="525" ht="14.25" customHeight="1">
      <c r="C525" s="71" t="s">
        <v>218</v>
      </c>
      <c r="D525" s="71" t="s">
        <v>9258</v>
      </c>
    </row>
    <row r="526" ht="14.25" customHeight="1">
      <c r="C526" s="71" t="s">
        <v>9333</v>
      </c>
      <c r="D526" s="71" t="s">
        <v>8978</v>
      </c>
    </row>
    <row r="527" ht="14.25" customHeight="1">
      <c r="C527" s="71" t="s">
        <v>10864</v>
      </c>
      <c r="D527" s="71" t="s">
        <v>9258</v>
      </c>
    </row>
    <row r="528" ht="14.25" customHeight="1">
      <c r="C528" s="71" t="s">
        <v>10865</v>
      </c>
      <c r="D528" s="71" t="s">
        <v>9034</v>
      </c>
    </row>
    <row r="529" ht="14.25" customHeight="1">
      <c r="C529" s="71" t="s">
        <v>9090</v>
      </c>
      <c r="D529" s="71" t="s">
        <v>10866</v>
      </c>
    </row>
    <row r="530" ht="14.25" customHeight="1">
      <c r="C530" s="71" t="s">
        <v>10867</v>
      </c>
      <c r="D530" s="71" t="s">
        <v>9319</v>
      </c>
    </row>
    <row r="531" ht="14.25" customHeight="1">
      <c r="C531" s="71" t="s">
        <v>10868</v>
      </c>
      <c r="D531" s="71" t="s">
        <v>10869</v>
      </c>
    </row>
    <row r="532" ht="14.25" customHeight="1">
      <c r="B532" s="71" t="s">
        <v>13</v>
      </c>
      <c r="C532" s="71" t="s">
        <v>8969</v>
      </c>
      <c r="D532" s="71" t="s">
        <v>9306</v>
      </c>
    </row>
    <row r="533" ht="14.25" customHeight="1">
      <c r="C533" s="71" t="s">
        <v>10870</v>
      </c>
      <c r="D533" s="71" t="s">
        <v>9174</v>
      </c>
    </row>
    <row r="534" ht="14.25" customHeight="1">
      <c r="C534" s="71" t="s">
        <v>10871</v>
      </c>
      <c r="D534" s="71" t="s">
        <v>10608</v>
      </c>
    </row>
    <row r="535" ht="14.25" customHeight="1">
      <c r="A535" s="71" t="s">
        <v>9443</v>
      </c>
      <c r="B535" s="71" t="s">
        <v>40</v>
      </c>
      <c r="C535" s="71" t="s">
        <v>2379</v>
      </c>
      <c r="D535" s="71" t="s">
        <v>9258</v>
      </c>
    </row>
    <row r="536" ht="14.25" customHeight="1">
      <c r="C536" s="71" t="s">
        <v>71</v>
      </c>
      <c r="D536" s="71" t="s">
        <v>10872</v>
      </c>
    </row>
    <row r="537" ht="14.25" customHeight="1">
      <c r="C537" s="71" t="s">
        <v>10873</v>
      </c>
      <c r="D537" s="71" t="s">
        <v>8978</v>
      </c>
    </row>
    <row r="538" ht="14.25" customHeight="1">
      <c r="C538" s="71" t="s">
        <v>3566</v>
      </c>
      <c r="D538" s="71" t="s">
        <v>8978</v>
      </c>
    </row>
    <row r="539" ht="14.25" customHeight="1">
      <c r="C539" s="71" t="s">
        <v>10874</v>
      </c>
      <c r="D539" s="71" t="s">
        <v>10875</v>
      </c>
    </row>
    <row r="540" ht="14.25" customHeight="1">
      <c r="A540" s="71" t="s">
        <v>9457</v>
      </c>
      <c r="B540" s="71" t="s">
        <v>40</v>
      </c>
      <c r="C540" s="71" t="s">
        <v>9034</v>
      </c>
      <c r="D540" s="71" t="s">
        <v>9265</v>
      </c>
    </row>
    <row r="541" ht="14.25" customHeight="1">
      <c r="C541" s="71" t="s">
        <v>10876</v>
      </c>
      <c r="D541" s="71" t="s">
        <v>8976</v>
      </c>
    </row>
    <row r="542" ht="14.25" customHeight="1">
      <c r="C542" s="71" t="s">
        <v>71</v>
      </c>
      <c r="D542" s="71" t="s">
        <v>8968</v>
      </c>
    </row>
    <row r="543" ht="14.25" customHeight="1">
      <c r="C543" s="71" t="s">
        <v>10877</v>
      </c>
      <c r="D543" s="71" t="s">
        <v>9578</v>
      </c>
    </row>
    <row r="544" ht="14.25" customHeight="1">
      <c r="C544" s="71" t="s">
        <v>10878</v>
      </c>
      <c r="D544" s="71" t="s">
        <v>9151</v>
      </c>
    </row>
    <row r="545" ht="14.25" customHeight="1">
      <c r="C545" s="71" t="s">
        <v>10879</v>
      </c>
      <c r="D545" s="71" t="s">
        <v>10880</v>
      </c>
    </row>
    <row r="546" ht="14.25" customHeight="1">
      <c r="C546" s="71" t="s">
        <v>10881</v>
      </c>
      <c r="D546" s="71" t="s">
        <v>10882</v>
      </c>
    </row>
    <row r="547" ht="14.25" customHeight="1">
      <c r="C547" s="71" t="s">
        <v>89</v>
      </c>
      <c r="D547" s="71" t="s">
        <v>10883</v>
      </c>
    </row>
    <row r="548" ht="14.25" customHeight="1">
      <c r="D548" s="71" t="s">
        <v>9265</v>
      </c>
    </row>
    <row r="549" ht="14.25" customHeight="1">
      <c r="D549" s="71" t="s">
        <v>10884</v>
      </c>
    </row>
    <row r="550" ht="14.25" customHeight="1">
      <c r="C550" s="71" t="s">
        <v>9110</v>
      </c>
      <c r="D550" s="71" t="s">
        <v>9265</v>
      </c>
    </row>
    <row r="551" ht="14.25" customHeight="1">
      <c r="D551" s="71" t="s">
        <v>9026</v>
      </c>
    </row>
    <row r="552" ht="14.25" customHeight="1">
      <c r="C552" s="71" t="s">
        <v>10885</v>
      </c>
      <c r="D552" s="71" t="s">
        <v>9265</v>
      </c>
    </row>
    <row r="553" ht="14.25" customHeight="1">
      <c r="C553" s="71" t="s">
        <v>10886</v>
      </c>
      <c r="D553" s="71" t="s">
        <v>9026</v>
      </c>
    </row>
    <row r="554" ht="14.25" customHeight="1">
      <c r="C554" s="71" t="s">
        <v>10887</v>
      </c>
      <c r="D554" s="71" t="s">
        <v>10888</v>
      </c>
    </row>
    <row r="555" ht="14.25" customHeight="1">
      <c r="C555" s="71" t="s">
        <v>10889</v>
      </c>
      <c r="D555" s="71" t="s">
        <v>9265</v>
      </c>
    </row>
    <row r="556" ht="14.25" customHeight="1">
      <c r="C556" s="71" t="s">
        <v>4825</v>
      </c>
      <c r="D556" s="71" t="s">
        <v>9265</v>
      </c>
    </row>
    <row r="557" ht="14.25" customHeight="1">
      <c r="C557" s="71" t="s">
        <v>114</v>
      </c>
      <c r="D557" s="71" t="s">
        <v>9034</v>
      </c>
    </row>
    <row r="558" ht="14.25" customHeight="1">
      <c r="D558" s="71" t="s">
        <v>8968</v>
      </c>
    </row>
    <row r="559" ht="14.25" customHeight="1">
      <c r="C559" s="71" t="s">
        <v>10890</v>
      </c>
      <c r="D559" s="71" t="s">
        <v>9039</v>
      </c>
    </row>
    <row r="560" ht="14.25" customHeight="1">
      <c r="C560" s="71" t="s">
        <v>10744</v>
      </c>
      <c r="D560" s="71" t="s">
        <v>9131</v>
      </c>
    </row>
    <row r="561" ht="14.25" customHeight="1">
      <c r="C561" s="71" t="s">
        <v>10891</v>
      </c>
      <c r="D561" s="71" t="s">
        <v>8968</v>
      </c>
    </row>
    <row r="562" ht="14.25" customHeight="1">
      <c r="C562" s="71" t="s">
        <v>10892</v>
      </c>
      <c r="D562" s="71" t="s">
        <v>9265</v>
      </c>
    </row>
    <row r="563" ht="14.25" customHeight="1">
      <c r="C563" s="71" t="s">
        <v>10893</v>
      </c>
      <c r="D563" s="71" t="s">
        <v>10576</v>
      </c>
    </row>
    <row r="564" ht="14.25" customHeight="1">
      <c r="C564" s="71" t="s">
        <v>10894</v>
      </c>
      <c r="D564" s="71" t="s">
        <v>9034</v>
      </c>
    </row>
    <row r="565" ht="14.25" customHeight="1">
      <c r="C565" s="71" t="s">
        <v>130</v>
      </c>
      <c r="D565" s="71" t="s">
        <v>9265</v>
      </c>
    </row>
    <row r="566" ht="14.25" customHeight="1">
      <c r="C566" s="71" t="s">
        <v>6300</v>
      </c>
      <c r="D566" s="71" t="s">
        <v>8978</v>
      </c>
    </row>
    <row r="567" ht="14.25" customHeight="1">
      <c r="C567" s="71" t="s">
        <v>139</v>
      </c>
      <c r="D567" s="71" t="s">
        <v>9034</v>
      </c>
    </row>
    <row r="568" ht="14.25" customHeight="1">
      <c r="C568" s="71" t="s">
        <v>10745</v>
      </c>
      <c r="D568" s="71" t="s">
        <v>9265</v>
      </c>
    </row>
    <row r="569" ht="14.25" customHeight="1">
      <c r="C569" s="71" t="s">
        <v>309</v>
      </c>
      <c r="D569" s="71" t="s">
        <v>10895</v>
      </c>
    </row>
    <row r="570" ht="14.25" customHeight="1">
      <c r="C570" s="71" t="s">
        <v>10683</v>
      </c>
      <c r="D570" s="71" t="s">
        <v>9073</v>
      </c>
    </row>
    <row r="571" ht="14.25" customHeight="1">
      <c r="C571" s="71" t="s">
        <v>159</v>
      </c>
      <c r="D571" s="71" t="s">
        <v>9168</v>
      </c>
    </row>
    <row r="572" ht="14.25" customHeight="1">
      <c r="C572" s="71" t="s">
        <v>10896</v>
      </c>
      <c r="D572" s="71" t="s">
        <v>8968</v>
      </c>
    </row>
    <row r="573" ht="14.25" customHeight="1">
      <c r="C573" s="71" t="s">
        <v>10897</v>
      </c>
      <c r="D573" s="71" t="s">
        <v>9034</v>
      </c>
    </row>
    <row r="574" ht="14.25" customHeight="1">
      <c r="C574" s="71" t="s">
        <v>3566</v>
      </c>
      <c r="D574" s="71" t="s">
        <v>9265</v>
      </c>
    </row>
    <row r="575" ht="14.25" customHeight="1">
      <c r="D575" s="71" t="s">
        <v>9867</v>
      </c>
    </row>
    <row r="576" ht="14.25" customHeight="1">
      <c r="D576" s="71" t="s">
        <v>8976</v>
      </c>
    </row>
    <row r="577" ht="14.25" customHeight="1">
      <c r="C577" s="71" t="s">
        <v>3596</v>
      </c>
      <c r="D577" s="71" t="s">
        <v>8968</v>
      </c>
    </row>
    <row r="578" ht="14.25" customHeight="1">
      <c r="D578" s="71" t="s">
        <v>10898</v>
      </c>
    </row>
    <row r="579" ht="14.25" customHeight="1">
      <c r="C579" s="71" t="s">
        <v>185</v>
      </c>
      <c r="D579" s="71" t="s">
        <v>10899</v>
      </c>
    </row>
    <row r="580" ht="14.25" customHeight="1">
      <c r="C580" s="71" t="s">
        <v>10900</v>
      </c>
      <c r="D580" s="71" t="s">
        <v>10901</v>
      </c>
    </row>
    <row r="581" ht="14.25" customHeight="1">
      <c r="C581" s="71" t="s">
        <v>10902</v>
      </c>
      <c r="D581" s="71" t="s">
        <v>8978</v>
      </c>
    </row>
    <row r="582" ht="14.25" customHeight="1">
      <c r="C582" s="71" t="s">
        <v>10903</v>
      </c>
      <c r="D582" s="71" t="s">
        <v>9867</v>
      </c>
    </row>
    <row r="583" ht="14.25" customHeight="1">
      <c r="C583" s="71" t="s">
        <v>10183</v>
      </c>
      <c r="D583" s="71" t="s">
        <v>9281</v>
      </c>
    </row>
    <row r="584" ht="14.25" customHeight="1">
      <c r="C584" s="71" t="s">
        <v>10904</v>
      </c>
      <c r="D584" s="71" t="s">
        <v>9491</v>
      </c>
    </row>
    <row r="585" ht="14.25" customHeight="1">
      <c r="C585" s="71" t="s">
        <v>8398</v>
      </c>
      <c r="D585" s="71" t="s">
        <v>9265</v>
      </c>
    </row>
    <row r="586" ht="14.25" customHeight="1">
      <c r="C586" s="71" t="s">
        <v>10905</v>
      </c>
      <c r="D586" s="71" t="s">
        <v>9508</v>
      </c>
    </row>
    <row r="587" ht="14.25" customHeight="1">
      <c r="D587" s="71" t="s">
        <v>10901</v>
      </c>
    </row>
    <row r="588" ht="14.25" customHeight="1">
      <c r="C588" s="71" t="s">
        <v>10906</v>
      </c>
      <c r="D588" s="71" t="s">
        <v>8978</v>
      </c>
    </row>
    <row r="589" ht="14.25" customHeight="1">
      <c r="C589" s="71" t="s">
        <v>210</v>
      </c>
      <c r="D589" s="71" t="s">
        <v>9265</v>
      </c>
    </row>
    <row r="590" ht="14.25" customHeight="1">
      <c r="C590" s="71" t="s">
        <v>215</v>
      </c>
      <c r="D590" s="71" t="s">
        <v>9931</v>
      </c>
    </row>
    <row r="591" ht="14.25" customHeight="1">
      <c r="C591" s="71" t="s">
        <v>10907</v>
      </c>
      <c r="D591" s="71" t="s">
        <v>10706</v>
      </c>
    </row>
    <row r="592" ht="14.25" customHeight="1">
      <c r="C592" s="71" t="s">
        <v>3821</v>
      </c>
      <c r="D592" s="71" t="s">
        <v>9168</v>
      </c>
    </row>
    <row r="593" ht="14.25" customHeight="1">
      <c r="C593" s="71" t="s">
        <v>10908</v>
      </c>
      <c r="D593" s="71" t="s">
        <v>10909</v>
      </c>
    </row>
    <row r="594" ht="14.25" customHeight="1">
      <c r="C594" s="71" t="s">
        <v>10713</v>
      </c>
      <c r="D594" s="71" t="s">
        <v>10910</v>
      </c>
    </row>
    <row r="595" ht="14.25" customHeight="1">
      <c r="C595" s="71" t="s">
        <v>8576</v>
      </c>
      <c r="D595" s="71" t="s">
        <v>9265</v>
      </c>
    </row>
    <row r="596" ht="14.25" customHeight="1">
      <c r="C596" s="71" t="s">
        <v>3984</v>
      </c>
      <c r="D596" s="71" t="s">
        <v>10197</v>
      </c>
    </row>
    <row r="597" ht="14.25" customHeight="1">
      <c r="C597" s="71" t="s">
        <v>10911</v>
      </c>
      <c r="D597" s="71" t="s">
        <v>9034</v>
      </c>
    </row>
    <row r="598" ht="14.25" customHeight="1">
      <c r="C598" s="71" t="s">
        <v>10592</v>
      </c>
      <c r="D598" s="71" t="s">
        <v>9499</v>
      </c>
    </row>
    <row r="599" ht="14.25" customHeight="1">
      <c r="C599" s="71" t="s">
        <v>10640</v>
      </c>
      <c r="D599" s="71" t="s">
        <v>9265</v>
      </c>
    </row>
    <row r="600" ht="14.25" customHeight="1">
      <c r="C600" s="71" t="s">
        <v>10912</v>
      </c>
      <c r="D600" s="71" t="s">
        <v>9034</v>
      </c>
    </row>
    <row r="601" ht="14.25" customHeight="1">
      <c r="C601" s="71" t="s">
        <v>253</v>
      </c>
      <c r="D601" s="71" t="s">
        <v>10269</v>
      </c>
    </row>
    <row r="602" ht="14.25" customHeight="1">
      <c r="C602" s="71" t="s">
        <v>262</v>
      </c>
      <c r="D602" s="71" t="s">
        <v>9034</v>
      </c>
    </row>
    <row r="603" ht="14.25" customHeight="1">
      <c r="D603" s="71" t="s">
        <v>9291</v>
      </c>
    </row>
    <row r="604" ht="14.25" customHeight="1">
      <c r="D604" s="71" t="s">
        <v>8968</v>
      </c>
    </row>
    <row r="605" ht="14.25" customHeight="1">
      <c r="D605" s="71" t="s">
        <v>9855</v>
      </c>
    </row>
    <row r="606" ht="14.25" customHeight="1">
      <c r="C606" s="71" t="s">
        <v>10913</v>
      </c>
      <c r="D606" s="71" t="s">
        <v>9034</v>
      </c>
    </row>
    <row r="607" ht="14.25" customHeight="1">
      <c r="C607" s="71" t="s">
        <v>324</v>
      </c>
      <c r="D607" s="71" t="s">
        <v>10914</v>
      </c>
    </row>
    <row r="608" ht="14.25" customHeight="1">
      <c r="B608" s="71" t="s">
        <v>41</v>
      </c>
      <c r="C608" s="71" t="s">
        <v>10767</v>
      </c>
      <c r="D608" s="71" t="s">
        <v>10915</v>
      </c>
    </row>
    <row r="609" ht="14.25" customHeight="1">
      <c r="C609" s="71" t="s">
        <v>2352</v>
      </c>
      <c r="D609" s="71" t="s">
        <v>9545</v>
      </c>
    </row>
    <row r="610" ht="14.25" customHeight="1">
      <c r="C610" s="71" t="s">
        <v>65</v>
      </c>
      <c r="D610" s="71" t="s">
        <v>9265</v>
      </c>
    </row>
    <row r="611" ht="14.25" customHeight="1">
      <c r="C611" s="71" t="s">
        <v>10916</v>
      </c>
      <c r="D611" s="71" t="s">
        <v>9109</v>
      </c>
    </row>
    <row r="612" ht="14.25" customHeight="1">
      <c r="C612" s="71" t="s">
        <v>10879</v>
      </c>
      <c r="D612" s="71" t="s">
        <v>10917</v>
      </c>
    </row>
    <row r="613" ht="14.25" customHeight="1">
      <c r="C613" s="71" t="s">
        <v>10918</v>
      </c>
      <c r="D613" s="71" t="s">
        <v>10919</v>
      </c>
    </row>
    <row r="614" ht="14.25" customHeight="1">
      <c r="C614" s="71" t="s">
        <v>6654</v>
      </c>
      <c r="D614" s="71" t="s">
        <v>9034</v>
      </c>
    </row>
    <row r="615" ht="14.25" customHeight="1">
      <c r="C615" s="71" t="s">
        <v>10762</v>
      </c>
      <c r="D615" s="71" t="s">
        <v>10920</v>
      </c>
    </row>
    <row r="616" ht="14.25" customHeight="1">
      <c r="D616" s="71" t="s">
        <v>10921</v>
      </c>
    </row>
    <row r="617" ht="14.25" customHeight="1">
      <c r="D617" s="71" t="s">
        <v>10922</v>
      </c>
    </row>
    <row r="618" ht="14.25" customHeight="1">
      <c r="C618" s="71" t="s">
        <v>210</v>
      </c>
      <c r="D618" s="71" t="s">
        <v>9118</v>
      </c>
    </row>
    <row r="619" ht="14.25" customHeight="1">
      <c r="C619" s="71" t="s">
        <v>215</v>
      </c>
      <c r="D619" s="71" t="s">
        <v>9109</v>
      </c>
    </row>
    <row r="620" ht="14.25" customHeight="1">
      <c r="C620" s="71" t="s">
        <v>9333</v>
      </c>
      <c r="D620" s="71" t="s">
        <v>10923</v>
      </c>
    </row>
    <row r="621" ht="14.25" customHeight="1">
      <c r="C621" s="71" t="s">
        <v>10924</v>
      </c>
      <c r="D621" s="71" t="s">
        <v>9131</v>
      </c>
    </row>
    <row r="622" ht="14.25" customHeight="1">
      <c r="C622" s="71" t="s">
        <v>10252</v>
      </c>
      <c r="D622" s="71" t="s">
        <v>9265</v>
      </c>
    </row>
    <row r="623" ht="14.25" customHeight="1">
      <c r="C623" s="71" t="s">
        <v>254</v>
      </c>
      <c r="D623" s="71" t="s">
        <v>8968</v>
      </c>
    </row>
    <row r="624" ht="14.25" customHeight="1">
      <c r="C624" s="71" t="s">
        <v>8771</v>
      </c>
      <c r="D624" s="71" t="s">
        <v>10925</v>
      </c>
    </row>
    <row r="625" ht="14.25" customHeight="1">
      <c r="C625" s="71" t="s">
        <v>262</v>
      </c>
      <c r="D625" s="71" t="s">
        <v>9291</v>
      </c>
    </row>
    <row r="626" ht="14.25" customHeight="1">
      <c r="D626" s="71" t="s">
        <v>10926</v>
      </c>
    </row>
    <row r="627" ht="14.25" customHeight="1">
      <c r="B627" s="71" t="s">
        <v>13</v>
      </c>
      <c r="C627" s="71" t="s">
        <v>10767</v>
      </c>
      <c r="D627" s="71" t="s">
        <v>10927</v>
      </c>
    </row>
    <row r="628" ht="14.25" customHeight="1">
      <c r="C628" s="71" t="s">
        <v>9313</v>
      </c>
      <c r="D628" s="71" t="s">
        <v>10928</v>
      </c>
    </row>
    <row r="629" ht="14.25" customHeight="1">
      <c r="C629" s="71" t="s">
        <v>10929</v>
      </c>
      <c r="D629" s="71" t="s">
        <v>8968</v>
      </c>
    </row>
    <row r="630" ht="14.25" customHeight="1">
      <c r="C630" s="71" t="s">
        <v>10930</v>
      </c>
      <c r="D630" s="71" t="s">
        <v>9440</v>
      </c>
    </row>
    <row r="631" ht="14.25" customHeight="1">
      <c r="A631" s="71" t="s">
        <v>9551</v>
      </c>
      <c r="B631" s="71" t="s">
        <v>40</v>
      </c>
      <c r="C631" s="71" t="s">
        <v>9034</v>
      </c>
      <c r="D631" s="71" t="s">
        <v>10931</v>
      </c>
    </row>
    <row r="632" ht="14.25" customHeight="1">
      <c r="D632" s="71" t="s">
        <v>8976</v>
      </c>
    </row>
    <row r="633" ht="14.25" customHeight="1">
      <c r="D633" s="71" t="s">
        <v>9118</v>
      </c>
    </row>
    <row r="634" ht="14.25" customHeight="1">
      <c r="C634" s="71" t="s">
        <v>10932</v>
      </c>
      <c r="D634" s="71" t="s">
        <v>9265</v>
      </c>
    </row>
    <row r="635" ht="14.25" customHeight="1">
      <c r="C635" s="71" t="s">
        <v>1051</v>
      </c>
      <c r="D635" s="71" t="s">
        <v>10933</v>
      </c>
    </row>
    <row r="636" ht="14.25" customHeight="1">
      <c r="C636" s="71" t="s">
        <v>6538</v>
      </c>
      <c r="D636" s="71" t="s">
        <v>10676</v>
      </c>
    </row>
    <row r="637" ht="14.25" customHeight="1">
      <c r="C637" s="71" t="s">
        <v>213</v>
      </c>
      <c r="D637" s="71" t="s">
        <v>9943</v>
      </c>
    </row>
    <row r="638" ht="14.25" customHeight="1">
      <c r="C638" s="71" t="s">
        <v>262</v>
      </c>
      <c r="D638" s="71" t="s">
        <v>9291</v>
      </c>
    </row>
    <row r="639" ht="14.25" customHeight="1">
      <c r="A639" s="71" t="s">
        <v>361</v>
      </c>
      <c r="B639" s="71" t="s">
        <v>41</v>
      </c>
      <c r="C639" s="71" t="s">
        <v>10934</v>
      </c>
      <c r="D639" s="71" t="s">
        <v>10935</v>
      </c>
    </row>
    <row r="640" ht="14.25" customHeight="1">
      <c r="A640" s="71" t="s">
        <v>9570</v>
      </c>
      <c r="B640" s="71" t="s">
        <v>41</v>
      </c>
      <c r="C640" s="71" t="s">
        <v>2342</v>
      </c>
      <c r="D640" s="71" t="s">
        <v>10936</v>
      </c>
    </row>
    <row r="641" ht="14.25" customHeight="1">
      <c r="C641" s="71" t="s">
        <v>9630</v>
      </c>
      <c r="D641" s="71" t="s">
        <v>10937</v>
      </c>
    </row>
    <row r="642" ht="14.25" customHeight="1">
      <c r="C642" s="71" t="s">
        <v>10938</v>
      </c>
      <c r="D642" s="71" t="s">
        <v>10939</v>
      </c>
    </row>
    <row r="643" ht="14.25" customHeight="1">
      <c r="C643" s="71" t="s">
        <v>220</v>
      </c>
      <c r="D643" s="71" t="s">
        <v>9771</v>
      </c>
    </row>
    <row r="644" ht="14.25" customHeight="1">
      <c r="C644" s="71" t="s">
        <v>271</v>
      </c>
      <c r="D644" s="71" t="s">
        <v>9782</v>
      </c>
    </row>
    <row r="645" ht="14.25" customHeight="1">
      <c r="A645" s="71" t="s">
        <v>9580</v>
      </c>
      <c r="B645" s="71" t="s">
        <v>41</v>
      </c>
      <c r="C645" s="71" t="s">
        <v>262</v>
      </c>
      <c r="D645" s="71" t="s">
        <v>9118</v>
      </c>
    </row>
    <row r="646" ht="14.25" customHeight="1">
      <c r="A646" s="71" t="s">
        <v>9585</v>
      </c>
      <c r="B646" s="71" t="s">
        <v>40</v>
      </c>
      <c r="C646" s="71" t="s">
        <v>69</v>
      </c>
      <c r="D646" s="71" t="s">
        <v>10940</v>
      </c>
    </row>
    <row r="647" ht="14.25" customHeight="1">
      <c r="C647" s="71" t="s">
        <v>80</v>
      </c>
      <c r="D647" s="71" t="s">
        <v>10941</v>
      </c>
    </row>
    <row r="648" ht="14.25" customHeight="1">
      <c r="C648" s="71" t="s">
        <v>7652</v>
      </c>
      <c r="D648" s="71" t="s">
        <v>9587</v>
      </c>
    </row>
    <row r="649" ht="14.25" customHeight="1">
      <c r="C649" s="71" t="s">
        <v>10699</v>
      </c>
      <c r="D649" s="71" t="s">
        <v>8968</v>
      </c>
    </row>
    <row r="650" ht="14.25" customHeight="1">
      <c r="C650" s="71" t="s">
        <v>10942</v>
      </c>
      <c r="D650" s="71" t="s">
        <v>10943</v>
      </c>
    </row>
    <row r="651" ht="14.25" customHeight="1">
      <c r="C651" s="71" t="s">
        <v>1196</v>
      </c>
      <c r="D651" s="71" t="s">
        <v>10944</v>
      </c>
    </row>
    <row r="652" ht="14.25" customHeight="1">
      <c r="C652" s="71" t="s">
        <v>1417</v>
      </c>
      <c r="D652" s="71" t="s">
        <v>9880</v>
      </c>
    </row>
    <row r="653" ht="14.25" customHeight="1">
      <c r="C653" s="71" t="s">
        <v>180</v>
      </c>
      <c r="D653" s="71" t="s">
        <v>8968</v>
      </c>
    </row>
    <row r="654" ht="14.25" customHeight="1">
      <c r="C654" s="71" t="s">
        <v>225</v>
      </c>
      <c r="D654" s="71" t="s">
        <v>9131</v>
      </c>
    </row>
    <row r="655" ht="14.25" customHeight="1">
      <c r="C655" s="71" t="s">
        <v>334</v>
      </c>
      <c r="D655" s="71" t="s">
        <v>9354</v>
      </c>
    </row>
    <row r="656" ht="14.25" customHeight="1">
      <c r="C656" s="71" t="s">
        <v>5533</v>
      </c>
      <c r="D656" s="71" t="s">
        <v>9180</v>
      </c>
    </row>
    <row r="657" ht="14.25" customHeight="1">
      <c r="C657" s="71" t="s">
        <v>2230</v>
      </c>
      <c r="D657" s="71" t="s">
        <v>10945</v>
      </c>
    </row>
    <row r="658" ht="14.25" customHeight="1">
      <c r="D658" s="71" t="s">
        <v>10946</v>
      </c>
    </row>
    <row r="659" ht="14.25" customHeight="1">
      <c r="C659" s="71" t="s">
        <v>286</v>
      </c>
      <c r="D659" s="71" t="s">
        <v>10947</v>
      </c>
    </row>
    <row r="660" ht="14.25" customHeight="1">
      <c r="A660" s="71" t="s">
        <v>9596</v>
      </c>
      <c r="B660" s="71" t="s">
        <v>40</v>
      </c>
      <c r="C660" s="71" t="s">
        <v>9034</v>
      </c>
      <c r="D660" s="71" t="s">
        <v>9236</v>
      </c>
    </row>
    <row r="661" ht="14.25" customHeight="1">
      <c r="D661" s="71" t="s">
        <v>10948</v>
      </c>
    </row>
    <row r="662" ht="14.25" customHeight="1">
      <c r="D662" s="71" t="s">
        <v>9099</v>
      </c>
    </row>
    <row r="663" ht="14.25" customHeight="1">
      <c r="D663" s="71" t="s">
        <v>9643</v>
      </c>
    </row>
    <row r="664" ht="14.25" customHeight="1">
      <c r="D664" s="71" t="s">
        <v>9649</v>
      </c>
    </row>
    <row r="665" ht="14.25" customHeight="1">
      <c r="D665" s="71" t="s">
        <v>10321</v>
      </c>
    </row>
    <row r="666" ht="14.25" customHeight="1">
      <c r="D666" s="71" t="s">
        <v>10949</v>
      </c>
    </row>
    <row r="667" ht="14.25" customHeight="1">
      <c r="C667" s="71" t="s">
        <v>9597</v>
      </c>
      <c r="D667" s="71" t="s">
        <v>9075</v>
      </c>
    </row>
    <row r="668" ht="14.25" customHeight="1">
      <c r="C668" s="71" t="s">
        <v>10950</v>
      </c>
      <c r="D668" s="71" t="s">
        <v>1948</v>
      </c>
    </row>
    <row r="669" ht="14.25" customHeight="1">
      <c r="C669" s="71" t="s">
        <v>9601</v>
      </c>
      <c r="D669" s="71" t="s">
        <v>9034</v>
      </c>
    </row>
    <row r="670" ht="14.25" customHeight="1">
      <c r="C670" s="71" t="s">
        <v>10951</v>
      </c>
      <c r="D670" s="71" t="s">
        <v>9216</v>
      </c>
    </row>
    <row r="671" ht="14.25" customHeight="1">
      <c r="C671" s="71" t="s">
        <v>9608</v>
      </c>
      <c r="D671" s="71" t="s">
        <v>9168</v>
      </c>
    </row>
    <row r="672" ht="14.25" customHeight="1">
      <c r="C672" s="71" t="s">
        <v>10952</v>
      </c>
      <c r="D672" s="71" t="s">
        <v>9034</v>
      </c>
    </row>
    <row r="673" ht="14.25" customHeight="1">
      <c r="C673" s="71" t="s">
        <v>10953</v>
      </c>
      <c r="D673" s="71" t="s">
        <v>9034</v>
      </c>
    </row>
    <row r="674" ht="14.25" customHeight="1">
      <c r="C674" s="71" t="s">
        <v>776</v>
      </c>
      <c r="D674" s="71" t="s">
        <v>9034</v>
      </c>
    </row>
    <row r="675" ht="14.25" customHeight="1">
      <c r="C675" s="71" t="s">
        <v>10954</v>
      </c>
      <c r="D675" s="71" t="s">
        <v>10351</v>
      </c>
    </row>
    <row r="676" ht="14.25" customHeight="1">
      <c r="D676" s="71" t="s">
        <v>10955</v>
      </c>
    </row>
    <row r="677" ht="14.25" customHeight="1">
      <c r="C677" s="71" t="s">
        <v>10956</v>
      </c>
      <c r="D677" s="71" t="s">
        <v>9614</v>
      </c>
    </row>
    <row r="678" ht="14.25" customHeight="1">
      <c r="C678" s="71" t="s">
        <v>10957</v>
      </c>
      <c r="D678" s="71" t="s">
        <v>9034</v>
      </c>
    </row>
    <row r="679" ht="14.25" customHeight="1">
      <c r="C679" s="71" t="s">
        <v>10958</v>
      </c>
      <c r="D679" s="71" t="s">
        <v>9645</v>
      </c>
    </row>
    <row r="680" ht="14.25" customHeight="1">
      <c r="C680" s="71" t="s">
        <v>10959</v>
      </c>
      <c r="D680" s="71" t="s">
        <v>9034</v>
      </c>
    </row>
    <row r="681" ht="14.25" customHeight="1">
      <c r="C681" s="71" t="s">
        <v>10960</v>
      </c>
      <c r="D681" s="71" t="s">
        <v>10961</v>
      </c>
    </row>
    <row r="682" ht="14.25" customHeight="1">
      <c r="C682" s="71" t="s">
        <v>10962</v>
      </c>
      <c r="D682" s="71" t="s">
        <v>9034</v>
      </c>
    </row>
    <row r="683" ht="14.25" customHeight="1">
      <c r="C683" s="71" t="s">
        <v>9627</v>
      </c>
      <c r="D683" s="71" t="s">
        <v>9643</v>
      </c>
    </row>
    <row r="684" ht="14.25" customHeight="1">
      <c r="C684" s="71" t="s">
        <v>10963</v>
      </c>
      <c r="D684" s="71" t="s">
        <v>9034</v>
      </c>
    </row>
    <row r="685" ht="14.25" customHeight="1">
      <c r="C685" s="71" t="s">
        <v>9635</v>
      </c>
      <c r="D685" s="71" t="s">
        <v>9034</v>
      </c>
    </row>
    <row r="686" ht="14.25" customHeight="1">
      <c r="C686" s="71" t="s">
        <v>9638</v>
      </c>
      <c r="D686" s="71" t="s">
        <v>10949</v>
      </c>
    </row>
    <row r="687" ht="14.25" customHeight="1">
      <c r="C687" s="71" t="s">
        <v>9133</v>
      </c>
      <c r="D687" s="71" t="s">
        <v>9099</v>
      </c>
    </row>
    <row r="688" ht="14.25" customHeight="1">
      <c r="C688" s="71" t="s">
        <v>10942</v>
      </c>
      <c r="D688" s="71" t="s">
        <v>10964</v>
      </c>
    </row>
    <row r="689" ht="14.25" customHeight="1">
      <c r="C689" s="71" t="s">
        <v>10965</v>
      </c>
      <c r="D689" s="71" t="s">
        <v>10966</v>
      </c>
    </row>
    <row r="690" ht="14.25" customHeight="1">
      <c r="C690" s="71" t="s">
        <v>10967</v>
      </c>
      <c r="D690" s="71" t="s">
        <v>10321</v>
      </c>
    </row>
    <row r="691" ht="14.25" customHeight="1">
      <c r="C691" s="71" t="s">
        <v>10968</v>
      </c>
      <c r="D691" s="71" t="s">
        <v>9034</v>
      </c>
    </row>
    <row r="692" ht="14.25" customHeight="1">
      <c r="C692" s="71" t="s">
        <v>10969</v>
      </c>
      <c r="D692" s="71" t="s">
        <v>9030</v>
      </c>
    </row>
    <row r="693" ht="14.25" customHeight="1">
      <c r="C693" s="71" t="s">
        <v>144</v>
      </c>
      <c r="D693" s="71" t="s">
        <v>9825</v>
      </c>
    </row>
    <row r="694" ht="14.25" customHeight="1">
      <c r="C694" s="71" t="s">
        <v>10970</v>
      </c>
      <c r="D694" s="71" t="s">
        <v>9124</v>
      </c>
    </row>
    <row r="695" ht="14.25" customHeight="1">
      <c r="C695" s="71" t="s">
        <v>10971</v>
      </c>
      <c r="D695" s="71" t="s">
        <v>9034</v>
      </c>
    </row>
    <row r="696" ht="14.25" customHeight="1">
      <c r="C696" s="71" t="s">
        <v>10972</v>
      </c>
      <c r="D696" s="71" t="s">
        <v>9604</v>
      </c>
    </row>
    <row r="697" ht="14.25" customHeight="1">
      <c r="C697" s="71" t="s">
        <v>9658</v>
      </c>
      <c r="D697" s="71" t="s">
        <v>10973</v>
      </c>
    </row>
    <row r="698" ht="14.25" customHeight="1">
      <c r="C698" s="71" t="s">
        <v>10974</v>
      </c>
      <c r="D698" s="71" t="s">
        <v>10975</v>
      </c>
    </row>
    <row r="699" ht="14.25" customHeight="1">
      <c r="C699" s="71" t="s">
        <v>10976</v>
      </c>
      <c r="D699" s="71" t="s">
        <v>9771</v>
      </c>
    </row>
    <row r="700" ht="14.25" customHeight="1">
      <c r="C700" s="71" t="s">
        <v>10977</v>
      </c>
      <c r="D700" s="71" t="s">
        <v>1948</v>
      </c>
    </row>
    <row r="701" ht="14.25" customHeight="1">
      <c r="C701" s="71" t="s">
        <v>10978</v>
      </c>
      <c r="D701" s="71" t="s">
        <v>10979</v>
      </c>
    </row>
    <row r="702" ht="14.25" customHeight="1">
      <c r="C702" s="71" t="s">
        <v>9661</v>
      </c>
      <c r="D702" s="71" t="s">
        <v>9705</v>
      </c>
    </row>
    <row r="703" ht="14.25" customHeight="1">
      <c r="C703" s="71" t="s">
        <v>3566</v>
      </c>
      <c r="D703" s="71" t="s">
        <v>9034</v>
      </c>
    </row>
    <row r="704" ht="14.25" customHeight="1">
      <c r="D704" s="71" t="s">
        <v>10980</v>
      </c>
    </row>
    <row r="705" ht="14.25" customHeight="1">
      <c r="C705" s="71" t="s">
        <v>10981</v>
      </c>
      <c r="D705" s="71" t="s">
        <v>9034</v>
      </c>
    </row>
    <row r="706" ht="14.25" customHeight="1">
      <c r="C706" s="71" t="s">
        <v>10982</v>
      </c>
      <c r="D706" s="71" t="s">
        <v>1948</v>
      </c>
    </row>
    <row r="707" ht="14.25" customHeight="1">
      <c r="C707" s="71" t="s">
        <v>10983</v>
      </c>
      <c r="D707" s="71" t="s">
        <v>653</v>
      </c>
    </row>
    <row r="708" ht="14.25" customHeight="1">
      <c r="C708" s="71" t="s">
        <v>10984</v>
      </c>
      <c r="D708" s="71" t="s">
        <v>10985</v>
      </c>
    </row>
    <row r="709" ht="14.25" customHeight="1">
      <c r="C709" s="71" t="s">
        <v>9675</v>
      </c>
      <c r="D709" s="71" t="s">
        <v>10986</v>
      </c>
    </row>
    <row r="710" ht="14.25" customHeight="1">
      <c r="D710" s="71" t="s">
        <v>9445</v>
      </c>
    </row>
    <row r="711" ht="14.25" customHeight="1">
      <c r="C711" s="71" t="s">
        <v>9676</v>
      </c>
      <c r="D711" s="71" t="s">
        <v>1948</v>
      </c>
    </row>
    <row r="712" ht="14.25" customHeight="1">
      <c r="C712" s="71" t="s">
        <v>10987</v>
      </c>
      <c r="D712" s="71" t="s">
        <v>10988</v>
      </c>
    </row>
    <row r="713" ht="14.25" customHeight="1">
      <c r="C713" s="71" t="s">
        <v>215</v>
      </c>
      <c r="D713" s="71" t="s">
        <v>9055</v>
      </c>
    </row>
    <row r="714" ht="14.25" customHeight="1">
      <c r="C714" s="71" t="s">
        <v>3814</v>
      </c>
      <c r="D714" s="71" t="s">
        <v>10321</v>
      </c>
    </row>
    <row r="715" ht="14.25" customHeight="1">
      <c r="C715" s="71" t="s">
        <v>3821</v>
      </c>
      <c r="D715" s="71" t="s">
        <v>10989</v>
      </c>
    </row>
    <row r="716" ht="14.25" customHeight="1">
      <c r="C716" s="71" t="s">
        <v>220</v>
      </c>
      <c r="D716" s="71" t="s">
        <v>10321</v>
      </c>
    </row>
    <row r="717" ht="14.25" customHeight="1">
      <c r="D717" s="71" t="s">
        <v>9746</v>
      </c>
    </row>
    <row r="718" ht="14.25" customHeight="1">
      <c r="D718" s="71" t="s">
        <v>9141</v>
      </c>
    </row>
    <row r="719" ht="14.25" customHeight="1">
      <c r="C719" s="71" t="s">
        <v>10990</v>
      </c>
      <c r="D719" s="71" t="s">
        <v>9050</v>
      </c>
    </row>
    <row r="720" ht="14.25" customHeight="1">
      <c r="C720" s="71" t="s">
        <v>10991</v>
      </c>
      <c r="D720" s="71" t="s">
        <v>10351</v>
      </c>
    </row>
    <row r="721" ht="14.25" customHeight="1">
      <c r="C721" s="71" t="s">
        <v>10992</v>
      </c>
      <c r="D721" s="71" t="s">
        <v>1948</v>
      </c>
    </row>
    <row r="722" ht="14.25" customHeight="1">
      <c r="C722" s="71" t="s">
        <v>10993</v>
      </c>
      <c r="D722" s="71" t="s">
        <v>10964</v>
      </c>
    </row>
    <row r="723" ht="14.25" customHeight="1">
      <c r="C723" s="71" t="s">
        <v>10994</v>
      </c>
      <c r="D723" s="71" t="s">
        <v>1948</v>
      </c>
    </row>
    <row r="724" ht="14.25" customHeight="1">
      <c r="C724" s="71" t="s">
        <v>10995</v>
      </c>
      <c r="D724" s="71" t="s">
        <v>10949</v>
      </c>
    </row>
    <row r="725" ht="14.25" customHeight="1">
      <c r="C725" s="71" t="s">
        <v>10838</v>
      </c>
      <c r="D725" s="71" t="s">
        <v>9034</v>
      </c>
    </row>
    <row r="726" ht="14.25" customHeight="1">
      <c r="C726" s="71" t="s">
        <v>10349</v>
      </c>
      <c r="D726" s="71" t="s">
        <v>9034</v>
      </c>
    </row>
    <row r="727" ht="14.25" customHeight="1">
      <c r="C727" s="71" t="s">
        <v>10996</v>
      </c>
      <c r="D727" s="71" t="s">
        <v>1948</v>
      </c>
    </row>
    <row r="728" ht="14.25" customHeight="1">
      <c r="C728" s="71" t="s">
        <v>10997</v>
      </c>
      <c r="D728" s="71" t="s">
        <v>10321</v>
      </c>
    </row>
    <row r="729" ht="14.25" customHeight="1">
      <c r="C729" s="71" t="s">
        <v>10998</v>
      </c>
      <c r="D729" s="71" t="s">
        <v>10999</v>
      </c>
    </row>
    <row r="730" ht="14.25" customHeight="1">
      <c r="C730" s="71" t="s">
        <v>11000</v>
      </c>
      <c r="D730" s="71" t="s">
        <v>9034</v>
      </c>
    </row>
    <row r="731" ht="14.25" customHeight="1">
      <c r="D731" s="71" t="s">
        <v>9445</v>
      </c>
    </row>
    <row r="732" ht="14.25" customHeight="1">
      <c r="D732" s="71" t="s">
        <v>10949</v>
      </c>
    </row>
    <row r="733" ht="14.25" customHeight="1">
      <c r="C733" s="71" t="s">
        <v>11001</v>
      </c>
      <c r="D733" s="71" t="s">
        <v>10949</v>
      </c>
    </row>
    <row r="734" ht="14.25" customHeight="1">
      <c r="C734" s="71" t="s">
        <v>11002</v>
      </c>
      <c r="D734" s="71" t="s">
        <v>9649</v>
      </c>
    </row>
    <row r="735" ht="14.25" customHeight="1">
      <c r="C735" s="71" t="s">
        <v>11003</v>
      </c>
      <c r="D735" s="71" t="s">
        <v>8968</v>
      </c>
    </row>
    <row r="736" ht="14.25" customHeight="1">
      <c r="C736" s="71" t="s">
        <v>11004</v>
      </c>
      <c r="D736" s="71" t="s">
        <v>10985</v>
      </c>
    </row>
    <row r="737" ht="14.25" customHeight="1">
      <c r="C737" s="71" t="s">
        <v>11005</v>
      </c>
      <c r="D737" s="71" t="s">
        <v>9034</v>
      </c>
    </row>
    <row r="738" ht="14.25" customHeight="1">
      <c r="C738" s="71" t="s">
        <v>11006</v>
      </c>
      <c r="D738" s="71" t="s">
        <v>9618</v>
      </c>
    </row>
    <row r="739" ht="14.25" customHeight="1">
      <c r="C739" s="71" t="s">
        <v>11007</v>
      </c>
      <c r="D739" s="71" t="s">
        <v>9034</v>
      </c>
    </row>
    <row r="740" ht="14.25" customHeight="1">
      <c r="C740" s="71" t="s">
        <v>11008</v>
      </c>
      <c r="D740" s="71" t="s">
        <v>9643</v>
      </c>
    </row>
    <row r="741" ht="14.25" customHeight="1">
      <c r="C741" s="71" t="s">
        <v>11009</v>
      </c>
      <c r="D741" s="71" t="s">
        <v>9643</v>
      </c>
    </row>
    <row r="742" ht="14.25" customHeight="1">
      <c r="C742" s="71" t="s">
        <v>11010</v>
      </c>
      <c r="D742" s="71" t="s">
        <v>9649</v>
      </c>
    </row>
    <row r="743" ht="14.25" customHeight="1">
      <c r="C743" s="71" t="s">
        <v>269</v>
      </c>
      <c r="D743" s="71" t="s">
        <v>9034</v>
      </c>
    </row>
    <row r="744" ht="14.25" customHeight="1">
      <c r="C744" s="71" t="s">
        <v>11011</v>
      </c>
      <c r="D744" s="71" t="s">
        <v>9034</v>
      </c>
    </row>
    <row r="745" ht="14.25" customHeight="1">
      <c r="C745" s="71" t="s">
        <v>11012</v>
      </c>
      <c r="D745" s="71" t="s">
        <v>9034</v>
      </c>
    </row>
    <row r="746" ht="14.25" customHeight="1">
      <c r="C746" s="71" t="s">
        <v>11013</v>
      </c>
      <c r="D746" s="71" t="s">
        <v>10321</v>
      </c>
    </row>
    <row r="747" ht="14.25" customHeight="1">
      <c r="C747" s="71" t="s">
        <v>11014</v>
      </c>
      <c r="D747" s="71" t="s">
        <v>9604</v>
      </c>
    </row>
    <row r="748" ht="14.25" customHeight="1">
      <c r="B748" s="71" t="s">
        <v>41</v>
      </c>
      <c r="C748" s="71" t="s">
        <v>11015</v>
      </c>
      <c r="D748" s="71" t="s">
        <v>11016</v>
      </c>
    </row>
    <row r="749" ht="14.25" customHeight="1">
      <c r="C749" s="71" t="s">
        <v>11017</v>
      </c>
      <c r="D749" s="71" t="s">
        <v>10622</v>
      </c>
    </row>
    <row r="750" ht="14.25" customHeight="1">
      <c r="C750" s="71" t="s">
        <v>9313</v>
      </c>
      <c r="D750" s="71" t="s">
        <v>11018</v>
      </c>
    </row>
    <row r="751" ht="14.25" customHeight="1">
      <c r="C751" s="71" t="s">
        <v>11019</v>
      </c>
      <c r="D751" s="71" t="s">
        <v>11020</v>
      </c>
    </row>
    <row r="752" ht="14.25" customHeight="1">
      <c r="C752" s="71" t="s">
        <v>11021</v>
      </c>
      <c r="D752" s="71" t="s">
        <v>11022</v>
      </c>
    </row>
    <row r="753" ht="14.25" customHeight="1">
      <c r="C753" s="71" t="s">
        <v>11023</v>
      </c>
      <c r="D753" s="71" t="s">
        <v>1948</v>
      </c>
    </row>
    <row r="754" ht="14.25" customHeight="1">
      <c r="C754" s="71" t="s">
        <v>11024</v>
      </c>
      <c r="D754" s="71" t="s">
        <v>11025</v>
      </c>
    </row>
    <row r="755" ht="14.25" customHeight="1">
      <c r="C755" s="71" t="s">
        <v>11026</v>
      </c>
      <c r="D755" s="71" t="s">
        <v>11027</v>
      </c>
    </row>
    <row r="756" ht="14.25" customHeight="1">
      <c r="C756" s="71" t="s">
        <v>129</v>
      </c>
      <c r="D756" s="71" t="s">
        <v>11028</v>
      </c>
    </row>
    <row r="757" ht="14.25" customHeight="1">
      <c r="C757" s="71" t="s">
        <v>11029</v>
      </c>
      <c r="D757" s="71" t="s">
        <v>11030</v>
      </c>
    </row>
    <row r="758" ht="14.25" customHeight="1">
      <c r="D758" s="71" t="s">
        <v>9705</v>
      </c>
    </row>
    <row r="759" ht="14.25" customHeight="1">
      <c r="C759" s="71" t="s">
        <v>6358</v>
      </c>
      <c r="D759" s="71" t="s">
        <v>9034</v>
      </c>
    </row>
    <row r="760" ht="14.25" customHeight="1">
      <c r="C760" s="71" t="s">
        <v>11031</v>
      </c>
      <c r="D760" s="71" t="s">
        <v>11032</v>
      </c>
    </row>
    <row r="761" ht="14.25" customHeight="1">
      <c r="C761" s="71" t="s">
        <v>11033</v>
      </c>
      <c r="D761" s="71" t="s">
        <v>11034</v>
      </c>
    </row>
    <row r="762" ht="14.25" customHeight="1">
      <c r="C762" s="71" t="s">
        <v>3566</v>
      </c>
      <c r="D762" s="71" t="s">
        <v>9034</v>
      </c>
    </row>
    <row r="763" ht="14.25" customHeight="1">
      <c r="C763" s="71" t="s">
        <v>11035</v>
      </c>
      <c r="D763" s="71" t="s">
        <v>11036</v>
      </c>
    </row>
    <row r="764" ht="14.25" customHeight="1">
      <c r="C764" s="71" t="s">
        <v>11037</v>
      </c>
      <c r="D764" s="71" t="s">
        <v>11038</v>
      </c>
    </row>
    <row r="765" ht="14.25" customHeight="1">
      <c r="C765" s="71" t="s">
        <v>11039</v>
      </c>
      <c r="D765" s="71" t="s">
        <v>11040</v>
      </c>
    </row>
    <row r="766" ht="14.25" customHeight="1">
      <c r="C766" s="71" t="s">
        <v>4326</v>
      </c>
      <c r="D766" s="71" t="s">
        <v>11041</v>
      </c>
    </row>
    <row r="767" ht="14.25" customHeight="1">
      <c r="C767" s="71" t="s">
        <v>11042</v>
      </c>
      <c r="D767" s="71" t="s">
        <v>11043</v>
      </c>
    </row>
    <row r="768" ht="14.25" customHeight="1">
      <c r="C768" s="71" t="s">
        <v>11044</v>
      </c>
      <c r="D768" s="71" t="s">
        <v>9034</v>
      </c>
    </row>
    <row r="769" ht="14.25" customHeight="1">
      <c r="A769" s="71" t="s">
        <v>9728</v>
      </c>
      <c r="B769" s="71" t="s">
        <v>40</v>
      </c>
      <c r="C769" s="71" t="s">
        <v>9034</v>
      </c>
      <c r="D769" s="71" t="s">
        <v>11045</v>
      </c>
    </row>
    <row r="770" ht="14.25" customHeight="1">
      <c r="D770" s="71" t="s">
        <v>10321</v>
      </c>
    </row>
    <row r="771" ht="14.25" customHeight="1">
      <c r="C771" s="71" t="s">
        <v>8969</v>
      </c>
      <c r="D771" s="71" t="s">
        <v>10306</v>
      </c>
    </row>
    <row r="772" ht="14.25" customHeight="1">
      <c r="D772" s="71" t="s">
        <v>10027</v>
      </c>
    </row>
    <row r="773" ht="14.25" customHeight="1">
      <c r="C773" s="71" t="s">
        <v>60</v>
      </c>
      <c r="D773" s="71" t="s">
        <v>9028</v>
      </c>
    </row>
    <row r="774" ht="14.25" customHeight="1">
      <c r="C774" s="71" t="s">
        <v>11046</v>
      </c>
      <c r="D774" s="71" t="s">
        <v>9034</v>
      </c>
    </row>
    <row r="775" ht="14.25" customHeight="1">
      <c r="C775" s="71" t="s">
        <v>10000</v>
      </c>
      <c r="D775" s="71" t="s">
        <v>9667</v>
      </c>
    </row>
    <row r="776" ht="14.25" customHeight="1">
      <c r="C776" s="71" t="s">
        <v>66</v>
      </c>
      <c r="D776" s="71" t="s">
        <v>9216</v>
      </c>
    </row>
    <row r="777" ht="14.25" customHeight="1">
      <c r="C777" s="71" t="s">
        <v>7471</v>
      </c>
      <c r="D777" s="71" t="s">
        <v>9291</v>
      </c>
    </row>
    <row r="778" ht="14.25" customHeight="1">
      <c r="C778" s="71" t="s">
        <v>11047</v>
      </c>
      <c r="D778" s="71" t="s">
        <v>11048</v>
      </c>
    </row>
    <row r="779" ht="14.25" customHeight="1">
      <c r="C779" s="71" t="s">
        <v>77</v>
      </c>
      <c r="D779" s="71" t="s">
        <v>10321</v>
      </c>
    </row>
    <row r="780" ht="14.25" customHeight="1">
      <c r="C780" s="71" t="s">
        <v>11049</v>
      </c>
      <c r="D780" s="71" t="s">
        <v>9055</v>
      </c>
    </row>
    <row r="781" ht="14.25" customHeight="1">
      <c r="C781" s="71" t="s">
        <v>82</v>
      </c>
      <c r="D781" s="71" t="s">
        <v>11050</v>
      </c>
    </row>
    <row r="782" ht="14.25" customHeight="1">
      <c r="C782" s="71" t="s">
        <v>776</v>
      </c>
      <c r="D782" s="71" t="s">
        <v>11051</v>
      </c>
    </row>
    <row r="783" ht="14.25" customHeight="1">
      <c r="C783" s="71" t="s">
        <v>98</v>
      </c>
      <c r="D783" s="71" t="s">
        <v>9404</v>
      </c>
    </row>
    <row r="784" ht="14.25" customHeight="1">
      <c r="C784" s="71" t="s">
        <v>6065</v>
      </c>
      <c r="D784" s="71" t="s">
        <v>9034</v>
      </c>
    </row>
    <row r="785" ht="14.25" customHeight="1">
      <c r="D785" s="71" t="s">
        <v>10661</v>
      </c>
    </row>
    <row r="786" ht="14.25" customHeight="1">
      <c r="D786" s="71" t="s">
        <v>11052</v>
      </c>
    </row>
    <row r="787" ht="14.25" customHeight="1">
      <c r="D787" s="71" t="s">
        <v>11053</v>
      </c>
    </row>
    <row r="788" ht="14.25" customHeight="1">
      <c r="C788" s="71" t="s">
        <v>6083</v>
      </c>
      <c r="D788" s="71" t="s">
        <v>9071</v>
      </c>
    </row>
    <row r="789" ht="14.25" customHeight="1">
      <c r="C789" s="71" t="s">
        <v>11054</v>
      </c>
      <c r="D789" s="71" t="s">
        <v>9667</v>
      </c>
    </row>
    <row r="790" ht="14.25" customHeight="1">
      <c r="C790" s="71" t="s">
        <v>9630</v>
      </c>
      <c r="D790" s="71" t="s">
        <v>11055</v>
      </c>
    </row>
    <row r="791" ht="14.25" customHeight="1">
      <c r="C791" s="71" t="s">
        <v>11056</v>
      </c>
      <c r="D791" s="71" t="s">
        <v>10661</v>
      </c>
    </row>
    <row r="792" ht="14.25" customHeight="1">
      <c r="C792" s="71" t="s">
        <v>112</v>
      </c>
      <c r="D792" s="71" t="s">
        <v>9216</v>
      </c>
    </row>
    <row r="793" ht="14.25" customHeight="1">
      <c r="C793" s="71" t="s">
        <v>11057</v>
      </c>
      <c r="D793" s="71" t="s">
        <v>405</v>
      </c>
    </row>
    <row r="794" ht="14.25" customHeight="1">
      <c r="C794" s="71" t="s">
        <v>6182</v>
      </c>
      <c r="D794" s="71" t="s">
        <v>9430</v>
      </c>
    </row>
    <row r="795" ht="14.25" customHeight="1">
      <c r="D795" s="71" t="s">
        <v>9266</v>
      </c>
    </row>
    <row r="796" ht="14.25" customHeight="1">
      <c r="C796" s="71" t="s">
        <v>8981</v>
      </c>
      <c r="D796" s="71" t="s">
        <v>8982</v>
      </c>
    </row>
    <row r="797" ht="14.25" customHeight="1">
      <c r="C797" s="71" t="s">
        <v>9133</v>
      </c>
      <c r="D797" s="71" t="s">
        <v>11058</v>
      </c>
    </row>
    <row r="798" ht="14.25" customHeight="1">
      <c r="C798" s="71" t="s">
        <v>128</v>
      </c>
      <c r="D798" s="71" t="s">
        <v>9075</v>
      </c>
    </row>
    <row r="799" ht="14.25" customHeight="1">
      <c r="C799" s="71" t="s">
        <v>10942</v>
      </c>
      <c r="D799" s="71" t="s">
        <v>11059</v>
      </c>
    </row>
    <row r="800" ht="14.25" customHeight="1">
      <c r="D800" s="71" t="s">
        <v>10430</v>
      </c>
    </row>
    <row r="801" ht="14.25" customHeight="1">
      <c r="C801" s="71" t="s">
        <v>133</v>
      </c>
      <c r="D801" s="71" t="s">
        <v>11060</v>
      </c>
    </row>
    <row r="802" ht="14.25" customHeight="1">
      <c r="C802" s="71" t="s">
        <v>141</v>
      </c>
      <c r="D802" s="71" t="s">
        <v>9646</v>
      </c>
    </row>
    <row r="803" ht="14.25" customHeight="1">
      <c r="D803" s="71" t="s">
        <v>11061</v>
      </c>
    </row>
    <row r="804" ht="14.25" customHeight="1">
      <c r="C804" s="71" t="s">
        <v>6428</v>
      </c>
      <c r="D804" s="71" t="s">
        <v>11062</v>
      </c>
    </row>
    <row r="805" ht="14.25" customHeight="1">
      <c r="C805" s="71" t="s">
        <v>11063</v>
      </c>
      <c r="D805" s="71" t="s">
        <v>9034</v>
      </c>
    </row>
    <row r="806" ht="14.25" customHeight="1">
      <c r="C806" s="71" t="s">
        <v>310</v>
      </c>
      <c r="D806" s="71" t="s">
        <v>9667</v>
      </c>
    </row>
    <row r="807" ht="14.25" customHeight="1">
      <c r="C807" s="71" t="s">
        <v>312</v>
      </c>
      <c r="D807" s="71" t="s">
        <v>9034</v>
      </c>
    </row>
    <row r="808" ht="14.25" customHeight="1">
      <c r="C808" s="71" t="s">
        <v>173</v>
      </c>
      <c r="D808" s="71" t="s">
        <v>9578</v>
      </c>
    </row>
    <row r="809" ht="14.25" customHeight="1">
      <c r="C809" s="71" t="s">
        <v>3537</v>
      </c>
      <c r="D809" s="71" t="s">
        <v>9071</v>
      </c>
    </row>
    <row r="810" ht="14.25" customHeight="1">
      <c r="C810" s="71" t="s">
        <v>3566</v>
      </c>
      <c r="D810" s="71" t="s">
        <v>11064</v>
      </c>
    </row>
    <row r="811" ht="14.25" customHeight="1">
      <c r="D811" s="71" t="s">
        <v>9667</v>
      </c>
    </row>
    <row r="812" ht="14.25" customHeight="1">
      <c r="D812" s="71" t="s">
        <v>11065</v>
      </c>
    </row>
    <row r="813" ht="14.25" customHeight="1">
      <c r="D813" s="71" t="s">
        <v>9669</v>
      </c>
    </row>
    <row r="814" ht="14.25" customHeight="1">
      <c r="D814" s="71" t="s">
        <v>10091</v>
      </c>
    </row>
    <row r="815" ht="14.25" customHeight="1">
      <c r="D815" s="71" t="s">
        <v>8976</v>
      </c>
    </row>
    <row r="816" ht="14.25" customHeight="1">
      <c r="C816" s="71" t="s">
        <v>11066</v>
      </c>
      <c r="D816" s="71" t="s">
        <v>9071</v>
      </c>
    </row>
    <row r="817" ht="14.25" customHeight="1">
      <c r="C817" s="71" t="s">
        <v>3596</v>
      </c>
      <c r="D817" s="71" t="s">
        <v>9404</v>
      </c>
    </row>
    <row r="818" ht="14.25" customHeight="1">
      <c r="C818" s="71" t="s">
        <v>189</v>
      </c>
      <c r="D818" s="71" t="s">
        <v>9034</v>
      </c>
    </row>
    <row r="819" ht="14.25" customHeight="1">
      <c r="D819" s="71" t="s">
        <v>8978</v>
      </c>
    </row>
    <row r="820" ht="14.25" customHeight="1">
      <c r="C820" s="71" t="s">
        <v>11067</v>
      </c>
      <c r="D820" s="71" t="s">
        <v>11068</v>
      </c>
    </row>
    <row r="821" ht="14.25" customHeight="1">
      <c r="C821" s="71" t="s">
        <v>6769</v>
      </c>
      <c r="D821" s="71" t="s">
        <v>11069</v>
      </c>
    </row>
    <row r="822" ht="14.25" customHeight="1">
      <c r="C822" s="71" t="s">
        <v>10241</v>
      </c>
      <c r="D822" s="71" t="s">
        <v>8994</v>
      </c>
    </row>
    <row r="823" ht="14.25" customHeight="1">
      <c r="C823" s="71" t="s">
        <v>11070</v>
      </c>
      <c r="D823" s="71" t="s">
        <v>10948</v>
      </c>
    </row>
    <row r="824" ht="14.25" customHeight="1">
      <c r="C824" s="71" t="s">
        <v>11071</v>
      </c>
      <c r="D824" s="71" t="s">
        <v>9759</v>
      </c>
    </row>
    <row r="825" ht="14.25" customHeight="1">
      <c r="C825" s="71" t="s">
        <v>220</v>
      </c>
      <c r="D825" s="71" t="s">
        <v>10321</v>
      </c>
    </row>
    <row r="826" ht="14.25" customHeight="1">
      <c r="C826" s="71" t="s">
        <v>8576</v>
      </c>
      <c r="D826" s="71" t="s">
        <v>9667</v>
      </c>
    </row>
    <row r="827" ht="14.25" customHeight="1">
      <c r="D827" s="71" t="s">
        <v>10321</v>
      </c>
    </row>
    <row r="828" ht="14.25" customHeight="1">
      <c r="C828" s="71" t="s">
        <v>11072</v>
      </c>
      <c r="D828" s="71" t="s">
        <v>9034</v>
      </c>
    </row>
    <row r="829" ht="14.25" customHeight="1">
      <c r="C829" s="71" t="s">
        <v>3984</v>
      </c>
      <c r="D829" s="71" t="s">
        <v>10463</v>
      </c>
    </row>
    <row r="830" ht="14.25" customHeight="1">
      <c r="C830" s="71" t="s">
        <v>11073</v>
      </c>
      <c r="D830" s="71" t="s">
        <v>9055</v>
      </c>
    </row>
    <row r="831" ht="14.25" customHeight="1">
      <c r="C831" s="71" t="s">
        <v>4109</v>
      </c>
      <c r="D831" s="71" t="s">
        <v>9071</v>
      </c>
    </row>
    <row r="832" ht="14.25" customHeight="1">
      <c r="C832" s="71" t="s">
        <v>10640</v>
      </c>
      <c r="D832" s="71" t="s">
        <v>9034</v>
      </c>
    </row>
    <row r="833" ht="14.25" customHeight="1">
      <c r="C833" s="71" t="s">
        <v>11074</v>
      </c>
      <c r="D833" s="71" t="s">
        <v>9055</v>
      </c>
    </row>
    <row r="834" ht="14.25" customHeight="1">
      <c r="C834" s="71" t="s">
        <v>9090</v>
      </c>
      <c r="D834" s="71" t="s">
        <v>9034</v>
      </c>
    </row>
    <row r="835" ht="14.25" customHeight="1">
      <c r="D835" s="71" t="s">
        <v>11075</v>
      </c>
    </row>
    <row r="836" ht="14.25" customHeight="1">
      <c r="C836" s="71" t="s">
        <v>261</v>
      </c>
      <c r="D836" s="71" t="s">
        <v>11076</v>
      </c>
    </row>
    <row r="837" ht="14.25" customHeight="1">
      <c r="C837" s="71" t="s">
        <v>262</v>
      </c>
      <c r="D837" s="71" t="s">
        <v>11077</v>
      </c>
    </row>
    <row r="838" ht="14.25" customHeight="1">
      <c r="D838" s="71" t="s">
        <v>11078</v>
      </c>
    </row>
    <row r="839" ht="14.25" customHeight="1">
      <c r="D839" s="71" t="s">
        <v>9667</v>
      </c>
    </row>
    <row r="840" ht="14.25" customHeight="1">
      <c r="C840" s="71" t="s">
        <v>8805</v>
      </c>
      <c r="D840" s="71" t="s">
        <v>9034</v>
      </c>
    </row>
    <row r="841" ht="14.25" customHeight="1">
      <c r="C841" s="71" t="s">
        <v>4281</v>
      </c>
      <c r="D841" s="71" t="s">
        <v>11079</v>
      </c>
    </row>
    <row r="842" ht="14.25" customHeight="1">
      <c r="C842" s="71" t="s">
        <v>4294</v>
      </c>
      <c r="D842" s="71" t="s">
        <v>10418</v>
      </c>
    </row>
    <row r="843" ht="14.25" customHeight="1">
      <c r="C843" s="71" t="s">
        <v>11080</v>
      </c>
      <c r="D843" s="71" t="s">
        <v>10949</v>
      </c>
    </row>
    <row r="844" ht="14.25" customHeight="1">
      <c r="C844" s="71" t="s">
        <v>11081</v>
      </c>
      <c r="D844" s="71" t="s">
        <v>9055</v>
      </c>
    </row>
    <row r="845" ht="14.25" customHeight="1">
      <c r="C845" s="71" t="s">
        <v>11082</v>
      </c>
      <c r="D845" s="71" t="s">
        <v>9354</v>
      </c>
    </row>
    <row r="846" ht="14.25" customHeight="1">
      <c r="C846" s="71" t="s">
        <v>11083</v>
      </c>
      <c r="D846" s="71" t="s">
        <v>11084</v>
      </c>
    </row>
    <row r="847" ht="14.25" customHeight="1">
      <c r="C847" s="71" t="s">
        <v>11085</v>
      </c>
      <c r="D847" s="71" t="s">
        <v>9055</v>
      </c>
    </row>
    <row r="848" ht="14.25" customHeight="1">
      <c r="C848" s="71" t="s">
        <v>11086</v>
      </c>
      <c r="D848" s="71" t="s">
        <v>11087</v>
      </c>
    </row>
    <row r="849" ht="14.25" customHeight="1">
      <c r="C849" s="71" t="s">
        <v>11088</v>
      </c>
      <c r="D849" s="71" t="s">
        <v>9034</v>
      </c>
    </row>
    <row r="850" ht="14.25" customHeight="1">
      <c r="B850" s="71" t="s">
        <v>41</v>
      </c>
      <c r="C850" s="71" t="s">
        <v>9034</v>
      </c>
      <c r="D850" s="71" t="s">
        <v>9667</v>
      </c>
    </row>
    <row r="851" ht="14.25" customHeight="1">
      <c r="C851" s="71" t="s">
        <v>53</v>
      </c>
      <c r="D851" s="71" t="s">
        <v>11089</v>
      </c>
    </row>
    <row r="852" ht="14.25" customHeight="1">
      <c r="C852" s="71" t="s">
        <v>11090</v>
      </c>
      <c r="D852" s="71" t="s">
        <v>9071</v>
      </c>
    </row>
    <row r="853" ht="14.25" customHeight="1">
      <c r="C853" s="71" t="s">
        <v>11091</v>
      </c>
      <c r="D853" s="71" t="s">
        <v>9526</v>
      </c>
    </row>
    <row r="854" ht="14.25" customHeight="1">
      <c r="C854" s="71" t="s">
        <v>2480</v>
      </c>
      <c r="D854" s="71" t="s">
        <v>9073</v>
      </c>
    </row>
    <row r="855" ht="14.25" customHeight="1">
      <c r="C855" s="71" t="s">
        <v>11092</v>
      </c>
      <c r="D855" s="71" t="s">
        <v>9404</v>
      </c>
    </row>
    <row r="856" ht="14.25" customHeight="1">
      <c r="C856" s="71" t="s">
        <v>11093</v>
      </c>
      <c r="D856" s="71" t="s">
        <v>8968</v>
      </c>
    </row>
    <row r="857" ht="14.25" customHeight="1">
      <c r="C857" s="71" t="s">
        <v>11094</v>
      </c>
      <c r="D857" s="71" t="s">
        <v>9812</v>
      </c>
    </row>
    <row r="858" ht="14.25" customHeight="1">
      <c r="C858" s="71" t="s">
        <v>11095</v>
      </c>
      <c r="D858" s="71" t="s">
        <v>9071</v>
      </c>
    </row>
    <row r="859" ht="14.25" customHeight="1">
      <c r="C859" s="71" t="s">
        <v>1009</v>
      </c>
      <c r="D859" s="71" t="s">
        <v>11096</v>
      </c>
    </row>
    <row r="860" ht="14.25" customHeight="1">
      <c r="C860" s="71" t="s">
        <v>11097</v>
      </c>
      <c r="D860" s="71" t="s">
        <v>11098</v>
      </c>
    </row>
    <row r="861" ht="14.25" customHeight="1">
      <c r="C861" s="71" t="s">
        <v>11099</v>
      </c>
      <c r="D861" s="71" t="s">
        <v>9771</v>
      </c>
    </row>
    <row r="862" ht="14.25" customHeight="1">
      <c r="C862" s="71" t="s">
        <v>11100</v>
      </c>
      <c r="D862" s="71" t="s">
        <v>11101</v>
      </c>
    </row>
    <row r="863" ht="14.25" customHeight="1">
      <c r="C863" s="71" t="s">
        <v>3313</v>
      </c>
      <c r="D863" s="71" t="s">
        <v>11102</v>
      </c>
    </row>
    <row r="864" ht="14.25" customHeight="1">
      <c r="C864" s="71" t="s">
        <v>11103</v>
      </c>
      <c r="D864" s="71" t="s">
        <v>11104</v>
      </c>
    </row>
    <row r="865" ht="14.25" customHeight="1">
      <c r="C865" s="71" t="s">
        <v>178</v>
      </c>
      <c r="D865" s="71" t="s">
        <v>9075</v>
      </c>
    </row>
    <row r="866" ht="14.25" customHeight="1">
      <c r="C866" s="71" t="s">
        <v>9543</v>
      </c>
      <c r="D866" s="71" t="s">
        <v>11105</v>
      </c>
    </row>
    <row r="867" ht="14.25" customHeight="1">
      <c r="C867" s="71" t="s">
        <v>11106</v>
      </c>
      <c r="D867" s="71" t="s">
        <v>11107</v>
      </c>
    </row>
    <row r="868" ht="14.25" customHeight="1">
      <c r="C868" s="71" t="s">
        <v>314</v>
      </c>
      <c r="D868" s="71" t="s">
        <v>11108</v>
      </c>
    </row>
    <row r="869" ht="14.25" customHeight="1">
      <c r="C869" s="71" t="s">
        <v>10727</v>
      </c>
      <c r="D869" s="71" t="s">
        <v>9055</v>
      </c>
    </row>
    <row r="870" ht="14.25" customHeight="1">
      <c r="C870" s="71" t="s">
        <v>210</v>
      </c>
      <c r="D870" s="71" t="s">
        <v>11109</v>
      </c>
    </row>
    <row r="871" ht="14.25" customHeight="1">
      <c r="C871" s="71" t="s">
        <v>11110</v>
      </c>
      <c r="D871" s="71" t="s">
        <v>9879</v>
      </c>
    </row>
    <row r="872" ht="14.25" customHeight="1">
      <c r="C872" s="71" t="s">
        <v>11111</v>
      </c>
      <c r="D872" s="71" t="s">
        <v>11112</v>
      </c>
    </row>
    <row r="873" ht="14.25" customHeight="1">
      <c r="C873" s="71" t="s">
        <v>11113</v>
      </c>
      <c r="D873" s="71" t="s">
        <v>9430</v>
      </c>
    </row>
    <row r="874" ht="14.25" customHeight="1">
      <c r="C874" s="71" t="s">
        <v>10993</v>
      </c>
      <c r="D874" s="71" t="s">
        <v>9050</v>
      </c>
    </row>
    <row r="875" ht="14.25" customHeight="1">
      <c r="C875" s="71" t="s">
        <v>9691</v>
      </c>
      <c r="D875" s="71" t="s">
        <v>9404</v>
      </c>
    </row>
    <row r="876" ht="14.25" customHeight="1">
      <c r="C876" s="71" t="s">
        <v>4131</v>
      </c>
      <c r="D876" s="71" t="s">
        <v>9404</v>
      </c>
    </row>
    <row r="877" ht="14.25" customHeight="1">
      <c r="C877" s="71" t="s">
        <v>10640</v>
      </c>
      <c r="D877" s="71" t="s">
        <v>9034</v>
      </c>
    </row>
    <row r="878" ht="14.25" customHeight="1">
      <c r="C878" s="71" t="s">
        <v>11114</v>
      </c>
      <c r="D878" s="71" t="s">
        <v>9034</v>
      </c>
    </row>
    <row r="879" ht="14.25" customHeight="1">
      <c r="C879" s="71" t="s">
        <v>9434</v>
      </c>
      <c r="D879" s="71" t="s">
        <v>9162</v>
      </c>
    </row>
    <row r="880" ht="14.25" customHeight="1">
      <c r="D880" s="71" t="s">
        <v>11115</v>
      </c>
    </row>
    <row r="881" ht="14.25" customHeight="1">
      <c r="D881" s="71" t="s">
        <v>10594</v>
      </c>
    </row>
    <row r="882" ht="14.25" customHeight="1">
      <c r="D882" s="71" t="s">
        <v>9404</v>
      </c>
    </row>
    <row r="883" ht="14.25" customHeight="1">
      <c r="D883" s="71" t="s">
        <v>11116</v>
      </c>
    </row>
    <row r="884" ht="14.25" customHeight="1">
      <c r="D884" s="71" t="s">
        <v>11061</v>
      </c>
    </row>
    <row r="885" ht="14.25" customHeight="1">
      <c r="C885" s="71" t="s">
        <v>9090</v>
      </c>
      <c r="D885" s="71" t="s">
        <v>11117</v>
      </c>
    </row>
    <row r="886" ht="14.25" customHeight="1">
      <c r="C886" s="71" t="s">
        <v>11118</v>
      </c>
      <c r="D886" s="71" t="s">
        <v>11119</v>
      </c>
    </row>
    <row r="887" ht="14.25" customHeight="1">
      <c r="B887" s="71" t="s">
        <v>13</v>
      </c>
      <c r="C887" s="71" t="s">
        <v>11120</v>
      </c>
      <c r="D887" s="71" t="s">
        <v>9249</v>
      </c>
    </row>
    <row r="888" ht="14.25" customHeight="1">
      <c r="C888" s="71" t="s">
        <v>11121</v>
      </c>
      <c r="D888" s="71" t="s">
        <v>9380</v>
      </c>
    </row>
    <row r="889" ht="14.25" customHeight="1">
      <c r="C889" s="71" t="s">
        <v>11122</v>
      </c>
      <c r="D889" s="71" t="s">
        <v>9249</v>
      </c>
    </row>
    <row r="890" ht="14.25" customHeight="1">
      <c r="C890" s="71" t="s">
        <v>11123</v>
      </c>
      <c r="D890" s="71" t="s">
        <v>9380</v>
      </c>
    </row>
    <row r="891" ht="14.25" customHeight="1">
      <c r="C891" s="71" t="s">
        <v>11124</v>
      </c>
      <c r="D891" s="71" t="s">
        <v>11125</v>
      </c>
    </row>
    <row r="892" ht="14.25" customHeight="1">
      <c r="C892" s="71" t="s">
        <v>11126</v>
      </c>
      <c r="D892" s="71" t="s">
        <v>10608</v>
      </c>
    </row>
    <row r="893" ht="14.25" customHeight="1">
      <c r="A893" s="71" t="s">
        <v>9806</v>
      </c>
      <c r="B893" s="71" t="s">
        <v>40</v>
      </c>
      <c r="C893" s="71" t="s">
        <v>9034</v>
      </c>
      <c r="D893" s="71" t="s">
        <v>9071</v>
      </c>
    </row>
    <row r="894" ht="14.25" customHeight="1">
      <c r="C894" s="71" t="s">
        <v>9597</v>
      </c>
      <c r="D894" s="71" t="s">
        <v>10576</v>
      </c>
    </row>
    <row r="895" ht="14.25" customHeight="1">
      <c r="C895" s="71" t="s">
        <v>2408</v>
      </c>
      <c r="D895" s="71" t="s">
        <v>9034</v>
      </c>
    </row>
    <row r="896" ht="14.25" customHeight="1">
      <c r="D896" s="71" t="s">
        <v>11127</v>
      </c>
    </row>
    <row r="897" ht="14.25" customHeight="1">
      <c r="C897" s="71" t="s">
        <v>2494</v>
      </c>
      <c r="D897" s="71" t="s">
        <v>11128</v>
      </c>
    </row>
    <row r="898" ht="14.25" customHeight="1">
      <c r="C898" s="71" t="s">
        <v>81</v>
      </c>
      <c r="D898" s="71" t="s">
        <v>9028</v>
      </c>
    </row>
    <row r="899" ht="14.25" customHeight="1">
      <c r="C899" s="71" t="s">
        <v>11129</v>
      </c>
      <c r="D899" s="71" t="s">
        <v>10514</v>
      </c>
    </row>
    <row r="900" ht="14.25" customHeight="1">
      <c r="C900" s="71" t="s">
        <v>10885</v>
      </c>
      <c r="D900" s="71" t="s">
        <v>11130</v>
      </c>
    </row>
    <row r="901" ht="14.25" customHeight="1">
      <c r="C901" s="71" t="s">
        <v>11131</v>
      </c>
      <c r="D901" s="71" t="s">
        <v>11132</v>
      </c>
    </row>
    <row r="902" ht="14.25" customHeight="1">
      <c r="C902" s="71" t="s">
        <v>11133</v>
      </c>
      <c r="D902" s="71" t="s">
        <v>9131</v>
      </c>
    </row>
    <row r="903" ht="14.25" customHeight="1">
      <c r="C903" s="71" t="s">
        <v>6197</v>
      </c>
      <c r="D903" s="71" t="s">
        <v>9075</v>
      </c>
    </row>
    <row r="904" ht="14.25" customHeight="1">
      <c r="C904" s="71" t="s">
        <v>141</v>
      </c>
      <c r="D904" s="71" t="s">
        <v>9646</v>
      </c>
    </row>
    <row r="905" ht="14.25" customHeight="1">
      <c r="C905" s="71" t="s">
        <v>9650</v>
      </c>
      <c r="D905" s="71" t="s">
        <v>9034</v>
      </c>
    </row>
    <row r="906" ht="14.25" customHeight="1">
      <c r="C906" s="71" t="s">
        <v>1417</v>
      </c>
      <c r="D906" s="71" t="s">
        <v>9880</v>
      </c>
    </row>
    <row r="907" ht="14.25" customHeight="1">
      <c r="C907" s="71" t="s">
        <v>11134</v>
      </c>
      <c r="D907" s="71" t="s">
        <v>9151</v>
      </c>
    </row>
    <row r="908" ht="14.25" customHeight="1">
      <c r="C908" s="71" t="s">
        <v>11135</v>
      </c>
      <c r="D908" s="71" t="s">
        <v>9118</v>
      </c>
    </row>
    <row r="909" ht="14.25" customHeight="1">
      <c r="C909" s="71" t="s">
        <v>3566</v>
      </c>
      <c r="D909" s="71" t="s">
        <v>9071</v>
      </c>
    </row>
    <row r="910" ht="14.25" customHeight="1">
      <c r="C910" s="71" t="s">
        <v>11136</v>
      </c>
      <c r="D910" s="71" t="s">
        <v>8976</v>
      </c>
    </row>
    <row r="911" ht="14.25" customHeight="1">
      <c r="C911" s="71" t="s">
        <v>3763</v>
      </c>
      <c r="D911" s="71" t="s">
        <v>9028</v>
      </c>
    </row>
    <row r="912" ht="14.25" customHeight="1">
      <c r="C912" s="71" t="s">
        <v>3850</v>
      </c>
      <c r="D912" s="71" t="s">
        <v>9636</v>
      </c>
    </row>
    <row r="913" ht="14.25" customHeight="1">
      <c r="C913" s="71" t="s">
        <v>251</v>
      </c>
      <c r="D913" s="71" t="s">
        <v>11137</v>
      </c>
    </row>
    <row r="914" ht="14.25" customHeight="1">
      <c r="C914" s="71" t="s">
        <v>11138</v>
      </c>
      <c r="D914" s="71" t="s">
        <v>11139</v>
      </c>
    </row>
    <row r="915" ht="14.25" customHeight="1">
      <c r="C915" s="71" t="s">
        <v>11140</v>
      </c>
      <c r="D915" s="71" t="s">
        <v>9071</v>
      </c>
    </row>
    <row r="916" ht="14.25" customHeight="1">
      <c r="C916" s="71" t="s">
        <v>11141</v>
      </c>
      <c r="D916" s="71" t="s">
        <v>9151</v>
      </c>
    </row>
    <row r="917" ht="14.25" customHeight="1">
      <c r="C917" s="71" t="s">
        <v>11142</v>
      </c>
      <c r="D917" s="71" t="s">
        <v>11143</v>
      </c>
    </row>
    <row r="918" ht="14.25" customHeight="1">
      <c r="C918" s="71" t="s">
        <v>263</v>
      </c>
      <c r="D918" s="71" t="s">
        <v>11144</v>
      </c>
    </row>
    <row r="919" ht="14.25" customHeight="1">
      <c r="C919" s="71" t="s">
        <v>11145</v>
      </c>
      <c r="D919" s="71" t="s">
        <v>10457</v>
      </c>
    </row>
    <row r="920" ht="14.25" customHeight="1">
      <c r="C920" s="71" t="s">
        <v>9005</v>
      </c>
      <c r="D920" s="71" t="s">
        <v>11146</v>
      </c>
    </row>
    <row r="921" ht="14.25" customHeight="1">
      <c r="C921" s="71" t="s">
        <v>11147</v>
      </c>
      <c r="D921" s="71" t="s">
        <v>9131</v>
      </c>
    </row>
    <row r="922" ht="14.25" customHeight="1">
      <c r="A922" s="71" t="s">
        <v>9824</v>
      </c>
      <c r="B922" s="71" t="s">
        <v>40</v>
      </c>
      <c r="C922" s="71" t="s">
        <v>2408</v>
      </c>
      <c r="D922" s="71" t="s">
        <v>9875</v>
      </c>
    </row>
    <row r="923" ht="14.25" customHeight="1">
      <c r="D923" s="71" t="s">
        <v>9836</v>
      </c>
    </row>
    <row r="924" ht="14.25" customHeight="1">
      <c r="C924" s="71" t="s">
        <v>11148</v>
      </c>
      <c r="D924" s="71" t="s">
        <v>11149</v>
      </c>
    </row>
    <row r="925" ht="14.25" customHeight="1">
      <c r="C925" s="71" t="s">
        <v>1009</v>
      </c>
      <c r="D925" s="71" t="s">
        <v>11150</v>
      </c>
    </row>
    <row r="926" ht="14.25" customHeight="1">
      <c r="C926" s="71" t="s">
        <v>11151</v>
      </c>
      <c r="D926" s="71" t="s">
        <v>11152</v>
      </c>
    </row>
    <row r="927" ht="14.25" customHeight="1">
      <c r="C927" s="71" t="s">
        <v>7967</v>
      </c>
      <c r="D927" s="71" t="s">
        <v>11153</v>
      </c>
    </row>
    <row r="928" ht="14.25" customHeight="1">
      <c r="C928" s="71" t="s">
        <v>6354</v>
      </c>
      <c r="D928" s="71" t="s">
        <v>9034</v>
      </c>
    </row>
    <row r="929" ht="14.25" customHeight="1">
      <c r="C929" s="71" t="s">
        <v>11154</v>
      </c>
      <c r="D929" s="71" t="s">
        <v>9404</v>
      </c>
    </row>
    <row r="930" ht="14.25" customHeight="1">
      <c r="C930" s="71" t="s">
        <v>8053</v>
      </c>
      <c r="D930" s="71" t="s">
        <v>9825</v>
      </c>
    </row>
    <row r="931" ht="14.25" customHeight="1">
      <c r="C931" s="71" t="s">
        <v>310</v>
      </c>
      <c r="D931" s="71" t="s">
        <v>9075</v>
      </c>
    </row>
    <row r="932" ht="14.25" customHeight="1">
      <c r="C932" s="71" t="s">
        <v>11155</v>
      </c>
      <c r="D932" s="71" t="s">
        <v>11156</v>
      </c>
    </row>
    <row r="933" ht="14.25" customHeight="1">
      <c r="C933" s="71" t="s">
        <v>11157</v>
      </c>
      <c r="D933" s="71" t="s">
        <v>11158</v>
      </c>
    </row>
    <row r="934" ht="14.25" customHeight="1">
      <c r="C934" s="71" t="s">
        <v>215</v>
      </c>
      <c r="D934" s="71" t="s">
        <v>9109</v>
      </c>
    </row>
    <row r="935" ht="14.25" customHeight="1">
      <c r="C935" s="71" t="s">
        <v>11159</v>
      </c>
      <c r="D935" s="71" t="s">
        <v>10457</v>
      </c>
    </row>
    <row r="936" ht="14.25" customHeight="1">
      <c r="C936" s="71" t="s">
        <v>8576</v>
      </c>
      <c r="D936" s="71" t="s">
        <v>11160</v>
      </c>
    </row>
    <row r="937" ht="14.25" customHeight="1">
      <c r="C937" s="71" t="s">
        <v>11161</v>
      </c>
      <c r="D937" s="71" t="s">
        <v>11162</v>
      </c>
    </row>
    <row r="938" ht="14.25" customHeight="1">
      <c r="C938" s="71" t="s">
        <v>11163</v>
      </c>
      <c r="D938" s="71" t="s">
        <v>9055</v>
      </c>
    </row>
    <row r="939" ht="14.25" customHeight="1">
      <c r="C939" s="71" t="s">
        <v>11164</v>
      </c>
      <c r="D939" s="71" t="s">
        <v>9055</v>
      </c>
    </row>
    <row r="940" ht="14.25" customHeight="1">
      <c r="C940" s="71" t="s">
        <v>261</v>
      </c>
      <c r="D940" s="71" t="s">
        <v>11076</v>
      </c>
    </row>
    <row r="941" ht="14.25" customHeight="1">
      <c r="C941" s="71" t="s">
        <v>262</v>
      </c>
      <c r="D941" s="71" t="s">
        <v>11089</v>
      </c>
    </row>
    <row r="942" ht="14.25" customHeight="1">
      <c r="C942" s="71" t="s">
        <v>11165</v>
      </c>
      <c r="D942" s="71" t="s">
        <v>10973</v>
      </c>
    </row>
    <row r="943" ht="14.25" customHeight="1">
      <c r="C943" s="71" t="s">
        <v>11166</v>
      </c>
      <c r="D943" s="71" t="s">
        <v>9034</v>
      </c>
    </row>
    <row r="944" ht="14.25" customHeight="1">
      <c r="B944" s="71" t="s">
        <v>41</v>
      </c>
      <c r="C944" s="71" t="s">
        <v>129</v>
      </c>
      <c r="D944" s="71" t="s">
        <v>10819</v>
      </c>
    </row>
    <row r="945" ht="14.25" customHeight="1">
      <c r="C945" s="71" t="s">
        <v>11167</v>
      </c>
      <c r="D945" s="71" t="s">
        <v>8968</v>
      </c>
    </row>
    <row r="946" ht="14.25" customHeight="1">
      <c r="C946" s="71" t="s">
        <v>8053</v>
      </c>
      <c r="D946" s="71" t="s">
        <v>11160</v>
      </c>
    </row>
    <row r="947" ht="14.25" customHeight="1">
      <c r="C947" s="71" t="s">
        <v>10683</v>
      </c>
      <c r="D947" s="71" t="s">
        <v>8968</v>
      </c>
    </row>
    <row r="948" ht="14.25" customHeight="1">
      <c r="D948" s="71" t="s">
        <v>9073</v>
      </c>
    </row>
    <row r="949" ht="14.25" customHeight="1">
      <c r="C949" s="71" t="s">
        <v>10586</v>
      </c>
      <c r="D949" s="71" t="s">
        <v>8968</v>
      </c>
    </row>
    <row r="950" ht="14.25" customHeight="1">
      <c r="B950" s="71" t="s">
        <v>13</v>
      </c>
      <c r="C950" s="71" t="s">
        <v>10683</v>
      </c>
      <c r="D950" s="71" t="s">
        <v>11168</v>
      </c>
    </row>
    <row r="951" ht="14.25" customHeight="1">
      <c r="D951" s="71" t="s">
        <v>9073</v>
      </c>
    </row>
    <row r="952" ht="14.25" customHeight="1">
      <c r="D952" s="71" t="s">
        <v>11169</v>
      </c>
    </row>
    <row r="953" ht="14.25" customHeight="1">
      <c r="C953" s="71" t="s">
        <v>11170</v>
      </c>
      <c r="D953" s="71" t="s">
        <v>10608</v>
      </c>
    </row>
    <row r="954" ht="14.25" customHeight="1">
      <c r="C954" s="71" t="s">
        <v>233</v>
      </c>
      <c r="D954" s="71" t="s">
        <v>10608</v>
      </c>
    </row>
    <row r="955" ht="14.25" customHeight="1">
      <c r="D955" s="71" t="s">
        <v>11171</v>
      </c>
    </row>
    <row r="956" ht="14.25" customHeight="1">
      <c r="C956" s="71" t="s">
        <v>271</v>
      </c>
      <c r="D956" s="71" t="s">
        <v>11172</v>
      </c>
    </row>
    <row r="957" ht="14.25" customHeight="1">
      <c r="A957" s="71" t="s">
        <v>9840</v>
      </c>
      <c r="B957" s="71" t="s">
        <v>40</v>
      </c>
      <c r="C957" s="71" t="s">
        <v>9034</v>
      </c>
      <c r="D957" s="71" t="s">
        <v>8989</v>
      </c>
    </row>
    <row r="958" ht="14.25" customHeight="1">
      <c r="D958" s="71" t="s">
        <v>11173</v>
      </c>
    </row>
    <row r="959" ht="14.25" customHeight="1">
      <c r="C959" s="71" t="s">
        <v>57</v>
      </c>
      <c r="D959" s="71" t="s">
        <v>9034</v>
      </c>
    </row>
    <row r="960" ht="14.25" customHeight="1">
      <c r="D960" s="71" t="s">
        <v>11174</v>
      </c>
    </row>
    <row r="961" ht="14.25" customHeight="1">
      <c r="C961" s="71" t="s">
        <v>11175</v>
      </c>
      <c r="D961" s="71" t="s">
        <v>11176</v>
      </c>
    </row>
    <row r="962" ht="14.25" customHeight="1">
      <c r="C962" s="71" t="s">
        <v>75</v>
      </c>
      <c r="D962" s="71" t="s">
        <v>11177</v>
      </c>
    </row>
    <row r="963" ht="14.25" customHeight="1">
      <c r="C963" s="71" t="s">
        <v>9810</v>
      </c>
      <c r="D963" s="71" t="s">
        <v>11178</v>
      </c>
    </row>
    <row r="964" ht="14.25" customHeight="1">
      <c r="C964" s="71" t="s">
        <v>11179</v>
      </c>
      <c r="D964" s="71" t="s">
        <v>11180</v>
      </c>
    </row>
    <row r="965" ht="14.25" customHeight="1">
      <c r="C965" s="71" t="s">
        <v>11181</v>
      </c>
      <c r="D965" s="71" t="s">
        <v>9354</v>
      </c>
    </row>
    <row r="966" ht="14.25" customHeight="1">
      <c r="C966" s="71" t="s">
        <v>85</v>
      </c>
      <c r="D966" s="71" t="s">
        <v>9618</v>
      </c>
    </row>
    <row r="967" ht="14.25" customHeight="1">
      <c r="C967" s="71" t="s">
        <v>86</v>
      </c>
      <c r="D967" s="71" t="s">
        <v>11182</v>
      </c>
    </row>
    <row r="968" ht="14.25" customHeight="1">
      <c r="C968" s="71" t="s">
        <v>89</v>
      </c>
      <c r="D968" s="71" t="s">
        <v>9028</v>
      </c>
    </row>
    <row r="969" ht="14.25" customHeight="1">
      <c r="C969" s="71" t="s">
        <v>90</v>
      </c>
      <c r="D969" s="71" t="s">
        <v>11183</v>
      </c>
    </row>
    <row r="970" ht="14.25" customHeight="1">
      <c r="C970" s="71" t="s">
        <v>2682</v>
      </c>
      <c r="D970" s="71" t="s">
        <v>11184</v>
      </c>
    </row>
    <row r="971" ht="14.25" customHeight="1">
      <c r="C971" s="71" t="s">
        <v>11185</v>
      </c>
      <c r="D971" s="71" t="s">
        <v>11186</v>
      </c>
    </row>
    <row r="972" ht="14.25" customHeight="1">
      <c r="C972" s="71" t="s">
        <v>776</v>
      </c>
      <c r="D972" s="71" t="s">
        <v>9071</v>
      </c>
    </row>
    <row r="973" ht="14.25" customHeight="1">
      <c r="C973" s="71" t="s">
        <v>7652</v>
      </c>
      <c r="D973" s="71" t="s">
        <v>9755</v>
      </c>
    </row>
    <row r="974" ht="14.25" customHeight="1">
      <c r="D974" s="71" t="s">
        <v>9028</v>
      </c>
    </row>
    <row r="975" ht="14.25" customHeight="1">
      <c r="C975" s="71" t="s">
        <v>96</v>
      </c>
      <c r="D975" s="71" t="s">
        <v>11187</v>
      </c>
    </row>
    <row r="976" ht="14.25" customHeight="1">
      <c r="C976" s="71" t="s">
        <v>11188</v>
      </c>
      <c r="D976" s="71" t="s">
        <v>9151</v>
      </c>
    </row>
    <row r="977" ht="14.25" customHeight="1">
      <c r="C977" s="71" t="s">
        <v>10660</v>
      </c>
      <c r="D977" s="71" t="s">
        <v>11189</v>
      </c>
    </row>
    <row r="978" ht="14.25" customHeight="1">
      <c r="C978" s="71" t="s">
        <v>9110</v>
      </c>
      <c r="D978" s="71" t="s">
        <v>11190</v>
      </c>
    </row>
    <row r="979" ht="14.25" customHeight="1">
      <c r="C979" s="71" t="s">
        <v>10962</v>
      </c>
      <c r="D979" s="71" t="s">
        <v>9131</v>
      </c>
    </row>
    <row r="980" ht="14.25" customHeight="1">
      <c r="C980" s="71" t="s">
        <v>11191</v>
      </c>
      <c r="D980" s="71" t="s">
        <v>11192</v>
      </c>
    </row>
    <row r="981" ht="14.25" customHeight="1">
      <c r="C981" s="71" t="s">
        <v>11193</v>
      </c>
      <c r="D981" s="71" t="s">
        <v>9131</v>
      </c>
    </row>
    <row r="982" ht="14.25" customHeight="1">
      <c r="C982" s="71" t="s">
        <v>11194</v>
      </c>
      <c r="D982" s="71" t="s">
        <v>9118</v>
      </c>
    </row>
    <row r="983" ht="14.25" customHeight="1">
      <c r="C983" s="71" t="s">
        <v>300</v>
      </c>
      <c r="D983" s="71" t="s">
        <v>9109</v>
      </c>
    </row>
    <row r="984" ht="14.25" customHeight="1">
      <c r="D984" s="71" t="s">
        <v>11195</v>
      </c>
    </row>
    <row r="985" ht="14.25" customHeight="1">
      <c r="C985" s="71" t="s">
        <v>9133</v>
      </c>
      <c r="D985" s="71" t="s">
        <v>11196</v>
      </c>
    </row>
    <row r="986" ht="14.25" customHeight="1">
      <c r="D986" s="71" t="s">
        <v>10541</v>
      </c>
    </row>
    <row r="987" ht="14.25" customHeight="1">
      <c r="D987" s="71" t="s">
        <v>11197</v>
      </c>
    </row>
    <row r="988" ht="14.25" customHeight="1">
      <c r="D988" s="71" t="s">
        <v>10425</v>
      </c>
    </row>
    <row r="989" ht="14.25" customHeight="1">
      <c r="C989" s="71" t="s">
        <v>11198</v>
      </c>
      <c r="D989" s="71" t="s">
        <v>11199</v>
      </c>
    </row>
    <row r="990" ht="14.25" customHeight="1">
      <c r="C990" s="71" t="s">
        <v>2987</v>
      </c>
      <c r="D990" s="71" t="s">
        <v>11200</v>
      </c>
    </row>
    <row r="991" ht="14.25" customHeight="1">
      <c r="C991" s="71" t="s">
        <v>129</v>
      </c>
      <c r="D991" s="71" t="s">
        <v>11201</v>
      </c>
    </row>
    <row r="992" ht="14.25" customHeight="1">
      <c r="D992" s="71" t="s">
        <v>11202</v>
      </c>
    </row>
    <row r="993" ht="14.25" customHeight="1">
      <c r="C993" s="71" t="s">
        <v>10699</v>
      </c>
      <c r="D993" s="71" t="s">
        <v>8968</v>
      </c>
    </row>
    <row r="994" ht="14.25" customHeight="1">
      <c r="C994" s="71" t="s">
        <v>11203</v>
      </c>
      <c r="D994" s="71" t="s">
        <v>9073</v>
      </c>
    </row>
    <row r="995" ht="14.25" customHeight="1">
      <c r="C995" s="71" t="s">
        <v>137</v>
      </c>
      <c r="D995" s="71" t="s">
        <v>9916</v>
      </c>
    </row>
    <row r="996" ht="14.25" customHeight="1">
      <c r="C996" s="71" t="s">
        <v>6354</v>
      </c>
      <c r="D996" s="71" t="s">
        <v>9075</v>
      </c>
    </row>
    <row r="997" ht="14.25" customHeight="1">
      <c r="C997" s="71" t="s">
        <v>6362</v>
      </c>
      <c r="D997" s="71" t="s">
        <v>8968</v>
      </c>
    </row>
    <row r="998" ht="14.25" customHeight="1">
      <c r="C998" s="71" t="s">
        <v>141</v>
      </c>
      <c r="D998" s="71" t="s">
        <v>11204</v>
      </c>
    </row>
    <row r="999" ht="14.25" customHeight="1">
      <c r="D999" s="71" t="s">
        <v>11061</v>
      </c>
    </row>
    <row r="1000" ht="14.25" customHeight="1">
      <c r="C1000" s="71" t="s">
        <v>147</v>
      </c>
      <c r="D1000" s="71" t="s">
        <v>8968</v>
      </c>
    </row>
    <row r="1001" ht="14.25" customHeight="1">
      <c r="C1001" s="71" t="s">
        <v>11205</v>
      </c>
      <c r="D1001" s="71" t="s">
        <v>9002</v>
      </c>
    </row>
    <row r="1002" ht="14.25" customHeight="1">
      <c r="C1002" s="71" t="s">
        <v>157</v>
      </c>
      <c r="D1002" s="71" t="s">
        <v>9028</v>
      </c>
    </row>
    <row r="1003" ht="14.25" customHeight="1">
      <c r="C1003" s="71" t="s">
        <v>10683</v>
      </c>
      <c r="D1003" s="71" t="s">
        <v>9073</v>
      </c>
    </row>
    <row r="1004" ht="14.25" customHeight="1">
      <c r="C1004" s="71" t="s">
        <v>11206</v>
      </c>
      <c r="D1004" s="71" t="s">
        <v>9152</v>
      </c>
    </row>
    <row r="1005" ht="14.25" customHeight="1">
      <c r="C1005" s="71" t="s">
        <v>11207</v>
      </c>
      <c r="D1005" s="71" t="s">
        <v>9151</v>
      </c>
    </row>
    <row r="1006" ht="14.25" customHeight="1">
      <c r="C1006" s="71" t="s">
        <v>159</v>
      </c>
      <c r="D1006" s="71" t="s">
        <v>11208</v>
      </c>
    </row>
    <row r="1007" ht="14.25" customHeight="1">
      <c r="C1007" s="71" t="s">
        <v>11209</v>
      </c>
      <c r="D1007" s="71" t="s">
        <v>9028</v>
      </c>
    </row>
    <row r="1008" ht="14.25" customHeight="1">
      <c r="C1008" s="71" t="s">
        <v>10818</v>
      </c>
      <c r="D1008" s="71" t="s">
        <v>11210</v>
      </c>
    </row>
    <row r="1009" ht="14.25" customHeight="1">
      <c r="C1009" s="71" t="s">
        <v>11211</v>
      </c>
      <c r="D1009" s="71" t="s">
        <v>9028</v>
      </c>
    </row>
    <row r="1010" ht="14.25" customHeight="1">
      <c r="C1010" s="71" t="s">
        <v>166</v>
      </c>
      <c r="D1010" s="71" t="s">
        <v>9028</v>
      </c>
    </row>
    <row r="1011" ht="14.25" customHeight="1">
      <c r="D1011" s="71" t="s">
        <v>10819</v>
      </c>
    </row>
    <row r="1012" ht="14.25" customHeight="1">
      <c r="C1012" s="71" t="s">
        <v>1417</v>
      </c>
      <c r="D1012" s="71" t="s">
        <v>9880</v>
      </c>
    </row>
    <row r="1013" ht="14.25" customHeight="1">
      <c r="D1013" s="71" t="s">
        <v>11212</v>
      </c>
    </row>
    <row r="1014" ht="14.25" customHeight="1">
      <c r="D1014" s="71" t="s">
        <v>11213</v>
      </c>
    </row>
    <row r="1015" ht="14.25" customHeight="1">
      <c r="C1015" s="71" t="s">
        <v>3499</v>
      </c>
      <c r="D1015" s="71" t="s">
        <v>11214</v>
      </c>
    </row>
    <row r="1016" ht="14.25" customHeight="1">
      <c r="C1016" s="71" t="s">
        <v>170</v>
      </c>
      <c r="D1016" s="71" t="s">
        <v>9034</v>
      </c>
    </row>
    <row r="1017" ht="14.25" customHeight="1">
      <c r="C1017" s="71" t="s">
        <v>312</v>
      </c>
      <c r="D1017" s="71" t="s">
        <v>9369</v>
      </c>
    </row>
    <row r="1018" ht="14.25" customHeight="1">
      <c r="C1018" s="71" t="s">
        <v>179</v>
      </c>
      <c r="D1018" s="71" t="s">
        <v>11215</v>
      </c>
    </row>
    <row r="1019" ht="14.25" customHeight="1">
      <c r="C1019" s="71" t="s">
        <v>3566</v>
      </c>
      <c r="D1019" s="71" t="s">
        <v>9071</v>
      </c>
    </row>
    <row r="1020" ht="14.25" customHeight="1">
      <c r="D1020" s="71" t="s">
        <v>9583</v>
      </c>
    </row>
    <row r="1021" ht="14.25" customHeight="1">
      <c r="D1021" s="71" t="s">
        <v>9028</v>
      </c>
    </row>
    <row r="1022" ht="14.25" customHeight="1">
      <c r="D1022" s="71" t="s">
        <v>9404</v>
      </c>
    </row>
    <row r="1023" ht="14.25" customHeight="1">
      <c r="D1023" s="71" t="s">
        <v>8976</v>
      </c>
    </row>
    <row r="1024" ht="14.25" customHeight="1">
      <c r="D1024" s="71" t="s">
        <v>11216</v>
      </c>
    </row>
    <row r="1025" ht="14.25" customHeight="1">
      <c r="C1025" s="71" t="s">
        <v>180</v>
      </c>
      <c r="D1025" s="71" t="s">
        <v>11217</v>
      </c>
    </row>
    <row r="1026" ht="14.25" customHeight="1">
      <c r="C1026" s="71" t="s">
        <v>3596</v>
      </c>
      <c r="D1026" s="71" t="s">
        <v>8968</v>
      </c>
    </row>
    <row r="1027" ht="14.25" customHeight="1">
      <c r="C1027" s="71" t="s">
        <v>11218</v>
      </c>
      <c r="D1027" s="71" t="s">
        <v>10527</v>
      </c>
    </row>
    <row r="1028" ht="14.25" customHeight="1">
      <c r="C1028" s="71" t="s">
        <v>191</v>
      </c>
      <c r="D1028" s="71" t="s">
        <v>11219</v>
      </c>
    </row>
    <row r="1029" ht="14.25" customHeight="1">
      <c r="C1029" s="71" t="s">
        <v>6698</v>
      </c>
      <c r="D1029" s="71" t="s">
        <v>10001</v>
      </c>
    </row>
    <row r="1030" ht="14.25" customHeight="1">
      <c r="C1030" s="71" t="s">
        <v>11220</v>
      </c>
      <c r="D1030" s="71" t="s">
        <v>9028</v>
      </c>
    </row>
    <row r="1031" ht="14.25" customHeight="1">
      <c r="C1031" s="71" t="s">
        <v>9277</v>
      </c>
      <c r="D1031" s="71" t="s">
        <v>11221</v>
      </c>
    </row>
    <row r="1032" ht="14.25" customHeight="1">
      <c r="C1032" s="71" t="s">
        <v>11222</v>
      </c>
      <c r="D1032" s="71" t="s">
        <v>9151</v>
      </c>
    </row>
    <row r="1033" ht="14.25" customHeight="1">
      <c r="C1033" s="71" t="s">
        <v>11223</v>
      </c>
      <c r="D1033" s="71" t="s">
        <v>11224</v>
      </c>
    </row>
    <row r="1034" ht="14.25" customHeight="1">
      <c r="C1034" s="71" t="s">
        <v>3742</v>
      </c>
      <c r="D1034" s="71" t="s">
        <v>9216</v>
      </c>
    </row>
    <row r="1035" ht="14.25" customHeight="1">
      <c r="C1035" s="71" t="s">
        <v>9993</v>
      </c>
      <c r="D1035" s="71" t="s">
        <v>9028</v>
      </c>
    </row>
    <row r="1036" ht="14.25" customHeight="1">
      <c r="C1036" s="71" t="s">
        <v>3763</v>
      </c>
      <c r="D1036" s="71" t="s">
        <v>11225</v>
      </c>
    </row>
    <row r="1037" ht="14.25" customHeight="1">
      <c r="C1037" s="71" t="s">
        <v>11226</v>
      </c>
      <c r="D1037" s="71" t="s">
        <v>11227</v>
      </c>
    </row>
    <row r="1038" ht="14.25" customHeight="1">
      <c r="C1038" s="71" t="s">
        <v>211</v>
      </c>
      <c r="D1038" s="71" t="s">
        <v>9075</v>
      </c>
    </row>
    <row r="1039" ht="14.25" customHeight="1">
      <c r="C1039" s="71" t="s">
        <v>3796</v>
      </c>
      <c r="D1039" s="71" t="s">
        <v>11228</v>
      </c>
    </row>
    <row r="1040" ht="14.25" customHeight="1">
      <c r="C1040" s="71" t="s">
        <v>3814</v>
      </c>
      <c r="D1040" s="71" t="s">
        <v>11229</v>
      </c>
    </row>
    <row r="1041" ht="14.25" customHeight="1">
      <c r="D1041" s="71" t="s">
        <v>10541</v>
      </c>
    </row>
    <row r="1042" ht="14.25" customHeight="1">
      <c r="C1042" s="71" t="s">
        <v>3821</v>
      </c>
      <c r="D1042" s="71" t="s">
        <v>9073</v>
      </c>
    </row>
    <row r="1043" ht="14.25" customHeight="1">
      <c r="C1043" s="71" t="s">
        <v>5327</v>
      </c>
      <c r="D1043" s="71" t="s">
        <v>11230</v>
      </c>
    </row>
    <row r="1044" ht="14.25" customHeight="1">
      <c r="D1044" s="71" t="s">
        <v>11231</v>
      </c>
    </row>
    <row r="1045" ht="14.25" customHeight="1">
      <c r="D1045" s="71" t="s">
        <v>9055</v>
      </c>
    </row>
    <row r="1046" ht="14.25" customHeight="1">
      <c r="C1046" s="71" t="s">
        <v>220</v>
      </c>
      <c r="D1046" s="71" t="s">
        <v>9034</v>
      </c>
    </row>
    <row r="1047" ht="14.25" customHeight="1">
      <c r="D1047" s="71" t="s">
        <v>9141</v>
      </c>
    </row>
    <row r="1048" ht="14.25" customHeight="1">
      <c r="D1048" s="71" t="s">
        <v>9731</v>
      </c>
    </row>
    <row r="1049" ht="14.25" customHeight="1">
      <c r="C1049" s="71" t="s">
        <v>6881</v>
      </c>
      <c r="D1049" s="71" t="s">
        <v>11201</v>
      </c>
    </row>
    <row r="1050" ht="14.25" customHeight="1">
      <c r="C1050" s="71" t="s">
        <v>11232</v>
      </c>
      <c r="D1050" s="71" t="s">
        <v>11233</v>
      </c>
    </row>
    <row r="1051" ht="14.25" customHeight="1">
      <c r="C1051" s="71" t="s">
        <v>8576</v>
      </c>
      <c r="D1051" s="71" t="s">
        <v>9034</v>
      </c>
    </row>
    <row r="1052" ht="14.25" customHeight="1">
      <c r="D1052" s="71" t="s">
        <v>9073</v>
      </c>
    </row>
    <row r="1053" ht="14.25" customHeight="1">
      <c r="C1053" s="71" t="s">
        <v>11234</v>
      </c>
      <c r="D1053" s="71" t="s">
        <v>11235</v>
      </c>
    </row>
    <row r="1054" ht="14.25" customHeight="1">
      <c r="C1054" s="71" t="s">
        <v>11236</v>
      </c>
      <c r="D1054" s="71" t="s">
        <v>9028</v>
      </c>
    </row>
    <row r="1055" ht="14.25" customHeight="1">
      <c r="C1055" s="71" t="s">
        <v>10911</v>
      </c>
      <c r="D1055" s="71" t="s">
        <v>9075</v>
      </c>
    </row>
    <row r="1056" ht="14.25" customHeight="1">
      <c r="C1056" s="71" t="s">
        <v>9691</v>
      </c>
      <c r="D1056" s="71" t="s">
        <v>9291</v>
      </c>
    </row>
    <row r="1057" ht="14.25" customHeight="1">
      <c r="C1057" s="71" t="s">
        <v>11237</v>
      </c>
      <c r="D1057" s="71" t="s">
        <v>9055</v>
      </c>
    </row>
    <row r="1058" ht="14.25" customHeight="1">
      <c r="C1058" s="71" t="s">
        <v>240</v>
      </c>
      <c r="D1058" s="71" t="s">
        <v>9026</v>
      </c>
    </row>
    <row r="1059" ht="14.25" customHeight="1">
      <c r="D1059" s="71" t="s">
        <v>9028</v>
      </c>
    </row>
    <row r="1060" ht="14.25" customHeight="1">
      <c r="C1060" s="71" t="s">
        <v>10640</v>
      </c>
      <c r="D1060" s="71" t="s">
        <v>11238</v>
      </c>
    </row>
    <row r="1061" ht="14.25" customHeight="1">
      <c r="C1061" s="71" t="s">
        <v>4153</v>
      </c>
      <c r="D1061" s="71" t="s">
        <v>11239</v>
      </c>
    </row>
    <row r="1062" ht="14.25" customHeight="1">
      <c r="C1062" s="71" t="s">
        <v>244</v>
      </c>
      <c r="D1062" s="71" t="s">
        <v>9028</v>
      </c>
    </row>
    <row r="1063" ht="14.25" customHeight="1">
      <c r="C1063" s="71" t="s">
        <v>9215</v>
      </c>
      <c r="D1063" s="71" t="s">
        <v>11240</v>
      </c>
    </row>
    <row r="1064" ht="14.25" customHeight="1">
      <c r="C1064" s="71" t="s">
        <v>9905</v>
      </c>
      <c r="D1064" s="71" t="s">
        <v>9618</v>
      </c>
    </row>
    <row r="1065" ht="14.25" customHeight="1">
      <c r="C1065" s="71" t="s">
        <v>255</v>
      </c>
      <c r="D1065" s="71" t="s">
        <v>9034</v>
      </c>
    </row>
    <row r="1066" ht="14.25" customHeight="1">
      <c r="D1066" s="71" t="s">
        <v>9075</v>
      </c>
    </row>
    <row r="1067" ht="14.25" customHeight="1">
      <c r="C1067" s="71" t="s">
        <v>9434</v>
      </c>
      <c r="D1067" s="71" t="s">
        <v>9071</v>
      </c>
    </row>
    <row r="1068" ht="14.25" customHeight="1">
      <c r="C1068" s="71" t="s">
        <v>11241</v>
      </c>
      <c r="D1068" s="71" t="s">
        <v>11242</v>
      </c>
    </row>
    <row r="1069" ht="14.25" customHeight="1">
      <c r="C1069" s="71" t="s">
        <v>261</v>
      </c>
      <c r="D1069" s="71" t="s">
        <v>8968</v>
      </c>
    </row>
    <row r="1070" ht="14.25" customHeight="1">
      <c r="C1070" s="71" t="s">
        <v>262</v>
      </c>
      <c r="D1070" s="71" t="s">
        <v>9817</v>
      </c>
    </row>
    <row r="1071" ht="14.25" customHeight="1">
      <c r="D1071" s="71" t="s">
        <v>9051</v>
      </c>
    </row>
    <row r="1072" ht="14.25" customHeight="1">
      <c r="D1072" s="71" t="s">
        <v>11172</v>
      </c>
    </row>
    <row r="1073" ht="14.25" customHeight="1">
      <c r="C1073" s="71" t="s">
        <v>4294</v>
      </c>
      <c r="D1073" s="71" t="s">
        <v>9012</v>
      </c>
    </row>
    <row r="1074" ht="14.25" customHeight="1">
      <c r="C1074" s="71" t="s">
        <v>11243</v>
      </c>
      <c r="D1074" s="71" t="s">
        <v>9002</v>
      </c>
    </row>
    <row r="1075" ht="14.25" customHeight="1">
      <c r="C1075" s="71" t="s">
        <v>11244</v>
      </c>
      <c r="D1075" s="71" t="s">
        <v>9073</v>
      </c>
    </row>
    <row r="1076" ht="14.25" customHeight="1">
      <c r="C1076" s="71" t="s">
        <v>324</v>
      </c>
      <c r="D1076" s="71" t="s">
        <v>9913</v>
      </c>
    </row>
    <row r="1077" ht="14.25" customHeight="1">
      <c r="C1077" s="71" t="s">
        <v>10545</v>
      </c>
      <c r="D1077" s="71" t="s">
        <v>11245</v>
      </c>
    </row>
    <row r="1078" ht="14.25" customHeight="1">
      <c r="C1078" s="71" t="s">
        <v>9165</v>
      </c>
      <c r="D1078" s="71" t="s">
        <v>9028</v>
      </c>
    </row>
    <row r="1079" ht="14.25" customHeight="1">
      <c r="C1079" s="71" t="s">
        <v>9929</v>
      </c>
      <c r="D1079" s="71" t="s">
        <v>11246</v>
      </c>
    </row>
    <row r="1080" ht="14.25" customHeight="1">
      <c r="D1080" s="71" t="s">
        <v>11247</v>
      </c>
    </row>
    <row r="1081" ht="14.25" customHeight="1">
      <c r="B1081" s="71" t="s">
        <v>41</v>
      </c>
      <c r="C1081" s="71" t="s">
        <v>11248</v>
      </c>
      <c r="D1081" s="71" t="s">
        <v>9028</v>
      </c>
    </row>
    <row r="1082" ht="14.25" customHeight="1">
      <c r="C1082" s="71" t="s">
        <v>2357</v>
      </c>
      <c r="D1082" s="71" t="s">
        <v>11249</v>
      </c>
    </row>
    <row r="1083" ht="14.25" customHeight="1">
      <c r="C1083" s="71" t="s">
        <v>5834</v>
      </c>
      <c r="D1083" s="71" t="s">
        <v>9028</v>
      </c>
    </row>
    <row r="1084" ht="14.25" customHeight="1">
      <c r="C1084" s="71" t="s">
        <v>11250</v>
      </c>
      <c r="D1084" s="71" t="s">
        <v>10819</v>
      </c>
    </row>
    <row r="1085" ht="14.25" customHeight="1">
      <c r="C1085" s="71" t="s">
        <v>11251</v>
      </c>
      <c r="D1085" s="71" t="s">
        <v>11252</v>
      </c>
    </row>
    <row r="1086" ht="14.25" customHeight="1">
      <c r="C1086" s="71" t="s">
        <v>776</v>
      </c>
      <c r="D1086" s="71" t="s">
        <v>9875</v>
      </c>
    </row>
    <row r="1087" ht="14.25" customHeight="1">
      <c r="C1087" s="71" t="s">
        <v>11253</v>
      </c>
      <c r="D1087" s="71" t="s">
        <v>11254</v>
      </c>
    </row>
    <row r="1088" ht="14.25" customHeight="1">
      <c r="C1088" s="71" t="s">
        <v>11255</v>
      </c>
      <c r="D1088" s="71" t="s">
        <v>11256</v>
      </c>
    </row>
    <row r="1089" ht="14.25" customHeight="1">
      <c r="C1089" s="71" t="s">
        <v>11257</v>
      </c>
      <c r="D1089" s="71" t="s">
        <v>9131</v>
      </c>
    </row>
    <row r="1090" ht="14.25" customHeight="1">
      <c r="C1090" s="71" t="s">
        <v>7967</v>
      </c>
      <c r="D1090" s="71" t="s">
        <v>8968</v>
      </c>
    </row>
    <row r="1091" ht="14.25" customHeight="1">
      <c r="C1091" s="71" t="s">
        <v>3313</v>
      </c>
      <c r="D1091" s="71" t="s">
        <v>9044</v>
      </c>
    </row>
    <row r="1092" ht="14.25" customHeight="1">
      <c r="C1092" s="71" t="s">
        <v>10683</v>
      </c>
      <c r="D1092" s="71" t="s">
        <v>11258</v>
      </c>
    </row>
    <row r="1093" ht="14.25" customHeight="1">
      <c r="C1093" s="71" t="s">
        <v>11259</v>
      </c>
      <c r="D1093" s="71" t="s">
        <v>9817</v>
      </c>
    </row>
    <row r="1094" ht="14.25" customHeight="1">
      <c r="C1094" s="71" t="s">
        <v>11260</v>
      </c>
      <c r="D1094" s="71" t="s">
        <v>9525</v>
      </c>
    </row>
    <row r="1095" ht="14.25" customHeight="1">
      <c r="C1095" s="71" t="s">
        <v>11261</v>
      </c>
      <c r="D1095" s="71" t="s">
        <v>9525</v>
      </c>
    </row>
    <row r="1096" ht="14.25" customHeight="1">
      <c r="C1096" s="71" t="s">
        <v>11262</v>
      </c>
      <c r="D1096" s="71" t="s">
        <v>9034</v>
      </c>
    </row>
    <row r="1097" ht="14.25" customHeight="1">
      <c r="C1097" s="71" t="s">
        <v>3566</v>
      </c>
      <c r="D1097" s="71" t="s">
        <v>11263</v>
      </c>
    </row>
    <row r="1098" ht="14.25" customHeight="1">
      <c r="C1098" s="71" t="s">
        <v>3596</v>
      </c>
      <c r="D1098" s="71" t="s">
        <v>10576</v>
      </c>
    </row>
    <row r="1099" ht="14.25" customHeight="1">
      <c r="C1099" s="71" t="s">
        <v>11264</v>
      </c>
      <c r="D1099" s="71" t="s">
        <v>9055</v>
      </c>
    </row>
    <row r="1100" ht="14.25" customHeight="1">
      <c r="C1100" s="71" t="s">
        <v>9331</v>
      </c>
      <c r="D1100" s="71" t="s">
        <v>11265</v>
      </c>
    </row>
    <row r="1101" ht="14.25" customHeight="1">
      <c r="C1101" s="71" t="s">
        <v>10905</v>
      </c>
      <c r="D1101" s="71" t="s">
        <v>11266</v>
      </c>
    </row>
    <row r="1102" ht="14.25" customHeight="1">
      <c r="C1102" s="71" t="s">
        <v>3814</v>
      </c>
      <c r="D1102" s="71" t="s">
        <v>9827</v>
      </c>
    </row>
    <row r="1103" ht="14.25" customHeight="1">
      <c r="C1103" s="71" t="s">
        <v>3970</v>
      </c>
      <c r="D1103" s="71" t="s">
        <v>9055</v>
      </c>
    </row>
    <row r="1104" ht="14.25" customHeight="1">
      <c r="C1104" s="71" t="s">
        <v>11267</v>
      </c>
      <c r="D1104" s="71" t="s">
        <v>9028</v>
      </c>
    </row>
    <row r="1105" ht="14.25" customHeight="1">
      <c r="C1105" s="71" t="s">
        <v>10640</v>
      </c>
      <c r="D1105" s="71" t="s">
        <v>9028</v>
      </c>
    </row>
    <row r="1106" ht="14.25" customHeight="1">
      <c r="C1106" s="71" t="s">
        <v>321</v>
      </c>
      <c r="D1106" s="71" t="s">
        <v>9236</v>
      </c>
    </row>
    <row r="1107" ht="14.25" customHeight="1">
      <c r="C1107" s="71" t="s">
        <v>11268</v>
      </c>
      <c r="D1107" s="71" t="s">
        <v>10219</v>
      </c>
    </row>
    <row r="1108" ht="14.25" customHeight="1">
      <c r="C1108" s="71" t="s">
        <v>9434</v>
      </c>
      <c r="D1108" s="71" t="s">
        <v>9109</v>
      </c>
    </row>
    <row r="1109" ht="14.25" customHeight="1">
      <c r="D1109" s="71" t="s">
        <v>9583</v>
      </c>
    </row>
    <row r="1110" ht="14.25" customHeight="1">
      <c r="C1110" s="71" t="s">
        <v>4281</v>
      </c>
      <c r="D1110" s="71" t="s">
        <v>9526</v>
      </c>
    </row>
    <row r="1111" ht="14.25" customHeight="1">
      <c r="C1111" s="71" t="s">
        <v>4294</v>
      </c>
      <c r="D1111" s="71" t="s">
        <v>11269</v>
      </c>
    </row>
    <row r="1112" ht="14.25" customHeight="1">
      <c r="C1112" s="71" t="s">
        <v>11270</v>
      </c>
      <c r="D1112" s="71" t="s">
        <v>9028</v>
      </c>
    </row>
    <row r="1113" ht="14.25" customHeight="1">
      <c r="C1113" s="71" t="s">
        <v>11271</v>
      </c>
      <c r="D1113" s="71" t="s">
        <v>10219</v>
      </c>
    </row>
    <row r="1114" ht="14.25" customHeight="1">
      <c r="B1114" s="71" t="s">
        <v>13</v>
      </c>
      <c r="C1114" s="71" t="s">
        <v>2408</v>
      </c>
      <c r="D1114" s="71" t="s">
        <v>11272</v>
      </c>
    </row>
    <row r="1115" ht="14.25" customHeight="1">
      <c r="C1115" s="71" t="s">
        <v>11273</v>
      </c>
      <c r="D1115" s="71" t="s">
        <v>10222</v>
      </c>
    </row>
    <row r="1116" ht="14.25" customHeight="1">
      <c r="C1116" s="71" t="s">
        <v>10766</v>
      </c>
      <c r="D1116" s="71" t="s">
        <v>9440</v>
      </c>
    </row>
    <row r="1117" ht="14.25" customHeight="1">
      <c r="C1117" s="71" t="s">
        <v>11274</v>
      </c>
      <c r="D1117" s="71" t="s">
        <v>11171</v>
      </c>
    </row>
    <row r="1118" ht="14.25" customHeight="1">
      <c r="C1118" s="71" t="s">
        <v>11275</v>
      </c>
      <c r="D1118" s="71" t="s">
        <v>9540</v>
      </c>
    </row>
    <row r="1119" ht="14.25" customHeight="1">
      <c r="C1119" s="71" t="s">
        <v>233</v>
      </c>
      <c r="D1119" s="71" t="s">
        <v>10608</v>
      </c>
    </row>
    <row r="1120" ht="14.25" customHeight="1">
      <c r="C1120" s="71" t="s">
        <v>244</v>
      </c>
      <c r="D1120" s="71" t="s">
        <v>9249</v>
      </c>
    </row>
    <row r="1121" ht="14.25" customHeight="1">
      <c r="C1121" s="71" t="s">
        <v>9090</v>
      </c>
      <c r="D1121" s="71" t="s">
        <v>10608</v>
      </c>
    </row>
    <row r="1122" ht="14.25" customHeight="1">
      <c r="C1122" s="71" t="s">
        <v>8861</v>
      </c>
      <c r="D1122" s="71" t="s">
        <v>9034</v>
      </c>
    </row>
    <row r="1123" ht="14.25" customHeight="1">
      <c r="A1123" s="71" t="s">
        <v>9935</v>
      </c>
      <c r="B1123" s="71" t="s">
        <v>40</v>
      </c>
      <c r="C1123" s="71" t="s">
        <v>2342</v>
      </c>
      <c r="D1123" s="71" t="s">
        <v>9071</v>
      </c>
    </row>
    <row r="1124" ht="14.25" customHeight="1">
      <c r="C1124" s="71" t="s">
        <v>6057</v>
      </c>
      <c r="D1124" s="71" t="s">
        <v>9028</v>
      </c>
    </row>
    <row r="1125" ht="14.25" customHeight="1">
      <c r="C1125" s="71" t="s">
        <v>297</v>
      </c>
      <c r="D1125" s="71" t="s">
        <v>9034</v>
      </c>
    </row>
    <row r="1126" ht="14.25" customHeight="1">
      <c r="C1126" s="71" t="s">
        <v>11276</v>
      </c>
      <c r="D1126" s="71" t="s">
        <v>9118</v>
      </c>
    </row>
    <row r="1127" ht="14.25" customHeight="1">
      <c r="C1127" s="71" t="s">
        <v>11277</v>
      </c>
      <c r="D1127" s="71" t="s">
        <v>11278</v>
      </c>
    </row>
    <row r="1128" ht="14.25" customHeight="1">
      <c r="C1128" s="71" t="s">
        <v>141</v>
      </c>
      <c r="D1128" s="71" t="s">
        <v>9151</v>
      </c>
    </row>
    <row r="1129" ht="14.25" customHeight="1">
      <c r="C1129" s="71" t="s">
        <v>3566</v>
      </c>
      <c r="D1129" s="71" t="s">
        <v>8976</v>
      </c>
    </row>
    <row r="1130" ht="14.25" customHeight="1">
      <c r="C1130" s="71" t="s">
        <v>6654</v>
      </c>
      <c r="D1130" s="71" t="s">
        <v>9962</v>
      </c>
    </row>
    <row r="1131" ht="14.25" customHeight="1">
      <c r="C1131" s="71" t="s">
        <v>11279</v>
      </c>
      <c r="D1131" s="71" t="s">
        <v>9827</v>
      </c>
    </row>
    <row r="1132" ht="14.25" customHeight="1">
      <c r="C1132" s="71" t="s">
        <v>9277</v>
      </c>
      <c r="D1132" s="71" t="s">
        <v>8978</v>
      </c>
    </row>
    <row r="1133" ht="14.25" customHeight="1">
      <c r="C1133" s="71" t="s">
        <v>11280</v>
      </c>
      <c r="D1133" s="71" t="s">
        <v>9071</v>
      </c>
    </row>
    <row r="1134" ht="14.25" customHeight="1">
      <c r="C1134" s="71" t="s">
        <v>3763</v>
      </c>
      <c r="D1134" s="71" t="s">
        <v>9755</v>
      </c>
    </row>
    <row r="1135" ht="14.25" customHeight="1">
      <c r="D1135" s="71" t="s">
        <v>10576</v>
      </c>
    </row>
    <row r="1136" ht="14.25" customHeight="1">
      <c r="C1136" s="71" t="s">
        <v>11281</v>
      </c>
      <c r="D1136" s="71" t="s">
        <v>8976</v>
      </c>
    </row>
    <row r="1137" ht="14.25" customHeight="1">
      <c r="C1137" s="71" t="s">
        <v>230</v>
      </c>
      <c r="D1137" s="71" t="s">
        <v>8976</v>
      </c>
    </row>
    <row r="1138" ht="14.25" customHeight="1">
      <c r="C1138" s="71" t="s">
        <v>11282</v>
      </c>
      <c r="D1138" s="71" t="s">
        <v>8976</v>
      </c>
    </row>
    <row r="1139" ht="14.25" customHeight="1">
      <c r="A1139" s="71" t="s">
        <v>9948</v>
      </c>
      <c r="B1139" s="71" t="s">
        <v>40</v>
      </c>
      <c r="C1139" s="71" t="s">
        <v>9034</v>
      </c>
      <c r="D1139" s="71" t="s">
        <v>11283</v>
      </c>
    </row>
    <row r="1140" ht="14.25" customHeight="1">
      <c r="C1140" s="71" t="s">
        <v>11284</v>
      </c>
      <c r="D1140" s="71" t="s">
        <v>10023</v>
      </c>
    </row>
    <row r="1141" ht="14.25" customHeight="1">
      <c r="C1141" s="71" t="s">
        <v>11285</v>
      </c>
      <c r="D1141" s="71" t="s">
        <v>9073</v>
      </c>
    </row>
    <row r="1142" ht="14.25" customHeight="1">
      <c r="C1142" s="71" t="s">
        <v>3081</v>
      </c>
      <c r="D1142" s="71" t="s">
        <v>11286</v>
      </c>
    </row>
    <row r="1143" ht="14.25" customHeight="1">
      <c r="C1143" s="71" t="s">
        <v>3596</v>
      </c>
      <c r="D1143" s="71" t="s">
        <v>11287</v>
      </c>
    </row>
    <row r="1144" ht="14.25" customHeight="1">
      <c r="C1144" s="71" t="s">
        <v>207</v>
      </c>
      <c r="D1144" s="71" t="s">
        <v>9972</v>
      </c>
    </row>
    <row r="1145" ht="14.25" customHeight="1">
      <c r="C1145" s="71" t="s">
        <v>9993</v>
      </c>
      <c r="D1145" s="71" t="s">
        <v>9972</v>
      </c>
    </row>
    <row r="1146" ht="14.25" customHeight="1">
      <c r="D1146" s="71" t="s">
        <v>11288</v>
      </c>
    </row>
    <row r="1147" ht="14.25" customHeight="1">
      <c r="C1147" s="71" t="s">
        <v>11289</v>
      </c>
      <c r="D1147" s="71" t="s">
        <v>9028</v>
      </c>
    </row>
    <row r="1148" ht="14.25" customHeight="1">
      <c r="C1148" s="71" t="s">
        <v>233</v>
      </c>
      <c r="D1148" s="71" t="s">
        <v>9805</v>
      </c>
    </row>
    <row r="1149" ht="14.25" customHeight="1">
      <c r="C1149" s="71" t="s">
        <v>234</v>
      </c>
      <c r="D1149" s="71" t="s">
        <v>9965</v>
      </c>
    </row>
    <row r="1150" ht="14.25" customHeight="1">
      <c r="D1150" s="71" t="s">
        <v>9972</v>
      </c>
    </row>
    <row r="1151" ht="14.25" customHeight="1">
      <c r="C1151" s="71" t="s">
        <v>6985</v>
      </c>
      <c r="D1151" s="71" t="s">
        <v>11290</v>
      </c>
    </row>
    <row r="1152" ht="14.25" customHeight="1">
      <c r="C1152" s="71" t="s">
        <v>11291</v>
      </c>
      <c r="D1152" s="71" t="s">
        <v>9034</v>
      </c>
    </row>
    <row r="1153" ht="14.25" customHeight="1">
      <c r="C1153" s="71" t="s">
        <v>11292</v>
      </c>
      <c r="D1153" s="71" t="s">
        <v>11293</v>
      </c>
    </row>
    <row r="1154" ht="14.25" customHeight="1">
      <c r="C1154" s="71" t="s">
        <v>2163</v>
      </c>
      <c r="D1154" s="71" t="s">
        <v>11294</v>
      </c>
    </row>
    <row r="1155" ht="14.25" customHeight="1">
      <c r="C1155" s="71" t="s">
        <v>11295</v>
      </c>
      <c r="D1155" s="71" t="s">
        <v>11296</v>
      </c>
    </row>
    <row r="1156" ht="14.25" customHeight="1">
      <c r="B1156" s="71" t="s">
        <v>41</v>
      </c>
      <c r="C1156" s="71" t="s">
        <v>327</v>
      </c>
      <c r="D1156" s="71" t="s">
        <v>9883</v>
      </c>
    </row>
    <row r="1157" ht="14.25" customHeight="1">
      <c r="C1157" s="71" t="s">
        <v>3596</v>
      </c>
      <c r="D1157" s="71" t="s">
        <v>9838</v>
      </c>
    </row>
    <row r="1158" ht="14.25" customHeight="1">
      <c r="B1158" s="71" t="s">
        <v>13</v>
      </c>
      <c r="C1158" s="71" t="s">
        <v>11297</v>
      </c>
      <c r="D1158" s="71" t="s">
        <v>11298</v>
      </c>
    </row>
    <row r="1159" ht="14.25" customHeight="1">
      <c r="C1159" s="71" t="s">
        <v>3081</v>
      </c>
      <c r="D1159" s="71" t="s">
        <v>11299</v>
      </c>
    </row>
    <row r="1160" ht="14.25" customHeight="1">
      <c r="C1160" s="71" t="s">
        <v>11300</v>
      </c>
      <c r="D1160" s="71" t="s">
        <v>9972</v>
      </c>
    </row>
    <row r="1161" ht="14.25" customHeight="1">
      <c r="C1161" s="71" t="s">
        <v>3451</v>
      </c>
      <c r="D1161" s="71" t="s">
        <v>8968</v>
      </c>
    </row>
    <row r="1162" ht="14.25" customHeight="1">
      <c r="A1162" s="71" t="s">
        <v>9978</v>
      </c>
      <c r="B1162" s="71" t="s">
        <v>40</v>
      </c>
      <c r="C1162" s="71" t="s">
        <v>2301</v>
      </c>
      <c r="D1162" s="71" t="s">
        <v>9075</v>
      </c>
    </row>
    <row r="1163" ht="14.25" customHeight="1">
      <c r="C1163" s="71" t="s">
        <v>11046</v>
      </c>
      <c r="D1163" s="71" t="s">
        <v>9075</v>
      </c>
    </row>
    <row r="1164" ht="14.25" customHeight="1">
      <c r="C1164" s="71" t="s">
        <v>4825</v>
      </c>
      <c r="D1164" s="71" t="s">
        <v>11301</v>
      </c>
    </row>
    <row r="1165" ht="14.25" customHeight="1">
      <c r="C1165" s="71" t="s">
        <v>8013</v>
      </c>
      <c r="D1165" s="71" t="s">
        <v>11302</v>
      </c>
    </row>
    <row r="1166" ht="14.25" customHeight="1">
      <c r="C1166" s="71" t="s">
        <v>166</v>
      </c>
      <c r="D1166" s="71" t="s">
        <v>9151</v>
      </c>
    </row>
    <row r="1167" ht="14.25" customHeight="1">
      <c r="C1167" s="71" t="s">
        <v>179</v>
      </c>
      <c r="D1167" s="71" t="s">
        <v>9026</v>
      </c>
    </row>
    <row r="1168" ht="14.25" customHeight="1">
      <c r="C1168" s="71" t="s">
        <v>11303</v>
      </c>
      <c r="D1168" s="71" t="s">
        <v>9618</v>
      </c>
    </row>
    <row r="1169" ht="14.25" customHeight="1">
      <c r="C1169" s="71" t="s">
        <v>205</v>
      </c>
      <c r="D1169" s="71" t="s">
        <v>9990</v>
      </c>
    </row>
    <row r="1170" ht="14.25" customHeight="1">
      <c r="C1170" s="71" t="s">
        <v>11304</v>
      </c>
      <c r="D1170" s="71" t="s">
        <v>11305</v>
      </c>
    </row>
    <row r="1171" ht="14.25" customHeight="1">
      <c r="C1171" s="71" t="s">
        <v>10586</v>
      </c>
      <c r="D1171" s="71" t="s">
        <v>8968</v>
      </c>
    </row>
    <row r="1172" ht="14.25" customHeight="1">
      <c r="C1172" s="71" t="s">
        <v>11264</v>
      </c>
      <c r="D1172" s="71" t="s">
        <v>9990</v>
      </c>
    </row>
    <row r="1173" ht="14.25" customHeight="1">
      <c r="C1173" s="71" t="s">
        <v>11306</v>
      </c>
      <c r="D1173" s="71" t="s">
        <v>11307</v>
      </c>
    </row>
    <row r="1174" ht="14.25" customHeight="1">
      <c r="C1174" s="71" t="s">
        <v>4187</v>
      </c>
      <c r="D1174" s="71" t="s">
        <v>9034</v>
      </c>
    </row>
    <row r="1175" ht="14.25" customHeight="1">
      <c r="C1175" s="71" t="s">
        <v>255</v>
      </c>
      <c r="D1175" s="71" t="s">
        <v>9075</v>
      </c>
    </row>
    <row r="1176" ht="14.25" customHeight="1">
      <c r="A1176" s="71" t="s">
        <v>9998</v>
      </c>
      <c r="B1176" s="71" t="s">
        <v>40</v>
      </c>
      <c r="C1176" s="71" t="s">
        <v>10000</v>
      </c>
      <c r="D1176" s="71" t="s">
        <v>10001</v>
      </c>
    </row>
    <row r="1177" ht="14.25" customHeight="1">
      <c r="C1177" s="71" t="s">
        <v>77</v>
      </c>
      <c r="D1177" s="71" t="s">
        <v>11308</v>
      </c>
    </row>
    <row r="1178" ht="14.25" customHeight="1">
      <c r="C1178" s="71" t="s">
        <v>11309</v>
      </c>
      <c r="D1178" s="71" t="s">
        <v>10541</v>
      </c>
    </row>
    <row r="1179" ht="14.25" customHeight="1">
      <c r="C1179" s="71" t="s">
        <v>11310</v>
      </c>
      <c r="D1179" s="71" t="s">
        <v>9051</v>
      </c>
    </row>
    <row r="1180" ht="14.25" customHeight="1">
      <c r="C1180" s="71" t="s">
        <v>10660</v>
      </c>
      <c r="D1180" s="71" t="s">
        <v>9151</v>
      </c>
    </row>
    <row r="1181" ht="14.25" customHeight="1">
      <c r="C1181" s="71" t="s">
        <v>9113</v>
      </c>
      <c r="D1181" s="71" t="s">
        <v>9026</v>
      </c>
    </row>
    <row r="1182" ht="14.25" customHeight="1">
      <c r="C1182" s="71" t="s">
        <v>6145</v>
      </c>
      <c r="D1182" s="71" t="s">
        <v>10001</v>
      </c>
    </row>
    <row r="1183" ht="14.25" customHeight="1">
      <c r="C1183" s="71" t="s">
        <v>141</v>
      </c>
      <c r="D1183" s="71" t="s">
        <v>10098</v>
      </c>
    </row>
    <row r="1184" ht="14.25" customHeight="1">
      <c r="D1184" s="71" t="s">
        <v>9151</v>
      </c>
    </row>
    <row r="1185" ht="14.25" customHeight="1">
      <c r="C1185" s="71" t="s">
        <v>3281</v>
      </c>
      <c r="D1185" s="71" t="s">
        <v>10001</v>
      </c>
    </row>
    <row r="1186" ht="14.25" customHeight="1">
      <c r="C1186" s="71" t="s">
        <v>9150</v>
      </c>
      <c r="D1186" s="71" t="s">
        <v>9034</v>
      </c>
    </row>
    <row r="1187" ht="14.25" customHeight="1">
      <c r="D1187" s="71" t="s">
        <v>9151</v>
      </c>
    </row>
    <row r="1188" ht="14.25" customHeight="1">
      <c r="C1188" s="71" t="s">
        <v>6698</v>
      </c>
      <c r="D1188" s="71" t="s">
        <v>9002</v>
      </c>
    </row>
    <row r="1189" ht="14.25" customHeight="1">
      <c r="C1189" s="71" t="s">
        <v>11311</v>
      </c>
      <c r="D1189" s="71" t="s">
        <v>8968</v>
      </c>
    </row>
    <row r="1190" ht="14.25" customHeight="1">
      <c r="C1190" s="71" t="s">
        <v>11312</v>
      </c>
      <c r="D1190" s="71" t="s">
        <v>9151</v>
      </c>
    </row>
    <row r="1191" ht="14.25" customHeight="1">
      <c r="C1191" s="71" t="s">
        <v>3814</v>
      </c>
      <c r="D1191" s="71" t="s">
        <v>10006</v>
      </c>
    </row>
    <row r="1192" ht="14.25" customHeight="1">
      <c r="D1192" s="71" t="s">
        <v>11313</v>
      </c>
    </row>
    <row r="1193" ht="14.25" customHeight="1">
      <c r="D1193" s="71" t="s">
        <v>9002</v>
      </c>
    </row>
    <row r="1194" ht="14.25" customHeight="1">
      <c r="C1194" s="71" t="s">
        <v>5327</v>
      </c>
      <c r="D1194" s="71" t="s">
        <v>9151</v>
      </c>
    </row>
    <row r="1195" ht="14.25" customHeight="1">
      <c r="C1195" s="71" t="s">
        <v>11314</v>
      </c>
      <c r="D1195" s="71" t="s">
        <v>10541</v>
      </c>
    </row>
    <row r="1196" ht="14.25" customHeight="1">
      <c r="C1196" s="71" t="s">
        <v>10007</v>
      </c>
      <c r="D1196" s="71" t="s">
        <v>9999</v>
      </c>
    </row>
    <row r="1197" ht="14.25" customHeight="1">
      <c r="D1197" s="71" t="s">
        <v>11315</v>
      </c>
    </row>
    <row r="1198" ht="14.25" customHeight="1">
      <c r="C1198" s="71" t="s">
        <v>10640</v>
      </c>
      <c r="D1198" s="71" t="s">
        <v>9151</v>
      </c>
    </row>
    <row r="1199" ht="14.25" customHeight="1">
      <c r="D1199" s="71" t="s">
        <v>9999</v>
      </c>
    </row>
    <row r="1200" ht="14.25" customHeight="1">
      <c r="D1200" s="71" t="s">
        <v>10641</v>
      </c>
    </row>
    <row r="1201" ht="14.25" customHeight="1">
      <c r="C1201" s="71" t="s">
        <v>11316</v>
      </c>
      <c r="D1201" s="71" t="s">
        <v>11317</v>
      </c>
    </row>
    <row r="1202" ht="14.25" customHeight="1">
      <c r="C1202" s="71" t="s">
        <v>11318</v>
      </c>
      <c r="D1202" s="71" t="s">
        <v>11319</v>
      </c>
    </row>
    <row r="1203" ht="14.25" customHeight="1">
      <c r="C1203" s="71" t="s">
        <v>11320</v>
      </c>
      <c r="D1203" s="71" t="s">
        <v>9002</v>
      </c>
    </row>
    <row r="1204" ht="14.25" customHeight="1">
      <c r="A1204" s="71" t="s">
        <v>10014</v>
      </c>
      <c r="B1204" s="71" t="s">
        <v>41</v>
      </c>
      <c r="C1204" s="71" t="s">
        <v>11321</v>
      </c>
      <c r="D1204" s="71" t="s">
        <v>10099</v>
      </c>
    </row>
    <row r="1205" ht="14.25" customHeight="1">
      <c r="C1205" s="71" t="s">
        <v>11322</v>
      </c>
      <c r="D1205" s="71" t="s">
        <v>11323</v>
      </c>
    </row>
    <row r="1206" ht="14.25" customHeight="1">
      <c r="C1206" s="71" t="s">
        <v>11324</v>
      </c>
      <c r="D1206" s="71" t="s">
        <v>9445</v>
      </c>
    </row>
    <row r="1207" ht="14.25" customHeight="1">
      <c r="C1207" s="71" t="s">
        <v>254</v>
      </c>
      <c r="D1207" s="71" t="s">
        <v>11325</v>
      </c>
    </row>
    <row r="1208" ht="14.25" customHeight="1">
      <c r="C1208" s="71" t="s">
        <v>11326</v>
      </c>
      <c r="D1208" s="71" t="s">
        <v>11327</v>
      </c>
    </row>
    <row r="1209" ht="14.25" customHeight="1">
      <c r="A1209" s="71" t="s">
        <v>10016</v>
      </c>
      <c r="B1209" s="71" t="s">
        <v>41</v>
      </c>
      <c r="C1209" s="71" t="s">
        <v>9826</v>
      </c>
      <c r="D1209" s="71" t="s">
        <v>11328</v>
      </c>
    </row>
    <row r="1210" ht="14.25" customHeight="1">
      <c r="C1210" s="71" t="s">
        <v>11329</v>
      </c>
      <c r="D1210" s="71" t="s">
        <v>11330</v>
      </c>
    </row>
    <row r="1211" ht="14.25" customHeight="1">
      <c r="C1211" s="71" t="s">
        <v>9982</v>
      </c>
      <c r="D1211" s="71" t="s">
        <v>9055</v>
      </c>
    </row>
    <row r="1212" ht="14.25" customHeight="1">
      <c r="C1212" s="71" t="s">
        <v>11331</v>
      </c>
      <c r="D1212" s="71" t="s">
        <v>11332</v>
      </c>
    </row>
    <row r="1213" ht="14.25" customHeight="1">
      <c r="C1213" s="71" t="s">
        <v>9133</v>
      </c>
      <c r="D1213" s="71" t="s">
        <v>11333</v>
      </c>
    </row>
    <row r="1214" ht="14.25" customHeight="1">
      <c r="C1214" s="71" t="s">
        <v>312</v>
      </c>
      <c r="D1214" s="71" t="s">
        <v>11334</v>
      </c>
    </row>
    <row r="1215" ht="14.25" customHeight="1">
      <c r="C1215" s="71" t="s">
        <v>3566</v>
      </c>
      <c r="D1215" s="71" t="s">
        <v>8968</v>
      </c>
    </row>
    <row r="1216" ht="14.25" customHeight="1">
      <c r="D1216" s="71" t="s">
        <v>11335</v>
      </c>
    </row>
    <row r="1217" ht="14.25" customHeight="1">
      <c r="C1217" s="71" t="s">
        <v>3596</v>
      </c>
      <c r="D1217" s="71" t="s">
        <v>11336</v>
      </c>
    </row>
    <row r="1218" ht="14.25" customHeight="1">
      <c r="D1218" s="71" t="s">
        <v>11337</v>
      </c>
    </row>
    <row r="1219" ht="14.25" customHeight="1">
      <c r="D1219" s="71" t="s">
        <v>8968</v>
      </c>
    </row>
    <row r="1220" ht="14.25" customHeight="1">
      <c r="D1220" s="71" t="s">
        <v>11338</v>
      </c>
    </row>
    <row r="1221" ht="14.25" customHeight="1">
      <c r="D1221" s="71" t="s">
        <v>11339</v>
      </c>
    </row>
    <row r="1222" ht="14.25" customHeight="1">
      <c r="D1222" s="71" t="s">
        <v>11340</v>
      </c>
    </row>
    <row r="1223" ht="14.25" customHeight="1">
      <c r="D1223" s="71" t="s">
        <v>11341</v>
      </c>
    </row>
    <row r="1224" ht="14.25" customHeight="1">
      <c r="D1224" s="71" t="s">
        <v>11342</v>
      </c>
    </row>
    <row r="1225" ht="14.25" customHeight="1">
      <c r="D1225" s="71" t="s">
        <v>9526</v>
      </c>
    </row>
    <row r="1226" ht="14.25" customHeight="1">
      <c r="D1226" s="71" t="s">
        <v>9216</v>
      </c>
    </row>
    <row r="1227" ht="14.25" customHeight="1">
      <c r="D1227" s="71" t="s">
        <v>10576</v>
      </c>
    </row>
    <row r="1228" ht="14.25" customHeight="1">
      <c r="D1228" s="71" t="s">
        <v>11343</v>
      </c>
    </row>
    <row r="1229" ht="14.25" customHeight="1">
      <c r="D1229" s="71" t="s">
        <v>11344</v>
      </c>
    </row>
    <row r="1230" ht="14.25" customHeight="1">
      <c r="C1230" s="71" t="s">
        <v>8576</v>
      </c>
      <c r="D1230" s="71" t="s">
        <v>11345</v>
      </c>
    </row>
    <row r="1231" ht="14.25" customHeight="1">
      <c r="D1231" s="71" t="s">
        <v>11346</v>
      </c>
    </row>
    <row r="1232" ht="14.25" customHeight="1">
      <c r="C1232" s="71" t="s">
        <v>6985</v>
      </c>
      <c r="D1232" s="71" t="s">
        <v>11059</v>
      </c>
    </row>
    <row r="1233" ht="14.25" customHeight="1">
      <c r="C1233" s="71" t="s">
        <v>11347</v>
      </c>
      <c r="D1233" s="71" t="s">
        <v>11348</v>
      </c>
    </row>
    <row r="1234" ht="14.25" customHeight="1">
      <c r="C1234" s="71" t="s">
        <v>9405</v>
      </c>
      <c r="D1234" s="71" t="s">
        <v>11349</v>
      </c>
    </row>
    <row r="1235" ht="14.25" customHeight="1">
      <c r="C1235" s="71" t="s">
        <v>9165</v>
      </c>
      <c r="D1235" s="71" t="s">
        <v>11350</v>
      </c>
    </row>
    <row r="1236" ht="14.25" customHeight="1">
      <c r="A1236" s="71" t="s">
        <v>10024</v>
      </c>
      <c r="B1236" s="71" t="s">
        <v>40</v>
      </c>
      <c r="C1236" s="71" t="s">
        <v>9034</v>
      </c>
      <c r="D1236" s="71" t="s">
        <v>9352</v>
      </c>
    </row>
    <row r="1237" ht="14.25" customHeight="1">
      <c r="C1237" s="71" t="s">
        <v>11351</v>
      </c>
      <c r="D1237" s="71" t="s">
        <v>9034</v>
      </c>
    </row>
    <row r="1238" ht="14.25" customHeight="1">
      <c r="C1238" s="71" t="s">
        <v>11352</v>
      </c>
      <c r="D1238" s="71" t="s">
        <v>11353</v>
      </c>
    </row>
    <row r="1239" ht="14.25" customHeight="1">
      <c r="C1239" s="71" t="s">
        <v>11354</v>
      </c>
      <c r="D1239" s="71" t="s">
        <v>8968</v>
      </c>
    </row>
    <row r="1240" ht="14.25" customHeight="1">
      <c r="C1240" s="71" t="s">
        <v>11355</v>
      </c>
      <c r="D1240" s="71" t="s">
        <v>11356</v>
      </c>
    </row>
    <row r="1241" ht="14.25" customHeight="1">
      <c r="C1241" s="71" t="s">
        <v>11357</v>
      </c>
      <c r="D1241" s="71" t="s">
        <v>11358</v>
      </c>
    </row>
    <row r="1242" ht="14.25" customHeight="1">
      <c r="C1242" s="71" t="s">
        <v>11359</v>
      </c>
      <c r="D1242" s="71" t="s">
        <v>11360</v>
      </c>
    </row>
    <row r="1243" ht="14.25" customHeight="1">
      <c r="C1243" s="71" t="s">
        <v>11281</v>
      </c>
      <c r="D1243" s="71" t="s">
        <v>8976</v>
      </c>
    </row>
    <row r="1244" ht="14.25" customHeight="1">
      <c r="C1244" s="71" t="s">
        <v>220</v>
      </c>
      <c r="D1244" s="71" t="s">
        <v>9034</v>
      </c>
    </row>
    <row r="1245" ht="14.25" customHeight="1">
      <c r="C1245" s="71" t="s">
        <v>9090</v>
      </c>
      <c r="D1245" s="71" t="s">
        <v>10185</v>
      </c>
    </row>
    <row r="1246" ht="14.25" customHeight="1">
      <c r="D1246" s="71" t="s">
        <v>10614</v>
      </c>
    </row>
    <row r="1247" ht="14.25" customHeight="1">
      <c r="D1247" s="71" t="s">
        <v>11361</v>
      </c>
    </row>
    <row r="1248" ht="14.25" customHeight="1">
      <c r="D1248" s="71" t="s">
        <v>10875</v>
      </c>
    </row>
    <row r="1249" ht="14.25" customHeight="1">
      <c r="D1249" s="71" t="s">
        <v>11362</v>
      </c>
    </row>
    <row r="1250" ht="14.25" customHeight="1">
      <c r="C1250" s="71" t="s">
        <v>11363</v>
      </c>
      <c r="D1250" s="71" t="s">
        <v>9368</v>
      </c>
    </row>
  </sheetData>
  <mergeCells count="208">
    <mergeCell ref="A2:A54"/>
    <mergeCell ref="B2:B47"/>
    <mergeCell ref="C2:C4"/>
    <mergeCell ref="C7:C9"/>
    <mergeCell ref="C11:C12"/>
    <mergeCell ref="C23:C24"/>
    <mergeCell ref="C32:C33"/>
    <mergeCell ref="C35:C36"/>
    <mergeCell ref="C43:C45"/>
    <mergeCell ref="C75:C77"/>
    <mergeCell ref="C78:C79"/>
    <mergeCell ref="C81:C82"/>
    <mergeCell ref="C96:C97"/>
    <mergeCell ref="C100:C101"/>
    <mergeCell ref="C105:C107"/>
    <mergeCell ref="C122:C123"/>
    <mergeCell ref="C127:C129"/>
    <mergeCell ref="C130:C131"/>
    <mergeCell ref="C133:C134"/>
    <mergeCell ref="C139:C140"/>
    <mergeCell ref="C152:C154"/>
    <mergeCell ref="C159:C160"/>
    <mergeCell ref="C164:C165"/>
    <mergeCell ref="C169:C170"/>
    <mergeCell ref="C181:C182"/>
    <mergeCell ref="C185:C186"/>
    <mergeCell ref="C189:C191"/>
    <mergeCell ref="C197:C198"/>
    <mergeCell ref="B279:B295"/>
    <mergeCell ref="B296:B298"/>
    <mergeCell ref="C485:C486"/>
    <mergeCell ref="C501:C502"/>
    <mergeCell ref="C505:C506"/>
    <mergeCell ref="C511:C512"/>
    <mergeCell ref="C985:C988"/>
    <mergeCell ref="C991:C992"/>
    <mergeCell ref="C947:C948"/>
    <mergeCell ref="C950:C952"/>
    <mergeCell ref="C954:C955"/>
    <mergeCell ref="C957:C958"/>
    <mergeCell ref="C959:C960"/>
    <mergeCell ref="C973:C974"/>
    <mergeCell ref="C983:C984"/>
    <mergeCell ref="C1051:C1052"/>
    <mergeCell ref="C1058:C1059"/>
    <mergeCell ref="C998:C999"/>
    <mergeCell ref="C1010:C1011"/>
    <mergeCell ref="C1012:C1014"/>
    <mergeCell ref="C1019:C1024"/>
    <mergeCell ref="C1040:C1041"/>
    <mergeCell ref="C1043:C1045"/>
    <mergeCell ref="C1046:C1048"/>
    <mergeCell ref="B1081:B1113"/>
    <mergeCell ref="C1108:C1109"/>
    <mergeCell ref="A957:A1122"/>
    <mergeCell ref="A1123:A1138"/>
    <mergeCell ref="A1139:A1161"/>
    <mergeCell ref="A1162:A1175"/>
    <mergeCell ref="A1176:A1203"/>
    <mergeCell ref="A1204:A1208"/>
    <mergeCell ref="A1209:A1235"/>
    <mergeCell ref="A1236:A1250"/>
    <mergeCell ref="A769:A892"/>
    <mergeCell ref="A893:A921"/>
    <mergeCell ref="A922:A956"/>
    <mergeCell ref="B950:B956"/>
    <mergeCell ref="B957:B1080"/>
    <mergeCell ref="C1065:C1066"/>
    <mergeCell ref="B1114:B1122"/>
    <mergeCell ref="B1123:B1138"/>
    <mergeCell ref="C1134:C1135"/>
    <mergeCell ref="B1139:B1155"/>
    <mergeCell ref="C1145:C1146"/>
    <mergeCell ref="C1149:C1150"/>
    <mergeCell ref="B1156:B1157"/>
    <mergeCell ref="B1158:B1161"/>
    <mergeCell ref="B1204:B1208"/>
    <mergeCell ref="B1209:B1235"/>
    <mergeCell ref="B1236:B1250"/>
    <mergeCell ref="C1215:C1216"/>
    <mergeCell ref="C1217:C1229"/>
    <mergeCell ref="C1230:C1231"/>
    <mergeCell ref="C1245:C1249"/>
    <mergeCell ref="B1162:B1175"/>
    <mergeCell ref="B1176:B1203"/>
    <mergeCell ref="C1183:C1184"/>
    <mergeCell ref="C1186:C1187"/>
    <mergeCell ref="C1191:C1193"/>
    <mergeCell ref="C1196:C1197"/>
    <mergeCell ref="C1198:C1200"/>
    <mergeCell ref="A299:A346"/>
    <mergeCell ref="B299:B346"/>
    <mergeCell ref="A347:A354"/>
    <mergeCell ref="B348:B350"/>
    <mergeCell ref="B351:B354"/>
    <mergeCell ref="B355:B396"/>
    <mergeCell ref="B397:B399"/>
    <mergeCell ref="A355:A399"/>
    <mergeCell ref="B400:B495"/>
    <mergeCell ref="C458:C460"/>
    <mergeCell ref="C461:C462"/>
    <mergeCell ref="C468:C471"/>
    <mergeCell ref="B496:B531"/>
    <mergeCell ref="B532:B534"/>
    <mergeCell ref="B535:B539"/>
    <mergeCell ref="C577:C578"/>
    <mergeCell ref="C586:C587"/>
    <mergeCell ref="C513:C516"/>
    <mergeCell ref="C522:C523"/>
    <mergeCell ref="C547:C549"/>
    <mergeCell ref="C550:C551"/>
    <mergeCell ref="C557:C558"/>
    <mergeCell ref="C574:C576"/>
    <mergeCell ref="C602:C605"/>
    <mergeCell ref="A400:A534"/>
    <mergeCell ref="A535:A539"/>
    <mergeCell ref="A540:A630"/>
    <mergeCell ref="A631:A638"/>
    <mergeCell ref="A640:A644"/>
    <mergeCell ref="A646:A659"/>
    <mergeCell ref="A660:A768"/>
    <mergeCell ref="C615:C617"/>
    <mergeCell ref="C625:C626"/>
    <mergeCell ref="C631:C633"/>
    <mergeCell ref="C657:C658"/>
    <mergeCell ref="C660:C666"/>
    <mergeCell ref="C675:C676"/>
    <mergeCell ref="C703:C704"/>
    <mergeCell ref="C1070:C1072"/>
    <mergeCell ref="C1079:C1080"/>
    <mergeCell ref="B48:B52"/>
    <mergeCell ref="B53:B54"/>
    <mergeCell ref="A55:A72"/>
    <mergeCell ref="B55:B72"/>
    <mergeCell ref="B73:B94"/>
    <mergeCell ref="B95:B102"/>
    <mergeCell ref="B103:B104"/>
    <mergeCell ref="A73:A104"/>
    <mergeCell ref="A105:A179"/>
    <mergeCell ref="B105:B172"/>
    <mergeCell ref="B173:B177"/>
    <mergeCell ref="B178:B179"/>
    <mergeCell ref="A180:A298"/>
    <mergeCell ref="B180:B278"/>
    <mergeCell ref="C210:C213"/>
    <mergeCell ref="C220:C221"/>
    <mergeCell ref="C233:C241"/>
    <mergeCell ref="C244:C248"/>
    <mergeCell ref="C250:C251"/>
    <mergeCell ref="C256:C258"/>
    <mergeCell ref="C268:C269"/>
    <mergeCell ref="C274:C277"/>
    <mergeCell ref="C308:C309"/>
    <mergeCell ref="C310:C311"/>
    <mergeCell ref="C321:C322"/>
    <mergeCell ref="C327:C328"/>
    <mergeCell ref="C337:C338"/>
    <mergeCell ref="C344:C345"/>
    <mergeCell ref="C400:C401"/>
    <mergeCell ref="C404:C405"/>
    <mergeCell ref="C356:C361"/>
    <mergeCell ref="C364:C365"/>
    <mergeCell ref="C369:C372"/>
    <mergeCell ref="C374:C375"/>
    <mergeCell ref="C376:C377"/>
    <mergeCell ref="C381:C387"/>
    <mergeCell ref="C388:C391"/>
    <mergeCell ref="C446:C447"/>
    <mergeCell ref="C453:C454"/>
    <mergeCell ref="C407:C408"/>
    <mergeCell ref="C412:C413"/>
    <mergeCell ref="C417:C418"/>
    <mergeCell ref="C420:C421"/>
    <mergeCell ref="C426:C428"/>
    <mergeCell ref="C429:C430"/>
    <mergeCell ref="C435:C437"/>
    <mergeCell ref="B748:B768"/>
    <mergeCell ref="B769:B849"/>
    <mergeCell ref="B540:B607"/>
    <mergeCell ref="B608:B626"/>
    <mergeCell ref="B627:B630"/>
    <mergeCell ref="B631:B638"/>
    <mergeCell ref="B640:B644"/>
    <mergeCell ref="B646:B659"/>
    <mergeCell ref="B660:B747"/>
    <mergeCell ref="C709:C710"/>
    <mergeCell ref="C716:C718"/>
    <mergeCell ref="C730:C732"/>
    <mergeCell ref="C757:C758"/>
    <mergeCell ref="C769:C770"/>
    <mergeCell ref="C771:C772"/>
    <mergeCell ref="C784:C787"/>
    <mergeCell ref="C794:C795"/>
    <mergeCell ref="C799:C800"/>
    <mergeCell ref="C802:C803"/>
    <mergeCell ref="C810:C815"/>
    <mergeCell ref="C818:C819"/>
    <mergeCell ref="C826:C827"/>
    <mergeCell ref="C834:C835"/>
    <mergeCell ref="B922:B943"/>
    <mergeCell ref="B944:B949"/>
    <mergeCell ref="C837:C839"/>
    <mergeCell ref="B850:B886"/>
    <mergeCell ref="C879:C884"/>
    <mergeCell ref="B887:B892"/>
    <mergeCell ref="B893:B921"/>
    <mergeCell ref="C895:C896"/>
    <mergeCell ref="C922:C923"/>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2D0"/>
    <pageSetUpPr/>
  </sheetPr>
  <sheetViews>
    <sheetView workbookViewId="0"/>
  </sheetViews>
  <sheetFormatPr customHeight="1" defaultColWidth="12.63" defaultRowHeight="15.0"/>
  <cols>
    <col customWidth="1" min="1" max="1" width="33.88"/>
    <col customWidth="1" min="2" max="2" width="14.88"/>
    <col customWidth="1" min="3" max="3" width="53.5"/>
    <col customWidth="1" min="4" max="4" width="54.88"/>
    <col customWidth="1" min="5" max="26" width="8.63"/>
  </cols>
  <sheetData>
    <row r="1" ht="14.25" customHeight="1">
      <c r="A1" s="70" t="s">
        <v>8962</v>
      </c>
      <c r="B1" s="70" t="s">
        <v>8963</v>
      </c>
      <c r="C1" s="70" t="s">
        <v>8964</v>
      </c>
      <c r="D1" s="70" t="s">
        <v>8965</v>
      </c>
    </row>
    <row r="2" ht="14.25" customHeight="1">
      <c r="A2" s="71" t="s">
        <v>8966</v>
      </c>
      <c r="B2" s="71" t="s">
        <v>40</v>
      </c>
      <c r="C2" s="71" t="s">
        <v>11364</v>
      </c>
      <c r="D2" s="71" t="s">
        <v>11365</v>
      </c>
    </row>
    <row r="3" ht="14.25" customHeight="1">
      <c r="C3" s="71" t="s">
        <v>6057</v>
      </c>
      <c r="D3" s="71" t="s">
        <v>9152</v>
      </c>
    </row>
    <row r="4" ht="14.25" customHeight="1">
      <c r="C4" s="71" t="s">
        <v>1058</v>
      </c>
      <c r="D4" s="71" t="s">
        <v>11366</v>
      </c>
    </row>
    <row r="5" ht="14.25" customHeight="1">
      <c r="C5" s="71" t="s">
        <v>3114</v>
      </c>
      <c r="D5" s="71" t="s">
        <v>11367</v>
      </c>
    </row>
    <row r="6" ht="14.25" customHeight="1">
      <c r="C6" s="71" t="s">
        <v>135</v>
      </c>
      <c r="D6" s="71" t="s">
        <v>11368</v>
      </c>
    </row>
    <row r="7" ht="14.25" customHeight="1">
      <c r="C7" s="71" t="s">
        <v>11369</v>
      </c>
      <c r="D7" s="71" t="s">
        <v>9002</v>
      </c>
    </row>
    <row r="8" ht="14.25" customHeight="1">
      <c r="C8" s="71" t="s">
        <v>312</v>
      </c>
      <c r="D8" s="71" t="s">
        <v>8976</v>
      </c>
    </row>
    <row r="9" ht="14.25" customHeight="1">
      <c r="C9" s="71" t="s">
        <v>3566</v>
      </c>
      <c r="D9" s="71" t="s">
        <v>11370</v>
      </c>
    </row>
    <row r="10" ht="14.25" customHeight="1">
      <c r="D10" s="71" t="s">
        <v>11371</v>
      </c>
    </row>
    <row r="11" ht="14.25" customHeight="1">
      <c r="D11" s="71" t="s">
        <v>9028</v>
      </c>
    </row>
    <row r="12" ht="14.25" customHeight="1">
      <c r="D12" s="71" t="s">
        <v>9044</v>
      </c>
    </row>
    <row r="13" ht="14.25" customHeight="1">
      <c r="C13" s="71" t="s">
        <v>10905</v>
      </c>
      <c r="D13" s="71" t="s">
        <v>9131</v>
      </c>
    </row>
    <row r="14" ht="14.25" customHeight="1">
      <c r="C14" s="71" t="s">
        <v>11372</v>
      </c>
      <c r="D14" s="71" t="s">
        <v>9614</v>
      </c>
    </row>
    <row r="15" ht="14.25" customHeight="1">
      <c r="B15" s="71" t="s">
        <v>41</v>
      </c>
      <c r="C15" s="71" t="s">
        <v>11373</v>
      </c>
      <c r="D15" s="71" t="s">
        <v>11374</v>
      </c>
    </row>
    <row r="16" ht="14.25" customHeight="1">
      <c r="C16" s="71" t="s">
        <v>11179</v>
      </c>
      <c r="D16" s="71" t="s">
        <v>8973</v>
      </c>
    </row>
    <row r="17" ht="14.25" customHeight="1">
      <c r="C17" s="71" t="s">
        <v>1015</v>
      </c>
      <c r="D17" s="71" t="s">
        <v>9151</v>
      </c>
    </row>
    <row r="18" ht="14.25" customHeight="1">
      <c r="C18" s="71" t="s">
        <v>312</v>
      </c>
      <c r="D18" s="71" t="s">
        <v>8976</v>
      </c>
    </row>
    <row r="19" ht="14.25" customHeight="1">
      <c r="C19" s="71" t="s">
        <v>3566</v>
      </c>
      <c r="D19" s="71" t="s">
        <v>9034</v>
      </c>
    </row>
    <row r="20" ht="14.25" customHeight="1">
      <c r="D20" s="71" t="s">
        <v>11375</v>
      </c>
    </row>
    <row r="21" ht="14.25" customHeight="1">
      <c r="D21" s="71" t="s">
        <v>11376</v>
      </c>
    </row>
    <row r="22" ht="14.25" customHeight="1">
      <c r="D22" s="71" t="s">
        <v>11377</v>
      </c>
    </row>
    <row r="23" ht="14.25" customHeight="1">
      <c r="C23" s="71" t="s">
        <v>11378</v>
      </c>
      <c r="D23" s="71" t="s">
        <v>9920</v>
      </c>
    </row>
    <row r="24" ht="14.25" customHeight="1">
      <c r="C24" s="71" t="s">
        <v>8576</v>
      </c>
      <c r="D24" s="71" t="s">
        <v>11377</v>
      </c>
    </row>
    <row r="25" ht="14.25" customHeight="1">
      <c r="C25" s="71" t="s">
        <v>11379</v>
      </c>
      <c r="D25" s="71" t="s">
        <v>9071</v>
      </c>
    </row>
    <row r="26" ht="14.25" customHeight="1">
      <c r="C26" s="71" t="s">
        <v>4294</v>
      </c>
      <c r="D26" s="71" t="s">
        <v>11380</v>
      </c>
    </row>
    <row r="27" ht="14.25" customHeight="1">
      <c r="C27" s="71" t="s">
        <v>11381</v>
      </c>
      <c r="D27" s="71" t="s">
        <v>11382</v>
      </c>
    </row>
    <row r="28" ht="14.25" customHeight="1">
      <c r="B28" s="71" t="s">
        <v>13</v>
      </c>
      <c r="C28" s="71" t="s">
        <v>11383</v>
      </c>
      <c r="D28" s="71" t="s">
        <v>9249</v>
      </c>
    </row>
    <row r="29" ht="14.25" customHeight="1">
      <c r="C29" s="71" t="s">
        <v>233</v>
      </c>
      <c r="D29" s="71" t="s">
        <v>11384</v>
      </c>
    </row>
    <row r="30" ht="14.25" customHeight="1">
      <c r="C30" s="71" t="s">
        <v>11385</v>
      </c>
      <c r="D30" s="71" t="s">
        <v>9034</v>
      </c>
    </row>
    <row r="31" ht="14.25" customHeight="1">
      <c r="C31" s="71" t="s">
        <v>9090</v>
      </c>
      <c r="D31" s="71" t="s">
        <v>11386</v>
      </c>
    </row>
    <row r="32" ht="14.25" customHeight="1">
      <c r="A32" s="71" t="s">
        <v>9022</v>
      </c>
      <c r="B32" s="71" t="s">
        <v>40</v>
      </c>
      <c r="C32" s="71" t="s">
        <v>11387</v>
      </c>
      <c r="D32" s="71" t="s">
        <v>9265</v>
      </c>
    </row>
    <row r="33" ht="14.25" customHeight="1">
      <c r="D33" s="71" t="s">
        <v>11177</v>
      </c>
    </row>
    <row r="34" ht="14.25" customHeight="1">
      <c r="C34" s="71" t="s">
        <v>209</v>
      </c>
      <c r="D34" s="71" t="s">
        <v>9131</v>
      </c>
    </row>
    <row r="35" ht="14.25" customHeight="1">
      <c r="C35" s="71" t="s">
        <v>6863</v>
      </c>
      <c r="D35" s="71" t="s">
        <v>9034</v>
      </c>
    </row>
    <row r="36" ht="14.25" customHeight="1">
      <c r="C36" s="71" t="s">
        <v>11388</v>
      </c>
      <c r="D36" s="71" t="s">
        <v>9055</v>
      </c>
    </row>
    <row r="37" ht="14.25" customHeight="1">
      <c r="C37" s="71" t="s">
        <v>11389</v>
      </c>
      <c r="D37" s="71" t="s">
        <v>9043</v>
      </c>
    </row>
    <row r="38" ht="14.25" customHeight="1">
      <c r="A38" s="71" t="s">
        <v>9058</v>
      </c>
      <c r="B38" s="71" t="s">
        <v>40</v>
      </c>
      <c r="C38" s="71" t="s">
        <v>9034</v>
      </c>
      <c r="D38" s="71" t="s">
        <v>8982</v>
      </c>
    </row>
    <row r="39" ht="14.25" customHeight="1">
      <c r="C39" s="71" t="s">
        <v>11390</v>
      </c>
      <c r="D39" s="71" t="s">
        <v>11391</v>
      </c>
    </row>
    <row r="40" ht="14.25" customHeight="1">
      <c r="C40" s="71" t="s">
        <v>11392</v>
      </c>
      <c r="D40" s="71" t="s">
        <v>10712</v>
      </c>
    </row>
    <row r="41" ht="14.25" customHeight="1">
      <c r="C41" s="71" t="s">
        <v>8981</v>
      </c>
      <c r="D41" s="71" t="s">
        <v>8982</v>
      </c>
    </row>
    <row r="42" ht="14.25" customHeight="1">
      <c r="C42" s="71" t="s">
        <v>10745</v>
      </c>
      <c r="D42" s="71" t="s">
        <v>9746</v>
      </c>
    </row>
    <row r="43" ht="14.25" customHeight="1">
      <c r="C43" s="71" t="s">
        <v>11393</v>
      </c>
      <c r="D43" s="71" t="s">
        <v>11394</v>
      </c>
    </row>
    <row r="44" ht="14.25" customHeight="1">
      <c r="C44" s="71" t="s">
        <v>11395</v>
      </c>
      <c r="D44" s="71" t="s">
        <v>11396</v>
      </c>
    </row>
    <row r="45" ht="14.25" customHeight="1">
      <c r="C45" s="71" t="s">
        <v>262</v>
      </c>
      <c r="D45" s="71" t="s">
        <v>11397</v>
      </c>
    </row>
    <row r="46" ht="14.25" customHeight="1">
      <c r="B46" s="71" t="s">
        <v>41</v>
      </c>
      <c r="C46" s="71" t="s">
        <v>11390</v>
      </c>
      <c r="D46" s="71" t="s">
        <v>10627</v>
      </c>
    </row>
    <row r="47" ht="14.25" customHeight="1">
      <c r="C47" s="71" t="s">
        <v>11398</v>
      </c>
      <c r="D47" s="71" t="s">
        <v>11399</v>
      </c>
    </row>
    <row r="48" ht="14.25" customHeight="1">
      <c r="C48" s="71" t="s">
        <v>10636</v>
      </c>
      <c r="D48" s="71" t="s">
        <v>10080</v>
      </c>
    </row>
    <row r="49" ht="14.25" customHeight="1">
      <c r="C49" s="71" t="s">
        <v>11400</v>
      </c>
      <c r="D49" s="71" t="s">
        <v>11401</v>
      </c>
    </row>
    <row r="50" ht="14.25" customHeight="1">
      <c r="A50" s="71" t="s">
        <v>9094</v>
      </c>
      <c r="B50" s="71" t="s">
        <v>41</v>
      </c>
      <c r="C50" s="71" t="s">
        <v>11402</v>
      </c>
      <c r="D50" s="71" t="s">
        <v>11403</v>
      </c>
    </row>
    <row r="51" ht="14.25" customHeight="1">
      <c r="A51" s="71" t="s">
        <v>9097</v>
      </c>
      <c r="B51" s="71" t="s">
        <v>40</v>
      </c>
      <c r="C51" s="71" t="s">
        <v>11404</v>
      </c>
      <c r="D51" s="71" t="s">
        <v>9236</v>
      </c>
    </row>
    <row r="52" ht="14.25" customHeight="1">
      <c r="C52" s="71" t="s">
        <v>57</v>
      </c>
      <c r="D52" s="71" t="s">
        <v>11405</v>
      </c>
    </row>
    <row r="53" ht="14.25" customHeight="1">
      <c r="C53" s="71" t="s">
        <v>2333</v>
      </c>
      <c r="D53" s="71" t="s">
        <v>11406</v>
      </c>
    </row>
    <row r="54" ht="14.25" customHeight="1">
      <c r="C54" s="71" t="s">
        <v>5828</v>
      </c>
      <c r="D54" s="71" t="s">
        <v>11407</v>
      </c>
    </row>
    <row r="55" ht="14.25" customHeight="1">
      <c r="C55" s="71" t="s">
        <v>11408</v>
      </c>
      <c r="D55" s="71" t="s">
        <v>9073</v>
      </c>
    </row>
    <row r="56" ht="14.25" customHeight="1">
      <c r="C56" s="71" t="s">
        <v>88</v>
      </c>
      <c r="D56" s="71" t="s">
        <v>9314</v>
      </c>
    </row>
    <row r="57" ht="14.25" customHeight="1">
      <c r="C57" s="71" t="s">
        <v>89</v>
      </c>
      <c r="D57" s="71" t="s">
        <v>11409</v>
      </c>
    </row>
    <row r="58" ht="14.25" customHeight="1">
      <c r="C58" s="71" t="s">
        <v>11410</v>
      </c>
      <c r="D58" s="71" t="s">
        <v>11411</v>
      </c>
    </row>
    <row r="59" ht="14.25" customHeight="1">
      <c r="C59" s="71" t="s">
        <v>6065</v>
      </c>
      <c r="D59" s="71" t="s">
        <v>9055</v>
      </c>
    </row>
    <row r="60" ht="14.25" customHeight="1">
      <c r="C60" s="71" t="s">
        <v>2786</v>
      </c>
      <c r="D60" s="71" t="s">
        <v>9075</v>
      </c>
    </row>
    <row r="61" ht="14.25" customHeight="1">
      <c r="C61" s="71" t="s">
        <v>11412</v>
      </c>
      <c r="D61" s="71" t="s">
        <v>9055</v>
      </c>
    </row>
    <row r="62" ht="14.25" customHeight="1">
      <c r="C62" s="71" t="s">
        <v>9121</v>
      </c>
      <c r="D62" s="71" t="s">
        <v>11413</v>
      </c>
    </row>
    <row r="63" ht="14.25" customHeight="1">
      <c r="D63" s="71" t="s">
        <v>9073</v>
      </c>
    </row>
    <row r="64" ht="14.25" customHeight="1">
      <c r="C64" s="71" t="s">
        <v>298</v>
      </c>
      <c r="D64" s="71" t="s">
        <v>9111</v>
      </c>
    </row>
    <row r="65" ht="14.25" customHeight="1">
      <c r="C65" s="71" t="s">
        <v>123</v>
      </c>
      <c r="D65" s="71" t="s">
        <v>11414</v>
      </c>
    </row>
    <row r="66" ht="14.25" customHeight="1">
      <c r="D66" s="71" t="s">
        <v>9075</v>
      </c>
    </row>
    <row r="67" ht="14.25" customHeight="1">
      <c r="C67" s="71" t="s">
        <v>9133</v>
      </c>
      <c r="D67" s="71" t="s">
        <v>9071</v>
      </c>
    </row>
    <row r="68" ht="14.25" customHeight="1">
      <c r="C68" s="71" t="s">
        <v>9640</v>
      </c>
      <c r="D68" s="71" t="s">
        <v>11415</v>
      </c>
    </row>
    <row r="69" ht="14.25" customHeight="1">
      <c r="C69" s="71" t="s">
        <v>3059</v>
      </c>
      <c r="D69" s="71" t="s">
        <v>9136</v>
      </c>
    </row>
    <row r="70" ht="14.25" customHeight="1">
      <c r="C70" s="71" t="s">
        <v>129</v>
      </c>
      <c r="D70" s="71" t="s">
        <v>9073</v>
      </c>
    </row>
    <row r="71" ht="14.25" customHeight="1">
      <c r="C71" s="71" t="s">
        <v>133</v>
      </c>
      <c r="D71" s="71" t="s">
        <v>11416</v>
      </c>
    </row>
    <row r="72" ht="14.25" customHeight="1">
      <c r="C72" s="71" t="s">
        <v>141</v>
      </c>
      <c r="D72" s="71" t="s">
        <v>11417</v>
      </c>
    </row>
    <row r="73" ht="14.25" customHeight="1">
      <c r="C73" s="71" t="s">
        <v>3313</v>
      </c>
      <c r="D73" s="71" t="s">
        <v>9055</v>
      </c>
    </row>
    <row r="74" ht="14.25" customHeight="1">
      <c r="C74" s="71" t="s">
        <v>11418</v>
      </c>
      <c r="D74" s="71" t="s">
        <v>9073</v>
      </c>
    </row>
    <row r="75" ht="14.25" customHeight="1">
      <c r="C75" s="71" t="s">
        <v>3405</v>
      </c>
      <c r="D75" s="71" t="s">
        <v>9073</v>
      </c>
    </row>
    <row r="76" ht="14.25" customHeight="1">
      <c r="C76" s="71" t="s">
        <v>3509</v>
      </c>
      <c r="D76" s="71" t="s">
        <v>9073</v>
      </c>
    </row>
    <row r="77" ht="14.25" customHeight="1">
      <c r="D77" s="71" t="s">
        <v>11419</v>
      </c>
    </row>
    <row r="78" ht="14.25" customHeight="1">
      <c r="C78" s="71" t="s">
        <v>3603</v>
      </c>
      <c r="D78" s="71" t="s">
        <v>9124</v>
      </c>
    </row>
    <row r="79" ht="14.25" customHeight="1">
      <c r="C79" s="71" t="s">
        <v>184</v>
      </c>
      <c r="D79" s="71" t="s">
        <v>8968</v>
      </c>
    </row>
    <row r="80" ht="14.25" customHeight="1">
      <c r="C80" s="71" t="s">
        <v>204</v>
      </c>
      <c r="D80" s="71" t="s">
        <v>9151</v>
      </c>
    </row>
    <row r="81" ht="14.25" customHeight="1">
      <c r="C81" s="71" t="s">
        <v>11420</v>
      </c>
      <c r="D81" s="71" t="s">
        <v>9071</v>
      </c>
    </row>
    <row r="82" ht="14.25" customHeight="1">
      <c r="C82" s="71" t="s">
        <v>11421</v>
      </c>
      <c r="D82" s="71" t="s">
        <v>9073</v>
      </c>
    </row>
    <row r="83" ht="14.25" customHeight="1">
      <c r="C83" s="71" t="s">
        <v>3821</v>
      </c>
      <c r="D83" s="71" t="s">
        <v>11422</v>
      </c>
    </row>
    <row r="84" ht="14.25" customHeight="1">
      <c r="C84" s="71" t="s">
        <v>4000</v>
      </c>
      <c r="D84" s="71" t="s">
        <v>9618</v>
      </c>
    </row>
    <row r="85" ht="14.25" customHeight="1">
      <c r="C85" s="71" t="s">
        <v>11423</v>
      </c>
      <c r="D85" s="71" t="s">
        <v>11424</v>
      </c>
    </row>
    <row r="86" ht="14.25" customHeight="1">
      <c r="C86" s="71" t="s">
        <v>244</v>
      </c>
      <c r="D86" s="71" t="s">
        <v>11425</v>
      </c>
    </row>
    <row r="87" ht="14.25" customHeight="1">
      <c r="C87" s="71" t="s">
        <v>4430</v>
      </c>
      <c r="D87" s="71" t="s">
        <v>11426</v>
      </c>
    </row>
    <row r="88" ht="14.25" customHeight="1">
      <c r="C88" s="71" t="s">
        <v>9165</v>
      </c>
      <c r="D88" s="71" t="s">
        <v>8968</v>
      </c>
    </row>
    <row r="89" ht="14.25" customHeight="1">
      <c r="B89" s="71" t="s">
        <v>41</v>
      </c>
      <c r="C89" s="71" t="s">
        <v>9329</v>
      </c>
      <c r="D89" s="71" t="s">
        <v>9073</v>
      </c>
    </row>
    <row r="90" ht="14.25" customHeight="1">
      <c r="C90" s="71" t="s">
        <v>254</v>
      </c>
      <c r="D90" s="71" t="s">
        <v>11427</v>
      </c>
    </row>
    <row r="91" ht="14.25" customHeight="1">
      <c r="C91" s="71" t="s">
        <v>9165</v>
      </c>
      <c r="D91" s="71" t="s">
        <v>11428</v>
      </c>
    </row>
    <row r="92" ht="14.25" customHeight="1">
      <c r="B92" s="71" t="s">
        <v>13</v>
      </c>
      <c r="C92" s="71" t="s">
        <v>11429</v>
      </c>
      <c r="D92" s="71" t="s">
        <v>11386</v>
      </c>
    </row>
    <row r="93" ht="14.25" customHeight="1">
      <c r="A93" s="71" t="s">
        <v>9177</v>
      </c>
      <c r="B93" s="71" t="s">
        <v>40</v>
      </c>
      <c r="C93" s="71" t="s">
        <v>9034</v>
      </c>
      <c r="D93" s="71" t="s">
        <v>8968</v>
      </c>
    </row>
    <row r="94" ht="14.25" customHeight="1">
      <c r="C94" s="71" t="s">
        <v>5740</v>
      </c>
      <c r="D94" s="71" t="s">
        <v>11430</v>
      </c>
    </row>
    <row r="95" ht="14.25" customHeight="1">
      <c r="C95" s="71" t="s">
        <v>11431</v>
      </c>
      <c r="D95" s="71" t="s">
        <v>9034</v>
      </c>
    </row>
    <row r="96" ht="14.25" customHeight="1">
      <c r="C96" s="71" t="s">
        <v>11432</v>
      </c>
      <c r="D96" s="71" t="s">
        <v>9189</v>
      </c>
    </row>
    <row r="97" ht="14.25" customHeight="1">
      <c r="C97" s="71" t="s">
        <v>69</v>
      </c>
      <c r="D97" s="71" t="s">
        <v>11433</v>
      </c>
    </row>
    <row r="98" ht="14.25" customHeight="1">
      <c r="C98" s="71" t="s">
        <v>10656</v>
      </c>
      <c r="D98" s="71" t="s">
        <v>10689</v>
      </c>
    </row>
    <row r="99" ht="14.25" customHeight="1">
      <c r="C99" s="71" t="s">
        <v>80</v>
      </c>
      <c r="D99" s="71" t="s">
        <v>8968</v>
      </c>
    </row>
    <row r="100" ht="14.25" customHeight="1">
      <c r="D100" s="71" t="s">
        <v>9043</v>
      </c>
    </row>
    <row r="101" ht="14.25" customHeight="1">
      <c r="D101" s="71" t="s">
        <v>10944</v>
      </c>
    </row>
    <row r="102" ht="14.25" customHeight="1">
      <c r="D102" s="71" t="s">
        <v>9202</v>
      </c>
    </row>
    <row r="103" ht="14.25" customHeight="1">
      <c r="C103" s="71" t="s">
        <v>85</v>
      </c>
      <c r="D103" s="71" t="s">
        <v>9618</v>
      </c>
    </row>
    <row r="104" ht="14.25" customHeight="1">
      <c r="C104" s="71" t="s">
        <v>89</v>
      </c>
      <c r="D104" s="71" t="s">
        <v>11434</v>
      </c>
    </row>
    <row r="105" ht="14.25" customHeight="1">
      <c r="C105" s="71" t="s">
        <v>11435</v>
      </c>
      <c r="D105" s="71" t="s">
        <v>9043</v>
      </c>
    </row>
    <row r="106" ht="14.25" customHeight="1">
      <c r="D106" s="71" t="s">
        <v>9055</v>
      </c>
    </row>
    <row r="107" ht="14.25" customHeight="1">
      <c r="C107" s="71" t="s">
        <v>131</v>
      </c>
      <c r="D107" s="71" t="s">
        <v>9034</v>
      </c>
    </row>
    <row r="108" ht="14.25" customHeight="1">
      <c r="C108" s="71" t="s">
        <v>10702</v>
      </c>
      <c r="D108" s="71" t="s">
        <v>11436</v>
      </c>
    </row>
    <row r="109" ht="14.25" customHeight="1">
      <c r="C109" s="71" t="s">
        <v>148</v>
      </c>
      <c r="D109" s="71" t="s">
        <v>10124</v>
      </c>
    </row>
    <row r="110" ht="14.25" customHeight="1">
      <c r="D110" s="71" t="s">
        <v>11437</v>
      </c>
    </row>
    <row r="111" ht="14.25" customHeight="1">
      <c r="C111" s="71" t="s">
        <v>8091</v>
      </c>
      <c r="D111" s="71" t="s">
        <v>9109</v>
      </c>
    </row>
    <row r="112" ht="14.25" customHeight="1">
      <c r="C112" s="71" t="s">
        <v>163</v>
      </c>
      <c r="D112" s="71" t="s">
        <v>9043</v>
      </c>
    </row>
    <row r="113" ht="14.25" customHeight="1">
      <c r="C113" s="71" t="s">
        <v>166</v>
      </c>
      <c r="D113" s="71" t="s">
        <v>11430</v>
      </c>
    </row>
    <row r="114" ht="14.25" customHeight="1">
      <c r="D114" s="71" t="s">
        <v>9151</v>
      </c>
    </row>
    <row r="115" ht="14.25" customHeight="1">
      <c r="C115" s="71" t="s">
        <v>1417</v>
      </c>
      <c r="D115" s="71" t="s">
        <v>9236</v>
      </c>
    </row>
    <row r="116" ht="14.25" customHeight="1">
      <c r="D116" s="71" t="s">
        <v>9204</v>
      </c>
    </row>
    <row r="117" ht="14.25" customHeight="1">
      <c r="D117" s="71" t="s">
        <v>11438</v>
      </c>
    </row>
    <row r="118" ht="14.25" customHeight="1">
      <c r="D118" s="71" t="s">
        <v>9131</v>
      </c>
    </row>
    <row r="119" ht="14.25" customHeight="1">
      <c r="C119" s="71" t="s">
        <v>10711</v>
      </c>
      <c r="D119" s="71" t="s">
        <v>9131</v>
      </c>
    </row>
    <row r="120" ht="14.25" customHeight="1">
      <c r="D120" s="71" t="s">
        <v>9026</v>
      </c>
    </row>
    <row r="121" ht="14.25" customHeight="1">
      <c r="C121" s="71" t="s">
        <v>3596</v>
      </c>
      <c r="D121" s="71" t="s">
        <v>11439</v>
      </c>
    </row>
    <row r="122" ht="14.25" customHeight="1">
      <c r="C122" s="71" t="s">
        <v>11440</v>
      </c>
      <c r="D122" s="71" t="s">
        <v>8968</v>
      </c>
    </row>
    <row r="123" ht="14.25" customHeight="1">
      <c r="C123" s="71" t="s">
        <v>11441</v>
      </c>
      <c r="D123" s="71" t="s">
        <v>9043</v>
      </c>
    </row>
    <row r="124" ht="14.25" customHeight="1">
      <c r="C124" s="71" t="s">
        <v>214</v>
      </c>
      <c r="D124" s="71" t="s">
        <v>9181</v>
      </c>
    </row>
    <row r="125" ht="14.25" customHeight="1">
      <c r="C125" s="71" t="s">
        <v>10714</v>
      </c>
      <c r="D125" s="71" t="s">
        <v>9109</v>
      </c>
    </row>
    <row r="126" ht="14.25" customHeight="1">
      <c r="C126" s="71" t="s">
        <v>8525</v>
      </c>
      <c r="D126" s="71" t="s">
        <v>9131</v>
      </c>
    </row>
    <row r="127" ht="14.25" customHeight="1">
      <c r="C127" s="71" t="s">
        <v>225</v>
      </c>
      <c r="D127" s="71" t="s">
        <v>10124</v>
      </c>
    </row>
    <row r="128" ht="14.25" customHeight="1">
      <c r="D128" s="71" t="s">
        <v>9043</v>
      </c>
    </row>
    <row r="129" ht="14.25" customHeight="1">
      <c r="D129" s="71" t="s">
        <v>9194</v>
      </c>
    </row>
    <row r="130" ht="14.25" customHeight="1">
      <c r="C130" s="71" t="s">
        <v>10721</v>
      </c>
      <c r="D130" s="71" t="s">
        <v>9026</v>
      </c>
    </row>
    <row r="131" ht="14.25" customHeight="1">
      <c r="C131" s="71" t="s">
        <v>261</v>
      </c>
      <c r="D131" s="71" t="s">
        <v>11442</v>
      </c>
    </row>
    <row r="132" ht="14.25" customHeight="1">
      <c r="C132" s="71" t="s">
        <v>7222</v>
      </c>
      <c r="D132" s="71" t="s">
        <v>9043</v>
      </c>
    </row>
    <row r="133" ht="14.25" customHeight="1">
      <c r="C133" s="71" t="s">
        <v>11443</v>
      </c>
      <c r="D133" s="71" t="s">
        <v>11444</v>
      </c>
    </row>
    <row r="134" ht="14.25" customHeight="1">
      <c r="C134" s="71" t="s">
        <v>11445</v>
      </c>
      <c r="D134" s="71" t="s">
        <v>9151</v>
      </c>
    </row>
    <row r="135" ht="14.25" customHeight="1">
      <c r="C135" s="71" t="s">
        <v>278</v>
      </c>
      <c r="D135" s="71" t="s">
        <v>9043</v>
      </c>
    </row>
    <row r="136" ht="14.25" customHeight="1">
      <c r="C136" s="71" t="s">
        <v>2230</v>
      </c>
      <c r="D136" s="71" t="s">
        <v>9026</v>
      </c>
    </row>
    <row r="137" ht="14.25" customHeight="1">
      <c r="C137" s="71" t="s">
        <v>288</v>
      </c>
      <c r="D137" s="71" t="s">
        <v>9043</v>
      </c>
    </row>
    <row r="138" ht="14.25" customHeight="1">
      <c r="B138" s="71" t="s">
        <v>41</v>
      </c>
      <c r="C138" s="71" t="s">
        <v>9034</v>
      </c>
      <c r="D138" s="71" t="s">
        <v>11446</v>
      </c>
    </row>
    <row r="139" ht="14.25" customHeight="1">
      <c r="C139" s="71" t="s">
        <v>11447</v>
      </c>
      <c r="D139" s="71" t="s">
        <v>9026</v>
      </c>
    </row>
    <row r="140" ht="14.25" customHeight="1">
      <c r="C140" s="71" t="s">
        <v>10656</v>
      </c>
      <c r="D140" s="71" t="s">
        <v>8994</v>
      </c>
    </row>
    <row r="141" ht="14.25" customHeight="1">
      <c r="C141" s="71" t="s">
        <v>11448</v>
      </c>
      <c r="D141" s="71" t="s">
        <v>11449</v>
      </c>
    </row>
    <row r="142" ht="14.25" customHeight="1">
      <c r="C142" s="71" t="s">
        <v>11450</v>
      </c>
      <c r="D142" s="71" t="s">
        <v>11451</v>
      </c>
    </row>
    <row r="143" ht="14.25" customHeight="1">
      <c r="C143" s="71" t="s">
        <v>859</v>
      </c>
      <c r="D143" s="71" t="s">
        <v>9034</v>
      </c>
    </row>
    <row r="144" ht="14.25" customHeight="1">
      <c r="D144" s="71" t="s">
        <v>10142</v>
      </c>
    </row>
    <row r="145" ht="14.25" customHeight="1">
      <c r="C145" s="71" t="s">
        <v>11452</v>
      </c>
      <c r="D145" s="71" t="s">
        <v>9043</v>
      </c>
    </row>
    <row r="146" ht="14.25" customHeight="1">
      <c r="C146" s="71" t="s">
        <v>11453</v>
      </c>
      <c r="D146" s="71" t="s">
        <v>10610</v>
      </c>
    </row>
    <row r="147" ht="14.25" customHeight="1">
      <c r="C147" s="71" t="s">
        <v>11454</v>
      </c>
      <c r="D147" s="71" t="s">
        <v>9221</v>
      </c>
    </row>
    <row r="148" ht="14.25" customHeight="1">
      <c r="C148" s="71" t="s">
        <v>134</v>
      </c>
      <c r="D148" s="71" t="s">
        <v>9213</v>
      </c>
    </row>
    <row r="149" ht="14.25" customHeight="1">
      <c r="C149" s="71" t="s">
        <v>139</v>
      </c>
      <c r="D149" s="71" t="s">
        <v>10610</v>
      </c>
    </row>
    <row r="150" ht="14.25" customHeight="1">
      <c r="C150" s="71" t="s">
        <v>1196</v>
      </c>
      <c r="D150" s="71" t="s">
        <v>10610</v>
      </c>
    </row>
    <row r="151" ht="14.25" customHeight="1">
      <c r="C151" s="71" t="s">
        <v>10702</v>
      </c>
      <c r="D151" s="71" t="s">
        <v>11455</v>
      </c>
    </row>
    <row r="152" ht="14.25" customHeight="1">
      <c r="D152" s="71" t="s">
        <v>11456</v>
      </c>
    </row>
    <row r="153" ht="14.25" customHeight="1">
      <c r="D153" s="71" t="s">
        <v>11457</v>
      </c>
    </row>
    <row r="154" ht="14.25" customHeight="1">
      <c r="D154" s="71" t="s">
        <v>9194</v>
      </c>
    </row>
    <row r="155" ht="14.25" customHeight="1">
      <c r="C155" s="71" t="s">
        <v>145</v>
      </c>
      <c r="D155" s="71" t="s">
        <v>11458</v>
      </c>
    </row>
    <row r="156" ht="14.25" customHeight="1">
      <c r="C156" s="71" t="s">
        <v>150</v>
      </c>
      <c r="D156" s="71" t="s">
        <v>9190</v>
      </c>
    </row>
    <row r="157" ht="14.25" customHeight="1">
      <c r="C157" s="71" t="s">
        <v>9201</v>
      </c>
      <c r="D157" s="71" t="s">
        <v>11459</v>
      </c>
    </row>
    <row r="158" ht="14.25" customHeight="1">
      <c r="D158" s="71" t="s">
        <v>11460</v>
      </c>
    </row>
    <row r="159" ht="14.25" customHeight="1">
      <c r="C159" s="71" t="s">
        <v>166</v>
      </c>
      <c r="D159" s="71" t="s">
        <v>9194</v>
      </c>
    </row>
    <row r="160" ht="14.25" customHeight="1">
      <c r="C160" s="71" t="s">
        <v>1417</v>
      </c>
      <c r="D160" s="71" t="s">
        <v>9204</v>
      </c>
    </row>
    <row r="161" ht="14.25" customHeight="1">
      <c r="C161" s="71" t="s">
        <v>11461</v>
      </c>
      <c r="D161" s="71" t="s">
        <v>9026</v>
      </c>
    </row>
    <row r="162" ht="14.25" customHeight="1">
      <c r="D162" s="71" t="s">
        <v>9045</v>
      </c>
    </row>
    <row r="163" ht="14.25" customHeight="1">
      <c r="C163" s="71" t="s">
        <v>11462</v>
      </c>
      <c r="D163" s="71" t="s">
        <v>11463</v>
      </c>
    </row>
    <row r="164" ht="14.25" customHeight="1">
      <c r="C164" s="71" t="s">
        <v>11464</v>
      </c>
      <c r="D164" s="71" t="s">
        <v>9026</v>
      </c>
    </row>
    <row r="165" ht="14.25" customHeight="1">
      <c r="C165" s="71" t="s">
        <v>246</v>
      </c>
      <c r="D165" s="71" t="s">
        <v>8994</v>
      </c>
    </row>
    <row r="166" ht="14.25" customHeight="1">
      <c r="C166" s="71" t="s">
        <v>11465</v>
      </c>
      <c r="D166" s="71" t="s">
        <v>8994</v>
      </c>
    </row>
    <row r="167" ht="14.25" customHeight="1">
      <c r="C167" s="71" t="s">
        <v>11466</v>
      </c>
      <c r="D167" s="71" t="s">
        <v>8994</v>
      </c>
    </row>
    <row r="168" ht="14.25" customHeight="1">
      <c r="C168" s="71" t="s">
        <v>11467</v>
      </c>
      <c r="D168" s="71" t="s">
        <v>8994</v>
      </c>
    </row>
    <row r="169" ht="14.25" customHeight="1">
      <c r="C169" s="71" t="s">
        <v>11468</v>
      </c>
      <c r="D169" s="71" t="s">
        <v>9034</v>
      </c>
    </row>
    <row r="170" ht="14.25" customHeight="1">
      <c r="C170" s="71" t="s">
        <v>286</v>
      </c>
      <c r="D170" s="71" t="s">
        <v>11469</v>
      </c>
    </row>
    <row r="171" ht="14.25" customHeight="1">
      <c r="D171" s="71" t="s">
        <v>11470</v>
      </c>
    </row>
    <row r="172" ht="14.25" customHeight="1">
      <c r="B172" s="71" t="s">
        <v>13</v>
      </c>
      <c r="C172" s="71" t="s">
        <v>9034</v>
      </c>
      <c r="D172" s="71" t="s">
        <v>10610</v>
      </c>
    </row>
    <row r="173" ht="14.25" customHeight="1">
      <c r="C173" s="71" t="s">
        <v>11471</v>
      </c>
      <c r="D173" s="71" t="s">
        <v>9180</v>
      </c>
    </row>
    <row r="174" ht="14.25" customHeight="1">
      <c r="C174" s="71" t="s">
        <v>11472</v>
      </c>
      <c r="D174" s="71" t="s">
        <v>8994</v>
      </c>
    </row>
    <row r="175" ht="14.25" customHeight="1">
      <c r="C175" s="71" t="s">
        <v>11473</v>
      </c>
      <c r="D175" s="71" t="s">
        <v>11474</v>
      </c>
    </row>
    <row r="176" ht="14.25" customHeight="1">
      <c r="C176" s="71" t="s">
        <v>9090</v>
      </c>
      <c r="D176" s="71" t="s">
        <v>11386</v>
      </c>
    </row>
    <row r="177" ht="14.25" customHeight="1">
      <c r="C177" s="71" t="s">
        <v>261</v>
      </c>
      <c r="D177" s="71" t="s">
        <v>11442</v>
      </c>
    </row>
    <row r="178" ht="14.25" customHeight="1">
      <c r="A178" s="71" t="s">
        <v>9254</v>
      </c>
      <c r="B178" s="71" t="s">
        <v>40</v>
      </c>
      <c r="C178" s="71" t="s">
        <v>3138</v>
      </c>
      <c r="D178" s="71" t="s">
        <v>11475</v>
      </c>
    </row>
    <row r="179" ht="14.25" customHeight="1">
      <c r="C179" s="71" t="s">
        <v>11476</v>
      </c>
      <c r="D179" s="71" t="s">
        <v>11477</v>
      </c>
    </row>
    <row r="180" ht="14.25" customHeight="1">
      <c r="A180" s="71" t="s">
        <v>9299</v>
      </c>
      <c r="B180" s="71" t="s">
        <v>40</v>
      </c>
      <c r="C180" s="71" t="s">
        <v>8969</v>
      </c>
      <c r="D180" s="71" t="s">
        <v>11478</v>
      </c>
    </row>
    <row r="181" ht="14.25" customHeight="1">
      <c r="C181" s="71" t="s">
        <v>2669</v>
      </c>
      <c r="D181" s="71" t="s">
        <v>11479</v>
      </c>
    </row>
    <row r="182" ht="14.25" customHeight="1">
      <c r="D182" s="71" t="s">
        <v>8978</v>
      </c>
    </row>
    <row r="183" ht="14.25" customHeight="1">
      <c r="C183" s="71" t="s">
        <v>11480</v>
      </c>
      <c r="D183" s="71" t="s">
        <v>8978</v>
      </c>
    </row>
    <row r="184" ht="14.25" customHeight="1">
      <c r="C184" s="71" t="s">
        <v>9090</v>
      </c>
      <c r="D184" s="71" t="s">
        <v>11481</v>
      </c>
    </row>
    <row r="185" ht="14.25" customHeight="1">
      <c r="C185" s="71" t="s">
        <v>11482</v>
      </c>
      <c r="D185" s="71" t="s">
        <v>9034</v>
      </c>
    </row>
    <row r="186" ht="14.25" customHeight="1">
      <c r="A186" s="71" t="s">
        <v>9309</v>
      </c>
      <c r="B186" s="71" t="s">
        <v>40</v>
      </c>
      <c r="C186" s="71" t="s">
        <v>9357</v>
      </c>
      <c r="D186" s="71" t="s">
        <v>8978</v>
      </c>
    </row>
    <row r="187" ht="14.25" customHeight="1">
      <c r="C187" s="71" t="s">
        <v>11483</v>
      </c>
      <c r="D187" s="71" t="s">
        <v>11484</v>
      </c>
    </row>
    <row r="188" ht="14.25" customHeight="1">
      <c r="C188" s="71" t="s">
        <v>6405</v>
      </c>
      <c r="D188" s="71" t="s">
        <v>11485</v>
      </c>
    </row>
    <row r="189" ht="14.25" customHeight="1">
      <c r="C189" s="71" t="s">
        <v>11486</v>
      </c>
      <c r="D189" s="71" t="s">
        <v>9867</v>
      </c>
    </row>
    <row r="190" ht="14.25" customHeight="1">
      <c r="C190" s="71" t="s">
        <v>3596</v>
      </c>
      <c r="D190" s="71" t="s">
        <v>11487</v>
      </c>
    </row>
    <row r="191" ht="14.25" customHeight="1">
      <c r="C191" s="71" t="s">
        <v>11488</v>
      </c>
      <c r="D191" s="71" t="s">
        <v>9755</v>
      </c>
    </row>
    <row r="192" ht="14.25" customHeight="1">
      <c r="C192" s="71" t="s">
        <v>11421</v>
      </c>
      <c r="D192" s="71" t="s">
        <v>9368</v>
      </c>
    </row>
    <row r="193" ht="14.25" customHeight="1">
      <c r="C193" s="71" t="s">
        <v>11489</v>
      </c>
      <c r="D193" s="71" t="s">
        <v>11490</v>
      </c>
    </row>
    <row r="194" ht="14.25" customHeight="1">
      <c r="B194" s="71" t="s">
        <v>41</v>
      </c>
      <c r="C194" s="71" t="s">
        <v>9034</v>
      </c>
      <c r="D194" s="71" t="s">
        <v>11491</v>
      </c>
    </row>
    <row r="195" ht="14.25" customHeight="1">
      <c r="C195" s="71" t="s">
        <v>10767</v>
      </c>
      <c r="D195" s="71" t="s">
        <v>10769</v>
      </c>
    </row>
    <row r="196" ht="14.25" customHeight="1">
      <c r="D196" s="71" t="s">
        <v>11492</v>
      </c>
    </row>
    <row r="197" ht="14.25" customHeight="1">
      <c r="C197" s="71" t="s">
        <v>5785</v>
      </c>
      <c r="D197" s="71" t="s">
        <v>9281</v>
      </c>
    </row>
    <row r="198" ht="14.25" customHeight="1">
      <c r="C198" s="71" t="s">
        <v>9313</v>
      </c>
      <c r="D198" s="71" t="s">
        <v>9281</v>
      </c>
    </row>
    <row r="199" ht="14.25" customHeight="1">
      <c r="D199" s="71" t="s">
        <v>11493</v>
      </c>
    </row>
    <row r="200" ht="14.25" customHeight="1">
      <c r="C200" s="71" t="s">
        <v>11494</v>
      </c>
      <c r="D200" s="71" t="s">
        <v>8978</v>
      </c>
    </row>
    <row r="201" ht="14.25" customHeight="1">
      <c r="C201" s="71" t="s">
        <v>6031</v>
      </c>
      <c r="D201" s="71" t="s">
        <v>9281</v>
      </c>
    </row>
    <row r="202" ht="14.25" customHeight="1">
      <c r="C202" s="71" t="s">
        <v>11495</v>
      </c>
      <c r="D202" s="71" t="s">
        <v>9258</v>
      </c>
    </row>
    <row r="203" ht="14.25" customHeight="1">
      <c r="C203" s="71" t="s">
        <v>9329</v>
      </c>
      <c r="D203" s="71" t="s">
        <v>11496</v>
      </c>
    </row>
    <row r="204" ht="14.25" customHeight="1">
      <c r="C204" s="71" t="s">
        <v>11497</v>
      </c>
      <c r="D204" s="71" t="s">
        <v>11498</v>
      </c>
    </row>
    <row r="205" ht="14.25" customHeight="1">
      <c r="C205" s="71" t="s">
        <v>10762</v>
      </c>
      <c r="D205" s="71" t="s">
        <v>11498</v>
      </c>
    </row>
    <row r="206" ht="14.25" customHeight="1">
      <c r="D206" s="71" t="s">
        <v>11499</v>
      </c>
    </row>
    <row r="207" ht="14.25" customHeight="1">
      <c r="C207" s="71" t="s">
        <v>3962</v>
      </c>
      <c r="D207" s="71" t="s">
        <v>8978</v>
      </c>
    </row>
    <row r="208" ht="14.25" customHeight="1">
      <c r="A208" s="71" t="s">
        <v>9339</v>
      </c>
      <c r="B208" s="71" t="s">
        <v>40</v>
      </c>
      <c r="C208" s="71" t="s">
        <v>9034</v>
      </c>
      <c r="D208" s="71" t="s">
        <v>9258</v>
      </c>
    </row>
    <row r="209" ht="14.25" customHeight="1">
      <c r="C209" s="71" t="s">
        <v>10767</v>
      </c>
      <c r="D209" s="71" t="s">
        <v>11500</v>
      </c>
    </row>
    <row r="210" ht="14.25" customHeight="1">
      <c r="C210" s="71" t="s">
        <v>9257</v>
      </c>
      <c r="D210" s="71" t="s">
        <v>9256</v>
      </c>
    </row>
    <row r="211" ht="14.25" customHeight="1">
      <c r="C211" s="71" t="s">
        <v>10170</v>
      </c>
      <c r="D211" s="71" t="s">
        <v>11501</v>
      </c>
    </row>
    <row r="212" ht="14.25" customHeight="1">
      <c r="C212" s="71" t="s">
        <v>11502</v>
      </c>
      <c r="D212" s="71" t="s">
        <v>9258</v>
      </c>
    </row>
    <row r="213" ht="14.25" customHeight="1">
      <c r="C213" s="71" t="s">
        <v>88</v>
      </c>
      <c r="D213" s="71" t="s">
        <v>8978</v>
      </c>
    </row>
    <row r="214" ht="14.25" customHeight="1">
      <c r="C214" s="71" t="s">
        <v>2669</v>
      </c>
      <c r="D214" s="71" t="s">
        <v>8978</v>
      </c>
    </row>
    <row r="215" ht="14.25" customHeight="1">
      <c r="C215" s="71" t="s">
        <v>9361</v>
      </c>
      <c r="D215" s="71" t="s">
        <v>11503</v>
      </c>
    </row>
    <row r="216" ht="14.25" customHeight="1">
      <c r="C216" s="71" t="s">
        <v>11504</v>
      </c>
      <c r="D216" s="71" t="s">
        <v>11505</v>
      </c>
    </row>
    <row r="217" ht="14.25" customHeight="1">
      <c r="C217" s="71" t="s">
        <v>11506</v>
      </c>
      <c r="D217" s="71" t="s">
        <v>8978</v>
      </c>
    </row>
    <row r="218" ht="14.25" customHeight="1">
      <c r="C218" s="71" t="s">
        <v>916</v>
      </c>
      <c r="D218" s="71" t="s">
        <v>11507</v>
      </c>
    </row>
    <row r="219" ht="14.25" customHeight="1">
      <c r="D219" s="71" t="s">
        <v>8978</v>
      </c>
    </row>
    <row r="220" ht="14.25" customHeight="1">
      <c r="C220" s="71" t="s">
        <v>11508</v>
      </c>
      <c r="D220" s="71" t="s">
        <v>9034</v>
      </c>
    </row>
    <row r="221" ht="14.25" customHeight="1">
      <c r="C221" s="71" t="s">
        <v>11509</v>
      </c>
      <c r="D221" s="71" t="s">
        <v>9345</v>
      </c>
    </row>
    <row r="222" ht="14.25" customHeight="1">
      <c r="C222" s="71" t="s">
        <v>11510</v>
      </c>
      <c r="D222" s="71" t="s">
        <v>9034</v>
      </c>
    </row>
    <row r="223" ht="14.25" customHeight="1">
      <c r="C223" s="71" t="s">
        <v>307</v>
      </c>
      <c r="D223" s="71" t="s">
        <v>11511</v>
      </c>
    </row>
    <row r="224" ht="14.25" customHeight="1">
      <c r="D224" s="71" t="s">
        <v>9273</v>
      </c>
    </row>
    <row r="225" ht="14.25" customHeight="1">
      <c r="D225" s="71" t="s">
        <v>8978</v>
      </c>
    </row>
    <row r="226" ht="14.25" customHeight="1">
      <c r="C226" s="71" t="s">
        <v>10818</v>
      </c>
      <c r="D226" s="71" t="s">
        <v>8978</v>
      </c>
    </row>
    <row r="227" ht="14.25" customHeight="1">
      <c r="D227" s="71" t="s">
        <v>11512</v>
      </c>
    </row>
    <row r="228" ht="14.25" customHeight="1">
      <c r="C228" s="71" t="s">
        <v>11513</v>
      </c>
      <c r="D228" s="71" t="s">
        <v>11514</v>
      </c>
    </row>
    <row r="229" ht="14.25" customHeight="1">
      <c r="C229" s="71" t="s">
        <v>11515</v>
      </c>
      <c r="D229" s="71" t="s">
        <v>11516</v>
      </c>
    </row>
    <row r="230" ht="14.25" customHeight="1">
      <c r="C230" s="71" t="s">
        <v>9277</v>
      </c>
      <c r="D230" s="71" t="s">
        <v>8978</v>
      </c>
    </row>
    <row r="231" ht="14.25" customHeight="1">
      <c r="C231" s="71" t="s">
        <v>202</v>
      </c>
      <c r="D231" s="71" t="s">
        <v>9258</v>
      </c>
    </row>
    <row r="232" ht="14.25" customHeight="1">
      <c r="C232" s="71" t="s">
        <v>218</v>
      </c>
      <c r="D232" s="71" t="s">
        <v>9258</v>
      </c>
    </row>
    <row r="233" ht="14.25" customHeight="1">
      <c r="C233" s="71" t="s">
        <v>10832</v>
      </c>
      <c r="D233" s="71" t="s">
        <v>8978</v>
      </c>
    </row>
    <row r="234" ht="14.25" customHeight="1">
      <c r="C234" s="71" t="s">
        <v>11517</v>
      </c>
      <c r="D234" s="71" t="s">
        <v>10202</v>
      </c>
    </row>
    <row r="235" ht="14.25" customHeight="1">
      <c r="C235" s="71" t="s">
        <v>11518</v>
      </c>
      <c r="D235" s="71" t="s">
        <v>11519</v>
      </c>
    </row>
    <row r="236" ht="14.25" customHeight="1">
      <c r="C236" s="71" t="s">
        <v>11520</v>
      </c>
      <c r="D236" s="71" t="s">
        <v>9276</v>
      </c>
    </row>
    <row r="237" ht="14.25" customHeight="1">
      <c r="C237" s="71" t="s">
        <v>11521</v>
      </c>
      <c r="D237" s="71" t="s">
        <v>11522</v>
      </c>
    </row>
    <row r="238" ht="14.25" customHeight="1">
      <c r="C238" s="71" t="s">
        <v>9408</v>
      </c>
      <c r="D238" s="71" t="s">
        <v>11523</v>
      </c>
    </row>
    <row r="239" ht="14.25" customHeight="1">
      <c r="C239" s="71" t="s">
        <v>262</v>
      </c>
      <c r="D239" s="71" t="s">
        <v>9034</v>
      </c>
    </row>
    <row r="240" ht="14.25" customHeight="1">
      <c r="D240" s="71" t="s">
        <v>11524</v>
      </c>
    </row>
    <row r="241" ht="14.25" customHeight="1">
      <c r="C241" s="71" t="s">
        <v>11525</v>
      </c>
      <c r="D241" s="71" t="s">
        <v>11526</v>
      </c>
    </row>
    <row r="242" ht="14.25" customHeight="1">
      <c r="C242" s="71" t="s">
        <v>11527</v>
      </c>
      <c r="D242" s="71" t="s">
        <v>11528</v>
      </c>
    </row>
    <row r="243" ht="14.25" customHeight="1">
      <c r="C243" s="71" t="s">
        <v>11529</v>
      </c>
      <c r="D243" s="71" t="s">
        <v>11530</v>
      </c>
    </row>
    <row r="244" ht="14.25" customHeight="1">
      <c r="C244" s="71" t="s">
        <v>11531</v>
      </c>
      <c r="D244" s="71" t="s">
        <v>8978</v>
      </c>
    </row>
    <row r="245" ht="14.25" customHeight="1">
      <c r="C245" s="71" t="s">
        <v>9295</v>
      </c>
      <c r="D245" s="71" t="s">
        <v>8978</v>
      </c>
    </row>
    <row r="246" ht="14.25" customHeight="1">
      <c r="C246" s="71" t="s">
        <v>9787</v>
      </c>
      <c r="D246" s="71" t="s">
        <v>8978</v>
      </c>
    </row>
    <row r="247" ht="14.25" customHeight="1">
      <c r="B247" s="71" t="s">
        <v>41</v>
      </c>
      <c r="C247" s="71" t="s">
        <v>11532</v>
      </c>
      <c r="D247" s="71" t="s">
        <v>8978</v>
      </c>
    </row>
    <row r="248" ht="14.25" customHeight="1">
      <c r="C248" s="71" t="s">
        <v>8969</v>
      </c>
      <c r="D248" s="71" t="s">
        <v>9380</v>
      </c>
    </row>
    <row r="249" ht="14.25" customHeight="1">
      <c r="D249" s="71" t="s">
        <v>8978</v>
      </c>
    </row>
    <row r="250" ht="14.25" customHeight="1">
      <c r="C250" s="71" t="s">
        <v>9313</v>
      </c>
      <c r="D250" s="71" t="s">
        <v>9034</v>
      </c>
    </row>
    <row r="251" ht="14.25" customHeight="1">
      <c r="C251" s="71" t="s">
        <v>2669</v>
      </c>
      <c r="D251" s="71" t="s">
        <v>9383</v>
      </c>
    </row>
    <row r="252" ht="14.25" customHeight="1">
      <c r="C252" s="71" t="s">
        <v>11533</v>
      </c>
      <c r="D252" s="71" t="s">
        <v>9034</v>
      </c>
    </row>
    <row r="253" ht="14.25" customHeight="1">
      <c r="C253" s="71" t="s">
        <v>6405</v>
      </c>
      <c r="D253" s="71" t="s">
        <v>8978</v>
      </c>
    </row>
    <row r="254" ht="14.25" customHeight="1">
      <c r="C254" s="71" t="s">
        <v>11534</v>
      </c>
      <c r="D254" s="71" t="s">
        <v>11535</v>
      </c>
    </row>
    <row r="255" ht="14.25" customHeight="1">
      <c r="C255" s="71" t="s">
        <v>10745</v>
      </c>
      <c r="D255" s="71" t="s">
        <v>9034</v>
      </c>
    </row>
    <row r="256" ht="14.25" customHeight="1">
      <c r="C256" s="71" t="s">
        <v>11536</v>
      </c>
      <c r="D256" s="71" t="s">
        <v>9034</v>
      </c>
    </row>
    <row r="257" ht="14.25" customHeight="1">
      <c r="C257" s="71" t="s">
        <v>11537</v>
      </c>
      <c r="D257" s="71" t="s">
        <v>11538</v>
      </c>
    </row>
    <row r="258" ht="14.25" customHeight="1">
      <c r="C258" s="71" t="s">
        <v>10818</v>
      </c>
      <c r="D258" s="71" t="s">
        <v>8978</v>
      </c>
    </row>
    <row r="259" ht="14.25" customHeight="1">
      <c r="C259" s="71" t="s">
        <v>11539</v>
      </c>
      <c r="D259" s="71" t="s">
        <v>9319</v>
      </c>
    </row>
    <row r="260" ht="14.25" customHeight="1">
      <c r="C260" s="71" t="s">
        <v>210</v>
      </c>
      <c r="D260" s="71" t="s">
        <v>9440</v>
      </c>
    </row>
    <row r="261" ht="14.25" customHeight="1">
      <c r="C261" s="71" t="s">
        <v>11540</v>
      </c>
      <c r="D261" s="71" t="s">
        <v>9034</v>
      </c>
    </row>
    <row r="262" ht="14.25" customHeight="1">
      <c r="C262" s="71" t="s">
        <v>10640</v>
      </c>
      <c r="D262" s="71" t="s">
        <v>9348</v>
      </c>
    </row>
    <row r="263" ht="14.25" customHeight="1">
      <c r="B263" s="71" t="s">
        <v>13</v>
      </c>
      <c r="C263" s="71" t="s">
        <v>11541</v>
      </c>
      <c r="D263" s="71" t="s">
        <v>9174</v>
      </c>
    </row>
    <row r="264" ht="14.25" customHeight="1">
      <c r="C264" s="71" t="s">
        <v>11542</v>
      </c>
      <c r="D264" s="71" t="s">
        <v>9174</v>
      </c>
    </row>
    <row r="265" ht="14.25" customHeight="1">
      <c r="C265" s="71" t="s">
        <v>11543</v>
      </c>
      <c r="D265" s="71" t="s">
        <v>11544</v>
      </c>
    </row>
    <row r="266" ht="14.25" customHeight="1">
      <c r="A266" s="71" t="s">
        <v>9443</v>
      </c>
      <c r="B266" s="71" t="s">
        <v>40</v>
      </c>
      <c r="C266" s="71" t="s">
        <v>9374</v>
      </c>
      <c r="D266" s="71" t="s">
        <v>8978</v>
      </c>
    </row>
    <row r="267" ht="14.25" customHeight="1">
      <c r="C267" s="71" t="s">
        <v>10818</v>
      </c>
      <c r="D267" s="71" t="s">
        <v>8978</v>
      </c>
    </row>
    <row r="268" ht="14.25" customHeight="1">
      <c r="C268" s="71" t="s">
        <v>11545</v>
      </c>
      <c r="D268" s="71" t="s">
        <v>8978</v>
      </c>
    </row>
    <row r="269" ht="14.25" customHeight="1">
      <c r="A269" s="71" t="s">
        <v>9454</v>
      </c>
      <c r="B269" s="71" t="s">
        <v>41</v>
      </c>
      <c r="C269" s="71" t="s">
        <v>9323</v>
      </c>
      <c r="D269" s="71" t="s">
        <v>8978</v>
      </c>
    </row>
    <row r="270" ht="14.25" customHeight="1">
      <c r="C270" s="71" t="s">
        <v>11546</v>
      </c>
      <c r="D270" s="71" t="s">
        <v>9258</v>
      </c>
    </row>
    <row r="271" ht="14.25" customHeight="1">
      <c r="C271" s="71" t="s">
        <v>307</v>
      </c>
      <c r="D271" s="71" t="s">
        <v>8978</v>
      </c>
    </row>
    <row r="272" ht="14.25" customHeight="1">
      <c r="A272" s="71" t="s">
        <v>9457</v>
      </c>
      <c r="B272" s="71" t="s">
        <v>40</v>
      </c>
      <c r="C272" s="71" t="s">
        <v>9034</v>
      </c>
      <c r="D272" s="71" t="s">
        <v>10224</v>
      </c>
    </row>
    <row r="273" ht="14.25" customHeight="1">
      <c r="D273" s="71" t="s">
        <v>11547</v>
      </c>
    </row>
    <row r="274" ht="14.25" customHeight="1">
      <c r="C274" s="71" t="s">
        <v>8969</v>
      </c>
      <c r="D274" s="71" t="s">
        <v>9256</v>
      </c>
    </row>
    <row r="275" ht="14.25" customHeight="1">
      <c r="C275" s="71" t="s">
        <v>9810</v>
      </c>
      <c r="D275" s="71" t="s">
        <v>9265</v>
      </c>
    </row>
    <row r="276" ht="14.25" customHeight="1">
      <c r="C276" s="71" t="s">
        <v>10878</v>
      </c>
      <c r="D276" s="71" t="s">
        <v>9151</v>
      </c>
    </row>
    <row r="277" ht="14.25" customHeight="1">
      <c r="C277" s="71" t="s">
        <v>11548</v>
      </c>
      <c r="D277" s="71" t="s">
        <v>11549</v>
      </c>
    </row>
    <row r="278" ht="14.25" customHeight="1">
      <c r="C278" s="71" t="s">
        <v>89</v>
      </c>
      <c r="D278" s="71" t="s">
        <v>10883</v>
      </c>
    </row>
    <row r="279" ht="14.25" customHeight="1">
      <c r="D279" s="71" t="s">
        <v>9508</v>
      </c>
    </row>
    <row r="280" ht="14.25" customHeight="1">
      <c r="C280" s="71" t="s">
        <v>11550</v>
      </c>
      <c r="D280" s="71" t="s">
        <v>9265</v>
      </c>
    </row>
    <row r="281" ht="14.25" customHeight="1">
      <c r="C281" s="71" t="s">
        <v>11551</v>
      </c>
      <c r="D281" s="71" t="s">
        <v>9258</v>
      </c>
    </row>
    <row r="282" ht="14.25" customHeight="1">
      <c r="C282" s="71" t="s">
        <v>294</v>
      </c>
      <c r="D282" s="71" t="s">
        <v>9109</v>
      </c>
    </row>
    <row r="283" ht="14.25" customHeight="1">
      <c r="C283" s="71" t="s">
        <v>10885</v>
      </c>
      <c r="D283" s="71" t="s">
        <v>9043</v>
      </c>
    </row>
    <row r="284" ht="14.25" customHeight="1">
      <c r="C284" s="71" t="s">
        <v>106</v>
      </c>
      <c r="D284" s="71" t="s">
        <v>9649</v>
      </c>
    </row>
    <row r="285" ht="14.25" customHeight="1">
      <c r="C285" s="71" t="s">
        <v>916</v>
      </c>
      <c r="D285" s="71" t="s">
        <v>11552</v>
      </c>
    </row>
    <row r="286" ht="14.25" customHeight="1">
      <c r="C286" s="71" t="s">
        <v>9121</v>
      </c>
      <c r="D286" s="71" t="s">
        <v>9827</v>
      </c>
    </row>
    <row r="287" ht="14.25" customHeight="1">
      <c r="C287" s="71" t="s">
        <v>11553</v>
      </c>
      <c r="D287" s="71" t="s">
        <v>9755</v>
      </c>
    </row>
    <row r="288" ht="14.25" customHeight="1">
      <c r="C288" s="71" t="s">
        <v>2908</v>
      </c>
      <c r="D288" s="71" t="s">
        <v>10224</v>
      </c>
    </row>
    <row r="289" ht="14.25" customHeight="1">
      <c r="C289" s="71" t="s">
        <v>114</v>
      </c>
      <c r="D289" s="71" t="s">
        <v>9034</v>
      </c>
    </row>
    <row r="290" ht="14.25" customHeight="1">
      <c r="C290" s="71" t="s">
        <v>126</v>
      </c>
      <c r="D290" s="71" t="s">
        <v>9265</v>
      </c>
    </row>
    <row r="291" ht="14.25" customHeight="1">
      <c r="C291" s="71" t="s">
        <v>10893</v>
      </c>
      <c r="D291" s="71" t="s">
        <v>10080</v>
      </c>
    </row>
    <row r="292" ht="14.25" customHeight="1">
      <c r="C292" s="71" t="s">
        <v>3114</v>
      </c>
      <c r="D292" s="71" t="s">
        <v>9265</v>
      </c>
    </row>
    <row r="293" ht="14.25" customHeight="1">
      <c r="C293" s="71" t="s">
        <v>3138</v>
      </c>
      <c r="D293" s="71" t="s">
        <v>11554</v>
      </c>
    </row>
    <row r="294" ht="14.25" customHeight="1">
      <c r="C294" s="71" t="s">
        <v>3254</v>
      </c>
      <c r="D294" s="71" t="s">
        <v>9265</v>
      </c>
    </row>
    <row r="295" ht="14.25" customHeight="1">
      <c r="C295" s="71" t="s">
        <v>3313</v>
      </c>
      <c r="D295" s="71" t="s">
        <v>11555</v>
      </c>
    </row>
    <row r="296" ht="14.25" customHeight="1">
      <c r="C296" s="71" t="s">
        <v>6460</v>
      </c>
      <c r="D296" s="71" t="s">
        <v>9265</v>
      </c>
    </row>
    <row r="297" ht="14.25" customHeight="1">
      <c r="C297" s="71" t="s">
        <v>157</v>
      </c>
      <c r="D297" s="71" t="s">
        <v>11556</v>
      </c>
    </row>
    <row r="298" ht="14.25" customHeight="1">
      <c r="C298" s="71" t="s">
        <v>310</v>
      </c>
      <c r="D298" s="71" t="s">
        <v>11557</v>
      </c>
    </row>
    <row r="299" ht="14.25" customHeight="1">
      <c r="D299" s="71" t="s">
        <v>11558</v>
      </c>
    </row>
    <row r="300" ht="14.25" customHeight="1">
      <c r="C300" s="71" t="s">
        <v>163</v>
      </c>
      <c r="D300" s="71" t="s">
        <v>9043</v>
      </c>
    </row>
    <row r="301" ht="14.25" customHeight="1">
      <c r="C301" s="71" t="s">
        <v>166</v>
      </c>
      <c r="D301" s="71" t="s">
        <v>10224</v>
      </c>
    </row>
    <row r="302" ht="14.25" customHeight="1">
      <c r="C302" s="71" t="s">
        <v>11559</v>
      </c>
      <c r="D302" s="71" t="s">
        <v>9265</v>
      </c>
    </row>
    <row r="303" ht="14.25" customHeight="1">
      <c r="C303" s="71" t="s">
        <v>3517</v>
      </c>
      <c r="D303" s="71" t="s">
        <v>8978</v>
      </c>
    </row>
    <row r="304" ht="14.25" customHeight="1">
      <c r="C304" s="71" t="s">
        <v>3566</v>
      </c>
      <c r="D304" s="71" t="s">
        <v>9034</v>
      </c>
    </row>
    <row r="305" ht="14.25" customHeight="1">
      <c r="D305" s="71" t="s">
        <v>11397</v>
      </c>
    </row>
    <row r="306" ht="14.25" customHeight="1">
      <c r="D306" s="71" t="s">
        <v>9534</v>
      </c>
    </row>
    <row r="307" ht="14.25" customHeight="1">
      <c r="C307" s="71" t="s">
        <v>3596</v>
      </c>
      <c r="D307" s="71" t="s">
        <v>11560</v>
      </c>
    </row>
    <row r="308" ht="14.25" customHeight="1">
      <c r="C308" s="71" t="s">
        <v>11561</v>
      </c>
      <c r="D308" s="71" t="s">
        <v>9532</v>
      </c>
    </row>
    <row r="309" ht="14.25" customHeight="1">
      <c r="C309" s="71" t="s">
        <v>11562</v>
      </c>
      <c r="D309" s="71" t="s">
        <v>9055</v>
      </c>
    </row>
    <row r="310" ht="14.25" customHeight="1">
      <c r="C310" s="71" t="s">
        <v>11421</v>
      </c>
      <c r="D310" s="71" t="s">
        <v>9034</v>
      </c>
    </row>
    <row r="311" ht="14.25" customHeight="1">
      <c r="C311" s="71" t="s">
        <v>215</v>
      </c>
      <c r="D311" s="71" t="s">
        <v>9962</v>
      </c>
    </row>
    <row r="312" ht="14.25" customHeight="1">
      <c r="D312" s="71" t="s">
        <v>9857</v>
      </c>
    </row>
    <row r="313" ht="14.25" customHeight="1">
      <c r="C313" s="71" t="s">
        <v>6901</v>
      </c>
      <c r="D313" s="71" t="s">
        <v>10124</v>
      </c>
    </row>
    <row r="314" ht="14.25" customHeight="1">
      <c r="C314" s="71" t="s">
        <v>225</v>
      </c>
      <c r="D314" s="71" t="s">
        <v>9131</v>
      </c>
    </row>
    <row r="315" ht="14.25" customHeight="1">
      <c r="D315" s="71" t="s">
        <v>9043</v>
      </c>
    </row>
    <row r="316" ht="14.25" customHeight="1">
      <c r="C316" s="71" t="s">
        <v>8576</v>
      </c>
      <c r="D316" s="71" t="s">
        <v>10224</v>
      </c>
    </row>
    <row r="317" ht="14.25" customHeight="1">
      <c r="D317" s="71" t="s">
        <v>11563</v>
      </c>
    </row>
    <row r="318" ht="14.25" customHeight="1">
      <c r="C318" s="71" t="s">
        <v>11564</v>
      </c>
      <c r="D318" s="71" t="s">
        <v>11565</v>
      </c>
    </row>
    <row r="319" ht="14.25" customHeight="1">
      <c r="C319" s="71" t="s">
        <v>10592</v>
      </c>
      <c r="D319" s="71" t="s">
        <v>11566</v>
      </c>
    </row>
    <row r="320" ht="14.25" customHeight="1">
      <c r="C320" s="71" t="s">
        <v>9691</v>
      </c>
      <c r="D320" s="71" t="s">
        <v>9755</v>
      </c>
    </row>
    <row r="321" ht="14.25" customHeight="1">
      <c r="C321" s="71" t="s">
        <v>1906</v>
      </c>
      <c r="D321" s="71" t="s">
        <v>9151</v>
      </c>
    </row>
    <row r="322" ht="14.25" customHeight="1">
      <c r="C322" s="71" t="s">
        <v>241</v>
      </c>
      <c r="D322" s="71" t="s">
        <v>9265</v>
      </c>
    </row>
    <row r="323" ht="14.25" customHeight="1">
      <c r="C323" s="71" t="s">
        <v>244</v>
      </c>
      <c r="D323" s="71" t="s">
        <v>11567</v>
      </c>
    </row>
    <row r="324" ht="14.25" customHeight="1">
      <c r="C324" s="71" t="s">
        <v>262</v>
      </c>
      <c r="D324" s="71" t="s">
        <v>9291</v>
      </c>
    </row>
    <row r="325" ht="14.25" customHeight="1">
      <c r="D325" s="71" t="s">
        <v>11568</v>
      </c>
    </row>
    <row r="326" ht="14.25" customHeight="1">
      <c r="D326" s="71" t="s">
        <v>11569</v>
      </c>
    </row>
    <row r="327" ht="14.25" customHeight="1">
      <c r="D327" s="71" t="s">
        <v>11397</v>
      </c>
    </row>
    <row r="328" ht="14.25" customHeight="1">
      <c r="D328" s="71" t="s">
        <v>9649</v>
      </c>
    </row>
    <row r="329" ht="14.25" customHeight="1">
      <c r="D329" s="71" t="s">
        <v>9118</v>
      </c>
    </row>
    <row r="330" ht="14.25" customHeight="1">
      <c r="C330" s="71" t="s">
        <v>11570</v>
      </c>
      <c r="D330" s="71" t="s">
        <v>9109</v>
      </c>
    </row>
    <row r="331" ht="14.25" customHeight="1">
      <c r="C331" s="71" t="s">
        <v>11571</v>
      </c>
      <c r="D331" s="71" t="s">
        <v>11572</v>
      </c>
    </row>
    <row r="332" ht="14.25" customHeight="1">
      <c r="C332" s="71" t="s">
        <v>324</v>
      </c>
      <c r="D332" s="71" t="s">
        <v>9508</v>
      </c>
    </row>
    <row r="333" ht="14.25" customHeight="1">
      <c r="C333" s="71" t="s">
        <v>7335</v>
      </c>
      <c r="D333" s="71" t="s">
        <v>9265</v>
      </c>
    </row>
    <row r="334" ht="14.25" customHeight="1">
      <c r="B334" s="71" t="s">
        <v>41</v>
      </c>
      <c r="C334" s="71" t="s">
        <v>9313</v>
      </c>
      <c r="D334" s="71" t="s">
        <v>9131</v>
      </c>
    </row>
    <row r="335" ht="14.25" customHeight="1">
      <c r="D335" s="71" t="s">
        <v>8978</v>
      </c>
    </row>
    <row r="336" ht="14.25" customHeight="1">
      <c r="C336" s="71" t="s">
        <v>114</v>
      </c>
      <c r="D336" s="71" t="s">
        <v>11444</v>
      </c>
    </row>
    <row r="337" ht="14.25" customHeight="1">
      <c r="C337" s="71" t="s">
        <v>233</v>
      </c>
      <c r="D337" s="71" t="s">
        <v>11573</v>
      </c>
    </row>
    <row r="338" ht="14.25" customHeight="1">
      <c r="C338" s="71" t="s">
        <v>9160</v>
      </c>
      <c r="D338" s="71" t="s">
        <v>9545</v>
      </c>
    </row>
    <row r="339" ht="14.25" customHeight="1">
      <c r="C339" s="71" t="s">
        <v>262</v>
      </c>
      <c r="D339" s="71" t="s">
        <v>9545</v>
      </c>
    </row>
    <row r="340" ht="14.25" customHeight="1">
      <c r="B340" s="71" t="s">
        <v>13</v>
      </c>
      <c r="C340" s="71" t="s">
        <v>11574</v>
      </c>
      <c r="D340" s="71" t="s">
        <v>10788</v>
      </c>
    </row>
    <row r="341" ht="14.25" customHeight="1">
      <c r="C341" s="71" t="s">
        <v>11575</v>
      </c>
      <c r="D341" s="71" t="s">
        <v>11576</v>
      </c>
    </row>
    <row r="342" ht="14.25" customHeight="1">
      <c r="C342" s="71" t="s">
        <v>9329</v>
      </c>
      <c r="D342" s="71" t="s">
        <v>11577</v>
      </c>
    </row>
    <row r="343" ht="14.25" customHeight="1">
      <c r="C343" s="71" t="s">
        <v>11497</v>
      </c>
      <c r="D343" s="71" t="s">
        <v>9131</v>
      </c>
    </row>
    <row r="344" ht="14.25" customHeight="1">
      <c r="C344" s="71" t="s">
        <v>11578</v>
      </c>
      <c r="D344" s="71" t="s">
        <v>11579</v>
      </c>
    </row>
    <row r="345" ht="14.25" customHeight="1">
      <c r="C345" s="71" t="s">
        <v>11580</v>
      </c>
      <c r="D345" s="71" t="s">
        <v>9095</v>
      </c>
    </row>
    <row r="346" ht="14.25" customHeight="1">
      <c r="A346" s="71" t="s">
        <v>9551</v>
      </c>
      <c r="B346" s="71" t="s">
        <v>40</v>
      </c>
      <c r="C346" s="71" t="s">
        <v>11581</v>
      </c>
      <c r="D346" s="71" t="s">
        <v>11582</v>
      </c>
    </row>
    <row r="347" ht="14.25" customHeight="1">
      <c r="C347" s="71" t="s">
        <v>9323</v>
      </c>
      <c r="D347" s="71" t="s">
        <v>9352</v>
      </c>
    </row>
    <row r="348" ht="14.25" customHeight="1">
      <c r="C348" s="71" t="s">
        <v>11583</v>
      </c>
      <c r="D348" s="71" t="s">
        <v>9269</v>
      </c>
    </row>
    <row r="349" ht="14.25" customHeight="1">
      <c r="C349" s="71" t="s">
        <v>11584</v>
      </c>
      <c r="D349" s="71" t="s">
        <v>9532</v>
      </c>
    </row>
    <row r="350" ht="14.25" customHeight="1">
      <c r="C350" s="71" t="s">
        <v>916</v>
      </c>
      <c r="D350" s="71" t="s">
        <v>9369</v>
      </c>
    </row>
    <row r="351" ht="14.25" customHeight="1">
      <c r="D351" s="71" t="s">
        <v>9867</v>
      </c>
    </row>
    <row r="352" ht="14.25" customHeight="1">
      <c r="C352" s="71" t="s">
        <v>3313</v>
      </c>
      <c r="D352" s="71" t="s">
        <v>11585</v>
      </c>
    </row>
    <row r="353" ht="14.25" customHeight="1">
      <c r="C353" s="71" t="s">
        <v>11586</v>
      </c>
      <c r="D353" s="71" t="s">
        <v>11568</v>
      </c>
    </row>
    <row r="354" ht="14.25" customHeight="1">
      <c r="C354" s="71" t="s">
        <v>10818</v>
      </c>
      <c r="D354" s="71" t="s">
        <v>8978</v>
      </c>
    </row>
    <row r="355" ht="14.25" customHeight="1">
      <c r="C355" s="71" t="s">
        <v>3728</v>
      </c>
      <c r="D355" s="71" t="s">
        <v>11587</v>
      </c>
    </row>
    <row r="356" ht="14.25" customHeight="1">
      <c r="C356" s="71" t="s">
        <v>11588</v>
      </c>
      <c r="D356" s="71" t="s">
        <v>9002</v>
      </c>
    </row>
    <row r="357" ht="14.25" customHeight="1">
      <c r="C357" s="71" t="s">
        <v>215</v>
      </c>
      <c r="D357" s="71" t="s">
        <v>11589</v>
      </c>
    </row>
    <row r="358" ht="14.25" customHeight="1">
      <c r="D358" s="71" t="s">
        <v>11590</v>
      </c>
    </row>
    <row r="359" ht="14.25" customHeight="1">
      <c r="C359" s="71" t="s">
        <v>220</v>
      </c>
      <c r="D359" s="71" t="s">
        <v>10430</v>
      </c>
    </row>
    <row r="360" ht="14.25" customHeight="1">
      <c r="C360" s="71" t="s">
        <v>11591</v>
      </c>
      <c r="D360" s="71" t="s">
        <v>11592</v>
      </c>
    </row>
    <row r="361" ht="14.25" customHeight="1">
      <c r="C361" s="71" t="s">
        <v>1906</v>
      </c>
      <c r="D361" s="71" t="s">
        <v>11593</v>
      </c>
    </row>
    <row r="362" ht="14.25" customHeight="1">
      <c r="D362" s="71" t="s">
        <v>11590</v>
      </c>
    </row>
    <row r="363" ht="14.25" customHeight="1">
      <c r="C363" s="71" t="s">
        <v>8771</v>
      </c>
      <c r="D363" s="71" t="s">
        <v>11490</v>
      </c>
    </row>
    <row r="364" ht="14.25" customHeight="1">
      <c r="C364" s="71" t="s">
        <v>262</v>
      </c>
      <c r="D364" s="71" t="s">
        <v>9525</v>
      </c>
    </row>
    <row r="365" ht="14.25" customHeight="1">
      <c r="D365" s="71" t="s">
        <v>9086</v>
      </c>
    </row>
    <row r="366" ht="14.25" customHeight="1">
      <c r="C366" s="71" t="s">
        <v>11594</v>
      </c>
      <c r="D366" s="71" t="s">
        <v>9352</v>
      </c>
    </row>
    <row r="367" ht="14.25" customHeight="1">
      <c r="C367" s="71" t="s">
        <v>11595</v>
      </c>
      <c r="D367" s="71" t="s">
        <v>11596</v>
      </c>
    </row>
    <row r="368" ht="14.25" customHeight="1">
      <c r="A368" s="71" t="s">
        <v>579</v>
      </c>
      <c r="B368" s="71" t="s">
        <v>41</v>
      </c>
      <c r="C368" s="71" t="s">
        <v>763</v>
      </c>
      <c r="D368" s="71" t="s">
        <v>11059</v>
      </c>
    </row>
    <row r="369" ht="14.25" customHeight="1">
      <c r="C369" s="71" t="s">
        <v>11597</v>
      </c>
      <c r="D369" s="71" t="s">
        <v>11598</v>
      </c>
    </row>
    <row r="370" ht="14.25" customHeight="1">
      <c r="C370" s="71" t="s">
        <v>4109</v>
      </c>
      <c r="D370" s="71" t="s">
        <v>9486</v>
      </c>
    </row>
    <row r="371" ht="14.25" customHeight="1">
      <c r="C371" s="71" t="s">
        <v>10640</v>
      </c>
      <c r="D371" s="71" t="s">
        <v>8968</v>
      </c>
    </row>
    <row r="372" ht="14.25" customHeight="1">
      <c r="C372" s="71" t="s">
        <v>11599</v>
      </c>
      <c r="D372" s="71" t="s">
        <v>11600</v>
      </c>
    </row>
    <row r="373" ht="14.25" customHeight="1">
      <c r="A373" s="71" t="s">
        <v>361</v>
      </c>
      <c r="B373" s="71" t="s">
        <v>41</v>
      </c>
      <c r="C373" s="71" t="s">
        <v>11601</v>
      </c>
      <c r="D373" s="71" t="s">
        <v>11602</v>
      </c>
    </row>
    <row r="374" ht="14.25" customHeight="1">
      <c r="A374" s="71" t="s">
        <v>9570</v>
      </c>
      <c r="B374" s="71" t="s">
        <v>41</v>
      </c>
      <c r="C374" s="71" t="s">
        <v>9034</v>
      </c>
      <c r="D374" s="71" t="s">
        <v>11603</v>
      </c>
    </row>
    <row r="375" ht="14.25" customHeight="1">
      <c r="C375" s="71" t="s">
        <v>11604</v>
      </c>
      <c r="D375" s="71" t="s">
        <v>11605</v>
      </c>
    </row>
    <row r="376" ht="14.25" customHeight="1">
      <c r="C376" s="71" t="s">
        <v>9329</v>
      </c>
      <c r="D376" s="71" t="s">
        <v>11606</v>
      </c>
    </row>
    <row r="377" ht="14.25" customHeight="1">
      <c r="C377" s="71" t="s">
        <v>3566</v>
      </c>
      <c r="D377" s="71" t="s">
        <v>8976</v>
      </c>
    </row>
    <row r="378" ht="14.25" customHeight="1">
      <c r="C378" s="71" t="s">
        <v>11607</v>
      </c>
      <c r="D378" s="71" t="s">
        <v>11608</v>
      </c>
    </row>
    <row r="379" ht="14.25" customHeight="1">
      <c r="C379" s="71" t="s">
        <v>9277</v>
      </c>
      <c r="D379" s="71" t="s">
        <v>9583</v>
      </c>
    </row>
    <row r="380" ht="14.25" customHeight="1">
      <c r="C380" s="71" t="s">
        <v>11609</v>
      </c>
      <c r="D380" s="71" t="s">
        <v>11610</v>
      </c>
    </row>
    <row r="381" ht="14.25" customHeight="1">
      <c r="C381" s="71" t="s">
        <v>8576</v>
      </c>
      <c r="D381" s="71" t="s">
        <v>11611</v>
      </c>
    </row>
    <row r="382" ht="14.25" customHeight="1">
      <c r="A382" s="71" t="s">
        <v>9580</v>
      </c>
      <c r="B382" s="71" t="s">
        <v>41</v>
      </c>
      <c r="C382" s="71" t="s">
        <v>11612</v>
      </c>
      <c r="D382" s="71" t="s">
        <v>11613</v>
      </c>
    </row>
    <row r="383" ht="14.25" customHeight="1">
      <c r="C383" s="71" t="s">
        <v>9434</v>
      </c>
      <c r="D383" s="71" t="s">
        <v>9583</v>
      </c>
    </row>
    <row r="384" ht="14.25" customHeight="1">
      <c r="C384" s="71" t="s">
        <v>262</v>
      </c>
      <c r="D384" s="71" t="s">
        <v>11614</v>
      </c>
    </row>
    <row r="385" ht="14.25" customHeight="1">
      <c r="A385" s="71" t="s">
        <v>9585</v>
      </c>
      <c r="B385" s="71" t="s">
        <v>40</v>
      </c>
      <c r="C385" s="71" t="s">
        <v>1196</v>
      </c>
      <c r="D385" s="71" t="s">
        <v>9026</v>
      </c>
    </row>
    <row r="386" ht="14.25" customHeight="1">
      <c r="C386" s="71" t="s">
        <v>11615</v>
      </c>
      <c r="D386" s="71" t="s">
        <v>9587</v>
      </c>
    </row>
    <row r="387" ht="14.25" customHeight="1">
      <c r="C387" s="71" t="s">
        <v>11616</v>
      </c>
      <c r="D387" s="71" t="s">
        <v>9274</v>
      </c>
    </row>
    <row r="388" ht="14.25" customHeight="1">
      <c r="A388" s="71" t="s">
        <v>9596</v>
      </c>
      <c r="B388" s="71" t="s">
        <v>40</v>
      </c>
      <c r="C388" s="71" t="s">
        <v>9034</v>
      </c>
      <c r="D388" s="71" t="s">
        <v>9639</v>
      </c>
    </row>
    <row r="389" ht="14.25" customHeight="1">
      <c r="D389" s="71" t="s">
        <v>8978</v>
      </c>
    </row>
    <row r="390" ht="14.25" customHeight="1">
      <c r="D390" s="71" t="s">
        <v>11617</v>
      </c>
    </row>
    <row r="391" ht="14.25" customHeight="1">
      <c r="C391" s="71" t="s">
        <v>11618</v>
      </c>
      <c r="D391" s="71" t="s">
        <v>9614</v>
      </c>
    </row>
    <row r="392" ht="14.25" customHeight="1">
      <c r="C392" s="71" t="s">
        <v>8969</v>
      </c>
      <c r="D392" s="71" t="s">
        <v>10306</v>
      </c>
    </row>
    <row r="393" ht="14.25" customHeight="1">
      <c r="C393" s="71" t="s">
        <v>11619</v>
      </c>
      <c r="D393" s="71" t="s">
        <v>11620</v>
      </c>
    </row>
    <row r="394" ht="14.25" customHeight="1">
      <c r="C394" s="71" t="s">
        <v>9608</v>
      </c>
      <c r="D394" s="71" t="s">
        <v>9034</v>
      </c>
    </row>
    <row r="395" ht="14.25" customHeight="1">
      <c r="C395" s="71" t="s">
        <v>86</v>
      </c>
      <c r="D395" s="71" t="s">
        <v>11621</v>
      </c>
    </row>
    <row r="396" ht="14.25" customHeight="1">
      <c r="C396" s="71" t="s">
        <v>11622</v>
      </c>
      <c r="D396" s="71" t="s">
        <v>11623</v>
      </c>
    </row>
    <row r="397" ht="14.25" customHeight="1">
      <c r="C397" s="71" t="s">
        <v>11624</v>
      </c>
      <c r="D397" s="71" t="s">
        <v>11625</v>
      </c>
    </row>
    <row r="398" ht="14.25" customHeight="1">
      <c r="C398" s="71" t="s">
        <v>11626</v>
      </c>
      <c r="D398" s="71" t="s">
        <v>9616</v>
      </c>
    </row>
    <row r="399" ht="14.25" customHeight="1">
      <c r="C399" s="71" t="s">
        <v>294</v>
      </c>
      <c r="D399" s="71" t="s">
        <v>11127</v>
      </c>
    </row>
    <row r="400" ht="14.25" customHeight="1">
      <c r="C400" s="71" t="s">
        <v>11627</v>
      </c>
      <c r="D400" s="71" t="s">
        <v>11628</v>
      </c>
    </row>
    <row r="401" ht="14.25" customHeight="1">
      <c r="C401" s="71" t="s">
        <v>11629</v>
      </c>
      <c r="D401" s="71" t="s">
        <v>11630</v>
      </c>
    </row>
    <row r="402" ht="14.25" customHeight="1">
      <c r="C402" s="71" t="s">
        <v>9113</v>
      </c>
      <c r="D402" s="71" t="s">
        <v>9746</v>
      </c>
    </row>
    <row r="403" ht="14.25" customHeight="1">
      <c r="C403" s="71" t="s">
        <v>10958</v>
      </c>
      <c r="D403" s="71" t="s">
        <v>9645</v>
      </c>
    </row>
    <row r="404" ht="14.25" customHeight="1">
      <c r="C404" s="71" t="s">
        <v>11631</v>
      </c>
      <c r="D404" s="71" t="s">
        <v>11632</v>
      </c>
    </row>
    <row r="405" ht="14.25" customHeight="1">
      <c r="C405" s="71" t="s">
        <v>11633</v>
      </c>
      <c r="D405" s="71" t="s">
        <v>9216</v>
      </c>
    </row>
    <row r="406" ht="14.25" customHeight="1">
      <c r="C406" s="71" t="s">
        <v>11634</v>
      </c>
      <c r="D406" s="71" t="s">
        <v>11635</v>
      </c>
    </row>
    <row r="407" ht="14.25" customHeight="1">
      <c r="C407" s="71" t="s">
        <v>9635</v>
      </c>
      <c r="D407" s="71" t="s">
        <v>9636</v>
      </c>
    </row>
    <row r="408" ht="14.25" customHeight="1">
      <c r="C408" s="71" t="s">
        <v>11636</v>
      </c>
      <c r="D408" s="71" t="s">
        <v>10986</v>
      </c>
    </row>
    <row r="409" ht="14.25" customHeight="1">
      <c r="C409" s="71" t="s">
        <v>11637</v>
      </c>
      <c r="D409" s="71" t="s">
        <v>11638</v>
      </c>
    </row>
    <row r="410" ht="14.25" customHeight="1">
      <c r="C410" s="71" t="s">
        <v>11639</v>
      </c>
      <c r="D410" s="71" t="s">
        <v>1948</v>
      </c>
    </row>
    <row r="411" ht="14.25" customHeight="1">
      <c r="C411" s="71" t="s">
        <v>11640</v>
      </c>
      <c r="D411" s="71" t="s">
        <v>11641</v>
      </c>
    </row>
    <row r="412" ht="14.25" customHeight="1">
      <c r="C412" s="71" t="s">
        <v>11642</v>
      </c>
      <c r="D412" s="71" t="s">
        <v>9034</v>
      </c>
    </row>
    <row r="413" ht="14.25" customHeight="1">
      <c r="C413" s="71" t="s">
        <v>3295</v>
      </c>
      <c r="D413" s="71" t="s">
        <v>11643</v>
      </c>
    </row>
    <row r="414" ht="14.25" customHeight="1">
      <c r="C414" s="71" t="s">
        <v>11644</v>
      </c>
      <c r="D414" s="71" t="s">
        <v>11030</v>
      </c>
    </row>
    <row r="415" ht="14.25" customHeight="1">
      <c r="C415" s="71" t="s">
        <v>11645</v>
      </c>
      <c r="D415" s="71" t="s">
        <v>11646</v>
      </c>
    </row>
    <row r="416" ht="14.25" customHeight="1">
      <c r="C416" s="71" t="s">
        <v>11647</v>
      </c>
      <c r="D416" s="71" t="s">
        <v>11648</v>
      </c>
    </row>
    <row r="417" ht="14.25" customHeight="1">
      <c r="C417" s="71" t="s">
        <v>173</v>
      </c>
      <c r="D417" s="71" t="s">
        <v>9578</v>
      </c>
    </row>
    <row r="418" ht="14.25" customHeight="1">
      <c r="C418" s="71" t="s">
        <v>3566</v>
      </c>
      <c r="D418" s="71" t="s">
        <v>11649</v>
      </c>
    </row>
    <row r="419" ht="14.25" customHeight="1">
      <c r="D419" s="71" t="s">
        <v>10245</v>
      </c>
    </row>
    <row r="420" ht="14.25" customHeight="1">
      <c r="D420" s="71" t="s">
        <v>9216</v>
      </c>
    </row>
    <row r="421" ht="14.25" customHeight="1">
      <c r="D421" s="71" t="s">
        <v>9724</v>
      </c>
    </row>
    <row r="422" ht="14.25" customHeight="1">
      <c r="C422" s="71" t="s">
        <v>3596</v>
      </c>
      <c r="D422" s="71" t="s">
        <v>11650</v>
      </c>
    </row>
    <row r="423" ht="14.25" customHeight="1">
      <c r="C423" s="71" t="s">
        <v>10983</v>
      </c>
      <c r="D423" s="71" t="s">
        <v>11651</v>
      </c>
    </row>
    <row r="424" ht="14.25" customHeight="1">
      <c r="C424" s="71" t="s">
        <v>9676</v>
      </c>
      <c r="D424" s="71" t="s">
        <v>11652</v>
      </c>
    </row>
    <row r="425" ht="14.25" customHeight="1">
      <c r="D425" s="71" t="s">
        <v>11653</v>
      </c>
    </row>
    <row r="426" ht="14.25" customHeight="1">
      <c r="C426" s="71" t="s">
        <v>11654</v>
      </c>
      <c r="D426" s="71" t="s">
        <v>11655</v>
      </c>
    </row>
    <row r="427" ht="14.25" customHeight="1">
      <c r="C427" s="71" t="s">
        <v>11656</v>
      </c>
      <c r="D427" s="71" t="s">
        <v>11657</v>
      </c>
    </row>
    <row r="428" ht="14.25" customHeight="1">
      <c r="C428" s="71" t="s">
        <v>11658</v>
      </c>
      <c r="D428" s="71" t="s">
        <v>11630</v>
      </c>
    </row>
    <row r="429" ht="14.25" customHeight="1">
      <c r="C429" s="71" t="s">
        <v>220</v>
      </c>
      <c r="D429" s="71" t="s">
        <v>9620</v>
      </c>
    </row>
    <row r="430" ht="14.25" customHeight="1">
      <c r="C430" s="71" t="s">
        <v>11659</v>
      </c>
      <c r="D430" s="71" t="s">
        <v>11660</v>
      </c>
    </row>
    <row r="431" ht="14.25" customHeight="1">
      <c r="C431" s="71" t="s">
        <v>10995</v>
      </c>
      <c r="D431" s="71" t="s">
        <v>11661</v>
      </c>
    </row>
    <row r="432" ht="14.25" customHeight="1">
      <c r="C432" s="71" t="s">
        <v>11662</v>
      </c>
      <c r="D432" s="71" t="s">
        <v>9616</v>
      </c>
    </row>
    <row r="433" ht="14.25" customHeight="1">
      <c r="C433" s="71" t="s">
        <v>11663</v>
      </c>
      <c r="D433" s="71" t="s">
        <v>11664</v>
      </c>
    </row>
    <row r="434" ht="14.25" customHeight="1">
      <c r="C434" s="71" t="s">
        <v>232</v>
      </c>
      <c r="D434" s="71" t="s">
        <v>11665</v>
      </c>
    </row>
    <row r="435" ht="14.25" customHeight="1">
      <c r="C435" s="71" t="s">
        <v>11666</v>
      </c>
      <c r="D435" s="71" t="s">
        <v>11667</v>
      </c>
    </row>
    <row r="436" ht="14.25" customHeight="1">
      <c r="C436" s="71" t="s">
        <v>11668</v>
      </c>
      <c r="D436" s="71" t="s">
        <v>9602</v>
      </c>
    </row>
    <row r="437" ht="14.25" customHeight="1">
      <c r="C437" s="71" t="s">
        <v>10838</v>
      </c>
      <c r="D437" s="71" t="s">
        <v>9694</v>
      </c>
    </row>
    <row r="438" ht="14.25" customHeight="1">
      <c r="D438" s="71" t="s">
        <v>9643</v>
      </c>
    </row>
    <row r="439" ht="14.25" customHeight="1">
      <c r="C439" s="71" t="s">
        <v>11669</v>
      </c>
      <c r="D439" s="71" t="s">
        <v>11670</v>
      </c>
    </row>
    <row r="440" ht="14.25" customHeight="1">
      <c r="C440" s="71" t="s">
        <v>4109</v>
      </c>
      <c r="D440" s="71" t="s">
        <v>11671</v>
      </c>
    </row>
    <row r="441" ht="14.25" customHeight="1">
      <c r="D441" s="71" t="s">
        <v>9656</v>
      </c>
    </row>
    <row r="442" ht="14.25" customHeight="1">
      <c r="D442" s="71" t="s">
        <v>11672</v>
      </c>
    </row>
    <row r="443" ht="14.25" customHeight="1">
      <c r="C443" s="71" t="s">
        <v>9405</v>
      </c>
      <c r="D443" s="71" t="s">
        <v>11673</v>
      </c>
    </row>
    <row r="444" ht="14.25" customHeight="1">
      <c r="C444" s="71" t="s">
        <v>11000</v>
      </c>
      <c r="D444" s="71" t="s">
        <v>11674</v>
      </c>
    </row>
    <row r="445" ht="14.25" customHeight="1">
      <c r="D445" s="71" t="s">
        <v>9645</v>
      </c>
    </row>
    <row r="446" ht="14.25" customHeight="1">
      <c r="D446" s="71" t="s">
        <v>9639</v>
      </c>
    </row>
    <row r="447" ht="14.25" customHeight="1">
      <c r="C447" s="71" t="s">
        <v>11675</v>
      </c>
      <c r="D447" s="71" t="s">
        <v>9656</v>
      </c>
    </row>
    <row r="448" ht="14.25" customHeight="1">
      <c r="C448" s="71" t="s">
        <v>11003</v>
      </c>
      <c r="D448" s="71" t="s">
        <v>11676</v>
      </c>
    </row>
    <row r="449" ht="14.25" customHeight="1">
      <c r="C449" s="71" t="s">
        <v>11677</v>
      </c>
      <c r="D449" s="71" t="s">
        <v>11678</v>
      </c>
    </row>
    <row r="450" ht="14.25" customHeight="1">
      <c r="C450" s="71" t="s">
        <v>11006</v>
      </c>
      <c r="D450" s="71" t="s">
        <v>9216</v>
      </c>
    </row>
    <row r="451" ht="14.25" customHeight="1">
      <c r="C451" s="71" t="s">
        <v>11679</v>
      </c>
      <c r="D451" s="71" t="s">
        <v>11680</v>
      </c>
    </row>
    <row r="452" ht="14.25" customHeight="1">
      <c r="C452" s="71" t="s">
        <v>10362</v>
      </c>
      <c r="D452" s="71" t="s">
        <v>10363</v>
      </c>
    </row>
    <row r="453" ht="14.25" customHeight="1">
      <c r="C453" s="71" t="s">
        <v>8861</v>
      </c>
      <c r="D453" s="71" t="s">
        <v>11681</v>
      </c>
    </row>
    <row r="454" ht="14.25" customHeight="1">
      <c r="C454" s="71" t="s">
        <v>11682</v>
      </c>
      <c r="D454" s="71" t="s">
        <v>9671</v>
      </c>
    </row>
    <row r="455" ht="14.25" customHeight="1">
      <c r="C455" s="71" t="s">
        <v>11013</v>
      </c>
      <c r="D455" s="71" t="s">
        <v>9034</v>
      </c>
    </row>
    <row r="456" ht="14.25" customHeight="1">
      <c r="D456" s="71" t="s">
        <v>11683</v>
      </c>
    </row>
    <row r="457" ht="14.25" customHeight="1">
      <c r="A457" s="71" t="s">
        <v>9728</v>
      </c>
      <c r="B457" s="71" t="s">
        <v>40</v>
      </c>
      <c r="C457" s="71" t="s">
        <v>9034</v>
      </c>
      <c r="D457" s="71" t="s">
        <v>8968</v>
      </c>
    </row>
    <row r="458" ht="14.25" customHeight="1">
      <c r="D458" s="71" t="s">
        <v>9216</v>
      </c>
    </row>
    <row r="459" ht="14.25" customHeight="1">
      <c r="C459" s="71" t="s">
        <v>11046</v>
      </c>
      <c r="D459" s="71" t="s">
        <v>9075</v>
      </c>
    </row>
    <row r="460" ht="14.25" customHeight="1">
      <c r="C460" s="71" t="s">
        <v>11684</v>
      </c>
      <c r="D460" s="71" t="s">
        <v>11685</v>
      </c>
    </row>
    <row r="461" ht="14.25" customHeight="1">
      <c r="C461" s="71" t="s">
        <v>74</v>
      </c>
      <c r="D461" s="71" t="s">
        <v>10124</v>
      </c>
    </row>
    <row r="462" ht="14.25" customHeight="1">
      <c r="C462" s="71" t="s">
        <v>11686</v>
      </c>
      <c r="D462" s="71" t="s">
        <v>9071</v>
      </c>
    </row>
    <row r="463" ht="14.25" customHeight="1">
      <c r="C463" s="71" t="s">
        <v>2669</v>
      </c>
      <c r="D463" s="71" t="s">
        <v>9578</v>
      </c>
    </row>
    <row r="464" ht="14.25" customHeight="1">
      <c r="C464" s="71" t="s">
        <v>9630</v>
      </c>
      <c r="D464" s="71" t="s">
        <v>11687</v>
      </c>
    </row>
    <row r="465" ht="14.25" customHeight="1">
      <c r="C465" s="71" t="s">
        <v>11688</v>
      </c>
      <c r="D465" s="71" t="s">
        <v>8976</v>
      </c>
    </row>
    <row r="466" ht="14.25" customHeight="1">
      <c r="C466" s="71" t="s">
        <v>11689</v>
      </c>
      <c r="D466" s="71" t="s">
        <v>11690</v>
      </c>
    </row>
    <row r="467" ht="14.25" customHeight="1">
      <c r="C467" s="71" t="s">
        <v>129</v>
      </c>
      <c r="D467" s="71" t="s">
        <v>11691</v>
      </c>
    </row>
    <row r="468" ht="14.25" customHeight="1">
      <c r="D468" s="71" t="s">
        <v>9404</v>
      </c>
    </row>
    <row r="469" ht="14.25" customHeight="1">
      <c r="C469" s="71" t="s">
        <v>10942</v>
      </c>
      <c r="D469" s="71" t="s">
        <v>10430</v>
      </c>
    </row>
    <row r="470" ht="14.25" customHeight="1">
      <c r="C470" s="71" t="s">
        <v>141</v>
      </c>
      <c r="D470" s="71" t="s">
        <v>11692</v>
      </c>
    </row>
    <row r="471" ht="14.25" customHeight="1">
      <c r="C471" s="71" t="s">
        <v>11693</v>
      </c>
      <c r="D471" s="71" t="s">
        <v>11694</v>
      </c>
    </row>
    <row r="472" ht="14.25" customHeight="1">
      <c r="C472" s="71" t="s">
        <v>11645</v>
      </c>
      <c r="D472" s="71" t="s">
        <v>9649</v>
      </c>
    </row>
    <row r="473" ht="14.25" customHeight="1">
      <c r="C473" s="71" t="s">
        <v>9658</v>
      </c>
      <c r="D473" s="71" t="s">
        <v>11695</v>
      </c>
    </row>
    <row r="474" ht="14.25" customHeight="1">
      <c r="C474" s="71" t="s">
        <v>3566</v>
      </c>
      <c r="D474" s="71" t="s">
        <v>11696</v>
      </c>
    </row>
    <row r="475" ht="14.25" customHeight="1">
      <c r="D475" s="71" t="s">
        <v>11697</v>
      </c>
    </row>
    <row r="476" ht="14.25" customHeight="1">
      <c r="D476" s="71" t="s">
        <v>8976</v>
      </c>
    </row>
    <row r="477" ht="14.25" customHeight="1">
      <c r="C477" s="71" t="s">
        <v>11698</v>
      </c>
      <c r="D477" s="71" t="s">
        <v>11699</v>
      </c>
    </row>
    <row r="478" ht="14.25" customHeight="1">
      <c r="C478" s="71" t="s">
        <v>11700</v>
      </c>
      <c r="D478" s="71" t="s">
        <v>8968</v>
      </c>
    </row>
    <row r="479" ht="14.25" customHeight="1">
      <c r="C479" s="71" t="s">
        <v>189</v>
      </c>
      <c r="D479" s="71" t="s">
        <v>9271</v>
      </c>
    </row>
    <row r="480" ht="14.25" customHeight="1">
      <c r="C480" s="71" t="s">
        <v>9277</v>
      </c>
      <c r="D480" s="71" t="s">
        <v>11701</v>
      </c>
    </row>
    <row r="481" ht="14.25" customHeight="1">
      <c r="C481" s="71" t="s">
        <v>3821</v>
      </c>
      <c r="D481" s="71" t="s">
        <v>11702</v>
      </c>
    </row>
    <row r="482" ht="14.25" customHeight="1">
      <c r="C482" s="71" t="s">
        <v>220</v>
      </c>
      <c r="D482" s="71" t="s">
        <v>9746</v>
      </c>
    </row>
    <row r="483" ht="14.25" customHeight="1">
      <c r="C483" s="71" t="s">
        <v>8576</v>
      </c>
      <c r="D483" s="71" t="s">
        <v>8976</v>
      </c>
    </row>
    <row r="484" ht="14.25" customHeight="1">
      <c r="D484" s="71" t="s">
        <v>9118</v>
      </c>
    </row>
    <row r="485" ht="14.25" customHeight="1">
      <c r="C485" s="71" t="s">
        <v>11703</v>
      </c>
      <c r="D485" s="71" t="s">
        <v>11704</v>
      </c>
    </row>
    <row r="486" ht="14.25" customHeight="1">
      <c r="C486" s="71" t="s">
        <v>11705</v>
      </c>
      <c r="D486" s="71" t="s">
        <v>11706</v>
      </c>
    </row>
    <row r="487" ht="14.25" customHeight="1">
      <c r="C487" s="71" t="s">
        <v>11707</v>
      </c>
      <c r="D487" s="71" t="s">
        <v>11708</v>
      </c>
    </row>
    <row r="488" ht="14.25" customHeight="1">
      <c r="C488" s="71" t="s">
        <v>11709</v>
      </c>
      <c r="D488" s="71" t="s">
        <v>9354</v>
      </c>
    </row>
    <row r="489" ht="14.25" customHeight="1">
      <c r="C489" s="71" t="s">
        <v>4109</v>
      </c>
      <c r="D489" s="71" t="s">
        <v>9034</v>
      </c>
    </row>
    <row r="490" ht="14.25" customHeight="1">
      <c r="C490" s="71" t="s">
        <v>10640</v>
      </c>
      <c r="D490" s="71" t="s">
        <v>11238</v>
      </c>
    </row>
    <row r="491" ht="14.25" customHeight="1">
      <c r="C491" s="71" t="s">
        <v>9215</v>
      </c>
      <c r="D491" s="71" t="s">
        <v>11710</v>
      </c>
    </row>
    <row r="492" ht="14.25" customHeight="1">
      <c r="C492" s="71" t="s">
        <v>11711</v>
      </c>
      <c r="D492" s="71" t="s">
        <v>11712</v>
      </c>
    </row>
    <row r="493" ht="14.25" customHeight="1">
      <c r="C493" s="71" t="s">
        <v>9434</v>
      </c>
      <c r="D493" s="71" t="s">
        <v>9404</v>
      </c>
    </row>
    <row r="494" ht="14.25" customHeight="1">
      <c r="C494" s="71" t="s">
        <v>262</v>
      </c>
      <c r="D494" s="71" t="s">
        <v>9667</v>
      </c>
    </row>
    <row r="495" ht="14.25" customHeight="1">
      <c r="D495" s="71" t="s">
        <v>11713</v>
      </c>
    </row>
    <row r="496" ht="14.25" customHeight="1">
      <c r="D496" s="71" t="s">
        <v>11714</v>
      </c>
    </row>
    <row r="497" ht="14.25" customHeight="1">
      <c r="C497" s="71" t="s">
        <v>4294</v>
      </c>
      <c r="D497" s="71" t="s">
        <v>9667</v>
      </c>
    </row>
    <row r="498" ht="14.25" customHeight="1">
      <c r="C498" s="71" t="s">
        <v>11081</v>
      </c>
      <c r="D498" s="71" t="s">
        <v>9055</v>
      </c>
    </row>
    <row r="499" ht="14.25" customHeight="1">
      <c r="C499" s="71" t="s">
        <v>11715</v>
      </c>
      <c r="D499" s="71" t="s">
        <v>9775</v>
      </c>
    </row>
    <row r="500" ht="14.25" customHeight="1">
      <c r="C500" s="71" t="s">
        <v>272</v>
      </c>
      <c r="D500" s="71" t="s">
        <v>9667</v>
      </c>
    </row>
    <row r="501" ht="14.25" customHeight="1">
      <c r="C501" s="71" t="s">
        <v>11716</v>
      </c>
      <c r="D501" s="71" t="s">
        <v>9649</v>
      </c>
    </row>
    <row r="502" ht="14.25" customHeight="1">
      <c r="C502" s="71" t="s">
        <v>9787</v>
      </c>
      <c r="D502" s="71" t="s">
        <v>9073</v>
      </c>
    </row>
    <row r="503" ht="14.25" customHeight="1">
      <c r="B503" s="71" t="s">
        <v>41</v>
      </c>
      <c r="C503" s="71" t="s">
        <v>2342</v>
      </c>
      <c r="D503" s="71" t="s">
        <v>11717</v>
      </c>
    </row>
    <row r="504" ht="14.25" customHeight="1">
      <c r="C504" s="71" t="s">
        <v>8969</v>
      </c>
      <c r="D504" s="71" t="s">
        <v>11718</v>
      </c>
    </row>
    <row r="505" ht="14.25" customHeight="1">
      <c r="C505" s="71" t="s">
        <v>11719</v>
      </c>
      <c r="D505" s="71" t="s">
        <v>11720</v>
      </c>
    </row>
    <row r="506" ht="14.25" customHeight="1">
      <c r="C506" s="71" t="s">
        <v>11721</v>
      </c>
      <c r="D506" s="71" t="s">
        <v>9073</v>
      </c>
    </row>
    <row r="507" ht="14.25" customHeight="1">
      <c r="C507" s="71" t="s">
        <v>10737</v>
      </c>
      <c r="D507" s="71" t="s">
        <v>11568</v>
      </c>
    </row>
    <row r="508" ht="14.25" customHeight="1">
      <c r="C508" s="71" t="s">
        <v>11584</v>
      </c>
      <c r="D508" s="71" t="s">
        <v>11722</v>
      </c>
    </row>
    <row r="509" ht="14.25" customHeight="1">
      <c r="C509" s="71" t="s">
        <v>11723</v>
      </c>
      <c r="D509" s="71" t="s">
        <v>9771</v>
      </c>
    </row>
    <row r="510" ht="14.25" customHeight="1">
      <c r="C510" s="71" t="s">
        <v>11724</v>
      </c>
      <c r="D510" s="71" t="s">
        <v>9793</v>
      </c>
    </row>
    <row r="511" ht="14.25" customHeight="1">
      <c r="C511" s="71" t="s">
        <v>11725</v>
      </c>
      <c r="D511" s="71" t="s">
        <v>11726</v>
      </c>
    </row>
    <row r="512" ht="14.25" customHeight="1">
      <c r="C512" s="71" t="s">
        <v>9329</v>
      </c>
      <c r="D512" s="71" t="s">
        <v>9667</v>
      </c>
    </row>
    <row r="513" ht="14.25" customHeight="1">
      <c r="C513" s="71" t="s">
        <v>3537</v>
      </c>
      <c r="D513" s="71" t="s">
        <v>9380</v>
      </c>
    </row>
    <row r="514" ht="14.25" customHeight="1">
      <c r="C514" s="71" t="s">
        <v>11727</v>
      </c>
      <c r="D514" s="71" t="s">
        <v>9771</v>
      </c>
    </row>
    <row r="515" ht="14.25" customHeight="1">
      <c r="C515" s="71" t="s">
        <v>210</v>
      </c>
      <c r="D515" s="71" t="s">
        <v>11728</v>
      </c>
    </row>
    <row r="516" ht="14.25" customHeight="1">
      <c r="C516" s="71" t="s">
        <v>11729</v>
      </c>
      <c r="D516" s="71" t="s">
        <v>9073</v>
      </c>
    </row>
    <row r="517" ht="14.25" customHeight="1">
      <c r="C517" s="71" t="s">
        <v>9926</v>
      </c>
      <c r="D517" s="71" t="s">
        <v>9731</v>
      </c>
    </row>
    <row r="518" ht="14.25" customHeight="1">
      <c r="C518" s="71" t="s">
        <v>10911</v>
      </c>
      <c r="D518" s="71" t="s">
        <v>9380</v>
      </c>
    </row>
    <row r="519" ht="14.25" customHeight="1">
      <c r="C519" s="71" t="s">
        <v>11730</v>
      </c>
      <c r="D519" s="71" t="s">
        <v>11538</v>
      </c>
    </row>
    <row r="520" ht="14.25" customHeight="1">
      <c r="C520" s="71" t="s">
        <v>4109</v>
      </c>
      <c r="D520" s="71" t="s">
        <v>9034</v>
      </c>
    </row>
    <row r="521" ht="14.25" customHeight="1">
      <c r="C521" s="71" t="s">
        <v>4131</v>
      </c>
      <c r="D521" s="71" t="s">
        <v>11731</v>
      </c>
    </row>
    <row r="522" ht="14.25" customHeight="1">
      <c r="C522" s="71" t="s">
        <v>10640</v>
      </c>
      <c r="D522" s="71" t="s">
        <v>9151</v>
      </c>
    </row>
    <row r="523" ht="14.25" customHeight="1">
      <c r="C523" s="71" t="s">
        <v>9434</v>
      </c>
      <c r="D523" s="71" t="s">
        <v>9771</v>
      </c>
    </row>
    <row r="524" ht="14.25" customHeight="1">
      <c r="D524" s="71" t="s">
        <v>11115</v>
      </c>
    </row>
    <row r="525" ht="14.25" customHeight="1">
      <c r="D525" s="71" t="s">
        <v>9667</v>
      </c>
    </row>
    <row r="526" ht="14.25" customHeight="1">
      <c r="D526" s="71" t="s">
        <v>9071</v>
      </c>
    </row>
    <row r="527" ht="14.25" customHeight="1">
      <c r="D527" s="71" t="s">
        <v>9073</v>
      </c>
    </row>
    <row r="528" ht="14.25" customHeight="1">
      <c r="D528" s="71" t="s">
        <v>9404</v>
      </c>
    </row>
    <row r="529" ht="14.25" customHeight="1">
      <c r="D529" s="71" t="s">
        <v>9731</v>
      </c>
    </row>
    <row r="530" ht="14.25" customHeight="1">
      <c r="D530" s="71" t="s">
        <v>11732</v>
      </c>
    </row>
    <row r="531" ht="14.25" customHeight="1">
      <c r="C531" s="71" t="s">
        <v>4393</v>
      </c>
      <c r="D531" s="71" t="s">
        <v>11733</v>
      </c>
    </row>
    <row r="532" ht="14.25" customHeight="1">
      <c r="C532" s="71" t="s">
        <v>11734</v>
      </c>
      <c r="D532" s="71" t="s">
        <v>9667</v>
      </c>
    </row>
    <row r="533" ht="14.25" customHeight="1">
      <c r="C533" s="71" t="s">
        <v>8954</v>
      </c>
      <c r="D533" s="71" t="s">
        <v>11735</v>
      </c>
    </row>
    <row r="534" ht="14.25" customHeight="1">
      <c r="D534" s="71" t="s">
        <v>11736</v>
      </c>
    </row>
    <row r="535" ht="14.25" customHeight="1">
      <c r="A535" s="71" t="s">
        <v>9796</v>
      </c>
      <c r="B535" s="71" t="s">
        <v>40</v>
      </c>
      <c r="C535" s="71" t="s">
        <v>11737</v>
      </c>
      <c r="D535" s="71" t="s">
        <v>11738</v>
      </c>
    </row>
    <row r="536" ht="14.25" customHeight="1">
      <c r="C536" s="71" t="s">
        <v>3596</v>
      </c>
      <c r="D536" s="71" t="s">
        <v>11739</v>
      </c>
    </row>
    <row r="537" ht="14.25" customHeight="1">
      <c r="C537" s="71" t="s">
        <v>3984</v>
      </c>
      <c r="D537" s="71" t="s">
        <v>10463</v>
      </c>
    </row>
    <row r="538" ht="14.25" customHeight="1">
      <c r="A538" s="71" t="s">
        <v>9806</v>
      </c>
      <c r="B538" s="71" t="s">
        <v>40</v>
      </c>
      <c r="C538" s="71" t="s">
        <v>10962</v>
      </c>
      <c r="D538" s="71" t="s">
        <v>9131</v>
      </c>
    </row>
    <row r="539" ht="14.25" customHeight="1">
      <c r="D539" s="71" t="s">
        <v>9404</v>
      </c>
    </row>
    <row r="540" ht="14.25" customHeight="1">
      <c r="C540" s="71" t="s">
        <v>2928</v>
      </c>
      <c r="D540" s="71" t="s">
        <v>11740</v>
      </c>
    </row>
    <row r="541" ht="14.25" customHeight="1">
      <c r="C541" s="71" t="s">
        <v>11167</v>
      </c>
      <c r="D541" s="71" t="s">
        <v>11741</v>
      </c>
    </row>
    <row r="542" ht="14.25" customHeight="1">
      <c r="C542" s="71" t="s">
        <v>3566</v>
      </c>
      <c r="D542" s="71" t="s">
        <v>11742</v>
      </c>
    </row>
    <row r="543" ht="14.25" customHeight="1">
      <c r="D543" s="71" t="s">
        <v>9071</v>
      </c>
    </row>
    <row r="544" ht="14.25" customHeight="1">
      <c r="C544" s="71" t="s">
        <v>3596</v>
      </c>
      <c r="D544" s="71" t="s">
        <v>10018</v>
      </c>
    </row>
    <row r="545" ht="14.25" customHeight="1">
      <c r="D545" s="71" t="s">
        <v>11743</v>
      </c>
    </row>
    <row r="546" ht="14.25" customHeight="1">
      <c r="C546" s="71" t="s">
        <v>11744</v>
      </c>
      <c r="D546" s="71" t="s">
        <v>11568</v>
      </c>
    </row>
    <row r="547" ht="14.25" customHeight="1">
      <c r="C547" s="71" t="s">
        <v>9821</v>
      </c>
      <c r="D547" s="71" t="s">
        <v>9131</v>
      </c>
    </row>
    <row r="548" ht="14.25" customHeight="1">
      <c r="C548" s="71" t="s">
        <v>11745</v>
      </c>
      <c r="D548" s="71" t="s">
        <v>11746</v>
      </c>
    </row>
    <row r="549" ht="14.25" customHeight="1">
      <c r="C549" s="71" t="s">
        <v>208</v>
      </c>
      <c r="D549" s="71" t="s">
        <v>9071</v>
      </c>
    </row>
    <row r="550" ht="14.25" customHeight="1">
      <c r="C550" s="71" t="s">
        <v>11747</v>
      </c>
      <c r="D550" s="71" t="s">
        <v>9525</v>
      </c>
    </row>
    <row r="551" ht="14.25" customHeight="1">
      <c r="C551" s="71" t="s">
        <v>11748</v>
      </c>
      <c r="D551" s="71" t="s">
        <v>9131</v>
      </c>
    </row>
    <row r="552" ht="14.25" customHeight="1">
      <c r="C552" s="71" t="s">
        <v>11749</v>
      </c>
      <c r="D552" s="71" t="s">
        <v>9071</v>
      </c>
    </row>
    <row r="553" ht="14.25" customHeight="1">
      <c r="C553" s="71" t="s">
        <v>11750</v>
      </c>
      <c r="D553" s="71" t="s">
        <v>9028</v>
      </c>
    </row>
    <row r="554" ht="14.25" customHeight="1">
      <c r="C554" s="71" t="s">
        <v>11751</v>
      </c>
      <c r="D554" s="71" t="s">
        <v>9291</v>
      </c>
    </row>
    <row r="555" ht="14.25" customHeight="1">
      <c r="C555" s="71" t="s">
        <v>264</v>
      </c>
      <c r="D555" s="71" t="s">
        <v>11752</v>
      </c>
    </row>
    <row r="556" ht="14.25" customHeight="1">
      <c r="C556" s="71" t="s">
        <v>4326</v>
      </c>
      <c r="D556" s="71" t="s">
        <v>9404</v>
      </c>
    </row>
    <row r="557" ht="14.25" customHeight="1">
      <c r="C557" s="71" t="s">
        <v>11753</v>
      </c>
      <c r="D557" s="71" t="s">
        <v>9071</v>
      </c>
    </row>
    <row r="558" ht="14.25" customHeight="1">
      <c r="C558" s="71" t="s">
        <v>9165</v>
      </c>
      <c r="D558" s="71" t="s">
        <v>10486</v>
      </c>
    </row>
    <row r="559" ht="14.25" customHeight="1">
      <c r="A559" s="71" t="s">
        <v>9824</v>
      </c>
      <c r="B559" s="71" t="s">
        <v>40</v>
      </c>
      <c r="C559" s="71" t="s">
        <v>11754</v>
      </c>
      <c r="D559" s="71" t="s">
        <v>11755</v>
      </c>
    </row>
    <row r="560" ht="14.25" customHeight="1">
      <c r="C560" s="71" t="s">
        <v>11756</v>
      </c>
      <c r="D560" s="71" t="s">
        <v>9109</v>
      </c>
    </row>
    <row r="561" ht="14.25" customHeight="1">
      <c r="C561" s="71" t="s">
        <v>3596</v>
      </c>
      <c r="D561" s="71" t="s">
        <v>9073</v>
      </c>
    </row>
    <row r="562" ht="14.25" customHeight="1">
      <c r="D562" s="71" t="s">
        <v>11560</v>
      </c>
    </row>
    <row r="563" ht="14.25" customHeight="1">
      <c r="C563" s="71" t="s">
        <v>9392</v>
      </c>
      <c r="D563" s="71" t="s">
        <v>11757</v>
      </c>
    </row>
    <row r="564" ht="14.25" customHeight="1">
      <c r="C564" s="71" t="s">
        <v>11758</v>
      </c>
      <c r="D564" s="71" t="s">
        <v>11759</v>
      </c>
    </row>
    <row r="565" ht="14.25" customHeight="1">
      <c r="B565" s="71" t="s">
        <v>41</v>
      </c>
      <c r="C565" s="71" t="s">
        <v>153</v>
      </c>
      <c r="D565" s="71" t="s">
        <v>10080</v>
      </c>
    </row>
    <row r="566" ht="14.25" customHeight="1">
      <c r="B566" s="71" t="s">
        <v>13</v>
      </c>
      <c r="C566" s="71" t="s">
        <v>9329</v>
      </c>
      <c r="D566" s="71" t="s">
        <v>9073</v>
      </c>
    </row>
    <row r="567" ht="14.25" customHeight="1">
      <c r="C567" s="71" t="s">
        <v>9390</v>
      </c>
      <c r="D567" s="71" t="s">
        <v>9440</v>
      </c>
    </row>
    <row r="568" ht="14.25" customHeight="1">
      <c r="A568" s="71" t="s">
        <v>9840</v>
      </c>
      <c r="B568" s="71" t="s">
        <v>40</v>
      </c>
      <c r="C568" s="71" t="s">
        <v>9034</v>
      </c>
      <c r="D568" s="71" t="s">
        <v>9028</v>
      </c>
    </row>
    <row r="569" ht="14.25" customHeight="1">
      <c r="C569" s="71" t="s">
        <v>11404</v>
      </c>
      <c r="D569" s="71" t="s">
        <v>11055</v>
      </c>
    </row>
    <row r="570" ht="14.25" customHeight="1">
      <c r="C570" s="71" t="s">
        <v>11760</v>
      </c>
      <c r="D570" s="71" t="s">
        <v>11761</v>
      </c>
    </row>
    <row r="571" ht="14.25" customHeight="1">
      <c r="C571" s="71" t="s">
        <v>10767</v>
      </c>
      <c r="D571" s="71" t="s">
        <v>10219</v>
      </c>
    </row>
    <row r="572" ht="14.25" customHeight="1">
      <c r="C572" s="71" t="s">
        <v>11762</v>
      </c>
      <c r="D572" s="71" t="s">
        <v>11763</v>
      </c>
    </row>
    <row r="573" ht="14.25" customHeight="1">
      <c r="C573" s="71" t="s">
        <v>11764</v>
      </c>
      <c r="D573" s="71" t="s">
        <v>11765</v>
      </c>
    </row>
    <row r="574" ht="14.25" customHeight="1">
      <c r="C574" s="71" t="s">
        <v>11766</v>
      </c>
      <c r="D574" s="71" t="s">
        <v>11767</v>
      </c>
    </row>
    <row r="575" ht="14.25" customHeight="1">
      <c r="C575" s="71" t="s">
        <v>11046</v>
      </c>
      <c r="D575" s="71" t="s">
        <v>9075</v>
      </c>
    </row>
    <row r="576" ht="14.25" customHeight="1">
      <c r="C576" s="71" t="s">
        <v>2408</v>
      </c>
      <c r="D576" s="71" t="s">
        <v>9071</v>
      </c>
    </row>
    <row r="577" ht="14.25" customHeight="1">
      <c r="D577" s="71" t="s">
        <v>9073</v>
      </c>
    </row>
    <row r="578" ht="14.25" customHeight="1">
      <c r="C578" s="71" t="s">
        <v>81</v>
      </c>
      <c r="D578" s="71" t="s">
        <v>10486</v>
      </c>
    </row>
    <row r="579" ht="14.25" customHeight="1">
      <c r="C579" s="71" t="s">
        <v>10879</v>
      </c>
      <c r="D579" s="71" t="s">
        <v>11768</v>
      </c>
    </row>
    <row r="580" ht="14.25" customHeight="1">
      <c r="C580" s="71" t="s">
        <v>89</v>
      </c>
      <c r="D580" s="71" t="s">
        <v>11769</v>
      </c>
    </row>
    <row r="581" ht="14.25" customHeight="1">
      <c r="D581" s="71" t="s">
        <v>9028</v>
      </c>
    </row>
    <row r="582" ht="14.25" customHeight="1">
      <c r="C582" s="71" t="s">
        <v>96</v>
      </c>
      <c r="D582" s="71" t="s">
        <v>11770</v>
      </c>
    </row>
    <row r="583" ht="14.25" customHeight="1">
      <c r="C583" s="71" t="s">
        <v>97</v>
      </c>
      <c r="D583" s="71" t="s">
        <v>9755</v>
      </c>
    </row>
    <row r="584" ht="14.25" customHeight="1">
      <c r="C584" s="71" t="s">
        <v>10660</v>
      </c>
      <c r="D584" s="71" t="s">
        <v>9051</v>
      </c>
    </row>
    <row r="585" ht="14.25" customHeight="1">
      <c r="C585" s="71" t="s">
        <v>2786</v>
      </c>
      <c r="D585" s="71" t="s">
        <v>9075</v>
      </c>
    </row>
    <row r="586" ht="14.25" customHeight="1">
      <c r="C586" s="71" t="s">
        <v>11771</v>
      </c>
      <c r="D586" s="71" t="s">
        <v>9028</v>
      </c>
    </row>
    <row r="587" ht="14.25" customHeight="1">
      <c r="C587" s="71" t="s">
        <v>11772</v>
      </c>
      <c r="D587" s="71" t="s">
        <v>9034</v>
      </c>
    </row>
    <row r="588" ht="14.25" customHeight="1">
      <c r="C588" s="71" t="s">
        <v>11773</v>
      </c>
      <c r="D588" s="71" t="s">
        <v>9034</v>
      </c>
    </row>
    <row r="589" ht="14.25" customHeight="1">
      <c r="C589" s="71" t="s">
        <v>300</v>
      </c>
      <c r="D589" s="71" t="s">
        <v>11774</v>
      </c>
    </row>
    <row r="590" ht="14.25" customHeight="1">
      <c r="C590" s="71" t="s">
        <v>123</v>
      </c>
      <c r="D590" s="71" t="s">
        <v>11775</v>
      </c>
    </row>
    <row r="591" ht="14.25" customHeight="1">
      <c r="C591" s="71" t="s">
        <v>9133</v>
      </c>
      <c r="D591" s="71" t="s">
        <v>11776</v>
      </c>
    </row>
    <row r="592" ht="14.25" customHeight="1">
      <c r="C592" s="71" t="s">
        <v>131</v>
      </c>
      <c r="D592" s="71" t="s">
        <v>10124</v>
      </c>
    </row>
    <row r="593" ht="14.25" customHeight="1">
      <c r="C593" s="71" t="s">
        <v>10942</v>
      </c>
      <c r="D593" s="71" t="s">
        <v>11777</v>
      </c>
    </row>
    <row r="594" ht="14.25" customHeight="1">
      <c r="C594" s="71" t="s">
        <v>7967</v>
      </c>
      <c r="D594" s="71" t="s">
        <v>9528</v>
      </c>
    </row>
    <row r="595" ht="14.25" customHeight="1">
      <c r="C595" s="71" t="s">
        <v>9329</v>
      </c>
      <c r="D595" s="71" t="s">
        <v>9073</v>
      </c>
    </row>
    <row r="596" ht="14.25" customHeight="1">
      <c r="C596" s="71" t="s">
        <v>11778</v>
      </c>
      <c r="D596" s="71" t="s">
        <v>9073</v>
      </c>
    </row>
    <row r="597" ht="14.25" customHeight="1">
      <c r="C597" s="71" t="s">
        <v>160</v>
      </c>
      <c r="D597" s="71" t="s">
        <v>11779</v>
      </c>
    </row>
    <row r="598" ht="14.25" customHeight="1">
      <c r="C598" s="71" t="s">
        <v>11780</v>
      </c>
      <c r="D598" s="71" t="s">
        <v>9034</v>
      </c>
    </row>
    <row r="599" ht="14.25" customHeight="1">
      <c r="C599" s="71" t="s">
        <v>11781</v>
      </c>
      <c r="D599" s="71" t="s">
        <v>9151</v>
      </c>
    </row>
    <row r="600" ht="14.25" customHeight="1">
      <c r="C600" s="71" t="s">
        <v>11782</v>
      </c>
      <c r="D600" s="71" t="s">
        <v>9583</v>
      </c>
    </row>
    <row r="601" ht="14.25" customHeight="1">
      <c r="C601" s="71" t="s">
        <v>166</v>
      </c>
      <c r="D601" s="71" t="s">
        <v>9151</v>
      </c>
    </row>
    <row r="602" ht="14.25" customHeight="1">
      <c r="C602" s="71" t="s">
        <v>171</v>
      </c>
      <c r="D602" s="71" t="s">
        <v>11783</v>
      </c>
    </row>
    <row r="603" ht="14.25" customHeight="1">
      <c r="C603" s="71" t="s">
        <v>312</v>
      </c>
      <c r="D603" s="71" t="s">
        <v>8994</v>
      </c>
    </row>
    <row r="604" ht="14.25" customHeight="1">
      <c r="C604" s="71" t="s">
        <v>3566</v>
      </c>
      <c r="D604" s="71" t="s">
        <v>9034</v>
      </c>
    </row>
    <row r="605" ht="14.25" customHeight="1">
      <c r="D605" s="71" t="s">
        <v>9071</v>
      </c>
    </row>
    <row r="606" ht="14.25" customHeight="1">
      <c r="D606" s="71" t="s">
        <v>11784</v>
      </c>
    </row>
    <row r="607" ht="14.25" customHeight="1">
      <c r="C607" s="71" t="s">
        <v>3596</v>
      </c>
      <c r="D607" s="71" t="s">
        <v>11785</v>
      </c>
    </row>
    <row r="608" ht="14.25" customHeight="1">
      <c r="D608" s="71" t="s">
        <v>10080</v>
      </c>
    </row>
    <row r="609" ht="14.25" customHeight="1">
      <c r="C609" s="71" t="s">
        <v>184</v>
      </c>
      <c r="D609" s="71" t="s">
        <v>9109</v>
      </c>
    </row>
    <row r="610" ht="14.25" customHeight="1">
      <c r="C610" s="71" t="s">
        <v>11786</v>
      </c>
      <c r="D610" s="71" t="s">
        <v>11227</v>
      </c>
    </row>
    <row r="611" ht="14.25" customHeight="1">
      <c r="C611" s="71" t="s">
        <v>11787</v>
      </c>
      <c r="D611" s="71" t="s">
        <v>11788</v>
      </c>
    </row>
    <row r="612" ht="14.25" customHeight="1">
      <c r="C612" s="71" t="s">
        <v>11421</v>
      </c>
      <c r="D612" s="71" t="s">
        <v>11789</v>
      </c>
    </row>
    <row r="613" ht="14.25" customHeight="1">
      <c r="C613" s="71" t="s">
        <v>3804</v>
      </c>
      <c r="D613" s="71" t="s">
        <v>9151</v>
      </c>
    </row>
    <row r="614" ht="14.25" customHeight="1">
      <c r="C614" s="71" t="s">
        <v>11790</v>
      </c>
      <c r="D614" s="71" t="s">
        <v>9028</v>
      </c>
    </row>
    <row r="615" ht="14.25" customHeight="1">
      <c r="C615" s="71" t="s">
        <v>11378</v>
      </c>
      <c r="D615" s="71" t="s">
        <v>11791</v>
      </c>
    </row>
    <row r="616" ht="14.25" customHeight="1">
      <c r="C616" s="71" t="s">
        <v>11792</v>
      </c>
      <c r="D616" s="71" t="s">
        <v>11793</v>
      </c>
    </row>
    <row r="617" ht="14.25" customHeight="1">
      <c r="C617" s="71" t="s">
        <v>10990</v>
      </c>
      <c r="D617" s="71" t="s">
        <v>9055</v>
      </c>
    </row>
    <row r="618" ht="14.25" customHeight="1">
      <c r="C618" s="71" t="s">
        <v>11794</v>
      </c>
      <c r="D618" s="71" t="s">
        <v>11795</v>
      </c>
    </row>
    <row r="619" ht="14.25" customHeight="1">
      <c r="C619" s="71" t="s">
        <v>11749</v>
      </c>
      <c r="D619" s="71" t="s">
        <v>9649</v>
      </c>
    </row>
    <row r="620" ht="14.25" customHeight="1">
      <c r="C620" s="71" t="s">
        <v>9691</v>
      </c>
      <c r="D620" s="71" t="s">
        <v>11796</v>
      </c>
    </row>
    <row r="621" ht="14.25" customHeight="1">
      <c r="C621" s="71" t="s">
        <v>240</v>
      </c>
      <c r="D621" s="71" t="s">
        <v>11177</v>
      </c>
    </row>
    <row r="622" ht="14.25" customHeight="1">
      <c r="C622" s="71" t="s">
        <v>10640</v>
      </c>
      <c r="D622" s="71" t="s">
        <v>9827</v>
      </c>
    </row>
    <row r="623" ht="14.25" customHeight="1">
      <c r="D623" s="71" t="s">
        <v>11602</v>
      </c>
    </row>
    <row r="624" ht="14.25" customHeight="1">
      <c r="C624" s="71" t="s">
        <v>11797</v>
      </c>
      <c r="D624" s="71" t="s">
        <v>9914</v>
      </c>
    </row>
    <row r="625" ht="14.25" customHeight="1">
      <c r="C625" s="71" t="s">
        <v>11798</v>
      </c>
      <c r="D625" s="71" t="s">
        <v>9028</v>
      </c>
    </row>
    <row r="626" ht="14.25" customHeight="1">
      <c r="C626" s="71" t="s">
        <v>9905</v>
      </c>
      <c r="D626" s="71" t="s">
        <v>9618</v>
      </c>
    </row>
    <row r="627" ht="14.25" customHeight="1">
      <c r="C627" s="71" t="s">
        <v>255</v>
      </c>
      <c r="D627" s="71" t="s">
        <v>9028</v>
      </c>
    </row>
    <row r="628" ht="14.25" customHeight="1">
      <c r="C628" s="71" t="s">
        <v>4247</v>
      </c>
      <c r="D628" s="71" t="s">
        <v>9028</v>
      </c>
    </row>
    <row r="629" ht="14.25" customHeight="1">
      <c r="C629" s="71" t="s">
        <v>8771</v>
      </c>
      <c r="D629" s="71" t="s">
        <v>11799</v>
      </c>
    </row>
    <row r="630" ht="14.25" customHeight="1">
      <c r="C630" s="71" t="s">
        <v>262</v>
      </c>
      <c r="D630" s="71" t="s">
        <v>11800</v>
      </c>
    </row>
    <row r="631" ht="14.25" customHeight="1">
      <c r="C631" s="71" t="s">
        <v>4294</v>
      </c>
      <c r="D631" s="71" t="s">
        <v>8994</v>
      </c>
    </row>
    <row r="632" ht="14.25" customHeight="1">
      <c r="C632" s="71" t="s">
        <v>264</v>
      </c>
      <c r="D632" s="71" t="s">
        <v>9066</v>
      </c>
    </row>
    <row r="633" ht="14.25" customHeight="1">
      <c r="C633" s="71" t="s">
        <v>11801</v>
      </c>
      <c r="D633" s="71" t="s">
        <v>9075</v>
      </c>
    </row>
    <row r="634" ht="14.25" customHeight="1">
      <c r="C634" s="71" t="s">
        <v>11802</v>
      </c>
      <c r="D634" s="71" t="s">
        <v>11803</v>
      </c>
    </row>
    <row r="635" ht="14.25" customHeight="1">
      <c r="C635" s="71" t="s">
        <v>9529</v>
      </c>
      <c r="D635" s="71" t="s">
        <v>11804</v>
      </c>
    </row>
    <row r="636" ht="14.25" customHeight="1">
      <c r="C636" s="71" t="s">
        <v>2163</v>
      </c>
      <c r="D636" s="71" t="s">
        <v>11805</v>
      </c>
    </row>
    <row r="637" ht="14.25" customHeight="1">
      <c r="C637" s="71" t="s">
        <v>324</v>
      </c>
      <c r="D637" s="71" t="s">
        <v>11806</v>
      </c>
    </row>
    <row r="638" ht="14.25" customHeight="1">
      <c r="D638" s="71" t="s">
        <v>11807</v>
      </c>
    </row>
    <row r="639" ht="14.25" customHeight="1">
      <c r="C639" s="71" t="s">
        <v>11808</v>
      </c>
      <c r="D639" s="71" t="s">
        <v>9151</v>
      </c>
    </row>
    <row r="640" ht="14.25" customHeight="1">
      <c r="C640" s="71" t="s">
        <v>11809</v>
      </c>
      <c r="D640" s="71" t="s">
        <v>9028</v>
      </c>
    </row>
    <row r="641" ht="14.25" customHeight="1">
      <c r="C641" s="71" t="s">
        <v>7351</v>
      </c>
      <c r="D641" s="71" t="s">
        <v>11810</v>
      </c>
    </row>
    <row r="642" ht="14.25" customHeight="1">
      <c r="C642" s="71" t="s">
        <v>9929</v>
      </c>
      <c r="D642" s="71" t="s">
        <v>9028</v>
      </c>
    </row>
    <row r="643" ht="14.25" customHeight="1">
      <c r="C643" s="71" t="s">
        <v>286</v>
      </c>
      <c r="D643" s="71" t="s">
        <v>11811</v>
      </c>
    </row>
    <row r="644" ht="14.25" customHeight="1">
      <c r="C644" s="71" t="s">
        <v>5700</v>
      </c>
      <c r="D644" s="71" t="s">
        <v>10486</v>
      </c>
    </row>
    <row r="645" ht="14.25" customHeight="1">
      <c r="B645" s="71" t="s">
        <v>41</v>
      </c>
      <c r="C645" s="71" t="s">
        <v>10655</v>
      </c>
      <c r="D645" s="71" t="s">
        <v>11812</v>
      </c>
    </row>
    <row r="646" ht="14.25" customHeight="1">
      <c r="C646" s="71" t="s">
        <v>11813</v>
      </c>
      <c r="D646" s="71" t="s">
        <v>9028</v>
      </c>
    </row>
    <row r="647" ht="14.25" customHeight="1">
      <c r="C647" s="71" t="s">
        <v>11814</v>
      </c>
      <c r="D647" s="71" t="s">
        <v>8978</v>
      </c>
    </row>
    <row r="648" ht="14.25" customHeight="1">
      <c r="C648" s="71" t="s">
        <v>3205</v>
      </c>
      <c r="D648" s="71" t="s">
        <v>11815</v>
      </c>
    </row>
    <row r="649" ht="14.25" customHeight="1">
      <c r="C649" s="71" t="s">
        <v>10702</v>
      </c>
      <c r="D649" s="71" t="s">
        <v>11816</v>
      </c>
    </row>
    <row r="650" ht="14.25" customHeight="1">
      <c r="C650" s="71" t="s">
        <v>312</v>
      </c>
      <c r="D650" s="71" t="s">
        <v>11817</v>
      </c>
    </row>
    <row r="651" ht="14.25" customHeight="1">
      <c r="C651" s="71" t="s">
        <v>178</v>
      </c>
      <c r="D651" s="71" t="s">
        <v>11818</v>
      </c>
    </row>
    <row r="652" ht="14.25" customHeight="1">
      <c r="C652" s="71" t="s">
        <v>3566</v>
      </c>
      <c r="D652" s="71" t="s">
        <v>8968</v>
      </c>
    </row>
    <row r="653" ht="14.25" customHeight="1">
      <c r="C653" s="71" t="s">
        <v>9543</v>
      </c>
      <c r="D653" s="71" t="s">
        <v>9086</v>
      </c>
    </row>
    <row r="654" ht="14.25" customHeight="1">
      <c r="C654" s="71" t="s">
        <v>11819</v>
      </c>
      <c r="D654" s="71" t="s">
        <v>9913</v>
      </c>
    </row>
    <row r="655" ht="14.25" customHeight="1">
      <c r="C655" s="71" t="s">
        <v>11820</v>
      </c>
      <c r="D655" s="71" t="s">
        <v>11821</v>
      </c>
    </row>
    <row r="656" ht="14.25" customHeight="1">
      <c r="C656" s="71" t="s">
        <v>11822</v>
      </c>
      <c r="D656" s="71" t="s">
        <v>9071</v>
      </c>
    </row>
    <row r="657" ht="14.25" customHeight="1">
      <c r="C657" s="71" t="s">
        <v>11823</v>
      </c>
      <c r="D657" s="71" t="s">
        <v>9216</v>
      </c>
    </row>
    <row r="658" ht="14.25" customHeight="1">
      <c r="C658" s="71" t="s">
        <v>10640</v>
      </c>
      <c r="D658" s="71" t="s">
        <v>9131</v>
      </c>
    </row>
    <row r="659" ht="14.25" customHeight="1">
      <c r="D659" s="71" t="s">
        <v>9028</v>
      </c>
    </row>
    <row r="660" ht="14.25" customHeight="1">
      <c r="C660" s="71" t="s">
        <v>244</v>
      </c>
      <c r="D660" s="71" t="s">
        <v>8968</v>
      </c>
    </row>
    <row r="661" ht="14.25" customHeight="1">
      <c r="C661" s="71" t="s">
        <v>9434</v>
      </c>
      <c r="D661" s="71" t="s">
        <v>9055</v>
      </c>
    </row>
    <row r="662" ht="14.25" customHeight="1">
      <c r="B662" s="71" t="s">
        <v>13</v>
      </c>
      <c r="C662" s="71" t="s">
        <v>11390</v>
      </c>
      <c r="D662" s="71" t="s">
        <v>11824</v>
      </c>
    </row>
    <row r="663" ht="14.25" customHeight="1">
      <c r="C663" s="71" t="s">
        <v>11825</v>
      </c>
      <c r="D663" s="71" t="s">
        <v>10080</v>
      </c>
    </row>
    <row r="664" ht="14.25" customHeight="1">
      <c r="C664" s="71" t="s">
        <v>9313</v>
      </c>
      <c r="D664" s="71" t="s">
        <v>11826</v>
      </c>
    </row>
    <row r="665" ht="14.25" customHeight="1">
      <c r="C665" s="71" t="s">
        <v>2408</v>
      </c>
      <c r="D665" s="71" t="s">
        <v>11538</v>
      </c>
    </row>
    <row r="666" ht="14.25" customHeight="1">
      <c r="C666" s="71" t="s">
        <v>11827</v>
      </c>
      <c r="D666" s="71" t="s">
        <v>11828</v>
      </c>
    </row>
    <row r="667" ht="14.25" customHeight="1">
      <c r="C667" s="71" t="s">
        <v>11829</v>
      </c>
      <c r="D667" s="71" t="s">
        <v>11386</v>
      </c>
    </row>
    <row r="668" ht="14.25" customHeight="1">
      <c r="C668" s="71" t="s">
        <v>9090</v>
      </c>
      <c r="D668" s="71" t="s">
        <v>11386</v>
      </c>
    </row>
    <row r="669" ht="14.25" customHeight="1">
      <c r="C669" s="71" t="s">
        <v>11830</v>
      </c>
      <c r="D669" s="71" t="s">
        <v>9249</v>
      </c>
    </row>
    <row r="670" ht="14.25" customHeight="1">
      <c r="A670" s="71" t="s">
        <v>9935</v>
      </c>
      <c r="B670" s="71" t="s">
        <v>40</v>
      </c>
      <c r="C670" s="71" t="s">
        <v>9597</v>
      </c>
      <c r="D670" s="71" t="s">
        <v>8968</v>
      </c>
    </row>
    <row r="671" ht="14.25" customHeight="1">
      <c r="C671" s="71" t="s">
        <v>11831</v>
      </c>
      <c r="D671" s="71" t="s">
        <v>9265</v>
      </c>
    </row>
    <row r="672" ht="14.25" customHeight="1">
      <c r="C672" s="71" t="s">
        <v>11832</v>
      </c>
      <c r="D672" s="71" t="s">
        <v>11833</v>
      </c>
    </row>
    <row r="673" ht="14.25" customHeight="1">
      <c r="C673" s="71" t="s">
        <v>11383</v>
      </c>
      <c r="D673" s="71" t="s">
        <v>11834</v>
      </c>
    </row>
    <row r="674" ht="14.25" customHeight="1">
      <c r="C674" s="71" t="s">
        <v>11835</v>
      </c>
      <c r="D674" s="71" t="s">
        <v>8968</v>
      </c>
    </row>
    <row r="675" ht="14.25" customHeight="1">
      <c r="C675" s="71" t="s">
        <v>11836</v>
      </c>
      <c r="D675" s="71" t="s">
        <v>9028</v>
      </c>
    </row>
    <row r="676" ht="14.25" customHeight="1">
      <c r="C676" s="71" t="s">
        <v>3861</v>
      </c>
      <c r="D676" s="71" t="s">
        <v>11568</v>
      </c>
    </row>
    <row r="677" ht="14.25" customHeight="1">
      <c r="C677" s="71" t="s">
        <v>9434</v>
      </c>
      <c r="D677" s="71" t="s">
        <v>9583</v>
      </c>
    </row>
    <row r="678" ht="14.25" customHeight="1">
      <c r="C678" s="71" t="s">
        <v>9090</v>
      </c>
      <c r="D678" s="71" t="s">
        <v>11834</v>
      </c>
    </row>
    <row r="679" ht="14.25" customHeight="1">
      <c r="A679" s="71" t="s">
        <v>9978</v>
      </c>
      <c r="B679" s="71" t="s">
        <v>40</v>
      </c>
      <c r="C679" s="71" t="s">
        <v>135</v>
      </c>
      <c r="D679" s="71" t="s">
        <v>9028</v>
      </c>
    </row>
    <row r="680" ht="14.25" customHeight="1">
      <c r="C680" s="71" t="s">
        <v>11264</v>
      </c>
      <c r="D680" s="71" t="s">
        <v>11837</v>
      </c>
    </row>
    <row r="681" ht="14.25" customHeight="1">
      <c r="A681" s="71" t="s">
        <v>9998</v>
      </c>
      <c r="B681" s="71" t="s">
        <v>40</v>
      </c>
      <c r="C681" s="71" t="s">
        <v>10879</v>
      </c>
      <c r="D681" s="71" t="s">
        <v>9999</v>
      </c>
    </row>
    <row r="682" ht="14.25" customHeight="1">
      <c r="C682" s="71" t="s">
        <v>11838</v>
      </c>
      <c r="D682" s="71" t="s">
        <v>11776</v>
      </c>
    </row>
    <row r="683" ht="14.25" customHeight="1">
      <c r="C683" s="71" t="s">
        <v>10660</v>
      </c>
      <c r="D683" s="71" t="s">
        <v>10541</v>
      </c>
    </row>
    <row r="684" ht="14.25" customHeight="1">
      <c r="C684" s="71" t="s">
        <v>6088</v>
      </c>
      <c r="D684" s="71" t="s">
        <v>8968</v>
      </c>
    </row>
    <row r="685" ht="14.25" customHeight="1">
      <c r="C685" s="71" t="s">
        <v>11839</v>
      </c>
      <c r="D685" s="71" t="s">
        <v>10124</v>
      </c>
    </row>
    <row r="686" ht="14.25" customHeight="1">
      <c r="C686" s="71" t="s">
        <v>141</v>
      </c>
      <c r="D686" s="71" t="s">
        <v>9151</v>
      </c>
    </row>
    <row r="687" ht="14.25" customHeight="1">
      <c r="C687" s="71" t="s">
        <v>10004</v>
      </c>
      <c r="D687" s="71" t="s">
        <v>10001</v>
      </c>
    </row>
    <row r="688" ht="14.25" customHeight="1">
      <c r="C688" s="71" t="s">
        <v>11840</v>
      </c>
      <c r="D688" s="71" t="s">
        <v>9151</v>
      </c>
    </row>
    <row r="689" ht="14.25" customHeight="1">
      <c r="C689" s="71" t="s">
        <v>11841</v>
      </c>
      <c r="D689" s="71" t="s">
        <v>9236</v>
      </c>
    </row>
    <row r="690" ht="14.25" customHeight="1">
      <c r="C690" s="71" t="s">
        <v>193</v>
      </c>
      <c r="D690" s="71" t="s">
        <v>9152</v>
      </c>
    </row>
    <row r="691" ht="14.25" customHeight="1">
      <c r="C691" s="71" t="s">
        <v>11421</v>
      </c>
      <c r="D691" s="71" t="s">
        <v>9002</v>
      </c>
    </row>
    <row r="692" ht="14.25" customHeight="1">
      <c r="C692" s="71" t="s">
        <v>11842</v>
      </c>
      <c r="D692" s="71" t="s">
        <v>8968</v>
      </c>
    </row>
    <row r="693" ht="14.25" customHeight="1">
      <c r="C693" s="71" t="s">
        <v>11843</v>
      </c>
      <c r="D693" s="71" t="s">
        <v>9152</v>
      </c>
    </row>
    <row r="694" ht="14.25" customHeight="1">
      <c r="C694" s="71" t="s">
        <v>11844</v>
      </c>
      <c r="D694" s="71" t="s">
        <v>9034</v>
      </c>
    </row>
    <row r="695" ht="14.25" customHeight="1">
      <c r="C695" s="71" t="s">
        <v>10252</v>
      </c>
      <c r="D695" s="71" t="s">
        <v>11845</v>
      </c>
    </row>
    <row r="696" ht="14.25" customHeight="1">
      <c r="C696" s="71" t="s">
        <v>4139</v>
      </c>
      <c r="D696" s="71" t="s">
        <v>11846</v>
      </c>
    </row>
    <row r="697" ht="14.25" customHeight="1">
      <c r="C697" s="71" t="s">
        <v>9215</v>
      </c>
      <c r="D697" s="71" t="s">
        <v>11847</v>
      </c>
    </row>
    <row r="698" ht="14.25" customHeight="1">
      <c r="B698" s="71" t="s">
        <v>41</v>
      </c>
      <c r="C698" s="71" t="s">
        <v>141</v>
      </c>
      <c r="D698" s="71" t="s">
        <v>9034</v>
      </c>
    </row>
    <row r="699" ht="14.25" customHeight="1">
      <c r="C699" s="71" t="s">
        <v>11312</v>
      </c>
      <c r="D699" s="71" t="s">
        <v>10005</v>
      </c>
    </row>
    <row r="700" ht="14.25" customHeight="1">
      <c r="C700" s="71" t="s">
        <v>11421</v>
      </c>
      <c r="D700" s="71" t="s">
        <v>9999</v>
      </c>
    </row>
    <row r="701" ht="14.25" customHeight="1">
      <c r="C701" s="71" t="s">
        <v>11848</v>
      </c>
      <c r="D701" s="71" t="s">
        <v>11849</v>
      </c>
    </row>
    <row r="702" ht="14.25" customHeight="1">
      <c r="B702" s="71" t="s">
        <v>13</v>
      </c>
      <c r="C702" s="71" t="s">
        <v>9133</v>
      </c>
      <c r="D702" s="71" t="s">
        <v>9002</v>
      </c>
    </row>
    <row r="703" ht="14.25" customHeight="1">
      <c r="C703" s="71" t="s">
        <v>4016</v>
      </c>
      <c r="D703" s="71" t="s">
        <v>11850</v>
      </c>
    </row>
    <row r="704" ht="14.25" customHeight="1">
      <c r="A704" s="71" t="s">
        <v>10014</v>
      </c>
      <c r="B704" s="71" t="s">
        <v>41</v>
      </c>
      <c r="C704" s="71" t="s">
        <v>314</v>
      </c>
      <c r="D704" s="71" t="s">
        <v>11851</v>
      </c>
    </row>
    <row r="705" ht="14.25" customHeight="1">
      <c r="A705" s="71" t="s">
        <v>10024</v>
      </c>
      <c r="B705" s="71" t="s">
        <v>40</v>
      </c>
      <c r="C705" s="71" t="s">
        <v>9034</v>
      </c>
      <c r="D705" s="71" t="s">
        <v>11852</v>
      </c>
    </row>
    <row r="706" ht="14.25" customHeight="1">
      <c r="C706" s="71" t="s">
        <v>11684</v>
      </c>
      <c r="D706" s="71" t="s">
        <v>11853</v>
      </c>
    </row>
    <row r="707" ht="14.25" customHeight="1">
      <c r="C707" s="71" t="s">
        <v>11854</v>
      </c>
      <c r="D707" s="71" t="s">
        <v>11855</v>
      </c>
    </row>
    <row r="708" ht="14.25" customHeight="1">
      <c r="C708" s="71" t="s">
        <v>10030</v>
      </c>
      <c r="D708" s="71" t="s">
        <v>11856</v>
      </c>
    </row>
    <row r="709" ht="14.25" customHeight="1">
      <c r="C709" s="71" t="s">
        <v>11857</v>
      </c>
      <c r="D709" s="71" t="s">
        <v>10863</v>
      </c>
    </row>
    <row r="710" ht="14.25" customHeight="1">
      <c r="C710" s="71" t="s">
        <v>130</v>
      </c>
      <c r="D710" s="71" t="s">
        <v>11858</v>
      </c>
    </row>
    <row r="711" ht="14.25" customHeight="1">
      <c r="C711" s="71" t="s">
        <v>11859</v>
      </c>
      <c r="D711" s="71" t="s">
        <v>9216</v>
      </c>
    </row>
    <row r="712" ht="14.25" customHeight="1">
      <c r="C712" s="71" t="s">
        <v>11860</v>
      </c>
      <c r="D712" s="71" t="s">
        <v>11861</v>
      </c>
    </row>
    <row r="713" ht="14.25" customHeight="1">
      <c r="C713" s="71" t="s">
        <v>11862</v>
      </c>
      <c r="D713" s="71" t="s">
        <v>11863</v>
      </c>
    </row>
    <row r="714" ht="14.25" customHeight="1">
      <c r="C714" s="71" t="s">
        <v>11864</v>
      </c>
      <c r="D714" s="71" t="s">
        <v>11865</v>
      </c>
    </row>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36">
    <mergeCell ref="C205:C206"/>
    <mergeCell ref="C218:C219"/>
    <mergeCell ref="B178:B179"/>
    <mergeCell ref="B180:B185"/>
    <mergeCell ref="C181:C182"/>
    <mergeCell ref="B186:B193"/>
    <mergeCell ref="B194:B207"/>
    <mergeCell ref="C195:C196"/>
    <mergeCell ref="C198:C199"/>
    <mergeCell ref="B93:B137"/>
    <mergeCell ref="B138:B171"/>
    <mergeCell ref="B208:B246"/>
    <mergeCell ref="B247:B262"/>
    <mergeCell ref="B263:B265"/>
    <mergeCell ref="B266:B268"/>
    <mergeCell ref="B269:B271"/>
    <mergeCell ref="B272:B333"/>
    <mergeCell ref="B334:B339"/>
    <mergeCell ref="B346:B367"/>
    <mergeCell ref="B368:B372"/>
    <mergeCell ref="B374:B381"/>
    <mergeCell ref="B382:B384"/>
    <mergeCell ref="B385:B387"/>
    <mergeCell ref="B388:B456"/>
    <mergeCell ref="B457:B502"/>
    <mergeCell ref="B503:B534"/>
    <mergeCell ref="B535:B537"/>
    <mergeCell ref="B538:B558"/>
    <mergeCell ref="B559:B564"/>
    <mergeCell ref="B566:B567"/>
    <mergeCell ref="B702:B703"/>
    <mergeCell ref="B705:B714"/>
    <mergeCell ref="B568:B644"/>
    <mergeCell ref="B645:B661"/>
    <mergeCell ref="B662:B669"/>
    <mergeCell ref="B670:B678"/>
    <mergeCell ref="B679:B680"/>
    <mergeCell ref="B681:B697"/>
    <mergeCell ref="B698:B701"/>
    <mergeCell ref="A93:A177"/>
    <mergeCell ref="A178:A179"/>
    <mergeCell ref="A180:A185"/>
    <mergeCell ref="A186:A207"/>
    <mergeCell ref="A208:A265"/>
    <mergeCell ref="A266:A268"/>
    <mergeCell ref="A269:A271"/>
    <mergeCell ref="A272:A345"/>
    <mergeCell ref="A346:A367"/>
    <mergeCell ref="A368:A372"/>
    <mergeCell ref="A374:A381"/>
    <mergeCell ref="A382:A384"/>
    <mergeCell ref="A385:A387"/>
    <mergeCell ref="A388:A456"/>
    <mergeCell ref="A681:A703"/>
    <mergeCell ref="A705:A714"/>
    <mergeCell ref="A457:A534"/>
    <mergeCell ref="A535:A537"/>
    <mergeCell ref="A538:A558"/>
    <mergeCell ref="A559:A567"/>
    <mergeCell ref="A568:A669"/>
    <mergeCell ref="A670:A678"/>
    <mergeCell ref="A679:A680"/>
    <mergeCell ref="C388:C390"/>
    <mergeCell ref="C418:C421"/>
    <mergeCell ref="C424:C425"/>
    <mergeCell ref="C437:C438"/>
    <mergeCell ref="C440:C442"/>
    <mergeCell ref="C444:C446"/>
    <mergeCell ref="C455:C456"/>
    <mergeCell ref="C457:C458"/>
    <mergeCell ref="C467:C468"/>
    <mergeCell ref="C474:C476"/>
    <mergeCell ref="C483:C484"/>
    <mergeCell ref="C494:C496"/>
    <mergeCell ref="C523:C530"/>
    <mergeCell ref="C533:C534"/>
    <mergeCell ref="C607:C608"/>
    <mergeCell ref="C622:C623"/>
    <mergeCell ref="C637:C638"/>
    <mergeCell ref="C658:C659"/>
    <mergeCell ref="C538:C539"/>
    <mergeCell ref="C542:C543"/>
    <mergeCell ref="C544:C545"/>
    <mergeCell ref="C561:C562"/>
    <mergeCell ref="C576:C577"/>
    <mergeCell ref="C580:C581"/>
    <mergeCell ref="C604:C606"/>
    <mergeCell ref="A2:A31"/>
    <mergeCell ref="B2:B14"/>
    <mergeCell ref="C9:C12"/>
    <mergeCell ref="B15:B27"/>
    <mergeCell ref="C19:C22"/>
    <mergeCell ref="B28:B31"/>
    <mergeCell ref="A32:A37"/>
    <mergeCell ref="B32:B37"/>
    <mergeCell ref="C32:C33"/>
    <mergeCell ref="C62:C63"/>
    <mergeCell ref="C65:C66"/>
    <mergeCell ref="C76:C77"/>
    <mergeCell ref="C99:C102"/>
    <mergeCell ref="C105:C106"/>
    <mergeCell ref="C109:C110"/>
    <mergeCell ref="C113:C114"/>
    <mergeCell ref="C115:C118"/>
    <mergeCell ref="C119:C120"/>
    <mergeCell ref="C127:C129"/>
    <mergeCell ref="C143:C144"/>
    <mergeCell ref="C151:C154"/>
    <mergeCell ref="A38:A49"/>
    <mergeCell ref="B38:B45"/>
    <mergeCell ref="B46:B49"/>
    <mergeCell ref="A51:A92"/>
    <mergeCell ref="B51:B88"/>
    <mergeCell ref="B89:B91"/>
    <mergeCell ref="B172:B177"/>
    <mergeCell ref="C157:C158"/>
    <mergeCell ref="C161:C162"/>
    <mergeCell ref="C170:C171"/>
    <mergeCell ref="C223:C225"/>
    <mergeCell ref="C226:C227"/>
    <mergeCell ref="C239:C240"/>
    <mergeCell ref="C248:C249"/>
    <mergeCell ref="C272:C273"/>
    <mergeCell ref="C278:C279"/>
    <mergeCell ref="C298:C299"/>
    <mergeCell ref="C304:C306"/>
    <mergeCell ref="C311:C312"/>
    <mergeCell ref="C314:C315"/>
    <mergeCell ref="C316:C317"/>
    <mergeCell ref="C324:C329"/>
    <mergeCell ref="C334:C335"/>
    <mergeCell ref="B340:B345"/>
    <mergeCell ref="C350:C351"/>
    <mergeCell ref="C357:C358"/>
    <mergeCell ref="C361:C362"/>
    <mergeCell ref="C364:C365"/>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2D0"/>
    <pageSetUpPr/>
  </sheetPr>
  <sheetViews>
    <sheetView workbookViewId="0"/>
  </sheetViews>
  <sheetFormatPr customHeight="1" defaultColWidth="12.63" defaultRowHeight="15.0"/>
  <cols>
    <col customWidth="1" min="1" max="1" width="33.88"/>
    <col customWidth="1" min="2" max="2" width="14.88"/>
    <col customWidth="1" min="3" max="3" width="52.88"/>
    <col customWidth="1" min="4" max="4" width="50.13"/>
    <col customWidth="1" min="5" max="26" width="8.63"/>
  </cols>
  <sheetData>
    <row r="1" ht="14.25" customHeight="1">
      <c r="A1" s="70" t="s">
        <v>8962</v>
      </c>
      <c r="B1" s="70" t="s">
        <v>8963</v>
      </c>
      <c r="C1" s="70" t="s">
        <v>8964</v>
      </c>
      <c r="D1" s="70" t="s">
        <v>8965</v>
      </c>
    </row>
    <row r="2" ht="14.25" customHeight="1">
      <c r="A2" s="71" t="s">
        <v>8966</v>
      </c>
      <c r="B2" s="71" t="s">
        <v>40</v>
      </c>
      <c r="C2" s="71" t="s">
        <v>10735</v>
      </c>
      <c r="D2" s="71" t="s">
        <v>11866</v>
      </c>
    </row>
    <row r="3" ht="14.25" customHeight="1">
      <c r="C3" s="71" t="s">
        <v>9810</v>
      </c>
      <c r="D3" s="71" t="s">
        <v>8973</v>
      </c>
    </row>
    <row r="4" ht="14.25" customHeight="1">
      <c r="D4" s="71" t="s">
        <v>11530</v>
      </c>
    </row>
    <row r="5" ht="14.25" customHeight="1">
      <c r="C5" s="71" t="s">
        <v>805</v>
      </c>
      <c r="D5" s="71" t="s">
        <v>11867</v>
      </c>
    </row>
    <row r="6" ht="14.25" customHeight="1">
      <c r="C6" s="71" t="s">
        <v>6057</v>
      </c>
      <c r="D6" s="71" t="s">
        <v>9034</v>
      </c>
    </row>
    <row r="7" ht="14.25" customHeight="1">
      <c r="D7" s="71" t="s">
        <v>9028</v>
      </c>
    </row>
    <row r="8" ht="14.25" customHeight="1">
      <c r="C8" s="71" t="s">
        <v>2853</v>
      </c>
      <c r="D8" s="71" t="s">
        <v>11538</v>
      </c>
    </row>
    <row r="9" ht="14.25" customHeight="1">
      <c r="C9" s="71" t="s">
        <v>11868</v>
      </c>
      <c r="D9" s="71" t="s">
        <v>405</v>
      </c>
    </row>
    <row r="10" ht="14.25" customHeight="1">
      <c r="C10" s="71" t="s">
        <v>11869</v>
      </c>
      <c r="D10" s="71" t="s">
        <v>11366</v>
      </c>
    </row>
    <row r="11" ht="14.25" customHeight="1">
      <c r="C11" s="71" t="s">
        <v>128</v>
      </c>
      <c r="D11" s="71" t="s">
        <v>9055</v>
      </c>
    </row>
    <row r="12" ht="14.25" customHeight="1">
      <c r="C12" s="71" t="s">
        <v>10582</v>
      </c>
      <c r="D12" s="71" t="s">
        <v>9028</v>
      </c>
    </row>
    <row r="13" ht="14.25" customHeight="1">
      <c r="C13" s="71" t="s">
        <v>3320</v>
      </c>
      <c r="D13" s="71" t="s">
        <v>9525</v>
      </c>
    </row>
    <row r="14" ht="14.25" customHeight="1">
      <c r="C14" s="71" t="s">
        <v>11870</v>
      </c>
      <c r="D14" s="71" t="s">
        <v>11871</v>
      </c>
    </row>
    <row r="15" ht="14.25" customHeight="1">
      <c r="C15" s="71" t="s">
        <v>6538</v>
      </c>
      <c r="D15" s="71" t="s">
        <v>11872</v>
      </c>
    </row>
    <row r="16" ht="14.25" customHeight="1">
      <c r="D16" s="71" t="s">
        <v>8978</v>
      </c>
    </row>
    <row r="17" ht="14.25" customHeight="1">
      <c r="C17" s="71" t="s">
        <v>6576</v>
      </c>
      <c r="D17" s="71" t="s">
        <v>8986</v>
      </c>
    </row>
    <row r="18" ht="14.25" customHeight="1">
      <c r="C18" s="71" t="s">
        <v>312</v>
      </c>
      <c r="D18" s="71" t="s">
        <v>8994</v>
      </c>
    </row>
    <row r="19" ht="14.25" customHeight="1">
      <c r="C19" s="71" t="s">
        <v>3566</v>
      </c>
      <c r="D19" s="71" t="s">
        <v>9034</v>
      </c>
    </row>
    <row r="20" ht="14.25" customHeight="1">
      <c r="D20" s="71" t="s">
        <v>8989</v>
      </c>
    </row>
    <row r="21" ht="14.25" customHeight="1">
      <c r="D21" s="71" t="s">
        <v>8973</v>
      </c>
    </row>
    <row r="22" ht="14.25" customHeight="1">
      <c r="D22" s="71" t="s">
        <v>8968</v>
      </c>
    </row>
    <row r="23" ht="14.25" customHeight="1">
      <c r="D23" s="71" t="s">
        <v>11873</v>
      </c>
    </row>
    <row r="24" ht="14.25" customHeight="1">
      <c r="D24" s="71" t="s">
        <v>8994</v>
      </c>
    </row>
    <row r="25" ht="14.25" customHeight="1">
      <c r="D25" s="71" t="s">
        <v>11538</v>
      </c>
    </row>
    <row r="26" ht="14.25" customHeight="1">
      <c r="D26" s="71" t="s">
        <v>8976</v>
      </c>
    </row>
    <row r="27" ht="14.25" customHeight="1">
      <c r="D27" s="71" t="s">
        <v>11874</v>
      </c>
    </row>
    <row r="28" ht="14.25" customHeight="1">
      <c r="C28" s="71" t="s">
        <v>3596</v>
      </c>
      <c r="D28" s="71" t="s">
        <v>11560</v>
      </c>
    </row>
    <row r="29" ht="14.25" customHeight="1">
      <c r="D29" s="71" t="s">
        <v>11875</v>
      </c>
    </row>
    <row r="30" ht="14.25" customHeight="1">
      <c r="C30" s="71" t="s">
        <v>6654</v>
      </c>
      <c r="D30" s="71" t="s">
        <v>11876</v>
      </c>
    </row>
    <row r="31" ht="14.25" customHeight="1">
      <c r="C31" s="71" t="s">
        <v>5224</v>
      </c>
      <c r="D31" s="71" t="s">
        <v>11877</v>
      </c>
    </row>
    <row r="32" ht="14.25" customHeight="1">
      <c r="D32" s="71" t="s">
        <v>11878</v>
      </c>
    </row>
    <row r="33" ht="14.25" customHeight="1">
      <c r="C33" s="71" t="s">
        <v>11879</v>
      </c>
      <c r="D33" s="71" t="s">
        <v>8978</v>
      </c>
    </row>
    <row r="34" ht="14.25" customHeight="1">
      <c r="C34" s="71" t="s">
        <v>204</v>
      </c>
      <c r="D34" s="71" t="s">
        <v>9109</v>
      </c>
    </row>
    <row r="35" ht="14.25" customHeight="1">
      <c r="C35" s="71" t="s">
        <v>10905</v>
      </c>
      <c r="D35" s="71" t="s">
        <v>9118</v>
      </c>
    </row>
    <row r="36" ht="14.25" customHeight="1">
      <c r="C36" s="71" t="s">
        <v>213</v>
      </c>
      <c r="D36" s="71" t="s">
        <v>8973</v>
      </c>
    </row>
    <row r="37" ht="14.25" customHeight="1">
      <c r="C37" s="71" t="s">
        <v>9896</v>
      </c>
      <c r="D37" s="71" t="s">
        <v>9131</v>
      </c>
    </row>
    <row r="38" ht="14.25" customHeight="1">
      <c r="C38" s="71" t="s">
        <v>8576</v>
      </c>
      <c r="D38" s="71" t="s">
        <v>11880</v>
      </c>
    </row>
    <row r="39" ht="14.25" customHeight="1">
      <c r="D39" s="71" t="s">
        <v>8992</v>
      </c>
    </row>
    <row r="40" ht="14.25" customHeight="1">
      <c r="D40" s="71" t="s">
        <v>11881</v>
      </c>
    </row>
    <row r="41" ht="14.25" customHeight="1">
      <c r="D41" s="71" t="s">
        <v>11882</v>
      </c>
    </row>
    <row r="42" ht="14.25" customHeight="1">
      <c r="C42" s="71" t="s">
        <v>9215</v>
      </c>
      <c r="D42" s="71" t="s">
        <v>11883</v>
      </c>
    </row>
    <row r="43" ht="14.25" customHeight="1">
      <c r="C43" s="71" t="s">
        <v>4165</v>
      </c>
      <c r="D43" s="71" t="s">
        <v>8973</v>
      </c>
    </row>
    <row r="44" ht="14.25" customHeight="1">
      <c r="C44" s="71" t="s">
        <v>4294</v>
      </c>
      <c r="D44" s="71" t="s">
        <v>11884</v>
      </c>
    </row>
    <row r="45" ht="14.25" customHeight="1">
      <c r="D45" s="71" t="s">
        <v>11885</v>
      </c>
    </row>
    <row r="46" ht="14.25" customHeight="1">
      <c r="D46" s="71" t="s">
        <v>11886</v>
      </c>
    </row>
    <row r="47" ht="14.25" customHeight="1">
      <c r="D47" s="71" t="s">
        <v>10577</v>
      </c>
    </row>
    <row r="48" ht="14.25" customHeight="1">
      <c r="D48" s="71" t="s">
        <v>8976</v>
      </c>
    </row>
    <row r="49" ht="14.25" customHeight="1">
      <c r="B49" s="71" t="s">
        <v>41</v>
      </c>
      <c r="C49" s="71" t="s">
        <v>11887</v>
      </c>
      <c r="D49" s="71" t="s">
        <v>11888</v>
      </c>
    </row>
    <row r="50" ht="14.25" customHeight="1">
      <c r="C50" s="71" t="s">
        <v>6057</v>
      </c>
      <c r="D50" s="71" t="s">
        <v>10298</v>
      </c>
    </row>
    <row r="51" ht="14.25" customHeight="1">
      <c r="D51" s="71" t="s">
        <v>8976</v>
      </c>
    </row>
    <row r="52" ht="14.25" customHeight="1">
      <c r="C52" s="71" t="s">
        <v>1058</v>
      </c>
      <c r="D52" s="71" t="s">
        <v>9012</v>
      </c>
    </row>
    <row r="53" ht="14.25" customHeight="1">
      <c r="C53" s="71" t="s">
        <v>11889</v>
      </c>
      <c r="D53" s="71" t="s">
        <v>8976</v>
      </c>
    </row>
    <row r="54" ht="14.25" customHeight="1">
      <c r="C54" s="71" t="s">
        <v>312</v>
      </c>
      <c r="D54" s="71" t="s">
        <v>11890</v>
      </c>
    </row>
    <row r="55" ht="14.25" customHeight="1">
      <c r="D55" s="71" t="s">
        <v>9118</v>
      </c>
    </row>
    <row r="56" ht="14.25" customHeight="1">
      <c r="C56" s="71" t="s">
        <v>3566</v>
      </c>
      <c r="D56" s="71" t="s">
        <v>11891</v>
      </c>
    </row>
    <row r="57" ht="14.25" customHeight="1">
      <c r="D57" s="71" t="s">
        <v>9071</v>
      </c>
    </row>
    <row r="58" ht="14.25" customHeight="1">
      <c r="D58" s="71" t="s">
        <v>9055</v>
      </c>
    </row>
    <row r="59" ht="14.25" customHeight="1">
      <c r="D59" s="71" t="s">
        <v>8978</v>
      </c>
    </row>
    <row r="60" ht="14.25" customHeight="1">
      <c r="C60" s="71" t="s">
        <v>5242</v>
      </c>
      <c r="D60" s="71" t="s">
        <v>8973</v>
      </c>
    </row>
    <row r="61" ht="14.25" customHeight="1">
      <c r="C61" s="71" t="s">
        <v>10905</v>
      </c>
      <c r="D61" s="71" t="s">
        <v>9028</v>
      </c>
    </row>
    <row r="62" ht="14.25" customHeight="1">
      <c r="C62" s="71" t="s">
        <v>8576</v>
      </c>
      <c r="D62" s="71" t="s">
        <v>10298</v>
      </c>
    </row>
    <row r="63" ht="14.25" customHeight="1">
      <c r="C63" s="71" t="s">
        <v>9090</v>
      </c>
      <c r="D63" s="71" t="s">
        <v>9249</v>
      </c>
    </row>
    <row r="64" ht="14.25" customHeight="1">
      <c r="C64" s="71" t="s">
        <v>4294</v>
      </c>
      <c r="D64" s="71" t="s">
        <v>11892</v>
      </c>
    </row>
    <row r="65" ht="14.25" customHeight="1">
      <c r="B65" s="71" t="s">
        <v>13</v>
      </c>
      <c r="C65" s="71" t="s">
        <v>3596</v>
      </c>
      <c r="D65" s="71" t="s">
        <v>10608</v>
      </c>
    </row>
    <row r="66" ht="14.25" customHeight="1">
      <c r="C66" s="71" t="s">
        <v>233</v>
      </c>
      <c r="D66" s="71" t="s">
        <v>11893</v>
      </c>
    </row>
    <row r="67" ht="14.25" customHeight="1">
      <c r="D67" s="71" t="s">
        <v>11894</v>
      </c>
    </row>
    <row r="68" ht="14.25" customHeight="1">
      <c r="C68" s="71" t="s">
        <v>244</v>
      </c>
      <c r="D68" s="71" t="s">
        <v>9249</v>
      </c>
    </row>
    <row r="69" ht="14.25" customHeight="1">
      <c r="C69" s="71" t="s">
        <v>11895</v>
      </c>
      <c r="D69" s="71" t="s">
        <v>9174</v>
      </c>
    </row>
    <row r="70" ht="14.25" customHeight="1">
      <c r="A70" s="71" t="s">
        <v>9022</v>
      </c>
      <c r="B70" s="71" t="s">
        <v>40</v>
      </c>
      <c r="C70" s="71" t="s">
        <v>9034</v>
      </c>
      <c r="D70" s="71" t="s">
        <v>8968</v>
      </c>
    </row>
    <row r="71" ht="14.25" customHeight="1">
      <c r="D71" s="71" t="s">
        <v>9028</v>
      </c>
    </row>
    <row r="72" ht="14.25" customHeight="1">
      <c r="D72" s="71" t="s">
        <v>11896</v>
      </c>
    </row>
    <row r="73" ht="14.25" customHeight="1">
      <c r="C73" s="71" t="s">
        <v>11452</v>
      </c>
      <c r="D73" s="71" t="s">
        <v>8994</v>
      </c>
    </row>
    <row r="74" ht="14.25" customHeight="1">
      <c r="C74" s="71" t="s">
        <v>11897</v>
      </c>
      <c r="D74" s="71" t="s">
        <v>10610</v>
      </c>
    </row>
    <row r="75" ht="14.25" customHeight="1">
      <c r="C75" s="71" t="s">
        <v>11898</v>
      </c>
      <c r="D75" s="71" t="s">
        <v>9645</v>
      </c>
    </row>
    <row r="76" ht="14.25" customHeight="1">
      <c r="C76" s="71" t="s">
        <v>11899</v>
      </c>
      <c r="D76" s="71" t="s">
        <v>11900</v>
      </c>
    </row>
    <row r="77" ht="14.25" customHeight="1">
      <c r="C77" s="71" t="s">
        <v>159</v>
      </c>
      <c r="D77" s="71" t="s">
        <v>9028</v>
      </c>
    </row>
    <row r="78" ht="14.25" customHeight="1">
      <c r="C78" s="71" t="s">
        <v>8150</v>
      </c>
      <c r="D78" s="71" t="s">
        <v>9055</v>
      </c>
    </row>
    <row r="79" ht="14.25" customHeight="1">
      <c r="C79" s="71" t="s">
        <v>11901</v>
      </c>
      <c r="D79" s="71" t="s">
        <v>11902</v>
      </c>
    </row>
    <row r="80" ht="14.25" customHeight="1">
      <c r="C80" s="71" t="s">
        <v>182</v>
      </c>
      <c r="D80" s="71" t="s">
        <v>9028</v>
      </c>
    </row>
    <row r="81" ht="14.25" customHeight="1">
      <c r="C81" s="71" t="s">
        <v>11903</v>
      </c>
      <c r="D81" s="71" t="s">
        <v>9055</v>
      </c>
    </row>
    <row r="82" ht="14.25" customHeight="1">
      <c r="C82" s="71" t="s">
        <v>11904</v>
      </c>
      <c r="D82" s="71" t="s">
        <v>11905</v>
      </c>
    </row>
    <row r="83" ht="14.25" customHeight="1">
      <c r="C83" s="71" t="s">
        <v>240</v>
      </c>
      <c r="D83" s="71" t="s">
        <v>11177</v>
      </c>
    </row>
    <row r="84" ht="14.25" customHeight="1">
      <c r="C84" s="71" t="s">
        <v>4202</v>
      </c>
      <c r="D84" s="71" t="s">
        <v>9055</v>
      </c>
    </row>
    <row r="85" ht="14.25" customHeight="1">
      <c r="C85" s="71" t="s">
        <v>4247</v>
      </c>
      <c r="D85" s="71" t="s">
        <v>9028</v>
      </c>
    </row>
    <row r="86" ht="14.25" customHeight="1">
      <c r="C86" s="71" t="s">
        <v>261</v>
      </c>
      <c r="D86" s="71" t="s">
        <v>9034</v>
      </c>
    </row>
    <row r="87" ht="14.25" customHeight="1">
      <c r="C87" s="71" t="s">
        <v>284</v>
      </c>
      <c r="D87" s="71" t="s">
        <v>11906</v>
      </c>
    </row>
    <row r="88" ht="14.25" customHeight="1">
      <c r="C88" s="71" t="s">
        <v>286</v>
      </c>
      <c r="D88" s="71" t="s">
        <v>11900</v>
      </c>
    </row>
    <row r="89" ht="14.25" customHeight="1">
      <c r="A89" s="71" t="s">
        <v>9058</v>
      </c>
      <c r="B89" s="71" t="s">
        <v>40</v>
      </c>
      <c r="C89" s="71" t="s">
        <v>9034</v>
      </c>
      <c r="D89" s="71" t="s">
        <v>11907</v>
      </c>
    </row>
    <row r="90" ht="14.25" customHeight="1">
      <c r="D90" s="71" t="s">
        <v>11908</v>
      </c>
    </row>
    <row r="91" ht="14.25" customHeight="1">
      <c r="C91" s="71" t="s">
        <v>11390</v>
      </c>
      <c r="D91" s="71" t="s">
        <v>11909</v>
      </c>
    </row>
    <row r="92" ht="14.25" customHeight="1">
      <c r="C92" s="71" t="s">
        <v>11910</v>
      </c>
      <c r="D92" s="71" t="s">
        <v>9430</v>
      </c>
    </row>
    <row r="93" ht="14.25" customHeight="1">
      <c r="D93" s="71" t="s">
        <v>8978</v>
      </c>
    </row>
    <row r="94" ht="14.25" customHeight="1">
      <c r="C94" s="71" t="s">
        <v>5909</v>
      </c>
      <c r="D94" s="71" t="s">
        <v>9086</v>
      </c>
    </row>
    <row r="95" ht="14.25" customHeight="1">
      <c r="C95" s="71" t="s">
        <v>11911</v>
      </c>
      <c r="D95" s="71" t="s">
        <v>11912</v>
      </c>
    </row>
    <row r="96" ht="14.25" customHeight="1">
      <c r="C96" s="71" t="s">
        <v>10629</v>
      </c>
      <c r="D96" s="71" t="s">
        <v>9067</v>
      </c>
    </row>
    <row r="97" ht="14.25" customHeight="1">
      <c r="C97" s="71" t="s">
        <v>9826</v>
      </c>
      <c r="D97" s="71" t="s">
        <v>10080</v>
      </c>
    </row>
    <row r="98" ht="14.25" customHeight="1">
      <c r="C98" s="71" t="s">
        <v>2918</v>
      </c>
      <c r="D98" s="71" t="s">
        <v>11913</v>
      </c>
    </row>
    <row r="99" ht="14.25" customHeight="1">
      <c r="D99" s="71" t="s">
        <v>11914</v>
      </c>
    </row>
    <row r="100" ht="14.25" customHeight="1">
      <c r="C100" s="71" t="s">
        <v>11915</v>
      </c>
      <c r="D100" s="71" t="s">
        <v>9055</v>
      </c>
    </row>
    <row r="101" ht="14.25" customHeight="1">
      <c r="C101" s="71" t="s">
        <v>8981</v>
      </c>
      <c r="D101" s="71" t="s">
        <v>9216</v>
      </c>
    </row>
    <row r="102" ht="14.25" customHeight="1">
      <c r="D102" s="71" t="s">
        <v>8982</v>
      </c>
    </row>
    <row r="103" ht="14.25" customHeight="1">
      <c r="C103" s="71" t="s">
        <v>128</v>
      </c>
      <c r="D103" s="71" t="s">
        <v>9864</v>
      </c>
    </row>
    <row r="104" ht="14.25" customHeight="1">
      <c r="C104" s="71" t="s">
        <v>11916</v>
      </c>
      <c r="D104" s="71" t="s">
        <v>9095</v>
      </c>
    </row>
    <row r="105" ht="14.25" customHeight="1">
      <c r="C105" s="71" t="s">
        <v>162</v>
      </c>
      <c r="D105" s="71" t="s">
        <v>9060</v>
      </c>
    </row>
    <row r="106" ht="14.25" customHeight="1">
      <c r="C106" s="71" t="s">
        <v>3596</v>
      </c>
      <c r="D106" s="71" t="s">
        <v>11917</v>
      </c>
    </row>
    <row r="107" ht="14.25" customHeight="1">
      <c r="C107" s="71" t="s">
        <v>6654</v>
      </c>
      <c r="D107" s="71" t="s">
        <v>11918</v>
      </c>
    </row>
    <row r="108" ht="14.25" customHeight="1">
      <c r="C108" s="71" t="s">
        <v>8359</v>
      </c>
      <c r="D108" s="71" t="s">
        <v>11919</v>
      </c>
    </row>
    <row r="109" ht="14.25" customHeight="1">
      <c r="D109" s="71" t="s">
        <v>11920</v>
      </c>
    </row>
    <row r="110" ht="14.25" customHeight="1">
      <c r="D110" s="71" t="s">
        <v>9579</v>
      </c>
    </row>
    <row r="111" ht="14.25" customHeight="1">
      <c r="C111" s="71" t="s">
        <v>10636</v>
      </c>
      <c r="D111" s="71" t="s">
        <v>11921</v>
      </c>
    </row>
    <row r="112" ht="14.25" customHeight="1">
      <c r="C112" s="71" t="s">
        <v>11922</v>
      </c>
      <c r="D112" s="71" t="s">
        <v>10627</v>
      </c>
    </row>
    <row r="113" ht="14.25" customHeight="1">
      <c r="C113" s="71" t="s">
        <v>11400</v>
      </c>
      <c r="D113" s="71" t="s">
        <v>11923</v>
      </c>
    </row>
    <row r="114" ht="14.25" customHeight="1">
      <c r="C114" s="71" t="s">
        <v>262</v>
      </c>
      <c r="D114" s="71" t="s">
        <v>9292</v>
      </c>
    </row>
    <row r="115" ht="14.25" customHeight="1">
      <c r="C115" s="71" t="s">
        <v>11924</v>
      </c>
      <c r="D115" s="71" t="s">
        <v>9096</v>
      </c>
    </row>
    <row r="116" ht="14.25" customHeight="1">
      <c r="C116" s="71" t="s">
        <v>11271</v>
      </c>
      <c r="D116" s="71" t="s">
        <v>9825</v>
      </c>
    </row>
    <row r="117" ht="14.25" customHeight="1">
      <c r="C117" s="71" t="s">
        <v>11925</v>
      </c>
      <c r="D117" s="71" t="s">
        <v>11926</v>
      </c>
    </row>
    <row r="118" ht="14.25" customHeight="1">
      <c r="B118" s="71" t="s">
        <v>41</v>
      </c>
      <c r="C118" s="71" t="s">
        <v>11927</v>
      </c>
      <c r="D118" s="71" t="s">
        <v>11117</v>
      </c>
    </row>
    <row r="119" ht="14.25" customHeight="1">
      <c r="C119" s="71" t="s">
        <v>11928</v>
      </c>
      <c r="D119" s="71" t="s">
        <v>9034</v>
      </c>
    </row>
    <row r="120" ht="14.25" customHeight="1">
      <c r="A120" s="71" t="s">
        <v>9094</v>
      </c>
      <c r="B120" s="71" t="s">
        <v>41</v>
      </c>
      <c r="C120" s="71" t="s">
        <v>11929</v>
      </c>
      <c r="D120" s="71" t="s">
        <v>11930</v>
      </c>
    </row>
    <row r="121" ht="14.25" customHeight="1">
      <c r="C121" s="71" t="s">
        <v>11931</v>
      </c>
      <c r="D121" s="71" t="s">
        <v>9095</v>
      </c>
    </row>
    <row r="122" ht="14.25" customHeight="1">
      <c r="C122" s="71" t="s">
        <v>11932</v>
      </c>
      <c r="D122" s="71" t="s">
        <v>11933</v>
      </c>
    </row>
    <row r="123" ht="14.25" customHeight="1">
      <c r="A123" s="71" t="s">
        <v>9097</v>
      </c>
      <c r="B123" s="71" t="s">
        <v>40</v>
      </c>
      <c r="C123" s="71" t="s">
        <v>11404</v>
      </c>
      <c r="D123" s="71" t="s">
        <v>11934</v>
      </c>
    </row>
    <row r="124" ht="14.25" customHeight="1">
      <c r="C124" s="71" t="s">
        <v>5754</v>
      </c>
      <c r="D124" s="71" t="s">
        <v>9111</v>
      </c>
    </row>
    <row r="125" ht="14.25" customHeight="1">
      <c r="C125" s="71" t="s">
        <v>68</v>
      </c>
      <c r="D125" s="71" t="s">
        <v>9073</v>
      </c>
    </row>
    <row r="126" ht="14.25" customHeight="1">
      <c r="C126" s="71" t="s">
        <v>11935</v>
      </c>
      <c r="D126" s="71" t="s">
        <v>9020</v>
      </c>
    </row>
    <row r="127" ht="14.25" customHeight="1">
      <c r="C127" s="71" t="s">
        <v>10628</v>
      </c>
      <c r="D127" s="71" t="s">
        <v>9354</v>
      </c>
    </row>
    <row r="128" ht="14.25" customHeight="1">
      <c r="C128" s="71" t="s">
        <v>10656</v>
      </c>
      <c r="D128" s="71" t="s">
        <v>9073</v>
      </c>
    </row>
    <row r="129" ht="14.25" customHeight="1">
      <c r="C129" s="71" t="s">
        <v>10879</v>
      </c>
      <c r="D129" s="71" t="s">
        <v>9073</v>
      </c>
    </row>
    <row r="130" ht="14.25" customHeight="1">
      <c r="C130" s="71" t="s">
        <v>11310</v>
      </c>
      <c r="D130" s="71" t="s">
        <v>10099</v>
      </c>
    </row>
    <row r="131" ht="14.25" customHeight="1">
      <c r="C131" s="71" t="s">
        <v>89</v>
      </c>
      <c r="D131" s="71" t="s">
        <v>11936</v>
      </c>
    </row>
    <row r="132" ht="14.25" customHeight="1">
      <c r="C132" s="71" t="s">
        <v>763</v>
      </c>
      <c r="D132" s="71" t="s">
        <v>9109</v>
      </c>
    </row>
    <row r="133" ht="14.25" customHeight="1">
      <c r="D133" s="71" t="s">
        <v>11937</v>
      </c>
    </row>
    <row r="134" ht="14.25" customHeight="1">
      <c r="C134" s="71" t="s">
        <v>7652</v>
      </c>
      <c r="D134" s="71" t="s">
        <v>9073</v>
      </c>
    </row>
    <row r="135" ht="14.25" customHeight="1">
      <c r="C135" s="71" t="s">
        <v>11938</v>
      </c>
      <c r="D135" s="71" t="s">
        <v>9073</v>
      </c>
    </row>
    <row r="136" ht="14.25" customHeight="1">
      <c r="C136" s="71" t="s">
        <v>6049</v>
      </c>
      <c r="D136" s="71" t="s">
        <v>9075</v>
      </c>
    </row>
    <row r="137" ht="14.25" customHeight="1">
      <c r="C137" s="71" t="s">
        <v>11939</v>
      </c>
      <c r="D137" s="71" t="s">
        <v>11940</v>
      </c>
    </row>
    <row r="138" ht="14.25" customHeight="1">
      <c r="C138" s="71" t="s">
        <v>6065</v>
      </c>
      <c r="D138" s="71" t="s">
        <v>9162</v>
      </c>
    </row>
    <row r="139" ht="14.25" customHeight="1">
      <c r="C139" s="71" t="s">
        <v>11941</v>
      </c>
      <c r="D139" s="71" t="s">
        <v>9034</v>
      </c>
    </row>
    <row r="140" ht="14.25" customHeight="1">
      <c r="C140" s="71" t="s">
        <v>11942</v>
      </c>
      <c r="D140" s="71" t="s">
        <v>9073</v>
      </c>
    </row>
    <row r="141" ht="14.25" customHeight="1">
      <c r="C141" s="71" t="s">
        <v>9121</v>
      </c>
      <c r="D141" s="71" t="s">
        <v>9073</v>
      </c>
    </row>
    <row r="142" ht="14.25" customHeight="1">
      <c r="C142" s="71" t="s">
        <v>298</v>
      </c>
      <c r="D142" s="71" t="s">
        <v>9073</v>
      </c>
    </row>
    <row r="143" ht="14.25" customHeight="1">
      <c r="C143" s="71" t="s">
        <v>123</v>
      </c>
      <c r="D143" s="71" t="s">
        <v>11943</v>
      </c>
    </row>
    <row r="144" ht="14.25" customHeight="1">
      <c r="D144" s="71" t="s">
        <v>9075</v>
      </c>
    </row>
    <row r="145" ht="14.25" customHeight="1">
      <c r="C145" s="71" t="s">
        <v>11944</v>
      </c>
      <c r="D145" s="71" t="s">
        <v>8982</v>
      </c>
    </row>
    <row r="146" ht="14.25" customHeight="1">
      <c r="C146" s="71" t="s">
        <v>11945</v>
      </c>
      <c r="D146" s="71" t="s">
        <v>9111</v>
      </c>
    </row>
    <row r="147" ht="14.25" customHeight="1">
      <c r="C147" s="71" t="s">
        <v>9133</v>
      </c>
      <c r="D147" s="71" t="s">
        <v>11196</v>
      </c>
    </row>
    <row r="148" ht="14.25" customHeight="1">
      <c r="D148" s="71" t="s">
        <v>11946</v>
      </c>
    </row>
    <row r="149" ht="14.25" customHeight="1">
      <c r="D149" s="71" t="s">
        <v>11947</v>
      </c>
    </row>
    <row r="150" ht="14.25" customHeight="1">
      <c r="D150" s="71" t="s">
        <v>11948</v>
      </c>
    </row>
    <row r="151" ht="14.25" customHeight="1">
      <c r="D151" s="71" t="s">
        <v>9073</v>
      </c>
    </row>
    <row r="152" ht="14.25" customHeight="1">
      <c r="C152" s="71" t="s">
        <v>3059</v>
      </c>
      <c r="D152" s="71" t="s">
        <v>9883</v>
      </c>
    </row>
    <row r="153" ht="14.25" customHeight="1">
      <c r="D153" s="71" t="s">
        <v>9073</v>
      </c>
    </row>
    <row r="154" ht="14.25" customHeight="1">
      <c r="C154" s="71" t="s">
        <v>10094</v>
      </c>
      <c r="D154" s="71" t="s">
        <v>11949</v>
      </c>
    </row>
    <row r="155" ht="14.25" customHeight="1">
      <c r="C155" s="71" t="s">
        <v>11950</v>
      </c>
      <c r="D155" s="71" t="s">
        <v>9111</v>
      </c>
    </row>
    <row r="156" ht="14.25" customHeight="1">
      <c r="C156" s="71" t="s">
        <v>10942</v>
      </c>
      <c r="D156" s="71" t="s">
        <v>9141</v>
      </c>
    </row>
    <row r="157" ht="14.25" customHeight="1">
      <c r="C157" s="71" t="s">
        <v>11951</v>
      </c>
      <c r="D157" s="71" t="s">
        <v>10080</v>
      </c>
    </row>
    <row r="158" ht="14.25" customHeight="1">
      <c r="C158" s="71" t="s">
        <v>6322</v>
      </c>
      <c r="D158" s="71" t="s">
        <v>9122</v>
      </c>
    </row>
    <row r="159" ht="14.25" customHeight="1">
      <c r="D159" s="71" t="s">
        <v>9073</v>
      </c>
    </row>
    <row r="160" ht="14.25" customHeight="1">
      <c r="D160" s="71" t="s">
        <v>11952</v>
      </c>
    </row>
    <row r="161" ht="14.25" customHeight="1">
      <c r="C161" s="71" t="s">
        <v>141</v>
      </c>
      <c r="D161" s="71" t="s">
        <v>11953</v>
      </c>
    </row>
    <row r="162" ht="14.25" customHeight="1">
      <c r="C162" s="71" t="s">
        <v>3313</v>
      </c>
      <c r="D162" s="71" t="s">
        <v>9151</v>
      </c>
    </row>
    <row r="163" ht="14.25" customHeight="1">
      <c r="D163" s="71" t="s">
        <v>11954</v>
      </c>
    </row>
    <row r="164" ht="14.25" customHeight="1">
      <c r="C164" s="71" t="s">
        <v>11955</v>
      </c>
      <c r="D164" s="71" t="s">
        <v>11956</v>
      </c>
    </row>
    <row r="165" ht="14.25" customHeight="1">
      <c r="C165" s="71" t="s">
        <v>11957</v>
      </c>
      <c r="D165" s="71" t="s">
        <v>11958</v>
      </c>
    </row>
    <row r="166" ht="14.25" customHeight="1">
      <c r="C166" s="71" t="s">
        <v>6538</v>
      </c>
      <c r="D166" s="71" t="s">
        <v>11959</v>
      </c>
    </row>
    <row r="167" ht="14.25" customHeight="1">
      <c r="C167" s="71" t="s">
        <v>166</v>
      </c>
      <c r="D167" s="71" t="s">
        <v>11960</v>
      </c>
    </row>
    <row r="168" ht="14.25" customHeight="1">
      <c r="C168" s="71" t="s">
        <v>3509</v>
      </c>
      <c r="D168" s="71" t="s">
        <v>9034</v>
      </c>
    </row>
    <row r="169" ht="14.25" customHeight="1">
      <c r="D169" s="71" t="s">
        <v>11961</v>
      </c>
    </row>
    <row r="170" ht="14.25" customHeight="1">
      <c r="C170" s="71" t="s">
        <v>6632</v>
      </c>
      <c r="D170" s="71" t="s">
        <v>11962</v>
      </c>
    </row>
    <row r="171" ht="14.25" customHeight="1">
      <c r="C171" s="71" t="s">
        <v>3566</v>
      </c>
      <c r="D171" s="71" t="s">
        <v>9825</v>
      </c>
    </row>
    <row r="172" ht="14.25" customHeight="1">
      <c r="C172" s="71" t="s">
        <v>11963</v>
      </c>
      <c r="D172" s="71" t="s">
        <v>9073</v>
      </c>
    </row>
    <row r="173" ht="14.25" customHeight="1">
      <c r="C173" s="71" t="s">
        <v>184</v>
      </c>
      <c r="D173" s="71" t="s">
        <v>9109</v>
      </c>
    </row>
    <row r="174" ht="14.25" customHeight="1">
      <c r="D174" s="71" t="s">
        <v>9073</v>
      </c>
    </row>
    <row r="175" ht="14.25" customHeight="1">
      <c r="C175" s="71" t="s">
        <v>9505</v>
      </c>
      <c r="D175" s="71" t="s">
        <v>11964</v>
      </c>
    </row>
    <row r="176" ht="14.25" customHeight="1">
      <c r="D176" s="71" t="s">
        <v>9073</v>
      </c>
    </row>
    <row r="177" ht="14.25" customHeight="1">
      <c r="C177" s="71" t="s">
        <v>11312</v>
      </c>
      <c r="D177" s="71" t="s">
        <v>9151</v>
      </c>
    </row>
    <row r="178" ht="14.25" customHeight="1">
      <c r="C178" s="71" t="s">
        <v>315</v>
      </c>
      <c r="D178" s="71" t="s">
        <v>9075</v>
      </c>
    </row>
    <row r="179" ht="14.25" customHeight="1">
      <c r="C179" s="71" t="s">
        <v>11965</v>
      </c>
      <c r="D179" s="71" t="s">
        <v>9073</v>
      </c>
    </row>
    <row r="180" ht="14.25" customHeight="1">
      <c r="C180" s="71" t="s">
        <v>10673</v>
      </c>
      <c r="D180" s="71" t="s">
        <v>9883</v>
      </c>
    </row>
    <row r="181" ht="14.25" customHeight="1">
      <c r="C181" s="71" t="s">
        <v>11966</v>
      </c>
      <c r="D181" s="71" t="s">
        <v>9073</v>
      </c>
    </row>
    <row r="182" ht="14.25" customHeight="1">
      <c r="C182" s="71" t="s">
        <v>3810</v>
      </c>
      <c r="D182" s="71" t="s">
        <v>9071</v>
      </c>
    </row>
    <row r="183" ht="14.25" customHeight="1">
      <c r="C183" s="71" t="s">
        <v>3821</v>
      </c>
      <c r="D183" s="71" t="s">
        <v>9073</v>
      </c>
    </row>
    <row r="184" ht="14.25" customHeight="1">
      <c r="C184" s="71" t="s">
        <v>220</v>
      </c>
      <c r="D184" s="71" t="s">
        <v>11967</v>
      </c>
    </row>
    <row r="185" ht="14.25" customHeight="1">
      <c r="D185" s="71" t="s">
        <v>9962</v>
      </c>
    </row>
    <row r="186" ht="14.25" customHeight="1">
      <c r="C186" s="71" t="s">
        <v>3900</v>
      </c>
      <c r="D186" s="71" t="s">
        <v>9055</v>
      </c>
    </row>
    <row r="187" ht="14.25" customHeight="1">
      <c r="C187" s="71" t="s">
        <v>11968</v>
      </c>
      <c r="D187" s="71" t="s">
        <v>9073</v>
      </c>
    </row>
    <row r="188" ht="14.25" customHeight="1">
      <c r="C188" s="71" t="s">
        <v>231</v>
      </c>
      <c r="D188" s="71" t="s">
        <v>11969</v>
      </c>
    </row>
    <row r="189" ht="14.25" customHeight="1">
      <c r="C189" s="71" t="s">
        <v>4035</v>
      </c>
      <c r="D189" s="71" t="s">
        <v>11970</v>
      </c>
    </row>
    <row r="190" ht="14.25" customHeight="1">
      <c r="D190" s="71" t="s">
        <v>10124</v>
      </c>
    </row>
    <row r="191" ht="14.25" customHeight="1">
      <c r="C191" s="71" t="s">
        <v>11971</v>
      </c>
      <c r="D191" s="71" t="s">
        <v>9073</v>
      </c>
    </row>
    <row r="192" ht="14.25" customHeight="1">
      <c r="C192" s="71" t="s">
        <v>254</v>
      </c>
      <c r="D192" s="71" t="s">
        <v>9073</v>
      </c>
    </row>
    <row r="193" ht="14.25" customHeight="1">
      <c r="D193" s="71" t="s">
        <v>10317</v>
      </c>
    </row>
    <row r="194" ht="14.25" customHeight="1">
      <c r="C194" s="71" t="s">
        <v>262</v>
      </c>
      <c r="D194" s="71" t="s">
        <v>9051</v>
      </c>
    </row>
    <row r="195" ht="14.25" customHeight="1">
      <c r="D195" s="71" t="s">
        <v>11746</v>
      </c>
    </row>
    <row r="196" ht="14.25" customHeight="1">
      <c r="D196" s="71" t="s">
        <v>9071</v>
      </c>
    </row>
    <row r="197" ht="14.25" customHeight="1">
      <c r="D197" s="71" t="s">
        <v>11089</v>
      </c>
    </row>
    <row r="198" ht="14.25" customHeight="1">
      <c r="D198" s="71" t="s">
        <v>9073</v>
      </c>
    </row>
    <row r="199" ht="14.25" customHeight="1">
      <c r="D199" s="71" t="s">
        <v>11972</v>
      </c>
    </row>
    <row r="200" ht="14.25" customHeight="1">
      <c r="C200" s="71" t="s">
        <v>11973</v>
      </c>
      <c r="D200" s="71" t="s">
        <v>11974</v>
      </c>
    </row>
    <row r="201" ht="14.25" customHeight="1">
      <c r="C201" s="71" t="s">
        <v>11244</v>
      </c>
      <c r="D201" s="71" t="s">
        <v>9043</v>
      </c>
    </row>
    <row r="202" ht="14.25" customHeight="1">
      <c r="C202" s="71" t="s">
        <v>11975</v>
      </c>
      <c r="D202" s="71" t="s">
        <v>11976</v>
      </c>
    </row>
    <row r="203" ht="14.25" customHeight="1">
      <c r="C203" s="71" t="s">
        <v>324</v>
      </c>
      <c r="D203" s="71" t="s">
        <v>9162</v>
      </c>
    </row>
    <row r="204" ht="14.25" customHeight="1">
      <c r="C204" s="71" t="s">
        <v>11977</v>
      </c>
      <c r="D204" s="71" t="s">
        <v>9073</v>
      </c>
    </row>
    <row r="205" ht="14.25" customHeight="1">
      <c r="B205" s="71" t="s">
        <v>41</v>
      </c>
      <c r="C205" s="71" t="s">
        <v>2408</v>
      </c>
      <c r="D205" s="71" t="s">
        <v>9836</v>
      </c>
    </row>
    <row r="206" ht="14.25" customHeight="1">
      <c r="C206" s="71" t="s">
        <v>9329</v>
      </c>
      <c r="D206" s="71" t="s">
        <v>11978</v>
      </c>
    </row>
    <row r="207" ht="14.25" customHeight="1">
      <c r="C207" s="71" t="s">
        <v>11963</v>
      </c>
      <c r="D207" s="71" t="s">
        <v>9073</v>
      </c>
    </row>
    <row r="208" ht="14.25" customHeight="1">
      <c r="C208" s="71" t="s">
        <v>11979</v>
      </c>
      <c r="D208" s="71" t="s">
        <v>9073</v>
      </c>
    </row>
    <row r="209" ht="14.25" customHeight="1">
      <c r="C209" s="71" t="s">
        <v>4035</v>
      </c>
      <c r="D209" s="71" t="s">
        <v>10124</v>
      </c>
    </row>
    <row r="210" ht="14.25" customHeight="1">
      <c r="C210" s="71" t="s">
        <v>285</v>
      </c>
      <c r="D210" s="71" t="s">
        <v>9073</v>
      </c>
    </row>
    <row r="211" ht="14.25" customHeight="1">
      <c r="B211" s="71" t="s">
        <v>13</v>
      </c>
      <c r="C211" s="71" t="s">
        <v>5754</v>
      </c>
      <c r="D211" s="71" t="s">
        <v>10080</v>
      </c>
    </row>
    <row r="212" ht="14.25" customHeight="1">
      <c r="C212" s="71" t="s">
        <v>11980</v>
      </c>
      <c r="D212" s="71" t="s">
        <v>11981</v>
      </c>
    </row>
    <row r="213" ht="14.25" customHeight="1">
      <c r="C213" s="71" t="s">
        <v>2494</v>
      </c>
      <c r="D213" s="71" t="s">
        <v>11982</v>
      </c>
    </row>
    <row r="214" ht="14.25" customHeight="1">
      <c r="C214" s="71" t="s">
        <v>11983</v>
      </c>
      <c r="D214" s="71" t="s">
        <v>11984</v>
      </c>
    </row>
    <row r="215" ht="14.25" customHeight="1">
      <c r="C215" s="71" t="s">
        <v>11985</v>
      </c>
      <c r="D215" s="71" t="s">
        <v>10608</v>
      </c>
    </row>
    <row r="216" ht="14.25" customHeight="1">
      <c r="A216" s="71" t="s">
        <v>9177</v>
      </c>
      <c r="B216" s="71" t="s">
        <v>40</v>
      </c>
      <c r="C216" s="71" t="s">
        <v>9034</v>
      </c>
      <c r="D216" s="71" t="s">
        <v>11986</v>
      </c>
    </row>
    <row r="217" ht="14.25" customHeight="1">
      <c r="D217" s="71" t="s">
        <v>9055</v>
      </c>
    </row>
    <row r="218" ht="14.25" customHeight="1">
      <c r="D218" s="71" t="s">
        <v>11987</v>
      </c>
    </row>
    <row r="219" ht="14.25" customHeight="1">
      <c r="C219" s="71" t="s">
        <v>56</v>
      </c>
      <c r="D219" s="71" t="s">
        <v>9026</v>
      </c>
    </row>
    <row r="220" ht="14.25" customHeight="1">
      <c r="C220" s="71" t="s">
        <v>11988</v>
      </c>
      <c r="D220" s="71" t="s">
        <v>9151</v>
      </c>
    </row>
    <row r="221" ht="14.25" customHeight="1">
      <c r="C221" s="71" t="s">
        <v>11989</v>
      </c>
      <c r="D221" s="71" t="s">
        <v>9026</v>
      </c>
    </row>
    <row r="222" ht="14.25" customHeight="1">
      <c r="C222" s="71" t="s">
        <v>2518</v>
      </c>
      <c r="D222" s="71" t="s">
        <v>10131</v>
      </c>
    </row>
    <row r="223" ht="14.25" customHeight="1">
      <c r="C223" s="71" t="s">
        <v>80</v>
      </c>
      <c r="D223" s="71" t="s">
        <v>9034</v>
      </c>
    </row>
    <row r="224" ht="14.25" customHeight="1">
      <c r="D224" s="71" t="s">
        <v>8968</v>
      </c>
    </row>
    <row r="225" ht="14.25" customHeight="1">
      <c r="D225" s="71" t="s">
        <v>9043</v>
      </c>
    </row>
    <row r="226" ht="14.25" customHeight="1">
      <c r="D226" s="71" t="s">
        <v>11990</v>
      </c>
    </row>
    <row r="227" ht="14.25" customHeight="1">
      <c r="C227" s="71" t="s">
        <v>10879</v>
      </c>
      <c r="D227" s="71" t="s">
        <v>9180</v>
      </c>
    </row>
    <row r="228" ht="14.25" customHeight="1">
      <c r="C228" s="71" t="s">
        <v>11991</v>
      </c>
      <c r="D228" s="71" t="s">
        <v>9178</v>
      </c>
    </row>
    <row r="229" ht="14.25" customHeight="1">
      <c r="C229" s="71" t="s">
        <v>11992</v>
      </c>
      <c r="D229" s="71" t="s">
        <v>9055</v>
      </c>
    </row>
    <row r="230" ht="14.25" customHeight="1">
      <c r="C230" s="71" t="s">
        <v>89</v>
      </c>
      <c r="D230" s="71" t="s">
        <v>11993</v>
      </c>
    </row>
    <row r="231" ht="14.25" customHeight="1">
      <c r="C231" s="71" t="s">
        <v>11994</v>
      </c>
      <c r="D231" s="71" t="s">
        <v>8968</v>
      </c>
    </row>
    <row r="232" ht="14.25" customHeight="1">
      <c r="C232" s="71" t="s">
        <v>101</v>
      </c>
      <c r="D232" s="71" t="s">
        <v>9043</v>
      </c>
    </row>
    <row r="233" ht="14.25" customHeight="1">
      <c r="C233" s="71" t="s">
        <v>11995</v>
      </c>
      <c r="D233" s="71" t="s">
        <v>11996</v>
      </c>
    </row>
    <row r="234" ht="14.25" customHeight="1">
      <c r="C234" s="71" t="s">
        <v>11997</v>
      </c>
      <c r="D234" s="71" t="s">
        <v>11998</v>
      </c>
    </row>
    <row r="235" ht="14.25" customHeight="1">
      <c r="C235" s="71" t="s">
        <v>131</v>
      </c>
      <c r="D235" s="71" t="s">
        <v>9026</v>
      </c>
    </row>
    <row r="236" ht="14.25" customHeight="1">
      <c r="C236" s="71" t="s">
        <v>11999</v>
      </c>
      <c r="D236" s="71" t="s">
        <v>12000</v>
      </c>
    </row>
    <row r="237" ht="14.25" customHeight="1">
      <c r="C237" s="71" t="s">
        <v>4911</v>
      </c>
      <c r="D237" s="71" t="s">
        <v>9055</v>
      </c>
    </row>
    <row r="238" ht="14.25" customHeight="1">
      <c r="C238" s="71" t="s">
        <v>134</v>
      </c>
      <c r="D238" s="71" t="s">
        <v>12001</v>
      </c>
    </row>
    <row r="239" ht="14.25" customHeight="1">
      <c r="C239" s="71" t="s">
        <v>1144</v>
      </c>
      <c r="D239" s="71" t="s">
        <v>9026</v>
      </c>
    </row>
    <row r="240" ht="14.25" customHeight="1">
      <c r="D240" s="71" t="s">
        <v>11902</v>
      </c>
    </row>
    <row r="241" ht="14.25" customHeight="1">
      <c r="C241" s="71" t="s">
        <v>10612</v>
      </c>
      <c r="D241" s="71" t="s">
        <v>10150</v>
      </c>
    </row>
    <row r="242" ht="14.25" customHeight="1">
      <c r="C242" s="71" t="s">
        <v>12002</v>
      </c>
      <c r="D242" s="71" t="s">
        <v>12003</v>
      </c>
    </row>
    <row r="243" ht="14.25" customHeight="1">
      <c r="C243" s="71" t="s">
        <v>1196</v>
      </c>
      <c r="D243" s="71" t="s">
        <v>8968</v>
      </c>
    </row>
    <row r="244" ht="14.25" customHeight="1">
      <c r="D244" s="71" t="s">
        <v>10141</v>
      </c>
    </row>
    <row r="245" ht="14.25" customHeight="1">
      <c r="C245" s="71" t="s">
        <v>12004</v>
      </c>
      <c r="D245" s="71" t="s">
        <v>12005</v>
      </c>
    </row>
    <row r="246" ht="14.25" customHeight="1">
      <c r="C246" s="71" t="s">
        <v>8091</v>
      </c>
      <c r="D246" s="71" t="s">
        <v>9180</v>
      </c>
    </row>
    <row r="247" ht="14.25" customHeight="1">
      <c r="C247" s="71" t="s">
        <v>12006</v>
      </c>
      <c r="D247" s="71" t="s">
        <v>9180</v>
      </c>
    </row>
    <row r="248" ht="14.25" customHeight="1">
      <c r="C248" s="71" t="s">
        <v>8175</v>
      </c>
      <c r="D248" s="71" t="s">
        <v>9151</v>
      </c>
    </row>
    <row r="249" ht="14.25" customHeight="1">
      <c r="C249" s="71" t="s">
        <v>12007</v>
      </c>
      <c r="D249" s="71" t="s">
        <v>9180</v>
      </c>
    </row>
    <row r="250" ht="14.25" customHeight="1">
      <c r="C250" s="71" t="s">
        <v>166</v>
      </c>
      <c r="D250" s="71" t="s">
        <v>12008</v>
      </c>
    </row>
    <row r="251" ht="14.25" customHeight="1">
      <c r="D251" s="71" t="s">
        <v>12009</v>
      </c>
    </row>
    <row r="252" ht="14.25" customHeight="1">
      <c r="C252" s="71" t="s">
        <v>1417</v>
      </c>
      <c r="D252" s="71" t="s">
        <v>9204</v>
      </c>
    </row>
    <row r="253" ht="14.25" customHeight="1">
      <c r="D253" s="71" t="s">
        <v>9219</v>
      </c>
    </row>
    <row r="254" ht="14.25" customHeight="1">
      <c r="D254" s="71" t="s">
        <v>9043</v>
      </c>
    </row>
    <row r="255" ht="14.25" customHeight="1">
      <c r="D255" s="71" t="s">
        <v>9002</v>
      </c>
    </row>
    <row r="256" ht="14.25" customHeight="1">
      <c r="C256" s="71" t="s">
        <v>12010</v>
      </c>
      <c r="D256" s="71" t="s">
        <v>9055</v>
      </c>
    </row>
    <row r="257" ht="14.25" customHeight="1">
      <c r="C257" s="71" t="s">
        <v>12011</v>
      </c>
      <c r="D257" s="71" t="s">
        <v>9618</v>
      </c>
    </row>
    <row r="258" ht="14.25" customHeight="1">
      <c r="C258" s="71" t="s">
        <v>10711</v>
      </c>
      <c r="D258" s="71" t="s">
        <v>12012</v>
      </c>
    </row>
    <row r="259" ht="14.25" customHeight="1">
      <c r="D259" s="71" t="s">
        <v>9026</v>
      </c>
    </row>
    <row r="260" ht="14.25" customHeight="1">
      <c r="D260" s="71" t="s">
        <v>12013</v>
      </c>
    </row>
    <row r="261" ht="14.25" customHeight="1">
      <c r="C261" s="71" t="s">
        <v>12014</v>
      </c>
      <c r="D261" s="71" t="s">
        <v>9026</v>
      </c>
    </row>
    <row r="262" ht="14.25" customHeight="1">
      <c r="C262" s="71" t="s">
        <v>188</v>
      </c>
      <c r="D262" s="71" t="s">
        <v>8968</v>
      </c>
    </row>
    <row r="263" ht="14.25" customHeight="1">
      <c r="C263" s="71" t="s">
        <v>196</v>
      </c>
      <c r="D263" s="71" t="s">
        <v>9055</v>
      </c>
    </row>
    <row r="264" ht="14.25" customHeight="1">
      <c r="C264" s="71" t="s">
        <v>12015</v>
      </c>
      <c r="D264" s="71" t="s">
        <v>9034</v>
      </c>
    </row>
    <row r="265" ht="14.25" customHeight="1">
      <c r="C265" s="71" t="s">
        <v>12016</v>
      </c>
      <c r="D265" s="71" t="s">
        <v>12017</v>
      </c>
    </row>
    <row r="266" ht="14.25" customHeight="1">
      <c r="C266" s="71" t="s">
        <v>217</v>
      </c>
      <c r="D266" s="71" t="s">
        <v>8968</v>
      </c>
    </row>
    <row r="267" ht="14.25" customHeight="1">
      <c r="D267" s="71" t="s">
        <v>10124</v>
      </c>
    </row>
    <row r="268" ht="14.25" customHeight="1">
      <c r="D268" s="71" t="s">
        <v>9043</v>
      </c>
    </row>
    <row r="269" ht="14.25" customHeight="1">
      <c r="C269" s="71" t="s">
        <v>6849</v>
      </c>
      <c r="D269" s="71" t="s">
        <v>9180</v>
      </c>
    </row>
    <row r="270" ht="14.25" customHeight="1">
      <c r="C270" s="71" t="s">
        <v>12018</v>
      </c>
      <c r="D270" s="71" t="s">
        <v>9043</v>
      </c>
    </row>
    <row r="271" ht="14.25" customHeight="1">
      <c r="C271" s="71" t="s">
        <v>12019</v>
      </c>
      <c r="D271" s="71" t="s">
        <v>9050</v>
      </c>
    </row>
    <row r="272" ht="14.25" customHeight="1">
      <c r="C272" s="71" t="s">
        <v>225</v>
      </c>
      <c r="D272" s="71" t="s">
        <v>9131</v>
      </c>
    </row>
    <row r="273" ht="14.25" customHeight="1">
      <c r="D273" s="71" t="s">
        <v>12012</v>
      </c>
    </row>
    <row r="274" ht="14.25" customHeight="1">
      <c r="D274" s="71" t="s">
        <v>8968</v>
      </c>
    </row>
    <row r="275" ht="14.25" customHeight="1">
      <c r="D275" s="71" t="s">
        <v>9043</v>
      </c>
    </row>
    <row r="276" ht="14.25" customHeight="1">
      <c r="D276" s="71" t="s">
        <v>9189</v>
      </c>
    </row>
    <row r="277" ht="14.25" customHeight="1">
      <c r="C277" s="71" t="s">
        <v>12020</v>
      </c>
      <c r="D277" s="71" t="s">
        <v>9043</v>
      </c>
    </row>
    <row r="278" ht="14.25" customHeight="1">
      <c r="C278" s="71" t="s">
        <v>245</v>
      </c>
      <c r="D278" s="71" t="s">
        <v>9043</v>
      </c>
    </row>
    <row r="279" ht="14.25" customHeight="1">
      <c r="C279" s="71" t="s">
        <v>12021</v>
      </c>
      <c r="D279" s="71" t="s">
        <v>9043</v>
      </c>
    </row>
    <row r="280" ht="14.25" customHeight="1">
      <c r="C280" s="71" t="s">
        <v>261</v>
      </c>
      <c r="D280" s="71" t="s">
        <v>9034</v>
      </c>
    </row>
    <row r="281" ht="14.25" customHeight="1">
      <c r="D281" s="71" t="s">
        <v>9219</v>
      </c>
    </row>
    <row r="282" ht="14.25" customHeight="1">
      <c r="C282" s="71" t="s">
        <v>12022</v>
      </c>
      <c r="D282" s="71" t="s">
        <v>9055</v>
      </c>
    </row>
    <row r="283" ht="14.25" customHeight="1">
      <c r="C283" s="71" t="s">
        <v>278</v>
      </c>
      <c r="D283" s="71" t="s">
        <v>11998</v>
      </c>
    </row>
    <row r="284" ht="14.25" customHeight="1">
      <c r="D284" s="71" t="s">
        <v>9043</v>
      </c>
    </row>
    <row r="285" ht="14.25" customHeight="1">
      <c r="C285" s="71" t="s">
        <v>280</v>
      </c>
      <c r="D285" s="71" t="s">
        <v>9151</v>
      </c>
    </row>
    <row r="286" ht="14.25" customHeight="1">
      <c r="C286" s="71" t="s">
        <v>2230</v>
      </c>
      <c r="D286" s="71" t="s">
        <v>9180</v>
      </c>
    </row>
    <row r="287" ht="14.25" customHeight="1">
      <c r="D287" s="71" t="s">
        <v>11430</v>
      </c>
    </row>
    <row r="288" ht="14.25" customHeight="1">
      <c r="D288" s="71" t="s">
        <v>9026</v>
      </c>
    </row>
    <row r="289" ht="14.25" customHeight="1">
      <c r="D289" s="71" t="s">
        <v>10131</v>
      </c>
    </row>
    <row r="290" ht="14.25" customHeight="1">
      <c r="C290" s="71" t="s">
        <v>12023</v>
      </c>
      <c r="D290" s="71" t="s">
        <v>9026</v>
      </c>
    </row>
    <row r="291" ht="14.25" customHeight="1">
      <c r="C291" s="71" t="s">
        <v>9929</v>
      </c>
      <c r="D291" s="71" t="s">
        <v>9180</v>
      </c>
    </row>
    <row r="292" ht="14.25" customHeight="1">
      <c r="B292" s="71" t="s">
        <v>41</v>
      </c>
      <c r="C292" s="71" t="s">
        <v>9034</v>
      </c>
      <c r="D292" s="71" t="s">
        <v>8994</v>
      </c>
    </row>
    <row r="293" ht="14.25" customHeight="1">
      <c r="C293" s="71" t="s">
        <v>5740</v>
      </c>
      <c r="D293" s="71" t="s">
        <v>12024</v>
      </c>
    </row>
    <row r="294" ht="14.25" customHeight="1">
      <c r="D294" s="71" t="s">
        <v>12025</v>
      </c>
    </row>
    <row r="295" ht="14.25" customHeight="1">
      <c r="C295" s="71" t="s">
        <v>11447</v>
      </c>
      <c r="D295" s="71" t="s">
        <v>9026</v>
      </c>
    </row>
    <row r="296" ht="14.25" customHeight="1">
      <c r="C296" s="71" t="s">
        <v>12026</v>
      </c>
      <c r="D296" s="71" t="s">
        <v>9189</v>
      </c>
    </row>
    <row r="297" ht="14.25" customHeight="1">
      <c r="C297" s="71" t="s">
        <v>12027</v>
      </c>
      <c r="D297" s="71" t="s">
        <v>12028</v>
      </c>
    </row>
    <row r="298" ht="14.25" customHeight="1">
      <c r="C298" s="71" t="s">
        <v>7547</v>
      </c>
      <c r="D298" s="71" t="s">
        <v>9131</v>
      </c>
    </row>
    <row r="299" ht="14.25" customHeight="1">
      <c r="C299" s="71" t="s">
        <v>12029</v>
      </c>
      <c r="D299" s="71" t="s">
        <v>11451</v>
      </c>
    </row>
    <row r="300" ht="14.25" customHeight="1">
      <c r="C300" s="71" t="s">
        <v>12030</v>
      </c>
      <c r="D300" s="71" t="s">
        <v>12031</v>
      </c>
    </row>
    <row r="301" ht="14.25" customHeight="1">
      <c r="C301" s="71" t="s">
        <v>7652</v>
      </c>
      <c r="D301" s="71" t="s">
        <v>12032</v>
      </c>
    </row>
    <row r="302" ht="14.25" customHeight="1">
      <c r="C302" s="71" t="s">
        <v>859</v>
      </c>
      <c r="D302" s="71" t="s">
        <v>9043</v>
      </c>
    </row>
    <row r="303" ht="14.25" customHeight="1">
      <c r="D303" s="71" t="s">
        <v>9194</v>
      </c>
    </row>
    <row r="304" ht="14.25" customHeight="1">
      <c r="C304" s="71" t="s">
        <v>6119</v>
      </c>
      <c r="D304" s="71" t="s">
        <v>9026</v>
      </c>
    </row>
    <row r="305" ht="14.25" customHeight="1">
      <c r="C305" s="71" t="s">
        <v>11897</v>
      </c>
      <c r="D305" s="71" t="s">
        <v>12033</v>
      </c>
    </row>
    <row r="306" ht="14.25" customHeight="1">
      <c r="C306" s="71" t="s">
        <v>1097</v>
      </c>
      <c r="D306" s="71" t="s">
        <v>10732</v>
      </c>
    </row>
    <row r="307" ht="14.25" customHeight="1">
      <c r="C307" s="71" t="s">
        <v>12034</v>
      </c>
      <c r="D307" s="71" t="s">
        <v>12035</v>
      </c>
    </row>
    <row r="308" ht="14.25" customHeight="1">
      <c r="C308" s="71" t="s">
        <v>4911</v>
      </c>
      <c r="D308" s="71" t="s">
        <v>9055</v>
      </c>
    </row>
    <row r="309" ht="14.25" customHeight="1">
      <c r="C309" s="71" t="s">
        <v>143</v>
      </c>
      <c r="D309" s="71" t="s">
        <v>9043</v>
      </c>
    </row>
    <row r="310" ht="14.25" customHeight="1">
      <c r="C310" s="71" t="s">
        <v>10702</v>
      </c>
      <c r="D310" s="71" t="s">
        <v>11456</v>
      </c>
    </row>
    <row r="311" ht="14.25" customHeight="1">
      <c r="D311" s="71" t="s">
        <v>9194</v>
      </c>
    </row>
    <row r="312" ht="14.25" customHeight="1">
      <c r="D312" s="71" t="s">
        <v>12036</v>
      </c>
    </row>
    <row r="313" ht="14.25" customHeight="1">
      <c r="C313" s="71" t="s">
        <v>146</v>
      </c>
      <c r="D313" s="71" t="s">
        <v>8968</v>
      </c>
    </row>
    <row r="314" ht="14.25" customHeight="1">
      <c r="C314" s="71" t="s">
        <v>1283</v>
      </c>
      <c r="D314" s="71" t="s">
        <v>9131</v>
      </c>
    </row>
    <row r="315" ht="14.25" customHeight="1">
      <c r="C315" s="71" t="s">
        <v>9201</v>
      </c>
      <c r="D315" s="71" t="s">
        <v>9181</v>
      </c>
    </row>
    <row r="316" ht="14.25" customHeight="1">
      <c r="D316" s="71" t="s">
        <v>12037</v>
      </c>
    </row>
    <row r="317" ht="14.25" customHeight="1">
      <c r="C317" s="71" t="s">
        <v>8150</v>
      </c>
      <c r="D317" s="71" t="s">
        <v>9055</v>
      </c>
    </row>
    <row r="318" ht="14.25" customHeight="1">
      <c r="C318" s="71" t="s">
        <v>12038</v>
      </c>
      <c r="D318" s="71" t="s">
        <v>8994</v>
      </c>
    </row>
    <row r="319" ht="14.25" customHeight="1">
      <c r="C319" s="71" t="s">
        <v>10727</v>
      </c>
      <c r="D319" s="71" t="s">
        <v>9055</v>
      </c>
    </row>
    <row r="320" ht="14.25" customHeight="1">
      <c r="C320" s="71" t="s">
        <v>12039</v>
      </c>
      <c r="D320" s="71" t="s">
        <v>12040</v>
      </c>
    </row>
    <row r="321" ht="14.25" customHeight="1">
      <c r="C321" s="71" t="s">
        <v>6859</v>
      </c>
      <c r="D321" s="71" t="s">
        <v>9151</v>
      </c>
    </row>
    <row r="322" ht="14.25" customHeight="1">
      <c r="C322" s="71" t="s">
        <v>12041</v>
      </c>
      <c r="D322" s="71" t="s">
        <v>12042</v>
      </c>
    </row>
    <row r="323" ht="14.25" customHeight="1">
      <c r="C323" s="71" t="s">
        <v>12043</v>
      </c>
      <c r="D323" s="71" t="s">
        <v>10155</v>
      </c>
    </row>
    <row r="324" ht="14.25" customHeight="1">
      <c r="C324" s="71" t="s">
        <v>12044</v>
      </c>
      <c r="D324" s="71" t="s">
        <v>9034</v>
      </c>
    </row>
    <row r="325" ht="14.25" customHeight="1">
      <c r="C325" s="71" t="s">
        <v>12045</v>
      </c>
      <c r="D325" s="71" t="s">
        <v>9238</v>
      </c>
    </row>
    <row r="326" ht="14.25" customHeight="1">
      <c r="C326" s="71" t="s">
        <v>9434</v>
      </c>
      <c r="D326" s="71" t="s">
        <v>12046</v>
      </c>
    </row>
    <row r="327" ht="14.25" customHeight="1">
      <c r="C327" s="71" t="s">
        <v>261</v>
      </c>
      <c r="D327" s="71" t="s">
        <v>11076</v>
      </c>
    </row>
    <row r="328" ht="14.25" customHeight="1">
      <c r="C328" s="71" t="s">
        <v>5570</v>
      </c>
      <c r="D328" s="71" t="s">
        <v>9055</v>
      </c>
    </row>
    <row r="329" ht="14.25" customHeight="1">
      <c r="C329" s="71" t="s">
        <v>12047</v>
      </c>
      <c r="D329" s="71" t="s">
        <v>9131</v>
      </c>
    </row>
    <row r="330" ht="14.25" customHeight="1">
      <c r="C330" s="71" t="s">
        <v>4475</v>
      </c>
      <c r="D330" s="71" t="s">
        <v>9354</v>
      </c>
    </row>
    <row r="331" ht="14.25" customHeight="1">
      <c r="C331" s="71" t="s">
        <v>12048</v>
      </c>
      <c r="D331" s="71" t="s">
        <v>9055</v>
      </c>
    </row>
    <row r="332" ht="14.25" customHeight="1">
      <c r="B332" s="71" t="s">
        <v>13</v>
      </c>
      <c r="C332" s="71" t="s">
        <v>12049</v>
      </c>
      <c r="D332" s="71" t="s">
        <v>9213</v>
      </c>
    </row>
    <row r="333" ht="14.25" customHeight="1">
      <c r="C333" s="71" t="s">
        <v>257</v>
      </c>
      <c r="D333" s="71" t="s">
        <v>12050</v>
      </c>
    </row>
    <row r="334" ht="14.25" customHeight="1">
      <c r="C334" s="71" t="s">
        <v>9090</v>
      </c>
      <c r="D334" s="71" t="s">
        <v>10608</v>
      </c>
    </row>
    <row r="335" ht="14.25" customHeight="1">
      <c r="C335" s="71" t="s">
        <v>12051</v>
      </c>
      <c r="D335" s="71" t="s">
        <v>12052</v>
      </c>
    </row>
    <row r="336" ht="14.25" customHeight="1">
      <c r="C336" s="71" t="s">
        <v>11468</v>
      </c>
      <c r="D336" s="71" t="s">
        <v>9026</v>
      </c>
    </row>
    <row r="337" ht="14.25" customHeight="1">
      <c r="A337" s="71" t="s">
        <v>9299</v>
      </c>
      <c r="B337" s="71" t="s">
        <v>40</v>
      </c>
      <c r="C337" s="71" t="s">
        <v>10767</v>
      </c>
      <c r="D337" s="71" t="s">
        <v>12053</v>
      </c>
    </row>
    <row r="338" ht="14.25" customHeight="1">
      <c r="C338" s="71" t="s">
        <v>9313</v>
      </c>
      <c r="D338" s="71" t="s">
        <v>8978</v>
      </c>
    </row>
    <row r="339" ht="14.25" customHeight="1">
      <c r="C339" s="71" t="s">
        <v>12054</v>
      </c>
      <c r="D339" s="71" t="s">
        <v>10734</v>
      </c>
    </row>
    <row r="340" ht="14.25" customHeight="1">
      <c r="C340" s="71" t="s">
        <v>82</v>
      </c>
      <c r="D340" s="71" t="s">
        <v>9645</v>
      </c>
    </row>
    <row r="341" ht="14.25" customHeight="1">
      <c r="C341" s="71" t="s">
        <v>2669</v>
      </c>
      <c r="D341" s="71" t="s">
        <v>8978</v>
      </c>
    </row>
    <row r="342" ht="14.25" customHeight="1">
      <c r="C342" s="71" t="s">
        <v>9110</v>
      </c>
      <c r="D342" s="71" t="s">
        <v>12055</v>
      </c>
    </row>
    <row r="343" ht="14.25" customHeight="1">
      <c r="C343" s="71" t="s">
        <v>2798</v>
      </c>
      <c r="D343" s="71" t="s">
        <v>10197</v>
      </c>
    </row>
    <row r="344" ht="14.25" customHeight="1">
      <c r="C344" s="71" t="s">
        <v>124</v>
      </c>
      <c r="D344" s="71" t="s">
        <v>12056</v>
      </c>
    </row>
    <row r="345" ht="14.25" customHeight="1">
      <c r="C345" s="71" t="s">
        <v>12057</v>
      </c>
      <c r="D345" s="71" t="s">
        <v>8978</v>
      </c>
    </row>
    <row r="346" ht="14.25" customHeight="1">
      <c r="C346" s="71" t="s">
        <v>12058</v>
      </c>
      <c r="D346" s="71" t="s">
        <v>12059</v>
      </c>
    </row>
    <row r="347" ht="14.25" customHeight="1">
      <c r="C347" s="71" t="s">
        <v>11121</v>
      </c>
      <c r="D347" s="71" t="s">
        <v>8978</v>
      </c>
    </row>
    <row r="348" ht="14.25" customHeight="1">
      <c r="C348" s="71" t="s">
        <v>9426</v>
      </c>
      <c r="D348" s="71" t="s">
        <v>8978</v>
      </c>
    </row>
    <row r="349" ht="14.25" customHeight="1">
      <c r="C349" s="71" t="s">
        <v>307</v>
      </c>
      <c r="D349" s="71" t="s">
        <v>10763</v>
      </c>
    </row>
    <row r="350" ht="14.25" customHeight="1">
      <c r="C350" s="71" t="s">
        <v>153</v>
      </c>
      <c r="D350" s="71" t="s">
        <v>9289</v>
      </c>
    </row>
    <row r="351" ht="14.25" customHeight="1">
      <c r="C351" s="71" t="s">
        <v>9329</v>
      </c>
      <c r="D351" s="71" t="s">
        <v>12060</v>
      </c>
    </row>
    <row r="352" ht="14.25" customHeight="1">
      <c r="C352" s="71" t="s">
        <v>12061</v>
      </c>
      <c r="D352" s="71" t="s">
        <v>8978</v>
      </c>
    </row>
    <row r="353" ht="14.25" customHeight="1">
      <c r="C353" s="71" t="s">
        <v>10818</v>
      </c>
      <c r="D353" s="71" t="s">
        <v>8978</v>
      </c>
    </row>
    <row r="354" ht="14.25" customHeight="1">
      <c r="C354" s="71" t="s">
        <v>312</v>
      </c>
      <c r="D354" s="71" t="s">
        <v>8978</v>
      </c>
    </row>
    <row r="355" ht="14.25" customHeight="1">
      <c r="D355" s="71" t="s">
        <v>9304</v>
      </c>
    </row>
    <row r="356" ht="14.25" customHeight="1">
      <c r="C356" s="71" t="s">
        <v>8249</v>
      </c>
      <c r="D356" s="71" t="s">
        <v>12062</v>
      </c>
    </row>
    <row r="357" ht="14.25" customHeight="1">
      <c r="C357" s="71" t="s">
        <v>3566</v>
      </c>
      <c r="D357" s="71" t="s">
        <v>8978</v>
      </c>
    </row>
    <row r="358" ht="14.25" customHeight="1">
      <c r="C358" s="71" t="s">
        <v>9277</v>
      </c>
      <c r="D358" s="71" t="s">
        <v>8978</v>
      </c>
    </row>
    <row r="359" ht="14.25" customHeight="1">
      <c r="C359" s="71" t="s">
        <v>10905</v>
      </c>
      <c r="D359" s="71" t="s">
        <v>9034</v>
      </c>
    </row>
    <row r="360" ht="14.25" customHeight="1">
      <c r="C360" s="71" t="s">
        <v>12063</v>
      </c>
      <c r="D360" s="71" t="s">
        <v>12064</v>
      </c>
    </row>
    <row r="361" ht="14.25" customHeight="1">
      <c r="C361" s="71" t="s">
        <v>262</v>
      </c>
      <c r="D361" s="71" t="s">
        <v>8978</v>
      </c>
    </row>
    <row r="362" ht="14.25" customHeight="1">
      <c r="C362" s="71" t="s">
        <v>11080</v>
      </c>
      <c r="D362" s="71" t="s">
        <v>9258</v>
      </c>
    </row>
    <row r="363" ht="14.25" customHeight="1">
      <c r="A363" s="71" t="s">
        <v>9309</v>
      </c>
      <c r="B363" s="71" t="s">
        <v>40</v>
      </c>
      <c r="C363" s="71" t="s">
        <v>9257</v>
      </c>
      <c r="D363" s="71" t="s">
        <v>8978</v>
      </c>
    </row>
    <row r="364" ht="14.25" customHeight="1">
      <c r="C364" s="71" t="s">
        <v>9810</v>
      </c>
      <c r="D364" s="71" t="s">
        <v>12065</v>
      </c>
    </row>
    <row r="365" ht="14.25" customHeight="1">
      <c r="C365" s="71" t="s">
        <v>9361</v>
      </c>
      <c r="D365" s="71" t="s">
        <v>8978</v>
      </c>
    </row>
    <row r="366" ht="14.25" customHeight="1">
      <c r="C366" s="71" t="s">
        <v>2798</v>
      </c>
      <c r="D366" s="71" t="s">
        <v>8978</v>
      </c>
    </row>
    <row r="367" ht="14.25" customHeight="1">
      <c r="C367" s="71" t="s">
        <v>916</v>
      </c>
      <c r="D367" s="71" t="s">
        <v>8978</v>
      </c>
    </row>
    <row r="368" ht="14.25" customHeight="1">
      <c r="C368" s="71" t="s">
        <v>124</v>
      </c>
      <c r="D368" s="71" t="s">
        <v>9258</v>
      </c>
    </row>
    <row r="369" ht="14.25" customHeight="1">
      <c r="C369" s="71" t="s">
        <v>6246</v>
      </c>
      <c r="D369" s="71" t="s">
        <v>12066</v>
      </c>
    </row>
    <row r="370" ht="14.25" customHeight="1">
      <c r="C370" s="71" t="s">
        <v>3138</v>
      </c>
      <c r="D370" s="71" t="s">
        <v>9258</v>
      </c>
    </row>
    <row r="371" ht="14.25" customHeight="1">
      <c r="D371" s="71" t="s">
        <v>8978</v>
      </c>
    </row>
    <row r="372" ht="14.25" customHeight="1">
      <c r="C372" s="71" t="s">
        <v>6405</v>
      </c>
      <c r="D372" s="71" t="s">
        <v>8978</v>
      </c>
    </row>
    <row r="373" ht="14.25" customHeight="1">
      <c r="C373" s="71" t="s">
        <v>9329</v>
      </c>
      <c r="D373" s="71" t="s">
        <v>9086</v>
      </c>
    </row>
    <row r="374" ht="14.25" customHeight="1">
      <c r="C374" s="71" t="s">
        <v>12067</v>
      </c>
      <c r="D374" s="71" t="s">
        <v>12068</v>
      </c>
    </row>
    <row r="375" ht="14.25" customHeight="1">
      <c r="C375" s="71" t="s">
        <v>10818</v>
      </c>
      <c r="D375" s="71" t="s">
        <v>12069</v>
      </c>
    </row>
    <row r="376" ht="14.25" customHeight="1">
      <c r="D376" s="71" t="s">
        <v>8978</v>
      </c>
    </row>
    <row r="377" ht="14.25" customHeight="1">
      <c r="C377" s="71" t="s">
        <v>312</v>
      </c>
      <c r="D377" s="71" t="s">
        <v>8978</v>
      </c>
    </row>
    <row r="378" ht="14.25" customHeight="1">
      <c r="C378" s="71" t="s">
        <v>3566</v>
      </c>
      <c r="D378" s="71" t="s">
        <v>8978</v>
      </c>
    </row>
    <row r="379" ht="14.25" customHeight="1">
      <c r="D379" s="71" t="s">
        <v>12070</v>
      </c>
    </row>
    <row r="380" ht="14.25" customHeight="1">
      <c r="C380" s="71" t="s">
        <v>184</v>
      </c>
      <c r="D380" s="71" t="s">
        <v>12071</v>
      </c>
    </row>
    <row r="381" ht="14.25" customHeight="1">
      <c r="C381" s="71" t="s">
        <v>9277</v>
      </c>
      <c r="D381" s="71" t="s">
        <v>9867</v>
      </c>
    </row>
    <row r="382" ht="14.25" customHeight="1">
      <c r="D382" s="71" t="s">
        <v>8978</v>
      </c>
    </row>
    <row r="383" ht="14.25" customHeight="1">
      <c r="C383" s="71" t="s">
        <v>10990</v>
      </c>
      <c r="D383" s="71" t="s">
        <v>9034</v>
      </c>
    </row>
    <row r="384" ht="14.25" customHeight="1">
      <c r="C384" s="71" t="s">
        <v>8576</v>
      </c>
      <c r="D384" s="71" t="s">
        <v>11367</v>
      </c>
    </row>
    <row r="385" ht="14.25" customHeight="1">
      <c r="C385" s="71" t="s">
        <v>262</v>
      </c>
      <c r="D385" s="71" t="s">
        <v>12072</v>
      </c>
    </row>
    <row r="386" ht="14.25" customHeight="1">
      <c r="D386" s="71" t="s">
        <v>9292</v>
      </c>
    </row>
    <row r="387" ht="14.25" customHeight="1">
      <c r="D387" s="71" t="s">
        <v>12073</v>
      </c>
    </row>
    <row r="388" ht="14.25" customHeight="1">
      <c r="D388" s="71" t="s">
        <v>8978</v>
      </c>
    </row>
    <row r="389" ht="14.25" customHeight="1">
      <c r="C389" s="71" t="s">
        <v>271</v>
      </c>
      <c r="D389" s="71" t="s">
        <v>9131</v>
      </c>
    </row>
    <row r="390" ht="14.25" customHeight="1">
      <c r="C390" s="71" t="s">
        <v>10851</v>
      </c>
      <c r="D390" s="71" t="s">
        <v>8978</v>
      </c>
    </row>
    <row r="391" ht="14.25" customHeight="1">
      <c r="C391" s="71" t="s">
        <v>12074</v>
      </c>
      <c r="D391" s="71" t="s">
        <v>9265</v>
      </c>
    </row>
    <row r="392" ht="14.25" customHeight="1">
      <c r="B392" s="71" t="s">
        <v>41</v>
      </c>
      <c r="C392" s="71" t="s">
        <v>10767</v>
      </c>
      <c r="D392" s="71" t="s">
        <v>9034</v>
      </c>
    </row>
    <row r="393" ht="14.25" customHeight="1">
      <c r="D393" s="71" t="s">
        <v>9131</v>
      </c>
    </row>
    <row r="394" ht="14.25" customHeight="1">
      <c r="D394" s="71" t="s">
        <v>10219</v>
      </c>
    </row>
    <row r="395" ht="14.25" customHeight="1">
      <c r="D395" s="71" t="s">
        <v>12075</v>
      </c>
    </row>
    <row r="396" ht="14.25" customHeight="1">
      <c r="C396" s="71" t="s">
        <v>12076</v>
      </c>
      <c r="D396" s="71" t="s">
        <v>10768</v>
      </c>
    </row>
    <row r="397" ht="14.25" customHeight="1">
      <c r="D397" s="71" t="s">
        <v>9281</v>
      </c>
    </row>
    <row r="398" ht="14.25" customHeight="1">
      <c r="D398" s="71" t="s">
        <v>10181</v>
      </c>
    </row>
    <row r="399" ht="14.25" customHeight="1">
      <c r="C399" s="71" t="s">
        <v>9313</v>
      </c>
      <c r="D399" s="71" t="s">
        <v>10223</v>
      </c>
    </row>
    <row r="400" ht="14.25" customHeight="1">
      <c r="D400" s="71" t="s">
        <v>9315</v>
      </c>
    </row>
    <row r="401" ht="14.25" customHeight="1">
      <c r="C401" s="71" t="s">
        <v>2444</v>
      </c>
      <c r="D401" s="71" t="s">
        <v>9281</v>
      </c>
    </row>
    <row r="402" ht="14.25" customHeight="1">
      <c r="D402" s="71" t="s">
        <v>11176</v>
      </c>
    </row>
    <row r="403" ht="14.25" customHeight="1">
      <c r="C403" s="71" t="s">
        <v>12077</v>
      </c>
      <c r="D403" s="71" t="s">
        <v>12078</v>
      </c>
    </row>
    <row r="404" ht="14.25" customHeight="1">
      <c r="C404" s="71" t="s">
        <v>12079</v>
      </c>
      <c r="D404" s="71" t="s">
        <v>9380</v>
      </c>
    </row>
    <row r="405" ht="14.25" customHeight="1">
      <c r="C405" s="71" t="s">
        <v>6031</v>
      </c>
      <c r="D405" s="71" t="s">
        <v>9281</v>
      </c>
    </row>
    <row r="406" ht="14.25" customHeight="1">
      <c r="C406" s="71" t="s">
        <v>10744</v>
      </c>
      <c r="D406" s="71" t="s">
        <v>8968</v>
      </c>
    </row>
    <row r="407" ht="14.25" customHeight="1">
      <c r="C407" s="71" t="s">
        <v>6298</v>
      </c>
      <c r="D407" s="71" t="s">
        <v>8978</v>
      </c>
    </row>
    <row r="408" ht="14.25" customHeight="1">
      <c r="C408" s="71" t="s">
        <v>307</v>
      </c>
      <c r="D408" s="71" t="s">
        <v>10763</v>
      </c>
    </row>
    <row r="409" ht="14.25" customHeight="1">
      <c r="C409" s="71" t="s">
        <v>9329</v>
      </c>
      <c r="D409" s="71" t="s">
        <v>12080</v>
      </c>
    </row>
    <row r="410" ht="14.25" customHeight="1">
      <c r="D410" s="71" t="s">
        <v>12081</v>
      </c>
    </row>
    <row r="411" ht="14.25" customHeight="1">
      <c r="D411" s="71" t="s">
        <v>12082</v>
      </c>
    </row>
    <row r="412" ht="14.25" customHeight="1">
      <c r="D412" s="71" t="s">
        <v>12083</v>
      </c>
    </row>
    <row r="413" ht="14.25" customHeight="1">
      <c r="C413" s="71" t="s">
        <v>12084</v>
      </c>
      <c r="D413" s="71" t="s">
        <v>12085</v>
      </c>
    </row>
    <row r="414" ht="14.25" customHeight="1">
      <c r="C414" s="71" t="s">
        <v>10762</v>
      </c>
      <c r="D414" s="71" t="s">
        <v>12086</v>
      </c>
    </row>
    <row r="415" ht="14.25" customHeight="1">
      <c r="D415" s="71" t="s">
        <v>12087</v>
      </c>
    </row>
    <row r="416" ht="14.25" customHeight="1">
      <c r="C416" s="71" t="s">
        <v>210</v>
      </c>
      <c r="D416" s="71" t="s">
        <v>9034</v>
      </c>
    </row>
    <row r="417" ht="14.25" customHeight="1">
      <c r="D417" s="71" t="s">
        <v>12088</v>
      </c>
    </row>
    <row r="418" ht="14.25" customHeight="1">
      <c r="D418" s="71" t="s">
        <v>12089</v>
      </c>
    </row>
    <row r="419" ht="14.25" customHeight="1">
      <c r="D419" s="71" t="s">
        <v>12090</v>
      </c>
    </row>
    <row r="420" ht="14.25" customHeight="1">
      <c r="C420" s="71" t="s">
        <v>9333</v>
      </c>
      <c r="D420" s="71" t="s">
        <v>8968</v>
      </c>
    </row>
    <row r="421" ht="14.25" customHeight="1">
      <c r="D421" s="71" t="s">
        <v>12091</v>
      </c>
    </row>
    <row r="422" ht="14.25" customHeight="1">
      <c r="C422" s="71" t="s">
        <v>7038</v>
      </c>
      <c r="D422" s="71" t="s">
        <v>12092</v>
      </c>
    </row>
    <row r="423" ht="14.25" customHeight="1">
      <c r="A423" s="71" t="s">
        <v>9339</v>
      </c>
      <c r="B423" s="71" t="s">
        <v>40</v>
      </c>
      <c r="C423" s="71" t="s">
        <v>9034</v>
      </c>
      <c r="D423" s="71" t="s">
        <v>8978</v>
      </c>
    </row>
    <row r="424" ht="14.25" customHeight="1">
      <c r="C424" s="71" t="s">
        <v>12093</v>
      </c>
      <c r="D424" s="71" t="s">
        <v>12094</v>
      </c>
    </row>
    <row r="425" ht="14.25" customHeight="1">
      <c r="C425" s="71" t="s">
        <v>8969</v>
      </c>
      <c r="D425" s="71" t="s">
        <v>9034</v>
      </c>
    </row>
    <row r="426" ht="14.25" customHeight="1">
      <c r="D426" s="71" t="s">
        <v>9258</v>
      </c>
    </row>
    <row r="427" ht="14.25" customHeight="1">
      <c r="D427" s="71" t="s">
        <v>12062</v>
      </c>
    </row>
    <row r="428" ht="14.25" customHeight="1">
      <c r="D428" s="71" t="s">
        <v>9256</v>
      </c>
    </row>
    <row r="429" ht="14.25" customHeight="1">
      <c r="D429" s="71" t="s">
        <v>11478</v>
      </c>
    </row>
    <row r="430" ht="14.25" customHeight="1">
      <c r="D430" s="71" t="s">
        <v>8978</v>
      </c>
    </row>
    <row r="431" ht="14.25" customHeight="1">
      <c r="C431" s="71" t="s">
        <v>11684</v>
      </c>
      <c r="D431" s="71" t="s">
        <v>8978</v>
      </c>
    </row>
    <row r="432" ht="14.25" customHeight="1">
      <c r="C432" s="71" t="s">
        <v>9313</v>
      </c>
      <c r="D432" s="71" t="s">
        <v>8978</v>
      </c>
    </row>
    <row r="433" ht="14.25" customHeight="1">
      <c r="C433" s="71" t="s">
        <v>12095</v>
      </c>
      <c r="D433" s="71" t="s">
        <v>8978</v>
      </c>
    </row>
    <row r="434" ht="14.25" customHeight="1">
      <c r="C434" s="71" t="s">
        <v>12096</v>
      </c>
      <c r="D434" s="71" t="s">
        <v>9771</v>
      </c>
    </row>
    <row r="435" ht="14.25" customHeight="1">
      <c r="C435" s="71" t="s">
        <v>12097</v>
      </c>
      <c r="D435" s="71" t="s">
        <v>10859</v>
      </c>
    </row>
    <row r="436" ht="14.25" customHeight="1">
      <c r="C436" s="71" t="s">
        <v>12098</v>
      </c>
      <c r="D436" s="71" t="s">
        <v>9383</v>
      </c>
    </row>
    <row r="437" ht="14.25" customHeight="1">
      <c r="C437" s="71" t="s">
        <v>12099</v>
      </c>
      <c r="D437" s="71" t="s">
        <v>12100</v>
      </c>
    </row>
    <row r="438" ht="14.25" customHeight="1">
      <c r="C438" s="71" t="s">
        <v>82</v>
      </c>
      <c r="D438" s="71" t="s">
        <v>9645</v>
      </c>
    </row>
    <row r="439" ht="14.25" customHeight="1">
      <c r="C439" s="71" t="s">
        <v>2669</v>
      </c>
      <c r="D439" s="71" t="s">
        <v>9383</v>
      </c>
    </row>
    <row r="440" ht="14.25" customHeight="1">
      <c r="D440" s="71" t="s">
        <v>8978</v>
      </c>
    </row>
    <row r="441" ht="14.25" customHeight="1">
      <c r="D441" s="71" t="s">
        <v>12101</v>
      </c>
    </row>
    <row r="442" ht="14.25" customHeight="1">
      <c r="C442" s="71" t="s">
        <v>12102</v>
      </c>
      <c r="D442" s="71" t="s">
        <v>9383</v>
      </c>
    </row>
    <row r="443" ht="14.25" customHeight="1">
      <c r="C443" s="71" t="s">
        <v>93</v>
      </c>
      <c r="D443" s="71" t="s">
        <v>8978</v>
      </c>
    </row>
    <row r="444" ht="14.25" customHeight="1">
      <c r="C444" s="71" t="s">
        <v>9361</v>
      </c>
      <c r="D444" s="71" t="s">
        <v>9258</v>
      </c>
    </row>
    <row r="445" ht="14.25" customHeight="1">
      <c r="D445" s="71" t="s">
        <v>8978</v>
      </c>
    </row>
    <row r="446" ht="14.25" customHeight="1">
      <c r="C446" s="71" t="s">
        <v>12103</v>
      </c>
      <c r="D446" s="71" t="s">
        <v>8978</v>
      </c>
    </row>
    <row r="447" ht="14.25" customHeight="1">
      <c r="C447" s="71" t="s">
        <v>12104</v>
      </c>
      <c r="D447" s="71" t="s">
        <v>8978</v>
      </c>
    </row>
    <row r="448" ht="14.25" customHeight="1">
      <c r="C448" s="71" t="s">
        <v>9113</v>
      </c>
      <c r="D448" s="71" t="s">
        <v>9677</v>
      </c>
    </row>
    <row r="449" ht="14.25" customHeight="1">
      <c r="C449" s="71" t="s">
        <v>2798</v>
      </c>
      <c r="D449" s="71" t="s">
        <v>10197</v>
      </c>
    </row>
    <row r="450" ht="14.25" customHeight="1">
      <c r="D450" s="71" t="s">
        <v>12105</v>
      </c>
    </row>
    <row r="451" ht="14.25" customHeight="1">
      <c r="C451" s="71" t="s">
        <v>12106</v>
      </c>
      <c r="D451" s="71" t="s">
        <v>8978</v>
      </c>
    </row>
    <row r="452" ht="14.25" customHeight="1">
      <c r="C452" s="71" t="s">
        <v>916</v>
      </c>
      <c r="D452" s="71" t="s">
        <v>8978</v>
      </c>
    </row>
    <row r="453" ht="14.25" customHeight="1">
      <c r="D453" s="71" t="s">
        <v>12092</v>
      </c>
    </row>
    <row r="454" ht="14.25" customHeight="1">
      <c r="C454" s="71" t="s">
        <v>9630</v>
      </c>
      <c r="D454" s="71" t="s">
        <v>12107</v>
      </c>
    </row>
    <row r="455" ht="14.25" customHeight="1">
      <c r="C455" s="71" t="s">
        <v>12108</v>
      </c>
      <c r="D455" s="71" t="s">
        <v>12109</v>
      </c>
    </row>
    <row r="456" ht="14.25" customHeight="1">
      <c r="C456" s="71" t="s">
        <v>12110</v>
      </c>
      <c r="D456" s="71" t="s">
        <v>10796</v>
      </c>
    </row>
    <row r="457" ht="14.25" customHeight="1">
      <c r="C457" s="71" t="s">
        <v>124</v>
      </c>
      <c r="D457" s="71" t="s">
        <v>9258</v>
      </c>
    </row>
    <row r="458" ht="14.25" customHeight="1">
      <c r="C458" s="71" t="s">
        <v>8981</v>
      </c>
      <c r="D458" s="71" t="s">
        <v>9034</v>
      </c>
    </row>
    <row r="459" ht="14.25" customHeight="1">
      <c r="D459" s="71" t="s">
        <v>9258</v>
      </c>
    </row>
    <row r="460" ht="14.25" customHeight="1">
      <c r="C460" s="71" t="s">
        <v>7873</v>
      </c>
      <c r="D460" s="71" t="s">
        <v>8978</v>
      </c>
    </row>
    <row r="461" ht="14.25" customHeight="1">
      <c r="C461" s="71" t="s">
        <v>9133</v>
      </c>
      <c r="D461" s="71" t="s">
        <v>12111</v>
      </c>
    </row>
    <row r="462" ht="14.25" customHeight="1">
      <c r="C462" s="71" t="s">
        <v>12112</v>
      </c>
      <c r="D462" s="71" t="s">
        <v>8978</v>
      </c>
    </row>
    <row r="463" ht="14.25" customHeight="1">
      <c r="C463" s="71" t="s">
        <v>11508</v>
      </c>
      <c r="D463" s="71" t="s">
        <v>11503</v>
      </c>
    </row>
    <row r="464" ht="14.25" customHeight="1">
      <c r="C464" s="71" t="s">
        <v>1051</v>
      </c>
      <c r="D464" s="71" t="s">
        <v>9383</v>
      </c>
    </row>
    <row r="465" ht="14.25" customHeight="1">
      <c r="C465" s="71" t="s">
        <v>12113</v>
      </c>
      <c r="D465" s="71" t="s">
        <v>12114</v>
      </c>
    </row>
    <row r="466" ht="14.25" customHeight="1">
      <c r="C466" s="71" t="s">
        <v>3138</v>
      </c>
      <c r="D466" s="71" t="s">
        <v>9771</v>
      </c>
    </row>
    <row r="467" ht="14.25" customHeight="1">
      <c r="C467" s="71" t="s">
        <v>12115</v>
      </c>
      <c r="D467" s="71" t="s">
        <v>8978</v>
      </c>
    </row>
    <row r="468" ht="14.25" customHeight="1">
      <c r="C468" s="71" t="s">
        <v>6405</v>
      </c>
      <c r="D468" s="71" t="s">
        <v>9352</v>
      </c>
    </row>
    <row r="469" ht="14.25" customHeight="1">
      <c r="D469" s="71" t="s">
        <v>8978</v>
      </c>
    </row>
    <row r="470" ht="14.25" customHeight="1">
      <c r="C470" s="71" t="s">
        <v>307</v>
      </c>
      <c r="D470" s="71" t="s">
        <v>8978</v>
      </c>
    </row>
    <row r="471" ht="14.25" customHeight="1">
      <c r="C471" s="71" t="s">
        <v>12116</v>
      </c>
      <c r="D471" s="71" t="s">
        <v>10130</v>
      </c>
    </row>
    <row r="472" ht="14.25" customHeight="1">
      <c r="C472" s="71" t="s">
        <v>153</v>
      </c>
      <c r="D472" s="71" t="s">
        <v>12117</v>
      </c>
    </row>
    <row r="473" ht="14.25" customHeight="1">
      <c r="C473" s="71" t="s">
        <v>12061</v>
      </c>
      <c r="D473" s="71" t="s">
        <v>9034</v>
      </c>
    </row>
    <row r="474" ht="14.25" customHeight="1">
      <c r="D474" s="71" t="s">
        <v>12118</v>
      </c>
    </row>
    <row r="475" ht="14.25" customHeight="1">
      <c r="D475" s="71" t="s">
        <v>8978</v>
      </c>
    </row>
    <row r="476" ht="14.25" customHeight="1">
      <c r="C476" s="71" t="s">
        <v>10818</v>
      </c>
      <c r="D476" s="71" t="s">
        <v>8978</v>
      </c>
    </row>
    <row r="477" ht="14.25" customHeight="1">
      <c r="C477" s="71" t="s">
        <v>6538</v>
      </c>
      <c r="D477" s="71" t="s">
        <v>8976</v>
      </c>
    </row>
    <row r="478" ht="14.25" customHeight="1">
      <c r="C478" s="71" t="s">
        <v>10862</v>
      </c>
      <c r="D478" s="71" t="s">
        <v>12119</v>
      </c>
    </row>
    <row r="479" ht="14.25" customHeight="1">
      <c r="C479" s="71" t="s">
        <v>312</v>
      </c>
      <c r="D479" s="71" t="s">
        <v>9034</v>
      </c>
    </row>
    <row r="480" ht="14.25" customHeight="1">
      <c r="D480" s="71" t="s">
        <v>8978</v>
      </c>
    </row>
    <row r="481" ht="14.25" customHeight="1">
      <c r="C481" s="71" t="s">
        <v>173</v>
      </c>
      <c r="D481" s="71" t="s">
        <v>9258</v>
      </c>
    </row>
    <row r="482" ht="14.25" customHeight="1">
      <c r="C482" s="71" t="s">
        <v>12120</v>
      </c>
      <c r="D482" s="71" t="s">
        <v>9258</v>
      </c>
    </row>
    <row r="483" ht="14.25" customHeight="1">
      <c r="C483" s="71" t="s">
        <v>3566</v>
      </c>
      <c r="D483" s="71" t="s">
        <v>9034</v>
      </c>
    </row>
    <row r="484" ht="14.25" customHeight="1">
      <c r="D484" s="71" t="s">
        <v>8978</v>
      </c>
    </row>
    <row r="485" ht="14.25" customHeight="1">
      <c r="D485" s="71" t="s">
        <v>8976</v>
      </c>
    </row>
    <row r="486" ht="14.25" customHeight="1">
      <c r="C486" s="71" t="s">
        <v>9277</v>
      </c>
      <c r="D486" s="71" t="s">
        <v>9574</v>
      </c>
    </row>
    <row r="487" ht="14.25" customHeight="1">
      <c r="D487" s="71" t="s">
        <v>8978</v>
      </c>
    </row>
    <row r="488" ht="14.25" customHeight="1">
      <c r="C488" s="71" t="s">
        <v>12121</v>
      </c>
      <c r="D488" s="71" t="s">
        <v>9345</v>
      </c>
    </row>
    <row r="489" ht="14.25" customHeight="1">
      <c r="C489" s="71" t="s">
        <v>10827</v>
      </c>
      <c r="D489" s="71" t="s">
        <v>8978</v>
      </c>
    </row>
    <row r="490" ht="14.25" customHeight="1">
      <c r="C490" s="71" t="s">
        <v>11609</v>
      </c>
      <c r="D490" s="71" t="s">
        <v>9430</v>
      </c>
    </row>
    <row r="491" ht="14.25" customHeight="1">
      <c r="C491" s="71" t="s">
        <v>12122</v>
      </c>
      <c r="D491" s="71" t="s">
        <v>12123</v>
      </c>
    </row>
    <row r="492" ht="14.25" customHeight="1">
      <c r="C492" s="71" t="s">
        <v>10831</v>
      </c>
      <c r="D492" s="71" t="s">
        <v>8978</v>
      </c>
    </row>
    <row r="493" ht="14.25" customHeight="1">
      <c r="C493" s="71" t="s">
        <v>218</v>
      </c>
      <c r="D493" s="71" t="s">
        <v>9258</v>
      </c>
    </row>
    <row r="494" ht="14.25" customHeight="1">
      <c r="D494" s="71" t="s">
        <v>8978</v>
      </c>
    </row>
    <row r="495" ht="14.25" customHeight="1">
      <c r="C495" s="71" t="s">
        <v>12124</v>
      </c>
      <c r="D495" s="71" t="s">
        <v>8978</v>
      </c>
    </row>
    <row r="496" ht="14.25" customHeight="1">
      <c r="C496" s="71" t="s">
        <v>220</v>
      </c>
      <c r="D496" s="71" t="s">
        <v>9109</v>
      </c>
    </row>
    <row r="497" ht="14.25" customHeight="1">
      <c r="C497" s="71" t="s">
        <v>12125</v>
      </c>
      <c r="D497" s="71" t="s">
        <v>9154</v>
      </c>
    </row>
    <row r="498" ht="14.25" customHeight="1">
      <c r="C498" s="71" t="s">
        <v>12126</v>
      </c>
      <c r="D498" s="71" t="s">
        <v>8978</v>
      </c>
    </row>
    <row r="499" ht="14.25" customHeight="1">
      <c r="C499" s="71" t="s">
        <v>12019</v>
      </c>
      <c r="D499" s="71" t="s">
        <v>12127</v>
      </c>
    </row>
    <row r="500" ht="14.25" customHeight="1">
      <c r="D500" s="71" t="s">
        <v>12059</v>
      </c>
    </row>
    <row r="501" ht="14.25" customHeight="1">
      <c r="C501" s="71" t="s">
        <v>10431</v>
      </c>
      <c r="D501" s="71" t="s">
        <v>9034</v>
      </c>
    </row>
    <row r="502" ht="14.25" customHeight="1">
      <c r="C502" s="71" t="s">
        <v>12128</v>
      </c>
      <c r="D502" s="71" t="s">
        <v>9258</v>
      </c>
    </row>
    <row r="503" ht="14.25" customHeight="1">
      <c r="C503" s="71" t="s">
        <v>12129</v>
      </c>
      <c r="D503" s="71" t="s">
        <v>10813</v>
      </c>
    </row>
    <row r="504" ht="14.25" customHeight="1">
      <c r="D504" s="71" t="s">
        <v>12130</v>
      </c>
    </row>
    <row r="505" ht="14.25" customHeight="1">
      <c r="C505" s="71" t="s">
        <v>12131</v>
      </c>
      <c r="D505" s="71" t="s">
        <v>9258</v>
      </c>
    </row>
    <row r="506" ht="14.25" customHeight="1">
      <c r="C506" s="71" t="s">
        <v>12132</v>
      </c>
      <c r="D506" s="71" t="s">
        <v>9383</v>
      </c>
    </row>
    <row r="507" ht="14.25" customHeight="1">
      <c r="C507" s="71" t="s">
        <v>9401</v>
      </c>
      <c r="D507" s="71" t="s">
        <v>8978</v>
      </c>
    </row>
    <row r="508" ht="14.25" customHeight="1">
      <c r="C508" s="71" t="s">
        <v>10836</v>
      </c>
      <c r="D508" s="71" t="s">
        <v>12133</v>
      </c>
    </row>
    <row r="509" ht="14.25" customHeight="1">
      <c r="C509" s="71" t="s">
        <v>12134</v>
      </c>
      <c r="D509" s="71" t="s">
        <v>12135</v>
      </c>
    </row>
    <row r="510" ht="14.25" customHeight="1">
      <c r="C510" s="71" t="s">
        <v>12136</v>
      </c>
      <c r="D510" s="71" t="s">
        <v>12137</v>
      </c>
    </row>
    <row r="511" ht="14.25" customHeight="1">
      <c r="C511" s="71" t="s">
        <v>9405</v>
      </c>
      <c r="D511" s="71" t="s">
        <v>8978</v>
      </c>
    </row>
    <row r="512" ht="14.25" customHeight="1">
      <c r="C512" s="71" t="s">
        <v>244</v>
      </c>
      <c r="D512" s="71" t="s">
        <v>9406</v>
      </c>
    </row>
    <row r="513" ht="14.25" customHeight="1">
      <c r="C513" s="71" t="s">
        <v>4171</v>
      </c>
      <c r="D513" s="71" t="s">
        <v>8978</v>
      </c>
    </row>
    <row r="514" ht="14.25" customHeight="1">
      <c r="C514" s="71" t="s">
        <v>8763</v>
      </c>
      <c r="D514" s="71" t="s">
        <v>12138</v>
      </c>
    </row>
    <row r="515" ht="14.25" customHeight="1">
      <c r="C515" s="71" t="s">
        <v>12139</v>
      </c>
      <c r="D515" s="71" t="s">
        <v>9095</v>
      </c>
    </row>
    <row r="516" ht="14.25" customHeight="1">
      <c r="C516" s="71" t="s">
        <v>10756</v>
      </c>
      <c r="D516" s="71" t="s">
        <v>12140</v>
      </c>
    </row>
    <row r="517" ht="14.25" customHeight="1">
      <c r="C517" s="71" t="s">
        <v>12141</v>
      </c>
      <c r="D517" s="71" t="s">
        <v>12142</v>
      </c>
    </row>
    <row r="518" ht="14.25" customHeight="1">
      <c r="C518" s="71" t="s">
        <v>4326</v>
      </c>
      <c r="D518" s="71" t="s">
        <v>10204</v>
      </c>
    </row>
    <row r="519" ht="14.25" customHeight="1">
      <c r="C519" s="71" t="s">
        <v>12143</v>
      </c>
      <c r="D519" s="71" t="s">
        <v>12144</v>
      </c>
    </row>
    <row r="520" ht="14.25" customHeight="1">
      <c r="C520" s="71" t="s">
        <v>9412</v>
      </c>
      <c r="D520" s="71" t="s">
        <v>8978</v>
      </c>
    </row>
    <row r="521" ht="14.25" customHeight="1">
      <c r="C521" s="71" t="s">
        <v>12145</v>
      </c>
      <c r="D521" s="71" t="s">
        <v>12146</v>
      </c>
    </row>
    <row r="522" ht="14.25" customHeight="1">
      <c r="C522" s="71" t="s">
        <v>9005</v>
      </c>
      <c r="D522" s="71" t="s">
        <v>10806</v>
      </c>
    </row>
    <row r="523" ht="14.25" customHeight="1">
      <c r="D523" s="71" t="s">
        <v>9380</v>
      </c>
    </row>
    <row r="524" ht="14.25" customHeight="1">
      <c r="C524" s="71" t="s">
        <v>274</v>
      </c>
      <c r="D524" s="71" t="s">
        <v>8978</v>
      </c>
    </row>
    <row r="525" ht="14.25" customHeight="1">
      <c r="D525" s="71" t="s">
        <v>12147</v>
      </c>
    </row>
    <row r="526" ht="14.25" customHeight="1">
      <c r="C526" s="71" t="s">
        <v>12148</v>
      </c>
      <c r="D526" s="71" t="s">
        <v>12149</v>
      </c>
    </row>
    <row r="527" ht="14.25" customHeight="1">
      <c r="C527" s="71" t="s">
        <v>275</v>
      </c>
      <c r="D527" s="71" t="s">
        <v>12150</v>
      </c>
    </row>
    <row r="528" ht="14.25" customHeight="1">
      <c r="C528" s="71" t="s">
        <v>324</v>
      </c>
      <c r="D528" s="71" t="s">
        <v>12151</v>
      </c>
    </row>
    <row r="529" ht="14.25" customHeight="1">
      <c r="C529" s="71" t="s">
        <v>9295</v>
      </c>
      <c r="D529" s="71" t="s">
        <v>12152</v>
      </c>
    </row>
    <row r="530" ht="14.25" customHeight="1">
      <c r="D530" s="71" t="s">
        <v>8976</v>
      </c>
    </row>
    <row r="531" ht="14.25" customHeight="1">
      <c r="B531" s="71" t="s">
        <v>41</v>
      </c>
      <c r="C531" s="71" t="s">
        <v>9426</v>
      </c>
      <c r="D531" s="71" t="s">
        <v>12153</v>
      </c>
    </row>
    <row r="532" ht="14.25" customHeight="1">
      <c r="C532" s="71" t="s">
        <v>9303</v>
      </c>
      <c r="D532" s="71" t="s">
        <v>9236</v>
      </c>
    </row>
    <row r="533" ht="14.25" customHeight="1">
      <c r="B533" s="71" t="s">
        <v>13</v>
      </c>
      <c r="C533" s="71" t="s">
        <v>10083</v>
      </c>
      <c r="D533" s="71" t="s">
        <v>9380</v>
      </c>
    </row>
    <row r="534" ht="14.25" customHeight="1">
      <c r="C534" s="71" t="s">
        <v>9374</v>
      </c>
      <c r="D534" s="71" t="s">
        <v>9249</v>
      </c>
    </row>
    <row r="535" ht="14.25" customHeight="1">
      <c r="A535" s="71" t="s">
        <v>9443</v>
      </c>
      <c r="B535" s="71" t="s">
        <v>40</v>
      </c>
      <c r="C535" s="71" t="s">
        <v>8969</v>
      </c>
      <c r="D535" s="71" t="s">
        <v>8978</v>
      </c>
    </row>
    <row r="536" ht="14.25" customHeight="1">
      <c r="C536" s="71" t="s">
        <v>2379</v>
      </c>
      <c r="D536" s="71" t="s">
        <v>12154</v>
      </c>
    </row>
    <row r="537" ht="14.25" customHeight="1">
      <c r="C537" s="71" t="s">
        <v>9303</v>
      </c>
      <c r="D537" s="71" t="s">
        <v>12155</v>
      </c>
    </row>
    <row r="538" ht="14.25" customHeight="1">
      <c r="A538" s="71" t="s">
        <v>9457</v>
      </c>
      <c r="B538" s="71" t="s">
        <v>40</v>
      </c>
      <c r="C538" s="71" t="s">
        <v>9034</v>
      </c>
      <c r="D538" s="71" t="s">
        <v>9265</v>
      </c>
    </row>
    <row r="539" ht="14.25" customHeight="1">
      <c r="C539" s="71" t="s">
        <v>12156</v>
      </c>
      <c r="D539" s="71" t="s">
        <v>12157</v>
      </c>
    </row>
    <row r="540" ht="14.25" customHeight="1">
      <c r="C540" s="71" t="s">
        <v>10767</v>
      </c>
      <c r="D540" s="71" t="s">
        <v>12158</v>
      </c>
    </row>
    <row r="541" ht="14.25" customHeight="1">
      <c r="C541" s="71" t="s">
        <v>8969</v>
      </c>
      <c r="D541" s="71" t="s">
        <v>9256</v>
      </c>
    </row>
    <row r="542" ht="14.25" customHeight="1">
      <c r="C542" s="71" t="s">
        <v>9313</v>
      </c>
      <c r="D542" s="71" t="s">
        <v>12159</v>
      </c>
    </row>
    <row r="543" ht="14.25" customHeight="1">
      <c r="C543" s="71" t="s">
        <v>89</v>
      </c>
      <c r="D543" s="71" t="s">
        <v>10883</v>
      </c>
    </row>
    <row r="544" ht="14.25" customHeight="1">
      <c r="D544" s="71" t="s">
        <v>12160</v>
      </c>
    </row>
    <row r="545" ht="14.25" customHeight="1">
      <c r="D545" s="71" t="s">
        <v>9265</v>
      </c>
    </row>
    <row r="546" ht="14.25" customHeight="1">
      <c r="D546" s="71" t="s">
        <v>9521</v>
      </c>
    </row>
    <row r="547" ht="14.25" customHeight="1">
      <c r="D547" s="71" t="s">
        <v>12161</v>
      </c>
    </row>
    <row r="548" ht="14.25" customHeight="1">
      <c r="C548" s="71" t="s">
        <v>12162</v>
      </c>
      <c r="D548" s="71" t="s">
        <v>12163</v>
      </c>
    </row>
    <row r="549" ht="14.25" customHeight="1">
      <c r="C549" s="71" t="s">
        <v>6031</v>
      </c>
      <c r="D549" s="71" t="s">
        <v>12164</v>
      </c>
    </row>
    <row r="550" ht="14.25" customHeight="1">
      <c r="D550" s="71" t="s">
        <v>9086</v>
      </c>
    </row>
    <row r="551" ht="14.25" customHeight="1">
      <c r="C551" s="71" t="s">
        <v>4739</v>
      </c>
      <c r="D551" s="71" t="s">
        <v>9236</v>
      </c>
    </row>
    <row r="552" ht="14.25" customHeight="1">
      <c r="C552" s="71" t="s">
        <v>106</v>
      </c>
      <c r="D552" s="71" t="s">
        <v>9265</v>
      </c>
    </row>
    <row r="553" ht="14.25" customHeight="1">
      <c r="C553" s="71" t="s">
        <v>12165</v>
      </c>
      <c r="D553" s="71" t="s">
        <v>9039</v>
      </c>
    </row>
    <row r="554" ht="14.25" customHeight="1">
      <c r="C554" s="71" t="s">
        <v>12166</v>
      </c>
      <c r="D554" s="71" t="s">
        <v>8968</v>
      </c>
    </row>
    <row r="555" ht="14.25" customHeight="1">
      <c r="C555" s="71" t="s">
        <v>11868</v>
      </c>
      <c r="D555" s="71" t="s">
        <v>9265</v>
      </c>
    </row>
    <row r="556" ht="14.25" customHeight="1">
      <c r="C556" s="71" t="s">
        <v>12167</v>
      </c>
      <c r="D556" s="71" t="s">
        <v>9521</v>
      </c>
    </row>
    <row r="557" ht="14.25" customHeight="1">
      <c r="C557" s="71" t="s">
        <v>9133</v>
      </c>
      <c r="D557" s="71" t="s">
        <v>10093</v>
      </c>
    </row>
    <row r="558" ht="14.25" customHeight="1">
      <c r="C558" s="71" t="s">
        <v>126</v>
      </c>
      <c r="D558" s="71" t="s">
        <v>9486</v>
      </c>
    </row>
    <row r="559" ht="14.25" customHeight="1">
      <c r="C559" s="71" t="s">
        <v>4911</v>
      </c>
      <c r="D559" s="71" t="s">
        <v>9265</v>
      </c>
    </row>
    <row r="560" ht="14.25" customHeight="1">
      <c r="C560" s="71" t="s">
        <v>3138</v>
      </c>
      <c r="D560" s="71" t="s">
        <v>9867</v>
      </c>
    </row>
    <row r="561" ht="14.25" customHeight="1">
      <c r="C561" s="71" t="s">
        <v>12002</v>
      </c>
      <c r="D561" s="71" t="s">
        <v>12168</v>
      </c>
    </row>
    <row r="562" ht="14.25" customHeight="1">
      <c r="C562" s="71" t="s">
        <v>141</v>
      </c>
      <c r="D562" s="71" t="s">
        <v>12169</v>
      </c>
    </row>
    <row r="563" ht="14.25" customHeight="1">
      <c r="C563" s="71" t="s">
        <v>153</v>
      </c>
      <c r="D563" s="71" t="s">
        <v>12170</v>
      </c>
    </row>
    <row r="564" ht="14.25" customHeight="1">
      <c r="C564" s="71" t="s">
        <v>9329</v>
      </c>
      <c r="D564" s="71" t="s">
        <v>9086</v>
      </c>
    </row>
    <row r="565" ht="14.25" customHeight="1">
      <c r="C565" s="71" t="s">
        <v>159</v>
      </c>
      <c r="D565" s="71" t="s">
        <v>12171</v>
      </c>
    </row>
    <row r="566" ht="14.25" customHeight="1">
      <c r="C566" s="71" t="s">
        <v>1417</v>
      </c>
      <c r="D566" s="71" t="s">
        <v>9265</v>
      </c>
    </row>
    <row r="567" ht="14.25" customHeight="1">
      <c r="C567" s="71" t="s">
        <v>312</v>
      </c>
      <c r="D567" s="71" t="s">
        <v>9034</v>
      </c>
    </row>
    <row r="568" ht="14.25" customHeight="1">
      <c r="D568" s="71" t="s">
        <v>9265</v>
      </c>
    </row>
    <row r="569" ht="14.25" customHeight="1">
      <c r="C569" s="71" t="s">
        <v>12172</v>
      </c>
      <c r="D569" s="71" t="s">
        <v>9291</v>
      </c>
    </row>
    <row r="570" ht="14.25" customHeight="1">
      <c r="C570" s="71" t="s">
        <v>3566</v>
      </c>
      <c r="D570" s="71" t="s">
        <v>12173</v>
      </c>
    </row>
    <row r="571" ht="14.25" customHeight="1">
      <c r="D571" s="71" t="s">
        <v>9486</v>
      </c>
    </row>
    <row r="572" ht="14.25" customHeight="1">
      <c r="D572" s="71" t="s">
        <v>12174</v>
      </c>
    </row>
    <row r="573" ht="14.25" customHeight="1">
      <c r="C573" s="71" t="s">
        <v>3596</v>
      </c>
      <c r="D573" s="71" t="s">
        <v>12175</v>
      </c>
    </row>
    <row r="574" ht="14.25" customHeight="1">
      <c r="C574" s="71" t="s">
        <v>184</v>
      </c>
      <c r="D574" s="71" t="s">
        <v>9109</v>
      </c>
    </row>
    <row r="575" ht="14.25" customHeight="1">
      <c r="C575" s="71" t="s">
        <v>314</v>
      </c>
      <c r="D575" s="71" t="s">
        <v>10199</v>
      </c>
    </row>
    <row r="576" ht="14.25" customHeight="1">
      <c r="C576" s="71" t="s">
        <v>9277</v>
      </c>
      <c r="D576" s="71" t="s">
        <v>12176</v>
      </c>
    </row>
    <row r="577" ht="14.25" customHeight="1">
      <c r="C577" s="71" t="s">
        <v>210</v>
      </c>
      <c r="D577" s="71" t="s">
        <v>12177</v>
      </c>
    </row>
    <row r="578" ht="14.25" customHeight="1">
      <c r="C578" s="71" t="s">
        <v>215</v>
      </c>
      <c r="D578" s="71" t="s">
        <v>9109</v>
      </c>
    </row>
    <row r="579" ht="14.25" customHeight="1">
      <c r="C579" s="71" t="s">
        <v>10990</v>
      </c>
      <c r="D579" s="71" t="s">
        <v>9039</v>
      </c>
    </row>
    <row r="580" ht="14.25" customHeight="1">
      <c r="C580" s="71" t="s">
        <v>12178</v>
      </c>
      <c r="D580" s="71" t="s">
        <v>9034</v>
      </c>
    </row>
    <row r="581" ht="14.25" customHeight="1">
      <c r="C581" s="71" t="s">
        <v>6904</v>
      </c>
      <c r="D581" s="71" t="s">
        <v>9498</v>
      </c>
    </row>
    <row r="582" ht="14.25" customHeight="1">
      <c r="C582" s="71" t="s">
        <v>12179</v>
      </c>
      <c r="D582" s="71" t="s">
        <v>12180</v>
      </c>
    </row>
    <row r="583" ht="14.25" customHeight="1">
      <c r="C583" s="71" t="s">
        <v>9513</v>
      </c>
      <c r="D583" s="71" t="s">
        <v>9265</v>
      </c>
    </row>
    <row r="584" ht="14.25" customHeight="1">
      <c r="C584" s="71" t="s">
        <v>8576</v>
      </c>
      <c r="D584" s="71" t="s">
        <v>9265</v>
      </c>
    </row>
    <row r="585" ht="14.25" customHeight="1">
      <c r="D585" s="71" t="s">
        <v>8976</v>
      </c>
    </row>
    <row r="586" ht="14.25" customHeight="1">
      <c r="D586" s="71" t="s">
        <v>11367</v>
      </c>
    </row>
    <row r="587" ht="14.25" customHeight="1">
      <c r="C587" s="71" t="s">
        <v>10590</v>
      </c>
      <c r="D587" s="71" t="s">
        <v>10257</v>
      </c>
    </row>
    <row r="588" ht="14.25" customHeight="1">
      <c r="C588" s="71" t="s">
        <v>3984</v>
      </c>
      <c r="D588" s="71" t="s">
        <v>9034</v>
      </c>
    </row>
    <row r="589" ht="14.25" customHeight="1">
      <c r="C589" s="71" t="s">
        <v>231</v>
      </c>
      <c r="D589" s="71" t="s">
        <v>12181</v>
      </c>
    </row>
    <row r="590" ht="14.25" customHeight="1">
      <c r="D590" s="71" t="s">
        <v>12182</v>
      </c>
    </row>
    <row r="591" ht="14.25" customHeight="1">
      <c r="C591" s="71" t="s">
        <v>4109</v>
      </c>
      <c r="D591" s="71" t="s">
        <v>9867</v>
      </c>
    </row>
    <row r="592" ht="14.25" customHeight="1">
      <c r="C592" s="71" t="s">
        <v>9434</v>
      </c>
      <c r="D592" s="71" t="s">
        <v>9514</v>
      </c>
    </row>
    <row r="593" ht="14.25" customHeight="1">
      <c r="D593" s="71" t="s">
        <v>9583</v>
      </c>
    </row>
    <row r="594" ht="14.25" customHeight="1">
      <c r="C594" s="71" t="s">
        <v>262</v>
      </c>
      <c r="D594" s="71" t="s">
        <v>9034</v>
      </c>
    </row>
    <row r="595" ht="14.25" customHeight="1">
      <c r="D595" s="71" t="s">
        <v>12183</v>
      </c>
    </row>
    <row r="596" ht="14.25" customHeight="1">
      <c r="D596" s="71" t="s">
        <v>9291</v>
      </c>
    </row>
    <row r="597" ht="14.25" customHeight="1">
      <c r="D597" s="71" t="s">
        <v>8968</v>
      </c>
    </row>
    <row r="598" ht="14.25" customHeight="1">
      <c r="D598" s="71" t="s">
        <v>9817</v>
      </c>
    </row>
    <row r="599" ht="14.25" customHeight="1">
      <c r="D599" s="71" t="s">
        <v>12184</v>
      </c>
    </row>
    <row r="600" ht="14.25" customHeight="1">
      <c r="D600" s="71" t="s">
        <v>9292</v>
      </c>
    </row>
    <row r="601" ht="14.25" customHeight="1">
      <c r="D601" s="71" t="s">
        <v>12073</v>
      </c>
    </row>
    <row r="602" ht="14.25" customHeight="1">
      <c r="D602" s="71" t="s">
        <v>12164</v>
      </c>
    </row>
    <row r="603" ht="14.25" customHeight="1">
      <c r="D603" s="71" t="s">
        <v>12185</v>
      </c>
    </row>
    <row r="604" ht="14.25" customHeight="1">
      <c r="D604" s="71" t="s">
        <v>9604</v>
      </c>
    </row>
    <row r="605" ht="14.25" customHeight="1">
      <c r="D605" s="71" t="s">
        <v>9118</v>
      </c>
    </row>
    <row r="606" ht="14.25" customHeight="1">
      <c r="D606" s="71" t="s">
        <v>9086</v>
      </c>
    </row>
    <row r="607" ht="14.25" customHeight="1">
      <c r="C607" s="71" t="s">
        <v>11080</v>
      </c>
      <c r="D607" s="71" t="s">
        <v>12186</v>
      </c>
    </row>
    <row r="608" ht="14.25" customHeight="1">
      <c r="C608" s="71" t="s">
        <v>12187</v>
      </c>
      <c r="D608" s="71" t="s">
        <v>11568</v>
      </c>
    </row>
    <row r="609" ht="14.25" customHeight="1">
      <c r="C609" s="71" t="s">
        <v>265</v>
      </c>
      <c r="D609" s="71" t="s">
        <v>9486</v>
      </c>
    </row>
    <row r="610" ht="14.25" customHeight="1">
      <c r="C610" s="71" t="s">
        <v>269</v>
      </c>
      <c r="D610" s="71" t="s">
        <v>12188</v>
      </c>
    </row>
    <row r="611" ht="14.25" customHeight="1">
      <c r="C611" s="71" t="s">
        <v>12189</v>
      </c>
      <c r="D611" s="71" t="s">
        <v>12190</v>
      </c>
    </row>
    <row r="612" ht="14.25" customHeight="1">
      <c r="C612" s="71" t="s">
        <v>324</v>
      </c>
      <c r="D612" s="71" t="s">
        <v>11891</v>
      </c>
    </row>
    <row r="613" ht="14.25" customHeight="1">
      <c r="B613" s="71" t="s">
        <v>41</v>
      </c>
      <c r="C613" s="71" t="s">
        <v>9034</v>
      </c>
      <c r="D613" s="71" t="s">
        <v>9545</v>
      </c>
    </row>
    <row r="614" ht="14.25" customHeight="1">
      <c r="D614" s="71" t="s">
        <v>12191</v>
      </c>
    </row>
    <row r="615" ht="14.25" customHeight="1">
      <c r="C615" s="71" t="s">
        <v>12076</v>
      </c>
      <c r="D615" s="71" t="s">
        <v>11565</v>
      </c>
    </row>
    <row r="616" ht="14.25" customHeight="1">
      <c r="C616" s="71" t="s">
        <v>12192</v>
      </c>
      <c r="D616" s="71" t="s">
        <v>11565</v>
      </c>
    </row>
    <row r="617" ht="14.25" customHeight="1">
      <c r="C617" s="71" t="s">
        <v>5785</v>
      </c>
      <c r="D617" s="71" t="s">
        <v>9545</v>
      </c>
    </row>
    <row r="618" ht="14.25" customHeight="1">
      <c r="D618" s="71" t="s">
        <v>9055</v>
      </c>
    </row>
    <row r="619" ht="14.25" customHeight="1">
      <c r="C619" s="71" t="s">
        <v>9313</v>
      </c>
      <c r="D619" s="71" t="s">
        <v>12193</v>
      </c>
    </row>
    <row r="620" ht="14.25" customHeight="1">
      <c r="C620" s="71" t="s">
        <v>65</v>
      </c>
      <c r="D620" s="71" t="s">
        <v>9265</v>
      </c>
    </row>
    <row r="621" ht="14.25" customHeight="1">
      <c r="C621" s="71" t="s">
        <v>6031</v>
      </c>
      <c r="D621" s="71" t="s">
        <v>9545</v>
      </c>
    </row>
    <row r="622" ht="14.25" customHeight="1">
      <c r="D622" s="71" t="s">
        <v>12194</v>
      </c>
    </row>
    <row r="623" ht="14.25" customHeight="1">
      <c r="C623" s="71" t="s">
        <v>114</v>
      </c>
      <c r="D623" s="71" t="s">
        <v>12195</v>
      </c>
    </row>
    <row r="624" ht="14.25" customHeight="1">
      <c r="C624" s="71" t="s">
        <v>12196</v>
      </c>
      <c r="D624" s="71" t="s">
        <v>9034</v>
      </c>
    </row>
    <row r="625" ht="14.25" customHeight="1">
      <c r="C625" s="71" t="s">
        <v>9329</v>
      </c>
      <c r="D625" s="71" t="s">
        <v>12083</v>
      </c>
    </row>
    <row r="626" ht="14.25" customHeight="1">
      <c r="C626" s="71" t="s">
        <v>12197</v>
      </c>
      <c r="D626" s="71" t="s">
        <v>12198</v>
      </c>
    </row>
    <row r="627" ht="14.25" customHeight="1">
      <c r="C627" s="71" t="s">
        <v>12199</v>
      </c>
      <c r="D627" s="71" t="s">
        <v>12200</v>
      </c>
    </row>
    <row r="628" ht="14.25" customHeight="1">
      <c r="C628" s="71" t="s">
        <v>12201</v>
      </c>
      <c r="D628" s="71" t="s">
        <v>12202</v>
      </c>
    </row>
    <row r="629" ht="14.25" customHeight="1">
      <c r="C629" s="71" t="s">
        <v>210</v>
      </c>
      <c r="D629" s="71" t="s">
        <v>9034</v>
      </c>
    </row>
    <row r="630" ht="14.25" customHeight="1">
      <c r="C630" s="71" t="s">
        <v>9333</v>
      </c>
      <c r="D630" s="71" t="s">
        <v>12203</v>
      </c>
    </row>
    <row r="631" ht="14.25" customHeight="1">
      <c r="C631" s="71" t="s">
        <v>237</v>
      </c>
      <c r="D631" s="71" t="s">
        <v>11770</v>
      </c>
    </row>
    <row r="632" ht="14.25" customHeight="1">
      <c r="C632" s="71" t="s">
        <v>10640</v>
      </c>
      <c r="D632" s="71" t="s">
        <v>9265</v>
      </c>
    </row>
    <row r="633" ht="14.25" customHeight="1">
      <c r="C633" s="71" t="s">
        <v>253</v>
      </c>
      <c r="D633" s="71" t="s">
        <v>10269</v>
      </c>
    </row>
    <row r="634" ht="14.25" customHeight="1">
      <c r="C634" s="71" t="s">
        <v>9434</v>
      </c>
      <c r="D634" s="71" t="s">
        <v>9525</v>
      </c>
    </row>
    <row r="635" ht="14.25" customHeight="1">
      <c r="C635" s="71" t="s">
        <v>262</v>
      </c>
      <c r="D635" s="71" t="s">
        <v>9545</v>
      </c>
    </row>
    <row r="636" ht="14.25" customHeight="1">
      <c r="B636" s="71" t="s">
        <v>13</v>
      </c>
      <c r="C636" s="71" t="s">
        <v>12204</v>
      </c>
      <c r="D636" s="71" t="s">
        <v>9174</v>
      </c>
    </row>
    <row r="637" ht="14.25" customHeight="1">
      <c r="C637" s="71" t="s">
        <v>4109</v>
      </c>
      <c r="D637" s="71" t="s">
        <v>12205</v>
      </c>
    </row>
    <row r="638" ht="14.25" customHeight="1">
      <c r="C638" s="71" t="s">
        <v>12206</v>
      </c>
      <c r="D638" s="71" t="s">
        <v>9249</v>
      </c>
    </row>
    <row r="639" ht="14.25" customHeight="1">
      <c r="A639" s="71" t="s">
        <v>9551</v>
      </c>
      <c r="B639" s="71" t="s">
        <v>40</v>
      </c>
      <c r="C639" s="71" t="s">
        <v>12207</v>
      </c>
      <c r="D639" s="71" t="s">
        <v>12142</v>
      </c>
    </row>
    <row r="640" ht="14.25" customHeight="1">
      <c r="C640" s="71" t="s">
        <v>10656</v>
      </c>
      <c r="D640" s="71" t="s">
        <v>11530</v>
      </c>
    </row>
    <row r="641" ht="14.25" customHeight="1">
      <c r="C641" s="71" t="s">
        <v>12208</v>
      </c>
      <c r="D641" s="71" t="s">
        <v>12209</v>
      </c>
    </row>
    <row r="642" ht="14.25" customHeight="1">
      <c r="C642" s="71" t="s">
        <v>10807</v>
      </c>
      <c r="D642" s="71" t="s">
        <v>9034</v>
      </c>
    </row>
    <row r="643" ht="14.25" customHeight="1">
      <c r="C643" s="71" t="s">
        <v>312</v>
      </c>
      <c r="D643" s="71" t="s">
        <v>12210</v>
      </c>
    </row>
    <row r="644" ht="14.25" customHeight="1">
      <c r="C644" s="71" t="s">
        <v>12211</v>
      </c>
      <c r="D644" s="71" t="s">
        <v>9055</v>
      </c>
    </row>
    <row r="645" ht="14.25" customHeight="1">
      <c r="C645" s="71" t="s">
        <v>3566</v>
      </c>
      <c r="D645" s="71" t="s">
        <v>9486</v>
      </c>
    </row>
    <row r="646" ht="14.25" customHeight="1">
      <c r="D646" s="71" t="s">
        <v>8978</v>
      </c>
    </row>
    <row r="647" ht="14.25" customHeight="1">
      <c r="C647" s="71" t="s">
        <v>6654</v>
      </c>
      <c r="D647" s="71" t="s">
        <v>12212</v>
      </c>
    </row>
    <row r="648" ht="14.25" customHeight="1">
      <c r="C648" s="71" t="s">
        <v>12213</v>
      </c>
      <c r="D648" s="71" t="s">
        <v>12214</v>
      </c>
    </row>
    <row r="649" ht="14.25" customHeight="1">
      <c r="C649" s="71" t="s">
        <v>10905</v>
      </c>
      <c r="D649" s="71" t="s">
        <v>9508</v>
      </c>
    </row>
    <row r="650" ht="14.25" customHeight="1">
      <c r="C650" s="71" t="s">
        <v>215</v>
      </c>
      <c r="D650" s="71" t="s">
        <v>11589</v>
      </c>
    </row>
    <row r="651" ht="14.25" customHeight="1">
      <c r="D651" s="71" t="s">
        <v>12215</v>
      </c>
    </row>
    <row r="652" ht="14.25" customHeight="1">
      <c r="C652" s="71" t="s">
        <v>10831</v>
      </c>
      <c r="D652" s="71" t="s">
        <v>12216</v>
      </c>
    </row>
    <row r="653" ht="14.25" customHeight="1">
      <c r="C653" s="71" t="s">
        <v>3821</v>
      </c>
      <c r="D653" s="71" t="s">
        <v>12217</v>
      </c>
    </row>
    <row r="654" ht="14.25" customHeight="1">
      <c r="C654" s="71" t="s">
        <v>220</v>
      </c>
      <c r="D654" s="71" t="s">
        <v>8968</v>
      </c>
    </row>
    <row r="655" ht="14.25" customHeight="1">
      <c r="C655" s="71" t="s">
        <v>6904</v>
      </c>
      <c r="D655" s="71" t="s">
        <v>12218</v>
      </c>
    </row>
    <row r="656" ht="14.25" customHeight="1">
      <c r="C656" s="71" t="s">
        <v>244</v>
      </c>
      <c r="D656" s="71" t="s">
        <v>10018</v>
      </c>
    </row>
    <row r="657" ht="14.25" customHeight="1">
      <c r="C657" s="71" t="s">
        <v>10998</v>
      </c>
      <c r="D657" s="71" t="s">
        <v>12219</v>
      </c>
    </row>
    <row r="658" ht="14.25" customHeight="1">
      <c r="C658" s="71" t="s">
        <v>12220</v>
      </c>
      <c r="D658" s="71" t="s">
        <v>12221</v>
      </c>
    </row>
    <row r="659" ht="14.25" customHeight="1">
      <c r="C659" s="71" t="s">
        <v>8771</v>
      </c>
      <c r="D659" s="71" t="s">
        <v>9151</v>
      </c>
    </row>
    <row r="660" ht="14.25" customHeight="1">
      <c r="C660" s="71" t="s">
        <v>262</v>
      </c>
      <c r="D660" s="71" t="s">
        <v>9525</v>
      </c>
    </row>
    <row r="661" ht="14.25" customHeight="1">
      <c r="D661" s="71" t="s">
        <v>12222</v>
      </c>
    </row>
    <row r="662" ht="14.25" customHeight="1">
      <c r="D662" s="71" t="s">
        <v>9118</v>
      </c>
    </row>
    <row r="663" ht="14.25" customHeight="1">
      <c r="D663" s="71" t="s">
        <v>9086</v>
      </c>
    </row>
    <row r="664" ht="14.25" customHeight="1">
      <c r="C664" s="71" t="s">
        <v>9005</v>
      </c>
      <c r="D664" s="71" t="s">
        <v>9258</v>
      </c>
    </row>
    <row r="665" ht="14.25" customHeight="1">
      <c r="C665" s="71" t="s">
        <v>274</v>
      </c>
      <c r="D665" s="71" t="s">
        <v>9258</v>
      </c>
    </row>
    <row r="666" ht="14.25" customHeight="1">
      <c r="A666" s="71" t="s">
        <v>579</v>
      </c>
      <c r="B666" s="71" t="s">
        <v>41</v>
      </c>
      <c r="C666" s="71" t="s">
        <v>73</v>
      </c>
      <c r="D666" s="71" t="s">
        <v>9073</v>
      </c>
    </row>
    <row r="667" ht="14.25" customHeight="1">
      <c r="C667" s="71" t="s">
        <v>10660</v>
      </c>
      <c r="D667" s="71" t="s">
        <v>9999</v>
      </c>
    </row>
    <row r="668" ht="14.25" customHeight="1">
      <c r="C668" s="71" t="s">
        <v>6057</v>
      </c>
      <c r="D668" s="71" t="s">
        <v>12223</v>
      </c>
    </row>
    <row r="669" ht="14.25" customHeight="1">
      <c r="A669" s="71" t="s">
        <v>9570</v>
      </c>
      <c r="B669" s="71" t="s">
        <v>41</v>
      </c>
      <c r="C669" s="71" t="s">
        <v>12224</v>
      </c>
      <c r="D669" s="71" t="s">
        <v>12225</v>
      </c>
    </row>
    <row r="670" ht="14.25" customHeight="1">
      <c r="C670" s="71" t="s">
        <v>3059</v>
      </c>
      <c r="D670" s="71" t="s">
        <v>9073</v>
      </c>
    </row>
    <row r="671" ht="14.25" customHeight="1">
      <c r="C671" s="71" t="s">
        <v>12226</v>
      </c>
      <c r="D671" s="71" t="s">
        <v>9574</v>
      </c>
    </row>
    <row r="672" ht="14.25" customHeight="1">
      <c r="A672" s="71" t="s">
        <v>9580</v>
      </c>
      <c r="B672" s="71" t="s">
        <v>41</v>
      </c>
      <c r="C672" s="71" t="s">
        <v>2408</v>
      </c>
      <c r="D672" s="71" t="s">
        <v>12227</v>
      </c>
    </row>
    <row r="673" ht="14.25" customHeight="1">
      <c r="C673" s="71" t="s">
        <v>5834</v>
      </c>
      <c r="D673" s="71" t="s">
        <v>10124</v>
      </c>
    </row>
    <row r="674" ht="14.25" customHeight="1">
      <c r="C674" s="71" t="s">
        <v>262</v>
      </c>
      <c r="D674" s="71" t="s">
        <v>9055</v>
      </c>
    </row>
    <row r="675" ht="14.25" customHeight="1">
      <c r="A675" s="71" t="s">
        <v>9585</v>
      </c>
      <c r="B675" s="71" t="s">
        <v>40</v>
      </c>
      <c r="C675" s="71" t="s">
        <v>5740</v>
      </c>
      <c r="D675" s="71" t="s">
        <v>9587</v>
      </c>
    </row>
    <row r="676" ht="14.25" customHeight="1">
      <c r="C676" s="71" t="s">
        <v>7652</v>
      </c>
      <c r="D676" s="71" t="s">
        <v>9587</v>
      </c>
    </row>
    <row r="677" ht="14.25" customHeight="1">
      <c r="C677" s="71" t="s">
        <v>1196</v>
      </c>
      <c r="D677" s="71" t="s">
        <v>12228</v>
      </c>
    </row>
    <row r="678" ht="14.25" customHeight="1">
      <c r="C678" s="71" t="s">
        <v>12229</v>
      </c>
      <c r="D678" s="71" t="s">
        <v>12230</v>
      </c>
    </row>
    <row r="679" ht="14.25" customHeight="1">
      <c r="C679" s="71" t="s">
        <v>1417</v>
      </c>
      <c r="D679" s="71" t="s">
        <v>9204</v>
      </c>
    </row>
    <row r="680" ht="14.25" customHeight="1">
      <c r="D680" s="71" t="s">
        <v>11438</v>
      </c>
    </row>
    <row r="681" ht="14.25" customHeight="1">
      <c r="C681" s="71" t="s">
        <v>12231</v>
      </c>
      <c r="D681" s="71" t="s">
        <v>12228</v>
      </c>
    </row>
    <row r="682" ht="14.25" customHeight="1">
      <c r="C682" s="71" t="s">
        <v>12232</v>
      </c>
      <c r="D682" s="71" t="s">
        <v>9026</v>
      </c>
    </row>
    <row r="683" ht="14.25" customHeight="1">
      <c r="C683" s="71" t="s">
        <v>10711</v>
      </c>
      <c r="D683" s="71" t="s">
        <v>12233</v>
      </c>
    </row>
    <row r="684" ht="14.25" customHeight="1">
      <c r="C684" s="71" t="s">
        <v>217</v>
      </c>
      <c r="D684" s="71" t="s">
        <v>8968</v>
      </c>
    </row>
    <row r="685" ht="14.25" customHeight="1">
      <c r="A685" s="71" t="s">
        <v>9596</v>
      </c>
      <c r="B685" s="71" t="s">
        <v>40</v>
      </c>
      <c r="C685" s="71" t="s">
        <v>9034</v>
      </c>
      <c r="D685" s="71" t="s">
        <v>9645</v>
      </c>
    </row>
    <row r="686" ht="14.25" customHeight="1">
      <c r="C686" s="71" t="s">
        <v>12234</v>
      </c>
      <c r="D686" s="71" t="s">
        <v>9602</v>
      </c>
    </row>
    <row r="687" ht="14.25" customHeight="1">
      <c r="D687" s="71" t="s">
        <v>12235</v>
      </c>
    </row>
    <row r="688" ht="14.25" customHeight="1">
      <c r="C688" s="71" t="s">
        <v>10950</v>
      </c>
      <c r="D688" s="71" t="s">
        <v>9034</v>
      </c>
    </row>
    <row r="689" ht="14.25" customHeight="1">
      <c r="D689" s="71" t="s">
        <v>12236</v>
      </c>
    </row>
    <row r="690" ht="14.25" customHeight="1">
      <c r="C690" s="71" t="s">
        <v>12237</v>
      </c>
      <c r="D690" s="71" t="s">
        <v>1948</v>
      </c>
    </row>
    <row r="691" ht="14.25" customHeight="1">
      <c r="C691" s="71" t="s">
        <v>2357</v>
      </c>
      <c r="D691" s="71" t="s">
        <v>9034</v>
      </c>
    </row>
    <row r="692" ht="14.25" customHeight="1">
      <c r="C692" s="71" t="s">
        <v>12238</v>
      </c>
      <c r="D692" s="71" t="s">
        <v>9578</v>
      </c>
    </row>
    <row r="693" ht="14.25" customHeight="1">
      <c r="C693" s="71" t="s">
        <v>11618</v>
      </c>
      <c r="D693" s="71" t="s">
        <v>9614</v>
      </c>
    </row>
    <row r="694" ht="14.25" customHeight="1">
      <c r="C694" s="71" t="s">
        <v>12239</v>
      </c>
      <c r="D694" s="71" t="s">
        <v>12240</v>
      </c>
    </row>
    <row r="695" ht="14.25" customHeight="1">
      <c r="C695" s="71" t="s">
        <v>9608</v>
      </c>
      <c r="D695" s="71" t="s">
        <v>9168</v>
      </c>
    </row>
    <row r="696" ht="14.25" customHeight="1">
      <c r="C696" s="71" t="s">
        <v>82</v>
      </c>
      <c r="D696" s="71" t="s">
        <v>9645</v>
      </c>
    </row>
    <row r="697" ht="14.25" customHeight="1">
      <c r="C697" s="71" t="s">
        <v>12241</v>
      </c>
      <c r="D697" s="71" t="s">
        <v>12242</v>
      </c>
    </row>
    <row r="698" ht="14.25" customHeight="1">
      <c r="C698" s="71" t="s">
        <v>12243</v>
      </c>
      <c r="D698" s="71" t="s">
        <v>12244</v>
      </c>
    </row>
    <row r="699" ht="14.25" customHeight="1">
      <c r="C699" s="71" t="s">
        <v>12245</v>
      </c>
      <c r="D699" s="71" t="s">
        <v>12246</v>
      </c>
    </row>
    <row r="700" ht="14.25" customHeight="1">
      <c r="C700" s="71" t="s">
        <v>12247</v>
      </c>
      <c r="D700" s="71" t="s">
        <v>1948</v>
      </c>
    </row>
    <row r="701" ht="14.25" customHeight="1">
      <c r="C701" s="71" t="s">
        <v>776</v>
      </c>
      <c r="D701" s="71" t="s">
        <v>12248</v>
      </c>
    </row>
    <row r="702" ht="14.25" customHeight="1">
      <c r="C702" s="71" t="s">
        <v>10310</v>
      </c>
      <c r="D702" s="71" t="s">
        <v>9636</v>
      </c>
    </row>
    <row r="703" ht="14.25" customHeight="1">
      <c r="D703" s="71" t="s">
        <v>1948</v>
      </c>
    </row>
    <row r="704" ht="14.25" customHeight="1">
      <c r="C704" s="71" t="s">
        <v>6011</v>
      </c>
      <c r="D704" s="71" t="s">
        <v>9616</v>
      </c>
    </row>
    <row r="705" ht="14.25" customHeight="1">
      <c r="C705" s="71" t="s">
        <v>12249</v>
      </c>
      <c r="D705" s="71" t="s">
        <v>9578</v>
      </c>
    </row>
    <row r="706" ht="14.25" customHeight="1">
      <c r="C706" s="71" t="s">
        <v>10957</v>
      </c>
      <c r="D706" s="71" t="s">
        <v>12250</v>
      </c>
    </row>
    <row r="707" ht="14.25" customHeight="1">
      <c r="C707" s="71" t="s">
        <v>10958</v>
      </c>
      <c r="D707" s="71" t="s">
        <v>9645</v>
      </c>
    </row>
    <row r="708" ht="14.25" customHeight="1">
      <c r="C708" s="71" t="s">
        <v>12251</v>
      </c>
      <c r="D708" s="71" t="s">
        <v>1948</v>
      </c>
    </row>
    <row r="709" ht="14.25" customHeight="1">
      <c r="C709" s="71" t="s">
        <v>916</v>
      </c>
      <c r="D709" s="71" t="s">
        <v>9614</v>
      </c>
    </row>
    <row r="710" ht="14.25" customHeight="1">
      <c r="C710" s="71" t="s">
        <v>9630</v>
      </c>
      <c r="D710" s="71" t="s">
        <v>9034</v>
      </c>
    </row>
    <row r="711" ht="14.25" customHeight="1">
      <c r="D711" s="71" t="s">
        <v>12252</v>
      </c>
    </row>
    <row r="712" ht="14.25" customHeight="1">
      <c r="C712" s="71" t="s">
        <v>9635</v>
      </c>
      <c r="D712" s="71" t="s">
        <v>9636</v>
      </c>
    </row>
    <row r="713" ht="14.25" customHeight="1">
      <c r="D713" s="71" t="s">
        <v>9645</v>
      </c>
    </row>
    <row r="714" ht="14.25" customHeight="1">
      <c r="D714" s="71" t="s">
        <v>12253</v>
      </c>
    </row>
    <row r="715" ht="14.25" customHeight="1">
      <c r="C715" s="71" t="s">
        <v>12254</v>
      </c>
      <c r="D715" s="71" t="s">
        <v>12255</v>
      </c>
    </row>
    <row r="716" ht="14.25" customHeight="1">
      <c r="C716" s="71" t="s">
        <v>12256</v>
      </c>
      <c r="D716" s="71" t="s">
        <v>1948</v>
      </c>
    </row>
    <row r="717" ht="14.25" customHeight="1">
      <c r="C717" s="71" t="s">
        <v>124</v>
      </c>
      <c r="D717" s="71" t="s">
        <v>8982</v>
      </c>
    </row>
    <row r="718" ht="14.25" customHeight="1">
      <c r="C718" s="71" t="s">
        <v>12257</v>
      </c>
      <c r="D718" s="71" t="s">
        <v>8982</v>
      </c>
    </row>
    <row r="719" ht="14.25" customHeight="1">
      <c r="C719" s="71" t="s">
        <v>12258</v>
      </c>
      <c r="D719" s="71" t="s">
        <v>12259</v>
      </c>
    </row>
    <row r="720" ht="14.25" customHeight="1">
      <c r="C720" s="71" t="s">
        <v>10942</v>
      </c>
      <c r="D720" s="71" t="s">
        <v>9141</v>
      </c>
    </row>
    <row r="721" ht="14.25" customHeight="1">
      <c r="C721" s="71" t="s">
        <v>12260</v>
      </c>
      <c r="D721" s="71" t="s">
        <v>8968</v>
      </c>
    </row>
    <row r="722" ht="14.25" customHeight="1">
      <c r="C722" s="71" t="s">
        <v>12261</v>
      </c>
      <c r="D722" s="71" t="s">
        <v>12262</v>
      </c>
    </row>
    <row r="723" ht="14.25" customHeight="1">
      <c r="C723" s="71" t="s">
        <v>12263</v>
      </c>
      <c r="D723" s="71" t="s">
        <v>10365</v>
      </c>
    </row>
    <row r="724" ht="14.25" customHeight="1">
      <c r="C724" s="71" t="s">
        <v>12264</v>
      </c>
      <c r="D724" s="71" t="s">
        <v>12265</v>
      </c>
    </row>
    <row r="725" ht="14.25" customHeight="1">
      <c r="C725" s="71" t="s">
        <v>12266</v>
      </c>
      <c r="D725" s="71" t="s">
        <v>9144</v>
      </c>
    </row>
    <row r="726" ht="14.25" customHeight="1">
      <c r="C726" s="71" t="s">
        <v>11642</v>
      </c>
      <c r="D726" s="71" t="s">
        <v>10986</v>
      </c>
    </row>
    <row r="727" ht="14.25" customHeight="1">
      <c r="C727" s="71" t="s">
        <v>12267</v>
      </c>
      <c r="D727" s="71" t="s">
        <v>9645</v>
      </c>
    </row>
    <row r="728" ht="14.25" customHeight="1">
      <c r="C728" s="71" t="s">
        <v>6405</v>
      </c>
      <c r="D728" s="71" t="s">
        <v>12268</v>
      </c>
    </row>
    <row r="729" ht="14.25" customHeight="1">
      <c r="C729" s="71" t="s">
        <v>12269</v>
      </c>
      <c r="D729" s="71" t="s">
        <v>9645</v>
      </c>
    </row>
    <row r="730" ht="14.25" customHeight="1">
      <c r="C730" s="71" t="s">
        <v>12270</v>
      </c>
      <c r="D730" s="71" t="s">
        <v>12271</v>
      </c>
    </row>
    <row r="731" ht="14.25" customHeight="1">
      <c r="C731" s="71" t="s">
        <v>3313</v>
      </c>
      <c r="D731" s="71" t="s">
        <v>9705</v>
      </c>
    </row>
    <row r="732" ht="14.25" customHeight="1">
      <c r="C732" s="71" t="s">
        <v>12272</v>
      </c>
      <c r="D732" s="71" t="s">
        <v>1948</v>
      </c>
    </row>
    <row r="733" ht="14.25" customHeight="1">
      <c r="C733" s="71" t="s">
        <v>12273</v>
      </c>
      <c r="D733" s="71" t="s">
        <v>12274</v>
      </c>
    </row>
    <row r="734" ht="14.25" customHeight="1">
      <c r="C734" s="71" t="s">
        <v>12275</v>
      </c>
      <c r="D734" s="71" t="s">
        <v>1948</v>
      </c>
    </row>
    <row r="735" ht="14.25" customHeight="1">
      <c r="C735" s="71" t="s">
        <v>12276</v>
      </c>
      <c r="D735" s="71" t="s">
        <v>12277</v>
      </c>
    </row>
    <row r="736" ht="14.25" customHeight="1">
      <c r="C736" s="71" t="s">
        <v>153</v>
      </c>
      <c r="D736" s="71" t="s">
        <v>12278</v>
      </c>
    </row>
    <row r="737" ht="14.25" customHeight="1">
      <c r="C737" s="71" t="s">
        <v>12279</v>
      </c>
      <c r="D737" s="71" t="s">
        <v>12280</v>
      </c>
    </row>
    <row r="738" ht="14.25" customHeight="1">
      <c r="C738" s="71" t="s">
        <v>3387</v>
      </c>
      <c r="D738" s="71" t="s">
        <v>12281</v>
      </c>
    </row>
    <row r="739" ht="14.25" customHeight="1">
      <c r="C739" s="71" t="s">
        <v>11647</v>
      </c>
      <c r="D739" s="71" t="s">
        <v>12282</v>
      </c>
    </row>
    <row r="740" ht="14.25" customHeight="1">
      <c r="D740" s="71" t="s">
        <v>12283</v>
      </c>
    </row>
    <row r="741" ht="14.25" customHeight="1">
      <c r="C741" s="71" t="s">
        <v>9658</v>
      </c>
      <c r="D741" s="71" t="s">
        <v>10973</v>
      </c>
    </row>
    <row r="742" ht="14.25" customHeight="1">
      <c r="C742" s="71" t="s">
        <v>12284</v>
      </c>
      <c r="D742" s="71" t="s">
        <v>9649</v>
      </c>
    </row>
    <row r="743" ht="14.25" customHeight="1">
      <c r="C743" s="71" t="s">
        <v>166</v>
      </c>
      <c r="D743" s="71" t="s">
        <v>12285</v>
      </c>
    </row>
    <row r="744" ht="14.25" customHeight="1">
      <c r="D744" s="71" t="s">
        <v>12286</v>
      </c>
    </row>
    <row r="745" ht="14.25" customHeight="1">
      <c r="C745" s="71" t="s">
        <v>312</v>
      </c>
      <c r="D745" s="71" t="s">
        <v>12287</v>
      </c>
    </row>
    <row r="746" ht="14.25" customHeight="1">
      <c r="C746" s="71" t="s">
        <v>3566</v>
      </c>
      <c r="D746" s="71" t="s">
        <v>9034</v>
      </c>
    </row>
    <row r="747" ht="14.25" customHeight="1">
      <c r="D747" s="71" t="s">
        <v>12288</v>
      </c>
    </row>
    <row r="748" ht="14.25" customHeight="1">
      <c r="C748" s="71" t="s">
        <v>12289</v>
      </c>
      <c r="D748" s="71" t="s">
        <v>10986</v>
      </c>
    </row>
    <row r="749" ht="14.25" customHeight="1">
      <c r="C749" s="71" t="s">
        <v>12290</v>
      </c>
      <c r="D749" s="71" t="s">
        <v>12291</v>
      </c>
    </row>
    <row r="750" ht="14.25" customHeight="1">
      <c r="C750" s="71" t="s">
        <v>10823</v>
      </c>
      <c r="D750" s="71" t="s">
        <v>12292</v>
      </c>
    </row>
    <row r="751" ht="14.25" customHeight="1">
      <c r="C751" s="71" t="s">
        <v>12293</v>
      </c>
      <c r="D751" s="71" t="s">
        <v>12294</v>
      </c>
    </row>
    <row r="752" ht="14.25" customHeight="1">
      <c r="C752" s="71" t="s">
        <v>12295</v>
      </c>
      <c r="D752" s="71" t="s">
        <v>12296</v>
      </c>
    </row>
    <row r="753" ht="14.25" customHeight="1">
      <c r="C753" s="71" t="s">
        <v>12297</v>
      </c>
      <c r="D753" s="71" t="s">
        <v>12298</v>
      </c>
    </row>
    <row r="754" ht="14.25" customHeight="1">
      <c r="C754" s="71" t="s">
        <v>3814</v>
      </c>
      <c r="D754" s="71" t="s">
        <v>9746</v>
      </c>
    </row>
    <row r="755" ht="14.25" customHeight="1">
      <c r="C755" s="71" t="s">
        <v>220</v>
      </c>
      <c r="D755" s="71" t="s">
        <v>9034</v>
      </c>
    </row>
    <row r="756" ht="14.25" customHeight="1">
      <c r="D756" s="71" t="s">
        <v>9746</v>
      </c>
    </row>
    <row r="757" ht="14.25" customHeight="1">
      <c r="D757" s="71" t="s">
        <v>11061</v>
      </c>
    </row>
    <row r="758" ht="14.25" customHeight="1">
      <c r="D758" s="71" t="s">
        <v>12299</v>
      </c>
    </row>
    <row r="759" ht="14.25" customHeight="1">
      <c r="C759" s="71" t="s">
        <v>10990</v>
      </c>
      <c r="D759" s="71" t="s">
        <v>12300</v>
      </c>
    </row>
    <row r="760" ht="14.25" customHeight="1">
      <c r="C760" s="71" t="s">
        <v>12019</v>
      </c>
      <c r="D760" s="71" t="s">
        <v>12059</v>
      </c>
    </row>
    <row r="761" ht="14.25" customHeight="1">
      <c r="C761" s="71" t="s">
        <v>12301</v>
      </c>
      <c r="D761" s="71" t="s">
        <v>1948</v>
      </c>
    </row>
    <row r="762" ht="14.25" customHeight="1">
      <c r="C762" s="71" t="s">
        <v>11662</v>
      </c>
      <c r="D762" s="71" t="s">
        <v>1948</v>
      </c>
    </row>
    <row r="763" ht="14.25" customHeight="1">
      <c r="C763" s="71" t="s">
        <v>12302</v>
      </c>
      <c r="D763" s="71" t="s">
        <v>12303</v>
      </c>
    </row>
    <row r="764" ht="14.25" customHeight="1">
      <c r="C764" s="71" t="s">
        <v>12304</v>
      </c>
      <c r="D764" s="71" t="s">
        <v>12303</v>
      </c>
    </row>
    <row r="765" ht="14.25" customHeight="1">
      <c r="C765" s="71" t="s">
        <v>10838</v>
      </c>
      <c r="D765" s="71" t="s">
        <v>9694</v>
      </c>
    </row>
    <row r="766" ht="14.25" customHeight="1">
      <c r="D766" s="71" t="s">
        <v>12305</v>
      </c>
    </row>
    <row r="767" ht="14.25" customHeight="1">
      <c r="D767" s="71" t="s">
        <v>9614</v>
      </c>
    </row>
    <row r="768" ht="14.25" customHeight="1">
      <c r="C768" s="71" t="s">
        <v>10252</v>
      </c>
      <c r="D768" s="71" t="s">
        <v>12306</v>
      </c>
    </row>
    <row r="769" ht="14.25" customHeight="1">
      <c r="C769" s="71" t="s">
        <v>4109</v>
      </c>
      <c r="D769" s="71" t="s">
        <v>9705</v>
      </c>
    </row>
    <row r="770" ht="14.25" customHeight="1">
      <c r="C770" s="71" t="s">
        <v>10640</v>
      </c>
      <c r="D770" s="71" t="s">
        <v>12307</v>
      </c>
    </row>
    <row r="771" ht="14.25" customHeight="1">
      <c r="D771" s="71" t="s">
        <v>1948</v>
      </c>
    </row>
    <row r="772" ht="14.25" customHeight="1">
      <c r="C772" s="71" t="s">
        <v>12308</v>
      </c>
      <c r="D772" s="71" t="s">
        <v>11596</v>
      </c>
    </row>
    <row r="773" ht="14.25" customHeight="1">
      <c r="C773" s="71" t="s">
        <v>12309</v>
      </c>
      <c r="D773" s="71" t="s">
        <v>12310</v>
      </c>
    </row>
    <row r="774" ht="14.25" customHeight="1">
      <c r="C774" s="71" t="s">
        <v>12311</v>
      </c>
      <c r="D774" s="71" t="s">
        <v>1948</v>
      </c>
    </row>
    <row r="775" ht="14.25" customHeight="1">
      <c r="C775" s="71" t="s">
        <v>9698</v>
      </c>
      <c r="D775" s="71" t="s">
        <v>9645</v>
      </c>
    </row>
    <row r="776" ht="14.25" customHeight="1">
      <c r="D776" s="71" t="s">
        <v>10351</v>
      </c>
    </row>
    <row r="777" ht="14.25" customHeight="1">
      <c r="C777" s="71" t="s">
        <v>11675</v>
      </c>
      <c r="D777" s="71" t="s">
        <v>12312</v>
      </c>
    </row>
    <row r="778" ht="14.25" customHeight="1">
      <c r="C778" s="71" t="s">
        <v>11003</v>
      </c>
      <c r="D778" s="71" t="s">
        <v>9144</v>
      </c>
    </row>
    <row r="779" ht="14.25" customHeight="1">
      <c r="C779" s="71" t="s">
        <v>12313</v>
      </c>
      <c r="D779" s="71" t="s">
        <v>9636</v>
      </c>
    </row>
    <row r="780" ht="14.25" customHeight="1">
      <c r="C780" s="71" t="s">
        <v>11006</v>
      </c>
      <c r="D780" s="71" t="s">
        <v>9618</v>
      </c>
    </row>
    <row r="781" ht="14.25" customHeight="1">
      <c r="C781" s="71" t="s">
        <v>12314</v>
      </c>
      <c r="D781" s="71" t="s">
        <v>12315</v>
      </c>
    </row>
    <row r="782" ht="14.25" customHeight="1">
      <c r="C782" s="71" t="s">
        <v>12316</v>
      </c>
      <c r="D782" s="71" t="s">
        <v>11119</v>
      </c>
    </row>
    <row r="783" ht="14.25" customHeight="1">
      <c r="C783" s="71" t="s">
        <v>12317</v>
      </c>
      <c r="D783" s="71" t="s">
        <v>12318</v>
      </c>
    </row>
    <row r="784" ht="14.25" customHeight="1">
      <c r="C784" s="71" t="s">
        <v>11011</v>
      </c>
      <c r="D784" s="71" t="s">
        <v>9034</v>
      </c>
    </row>
    <row r="785" ht="14.25" customHeight="1">
      <c r="C785" s="71" t="s">
        <v>12319</v>
      </c>
      <c r="D785" s="71" t="s">
        <v>9616</v>
      </c>
    </row>
    <row r="786" ht="14.25" customHeight="1">
      <c r="C786" s="71" t="s">
        <v>12320</v>
      </c>
      <c r="D786" s="71" t="s">
        <v>9216</v>
      </c>
    </row>
    <row r="787" ht="14.25" customHeight="1">
      <c r="C787" s="71" t="s">
        <v>12321</v>
      </c>
      <c r="D787" s="71" t="s">
        <v>10306</v>
      </c>
    </row>
    <row r="788" ht="14.25" customHeight="1">
      <c r="D788" s="71" t="s">
        <v>9228</v>
      </c>
    </row>
    <row r="789" ht="14.25" customHeight="1">
      <c r="D789" s="71" t="s">
        <v>12322</v>
      </c>
    </row>
    <row r="790" ht="14.25" customHeight="1">
      <c r="A790" s="71" t="s">
        <v>9728</v>
      </c>
      <c r="B790" s="71" t="s">
        <v>40</v>
      </c>
      <c r="C790" s="71" t="s">
        <v>9034</v>
      </c>
      <c r="D790" s="71" t="s">
        <v>9911</v>
      </c>
    </row>
    <row r="791" ht="14.25" customHeight="1">
      <c r="C791" s="71" t="s">
        <v>11404</v>
      </c>
      <c r="D791" s="71" t="s">
        <v>9236</v>
      </c>
    </row>
    <row r="792" ht="14.25" customHeight="1">
      <c r="C792" s="71" t="s">
        <v>2357</v>
      </c>
      <c r="D792" s="71" t="s">
        <v>12323</v>
      </c>
    </row>
    <row r="793" ht="14.25" customHeight="1">
      <c r="D793" s="71" t="s">
        <v>12066</v>
      </c>
    </row>
    <row r="794" ht="14.25" customHeight="1">
      <c r="C794" s="71" t="s">
        <v>12324</v>
      </c>
      <c r="D794" s="71" t="s">
        <v>12325</v>
      </c>
    </row>
    <row r="795" ht="14.25" customHeight="1">
      <c r="C795" s="71" t="s">
        <v>8969</v>
      </c>
      <c r="D795" s="71" t="s">
        <v>12326</v>
      </c>
    </row>
    <row r="796" ht="14.25" customHeight="1">
      <c r="C796" s="71" t="s">
        <v>9809</v>
      </c>
      <c r="D796" s="71" t="s">
        <v>12327</v>
      </c>
    </row>
    <row r="797" ht="14.25" customHeight="1">
      <c r="C797" s="71" t="s">
        <v>9355</v>
      </c>
      <c r="D797" s="71" t="s">
        <v>11119</v>
      </c>
    </row>
    <row r="798" ht="14.25" customHeight="1">
      <c r="C798" s="71" t="s">
        <v>82</v>
      </c>
      <c r="D798" s="71" t="s">
        <v>9570</v>
      </c>
    </row>
    <row r="799" ht="14.25" customHeight="1">
      <c r="C799" s="71" t="s">
        <v>2669</v>
      </c>
      <c r="D799" s="71" t="s">
        <v>9034</v>
      </c>
    </row>
    <row r="800" ht="14.25" customHeight="1">
      <c r="D800" s="71" t="s">
        <v>9578</v>
      </c>
    </row>
    <row r="801" ht="14.25" customHeight="1">
      <c r="C801" s="71" t="s">
        <v>96</v>
      </c>
      <c r="D801" s="71" t="s">
        <v>12328</v>
      </c>
    </row>
    <row r="802" ht="14.25" customHeight="1">
      <c r="C802" s="71" t="s">
        <v>6057</v>
      </c>
      <c r="D802" s="71" t="s">
        <v>9404</v>
      </c>
    </row>
    <row r="803" ht="14.25" customHeight="1">
      <c r="C803" s="71" t="s">
        <v>12329</v>
      </c>
      <c r="D803" s="71" t="s">
        <v>12330</v>
      </c>
    </row>
    <row r="804" ht="14.25" customHeight="1">
      <c r="C804" s="71" t="s">
        <v>10962</v>
      </c>
      <c r="D804" s="71" t="s">
        <v>9667</v>
      </c>
    </row>
    <row r="805" ht="14.25" customHeight="1">
      <c r="C805" s="71" t="s">
        <v>9630</v>
      </c>
      <c r="D805" s="71" t="s">
        <v>12252</v>
      </c>
    </row>
    <row r="806" ht="14.25" customHeight="1">
      <c r="C806" s="71" t="s">
        <v>9121</v>
      </c>
      <c r="D806" s="71" t="s">
        <v>12331</v>
      </c>
    </row>
    <row r="807" ht="14.25" customHeight="1">
      <c r="C807" s="71" t="s">
        <v>124</v>
      </c>
      <c r="D807" s="71" t="s">
        <v>9216</v>
      </c>
    </row>
    <row r="808" ht="14.25" customHeight="1">
      <c r="C808" s="71" t="s">
        <v>8981</v>
      </c>
      <c r="D808" s="71" t="s">
        <v>8982</v>
      </c>
    </row>
    <row r="809" ht="14.25" customHeight="1">
      <c r="C809" s="71" t="s">
        <v>129</v>
      </c>
      <c r="D809" s="71" t="s">
        <v>12332</v>
      </c>
    </row>
    <row r="810" ht="14.25" customHeight="1">
      <c r="C810" s="71" t="s">
        <v>10942</v>
      </c>
      <c r="D810" s="71" t="s">
        <v>10430</v>
      </c>
    </row>
    <row r="811" ht="14.25" customHeight="1">
      <c r="C811" s="71" t="s">
        <v>12333</v>
      </c>
      <c r="D811" s="71" t="s">
        <v>9404</v>
      </c>
    </row>
    <row r="812" ht="14.25" customHeight="1">
      <c r="C812" s="71" t="s">
        <v>141</v>
      </c>
      <c r="D812" s="71" t="s">
        <v>9034</v>
      </c>
    </row>
    <row r="813" ht="14.25" customHeight="1">
      <c r="D813" s="71" t="s">
        <v>9667</v>
      </c>
    </row>
    <row r="814" ht="14.25" customHeight="1">
      <c r="C814" s="71" t="s">
        <v>12334</v>
      </c>
      <c r="D814" s="71" t="s">
        <v>8968</v>
      </c>
    </row>
    <row r="815" ht="14.25" customHeight="1">
      <c r="C815" s="71" t="s">
        <v>10745</v>
      </c>
      <c r="D815" s="71" t="s">
        <v>12335</v>
      </c>
    </row>
    <row r="816" ht="14.25" customHeight="1">
      <c r="D816" s="71" t="s">
        <v>12336</v>
      </c>
    </row>
    <row r="817" ht="14.25" customHeight="1">
      <c r="C817" s="71" t="s">
        <v>12337</v>
      </c>
      <c r="D817" s="71" t="s">
        <v>9354</v>
      </c>
    </row>
    <row r="818" ht="14.25" customHeight="1">
      <c r="C818" s="71" t="s">
        <v>312</v>
      </c>
      <c r="D818" s="71" t="s">
        <v>8976</v>
      </c>
    </row>
    <row r="819" ht="14.25" customHeight="1">
      <c r="C819" s="71" t="s">
        <v>11612</v>
      </c>
      <c r="D819" s="71" t="s">
        <v>9034</v>
      </c>
    </row>
    <row r="820" ht="14.25" customHeight="1">
      <c r="C820" s="71" t="s">
        <v>3566</v>
      </c>
      <c r="D820" s="71" t="s">
        <v>9771</v>
      </c>
    </row>
    <row r="821" ht="14.25" customHeight="1">
      <c r="D821" s="71" t="s">
        <v>12338</v>
      </c>
    </row>
    <row r="822" ht="14.25" customHeight="1">
      <c r="D822" s="71" t="s">
        <v>9667</v>
      </c>
    </row>
    <row r="823" ht="14.25" customHeight="1">
      <c r="D823" s="71" t="s">
        <v>12339</v>
      </c>
    </row>
    <row r="824" ht="14.25" customHeight="1">
      <c r="D824" s="71" t="s">
        <v>12340</v>
      </c>
    </row>
    <row r="825" ht="14.25" customHeight="1">
      <c r="D825" s="71" t="s">
        <v>9216</v>
      </c>
    </row>
    <row r="826" ht="14.25" customHeight="1">
      <c r="D826" s="71" t="s">
        <v>8976</v>
      </c>
    </row>
    <row r="827" ht="14.25" customHeight="1">
      <c r="C827" s="71" t="s">
        <v>12341</v>
      </c>
      <c r="D827" s="71" t="s">
        <v>12342</v>
      </c>
    </row>
    <row r="828" ht="14.25" customHeight="1">
      <c r="C828" s="71" t="s">
        <v>12343</v>
      </c>
      <c r="D828" s="71" t="s">
        <v>9216</v>
      </c>
    </row>
    <row r="829" ht="14.25" customHeight="1">
      <c r="C829" s="71" t="s">
        <v>189</v>
      </c>
      <c r="D829" s="71" t="s">
        <v>9289</v>
      </c>
    </row>
    <row r="830" ht="14.25" customHeight="1">
      <c r="C830" s="71" t="s">
        <v>12344</v>
      </c>
      <c r="D830" s="71" t="s">
        <v>9034</v>
      </c>
    </row>
    <row r="831" ht="14.25" customHeight="1">
      <c r="C831" s="71" t="s">
        <v>12297</v>
      </c>
      <c r="D831" s="71" t="s">
        <v>11690</v>
      </c>
    </row>
    <row r="832" ht="14.25" customHeight="1">
      <c r="D832" s="71" t="s">
        <v>9075</v>
      </c>
    </row>
    <row r="833" ht="14.25" customHeight="1">
      <c r="C833" s="71" t="s">
        <v>12345</v>
      </c>
      <c r="D833" s="71" t="s">
        <v>9667</v>
      </c>
    </row>
    <row r="834" ht="14.25" customHeight="1">
      <c r="C834" s="71" t="s">
        <v>10905</v>
      </c>
      <c r="D834" s="71" t="s">
        <v>9759</v>
      </c>
    </row>
    <row r="835" ht="14.25" customHeight="1">
      <c r="C835" s="71" t="s">
        <v>3796</v>
      </c>
      <c r="D835" s="71" t="s">
        <v>9430</v>
      </c>
    </row>
    <row r="836" ht="14.25" customHeight="1">
      <c r="D836" s="71" t="s">
        <v>12346</v>
      </c>
    </row>
    <row r="837" ht="14.25" customHeight="1">
      <c r="C837" s="71" t="s">
        <v>11966</v>
      </c>
      <c r="D837" s="71" t="s">
        <v>12040</v>
      </c>
    </row>
    <row r="838" ht="14.25" customHeight="1">
      <c r="C838" s="71" t="s">
        <v>3814</v>
      </c>
      <c r="D838" s="71" t="s">
        <v>12347</v>
      </c>
    </row>
    <row r="839" ht="14.25" customHeight="1">
      <c r="C839" s="71" t="s">
        <v>12348</v>
      </c>
      <c r="D839" s="71" t="s">
        <v>12349</v>
      </c>
    </row>
    <row r="840" ht="14.25" customHeight="1">
      <c r="C840" s="71" t="s">
        <v>6845</v>
      </c>
      <c r="D840" s="71" t="s">
        <v>9071</v>
      </c>
    </row>
    <row r="841" ht="14.25" customHeight="1">
      <c r="C841" s="71" t="s">
        <v>220</v>
      </c>
      <c r="D841" s="71" t="s">
        <v>9141</v>
      </c>
    </row>
    <row r="842" ht="14.25" customHeight="1">
      <c r="C842" s="71" t="s">
        <v>12350</v>
      </c>
      <c r="D842" s="71" t="s">
        <v>9671</v>
      </c>
    </row>
    <row r="843" ht="14.25" customHeight="1">
      <c r="C843" s="71" t="s">
        <v>233</v>
      </c>
      <c r="D843" s="71" t="s">
        <v>9073</v>
      </c>
    </row>
    <row r="844" ht="14.25" customHeight="1">
      <c r="D844" s="71" t="s">
        <v>8976</v>
      </c>
    </row>
    <row r="845" ht="14.25" customHeight="1">
      <c r="C845" s="71" t="s">
        <v>10252</v>
      </c>
      <c r="D845" s="71" t="s">
        <v>9352</v>
      </c>
    </row>
    <row r="846" ht="14.25" customHeight="1">
      <c r="C846" s="71" t="s">
        <v>4109</v>
      </c>
      <c r="D846" s="71" t="s">
        <v>12351</v>
      </c>
    </row>
    <row r="847" ht="14.25" customHeight="1">
      <c r="C847" s="71" t="s">
        <v>10640</v>
      </c>
      <c r="D847" s="71" t="s">
        <v>12352</v>
      </c>
    </row>
    <row r="848" ht="14.25" customHeight="1">
      <c r="C848" s="71" t="s">
        <v>12353</v>
      </c>
      <c r="D848" s="71" t="s">
        <v>12354</v>
      </c>
    </row>
    <row r="849" ht="14.25" customHeight="1">
      <c r="C849" s="71" t="s">
        <v>12355</v>
      </c>
      <c r="D849" s="71" t="s">
        <v>9667</v>
      </c>
    </row>
    <row r="850" ht="14.25" customHeight="1">
      <c r="C850" s="71" t="s">
        <v>255</v>
      </c>
      <c r="D850" s="71" t="s">
        <v>9075</v>
      </c>
    </row>
    <row r="851" ht="14.25" customHeight="1">
      <c r="C851" s="71" t="s">
        <v>262</v>
      </c>
      <c r="D851" s="71" t="s">
        <v>12356</v>
      </c>
    </row>
    <row r="852" ht="14.25" customHeight="1">
      <c r="D852" s="71" t="s">
        <v>12357</v>
      </c>
    </row>
    <row r="853" ht="14.25" customHeight="1">
      <c r="D853" s="71" t="s">
        <v>12358</v>
      </c>
    </row>
    <row r="854" ht="14.25" customHeight="1">
      <c r="D854" s="71" t="s">
        <v>12359</v>
      </c>
    </row>
    <row r="855" ht="14.25" customHeight="1">
      <c r="D855" s="71" t="s">
        <v>9526</v>
      </c>
    </row>
    <row r="856" ht="14.25" customHeight="1">
      <c r="C856" s="71" t="s">
        <v>4294</v>
      </c>
      <c r="D856" s="71" t="s">
        <v>12360</v>
      </c>
    </row>
    <row r="857" ht="14.25" customHeight="1">
      <c r="D857" s="71" t="s">
        <v>9667</v>
      </c>
    </row>
    <row r="858" ht="14.25" customHeight="1">
      <c r="C858" s="71" t="s">
        <v>268</v>
      </c>
      <c r="D858" s="71" t="s">
        <v>9071</v>
      </c>
    </row>
    <row r="859" ht="14.25" customHeight="1">
      <c r="C859" s="71" t="s">
        <v>4326</v>
      </c>
      <c r="D859" s="71" t="s">
        <v>12361</v>
      </c>
    </row>
    <row r="860" ht="14.25" customHeight="1">
      <c r="D860" s="71" t="s">
        <v>10407</v>
      </c>
    </row>
    <row r="861" ht="14.25" customHeight="1">
      <c r="D861" s="71" t="s">
        <v>12362</v>
      </c>
    </row>
    <row r="862" ht="14.25" customHeight="1">
      <c r="C862" s="71" t="s">
        <v>269</v>
      </c>
      <c r="D862" s="71" t="s">
        <v>9705</v>
      </c>
    </row>
    <row r="863" ht="14.25" customHeight="1">
      <c r="C863" s="71" t="s">
        <v>12363</v>
      </c>
      <c r="D863" s="71" t="s">
        <v>12364</v>
      </c>
    </row>
    <row r="864" ht="14.25" customHeight="1">
      <c r="C864" s="71" t="s">
        <v>12365</v>
      </c>
      <c r="D864" s="71" t="s">
        <v>9236</v>
      </c>
    </row>
    <row r="865" ht="14.25" customHeight="1">
      <c r="C865" s="71" t="s">
        <v>12366</v>
      </c>
      <c r="D865" s="71" t="s">
        <v>9055</v>
      </c>
    </row>
    <row r="866" ht="14.25" customHeight="1">
      <c r="B866" s="71" t="s">
        <v>41</v>
      </c>
      <c r="C866" s="71" t="s">
        <v>12367</v>
      </c>
      <c r="D866" s="71" t="s">
        <v>12368</v>
      </c>
    </row>
    <row r="867" ht="14.25" customHeight="1">
      <c r="D867" s="71" t="s">
        <v>11184</v>
      </c>
    </row>
    <row r="868" ht="14.25" customHeight="1">
      <c r="D868" s="71" t="s">
        <v>9574</v>
      </c>
    </row>
    <row r="869" ht="14.25" customHeight="1">
      <c r="C869" s="71" t="s">
        <v>58</v>
      </c>
      <c r="D869" s="71" t="s">
        <v>8976</v>
      </c>
    </row>
    <row r="870" ht="14.25" customHeight="1">
      <c r="C870" s="71" t="s">
        <v>2379</v>
      </c>
      <c r="D870" s="71" t="s">
        <v>12369</v>
      </c>
    </row>
    <row r="871" ht="14.25" customHeight="1">
      <c r="C871" s="71" t="s">
        <v>9313</v>
      </c>
      <c r="D871" s="71" t="s">
        <v>12370</v>
      </c>
    </row>
    <row r="872" ht="14.25" customHeight="1">
      <c r="C872" s="71" t="s">
        <v>5809</v>
      </c>
      <c r="D872" s="71" t="s">
        <v>12371</v>
      </c>
    </row>
    <row r="873" ht="14.25" customHeight="1">
      <c r="C873" s="71" t="s">
        <v>12372</v>
      </c>
      <c r="D873" s="71" t="s">
        <v>12373</v>
      </c>
    </row>
    <row r="874" ht="14.25" customHeight="1">
      <c r="C874" s="71" t="s">
        <v>12374</v>
      </c>
      <c r="D874" s="71" t="s">
        <v>9071</v>
      </c>
    </row>
    <row r="875" ht="14.25" customHeight="1">
      <c r="C875" s="71" t="s">
        <v>12375</v>
      </c>
      <c r="D875" s="71" t="s">
        <v>12376</v>
      </c>
    </row>
    <row r="876" ht="14.25" customHeight="1">
      <c r="C876" s="71" t="s">
        <v>12377</v>
      </c>
      <c r="D876" s="71" t="s">
        <v>12378</v>
      </c>
    </row>
    <row r="877" ht="14.25" customHeight="1">
      <c r="D877" s="71" t="s">
        <v>9380</v>
      </c>
    </row>
    <row r="878" ht="14.25" customHeight="1">
      <c r="C878" s="71" t="s">
        <v>11133</v>
      </c>
      <c r="D878" s="71" t="s">
        <v>9071</v>
      </c>
    </row>
    <row r="879" ht="14.25" customHeight="1">
      <c r="D879" s="71" t="s">
        <v>12379</v>
      </c>
    </row>
    <row r="880" ht="14.25" customHeight="1">
      <c r="C880" s="71" t="s">
        <v>12380</v>
      </c>
      <c r="D880" s="71" t="s">
        <v>12381</v>
      </c>
    </row>
    <row r="881" ht="14.25" customHeight="1">
      <c r="C881" s="71" t="s">
        <v>12382</v>
      </c>
      <c r="D881" s="71" t="s">
        <v>9073</v>
      </c>
    </row>
    <row r="882" ht="14.25" customHeight="1">
      <c r="C882" s="71" t="s">
        <v>1421</v>
      </c>
      <c r="D882" s="71" t="s">
        <v>12280</v>
      </c>
    </row>
    <row r="883" ht="14.25" customHeight="1">
      <c r="C883" s="71" t="s">
        <v>3566</v>
      </c>
      <c r="D883" s="71" t="s">
        <v>8976</v>
      </c>
    </row>
    <row r="884" ht="14.25" customHeight="1">
      <c r="C884" s="71" t="s">
        <v>12383</v>
      </c>
      <c r="D884" s="71" t="s">
        <v>12384</v>
      </c>
    </row>
    <row r="885" ht="14.25" customHeight="1">
      <c r="C885" s="71" t="s">
        <v>314</v>
      </c>
      <c r="D885" s="71" t="s">
        <v>9731</v>
      </c>
    </row>
    <row r="886" ht="14.25" customHeight="1">
      <c r="C886" s="71" t="s">
        <v>210</v>
      </c>
      <c r="D886" s="71" t="s">
        <v>9034</v>
      </c>
    </row>
    <row r="887" ht="14.25" customHeight="1">
      <c r="C887" s="71" t="s">
        <v>9926</v>
      </c>
      <c r="D887" s="71" t="s">
        <v>9771</v>
      </c>
    </row>
    <row r="888" ht="14.25" customHeight="1">
      <c r="D888" s="71" t="s">
        <v>9404</v>
      </c>
    </row>
    <row r="889" ht="14.25" customHeight="1">
      <c r="C889" s="71" t="s">
        <v>4035</v>
      </c>
      <c r="D889" s="71" t="s">
        <v>12385</v>
      </c>
    </row>
    <row r="890" ht="14.25" customHeight="1">
      <c r="C890" s="71" t="s">
        <v>10640</v>
      </c>
      <c r="D890" s="71" t="s">
        <v>11065</v>
      </c>
    </row>
    <row r="891" ht="14.25" customHeight="1">
      <c r="C891" s="71" t="s">
        <v>12386</v>
      </c>
      <c r="D891" s="71" t="s">
        <v>12387</v>
      </c>
    </row>
    <row r="892" ht="14.25" customHeight="1">
      <c r="C892" s="71" t="s">
        <v>9434</v>
      </c>
      <c r="D892" s="71" t="s">
        <v>12388</v>
      </c>
    </row>
    <row r="893" ht="14.25" customHeight="1">
      <c r="D893" s="71" t="s">
        <v>12389</v>
      </c>
    </row>
    <row r="894" ht="14.25" customHeight="1">
      <c r="D894" s="71" t="s">
        <v>9731</v>
      </c>
    </row>
    <row r="895" ht="14.25" customHeight="1">
      <c r="D895" s="71" t="s">
        <v>12390</v>
      </c>
    </row>
    <row r="896" ht="14.25" customHeight="1">
      <c r="D896" s="71" t="s">
        <v>12370</v>
      </c>
    </row>
    <row r="897" ht="14.25" customHeight="1">
      <c r="C897" s="71" t="s">
        <v>10867</v>
      </c>
      <c r="D897" s="71" t="s">
        <v>12391</v>
      </c>
    </row>
    <row r="898" ht="14.25" customHeight="1">
      <c r="C898" s="71" t="s">
        <v>9787</v>
      </c>
      <c r="D898" s="71" t="s">
        <v>9034</v>
      </c>
    </row>
    <row r="899" ht="14.25" customHeight="1">
      <c r="C899" s="71" t="s">
        <v>12392</v>
      </c>
      <c r="D899" s="71" t="s">
        <v>9071</v>
      </c>
    </row>
    <row r="900" ht="14.25" customHeight="1">
      <c r="A900" s="71" t="s">
        <v>9796</v>
      </c>
      <c r="B900" s="71" t="s">
        <v>40</v>
      </c>
      <c r="C900" s="71" t="s">
        <v>2301</v>
      </c>
      <c r="D900" s="71" t="s">
        <v>9075</v>
      </c>
    </row>
    <row r="901" ht="14.25" customHeight="1">
      <c r="C901" s="71" t="s">
        <v>8969</v>
      </c>
      <c r="D901" s="71" t="s">
        <v>12393</v>
      </c>
    </row>
    <row r="902" ht="14.25" customHeight="1">
      <c r="D902" s="71" t="s">
        <v>10189</v>
      </c>
    </row>
    <row r="903" ht="14.25" customHeight="1">
      <c r="C903" s="71" t="s">
        <v>78</v>
      </c>
      <c r="D903" s="71" t="s">
        <v>12394</v>
      </c>
    </row>
    <row r="904" ht="14.25" customHeight="1">
      <c r="C904" s="71" t="s">
        <v>6182</v>
      </c>
      <c r="D904" s="71" t="s">
        <v>9266</v>
      </c>
    </row>
    <row r="905" ht="14.25" customHeight="1">
      <c r="C905" s="71" t="s">
        <v>170</v>
      </c>
      <c r="D905" s="71" t="s">
        <v>9028</v>
      </c>
    </row>
    <row r="906" ht="14.25" customHeight="1">
      <c r="C906" s="71" t="s">
        <v>11612</v>
      </c>
      <c r="D906" s="71" t="s">
        <v>10486</v>
      </c>
    </row>
    <row r="907" ht="14.25" customHeight="1">
      <c r="C907" s="71" t="s">
        <v>9277</v>
      </c>
      <c r="D907" s="71" t="s">
        <v>9574</v>
      </c>
    </row>
    <row r="908" ht="14.25" customHeight="1">
      <c r="C908" s="71" t="s">
        <v>12395</v>
      </c>
      <c r="D908" s="71" t="s">
        <v>12396</v>
      </c>
    </row>
    <row r="909" ht="14.25" customHeight="1">
      <c r="C909" s="71" t="s">
        <v>12397</v>
      </c>
      <c r="D909" s="71" t="s">
        <v>11538</v>
      </c>
    </row>
    <row r="910" ht="14.25" customHeight="1">
      <c r="B910" s="71" t="s">
        <v>13</v>
      </c>
      <c r="C910" s="71" t="s">
        <v>12398</v>
      </c>
      <c r="D910" s="71" t="s">
        <v>9034</v>
      </c>
    </row>
    <row r="911" ht="14.25" customHeight="1">
      <c r="C911" s="71" t="s">
        <v>12399</v>
      </c>
      <c r="D911" s="71" t="s">
        <v>9380</v>
      </c>
    </row>
    <row r="912" ht="14.25" customHeight="1">
      <c r="A912" s="71" t="s">
        <v>9806</v>
      </c>
      <c r="B912" s="71" t="s">
        <v>40</v>
      </c>
      <c r="C912" s="71" t="s">
        <v>12400</v>
      </c>
      <c r="D912" s="71" t="s">
        <v>9071</v>
      </c>
    </row>
    <row r="913" ht="14.25" customHeight="1">
      <c r="C913" s="71" t="s">
        <v>11373</v>
      </c>
      <c r="D913" s="71" t="s">
        <v>9109</v>
      </c>
    </row>
    <row r="914" ht="14.25" customHeight="1">
      <c r="D914" s="71" t="s">
        <v>9131</v>
      </c>
    </row>
    <row r="915" ht="14.25" customHeight="1">
      <c r="C915" s="71" t="s">
        <v>12401</v>
      </c>
      <c r="D915" s="71" t="s">
        <v>9649</v>
      </c>
    </row>
    <row r="916" ht="14.25" customHeight="1">
      <c r="C916" s="71" t="s">
        <v>112</v>
      </c>
      <c r="D916" s="71" t="s">
        <v>9216</v>
      </c>
    </row>
    <row r="917" ht="14.25" customHeight="1">
      <c r="C917" s="71" t="s">
        <v>9862</v>
      </c>
      <c r="D917" s="71" t="s">
        <v>9525</v>
      </c>
    </row>
    <row r="918" ht="14.25" customHeight="1">
      <c r="C918" s="71" t="s">
        <v>3313</v>
      </c>
      <c r="D918" s="71" t="s">
        <v>9055</v>
      </c>
    </row>
    <row r="919" ht="14.25" customHeight="1">
      <c r="C919" s="71" t="s">
        <v>12402</v>
      </c>
      <c r="D919" s="71" t="s">
        <v>9028</v>
      </c>
    </row>
    <row r="920" ht="14.25" customHeight="1">
      <c r="C920" s="71" t="s">
        <v>12403</v>
      </c>
      <c r="D920" s="71" t="s">
        <v>9131</v>
      </c>
    </row>
    <row r="921" ht="14.25" customHeight="1">
      <c r="C921" s="71" t="s">
        <v>11781</v>
      </c>
      <c r="D921" s="71" t="s">
        <v>9404</v>
      </c>
    </row>
    <row r="922" ht="14.25" customHeight="1">
      <c r="C922" s="71" t="s">
        <v>170</v>
      </c>
      <c r="D922" s="71" t="s">
        <v>9152</v>
      </c>
    </row>
    <row r="923" ht="14.25" customHeight="1">
      <c r="C923" s="71" t="s">
        <v>3566</v>
      </c>
      <c r="D923" s="71" t="s">
        <v>9071</v>
      </c>
    </row>
    <row r="924" ht="14.25" customHeight="1">
      <c r="D924" s="71" t="s">
        <v>9886</v>
      </c>
    </row>
    <row r="925" ht="14.25" customHeight="1">
      <c r="C925" s="71" t="s">
        <v>3596</v>
      </c>
      <c r="D925" s="71" t="s">
        <v>9034</v>
      </c>
    </row>
    <row r="926" ht="14.25" customHeight="1">
      <c r="D926" s="71" t="s">
        <v>12404</v>
      </c>
    </row>
    <row r="927" ht="14.25" customHeight="1">
      <c r="D927" s="71" t="s">
        <v>11743</v>
      </c>
    </row>
    <row r="928" ht="14.25" customHeight="1">
      <c r="C928" s="71" t="s">
        <v>12405</v>
      </c>
      <c r="D928" s="71" t="s">
        <v>9055</v>
      </c>
    </row>
    <row r="929" ht="14.25" customHeight="1">
      <c r="C929" s="71" t="s">
        <v>10713</v>
      </c>
      <c r="D929" s="71" t="s">
        <v>9073</v>
      </c>
    </row>
    <row r="930" ht="14.25" customHeight="1">
      <c r="C930" s="71" t="s">
        <v>1722</v>
      </c>
      <c r="D930" s="71" t="s">
        <v>9583</v>
      </c>
    </row>
    <row r="931" ht="14.25" customHeight="1">
      <c r="C931" s="71" t="s">
        <v>11749</v>
      </c>
      <c r="D931" s="71" t="s">
        <v>9071</v>
      </c>
    </row>
    <row r="932" ht="14.25" customHeight="1">
      <c r="C932" s="71" t="s">
        <v>10640</v>
      </c>
      <c r="D932" s="71" t="s">
        <v>9071</v>
      </c>
    </row>
    <row r="933" ht="14.25" customHeight="1">
      <c r="C933" s="71" t="s">
        <v>12406</v>
      </c>
      <c r="D933" s="71" t="s">
        <v>8968</v>
      </c>
    </row>
    <row r="934" ht="14.25" customHeight="1">
      <c r="C934" s="71" t="s">
        <v>255</v>
      </c>
      <c r="D934" s="71" t="s">
        <v>9075</v>
      </c>
    </row>
    <row r="935" ht="14.25" customHeight="1">
      <c r="C935" s="71" t="s">
        <v>262</v>
      </c>
      <c r="D935" s="71" t="s">
        <v>9817</v>
      </c>
    </row>
    <row r="936" ht="14.25" customHeight="1">
      <c r="C936" s="71" t="s">
        <v>263</v>
      </c>
      <c r="D936" s="71" t="s">
        <v>9618</v>
      </c>
    </row>
    <row r="937" ht="14.25" customHeight="1">
      <c r="C937" s="71" t="s">
        <v>12407</v>
      </c>
      <c r="D937" s="71" t="s">
        <v>12408</v>
      </c>
    </row>
    <row r="938" ht="14.25" customHeight="1">
      <c r="C938" s="71" t="s">
        <v>12409</v>
      </c>
      <c r="D938" s="71" t="s">
        <v>9071</v>
      </c>
    </row>
    <row r="939" ht="14.25" customHeight="1">
      <c r="C939" s="71" t="s">
        <v>12410</v>
      </c>
      <c r="D939" s="71" t="s">
        <v>9071</v>
      </c>
    </row>
    <row r="940" ht="14.25" customHeight="1">
      <c r="C940" s="71" t="s">
        <v>11753</v>
      </c>
      <c r="D940" s="71" t="s">
        <v>12411</v>
      </c>
    </row>
    <row r="941" ht="14.25" customHeight="1">
      <c r="A941" s="71" t="s">
        <v>9824</v>
      </c>
      <c r="B941" s="71" t="s">
        <v>40</v>
      </c>
      <c r="C941" s="71" t="s">
        <v>9034</v>
      </c>
      <c r="D941" s="71" t="s">
        <v>12412</v>
      </c>
    </row>
    <row r="942" ht="14.25" customHeight="1">
      <c r="D942" s="71" t="s">
        <v>11867</v>
      </c>
    </row>
    <row r="943" ht="14.25" customHeight="1">
      <c r="C943" s="71" t="s">
        <v>11023</v>
      </c>
      <c r="D943" s="71" t="s">
        <v>9075</v>
      </c>
    </row>
    <row r="944" ht="14.25" customHeight="1">
      <c r="C944" s="71" t="s">
        <v>776</v>
      </c>
      <c r="D944" s="71" t="s">
        <v>12413</v>
      </c>
    </row>
    <row r="945" ht="14.25" customHeight="1">
      <c r="C945" s="71" t="s">
        <v>2928</v>
      </c>
      <c r="D945" s="71" t="s">
        <v>9404</v>
      </c>
    </row>
    <row r="946" ht="14.25" customHeight="1">
      <c r="C946" s="71" t="s">
        <v>167</v>
      </c>
      <c r="D946" s="71" t="s">
        <v>12414</v>
      </c>
    </row>
    <row r="947" ht="14.25" customHeight="1">
      <c r="C947" s="71" t="s">
        <v>11612</v>
      </c>
      <c r="D947" s="71" t="s">
        <v>12415</v>
      </c>
    </row>
    <row r="948" ht="14.25" customHeight="1">
      <c r="C948" s="71" t="s">
        <v>3566</v>
      </c>
      <c r="D948" s="71" t="s">
        <v>12416</v>
      </c>
    </row>
    <row r="949" ht="14.25" customHeight="1">
      <c r="D949" s="71" t="s">
        <v>9028</v>
      </c>
    </row>
    <row r="950" ht="14.25" customHeight="1">
      <c r="C950" s="71" t="s">
        <v>8576</v>
      </c>
      <c r="D950" s="71" t="s">
        <v>12417</v>
      </c>
    </row>
    <row r="951" ht="14.25" customHeight="1">
      <c r="C951" s="71" t="s">
        <v>4035</v>
      </c>
      <c r="D951" s="71" t="s">
        <v>11970</v>
      </c>
    </row>
    <row r="952" ht="14.25" customHeight="1">
      <c r="C952" s="71" t="s">
        <v>12418</v>
      </c>
      <c r="D952" s="71" t="s">
        <v>12419</v>
      </c>
    </row>
    <row r="953" ht="14.25" customHeight="1">
      <c r="C953" s="71" t="s">
        <v>254</v>
      </c>
      <c r="D953" s="71" t="s">
        <v>12025</v>
      </c>
    </row>
    <row r="954" ht="14.25" customHeight="1">
      <c r="C954" s="71" t="s">
        <v>262</v>
      </c>
      <c r="D954" s="71" t="s">
        <v>9071</v>
      </c>
    </row>
    <row r="955" ht="14.25" customHeight="1">
      <c r="B955" s="71" t="s">
        <v>41</v>
      </c>
      <c r="C955" s="71" t="s">
        <v>3566</v>
      </c>
      <c r="D955" s="71" t="s">
        <v>11160</v>
      </c>
    </row>
    <row r="956" ht="14.25" customHeight="1">
      <c r="B956" s="71" t="s">
        <v>13</v>
      </c>
      <c r="C956" s="71" t="s">
        <v>9121</v>
      </c>
      <c r="D956" s="71" t="s">
        <v>12420</v>
      </c>
    </row>
    <row r="957" ht="14.25" customHeight="1">
      <c r="C957" s="71" t="s">
        <v>9329</v>
      </c>
      <c r="D957" s="71" t="s">
        <v>9073</v>
      </c>
    </row>
    <row r="958" ht="14.25" customHeight="1">
      <c r="C958" s="71" t="s">
        <v>11820</v>
      </c>
      <c r="D958" s="71" t="s">
        <v>9249</v>
      </c>
    </row>
    <row r="959" ht="14.25" customHeight="1">
      <c r="C959" s="71" t="s">
        <v>12421</v>
      </c>
      <c r="D959" s="71" t="s">
        <v>12422</v>
      </c>
    </row>
    <row r="960" ht="14.25" customHeight="1">
      <c r="C960" s="71" t="s">
        <v>12423</v>
      </c>
      <c r="D960" s="71" t="s">
        <v>10080</v>
      </c>
    </row>
    <row r="961" ht="14.25" customHeight="1">
      <c r="C961" s="71" t="s">
        <v>262</v>
      </c>
      <c r="D961" s="71" t="s">
        <v>12424</v>
      </c>
    </row>
    <row r="962" ht="14.25" customHeight="1">
      <c r="D962" s="71" t="s">
        <v>11736</v>
      </c>
    </row>
    <row r="963" ht="14.25" customHeight="1">
      <c r="A963" s="71" t="s">
        <v>9840</v>
      </c>
      <c r="B963" s="71" t="s">
        <v>40</v>
      </c>
      <c r="C963" s="71" t="s">
        <v>9034</v>
      </c>
      <c r="D963" s="71" t="s">
        <v>11900</v>
      </c>
    </row>
    <row r="964" ht="14.25" customHeight="1">
      <c r="C964" s="71" t="s">
        <v>9597</v>
      </c>
      <c r="D964" s="71" t="s">
        <v>11690</v>
      </c>
    </row>
    <row r="965" ht="14.25" customHeight="1">
      <c r="C965" s="71" t="s">
        <v>12425</v>
      </c>
      <c r="D965" s="71" t="s">
        <v>9168</v>
      </c>
    </row>
    <row r="966" ht="14.25" customHeight="1">
      <c r="C966" s="71" t="s">
        <v>12426</v>
      </c>
      <c r="D966" s="71" t="s">
        <v>9034</v>
      </c>
    </row>
    <row r="967" ht="14.25" customHeight="1">
      <c r="C967" s="71" t="s">
        <v>57</v>
      </c>
      <c r="D967" s="71" t="s">
        <v>9883</v>
      </c>
    </row>
    <row r="968" ht="14.25" customHeight="1">
      <c r="D968" s="71" t="s">
        <v>9075</v>
      </c>
    </row>
    <row r="969" ht="14.25" customHeight="1">
      <c r="C969" s="71" t="s">
        <v>58</v>
      </c>
      <c r="D969" s="71" t="s">
        <v>9028</v>
      </c>
    </row>
    <row r="970" ht="14.25" customHeight="1">
      <c r="C970" s="71" t="s">
        <v>9025</v>
      </c>
      <c r="D970" s="71" t="s">
        <v>9028</v>
      </c>
    </row>
    <row r="971" ht="14.25" customHeight="1">
      <c r="C971" s="71" t="s">
        <v>10628</v>
      </c>
      <c r="D971" s="71" t="s">
        <v>9354</v>
      </c>
    </row>
    <row r="972" ht="14.25" customHeight="1">
      <c r="C972" s="71" t="s">
        <v>2494</v>
      </c>
      <c r="D972" s="71" t="s">
        <v>12427</v>
      </c>
    </row>
    <row r="973" ht="14.25" customHeight="1">
      <c r="C973" s="71" t="s">
        <v>77</v>
      </c>
      <c r="D973" s="71" t="s">
        <v>12428</v>
      </c>
    </row>
    <row r="974" ht="14.25" customHeight="1">
      <c r="C974" s="71" t="s">
        <v>12429</v>
      </c>
      <c r="D974" s="71" t="s">
        <v>9875</v>
      </c>
    </row>
    <row r="975" ht="14.25" customHeight="1">
      <c r="C975" s="71" t="s">
        <v>12430</v>
      </c>
      <c r="D975" s="71" t="s">
        <v>9216</v>
      </c>
    </row>
    <row r="976" ht="14.25" customHeight="1">
      <c r="C976" s="71" t="s">
        <v>10656</v>
      </c>
      <c r="D976" s="71" t="s">
        <v>12431</v>
      </c>
    </row>
    <row r="977" ht="14.25" customHeight="1">
      <c r="D977" s="71" t="s">
        <v>11788</v>
      </c>
    </row>
    <row r="978" ht="14.25" customHeight="1">
      <c r="C978" s="71" t="s">
        <v>9810</v>
      </c>
      <c r="D978" s="71" t="s">
        <v>9028</v>
      </c>
    </row>
    <row r="979" ht="14.25" customHeight="1">
      <c r="C979" s="71" t="s">
        <v>8975</v>
      </c>
      <c r="D979" s="71" t="s">
        <v>9118</v>
      </c>
    </row>
    <row r="980" ht="14.25" customHeight="1">
      <c r="C980" s="71" t="s">
        <v>12432</v>
      </c>
      <c r="D980" s="71" t="s">
        <v>9034</v>
      </c>
    </row>
    <row r="981" ht="14.25" customHeight="1">
      <c r="C981" s="71" t="s">
        <v>86</v>
      </c>
      <c r="D981" s="71" t="s">
        <v>9525</v>
      </c>
    </row>
    <row r="982" ht="14.25" customHeight="1">
      <c r="C982" s="71" t="s">
        <v>292</v>
      </c>
      <c r="D982" s="71" t="s">
        <v>12228</v>
      </c>
    </row>
    <row r="983" ht="14.25" customHeight="1">
      <c r="C983" s="71" t="s">
        <v>91</v>
      </c>
      <c r="D983" s="71" t="s">
        <v>12330</v>
      </c>
    </row>
    <row r="984" ht="14.25" customHeight="1">
      <c r="C984" s="71" t="s">
        <v>2669</v>
      </c>
      <c r="D984" s="71" t="s">
        <v>9578</v>
      </c>
    </row>
    <row r="985" ht="14.25" customHeight="1">
      <c r="D985" s="71" t="s">
        <v>9574</v>
      </c>
    </row>
    <row r="986" ht="14.25" customHeight="1">
      <c r="C986" s="71" t="s">
        <v>763</v>
      </c>
      <c r="D986" s="71" t="s">
        <v>8968</v>
      </c>
    </row>
    <row r="987" ht="14.25" customHeight="1">
      <c r="C987" s="71" t="s">
        <v>776</v>
      </c>
      <c r="D987" s="71" t="s">
        <v>9034</v>
      </c>
    </row>
    <row r="988" ht="14.25" customHeight="1">
      <c r="D988" s="71" t="s">
        <v>9109</v>
      </c>
    </row>
    <row r="989" ht="14.25" customHeight="1">
      <c r="D989" s="71" t="s">
        <v>12433</v>
      </c>
    </row>
    <row r="990" ht="14.25" customHeight="1">
      <c r="D990" s="71" t="s">
        <v>12434</v>
      </c>
    </row>
    <row r="991" ht="14.25" customHeight="1">
      <c r="D991" s="71" t="s">
        <v>9583</v>
      </c>
    </row>
    <row r="992" ht="14.25" customHeight="1">
      <c r="D992" s="71" t="s">
        <v>11233</v>
      </c>
    </row>
    <row r="993" ht="14.25" customHeight="1">
      <c r="D993" s="71" t="s">
        <v>12435</v>
      </c>
    </row>
    <row r="994" ht="14.25" customHeight="1">
      <c r="D994" s="71" t="s">
        <v>9075</v>
      </c>
    </row>
    <row r="995" ht="14.25" customHeight="1">
      <c r="C995" s="71" t="s">
        <v>12436</v>
      </c>
      <c r="D995" s="71" t="s">
        <v>10486</v>
      </c>
    </row>
    <row r="996" ht="14.25" customHeight="1">
      <c r="C996" s="71" t="s">
        <v>9113</v>
      </c>
      <c r="D996" s="71" t="s">
        <v>9075</v>
      </c>
    </row>
    <row r="997" ht="14.25" customHeight="1">
      <c r="C997" s="71" t="s">
        <v>12437</v>
      </c>
      <c r="D997" s="71" t="s">
        <v>9131</v>
      </c>
    </row>
    <row r="998" ht="14.25" customHeight="1">
      <c r="C998" s="71" t="s">
        <v>11133</v>
      </c>
      <c r="D998" s="71" t="s">
        <v>9118</v>
      </c>
    </row>
    <row r="999" ht="14.25" customHeight="1">
      <c r="C999" s="71" t="s">
        <v>11754</v>
      </c>
      <c r="D999" s="71" t="s">
        <v>9151</v>
      </c>
    </row>
    <row r="1000" ht="14.25" customHeight="1">
      <c r="C1000" s="71" t="s">
        <v>12438</v>
      </c>
      <c r="D1000" s="71" t="s">
        <v>8976</v>
      </c>
    </row>
    <row r="1001" ht="14.25" customHeight="1">
      <c r="C1001" s="71" t="s">
        <v>9630</v>
      </c>
      <c r="D1001" s="71" t="s">
        <v>12439</v>
      </c>
    </row>
    <row r="1002" ht="14.25" customHeight="1">
      <c r="C1002" s="71" t="s">
        <v>12108</v>
      </c>
      <c r="D1002" s="71" t="s">
        <v>12440</v>
      </c>
    </row>
    <row r="1003" ht="14.25" customHeight="1">
      <c r="C1003" s="71" t="s">
        <v>11773</v>
      </c>
      <c r="D1003" s="71" t="s">
        <v>10229</v>
      </c>
    </row>
    <row r="1004" ht="14.25" customHeight="1">
      <c r="C1004" s="71" t="s">
        <v>12441</v>
      </c>
      <c r="D1004" s="71" t="s">
        <v>12442</v>
      </c>
    </row>
    <row r="1005" ht="14.25" customHeight="1">
      <c r="C1005" s="71" t="s">
        <v>12058</v>
      </c>
      <c r="D1005" s="71" t="s">
        <v>12443</v>
      </c>
    </row>
    <row r="1006" ht="14.25" customHeight="1">
      <c r="C1006" s="71" t="s">
        <v>12444</v>
      </c>
      <c r="D1006" s="71" t="s">
        <v>12445</v>
      </c>
    </row>
    <row r="1007" ht="14.25" customHeight="1">
      <c r="C1007" s="71" t="s">
        <v>126</v>
      </c>
      <c r="D1007" s="71" t="s">
        <v>9151</v>
      </c>
    </row>
    <row r="1008" ht="14.25" customHeight="1">
      <c r="C1008" s="71" t="s">
        <v>12446</v>
      </c>
      <c r="D1008" s="71" t="s">
        <v>12447</v>
      </c>
    </row>
    <row r="1009" ht="14.25" customHeight="1">
      <c r="C1009" s="71" t="s">
        <v>1058</v>
      </c>
      <c r="D1009" s="71" t="s">
        <v>9118</v>
      </c>
    </row>
    <row r="1010" ht="14.25" customHeight="1">
      <c r="C1010" s="71" t="s">
        <v>3059</v>
      </c>
      <c r="D1010" s="71" t="s">
        <v>9883</v>
      </c>
    </row>
    <row r="1011" ht="14.25" customHeight="1">
      <c r="C1011" s="71" t="s">
        <v>129</v>
      </c>
      <c r="D1011" s="71" t="s">
        <v>9034</v>
      </c>
    </row>
    <row r="1012" ht="14.25" customHeight="1">
      <c r="D1012" s="71" t="s">
        <v>11201</v>
      </c>
    </row>
    <row r="1013" ht="14.25" customHeight="1">
      <c r="C1013" s="71" t="s">
        <v>12448</v>
      </c>
      <c r="D1013" s="71" t="s">
        <v>12449</v>
      </c>
    </row>
    <row r="1014" ht="14.25" customHeight="1">
      <c r="C1014" s="71" t="s">
        <v>12450</v>
      </c>
      <c r="D1014" s="71" t="s">
        <v>9002</v>
      </c>
    </row>
    <row r="1015" ht="14.25" customHeight="1">
      <c r="C1015" s="71" t="s">
        <v>131</v>
      </c>
      <c r="D1015" s="71" t="s">
        <v>12451</v>
      </c>
    </row>
    <row r="1016" ht="14.25" customHeight="1">
      <c r="C1016" s="71" t="s">
        <v>12452</v>
      </c>
      <c r="D1016" s="71" t="s">
        <v>9055</v>
      </c>
    </row>
    <row r="1017" ht="14.25" customHeight="1">
      <c r="C1017" s="71" t="s">
        <v>10942</v>
      </c>
      <c r="D1017" s="71" t="s">
        <v>9141</v>
      </c>
    </row>
    <row r="1018" ht="14.25" customHeight="1">
      <c r="C1018" s="71" t="s">
        <v>3138</v>
      </c>
      <c r="D1018" s="71" t="s">
        <v>9071</v>
      </c>
    </row>
    <row r="1019" ht="14.25" customHeight="1">
      <c r="D1019" s="71" t="s">
        <v>11690</v>
      </c>
    </row>
    <row r="1020" ht="14.25" customHeight="1">
      <c r="C1020" s="71" t="s">
        <v>9303</v>
      </c>
      <c r="D1020" s="71" t="s">
        <v>12453</v>
      </c>
    </row>
    <row r="1021" ht="14.25" customHeight="1">
      <c r="C1021" s="71" t="s">
        <v>303</v>
      </c>
      <c r="D1021" s="71" t="s">
        <v>9109</v>
      </c>
    </row>
    <row r="1022" ht="14.25" customHeight="1">
      <c r="C1022" s="71" t="s">
        <v>141</v>
      </c>
      <c r="D1022" s="71" t="s">
        <v>9859</v>
      </c>
    </row>
    <row r="1023" ht="14.25" customHeight="1">
      <c r="C1023" s="71" t="s">
        <v>12454</v>
      </c>
      <c r="D1023" s="71" t="s">
        <v>9649</v>
      </c>
    </row>
    <row r="1024" ht="14.25" customHeight="1">
      <c r="C1024" s="71" t="s">
        <v>12455</v>
      </c>
      <c r="D1024" s="71" t="s">
        <v>12456</v>
      </c>
    </row>
    <row r="1025" ht="14.25" customHeight="1">
      <c r="C1025" s="71" t="s">
        <v>3313</v>
      </c>
      <c r="D1025" s="71" t="s">
        <v>9055</v>
      </c>
    </row>
    <row r="1026" ht="14.25" customHeight="1">
      <c r="C1026" s="71" t="s">
        <v>5036</v>
      </c>
      <c r="D1026" s="71" t="s">
        <v>9028</v>
      </c>
    </row>
    <row r="1027" ht="14.25" customHeight="1">
      <c r="C1027" s="71" t="s">
        <v>310</v>
      </c>
      <c r="D1027" s="71" t="s">
        <v>12457</v>
      </c>
    </row>
    <row r="1028" ht="14.25" customHeight="1">
      <c r="C1028" s="71" t="s">
        <v>12458</v>
      </c>
      <c r="D1028" s="71" t="s">
        <v>9055</v>
      </c>
    </row>
    <row r="1029" ht="14.25" customHeight="1">
      <c r="C1029" s="71" t="s">
        <v>162</v>
      </c>
      <c r="D1029" s="71" t="s">
        <v>12459</v>
      </c>
    </row>
    <row r="1030" ht="14.25" customHeight="1">
      <c r="C1030" s="71" t="s">
        <v>6538</v>
      </c>
      <c r="D1030" s="71" t="s">
        <v>12460</v>
      </c>
    </row>
    <row r="1031" ht="14.25" customHeight="1">
      <c r="C1031" s="71" t="s">
        <v>166</v>
      </c>
      <c r="D1031" s="71" t="s">
        <v>9151</v>
      </c>
    </row>
    <row r="1032" ht="14.25" customHeight="1">
      <c r="D1032" s="71" t="s">
        <v>9028</v>
      </c>
    </row>
    <row r="1033" ht="14.25" customHeight="1">
      <c r="D1033" s="71" t="s">
        <v>12461</v>
      </c>
    </row>
    <row r="1034" ht="14.25" customHeight="1">
      <c r="C1034" s="71" t="s">
        <v>1417</v>
      </c>
      <c r="D1034" s="71" t="s">
        <v>9204</v>
      </c>
    </row>
    <row r="1035" ht="14.25" customHeight="1">
      <c r="D1035" s="71" t="s">
        <v>11438</v>
      </c>
    </row>
    <row r="1036" ht="14.25" customHeight="1">
      <c r="C1036" s="71" t="s">
        <v>3499</v>
      </c>
      <c r="D1036" s="71" t="s">
        <v>12462</v>
      </c>
    </row>
    <row r="1037" ht="14.25" customHeight="1">
      <c r="C1037" s="71" t="s">
        <v>170</v>
      </c>
      <c r="D1037" s="71" t="s">
        <v>9028</v>
      </c>
    </row>
    <row r="1038" ht="14.25" customHeight="1">
      <c r="C1038" s="71" t="s">
        <v>312</v>
      </c>
      <c r="D1038" s="71" t="s">
        <v>9583</v>
      </c>
    </row>
    <row r="1039" ht="14.25" customHeight="1">
      <c r="D1039" s="71" t="s">
        <v>8994</v>
      </c>
    </row>
    <row r="1040" ht="14.25" customHeight="1">
      <c r="D1040" s="71" t="s">
        <v>12463</v>
      </c>
    </row>
    <row r="1041" ht="14.25" customHeight="1">
      <c r="C1041" s="71" t="s">
        <v>11612</v>
      </c>
      <c r="D1041" s="71" t="s">
        <v>12464</v>
      </c>
    </row>
    <row r="1042" ht="14.25" customHeight="1">
      <c r="D1042" s="71" t="s">
        <v>9028</v>
      </c>
    </row>
    <row r="1043" ht="14.25" customHeight="1">
      <c r="C1043" s="71" t="s">
        <v>175</v>
      </c>
      <c r="D1043" s="71" t="s">
        <v>9028</v>
      </c>
    </row>
    <row r="1044" ht="14.25" customHeight="1">
      <c r="C1044" s="71" t="s">
        <v>12465</v>
      </c>
      <c r="D1044" s="71" t="s">
        <v>9073</v>
      </c>
    </row>
    <row r="1045" ht="14.25" customHeight="1">
      <c r="C1045" s="71" t="s">
        <v>9150</v>
      </c>
      <c r="D1045" s="71" t="s">
        <v>9151</v>
      </c>
    </row>
    <row r="1046" ht="14.25" customHeight="1">
      <c r="C1046" s="71" t="s">
        <v>3566</v>
      </c>
      <c r="D1046" s="71" t="s">
        <v>9034</v>
      </c>
    </row>
    <row r="1047" ht="14.25" customHeight="1">
      <c r="D1047" s="71" t="s">
        <v>8989</v>
      </c>
    </row>
    <row r="1048" ht="14.25" customHeight="1">
      <c r="D1048" s="71" t="s">
        <v>8968</v>
      </c>
    </row>
    <row r="1049" ht="14.25" customHeight="1">
      <c r="D1049" s="71" t="s">
        <v>9071</v>
      </c>
    </row>
    <row r="1050" ht="14.25" customHeight="1">
      <c r="D1050" s="71" t="s">
        <v>9028</v>
      </c>
    </row>
    <row r="1051" ht="14.25" customHeight="1">
      <c r="D1051" s="71" t="s">
        <v>12466</v>
      </c>
    </row>
    <row r="1052" ht="14.25" customHeight="1">
      <c r="D1052" s="71" t="s">
        <v>9404</v>
      </c>
    </row>
    <row r="1053" ht="14.25" customHeight="1">
      <c r="C1053" s="71" t="s">
        <v>3596</v>
      </c>
      <c r="D1053" s="71" t="s">
        <v>12467</v>
      </c>
    </row>
    <row r="1054" ht="14.25" customHeight="1">
      <c r="D1054" s="71" t="s">
        <v>8968</v>
      </c>
    </row>
    <row r="1055" ht="14.25" customHeight="1">
      <c r="D1055" s="71" t="s">
        <v>12468</v>
      </c>
    </row>
    <row r="1056" ht="14.25" customHeight="1">
      <c r="C1056" s="71" t="s">
        <v>6654</v>
      </c>
      <c r="D1056" s="71" t="s">
        <v>9873</v>
      </c>
    </row>
    <row r="1057" ht="14.25" customHeight="1">
      <c r="C1057" s="71" t="s">
        <v>189</v>
      </c>
      <c r="D1057" s="71" t="s">
        <v>9271</v>
      </c>
    </row>
    <row r="1058" ht="14.25" customHeight="1">
      <c r="C1058" s="71" t="s">
        <v>191</v>
      </c>
      <c r="D1058" s="71" t="s">
        <v>9891</v>
      </c>
    </row>
    <row r="1059" ht="14.25" customHeight="1">
      <c r="C1059" s="71" t="s">
        <v>193</v>
      </c>
      <c r="D1059" s="71" t="s">
        <v>12469</v>
      </c>
    </row>
    <row r="1060" ht="14.25" customHeight="1">
      <c r="C1060" s="71" t="s">
        <v>9577</v>
      </c>
      <c r="D1060" s="71" t="s">
        <v>9578</v>
      </c>
    </row>
    <row r="1061" ht="14.25" customHeight="1">
      <c r="C1061" s="71" t="s">
        <v>12470</v>
      </c>
      <c r="D1061" s="71" t="s">
        <v>12471</v>
      </c>
    </row>
    <row r="1062" ht="14.25" customHeight="1">
      <c r="C1062" s="71" t="s">
        <v>200</v>
      </c>
      <c r="D1062" s="71" t="s">
        <v>9151</v>
      </c>
    </row>
    <row r="1063" ht="14.25" customHeight="1">
      <c r="C1063" s="71" t="s">
        <v>9505</v>
      </c>
      <c r="D1063" s="71" t="s">
        <v>12472</v>
      </c>
    </row>
    <row r="1064" ht="14.25" customHeight="1">
      <c r="C1064" s="71" t="s">
        <v>10905</v>
      </c>
      <c r="D1064" s="71" t="s">
        <v>12473</v>
      </c>
    </row>
    <row r="1065" ht="14.25" customHeight="1">
      <c r="C1065" s="71" t="s">
        <v>315</v>
      </c>
      <c r="D1065" s="71" t="s">
        <v>12474</v>
      </c>
    </row>
    <row r="1066" ht="14.25" customHeight="1">
      <c r="D1066" s="71" t="s">
        <v>9075</v>
      </c>
    </row>
    <row r="1067" ht="14.25" customHeight="1">
      <c r="C1067" s="71" t="s">
        <v>3763</v>
      </c>
      <c r="D1067" s="71" t="s">
        <v>9028</v>
      </c>
    </row>
    <row r="1068" ht="14.25" customHeight="1">
      <c r="C1068" s="71" t="s">
        <v>11157</v>
      </c>
      <c r="D1068" s="71" t="s">
        <v>9028</v>
      </c>
    </row>
    <row r="1069" ht="14.25" customHeight="1">
      <c r="C1069" s="71" t="s">
        <v>10673</v>
      </c>
      <c r="D1069" s="71" t="s">
        <v>9827</v>
      </c>
    </row>
    <row r="1070" ht="14.25" customHeight="1">
      <c r="C1070" s="71" t="s">
        <v>214</v>
      </c>
      <c r="D1070" s="71" t="s">
        <v>8968</v>
      </c>
    </row>
    <row r="1071" ht="14.25" customHeight="1">
      <c r="C1071" s="71" t="s">
        <v>215</v>
      </c>
      <c r="D1071" s="71" t="s">
        <v>9109</v>
      </c>
    </row>
    <row r="1072" ht="14.25" customHeight="1">
      <c r="C1072" s="71" t="s">
        <v>3804</v>
      </c>
      <c r="D1072" s="71" t="s">
        <v>9151</v>
      </c>
    </row>
    <row r="1073" ht="14.25" customHeight="1">
      <c r="C1073" s="71" t="s">
        <v>3814</v>
      </c>
      <c r="D1073" s="71" t="s">
        <v>9827</v>
      </c>
    </row>
    <row r="1074" ht="14.25" customHeight="1">
      <c r="C1074" s="71" t="s">
        <v>3821</v>
      </c>
      <c r="D1074" s="71" t="s">
        <v>9034</v>
      </c>
    </row>
    <row r="1075" ht="14.25" customHeight="1">
      <c r="D1075" s="71" t="s">
        <v>12475</v>
      </c>
    </row>
    <row r="1076" ht="14.25" customHeight="1">
      <c r="D1076" s="71" t="s">
        <v>9071</v>
      </c>
    </row>
    <row r="1077" ht="14.25" customHeight="1">
      <c r="C1077" s="71" t="s">
        <v>12476</v>
      </c>
      <c r="D1077" s="71" t="s">
        <v>12477</v>
      </c>
    </row>
    <row r="1078" ht="14.25" customHeight="1">
      <c r="C1078" s="71" t="s">
        <v>220</v>
      </c>
      <c r="D1078" s="71" t="s">
        <v>9109</v>
      </c>
    </row>
    <row r="1079" ht="14.25" customHeight="1">
      <c r="C1079" s="71" t="s">
        <v>12478</v>
      </c>
      <c r="D1079" s="71" t="s">
        <v>9131</v>
      </c>
    </row>
    <row r="1080" ht="14.25" customHeight="1">
      <c r="C1080" s="71" t="s">
        <v>11794</v>
      </c>
      <c r="D1080" s="71" t="s">
        <v>10064</v>
      </c>
    </row>
    <row r="1081" ht="14.25" customHeight="1">
      <c r="C1081" s="71" t="s">
        <v>12479</v>
      </c>
      <c r="D1081" s="71" t="s">
        <v>12480</v>
      </c>
    </row>
    <row r="1082" ht="14.25" customHeight="1">
      <c r="C1082" s="71" t="s">
        <v>12481</v>
      </c>
      <c r="D1082" s="71" t="s">
        <v>9028</v>
      </c>
    </row>
    <row r="1083" ht="14.25" customHeight="1">
      <c r="C1083" s="71" t="s">
        <v>12482</v>
      </c>
      <c r="D1083" s="71" t="s">
        <v>11900</v>
      </c>
    </row>
    <row r="1084" ht="14.25" customHeight="1">
      <c r="C1084" s="71" t="s">
        <v>8576</v>
      </c>
      <c r="D1084" s="71" t="s">
        <v>10486</v>
      </c>
    </row>
    <row r="1085" ht="14.25" customHeight="1">
      <c r="D1085" s="71" t="s">
        <v>12483</v>
      </c>
    </row>
    <row r="1086" ht="14.25" customHeight="1">
      <c r="C1086" s="71" t="s">
        <v>12484</v>
      </c>
      <c r="D1086" s="71" t="s">
        <v>9249</v>
      </c>
    </row>
    <row r="1087" ht="14.25" customHeight="1">
      <c r="C1087" s="71" t="s">
        <v>12485</v>
      </c>
      <c r="D1087" s="71" t="s">
        <v>9131</v>
      </c>
    </row>
    <row r="1088" ht="14.25" customHeight="1">
      <c r="C1088" s="71" t="s">
        <v>12486</v>
      </c>
      <c r="D1088" s="71" t="s">
        <v>12487</v>
      </c>
    </row>
    <row r="1089" ht="14.25" customHeight="1">
      <c r="C1089" s="71" t="s">
        <v>9691</v>
      </c>
      <c r="D1089" s="71" t="s">
        <v>11087</v>
      </c>
    </row>
    <row r="1090" ht="14.25" customHeight="1">
      <c r="C1090" s="71" t="s">
        <v>10640</v>
      </c>
      <c r="D1090" s="71" t="s">
        <v>9131</v>
      </c>
    </row>
    <row r="1091" ht="14.25" customHeight="1">
      <c r="C1091" s="71" t="s">
        <v>4139</v>
      </c>
      <c r="D1091" s="71" t="s">
        <v>9999</v>
      </c>
    </row>
    <row r="1092" ht="14.25" customHeight="1">
      <c r="C1092" s="71" t="s">
        <v>244</v>
      </c>
      <c r="D1092" s="71" t="s">
        <v>9249</v>
      </c>
    </row>
    <row r="1093" ht="14.25" customHeight="1">
      <c r="C1093" s="71" t="s">
        <v>9215</v>
      </c>
      <c r="D1093" s="71" t="s">
        <v>12488</v>
      </c>
    </row>
    <row r="1094" ht="14.25" customHeight="1">
      <c r="C1094" s="71" t="s">
        <v>246</v>
      </c>
      <c r="D1094" s="71" t="s">
        <v>9028</v>
      </c>
    </row>
    <row r="1095" ht="14.25" customHeight="1">
      <c r="C1095" s="71" t="s">
        <v>248</v>
      </c>
      <c r="D1095" s="71" t="s">
        <v>12489</v>
      </c>
    </row>
    <row r="1096" ht="14.25" customHeight="1">
      <c r="C1096" s="71" t="s">
        <v>4187</v>
      </c>
      <c r="D1096" s="71" t="s">
        <v>12490</v>
      </c>
    </row>
    <row r="1097" ht="14.25" customHeight="1">
      <c r="C1097" s="71" t="s">
        <v>11797</v>
      </c>
      <c r="D1097" s="71" t="s">
        <v>9002</v>
      </c>
    </row>
    <row r="1098" ht="14.25" customHeight="1">
      <c r="C1098" s="71" t="s">
        <v>4231</v>
      </c>
      <c r="D1098" s="71" t="s">
        <v>12491</v>
      </c>
    </row>
    <row r="1099" ht="14.25" customHeight="1">
      <c r="C1099" s="71" t="s">
        <v>255</v>
      </c>
      <c r="D1099" s="71" t="s">
        <v>9075</v>
      </c>
    </row>
    <row r="1100" ht="14.25" customHeight="1">
      <c r="C1100" s="71" t="s">
        <v>11006</v>
      </c>
      <c r="D1100" s="71" t="s">
        <v>9216</v>
      </c>
    </row>
    <row r="1101" ht="14.25" customHeight="1">
      <c r="C1101" s="71" t="s">
        <v>262</v>
      </c>
      <c r="D1101" s="71" t="s">
        <v>9755</v>
      </c>
    </row>
    <row r="1102" ht="14.25" customHeight="1">
      <c r="D1102" s="71" t="s">
        <v>9051</v>
      </c>
    </row>
    <row r="1103" ht="14.25" customHeight="1">
      <c r="C1103" s="71" t="s">
        <v>12492</v>
      </c>
      <c r="D1103" s="71" t="s">
        <v>9109</v>
      </c>
    </row>
    <row r="1104" ht="14.25" customHeight="1">
      <c r="C1104" s="71" t="s">
        <v>9529</v>
      </c>
      <c r="D1104" s="71" t="s">
        <v>11382</v>
      </c>
    </row>
    <row r="1105" ht="14.25" customHeight="1">
      <c r="C1105" s="71" t="s">
        <v>10851</v>
      </c>
      <c r="D1105" s="71" t="s">
        <v>12493</v>
      </c>
    </row>
    <row r="1106" ht="14.25" customHeight="1">
      <c r="C1106" s="71" t="s">
        <v>12494</v>
      </c>
      <c r="D1106" s="71" t="s">
        <v>12495</v>
      </c>
    </row>
    <row r="1107" ht="14.25" customHeight="1">
      <c r="C1107" s="71" t="s">
        <v>8954</v>
      </c>
      <c r="D1107" s="71" t="s">
        <v>9028</v>
      </c>
    </row>
    <row r="1108" ht="14.25" customHeight="1">
      <c r="C1108" s="71" t="s">
        <v>12496</v>
      </c>
      <c r="D1108" s="71" t="s">
        <v>11900</v>
      </c>
    </row>
    <row r="1109" ht="14.25" customHeight="1">
      <c r="B1109" s="71" t="s">
        <v>41</v>
      </c>
      <c r="C1109" s="71" t="s">
        <v>89</v>
      </c>
      <c r="D1109" s="71" t="s">
        <v>12497</v>
      </c>
    </row>
    <row r="1110" ht="14.25" customHeight="1">
      <c r="C1110" s="71" t="s">
        <v>98</v>
      </c>
      <c r="D1110" s="71" t="s">
        <v>9034</v>
      </c>
    </row>
    <row r="1111" ht="14.25" customHeight="1">
      <c r="C1111" s="71" t="s">
        <v>10660</v>
      </c>
      <c r="D1111" s="71" t="s">
        <v>11189</v>
      </c>
    </row>
    <row r="1112" ht="14.25" customHeight="1">
      <c r="C1112" s="71" t="s">
        <v>12498</v>
      </c>
      <c r="D1112" s="71" t="s">
        <v>11087</v>
      </c>
    </row>
    <row r="1113" ht="14.25" customHeight="1">
      <c r="C1113" s="71" t="s">
        <v>11133</v>
      </c>
      <c r="D1113" s="71" t="s">
        <v>12499</v>
      </c>
    </row>
    <row r="1114" ht="14.25" customHeight="1">
      <c r="C1114" s="71" t="s">
        <v>12500</v>
      </c>
      <c r="D1114" s="71" t="s">
        <v>9028</v>
      </c>
    </row>
    <row r="1115" ht="14.25" customHeight="1">
      <c r="C1115" s="71" t="s">
        <v>12501</v>
      </c>
      <c r="D1115" s="71" t="s">
        <v>9012</v>
      </c>
    </row>
    <row r="1116" ht="14.25" customHeight="1">
      <c r="C1116" s="71" t="s">
        <v>12502</v>
      </c>
      <c r="D1116" s="71" t="s">
        <v>9579</v>
      </c>
    </row>
    <row r="1117" ht="14.25" customHeight="1">
      <c r="C1117" s="71" t="s">
        <v>9658</v>
      </c>
      <c r="D1117" s="71" t="s">
        <v>11444</v>
      </c>
    </row>
    <row r="1118" ht="14.25" customHeight="1">
      <c r="C1118" s="71" t="s">
        <v>12503</v>
      </c>
      <c r="D1118" s="71" t="s">
        <v>9028</v>
      </c>
    </row>
    <row r="1119" ht="14.25" customHeight="1">
      <c r="C1119" s="71" t="s">
        <v>202</v>
      </c>
      <c r="D1119" s="71" t="s">
        <v>11824</v>
      </c>
    </row>
    <row r="1120" ht="14.25" customHeight="1">
      <c r="C1120" s="71" t="s">
        <v>12504</v>
      </c>
      <c r="D1120" s="71" t="s">
        <v>9118</v>
      </c>
    </row>
    <row r="1121" ht="14.25" customHeight="1">
      <c r="C1121" s="71" t="s">
        <v>12505</v>
      </c>
      <c r="D1121" s="71" t="s">
        <v>9380</v>
      </c>
    </row>
    <row r="1122" ht="14.25" customHeight="1">
      <c r="C1122" s="71" t="s">
        <v>9333</v>
      </c>
      <c r="D1122" s="71" t="s">
        <v>11172</v>
      </c>
    </row>
    <row r="1123" ht="14.25" customHeight="1">
      <c r="C1123" s="71" t="s">
        <v>12506</v>
      </c>
      <c r="D1123" s="71" t="s">
        <v>9583</v>
      </c>
    </row>
    <row r="1124" ht="14.25" customHeight="1">
      <c r="C1124" s="71" t="s">
        <v>12507</v>
      </c>
      <c r="D1124" s="71" t="s">
        <v>9583</v>
      </c>
    </row>
    <row r="1125" ht="14.25" customHeight="1">
      <c r="C1125" s="71" t="s">
        <v>10640</v>
      </c>
      <c r="D1125" s="71" t="s">
        <v>9583</v>
      </c>
    </row>
    <row r="1126" ht="14.25" customHeight="1">
      <c r="D1126" s="71" t="s">
        <v>9028</v>
      </c>
    </row>
    <row r="1127" ht="14.25" customHeight="1">
      <c r="C1127" s="71" t="s">
        <v>12206</v>
      </c>
      <c r="D1127" s="71" t="s">
        <v>8968</v>
      </c>
    </row>
    <row r="1128" ht="14.25" customHeight="1">
      <c r="C1128" s="71" t="s">
        <v>9434</v>
      </c>
      <c r="D1128" s="71" t="s">
        <v>12508</v>
      </c>
    </row>
    <row r="1129" ht="14.25" customHeight="1">
      <c r="C1129" s="71" t="s">
        <v>12509</v>
      </c>
      <c r="D1129" s="71" t="s">
        <v>9118</v>
      </c>
    </row>
    <row r="1130" ht="14.25" customHeight="1">
      <c r="C1130" s="71" t="s">
        <v>12510</v>
      </c>
      <c r="D1130" s="71" t="s">
        <v>12411</v>
      </c>
    </row>
    <row r="1131" ht="14.25" customHeight="1">
      <c r="B1131" s="71" t="s">
        <v>13</v>
      </c>
      <c r="C1131" s="71" t="s">
        <v>12511</v>
      </c>
      <c r="D1131" s="71" t="s">
        <v>10653</v>
      </c>
    </row>
    <row r="1132" ht="14.25" customHeight="1">
      <c r="C1132" s="71" t="s">
        <v>12512</v>
      </c>
      <c r="D1132" s="71" t="s">
        <v>10111</v>
      </c>
    </row>
    <row r="1133" ht="14.25" customHeight="1">
      <c r="C1133" s="71" t="s">
        <v>8249</v>
      </c>
      <c r="D1133" s="71" t="s">
        <v>9440</v>
      </c>
    </row>
    <row r="1134" ht="14.25" customHeight="1">
      <c r="C1134" s="71" t="s">
        <v>3596</v>
      </c>
      <c r="D1134" s="71" t="s">
        <v>12052</v>
      </c>
    </row>
    <row r="1135" ht="14.25" customHeight="1">
      <c r="C1135" s="71" t="s">
        <v>12084</v>
      </c>
      <c r="D1135" s="71" t="s">
        <v>9326</v>
      </c>
    </row>
    <row r="1136" ht="14.25" customHeight="1">
      <c r="C1136" s="71" t="s">
        <v>11820</v>
      </c>
      <c r="D1136" s="71" t="s">
        <v>10729</v>
      </c>
    </row>
    <row r="1137" ht="14.25" customHeight="1">
      <c r="C1137" s="71" t="s">
        <v>12513</v>
      </c>
      <c r="D1137" s="71" t="s">
        <v>12514</v>
      </c>
    </row>
    <row r="1138" ht="14.25" customHeight="1">
      <c r="A1138" s="71" t="s">
        <v>9935</v>
      </c>
      <c r="B1138" s="71" t="s">
        <v>40</v>
      </c>
      <c r="C1138" s="71" t="s">
        <v>9257</v>
      </c>
      <c r="D1138" s="71" t="s">
        <v>10027</v>
      </c>
    </row>
    <row r="1139" ht="14.25" customHeight="1">
      <c r="C1139" s="71" t="s">
        <v>9355</v>
      </c>
      <c r="D1139" s="71" t="s">
        <v>8978</v>
      </c>
    </row>
    <row r="1140" ht="14.25" customHeight="1">
      <c r="C1140" s="71" t="s">
        <v>78</v>
      </c>
      <c r="D1140" s="71" t="s">
        <v>9911</v>
      </c>
    </row>
    <row r="1141" ht="14.25" customHeight="1">
      <c r="C1141" s="71" t="s">
        <v>87</v>
      </c>
      <c r="D1141" s="71" t="s">
        <v>11568</v>
      </c>
    </row>
    <row r="1142" ht="14.25" customHeight="1">
      <c r="C1142" s="71" t="s">
        <v>776</v>
      </c>
      <c r="D1142" s="71" t="s">
        <v>9075</v>
      </c>
    </row>
    <row r="1143" ht="14.25" customHeight="1">
      <c r="D1143" s="71" t="s">
        <v>12515</v>
      </c>
    </row>
    <row r="1144" ht="14.25" customHeight="1">
      <c r="C1144" s="71" t="s">
        <v>12108</v>
      </c>
      <c r="D1144" s="71" t="s">
        <v>12252</v>
      </c>
    </row>
    <row r="1145" ht="14.25" customHeight="1">
      <c r="C1145" s="71" t="s">
        <v>297</v>
      </c>
      <c r="D1145" s="71" t="s">
        <v>8976</v>
      </c>
    </row>
    <row r="1146" ht="14.25" customHeight="1">
      <c r="C1146" s="71" t="s">
        <v>12516</v>
      </c>
      <c r="D1146" s="71" t="s">
        <v>9034</v>
      </c>
    </row>
    <row r="1147" ht="14.25" customHeight="1">
      <c r="C1147" s="71" t="s">
        <v>12034</v>
      </c>
      <c r="D1147" s="71" t="s">
        <v>12517</v>
      </c>
    </row>
    <row r="1148" ht="14.25" customHeight="1">
      <c r="C1148" s="71" t="s">
        <v>153</v>
      </c>
      <c r="D1148" s="71" t="s">
        <v>9855</v>
      </c>
    </row>
    <row r="1149" ht="14.25" customHeight="1">
      <c r="C1149" s="71" t="s">
        <v>12518</v>
      </c>
      <c r="D1149" s="71" t="s">
        <v>12173</v>
      </c>
    </row>
    <row r="1150" ht="14.25" customHeight="1">
      <c r="C1150" s="71" t="s">
        <v>312</v>
      </c>
      <c r="D1150" s="71" t="s">
        <v>12519</v>
      </c>
    </row>
    <row r="1151" ht="14.25" customHeight="1">
      <c r="C1151" s="71" t="s">
        <v>3566</v>
      </c>
      <c r="D1151" s="71" t="s">
        <v>9265</v>
      </c>
    </row>
    <row r="1152" ht="14.25" customHeight="1">
      <c r="C1152" s="71" t="s">
        <v>12520</v>
      </c>
      <c r="D1152" s="71" t="s">
        <v>9755</v>
      </c>
    </row>
    <row r="1153" ht="14.25" customHeight="1">
      <c r="C1153" s="71" t="s">
        <v>12521</v>
      </c>
      <c r="D1153" s="71" t="s">
        <v>9604</v>
      </c>
    </row>
    <row r="1154" ht="14.25" customHeight="1">
      <c r="C1154" s="71" t="s">
        <v>3810</v>
      </c>
      <c r="D1154" s="71" t="s">
        <v>9827</v>
      </c>
    </row>
    <row r="1155" ht="14.25" customHeight="1">
      <c r="D1155" s="71" t="s">
        <v>12522</v>
      </c>
    </row>
    <row r="1156" ht="14.25" customHeight="1">
      <c r="C1156" s="71" t="s">
        <v>12523</v>
      </c>
      <c r="D1156" s="71" t="s">
        <v>10622</v>
      </c>
    </row>
    <row r="1157" ht="14.25" customHeight="1">
      <c r="C1157" s="71" t="s">
        <v>1743</v>
      </c>
      <c r="D1157" s="71" t="s">
        <v>12190</v>
      </c>
    </row>
    <row r="1158" ht="14.25" customHeight="1">
      <c r="C1158" s="71" t="s">
        <v>12524</v>
      </c>
      <c r="D1158" s="71" t="s">
        <v>12525</v>
      </c>
    </row>
    <row r="1159" ht="14.25" customHeight="1">
      <c r="C1159" s="71" t="s">
        <v>12526</v>
      </c>
      <c r="D1159" s="71" t="s">
        <v>10222</v>
      </c>
    </row>
    <row r="1160" ht="14.25" customHeight="1">
      <c r="C1160" s="71" t="s">
        <v>255</v>
      </c>
      <c r="D1160" s="71" t="s">
        <v>9075</v>
      </c>
    </row>
    <row r="1161" ht="14.25" customHeight="1">
      <c r="C1161" s="71" t="s">
        <v>12527</v>
      </c>
      <c r="D1161" s="71" t="s">
        <v>9109</v>
      </c>
    </row>
    <row r="1162" ht="14.25" customHeight="1">
      <c r="A1162" s="71" t="s">
        <v>9948</v>
      </c>
      <c r="B1162" s="71" t="s">
        <v>40</v>
      </c>
      <c r="C1162" s="71" t="s">
        <v>9034</v>
      </c>
      <c r="D1162" s="71" t="s">
        <v>8968</v>
      </c>
    </row>
    <row r="1163" ht="14.25" customHeight="1">
      <c r="D1163" s="71" t="s">
        <v>12528</v>
      </c>
    </row>
    <row r="1164" ht="14.25" customHeight="1">
      <c r="D1164" s="71" t="s">
        <v>12529</v>
      </c>
    </row>
    <row r="1165" ht="14.25" customHeight="1">
      <c r="C1165" s="71" t="s">
        <v>63</v>
      </c>
      <c r="D1165" s="71" t="s">
        <v>10712</v>
      </c>
    </row>
    <row r="1166" ht="14.25" customHeight="1">
      <c r="C1166" s="71" t="s">
        <v>10656</v>
      </c>
      <c r="D1166" s="71" t="s">
        <v>9972</v>
      </c>
    </row>
    <row r="1167" ht="14.25" customHeight="1">
      <c r="C1167" s="71" t="s">
        <v>6152</v>
      </c>
      <c r="D1167" s="71" t="s">
        <v>12530</v>
      </c>
    </row>
    <row r="1168" ht="14.25" customHeight="1">
      <c r="C1168" s="71" t="s">
        <v>12531</v>
      </c>
      <c r="D1168" s="71" t="s">
        <v>9972</v>
      </c>
    </row>
    <row r="1169" ht="14.25" customHeight="1">
      <c r="C1169" s="71" t="s">
        <v>3596</v>
      </c>
      <c r="D1169" s="71" t="s">
        <v>9034</v>
      </c>
    </row>
    <row r="1170" ht="14.25" customHeight="1">
      <c r="D1170" s="71" t="s">
        <v>9051</v>
      </c>
    </row>
    <row r="1171" ht="14.25" customHeight="1">
      <c r="D1171" s="71" t="s">
        <v>9805</v>
      </c>
    </row>
    <row r="1172" ht="14.25" customHeight="1">
      <c r="D1172" s="71" t="s">
        <v>9972</v>
      </c>
    </row>
    <row r="1173" ht="14.25" customHeight="1">
      <c r="D1173" s="71" t="s">
        <v>9055</v>
      </c>
    </row>
    <row r="1174" ht="14.25" customHeight="1">
      <c r="D1174" s="71" t="s">
        <v>9075</v>
      </c>
    </row>
    <row r="1175" ht="14.25" customHeight="1">
      <c r="C1175" s="71" t="s">
        <v>5224</v>
      </c>
      <c r="D1175" s="71" t="s">
        <v>9805</v>
      </c>
    </row>
    <row r="1176" ht="14.25" customHeight="1">
      <c r="C1176" s="71" t="s">
        <v>204</v>
      </c>
      <c r="D1176" s="71" t="s">
        <v>9965</v>
      </c>
    </row>
    <row r="1177" ht="14.25" customHeight="1">
      <c r="D1177" s="71" t="s">
        <v>12532</v>
      </c>
    </row>
    <row r="1178" ht="14.25" customHeight="1">
      <c r="C1178" s="71" t="s">
        <v>12533</v>
      </c>
      <c r="D1178" s="71" t="s">
        <v>405</v>
      </c>
    </row>
    <row r="1179" ht="14.25" customHeight="1">
      <c r="C1179" s="71" t="s">
        <v>12534</v>
      </c>
      <c r="D1179" s="71" t="s">
        <v>12535</v>
      </c>
    </row>
    <row r="1180" ht="14.25" customHeight="1">
      <c r="B1180" s="71" t="s">
        <v>41</v>
      </c>
      <c r="C1180" s="71" t="s">
        <v>12536</v>
      </c>
      <c r="D1180" s="71" t="s">
        <v>9034</v>
      </c>
    </row>
    <row r="1181" ht="14.25" customHeight="1">
      <c r="C1181" s="71" t="s">
        <v>5224</v>
      </c>
      <c r="D1181" s="71" t="s">
        <v>12537</v>
      </c>
    </row>
    <row r="1182" ht="14.25" customHeight="1">
      <c r="A1182" s="71" t="s">
        <v>9978</v>
      </c>
      <c r="B1182" s="71" t="s">
        <v>40</v>
      </c>
      <c r="C1182" s="71" t="s">
        <v>9034</v>
      </c>
      <c r="D1182" s="71" t="s">
        <v>9180</v>
      </c>
    </row>
    <row r="1183" ht="14.25" customHeight="1">
      <c r="C1183" s="71" t="s">
        <v>2301</v>
      </c>
      <c r="D1183" s="71" t="s">
        <v>12538</v>
      </c>
    </row>
    <row r="1184" ht="14.25" customHeight="1">
      <c r="D1184" s="71" t="s">
        <v>9075</v>
      </c>
    </row>
    <row r="1185" ht="14.25" customHeight="1">
      <c r="C1185" s="71" t="s">
        <v>11764</v>
      </c>
      <c r="D1185" s="71" t="s">
        <v>11765</v>
      </c>
    </row>
    <row r="1186" ht="14.25" customHeight="1">
      <c r="C1186" s="71" t="s">
        <v>11046</v>
      </c>
      <c r="D1186" s="71" t="s">
        <v>9075</v>
      </c>
    </row>
    <row r="1187" ht="14.25" customHeight="1">
      <c r="C1187" s="71" t="s">
        <v>12539</v>
      </c>
      <c r="D1187" s="71" t="s">
        <v>11765</v>
      </c>
    </row>
    <row r="1188" ht="14.25" customHeight="1">
      <c r="C1188" s="71" t="s">
        <v>9982</v>
      </c>
      <c r="D1188" s="71" t="s">
        <v>12540</v>
      </c>
    </row>
    <row r="1189" ht="14.25" customHeight="1">
      <c r="C1189" s="71" t="s">
        <v>12541</v>
      </c>
      <c r="D1189" s="71" t="s">
        <v>12542</v>
      </c>
    </row>
    <row r="1190" ht="14.25" customHeight="1">
      <c r="C1190" s="71" t="s">
        <v>9590</v>
      </c>
      <c r="D1190" s="71" t="s">
        <v>9213</v>
      </c>
    </row>
    <row r="1191" ht="14.25" customHeight="1">
      <c r="C1191" s="71" t="s">
        <v>8249</v>
      </c>
      <c r="D1191" s="71" t="s">
        <v>12543</v>
      </c>
    </row>
    <row r="1192" ht="14.25" customHeight="1">
      <c r="C1192" s="71" t="s">
        <v>12544</v>
      </c>
      <c r="D1192" s="71" t="s">
        <v>9026</v>
      </c>
    </row>
    <row r="1193" ht="14.25" customHeight="1">
      <c r="C1193" s="71" t="s">
        <v>186</v>
      </c>
      <c r="D1193" s="71" t="s">
        <v>9055</v>
      </c>
    </row>
    <row r="1194" ht="14.25" customHeight="1">
      <c r="C1194" s="71" t="s">
        <v>196</v>
      </c>
      <c r="D1194" s="71" t="s">
        <v>9055</v>
      </c>
    </row>
    <row r="1195" ht="14.25" customHeight="1">
      <c r="C1195" s="71" t="s">
        <v>6764</v>
      </c>
      <c r="D1195" s="71" t="s">
        <v>9118</v>
      </c>
    </row>
    <row r="1196" ht="14.25" customHeight="1">
      <c r="C1196" s="71" t="s">
        <v>11264</v>
      </c>
      <c r="D1196" s="71" t="s">
        <v>8968</v>
      </c>
    </row>
    <row r="1197" ht="14.25" customHeight="1">
      <c r="C1197" s="71" t="s">
        <v>12545</v>
      </c>
      <c r="D1197" s="71" t="s">
        <v>9718</v>
      </c>
    </row>
    <row r="1198" ht="14.25" customHeight="1">
      <c r="C1198" s="71" t="s">
        <v>8525</v>
      </c>
      <c r="D1198" s="71" t="s">
        <v>11817</v>
      </c>
    </row>
    <row r="1199" ht="14.25" customHeight="1">
      <c r="C1199" s="71" t="s">
        <v>225</v>
      </c>
      <c r="D1199" s="71" t="s">
        <v>9219</v>
      </c>
    </row>
    <row r="1200" ht="14.25" customHeight="1">
      <c r="C1200" s="71" t="s">
        <v>4187</v>
      </c>
      <c r="D1200" s="71" t="s">
        <v>9026</v>
      </c>
    </row>
    <row r="1201" ht="14.25" customHeight="1">
      <c r="C1201" s="71" t="s">
        <v>255</v>
      </c>
      <c r="D1201" s="71" t="s">
        <v>9034</v>
      </c>
    </row>
    <row r="1202" ht="14.25" customHeight="1">
      <c r="A1202" s="71" t="s">
        <v>9998</v>
      </c>
      <c r="B1202" s="71" t="s">
        <v>40</v>
      </c>
      <c r="C1202" s="71" t="s">
        <v>12546</v>
      </c>
      <c r="D1202" s="71" t="s">
        <v>9151</v>
      </c>
    </row>
    <row r="1203" ht="14.25" customHeight="1">
      <c r="C1203" s="71" t="s">
        <v>12547</v>
      </c>
      <c r="D1203" s="71" t="s">
        <v>10001</v>
      </c>
    </row>
    <row r="1204" ht="14.25" customHeight="1">
      <c r="C1204" s="71" t="s">
        <v>10879</v>
      </c>
      <c r="D1204" s="71" t="s">
        <v>9002</v>
      </c>
    </row>
    <row r="1205" ht="14.25" customHeight="1">
      <c r="C1205" s="71" t="s">
        <v>9113</v>
      </c>
      <c r="D1205" s="71" t="s">
        <v>8968</v>
      </c>
    </row>
    <row r="1206" ht="14.25" customHeight="1">
      <c r="D1206" s="71" t="s">
        <v>9026</v>
      </c>
    </row>
    <row r="1207" ht="14.25" customHeight="1">
      <c r="C1207" s="71" t="s">
        <v>9133</v>
      </c>
      <c r="D1207" s="71" t="s">
        <v>9999</v>
      </c>
    </row>
    <row r="1208" ht="14.25" customHeight="1">
      <c r="C1208" s="71" t="s">
        <v>141</v>
      </c>
      <c r="D1208" s="71" t="s">
        <v>10006</v>
      </c>
    </row>
    <row r="1209" ht="14.25" customHeight="1">
      <c r="C1209" s="71" t="s">
        <v>12548</v>
      </c>
      <c r="D1209" s="71" t="s">
        <v>10001</v>
      </c>
    </row>
    <row r="1210" ht="14.25" customHeight="1">
      <c r="C1210" s="71" t="s">
        <v>12549</v>
      </c>
      <c r="D1210" s="71" t="s">
        <v>10001</v>
      </c>
    </row>
    <row r="1211" ht="14.25" customHeight="1">
      <c r="C1211" s="71" t="s">
        <v>3814</v>
      </c>
      <c r="D1211" s="71" t="s">
        <v>12550</v>
      </c>
    </row>
    <row r="1212" ht="14.25" customHeight="1">
      <c r="D1212" s="71" t="s">
        <v>9002</v>
      </c>
    </row>
    <row r="1213" ht="14.25" customHeight="1">
      <c r="C1213" s="71" t="s">
        <v>1722</v>
      </c>
      <c r="D1213" s="71" t="s">
        <v>11231</v>
      </c>
    </row>
    <row r="1214" ht="14.25" customHeight="1">
      <c r="C1214" s="71" t="s">
        <v>9002</v>
      </c>
      <c r="D1214" s="71" t="s">
        <v>9034</v>
      </c>
    </row>
    <row r="1215" ht="14.25" customHeight="1">
      <c r="C1215" s="71" t="s">
        <v>12551</v>
      </c>
      <c r="D1215" s="71" t="s">
        <v>12552</v>
      </c>
    </row>
    <row r="1216" ht="14.25" customHeight="1">
      <c r="C1216" s="71" t="s">
        <v>10640</v>
      </c>
      <c r="D1216" s="71" t="s">
        <v>9151</v>
      </c>
    </row>
    <row r="1217" ht="14.25" customHeight="1">
      <c r="D1217" s="71" t="s">
        <v>12553</v>
      </c>
    </row>
    <row r="1218" ht="14.25" customHeight="1">
      <c r="D1218" s="71" t="s">
        <v>12554</v>
      </c>
    </row>
    <row r="1219" ht="14.25" customHeight="1">
      <c r="D1219" s="71" t="s">
        <v>12555</v>
      </c>
    </row>
    <row r="1220" ht="14.25" customHeight="1">
      <c r="C1220" s="71" t="s">
        <v>7317</v>
      </c>
      <c r="D1220" s="71" t="s">
        <v>9151</v>
      </c>
    </row>
    <row r="1221" ht="14.25" customHeight="1">
      <c r="D1221" s="71" t="s">
        <v>12556</v>
      </c>
    </row>
    <row r="1222" ht="14.25" customHeight="1">
      <c r="C1222" s="71" t="s">
        <v>12557</v>
      </c>
      <c r="D1222" s="71" t="s">
        <v>9151</v>
      </c>
    </row>
    <row r="1223" ht="14.25" customHeight="1">
      <c r="C1223" s="71" t="s">
        <v>12558</v>
      </c>
      <c r="D1223" s="71" t="s">
        <v>12559</v>
      </c>
    </row>
    <row r="1224" ht="14.25" customHeight="1">
      <c r="B1224" s="71" t="s">
        <v>41</v>
      </c>
      <c r="C1224" s="71" t="s">
        <v>10660</v>
      </c>
      <c r="D1224" s="71" t="s">
        <v>12560</v>
      </c>
    </row>
    <row r="1225" ht="14.25" customHeight="1">
      <c r="C1225" s="71" t="s">
        <v>3814</v>
      </c>
      <c r="D1225" s="71" t="s">
        <v>12561</v>
      </c>
    </row>
    <row r="1226" ht="14.25" customHeight="1">
      <c r="C1226" s="71" t="s">
        <v>12562</v>
      </c>
      <c r="D1226" s="71" t="s">
        <v>8968</v>
      </c>
    </row>
    <row r="1227" ht="14.25" customHeight="1">
      <c r="B1227" s="71" t="s">
        <v>13</v>
      </c>
      <c r="C1227" s="71" t="s">
        <v>10660</v>
      </c>
      <c r="D1227" s="71" t="s">
        <v>9034</v>
      </c>
    </row>
    <row r="1228" ht="14.25" customHeight="1">
      <c r="C1228" s="71" t="s">
        <v>11314</v>
      </c>
      <c r="D1228" s="71" t="s">
        <v>9999</v>
      </c>
    </row>
    <row r="1229" ht="14.25" customHeight="1">
      <c r="C1229" s="71" t="s">
        <v>12563</v>
      </c>
      <c r="D1229" s="71" t="s">
        <v>9034</v>
      </c>
    </row>
    <row r="1230" ht="14.25" customHeight="1">
      <c r="A1230" s="71" t="s">
        <v>10016</v>
      </c>
      <c r="B1230" s="71" t="s">
        <v>41</v>
      </c>
      <c r="C1230" s="71" t="s">
        <v>12564</v>
      </c>
      <c r="D1230" s="71" t="s">
        <v>9649</v>
      </c>
    </row>
    <row r="1231" ht="14.25" customHeight="1">
      <c r="C1231" s="71" t="s">
        <v>12565</v>
      </c>
      <c r="D1231" s="71" t="s">
        <v>12566</v>
      </c>
    </row>
    <row r="1232" ht="14.25" customHeight="1">
      <c r="C1232" s="71" t="s">
        <v>12567</v>
      </c>
      <c r="D1232" s="71" t="s">
        <v>12568</v>
      </c>
    </row>
    <row r="1233" ht="14.25" customHeight="1">
      <c r="C1233" s="71" t="s">
        <v>6057</v>
      </c>
      <c r="D1233" s="71" t="s">
        <v>9216</v>
      </c>
    </row>
    <row r="1234" ht="14.25" customHeight="1">
      <c r="C1234" s="71" t="s">
        <v>12569</v>
      </c>
      <c r="D1234" s="71" t="s">
        <v>12570</v>
      </c>
    </row>
    <row r="1235" ht="14.25" customHeight="1">
      <c r="C1235" s="71" t="s">
        <v>9575</v>
      </c>
      <c r="D1235" s="71" t="s">
        <v>12571</v>
      </c>
    </row>
    <row r="1236" ht="14.25" customHeight="1">
      <c r="C1236" s="71" t="s">
        <v>153</v>
      </c>
      <c r="D1236" s="71" t="s">
        <v>12572</v>
      </c>
    </row>
    <row r="1237" ht="14.25" customHeight="1">
      <c r="C1237" s="71" t="s">
        <v>3596</v>
      </c>
      <c r="D1237" s="71" t="s">
        <v>12573</v>
      </c>
    </row>
    <row r="1238" ht="14.25" customHeight="1">
      <c r="D1238" s="71" t="s">
        <v>12574</v>
      </c>
    </row>
    <row r="1239" ht="14.25" customHeight="1">
      <c r="C1239" s="71" t="s">
        <v>10766</v>
      </c>
      <c r="D1239" s="71" t="s">
        <v>12575</v>
      </c>
    </row>
    <row r="1240" ht="14.25" customHeight="1">
      <c r="C1240" s="71" t="s">
        <v>8576</v>
      </c>
      <c r="D1240" s="71" t="s">
        <v>12570</v>
      </c>
    </row>
    <row r="1241" ht="14.25" customHeight="1">
      <c r="C1241" s="71" t="s">
        <v>7074</v>
      </c>
      <c r="D1241" s="71" t="s">
        <v>12576</v>
      </c>
    </row>
    <row r="1242" ht="14.25" customHeight="1">
      <c r="C1242" s="71" t="s">
        <v>255</v>
      </c>
      <c r="D1242" s="71" t="s">
        <v>9034</v>
      </c>
    </row>
    <row r="1243" ht="14.25" customHeight="1">
      <c r="C1243" s="71" t="s">
        <v>274</v>
      </c>
      <c r="D1243" s="71" t="s">
        <v>12577</v>
      </c>
    </row>
    <row r="1244" ht="14.25" customHeight="1">
      <c r="C1244" s="71" t="s">
        <v>285</v>
      </c>
      <c r="D1244" s="71" t="s">
        <v>12578</v>
      </c>
    </row>
    <row r="1245" ht="14.25" customHeight="1">
      <c r="A1245" s="71" t="s">
        <v>10024</v>
      </c>
      <c r="B1245" s="71" t="s">
        <v>40</v>
      </c>
      <c r="C1245" s="71" t="s">
        <v>9034</v>
      </c>
      <c r="D1245" s="71" t="s">
        <v>12579</v>
      </c>
    </row>
    <row r="1246" ht="14.25" customHeight="1">
      <c r="C1246" s="71" t="s">
        <v>12580</v>
      </c>
      <c r="D1246" s="71" t="s">
        <v>12581</v>
      </c>
    </row>
    <row r="1247" ht="14.25" customHeight="1">
      <c r="C1247" s="71" t="s">
        <v>12582</v>
      </c>
      <c r="D1247" s="71" t="s">
        <v>12583</v>
      </c>
    </row>
    <row r="1248" ht="14.25" customHeight="1">
      <c r="C1248" s="71" t="s">
        <v>12584</v>
      </c>
      <c r="D1248" s="71" t="s">
        <v>8968</v>
      </c>
    </row>
    <row r="1249" ht="14.25" customHeight="1">
      <c r="C1249" s="71" t="s">
        <v>12585</v>
      </c>
      <c r="D1249" s="71" t="s">
        <v>10806</v>
      </c>
    </row>
    <row r="1250" ht="14.25" customHeight="1">
      <c r="C1250" s="71" t="s">
        <v>12586</v>
      </c>
      <c r="D1250" s="71" t="s">
        <v>9216</v>
      </c>
    </row>
    <row r="1251" ht="14.25" customHeight="1">
      <c r="C1251" s="71" t="s">
        <v>12587</v>
      </c>
      <c r="D1251" s="71" t="s">
        <v>12588</v>
      </c>
    </row>
    <row r="1252" ht="14.25" customHeight="1">
      <c r="C1252" s="71" t="s">
        <v>12589</v>
      </c>
      <c r="D1252" s="71" t="s">
        <v>9771</v>
      </c>
    </row>
    <row r="1253" ht="14.25" customHeight="1">
      <c r="C1253" s="71" t="s">
        <v>9408</v>
      </c>
      <c r="D1253" s="71" t="s">
        <v>9236</v>
      </c>
    </row>
    <row r="1254" ht="14.25" customHeight="1">
      <c r="C1254" s="71" t="s">
        <v>9090</v>
      </c>
      <c r="D1254" s="71" t="s">
        <v>9034</v>
      </c>
    </row>
    <row r="1255" ht="14.25" customHeight="1">
      <c r="C1255" s="71" t="s">
        <v>12590</v>
      </c>
      <c r="D1255" s="71" t="s">
        <v>12591</v>
      </c>
    </row>
    <row r="1256" ht="14.25" customHeight="1">
      <c r="C1256" s="71" t="s">
        <v>10874</v>
      </c>
      <c r="D1256" s="71" t="s">
        <v>12592</v>
      </c>
    </row>
    <row r="1257" ht="14.25" customHeight="1">
      <c r="C1257" s="71" t="s">
        <v>12593</v>
      </c>
      <c r="D1257" s="71" t="s">
        <v>12594</v>
      </c>
    </row>
    <row r="1258" ht="14.25" customHeight="1">
      <c r="C1258" s="71" t="s">
        <v>274</v>
      </c>
      <c r="D1258" s="71" t="s">
        <v>9319</v>
      </c>
    </row>
  </sheetData>
  <mergeCells count="233">
    <mergeCell ref="C252:C255"/>
    <mergeCell ref="C258:C260"/>
    <mergeCell ref="C266:C268"/>
    <mergeCell ref="C272:C276"/>
    <mergeCell ref="C280:C281"/>
    <mergeCell ref="C283:C284"/>
    <mergeCell ref="C286:C289"/>
    <mergeCell ref="C293:C294"/>
    <mergeCell ref="C302:C303"/>
    <mergeCell ref="C310:C312"/>
    <mergeCell ref="C315:C316"/>
    <mergeCell ref="C354:C355"/>
    <mergeCell ref="C370:C371"/>
    <mergeCell ref="C375:C376"/>
    <mergeCell ref="C378:C379"/>
    <mergeCell ref="C381:C382"/>
    <mergeCell ref="C385:C388"/>
    <mergeCell ref="C392:C395"/>
    <mergeCell ref="C396:C398"/>
    <mergeCell ref="C399:C400"/>
    <mergeCell ref="C401:C402"/>
    <mergeCell ref="C409:C412"/>
    <mergeCell ref="C414:C415"/>
    <mergeCell ref="C416:C419"/>
    <mergeCell ref="C420:C421"/>
    <mergeCell ref="C425:C430"/>
    <mergeCell ref="C439:C441"/>
    <mergeCell ref="C444:C445"/>
    <mergeCell ref="C449:C450"/>
    <mergeCell ref="C452:C453"/>
    <mergeCell ref="C458:C459"/>
    <mergeCell ref="C468:C469"/>
    <mergeCell ref="C473:C475"/>
    <mergeCell ref="C479:C480"/>
    <mergeCell ref="C483:C485"/>
    <mergeCell ref="C486:C487"/>
    <mergeCell ref="C493:C494"/>
    <mergeCell ref="C499:C500"/>
    <mergeCell ref="C503:C504"/>
    <mergeCell ref="C522:C523"/>
    <mergeCell ref="C524:C525"/>
    <mergeCell ref="C529:C530"/>
    <mergeCell ref="C679:C680"/>
    <mergeCell ref="C686:C687"/>
    <mergeCell ref="C688:C689"/>
    <mergeCell ref="C702:C703"/>
    <mergeCell ref="C710:C711"/>
    <mergeCell ref="C712:C714"/>
    <mergeCell ref="C739:C740"/>
    <mergeCell ref="C743:C744"/>
    <mergeCell ref="C746:C747"/>
    <mergeCell ref="C755:C758"/>
    <mergeCell ref="C765:C767"/>
    <mergeCell ref="C770:C771"/>
    <mergeCell ref="C775:C776"/>
    <mergeCell ref="C787:C789"/>
    <mergeCell ref="C792:C793"/>
    <mergeCell ref="C799:C800"/>
    <mergeCell ref="C812:C813"/>
    <mergeCell ref="C815:C816"/>
    <mergeCell ref="C820:C826"/>
    <mergeCell ref="C831:C832"/>
    <mergeCell ref="C835:C836"/>
    <mergeCell ref="C843:C844"/>
    <mergeCell ref="C851:C855"/>
    <mergeCell ref="C856:C857"/>
    <mergeCell ref="C859:C861"/>
    <mergeCell ref="C866:C868"/>
    <mergeCell ref="C876:C877"/>
    <mergeCell ref="C878:C879"/>
    <mergeCell ref="C887:C888"/>
    <mergeCell ref="C892:C896"/>
    <mergeCell ref="C901:C902"/>
    <mergeCell ref="C913:C914"/>
    <mergeCell ref="C923:C924"/>
    <mergeCell ref="C925:C927"/>
    <mergeCell ref="C941:C942"/>
    <mergeCell ref="C948:C949"/>
    <mergeCell ref="C961:C962"/>
    <mergeCell ref="C967:C968"/>
    <mergeCell ref="C976:C977"/>
    <mergeCell ref="C984:C985"/>
    <mergeCell ref="C987:C994"/>
    <mergeCell ref="C1011:C1012"/>
    <mergeCell ref="C1018:C1019"/>
    <mergeCell ref="C1031:C1033"/>
    <mergeCell ref="C1034:C1035"/>
    <mergeCell ref="C1038:C1040"/>
    <mergeCell ref="C1041:C1042"/>
    <mergeCell ref="C1046:C1052"/>
    <mergeCell ref="C1053:C1055"/>
    <mergeCell ref="C1065:C1066"/>
    <mergeCell ref="C1074:C1076"/>
    <mergeCell ref="C1084:C1085"/>
    <mergeCell ref="C1101:C1102"/>
    <mergeCell ref="C1125:C1126"/>
    <mergeCell ref="C1142:C1143"/>
    <mergeCell ref="C1154:C1155"/>
    <mergeCell ref="C173:C174"/>
    <mergeCell ref="C175:C176"/>
    <mergeCell ref="C132:C133"/>
    <mergeCell ref="C143:C144"/>
    <mergeCell ref="C147:C151"/>
    <mergeCell ref="C152:C153"/>
    <mergeCell ref="C158:C160"/>
    <mergeCell ref="C162:C163"/>
    <mergeCell ref="C168:C169"/>
    <mergeCell ref="C31:C32"/>
    <mergeCell ref="C38:C41"/>
    <mergeCell ref="B2:B48"/>
    <mergeCell ref="B49:B64"/>
    <mergeCell ref="C56:C59"/>
    <mergeCell ref="B65:B69"/>
    <mergeCell ref="C66:C67"/>
    <mergeCell ref="C70:C72"/>
    <mergeCell ref="A2:A69"/>
    <mergeCell ref="C3:C4"/>
    <mergeCell ref="C6:C7"/>
    <mergeCell ref="C15:C16"/>
    <mergeCell ref="C19:C27"/>
    <mergeCell ref="C28:C29"/>
    <mergeCell ref="C44:C48"/>
    <mergeCell ref="C184:C185"/>
    <mergeCell ref="C189:C190"/>
    <mergeCell ref="C192:C193"/>
    <mergeCell ref="C194:C199"/>
    <mergeCell ref="C50:C51"/>
    <mergeCell ref="C54:C55"/>
    <mergeCell ref="C89:C90"/>
    <mergeCell ref="C92:C93"/>
    <mergeCell ref="C98:C99"/>
    <mergeCell ref="C101:C102"/>
    <mergeCell ref="C108:C110"/>
    <mergeCell ref="B205:B210"/>
    <mergeCell ref="B211:B215"/>
    <mergeCell ref="C216:C218"/>
    <mergeCell ref="C223:C226"/>
    <mergeCell ref="C239:C240"/>
    <mergeCell ref="C243:C244"/>
    <mergeCell ref="C250:C251"/>
    <mergeCell ref="C543:C547"/>
    <mergeCell ref="C549:C550"/>
    <mergeCell ref="C567:C568"/>
    <mergeCell ref="C570:C572"/>
    <mergeCell ref="C584:C586"/>
    <mergeCell ref="C589:C590"/>
    <mergeCell ref="C592:C593"/>
    <mergeCell ref="C594:C606"/>
    <mergeCell ref="C613:C614"/>
    <mergeCell ref="C617:C618"/>
    <mergeCell ref="C621:C622"/>
    <mergeCell ref="C645:C646"/>
    <mergeCell ref="C650:C651"/>
    <mergeCell ref="C660:C663"/>
    <mergeCell ref="A538:A638"/>
    <mergeCell ref="A639:A665"/>
    <mergeCell ref="A666:A668"/>
    <mergeCell ref="A669:A671"/>
    <mergeCell ref="A672:A674"/>
    <mergeCell ref="A675:A684"/>
    <mergeCell ref="A685:A789"/>
    <mergeCell ref="A1182:A1201"/>
    <mergeCell ref="A1202:A1229"/>
    <mergeCell ref="A1230:A1244"/>
    <mergeCell ref="A1245:A1258"/>
    <mergeCell ref="A790:A899"/>
    <mergeCell ref="A900:A911"/>
    <mergeCell ref="A912:A940"/>
    <mergeCell ref="A941:A962"/>
    <mergeCell ref="A963:A1137"/>
    <mergeCell ref="A1138:A1161"/>
    <mergeCell ref="A1162:A1181"/>
    <mergeCell ref="B1182:B1201"/>
    <mergeCell ref="B1202:B1223"/>
    <mergeCell ref="B1224:B1226"/>
    <mergeCell ref="B1227:B1229"/>
    <mergeCell ref="B1230:B1244"/>
    <mergeCell ref="B1245:B1258"/>
    <mergeCell ref="B956:B962"/>
    <mergeCell ref="B963:B1108"/>
    <mergeCell ref="B1109:B1130"/>
    <mergeCell ref="B1131:B1137"/>
    <mergeCell ref="B1138:B1161"/>
    <mergeCell ref="B1162:B1179"/>
    <mergeCell ref="B1180:B1181"/>
    <mergeCell ref="B120:B122"/>
    <mergeCell ref="B123:B204"/>
    <mergeCell ref="A70:A88"/>
    <mergeCell ref="B70:B88"/>
    <mergeCell ref="A89:A119"/>
    <mergeCell ref="B89:B117"/>
    <mergeCell ref="B118:B119"/>
    <mergeCell ref="A120:A122"/>
    <mergeCell ref="A123:A215"/>
    <mergeCell ref="B363:B391"/>
    <mergeCell ref="B392:B422"/>
    <mergeCell ref="A216:A336"/>
    <mergeCell ref="B216:B291"/>
    <mergeCell ref="B292:B331"/>
    <mergeCell ref="B332:B336"/>
    <mergeCell ref="A337:A362"/>
    <mergeCell ref="B337:B362"/>
    <mergeCell ref="A363:A422"/>
    <mergeCell ref="A423:A534"/>
    <mergeCell ref="B423:B530"/>
    <mergeCell ref="B531:B532"/>
    <mergeCell ref="B533:B534"/>
    <mergeCell ref="A535:A537"/>
    <mergeCell ref="B535:B537"/>
    <mergeCell ref="B636:B638"/>
    <mergeCell ref="B538:B612"/>
    <mergeCell ref="B613:B635"/>
    <mergeCell ref="B639:B665"/>
    <mergeCell ref="B666:B668"/>
    <mergeCell ref="B669:B671"/>
    <mergeCell ref="B672:B674"/>
    <mergeCell ref="B675:B684"/>
    <mergeCell ref="B685:B789"/>
    <mergeCell ref="B790:B865"/>
    <mergeCell ref="B866:B899"/>
    <mergeCell ref="B900:B909"/>
    <mergeCell ref="B910:B911"/>
    <mergeCell ref="B912:B940"/>
    <mergeCell ref="B941:B954"/>
    <mergeCell ref="C1220:C1221"/>
    <mergeCell ref="C1237:C1238"/>
    <mergeCell ref="C1162:C1164"/>
    <mergeCell ref="C1169:C1174"/>
    <mergeCell ref="C1176:C1177"/>
    <mergeCell ref="C1183:C1184"/>
    <mergeCell ref="C1205:C1206"/>
    <mergeCell ref="C1211:C1212"/>
    <mergeCell ref="C1216:C1219"/>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2D0"/>
    <pageSetUpPr/>
  </sheetPr>
  <sheetViews>
    <sheetView workbookViewId="0"/>
  </sheetViews>
  <sheetFormatPr customHeight="1" defaultColWidth="12.63" defaultRowHeight="15.0"/>
  <cols>
    <col customWidth="1" min="1" max="1" width="33.88"/>
    <col customWidth="1" min="2" max="2" width="14.88"/>
    <col customWidth="1" min="3" max="3" width="46.25"/>
    <col customWidth="1" min="4" max="4" width="55.5"/>
    <col customWidth="1" min="5" max="26" width="8.63"/>
  </cols>
  <sheetData>
    <row r="1" ht="14.25" customHeight="1">
      <c r="A1" s="70" t="s">
        <v>8962</v>
      </c>
      <c r="B1" s="70" t="s">
        <v>8963</v>
      </c>
      <c r="C1" s="70" t="s">
        <v>8964</v>
      </c>
      <c r="D1" s="70" t="s">
        <v>8965</v>
      </c>
    </row>
    <row r="2" ht="14.25" customHeight="1">
      <c r="A2" s="71" t="s">
        <v>8966</v>
      </c>
      <c r="B2" s="71" t="s">
        <v>40</v>
      </c>
      <c r="C2" s="71" t="s">
        <v>12595</v>
      </c>
      <c r="D2" s="71" t="s">
        <v>12596</v>
      </c>
    </row>
    <row r="3" ht="14.25" customHeight="1">
      <c r="C3" s="71" t="s">
        <v>58</v>
      </c>
      <c r="D3" s="71" t="s">
        <v>12597</v>
      </c>
    </row>
    <row r="4" ht="14.25" customHeight="1">
      <c r="D4" s="71" t="s">
        <v>8976</v>
      </c>
    </row>
    <row r="5" ht="14.25" customHeight="1">
      <c r="C5" s="71" t="s">
        <v>12598</v>
      </c>
      <c r="D5" s="71" t="s">
        <v>11382</v>
      </c>
    </row>
    <row r="6" ht="14.25" customHeight="1">
      <c r="C6" s="71" t="s">
        <v>12599</v>
      </c>
      <c r="D6" s="71" t="s">
        <v>8992</v>
      </c>
    </row>
    <row r="7" ht="14.25" customHeight="1">
      <c r="C7" s="71" t="s">
        <v>10735</v>
      </c>
      <c r="D7" s="71" t="s">
        <v>8976</v>
      </c>
    </row>
    <row r="8" ht="14.25" customHeight="1">
      <c r="C8" s="71" t="s">
        <v>9810</v>
      </c>
      <c r="D8" s="71" t="s">
        <v>8973</v>
      </c>
    </row>
    <row r="9" ht="14.25" customHeight="1">
      <c r="D9" s="71" t="s">
        <v>8978</v>
      </c>
    </row>
    <row r="10" ht="14.25" customHeight="1">
      <c r="C10" s="71" t="s">
        <v>9015</v>
      </c>
      <c r="D10" s="71" t="s">
        <v>8973</v>
      </c>
    </row>
    <row r="11" ht="14.25" customHeight="1">
      <c r="D11" s="71" t="s">
        <v>12600</v>
      </c>
    </row>
    <row r="12" ht="14.25" customHeight="1">
      <c r="C12" s="71" t="s">
        <v>8975</v>
      </c>
      <c r="D12" s="71" t="s">
        <v>12601</v>
      </c>
    </row>
    <row r="13" ht="14.25" customHeight="1">
      <c r="C13" s="71" t="s">
        <v>1889</v>
      </c>
      <c r="D13" s="71" t="s">
        <v>12602</v>
      </c>
    </row>
    <row r="14" ht="14.25" customHeight="1">
      <c r="D14" s="71" t="s">
        <v>12600</v>
      </c>
    </row>
    <row r="15" ht="14.25" customHeight="1">
      <c r="D15" s="71" t="s">
        <v>12578</v>
      </c>
    </row>
    <row r="16" ht="14.25" customHeight="1">
      <c r="C16" s="71" t="s">
        <v>12603</v>
      </c>
      <c r="D16" s="71" t="s">
        <v>12604</v>
      </c>
    </row>
    <row r="17" ht="14.25" customHeight="1">
      <c r="C17" s="71" t="s">
        <v>12605</v>
      </c>
      <c r="D17" s="71" t="s">
        <v>12606</v>
      </c>
    </row>
    <row r="18" ht="14.25" customHeight="1">
      <c r="C18" s="71" t="s">
        <v>12607</v>
      </c>
      <c r="D18" s="71" t="s">
        <v>9118</v>
      </c>
    </row>
    <row r="19" ht="14.25" customHeight="1">
      <c r="C19" s="71" t="s">
        <v>3411</v>
      </c>
      <c r="D19" s="71" t="s">
        <v>12608</v>
      </c>
    </row>
    <row r="20" ht="14.25" customHeight="1">
      <c r="C20" s="71" t="s">
        <v>12609</v>
      </c>
      <c r="D20" s="71" t="s">
        <v>12610</v>
      </c>
    </row>
    <row r="21" ht="14.25" customHeight="1">
      <c r="C21" s="71" t="s">
        <v>9382</v>
      </c>
      <c r="D21" s="71" t="s">
        <v>8976</v>
      </c>
    </row>
    <row r="22" ht="14.25" customHeight="1">
      <c r="C22" s="71" t="s">
        <v>9385</v>
      </c>
      <c r="D22" s="71" t="s">
        <v>8976</v>
      </c>
    </row>
    <row r="23" ht="14.25" customHeight="1">
      <c r="D23" s="71" t="s">
        <v>11367</v>
      </c>
    </row>
    <row r="24" ht="14.25" customHeight="1">
      <c r="C24" s="71" t="s">
        <v>12611</v>
      </c>
      <c r="D24" s="71" t="s">
        <v>8994</v>
      </c>
    </row>
    <row r="25" ht="14.25" customHeight="1">
      <c r="C25" s="71" t="s">
        <v>3566</v>
      </c>
      <c r="D25" s="71" t="s">
        <v>8989</v>
      </c>
    </row>
    <row r="26" ht="14.25" customHeight="1">
      <c r="D26" s="71" t="s">
        <v>9885</v>
      </c>
    </row>
    <row r="27" ht="14.25" customHeight="1">
      <c r="D27" s="71" t="s">
        <v>8973</v>
      </c>
    </row>
    <row r="28" ht="14.25" customHeight="1">
      <c r="D28" s="71" t="s">
        <v>12612</v>
      </c>
    </row>
    <row r="29" ht="14.25" customHeight="1">
      <c r="D29" s="71" t="s">
        <v>12613</v>
      </c>
    </row>
    <row r="30" ht="14.25" customHeight="1">
      <c r="D30" s="71" t="s">
        <v>12614</v>
      </c>
    </row>
    <row r="31" ht="14.25" customHeight="1">
      <c r="D31" s="71" t="s">
        <v>9583</v>
      </c>
    </row>
    <row r="32" ht="14.25" customHeight="1">
      <c r="D32" s="71" t="s">
        <v>12615</v>
      </c>
    </row>
    <row r="33" ht="14.25" customHeight="1">
      <c r="D33" s="71" t="s">
        <v>12616</v>
      </c>
    </row>
    <row r="34" ht="14.25" customHeight="1">
      <c r="D34" s="71" t="s">
        <v>12617</v>
      </c>
    </row>
    <row r="35" ht="14.25" customHeight="1">
      <c r="C35" s="71" t="s">
        <v>9804</v>
      </c>
      <c r="D35" s="71" t="s">
        <v>12618</v>
      </c>
    </row>
    <row r="36" ht="14.25" customHeight="1">
      <c r="C36" s="71" t="s">
        <v>9277</v>
      </c>
      <c r="D36" s="71" t="s">
        <v>8978</v>
      </c>
    </row>
    <row r="37" ht="14.25" customHeight="1">
      <c r="C37" s="71" t="s">
        <v>12619</v>
      </c>
      <c r="D37" s="71" t="s">
        <v>8976</v>
      </c>
    </row>
    <row r="38" ht="14.25" customHeight="1">
      <c r="C38" s="71" t="s">
        <v>12620</v>
      </c>
      <c r="D38" s="71" t="s">
        <v>9018</v>
      </c>
    </row>
    <row r="39" ht="14.25" customHeight="1">
      <c r="C39" s="71" t="s">
        <v>12621</v>
      </c>
      <c r="D39" s="71" t="s">
        <v>12622</v>
      </c>
    </row>
    <row r="40" ht="14.25" customHeight="1">
      <c r="C40" s="71" t="s">
        <v>10905</v>
      </c>
      <c r="D40" s="71" t="s">
        <v>9109</v>
      </c>
    </row>
    <row r="41" ht="14.25" customHeight="1">
      <c r="D41" s="71" t="s">
        <v>9369</v>
      </c>
    </row>
    <row r="42" ht="14.25" customHeight="1">
      <c r="D42" s="71" t="s">
        <v>8968</v>
      </c>
    </row>
    <row r="43" ht="14.25" customHeight="1">
      <c r="D43" s="71" t="s">
        <v>12623</v>
      </c>
    </row>
    <row r="44" ht="14.25" customHeight="1">
      <c r="D44" s="71" t="s">
        <v>8976</v>
      </c>
    </row>
    <row r="45" ht="14.25" customHeight="1">
      <c r="C45" s="71" t="s">
        <v>9896</v>
      </c>
      <c r="D45" s="71" t="s">
        <v>12624</v>
      </c>
    </row>
    <row r="46" ht="14.25" customHeight="1">
      <c r="C46" s="71" t="s">
        <v>8997</v>
      </c>
      <c r="D46" s="71" t="s">
        <v>10486</v>
      </c>
    </row>
    <row r="47" ht="14.25" customHeight="1">
      <c r="D47" s="71" t="s">
        <v>8976</v>
      </c>
    </row>
    <row r="48" ht="14.25" customHeight="1">
      <c r="C48" s="71" t="s">
        <v>12625</v>
      </c>
      <c r="D48" s="71" t="s">
        <v>8976</v>
      </c>
    </row>
    <row r="49" ht="14.25" customHeight="1">
      <c r="C49" s="71" t="s">
        <v>12626</v>
      </c>
      <c r="D49" s="71" t="s">
        <v>12627</v>
      </c>
    </row>
    <row r="50" ht="14.25" customHeight="1">
      <c r="C50" s="71" t="s">
        <v>9215</v>
      </c>
      <c r="D50" s="71" t="s">
        <v>12628</v>
      </c>
    </row>
    <row r="51" ht="14.25" customHeight="1">
      <c r="D51" s="71" t="s">
        <v>9028</v>
      </c>
    </row>
    <row r="52" ht="14.25" customHeight="1">
      <c r="C52" s="71" t="s">
        <v>9005</v>
      </c>
      <c r="D52" s="71" t="s">
        <v>9034</v>
      </c>
    </row>
    <row r="53" ht="14.25" customHeight="1">
      <c r="D53" s="71" t="s">
        <v>9006</v>
      </c>
    </row>
    <row r="54" ht="14.25" customHeight="1">
      <c r="D54" s="71" t="s">
        <v>9004</v>
      </c>
    </row>
    <row r="55" ht="14.25" customHeight="1">
      <c r="D55" s="71" t="s">
        <v>12629</v>
      </c>
    </row>
    <row r="56" ht="14.25" customHeight="1">
      <c r="C56" s="71" t="s">
        <v>9007</v>
      </c>
      <c r="D56" s="71" t="s">
        <v>9006</v>
      </c>
    </row>
    <row r="57" ht="14.25" customHeight="1">
      <c r="B57" s="71" t="s">
        <v>41</v>
      </c>
      <c r="C57" s="71" t="s">
        <v>12599</v>
      </c>
      <c r="D57" s="71" t="s">
        <v>12630</v>
      </c>
    </row>
    <row r="58" ht="14.25" customHeight="1">
      <c r="C58" s="71" t="s">
        <v>12501</v>
      </c>
      <c r="D58" s="71" t="s">
        <v>12631</v>
      </c>
    </row>
    <row r="59" ht="14.25" customHeight="1">
      <c r="C59" s="71" t="s">
        <v>12632</v>
      </c>
      <c r="D59" s="71" t="s">
        <v>12633</v>
      </c>
    </row>
    <row r="60" ht="14.25" customHeight="1">
      <c r="C60" s="71" t="s">
        <v>12634</v>
      </c>
      <c r="D60" s="71" t="s">
        <v>12635</v>
      </c>
    </row>
    <row r="61" ht="14.25" customHeight="1">
      <c r="C61" s="71" t="s">
        <v>9804</v>
      </c>
      <c r="D61" s="71" t="s">
        <v>9249</v>
      </c>
    </row>
    <row r="62" ht="14.25" customHeight="1">
      <c r="C62" s="71" t="s">
        <v>12619</v>
      </c>
      <c r="D62" s="71" t="s">
        <v>10602</v>
      </c>
    </row>
    <row r="63" ht="14.25" customHeight="1">
      <c r="C63" s="71" t="s">
        <v>10905</v>
      </c>
      <c r="D63" s="71" t="s">
        <v>8973</v>
      </c>
    </row>
    <row r="64" ht="14.25" customHeight="1">
      <c r="C64" s="71" t="s">
        <v>213</v>
      </c>
      <c r="D64" s="71" t="s">
        <v>12636</v>
      </c>
    </row>
    <row r="65" ht="14.25" customHeight="1">
      <c r="C65" s="71" t="s">
        <v>8997</v>
      </c>
      <c r="D65" s="71" t="s">
        <v>12637</v>
      </c>
    </row>
    <row r="66" ht="14.25" customHeight="1">
      <c r="C66" s="71" t="s">
        <v>233</v>
      </c>
      <c r="D66" s="71" t="s">
        <v>10080</v>
      </c>
    </row>
    <row r="67" ht="14.25" customHeight="1">
      <c r="C67" s="71" t="s">
        <v>244</v>
      </c>
      <c r="D67" s="71" t="s">
        <v>8968</v>
      </c>
    </row>
    <row r="68" ht="14.25" customHeight="1">
      <c r="C68" s="71" t="s">
        <v>12638</v>
      </c>
      <c r="D68" s="71" t="s">
        <v>12639</v>
      </c>
    </row>
    <row r="69" ht="14.25" customHeight="1">
      <c r="C69" s="71" t="s">
        <v>10597</v>
      </c>
      <c r="D69" s="71" t="s">
        <v>9335</v>
      </c>
    </row>
    <row r="70" ht="14.25" customHeight="1">
      <c r="B70" s="71" t="s">
        <v>13</v>
      </c>
      <c r="C70" s="71" t="s">
        <v>3566</v>
      </c>
      <c r="D70" s="71" t="s">
        <v>8989</v>
      </c>
    </row>
    <row r="71" ht="14.25" customHeight="1">
      <c r="C71" s="71" t="s">
        <v>12640</v>
      </c>
      <c r="D71" s="71" t="s">
        <v>9174</v>
      </c>
    </row>
    <row r="72" ht="14.25" customHeight="1">
      <c r="C72" s="71" t="s">
        <v>9090</v>
      </c>
      <c r="D72" s="71" t="s">
        <v>9176</v>
      </c>
    </row>
    <row r="73" ht="14.25" customHeight="1">
      <c r="C73" s="71" t="s">
        <v>12641</v>
      </c>
      <c r="D73" s="71" t="s">
        <v>9174</v>
      </c>
    </row>
    <row r="74" ht="14.25" customHeight="1">
      <c r="A74" s="71" t="s">
        <v>9022</v>
      </c>
      <c r="B74" s="71" t="s">
        <v>40</v>
      </c>
      <c r="C74" s="71" t="s">
        <v>12642</v>
      </c>
      <c r="D74" s="71" t="s">
        <v>9216</v>
      </c>
    </row>
    <row r="75" ht="14.25" customHeight="1">
      <c r="C75" s="71" t="s">
        <v>12643</v>
      </c>
      <c r="D75" s="71" t="s">
        <v>8994</v>
      </c>
    </row>
    <row r="76" ht="14.25" customHeight="1">
      <c r="C76" s="71" t="s">
        <v>12644</v>
      </c>
      <c r="D76" s="71" t="s">
        <v>9216</v>
      </c>
    </row>
    <row r="77" ht="14.25" customHeight="1">
      <c r="C77" s="71" t="s">
        <v>12645</v>
      </c>
      <c r="D77" s="71" t="s">
        <v>12646</v>
      </c>
    </row>
    <row r="78" ht="14.25" customHeight="1">
      <c r="C78" s="71" t="s">
        <v>12647</v>
      </c>
      <c r="D78" s="71" t="s">
        <v>9151</v>
      </c>
    </row>
    <row r="79" ht="14.25" customHeight="1">
      <c r="C79" s="71" t="s">
        <v>9047</v>
      </c>
      <c r="D79" s="71" t="s">
        <v>9028</v>
      </c>
    </row>
    <row r="80" ht="14.25" customHeight="1">
      <c r="C80" s="71" t="s">
        <v>12648</v>
      </c>
      <c r="D80" s="71" t="s">
        <v>9151</v>
      </c>
    </row>
    <row r="81" ht="14.25" customHeight="1">
      <c r="C81" s="71" t="s">
        <v>286</v>
      </c>
      <c r="D81" s="71" t="s">
        <v>12649</v>
      </c>
    </row>
    <row r="82" ht="14.25" customHeight="1">
      <c r="D82" s="71" t="s">
        <v>9028</v>
      </c>
    </row>
    <row r="83" ht="14.25" customHeight="1">
      <c r="D83" s="71" t="s">
        <v>12650</v>
      </c>
    </row>
    <row r="84" ht="14.25" customHeight="1">
      <c r="A84" s="71" t="s">
        <v>9058</v>
      </c>
      <c r="B84" s="71" t="s">
        <v>40</v>
      </c>
      <c r="C84" s="71" t="s">
        <v>12651</v>
      </c>
      <c r="D84" s="71" t="s">
        <v>10627</v>
      </c>
    </row>
    <row r="85" ht="14.25" customHeight="1">
      <c r="C85" s="71" t="s">
        <v>11390</v>
      </c>
      <c r="D85" s="71" t="s">
        <v>12652</v>
      </c>
    </row>
    <row r="86" ht="14.25" customHeight="1">
      <c r="C86" s="71" t="s">
        <v>2342</v>
      </c>
      <c r="D86" s="71" t="s">
        <v>9071</v>
      </c>
    </row>
    <row r="87" ht="14.25" customHeight="1">
      <c r="C87" s="71" t="s">
        <v>12653</v>
      </c>
      <c r="D87" s="71" t="s">
        <v>9265</v>
      </c>
    </row>
    <row r="88" ht="14.25" customHeight="1">
      <c r="C88" s="71" t="s">
        <v>12654</v>
      </c>
      <c r="D88" s="71" t="s">
        <v>12655</v>
      </c>
    </row>
    <row r="89" ht="14.25" customHeight="1">
      <c r="C89" s="71" t="s">
        <v>12656</v>
      </c>
      <c r="D89" s="71" t="s">
        <v>9086</v>
      </c>
    </row>
    <row r="90" ht="14.25" customHeight="1">
      <c r="C90" s="71" t="s">
        <v>12657</v>
      </c>
      <c r="D90" s="71" t="s">
        <v>9875</v>
      </c>
    </row>
    <row r="91" ht="14.25" customHeight="1">
      <c r="C91" s="71" t="s">
        <v>9059</v>
      </c>
      <c r="D91" s="71" t="s">
        <v>9067</v>
      </c>
    </row>
    <row r="92" ht="14.25" customHeight="1">
      <c r="C92" s="71" t="s">
        <v>12658</v>
      </c>
      <c r="D92" s="71" t="s">
        <v>9071</v>
      </c>
    </row>
    <row r="93" ht="14.25" customHeight="1">
      <c r="C93" s="71" t="s">
        <v>9826</v>
      </c>
      <c r="D93" s="71" t="s">
        <v>12659</v>
      </c>
    </row>
    <row r="94" ht="14.25" customHeight="1">
      <c r="C94" s="71" t="s">
        <v>12660</v>
      </c>
      <c r="D94" s="71" t="s">
        <v>9181</v>
      </c>
    </row>
    <row r="95" ht="14.25" customHeight="1">
      <c r="D95" s="71" t="s">
        <v>9073</v>
      </c>
    </row>
    <row r="96" ht="14.25" customHeight="1">
      <c r="D96" s="71" t="s">
        <v>12661</v>
      </c>
    </row>
    <row r="97" ht="14.25" customHeight="1">
      <c r="C97" s="71" t="s">
        <v>12662</v>
      </c>
      <c r="D97" s="71" t="s">
        <v>9109</v>
      </c>
    </row>
    <row r="98" ht="14.25" customHeight="1">
      <c r="C98" s="71" t="s">
        <v>12104</v>
      </c>
      <c r="D98" s="71" t="s">
        <v>10712</v>
      </c>
    </row>
    <row r="99" ht="14.25" customHeight="1">
      <c r="C99" s="71" t="s">
        <v>12663</v>
      </c>
      <c r="D99" s="71" t="s">
        <v>9096</v>
      </c>
    </row>
    <row r="100" ht="14.25" customHeight="1">
      <c r="C100" s="71" t="s">
        <v>11480</v>
      </c>
      <c r="D100" s="71" t="s">
        <v>9532</v>
      </c>
    </row>
    <row r="101" ht="14.25" customHeight="1">
      <c r="C101" s="71" t="s">
        <v>8981</v>
      </c>
      <c r="D101" s="71" t="s">
        <v>9216</v>
      </c>
    </row>
    <row r="102" ht="14.25" customHeight="1">
      <c r="D102" s="71" t="s">
        <v>8982</v>
      </c>
    </row>
    <row r="103" ht="14.25" customHeight="1">
      <c r="C103" s="71" t="s">
        <v>9063</v>
      </c>
      <c r="D103" s="71" t="s">
        <v>12475</v>
      </c>
    </row>
    <row r="104" ht="14.25" customHeight="1">
      <c r="C104" s="71" t="s">
        <v>12664</v>
      </c>
      <c r="D104" s="71" t="s">
        <v>11596</v>
      </c>
    </row>
    <row r="105" ht="14.25" customHeight="1">
      <c r="C105" s="71" t="s">
        <v>12665</v>
      </c>
      <c r="D105" s="71" t="s">
        <v>11399</v>
      </c>
    </row>
    <row r="106" ht="14.25" customHeight="1">
      <c r="C106" s="71" t="s">
        <v>12666</v>
      </c>
      <c r="D106" s="71" t="s">
        <v>12667</v>
      </c>
    </row>
    <row r="107" ht="14.25" customHeight="1">
      <c r="C107" s="71" t="s">
        <v>12668</v>
      </c>
      <c r="D107" s="71" t="s">
        <v>9573</v>
      </c>
    </row>
    <row r="108" ht="14.25" customHeight="1">
      <c r="C108" s="71" t="s">
        <v>12669</v>
      </c>
      <c r="D108" s="71" t="s">
        <v>10622</v>
      </c>
    </row>
    <row r="109" ht="14.25" customHeight="1">
      <c r="C109" s="71" t="s">
        <v>12670</v>
      </c>
      <c r="D109" s="71" t="s">
        <v>12671</v>
      </c>
    </row>
    <row r="110" ht="14.25" customHeight="1">
      <c r="C110" s="71" t="s">
        <v>12672</v>
      </c>
      <c r="D110" s="71" t="s">
        <v>12673</v>
      </c>
    </row>
    <row r="111" ht="14.25" customHeight="1">
      <c r="C111" s="71" t="s">
        <v>9160</v>
      </c>
      <c r="D111" s="71" t="s">
        <v>9292</v>
      </c>
    </row>
    <row r="112" ht="14.25" customHeight="1">
      <c r="C112" s="71" t="s">
        <v>12674</v>
      </c>
      <c r="D112" s="71" t="s">
        <v>12675</v>
      </c>
    </row>
    <row r="113" ht="14.25" customHeight="1">
      <c r="C113" s="71" t="s">
        <v>12676</v>
      </c>
      <c r="D113" s="71" t="s">
        <v>11469</v>
      </c>
    </row>
    <row r="114" ht="14.25" customHeight="1">
      <c r="B114" s="71" t="s">
        <v>41</v>
      </c>
      <c r="C114" s="71" t="s">
        <v>9826</v>
      </c>
      <c r="D114" s="71" t="s">
        <v>12677</v>
      </c>
    </row>
    <row r="115" ht="14.25" customHeight="1">
      <c r="C115" s="71" t="s">
        <v>12678</v>
      </c>
      <c r="D115" s="71" t="s">
        <v>9086</v>
      </c>
    </row>
    <row r="116" ht="14.25" customHeight="1">
      <c r="C116" s="71" t="s">
        <v>12679</v>
      </c>
      <c r="D116" s="71" t="s">
        <v>12680</v>
      </c>
    </row>
    <row r="117" ht="14.25" customHeight="1">
      <c r="B117" s="71" t="s">
        <v>13</v>
      </c>
      <c r="C117" s="71" t="s">
        <v>12681</v>
      </c>
      <c r="D117" s="71" t="s">
        <v>9176</v>
      </c>
    </row>
    <row r="118" ht="14.25" customHeight="1">
      <c r="C118" s="71" t="s">
        <v>12682</v>
      </c>
      <c r="D118" s="71" t="s">
        <v>9380</v>
      </c>
    </row>
    <row r="119" ht="14.25" customHeight="1">
      <c r="C119" s="71" t="s">
        <v>12662</v>
      </c>
      <c r="D119" s="71" t="s">
        <v>12683</v>
      </c>
    </row>
    <row r="120" ht="14.25" customHeight="1">
      <c r="C120" s="71" t="s">
        <v>11170</v>
      </c>
      <c r="D120" s="71" t="s">
        <v>10794</v>
      </c>
    </row>
    <row r="121" ht="14.25" customHeight="1">
      <c r="C121" s="71" t="s">
        <v>8359</v>
      </c>
      <c r="D121" s="71" t="s">
        <v>12684</v>
      </c>
    </row>
    <row r="122" ht="14.25" customHeight="1">
      <c r="C122" s="71" t="s">
        <v>9090</v>
      </c>
      <c r="D122" s="71" t="s">
        <v>12685</v>
      </c>
    </row>
    <row r="123" ht="14.25" customHeight="1">
      <c r="A123" s="71" t="s">
        <v>9094</v>
      </c>
      <c r="B123" s="71" t="s">
        <v>41</v>
      </c>
      <c r="C123" s="71" t="s">
        <v>12686</v>
      </c>
      <c r="D123" s="71" t="s">
        <v>12687</v>
      </c>
    </row>
    <row r="124" ht="14.25" customHeight="1">
      <c r="C124" s="71" t="s">
        <v>12688</v>
      </c>
      <c r="D124" s="71" t="s">
        <v>12689</v>
      </c>
    </row>
    <row r="125" ht="14.25" customHeight="1">
      <c r="C125" s="71" t="s">
        <v>12690</v>
      </c>
      <c r="D125" s="71" t="s">
        <v>9579</v>
      </c>
    </row>
    <row r="126" ht="14.25" customHeight="1">
      <c r="C126" s="71" t="s">
        <v>12691</v>
      </c>
      <c r="D126" s="71" t="s">
        <v>9034</v>
      </c>
    </row>
    <row r="127" ht="14.25" customHeight="1">
      <c r="A127" s="71" t="s">
        <v>9097</v>
      </c>
      <c r="B127" s="71" t="s">
        <v>40</v>
      </c>
      <c r="C127" s="71" t="s">
        <v>9034</v>
      </c>
      <c r="D127" s="71" t="s">
        <v>9925</v>
      </c>
    </row>
    <row r="128" ht="14.25" customHeight="1">
      <c r="C128" s="71" t="s">
        <v>10083</v>
      </c>
      <c r="D128" s="71" t="s">
        <v>9055</v>
      </c>
    </row>
    <row r="129" ht="14.25" customHeight="1">
      <c r="C129" s="71" t="s">
        <v>12692</v>
      </c>
      <c r="D129" s="71" t="s">
        <v>9213</v>
      </c>
    </row>
    <row r="130" ht="14.25" customHeight="1">
      <c r="C130" s="71" t="s">
        <v>9340</v>
      </c>
      <c r="D130" s="71" t="s">
        <v>9578</v>
      </c>
    </row>
    <row r="131" ht="14.25" customHeight="1">
      <c r="C131" s="71" t="s">
        <v>9100</v>
      </c>
      <c r="D131" s="71" t="s">
        <v>12693</v>
      </c>
    </row>
    <row r="132" ht="14.25" customHeight="1">
      <c r="D132" s="71" t="s">
        <v>9075</v>
      </c>
    </row>
    <row r="133" ht="14.25" customHeight="1">
      <c r="C133" s="71" t="s">
        <v>12694</v>
      </c>
      <c r="D133" s="71" t="s">
        <v>12695</v>
      </c>
    </row>
    <row r="134" ht="14.25" customHeight="1">
      <c r="C134" s="71" t="s">
        <v>12696</v>
      </c>
      <c r="D134" s="71" t="s">
        <v>9002</v>
      </c>
    </row>
    <row r="135" ht="14.25" customHeight="1">
      <c r="C135" s="71" t="s">
        <v>9599</v>
      </c>
      <c r="D135" s="71" t="s">
        <v>12697</v>
      </c>
    </row>
    <row r="136" ht="14.25" customHeight="1">
      <c r="C136" s="71" t="s">
        <v>9172</v>
      </c>
      <c r="D136" s="71" t="s">
        <v>9836</v>
      </c>
    </row>
    <row r="137" ht="14.25" customHeight="1">
      <c r="C137" s="71" t="s">
        <v>5828</v>
      </c>
      <c r="D137" s="71" t="s">
        <v>9071</v>
      </c>
    </row>
    <row r="138" ht="14.25" customHeight="1">
      <c r="C138" s="71" t="s">
        <v>12698</v>
      </c>
      <c r="D138" s="71" t="s">
        <v>9073</v>
      </c>
    </row>
    <row r="139" ht="14.25" customHeight="1">
      <c r="C139" s="71" t="s">
        <v>77</v>
      </c>
      <c r="D139" s="71" t="s">
        <v>9151</v>
      </c>
    </row>
    <row r="140" ht="14.25" customHeight="1">
      <c r="C140" s="71" t="s">
        <v>12656</v>
      </c>
      <c r="D140" s="71" t="s">
        <v>9073</v>
      </c>
    </row>
    <row r="141" ht="14.25" customHeight="1">
      <c r="C141" s="71" t="s">
        <v>9104</v>
      </c>
      <c r="D141" s="71" t="s">
        <v>8968</v>
      </c>
    </row>
    <row r="142" ht="14.25" customHeight="1">
      <c r="D142" s="71" t="s">
        <v>12699</v>
      </c>
    </row>
    <row r="143" ht="14.25" customHeight="1">
      <c r="C143" s="71" t="s">
        <v>89</v>
      </c>
      <c r="D143" s="71" t="s">
        <v>9111</v>
      </c>
    </row>
    <row r="144" ht="14.25" customHeight="1">
      <c r="D144" s="71" t="s">
        <v>12700</v>
      </c>
    </row>
    <row r="145" ht="14.25" customHeight="1">
      <c r="C145" s="71" t="s">
        <v>12701</v>
      </c>
      <c r="D145" s="71" t="s">
        <v>12702</v>
      </c>
    </row>
    <row r="146" ht="14.25" customHeight="1">
      <c r="D146" s="71" t="s">
        <v>10186</v>
      </c>
    </row>
    <row r="147" ht="14.25" customHeight="1">
      <c r="D147" s="71" t="s">
        <v>9962</v>
      </c>
    </row>
    <row r="148" ht="14.25" customHeight="1">
      <c r="C148" s="71" t="s">
        <v>2700</v>
      </c>
      <c r="D148" s="71" t="s">
        <v>9162</v>
      </c>
    </row>
    <row r="149" ht="14.25" customHeight="1">
      <c r="C149" s="71" t="s">
        <v>9469</v>
      </c>
      <c r="D149" s="71" t="s">
        <v>12703</v>
      </c>
    </row>
    <row r="150" ht="14.25" customHeight="1">
      <c r="C150" s="71" t="s">
        <v>12704</v>
      </c>
      <c r="D150" s="71" t="s">
        <v>12705</v>
      </c>
    </row>
    <row r="151" ht="14.25" customHeight="1">
      <c r="C151" s="71" t="s">
        <v>12706</v>
      </c>
      <c r="D151" s="71" t="s">
        <v>12707</v>
      </c>
    </row>
    <row r="152" ht="14.25" customHeight="1">
      <c r="C152" s="71" t="s">
        <v>12708</v>
      </c>
      <c r="D152" s="71" t="s">
        <v>9073</v>
      </c>
    </row>
    <row r="153" ht="14.25" customHeight="1">
      <c r="C153" s="71" t="s">
        <v>9630</v>
      </c>
      <c r="D153" s="71" t="s">
        <v>11687</v>
      </c>
    </row>
    <row r="154" ht="14.25" customHeight="1">
      <c r="C154" s="71" t="s">
        <v>12709</v>
      </c>
      <c r="D154" s="71" t="s">
        <v>9002</v>
      </c>
    </row>
    <row r="155" ht="14.25" customHeight="1">
      <c r="C155" s="71" t="s">
        <v>298</v>
      </c>
      <c r="D155" s="71" t="s">
        <v>9124</v>
      </c>
    </row>
    <row r="156" ht="14.25" customHeight="1">
      <c r="C156" s="71" t="s">
        <v>2894</v>
      </c>
      <c r="D156" s="71" t="s">
        <v>9073</v>
      </c>
    </row>
    <row r="157" ht="14.25" customHeight="1">
      <c r="C157" s="71" t="s">
        <v>9132</v>
      </c>
      <c r="D157" s="71" t="s">
        <v>12710</v>
      </c>
    </row>
    <row r="158" ht="14.25" customHeight="1">
      <c r="D158" s="71" t="s">
        <v>9075</v>
      </c>
    </row>
    <row r="159" ht="14.25" customHeight="1">
      <c r="C159" s="71" t="s">
        <v>12711</v>
      </c>
      <c r="D159" s="71" t="s">
        <v>9883</v>
      </c>
    </row>
    <row r="160" ht="14.25" customHeight="1">
      <c r="C160" s="71" t="s">
        <v>9133</v>
      </c>
      <c r="D160" s="71" t="s">
        <v>9291</v>
      </c>
    </row>
    <row r="161" ht="14.25" customHeight="1">
      <c r="D161" s="71" t="s">
        <v>12712</v>
      </c>
    </row>
    <row r="162" ht="14.25" customHeight="1">
      <c r="D162" s="71" t="s">
        <v>12713</v>
      </c>
    </row>
    <row r="163" ht="14.25" customHeight="1">
      <c r="D163" s="71" t="s">
        <v>9574</v>
      </c>
    </row>
    <row r="164" ht="14.25" customHeight="1">
      <c r="D164" s="71" t="s">
        <v>12714</v>
      </c>
    </row>
    <row r="165" ht="14.25" customHeight="1">
      <c r="C165" s="71" t="s">
        <v>3059</v>
      </c>
      <c r="D165" s="71" t="s">
        <v>9073</v>
      </c>
    </row>
    <row r="166" ht="14.25" customHeight="1">
      <c r="C166" s="71" t="s">
        <v>9063</v>
      </c>
      <c r="D166" s="71" t="s">
        <v>9755</v>
      </c>
    </row>
    <row r="167" ht="14.25" customHeight="1">
      <c r="C167" s="71" t="s">
        <v>9303</v>
      </c>
      <c r="D167" s="71" t="s">
        <v>9236</v>
      </c>
    </row>
    <row r="168" ht="14.25" customHeight="1">
      <c r="C168" s="71" t="s">
        <v>12715</v>
      </c>
      <c r="D168" s="71" t="s">
        <v>9354</v>
      </c>
    </row>
    <row r="169" ht="14.25" customHeight="1">
      <c r="C169" s="71" t="s">
        <v>3313</v>
      </c>
      <c r="D169" s="71" t="s">
        <v>9034</v>
      </c>
    </row>
    <row r="170" ht="14.25" customHeight="1">
      <c r="D170" s="71" t="s">
        <v>9111</v>
      </c>
    </row>
    <row r="171" ht="14.25" customHeight="1">
      <c r="C171" s="71" t="s">
        <v>12716</v>
      </c>
      <c r="D171" s="71" t="s">
        <v>12717</v>
      </c>
    </row>
    <row r="172" ht="14.25" customHeight="1">
      <c r="C172" s="71" t="s">
        <v>6499</v>
      </c>
      <c r="D172" s="71" t="s">
        <v>12718</v>
      </c>
    </row>
    <row r="173" ht="14.25" customHeight="1">
      <c r="C173" s="71" t="s">
        <v>166</v>
      </c>
      <c r="D173" s="71" t="s">
        <v>9073</v>
      </c>
    </row>
    <row r="174" ht="14.25" customHeight="1">
      <c r="C174" s="71" t="s">
        <v>9882</v>
      </c>
      <c r="D174" s="71" t="s">
        <v>9073</v>
      </c>
    </row>
    <row r="175" ht="14.25" customHeight="1">
      <c r="C175" s="71" t="s">
        <v>12719</v>
      </c>
      <c r="D175" s="71" t="s">
        <v>9073</v>
      </c>
    </row>
    <row r="176" ht="14.25" customHeight="1">
      <c r="C176" s="71" t="s">
        <v>12720</v>
      </c>
      <c r="D176" s="71" t="s">
        <v>9073</v>
      </c>
    </row>
    <row r="177" ht="14.25" customHeight="1">
      <c r="C177" s="71" t="s">
        <v>12721</v>
      </c>
      <c r="D177" s="71" t="s">
        <v>9073</v>
      </c>
    </row>
    <row r="178" ht="14.25" customHeight="1">
      <c r="C178" s="71" t="s">
        <v>9088</v>
      </c>
      <c r="D178" s="71" t="s">
        <v>9096</v>
      </c>
    </row>
    <row r="179" ht="14.25" customHeight="1">
      <c r="C179" s="71" t="s">
        <v>10498</v>
      </c>
      <c r="D179" s="71" t="s">
        <v>9109</v>
      </c>
    </row>
    <row r="180" ht="14.25" customHeight="1">
      <c r="C180" s="71" t="s">
        <v>12722</v>
      </c>
      <c r="D180" s="71" t="s">
        <v>9073</v>
      </c>
    </row>
    <row r="181" ht="14.25" customHeight="1">
      <c r="C181" s="71" t="s">
        <v>9577</v>
      </c>
      <c r="D181" s="71" t="s">
        <v>9578</v>
      </c>
    </row>
    <row r="182" ht="14.25" customHeight="1">
      <c r="C182" s="71" t="s">
        <v>12723</v>
      </c>
      <c r="D182" s="71" t="s">
        <v>9249</v>
      </c>
    </row>
    <row r="183" ht="14.25" customHeight="1">
      <c r="C183" s="71" t="s">
        <v>6732</v>
      </c>
      <c r="D183" s="71" t="s">
        <v>9152</v>
      </c>
    </row>
    <row r="184" ht="14.25" customHeight="1">
      <c r="C184" s="71" t="s">
        <v>3814</v>
      </c>
      <c r="D184" s="71" t="s">
        <v>9073</v>
      </c>
    </row>
    <row r="185" ht="14.25" customHeight="1">
      <c r="C185" s="71" t="s">
        <v>9283</v>
      </c>
      <c r="D185" s="71" t="s">
        <v>9141</v>
      </c>
    </row>
    <row r="186" ht="14.25" customHeight="1">
      <c r="D186" s="71" t="s">
        <v>10430</v>
      </c>
    </row>
    <row r="187" ht="14.25" customHeight="1">
      <c r="C187" s="71" t="s">
        <v>9156</v>
      </c>
      <c r="D187" s="71" t="s">
        <v>9073</v>
      </c>
    </row>
    <row r="188" ht="14.25" customHeight="1">
      <c r="C188" s="71" t="s">
        <v>12724</v>
      </c>
      <c r="D188" s="71" t="s">
        <v>9430</v>
      </c>
    </row>
    <row r="189" ht="14.25" customHeight="1">
      <c r="C189" s="71" t="s">
        <v>9515</v>
      </c>
      <c r="D189" s="71" t="s">
        <v>11969</v>
      </c>
    </row>
    <row r="190" ht="14.25" customHeight="1">
      <c r="C190" s="71" t="s">
        <v>10911</v>
      </c>
      <c r="D190" s="71" t="s">
        <v>12725</v>
      </c>
    </row>
    <row r="191" ht="14.25" customHeight="1">
      <c r="C191" s="71" t="s">
        <v>4035</v>
      </c>
      <c r="D191" s="71" t="s">
        <v>12725</v>
      </c>
    </row>
    <row r="192" ht="14.25" customHeight="1">
      <c r="D192" s="71" t="s">
        <v>12726</v>
      </c>
    </row>
    <row r="193" ht="14.25" customHeight="1">
      <c r="D193" s="71" t="s">
        <v>10124</v>
      </c>
    </row>
    <row r="194" ht="14.25" customHeight="1">
      <c r="C194" s="71" t="s">
        <v>10290</v>
      </c>
      <c r="D194" s="71" t="s">
        <v>9151</v>
      </c>
    </row>
    <row r="195" ht="14.25" customHeight="1">
      <c r="C195" s="71" t="s">
        <v>10252</v>
      </c>
      <c r="D195" s="71" t="s">
        <v>12727</v>
      </c>
    </row>
    <row r="196" ht="14.25" customHeight="1">
      <c r="C196" s="71" t="s">
        <v>12728</v>
      </c>
      <c r="D196" s="71" t="s">
        <v>12729</v>
      </c>
    </row>
    <row r="197" ht="14.25" customHeight="1">
      <c r="C197" s="71" t="s">
        <v>7070</v>
      </c>
      <c r="D197" s="71" t="s">
        <v>9073</v>
      </c>
    </row>
    <row r="198" ht="14.25" customHeight="1">
      <c r="C198" s="71" t="s">
        <v>12730</v>
      </c>
      <c r="D198" s="71" t="s">
        <v>9075</v>
      </c>
    </row>
    <row r="199" ht="14.25" customHeight="1">
      <c r="C199" s="71" t="s">
        <v>12731</v>
      </c>
      <c r="D199" s="71" t="s">
        <v>9073</v>
      </c>
    </row>
    <row r="200" ht="14.25" customHeight="1">
      <c r="C200" s="71" t="s">
        <v>9160</v>
      </c>
      <c r="D200" s="71" t="s">
        <v>9071</v>
      </c>
    </row>
    <row r="201" ht="14.25" customHeight="1">
      <c r="C201" s="71" t="s">
        <v>4326</v>
      </c>
      <c r="D201" s="71" t="s">
        <v>9073</v>
      </c>
    </row>
    <row r="202" ht="14.25" customHeight="1">
      <c r="C202" s="71" t="s">
        <v>4349</v>
      </c>
      <c r="D202" s="71" t="s">
        <v>9354</v>
      </c>
    </row>
    <row r="203" ht="14.25" customHeight="1">
      <c r="C203" s="71" t="s">
        <v>12732</v>
      </c>
      <c r="D203" s="71" t="s">
        <v>9073</v>
      </c>
    </row>
    <row r="204" ht="14.25" customHeight="1">
      <c r="C204" s="71" t="s">
        <v>2163</v>
      </c>
      <c r="D204" s="71" t="s">
        <v>12733</v>
      </c>
    </row>
    <row r="205" ht="14.25" customHeight="1">
      <c r="D205" s="71" t="s">
        <v>12734</v>
      </c>
    </row>
    <row r="206" ht="14.25" customHeight="1">
      <c r="C206" s="71" t="s">
        <v>324</v>
      </c>
      <c r="D206" s="71" t="s">
        <v>12735</v>
      </c>
    </row>
    <row r="207" ht="14.25" customHeight="1">
      <c r="D207" s="71" t="s">
        <v>9162</v>
      </c>
    </row>
    <row r="208" ht="14.25" customHeight="1">
      <c r="D208" s="71" t="s">
        <v>9073</v>
      </c>
    </row>
    <row r="209" ht="14.25" customHeight="1">
      <c r="C209" s="71" t="s">
        <v>12736</v>
      </c>
      <c r="D209" s="71" t="s">
        <v>9255</v>
      </c>
    </row>
    <row r="210" ht="14.25" customHeight="1">
      <c r="C210" s="71" t="s">
        <v>12737</v>
      </c>
      <c r="D210" s="71" t="s">
        <v>9755</v>
      </c>
    </row>
    <row r="211" ht="14.25" customHeight="1">
      <c r="B211" s="71" t="s">
        <v>41</v>
      </c>
      <c r="C211" s="71" t="s">
        <v>9172</v>
      </c>
      <c r="D211" s="71" t="s">
        <v>9836</v>
      </c>
    </row>
    <row r="212" ht="14.25" customHeight="1">
      <c r="C212" s="71" t="s">
        <v>5828</v>
      </c>
      <c r="D212" s="71" t="s">
        <v>12738</v>
      </c>
    </row>
    <row r="213" ht="14.25" customHeight="1">
      <c r="B213" s="71" t="s">
        <v>13</v>
      </c>
      <c r="C213" s="71" t="s">
        <v>12739</v>
      </c>
      <c r="D213" s="71" t="s">
        <v>9838</v>
      </c>
    </row>
    <row r="214" ht="14.25" customHeight="1">
      <c r="C214" s="71" t="s">
        <v>9329</v>
      </c>
      <c r="D214" s="71" t="s">
        <v>12740</v>
      </c>
    </row>
    <row r="215" ht="14.25" customHeight="1">
      <c r="C215" s="71" t="s">
        <v>12721</v>
      </c>
      <c r="D215" s="71" t="s">
        <v>9073</v>
      </c>
    </row>
    <row r="216" ht="14.25" customHeight="1">
      <c r="C216" s="71" t="s">
        <v>12741</v>
      </c>
      <c r="D216" s="71" t="s">
        <v>9174</v>
      </c>
    </row>
    <row r="217" ht="14.25" customHeight="1">
      <c r="C217" s="71" t="s">
        <v>12742</v>
      </c>
      <c r="D217" s="71" t="s">
        <v>12743</v>
      </c>
    </row>
    <row r="218" ht="14.25" customHeight="1">
      <c r="A218" s="71" t="s">
        <v>9177</v>
      </c>
      <c r="B218" s="71" t="s">
        <v>40</v>
      </c>
      <c r="C218" s="71" t="s">
        <v>12744</v>
      </c>
      <c r="D218" s="71" t="s">
        <v>11596</v>
      </c>
    </row>
    <row r="219" ht="14.25" customHeight="1">
      <c r="C219" s="71" t="s">
        <v>12745</v>
      </c>
      <c r="D219" s="71" t="s">
        <v>9055</v>
      </c>
    </row>
    <row r="220" ht="14.25" customHeight="1">
      <c r="C220" s="71" t="s">
        <v>5762</v>
      </c>
      <c r="D220" s="71" t="s">
        <v>12746</v>
      </c>
    </row>
    <row r="221" ht="14.25" customHeight="1">
      <c r="C221" s="71" t="s">
        <v>12747</v>
      </c>
      <c r="D221" s="71" t="s">
        <v>9831</v>
      </c>
    </row>
    <row r="222" ht="14.25" customHeight="1">
      <c r="C222" s="71" t="s">
        <v>12748</v>
      </c>
      <c r="D222" s="71" t="s">
        <v>9034</v>
      </c>
    </row>
    <row r="223" ht="14.25" customHeight="1">
      <c r="C223" s="71" t="s">
        <v>9105</v>
      </c>
      <c r="D223" s="71" t="s">
        <v>12749</v>
      </c>
    </row>
    <row r="224" ht="14.25" customHeight="1">
      <c r="D224" s="71" t="s">
        <v>12750</v>
      </c>
    </row>
    <row r="225" ht="14.25" customHeight="1">
      <c r="C225" s="71" t="s">
        <v>12751</v>
      </c>
      <c r="D225" s="71" t="s">
        <v>9131</v>
      </c>
    </row>
    <row r="226" ht="14.25" customHeight="1">
      <c r="C226" s="71" t="s">
        <v>81</v>
      </c>
      <c r="D226" s="71" t="s">
        <v>12752</v>
      </c>
    </row>
    <row r="227" ht="14.25" customHeight="1">
      <c r="D227" s="71" t="s">
        <v>10124</v>
      </c>
    </row>
    <row r="228" ht="14.25" customHeight="1">
      <c r="C228" s="71" t="s">
        <v>7652</v>
      </c>
      <c r="D228" s="71" t="s">
        <v>9189</v>
      </c>
    </row>
    <row r="229" ht="14.25" customHeight="1">
      <c r="C229" s="71" t="s">
        <v>10030</v>
      </c>
      <c r="D229" s="71" t="s">
        <v>9026</v>
      </c>
    </row>
    <row r="230" ht="14.25" customHeight="1">
      <c r="C230" s="71" t="s">
        <v>12753</v>
      </c>
      <c r="D230" s="71" t="s">
        <v>9202</v>
      </c>
    </row>
    <row r="231" ht="14.25" customHeight="1">
      <c r="C231" s="71" t="s">
        <v>12754</v>
      </c>
      <c r="D231" s="71" t="s">
        <v>9189</v>
      </c>
    </row>
    <row r="232" ht="14.25" customHeight="1">
      <c r="C232" s="71" t="s">
        <v>117</v>
      </c>
      <c r="D232" s="71" t="s">
        <v>11020</v>
      </c>
    </row>
    <row r="233" ht="14.25" customHeight="1">
      <c r="C233" s="71" t="s">
        <v>12755</v>
      </c>
      <c r="D233" s="71" t="s">
        <v>9055</v>
      </c>
    </row>
    <row r="234" ht="14.25" customHeight="1">
      <c r="C234" s="71" t="s">
        <v>9192</v>
      </c>
      <c r="D234" s="71" t="s">
        <v>9180</v>
      </c>
    </row>
    <row r="235" ht="14.25" customHeight="1">
      <c r="D235" s="71" t="s">
        <v>10186</v>
      </c>
    </row>
    <row r="236" ht="14.25" customHeight="1">
      <c r="D236" s="71" t="s">
        <v>9043</v>
      </c>
    </row>
    <row r="237" ht="14.25" customHeight="1">
      <c r="D237" s="71" t="s">
        <v>10141</v>
      </c>
    </row>
    <row r="238" ht="14.25" customHeight="1">
      <c r="C238" s="71" t="s">
        <v>145</v>
      </c>
      <c r="D238" s="71" t="s">
        <v>12756</v>
      </c>
    </row>
    <row r="239" ht="14.25" customHeight="1">
      <c r="C239" s="71" t="s">
        <v>12757</v>
      </c>
      <c r="D239" s="71" t="s">
        <v>12573</v>
      </c>
    </row>
    <row r="240" ht="14.25" customHeight="1">
      <c r="C240" s="71" t="s">
        <v>12758</v>
      </c>
      <c r="D240" s="71" t="s">
        <v>9221</v>
      </c>
    </row>
    <row r="241" ht="14.25" customHeight="1">
      <c r="C241" s="71" t="s">
        <v>12759</v>
      </c>
      <c r="D241" s="71" t="s">
        <v>12760</v>
      </c>
    </row>
    <row r="242" ht="14.25" customHeight="1">
      <c r="C242" s="71" t="s">
        <v>155</v>
      </c>
      <c r="D242" s="71" t="s">
        <v>9131</v>
      </c>
    </row>
    <row r="243" ht="14.25" customHeight="1">
      <c r="C243" s="71" t="s">
        <v>12761</v>
      </c>
      <c r="D243" s="71" t="s">
        <v>9131</v>
      </c>
    </row>
    <row r="244" ht="14.25" customHeight="1">
      <c r="C244" s="71" t="s">
        <v>12762</v>
      </c>
      <c r="D244" s="71" t="s">
        <v>12760</v>
      </c>
    </row>
    <row r="245" ht="14.25" customHeight="1">
      <c r="C245" s="71" t="s">
        <v>8150</v>
      </c>
      <c r="D245" s="71" t="s">
        <v>9055</v>
      </c>
    </row>
    <row r="246" ht="14.25" customHeight="1">
      <c r="C246" s="71" t="s">
        <v>12763</v>
      </c>
      <c r="D246" s="71" t="s">
        <v>9043</v>
      </c>
    </row>
    <row r="247" ht="14.25" customHeight="1">
      <c r="C247" s="71" t="s">
        <v>12764</v>
      </c>
      <c r="D247" s="71" t="s">
        <v>9151</v>
      </c>
    </row>
    <row r="248" ht="14.25" customHeight="1">
      <c r="C248" s="71" t="s">
        <v>9203</v>
      </c>
      <c r="D248" s="71" t="s">
        <v>9204</v>
      </c>
    </row>
    <row r="249" ht="14.25" customHeight="1">
      <c r="C249" s="71" t="s">
        <v>12010</v>
      </c>
      <c r="D249" s="71" t="s">
        <v>9055</v>
      </c>
    </row>
    <row r="250" ht="14.25" customHeight="1">
      <c r="C250" s="71" t="s">
        <v>179</v>
      </c>
      <c r="D250" s="71" t="s">
        <v>9026</v>
      </c>
    </row>
    <row r="251" ht="14.25" customHeight="1">
      <c r="D251" s="71" t="s">
        <v>9189</v>
      </c>
    </row>
    <row r="252" ht="14.25" customHeight="1">
      <c r="C252" s="71" t="s">
        <v>12765</v>
      </c>
      <c r="D252" s="71" t="s">
        <v>9131</v>
      </c>
    </row>
    <row r="253" ht="14.25" customHeight="1">
      <c r="C253" s="71" t="s">
        <v>10132</v>
      </c>
      <c r="D253" s="71" t="s">
        <v>10133</v>
      </c>
    </row>
    <row r="254" ht="14.25" customHeight="1">
      <c r="D254" s="71" t="s">
        <v>12766</v>
      </c>
    </row>
    <row r="255" ht="14.25" customHeight="1">
      <c r="C255" s="71" t="s">
        <v>12767</v>
      </c>
      <c r="D255" s="71" t="s">
        <v>9055</v>
      </c>
    </row>
    <row r="256" ht="14.25" customHeight="1">
      <c r="C256" s="71" t="s">
        <v>12768</v>
      </c>
      <c r="D256" s="71" t="s">
        <v>10124</v>
      </c>
    </row>
    <row r="257" ht="14.25" customHeight="1">
      <c r="C257" s="71" t="s">
        <v>9211</v>
      </c>
      <c r="D257" s="71" t="s">
        <v>12769</v>
      </c>
    </row>
    <row r="258" ht="14.25" customHeight="1">
      <c r="D258" s="71" t="s">
        <v>12770</v>
      </c>
    </row>
    <row r="259" ht="14.25" customHeight="1">
      <c r="D259" s="71" t="s">
        <v>8968</v>
      </c>
    </row>
    <row r="260" ht="14.25" customHeight="1">
      <c r="C260" s="71" t="s">
        <v>6849</v>
      </c>
      <c r="D260" s="71" t="s">
        <v>9034</v>
      </c>
    </row>
    <row r="261" ht="14.25" customHeight="1">
      <c r="C261" s="71" t="s">
        <v>10136</v>
      </c>
      <c r="D261" s="71" t="s">
        <v>9180</v>
      </c>
    </row>
    <row r="262" ht="14.25" customHeight="1">
      <c r="D262" s="71" t="s">
        <v>9131</v>
      </c>
    </row>
    <row r="263" ht="14.25" customHeight="1">
      <c r="C263" s="71" t="s">
        <v>225</v>
      </c>
      <c r="D263" s="71" t="s">
        <v>9131</v>
      </c>
    </row>
    <row r="264" ht="14.25" customHeight="1">
      <c r="D264" s="71" t="s">
        <v>12760</v>
      </c>
    </row>
    <row r="265" ht="14.25" customHeight="1">
      <c r="D265" s="71" t="s">
        <v>9043</v>
      </c>
    </row>
    <row r="266" ht="14.25" customHeight="1">
      <c r="D266" s="71" t="s">
        <v>12600</v>
      </c>
    </row>
    <row r="267" ht="14.25" customHeight="1">
      <c r="C267" s="71" t="s">
        <v>12771</v>
      </c>
      <c r="D267" s="71" t="s">
        <v>9034</v>
      </c>
    </row>
    <row r="268" ht="14.25" customHeight="1">
      <c r="C268" s="71" t="s">
        <v>12772</v>
      </c>
      <c r="D268" s="71" t="s">
        <v>9055</v>
      </c>
    </row>
    <row r="269" ht="14.25" customHeight="1">
      <c r="C269" s="71" t="s">
        <v>12773</v>
      </c>
      <c r="D269" s="71" t="s">
        <v>9055</v>
      </c>
    </row>
    <row r="270" ht="14.25" customHeight="1">
      <c r="C270" s="71" t="s">
        <v>12774</v>
      </c>
      <c r="D270" s="71" t="s">
        <v>9151</v>
      </c>
    </row>
    <row r="271" ht="14.25" customHeight="1">
      <c r="C271" s="71" t="s">
        <v>12775</v>
      </c>
      <c r="D271" s="71" t="s">
        <v>12776</v>
      </c>
    </row>
    <row r="272" ht="14.25" customHeight="1">
      <c r="C272" s="71" t="s">
        <v>12777</v>
      </c>
      <c r="D272" s="71" t="s">
        <v>9216</v>
      </c>
    </row>
    <row r="273" ht="14.25" customHeight="1">
      <c r="C273" s="71" t="s">
        <v>9593</v>
      </c>
      <c r="D273" s="71" t="s">
        <v>12760</v>
      </c>
    </row>
    <row r="274" ht="14.25" customHeight="1">
      <c r="C274" s="71" t="s">
        <v>4187</v>
      </c>
      <c r="D274" s="71" t="s">
        <v>9026</v>
      </c>
    </row>
    <row r="275" ht="14.25" customHeight="1">
      <c r="C275" s="71" t="s">
        <v>4225</v>
      </c>
      <c r="D275" s="71" t="s">
        <v>12778</v>
      </c>
    </row>
    <row r="276" ht="14.25" customHeight="1">
      <c r="C276" s="71" t="s">
        <v>12779</v>
      </c>
      <c r="D276" s="71" t="s">
        <v>8968</v>
      </c>
    </row>
    <row r="277" ht="14.25" customHeight="1">
      <c r="D277" s="71" t="s">
        <v>9043</v>
      </c>
    </row>
    <row r="278" ht="14.25" customHeight="1">
      <c r="C278" s="71" t="s">
        <v>12780</v>
      </c>
      <c r="D278" s="71" t="s">
        <v>12781</v>
      </c>
    </row>
    <row r="279" ht="14.25" customHeight="1">
      <c r="C279" s="71" t="s">
        <v>12782</v>
      </c>
      <c r="D279" s="71" t="s">
        <v>11076</v>
      </c>
    </row>
    <row r="280" ht="14.25" customHeight="1">
      <c r="C280" s="71" t="s">
        <v>12783</v>
      </c>
      <c r="D280" s="71" t="s">
        <v>10124</v>
      </c>
    </row>
    <row r="281" ht="14.25" customHeight="1">
      <c r="C281" s="71" t="s">
        <v>12784</v>
      </c>
      <c r="D281" s="71" t="s">
        <v>12760</v>
      </c>
    </row>
    <row r="282" ht="14.25" customHeight="1">
      <c r="C282" s="71" t="s">
        <v>12785</v>
      </c>
      <c r="D282" s="71" t="s">
        <v>9180</v>
      </c>
    </row>
    <row r="283" ht="14.25" customHeight="1">
      <c r="C283" s="71" t="s">
        <v>9005</v>
      </c>
      <c r="D283" s="71" t="s">
        <v>12786</v>
      </c>
    </row>
    <row r="284" ht="14.25" customHeight="1">
      <c r="C284" s="71" t="s">
        <v>12787</v>
      </c>
      <c r="D284" s="71" t="s">
        <v>9216</v>
      </c>
    </row>
    <row r="285" ht="14.25" customHeight="1">
      <c r="C285" s="71" t="s">
        <v>278</v>
      </c>
      <c r="D285" s="71" t="s">
        <v>9043</v>
      </c>
    </row>
    <row r="286" ht="14.25" customHeight="1">
      <c r="C286" s="71" t="s">
        <v>10166</v>
      </c>
      <c r="D286" s="71" t="s">
        <v>9043</v>
      </c>
    </row>
    <row r="287" ht="14.25" customHeight="1">
      <c r="C287" s="71" t="s">
        <v>12788</v>
      </c>
      <c r="D287" s="71" t="s">
        <v>8994</v>
      </c>
    </row>
    <row r="288" ht="14.25" customHeight="1">
      <c r="C288" s="71" t="s">
        <v>5671</v>
      </c>
      <c r="D288" s="71" t="s">
        <v>9151</v>
      </c>
    </row>
    <row r="289" ht="14.25" customHeight="1">
      <c r="C289" s="71" t="s">
        <v>11808</v>
      </c>
      <c r="D289" s="71" t="s">
        <v>9213</v>
      </c>
    </row>
    <row r="290" ht="14.25" customHeight="1">
      <c r="C290" s="71" t="s">
        <v>12789</v>
      </c>
      <c r="D290" s="71" t="s">
        <v>9026</v>
      </c>
    </row>
    <row r="291" ht="14.25" customHeight="1">
      <c r="C291" s="71" t="s">
        <v>281</v>
      </c>
      <c r="D291" s="71" t="s">
        <v>10141</v>
      </c>
    </row>
    <row r="292" ht="14.25" customHeight="1">
      <c r="D292" s="71" t="s">
        <v>9026</v>
      </c>
    </row>
    <row r="293" ht="14.25" customHeight="1">
      <c r="B293" s="71" t="s">
        <v>41</v>
      </c>
      <c r="C293" s="71" t="s">
        <v>10146</v>
      </c>
      <c r="D293" s="71" t="s">
        <v>12790</v>
      </c>
    </row>
    <row r="294" ht="14.25" customHeight="1">
      <c r="C294" s="71" t="s">
        <v>12791</v>
      </c>
      <c r="D294" s="71" t="s">
        <v>12792</v>
      </c>
    </row>
    <row r="295" ht="14.25" customHeight="1">
      <c r="C295" s="71" t="s">
        <v>12793</v>
      </c>
      <c r="D295" s="71" t="s">
        <v>8994</v>
      </c>
    </row>
    <row r="296" ht="14.25" customHeight="1">
      <c r="C296" s="71" t="s">
        <v>12794</v>
      </c>
      <c r="D296" s="71" t="s">
        <v>9055</v>
      </c>
    </row>
    <row r="297" ht="14.25" customHeight="1">
      <c r="C297" s="71" t="s">
        <v>11453</v>
      </c>
      <c r="D297" s="71" t="s">
        <v>9026</v>
      </c>
    </row>
    <row r="298" ht="14.25" customHeight="1">
      <c r="D298" s="71" t="s">
        <v>8994</v>
      </c>
    </row>
    <row r="299" ht="14.25" customHeight="1">
      <c r="C299" s="71" t="s">
        <v>12755</v>
      </c>
      <c r="D299" s="71" t="s">
        <v>9180</v>
      </c>
    </row>
    <row r="300" ht="14.25" customHeight="1">
      <c r="C300" s="71" t="s">
        <v>145</v>
      </c>
      <c r="D300" s="71" t="s">
        <v>12795</v>
      </c>
    </row>
    <row r="301" ht="14.25" customHeight="1">
      <c r="C301" s="71" t="s">
        <v>12796</v>
      </c>
      <c r="D301" s="71" t="s">
        <v>9045</v>
      </c>
    </row>
    <row r="302" ht="14.25" customHeight="1">
      <c r="C302" s="71" t="s">
        <v>12797</v>
      </c>
      <c r="D302" s="71" t="s">
        <v>9587</v>
      </c>
    </row>
    <row r="303" ht="14.25" customHeight="1">
      <c r="C303" s="71" t="s">
        <v>8150</v>
      </c>
      <c r="D303" s="71" t="s">
        <v>9055</v>
      </c>
    </row>
    <row r="304" ht="14.25" customHeight="1">
      <c r="C304" s="71" t="s">
        <v>9203</v>
      </c>
      <c r="D304" s="71" t="s">
        <v>9204</v>
      </c>
    </row>
    <row r="305" ht="14.25" customHeight="1">
      <c r="C305" s="71" t="s">
        <v>12798</v>
      </c>
      <c r="D305" s="71" t="s">
        <v>9043</v>
      </c>
    </row>
    <row r="306" ht="14.25" customHeight="1">
      <c r="C306" s="71" t="s">
        <v>12799</v>
      </c>
      <c r="D306" s="71" t="s">
        <v>8994</v>
      </c>
    </row>
    <row r="307" ht="14.25" customHeight="1">
      <c r="C307" s="71" t="s">
        <v>12800</v>
      </c>
      <c r="D307" s="71" t="s">
        <v>9587</v>
      </c>
    </row>
    <row r="308" ht="14.25" customHeight="1">
      <c r="C308" s="71" t="s">
        <v>188</v>
      </c>
      <c r="D308" s="71" t="s">
        <v>9180</v>
      </c>
    </row>
    <row r="309" ht="14.25" customHeight="1">
      <c r="C309" s="71" t="s">
        <v>12801</v>
      </c>
      <c r="D309" s="71" t="s">
        <v>9195</v>
      </c>
    </row>
    <row r="310" ht="14.25" customHeight="1">
      <c r="C310" s="71" t="s">
        <v>12802</v>
      </c>
      <c r="D310" s="71" t="s">
        <v>12803</v>
      </c>
    </row>
    <row r="311" ht="14.25" customHeight="1">
      <c r="C311" s="71" t="s">
        <v>12804</v>
      </c>
      <c r="D311" s="71" t="s">
        <v>9055</v>
      </c>
    </row>
    <row r="312" ht="14.25" customHeight="1">
      <c r="C312" s="71" t="s">
        <v>12731</v>
      </c>
      <c r="D312" s="71" t="s">
        <v>12805</v>
      </c>
    </row>
    <row r="313" ht="14.25" customHeight="1">
      <c r="C313" s="71" t="s">
        <v>12782</v>
      </c>
      <c r="D313" s="71" t="s">
        <v>12806</v>
      </c>
    </row>
    <row r="314" ht="14.25" customHeight="1">
      <c r="C314" s="71" t="s">
        <v>12807</v>
      </c>
      <c r="D314" s="71" t="s">
        <v>8994</v>
      </c>
    </row>
    <row r="315" ht="14.25" customHeight="1">
      <c r="C315" s="71" t="s">
        <v>2163</v>
      </c>
      <c r="D315" s="71" t="s">
        <v>12808</v>
      </c>
    </row>
    <row r="316" ht="14.25" customHeight="1">
      <c r="C316" s="71" t="s">
        <v>12809</v>
      </c>
      <c r="D316" s="71" t="s">
        <v>9055</v>
      </c>
    </row>
    <row r="317" ht="14.25" customHeight="1">
      <c r="B317" s="71" t="s">
        <v>13</v>
      </c>
      <c r="C317" s="71" t="s">
        <v>12810</v>
      </c>
      <c r="D317" s="71" t="s">
        <v>9176</v>
      </c>
    </row>
    <row r="318" ht="14.25" customHeight="1">
      <c r="C318" s="71" t="s">
        <v>9577</v>
      </c>
      <c r="D318" s="71" t="s">
        <v>9354</v>
      </c>
    </row>
    <row r="319" ht="14.25" customHeight="1">
      <c r="C319" s="71" t="s">
        <v>10905</v>
      </c>
      <c r="D319" s="71" t="s">
        <v>12811</v>
      </c>
    </row>
    <row r="320" ht="14.25" customHeight="1">
      <c r="C320" s="71" t="s">
        <v>12812</v>
      </c>
      <c r="D320" s="71" t="s">
        <v>9771</v>
      </c>
    </row>
    <row r="321" ht="14.25" customHeight="1">
      <c r="C321" s="71" t="s">
        <v>12813</v>
      </c>
      <c r="D321" s="71" t="s">
        <v>9176</v>
      </c>
    </row>
    <row r="322" ht="14.25" customHeight="1">
      <c r="C322" s="71" t="s">
        <v>9251</v>
      </c>
      <c r="D322" s="71" t="s">
        <v>9213</v>
      </c>
    </row>
    <row r="323" ht="14.25" customHeight="1">
      <c r="C323" s="71" t="s">
        <v>10508</v>
      </c>
      <c r="D323" s="71" t="s">
        <v>10608</v>
      </c>
    </row>
    <row r="324" ht="14.25" customHeight="1">
      <c r="C324" s="71" t="s">
        <v>10163</v>
      </c>
      <c r="D324" s="71" t="s">
        <v>9109</v>
      </c>
    </row>
    <row r="325" ht="14.25" customHeight="1">
      <c r="C325" s="71" t="s">
        <v>9090</v>
      </c>
      <c r="D325" s="71" t="s">
        <v>9176</v>
      </c>
    </row>
    <row r="326" ht="14.25" customHeight="1">
      <c r="C326" s="71" t="s">
        <v>12814</v>
      </c>
      <c r="D326" s="71" t="s">
        <v>9176</v>
      </c>
    </row>
    <row r="327" ht="14.25" customHeight="1">
      <c r="A327" s="71" t="s">
        <v>9299</v>
      </c>
      <c r="B327" s="71" t="s">
        <v>40</v>
      </c>
      <c r="C327" s="71" t="s">
        <v>8969</v>
      </c>
      <c r="D327" s="71" t="s">
        <v>8978</v>
      </c>
    </row>
    <row r="328" ht="14.25" customHeight="1">
      <c r="C328" s="71" t="s">
        <v>9310</v>
      </c>
      <c r="D328" s="71" t="s">
        <v>10199</v>
      </c>
    </row>
    <row r="329" ht="14.25" customHeight="1">
      <c r="C329" s="71" t="s">
        <v>11684</v>
      </c>
      <c r="D329" s="71" t="s">
        <v>10150</v>
      </c>
    </row>
    <row r="330" ht="14.25" customHeight="1">
      <c r="C330" s="71" t="s">
        <v>12815</v>
      </c>
      <c r="D330" s="71" t="s">
        <v>9265</v>
      </c>
    </row>
    <row r="331" ht="14.25" customHeight="1">
      <c r="C331" s="71" t="s">
        <v>1889</v>
      </c>
      <c r="D331" s="71" t="s">
        <v>12816</v>
      </c>
    </row>
    <row r="332" ht="14.25" customHeight="1">
      <c r="C332" s="71" t="s">
        <v>2669</v>
      </c>
      <c r="D332" s="71" t="s">
        <v>12817</v>
      </c>
    </row>
    <row r="333" ht="14.25" customHeight="1">
      <c r="D333" s="71" t="s">
        <v>8978</v>
      </c>
    </row>
    <row r="334" ht="14.25" customHeight="1">
      <c r="C334" s="71" t="s">
        <v>9323</v>
      </c>
      <c r="D334" s="71" t="s">
        <v>8978</v>
      </c>
    </row>
    <row r="335" ht="14.25" customHeight="1">
      <c r="C335" s="71" t="s">
        <v>12818</v>
      </c>
      <c r="D335" s="71" t="s">
        <v>12819</v>
      </c>
    </row>
    <row r="336" ht="14.25" customHeight="1">
      <c r="C336" s="71" t="s">
        <v>916</v>
      </c>
      <c r="D336" s="71" t="s">
        <v>8978</v>
      </c>
    </row>
    <row r="337" ht="14.25" customHeight="1">
      <c r="C337" s="71" t="s">
        <v>6182</v>
      </c>
      <c r="D337" s="71" t="s">
        <v>9430</v>
      </c>
    </row>
    <row r="338" ht="14.25" customHeight="1">
      <c r="D338" s="71" t="s">
        <v>9266</v>
      </c>
    </row>
    <row r="339" ht="14.25" customHeight="1">
      <c r="C339" s="71" t="s">
        <v>12820</v>
      </c>
      <c r="D339" s="71" t="s">
        <v>9289</v>
      </c>
    </row>
    <row r="340" ht="14.25" customHeight="1">
      <c r="C340" s="71" t="s">
        <v>12821</v>
      </c>
      <c r="D340" s="71" t="s">
        <v>10223</v>
      </c>
    </row>
    <row r="341" ht="14.25" customHeight="1">
      <c r="C341" s="71" t="s">
        <v>6298</v>
      </c>
      <c r="D341" s="71" t="s">
        <v>8978</v>
      </c>
    </row>
    <row r="342" ht="14.25" customHeight="1">
      <c r="C342" s="71" t="s">
        <v>9426</v>
      </c>
      <c r="D342" s="71" t="s">
        <v>8978</v>
      </c>
    </row>
    <row r="343" ht="14.25" customHeight="1">
      <c r="C343" s="71" t="s">
        <v>12822</v>
      </c>
      <c r="D343" s="71" t="s">
        <v>8978</v>
      </c>
    </row>
    <row r="344" ht="14.25" customHeight="1">
      <c r="C344" s="71" t="s">
        <v>3138</v>
      </c>
      <c r="D344" s="71" t="s">
        <v>8978</v>
      </c>
    </row>
    <row r="345" ht="14.25" customHeight="1">
      <c r="D345" s="71" t="s">
        <v>10841</v>
      </c>
    </row>
    <row r="346" ht="14.25" customHeight="1">
      <c r="C346" s="71" t="s">
        <v>9303</v>
      </c>
      <c r="D346" s="71" t="s">
        <v>12823</v>
      </c>
    </row>
    <row r="347" ht="14.25" customHeight="1">
      <c r="C347" s="71" t="s">
        <v>9374</v>
      </c>
      <c r="D347" s="71" t="s">
        <v>8978</v>
      </c>
    </row>
    <row r="348" ht="14.25" customHeight="1">
      <c r="C348" s="71" t="s">
        <v>12824</v>
      </c>
      <c r="D348" s="71" t="s">
        <v>8978</v>
      </c>
    </row>
    <row r="349" ht="14.25" customHeight="1">
      <c r="C349" s="71" t="s">
        <v>9329</v>
      </c>
      <c r="D349" s="71" t="s">
        <v>9867</v>
      </c>
    </row>
    <row r="350" ht="14.25" customHeight="1">
      <c r="C350" s="71" t="s">
        <v>12825</v>
      </c>
      <c r="D350" s="71" t="s">
        <v>8978</v>
      </c>
    </row>
    <row r="351" ht="14.25" customHeight="1">
      <c r="C351" s="71" t="s">
        <v>12826</v>
      </c>
      <c r="D351" s="71" t="s">
        <v>8978</v>
      </c>
    </row>
    <row r="352" ht="14.25" customHeight="1">
      <c r="C352" s="71" t="s">
        <v>12827</v>
      </c>
      <c r="D352" s="71" t="s">
        <v>9256</v>
      </c>
    </row>
    <row r="353" ht="14.25" customHeight="1">
      <c r="C353" s="71" t="s">
        <v>9390</v>
      </c>
      <c r="D353" s="71" t="s">
        <v>9002</v>
      </c>
    </row>
    <row r="354" ht="14.25" customHeight="1">
      <c r="D354" s="71" t="s">
        <v>8978</v>
      </c>
    </row>
    <row r="355" ht="14.25" customHeight="1">
      <c r="C355" s="71" t="s">
        <v>12828</v>
      </c>
      <c r="D355" s="71" t="s">
        <v>8978</v>
      </c>
    </row>
    <row r="356" ht="14.25" customHeight="1">
      <c r="C356" s="71" t="s">
        <v>9277</v>
      </c>
      <c r="D356" s="71" t="s">
        <v>8978</v>
      </c>
    </row>
    <row r="357" ht="14.25" customHeight="1">
      <c r="C357" s="71" t="s">
        <v>10184</v>
      </c>
      <c r="D357" s="71" t="s">
        <v>8978</v>
      </c>
    </row>
    <row r="358" ht="14.25" customHeight="1">
      <c r="C358" s="71" t="s">
        <v>210</v>
      </c>
      <c r="D358" s="71" t="s">
        <v>12829</v>
      </c>
    </row>
    <row r="359" ht="14.25" customHeight="1">
      <c r="C359" s="71" t="s">
        <v>12830</v>
      </c>
      <c r="D359" s="71" t="s">
        <v>11596</v>
      </c>
    </row>
    <row r="360" ht="14.25" customHeight="1">
      <c r="C360" s="71" t="s">
        <v>9333</v>
      </c>
      <c r="D360" s="71" t="s">
        <v>12831</v>
      </c>
    </row>
    <row r="361" ht="14.25" customHeight="1">
      <c r="C361" s="71" t="s">
        <v>8997</v>
      </c>
      <c r="D361" s="71" t="s">
        <v>8976</v>
      </c>
    </row>
    <row r="362" ht="14.25" customHeight="1">
      <c r="C362" s="71" t="s">
        <v>9005</v>
      </c>
      <c r="D362" s="71" t="s">
        <v>12832</v>
      </c>
    </row>
    <row r="363" ht="14.25" customHeight="1">
      <c r="C363" s="71" t="s">
        <v>2163</v>
      </c>
      <c r="D363" s="71" t="s">
        <v>9021</v>
      </c>
    </row>
    <row r="364" ht="14.25" customHeight="1">
      <c r="B364" s="71" t="s">
        <v>13</v>
      </c>
      <c r="C364" s="71" t="s">
        <v>12833</v>
      </c>
      <c r="D364" s="71" t="s">
        <v>10794</v>
      </c>
    </row>
    <row r="365" ht="14.25" customHeight="1">
      <c r="C365" s="71" t="s">
        <v>9329</v>
      </c>
      <c r="D365" s="71" t="s">
        <v>9034</v>
      </c>
    </row>
    <row r="366" ht="14.25" customHeight="1">
      <c r="D366" s="71" t="s">
        <v>12834</v>
      </c>
    </row>
    <row r="367" ht="14.25" customHeight="1">
      <c r="A367" s="71" t="s">
        <v>9309</v>
      </c>
      <c r="B367" s="71" t="s">
        <v>40</v>
      </c>
      <c r="C367" s="71" t="s">
        <v>8969</v>
      </c>
      <c r="D367" s="71" t="s">
        <v>8978</v>
      </c>
    </row>
    <row r="368" ht="14.25" customHeight="1">
      <c r="C368" s="71" t="s">
        <v>12835</v>
      </c>
      <c r="D368" s="71" t="s">
        <v>8978</v>
      </c>
    </row>
    <row r="369" ht="14.25" customHeight="1">
      <c r="C369" s="71" t="s">
        <v>9310</v>
      </c>
      <c r="D369" s="71" t="s">
        <v>9311</v>
      </c>
    </row>
    <row r="370" ht="14.25" customHeight="1">
      <c r="C370" s="71" t="s">
        <v>11684</v>
      </c>
      <c r="D370" s="71" t="s">
        <v>8978</v>
      </c>
    </row>
    <row r="371" ht="14.25" customHeight="1">
      <c r="C371" s="71" t="s">
        <v>12836</v>
      </c>
      <c r="D371" s="71" t="s">
        <v>9168</v>
      </c>
    </row>
    <row r="372" ht="14.25" customHeight="1">
      <c r="C372" s="71" t="s">
        <v>1889</v>
      </c>
      <c r="D372" s="71" t="s">
        <v>8978</v>
      </c>
    </row>
    <row r="373" ht="14.25" customHeight="1">
      <c r="C373" s="71" t="s">
        <v>9320</v>
      </c>
      <c r="D373" s="71" t="s">
        <v>12837</v>
      </c>
    </row>
    <row r="374" ht="14.25" customHeight="1">
      <c r="C374" s="71" t="s">
        <v>2669</v>
      </c>
      <c r="D374" s="71" t="s">
        <v>8978</v>
      </c>
    </row>
    <row r="375" ht="14.25" customHeight="1">
      <c r="C375" s="71" t="s">
        <v>9469</v>
      </c>
      <c r="D375" s="71" t="s">
        <v>12838</v>
      </c>
    </row>
    <row r="376" ht="14.25" customHeight="1">
      <c r="C376" s="71" t="s">
        <v>9322</v>
      </c>
      <c r="D376" s="71" t="s">
        <v>9086</v>
      </c>
    </row>
    <row r="377" ht="14.25" customHeight="1">
      <c r="C377" s="71" t="s">
        <v>10804</v>
      </c>
      <c r="D377" s="71" t="s">
        <v>9258</v>
      </c>
    </row>
    <row r="378" ht="14.25" customHeight="1">
      <c r="C378" s="71" t="s">
        <v>2798</v>
      </c>
      <c r="D378" s="71" t="s">
        <v>9637</v>
      </c>
    </row>
    <row r="379" ht="14.25" customHeight="1">
      <c r="C379" s="71" t="s">
        <v>916</v>
      </c>
      <c r="D379" s="71" t="s">
        <v>9867</v>
      </c>
    </row>
    <row r="380" ht="14.25" customHeight="1">
      <c r="D380" s="71" t="s">
        <v>8978</v>
      </c>
    </row>
    <row r="381" ht="14.25" customHeight="1">
      <c r="C381" s="71" t="s">
        <v>6182</v>
      </c>
      <c r="D381" s="71" t="s">
        <v>9430</v>
      </c>
    </row>
    <row r="382" ht="14.25" customHeight="1">
      <c r="C382" s="71" t="s">
        <v>3138</v>
      </c>
      <c r="D382" s="71" t="s">
        <v>9258</v>
      </c>
    </row>
    <row r="383" ht="14.25" customHeight="1">
      <c r="D383" s="71" t="s">
        <v>8978</v>
      </c>
    </row>
    <row r="384" ht="14.25" customHeight="1">
      <c r="C384" s="71" t="s">
        <v>9303</v>
      </c>
      <c r="D384" s="71" t="s">
        <v>8978</v>
      </c>
    </row>
    <row r="385" ht="14.25" customHeight="1">
      <c r="C385" s="71" t="s">
        <v>153</v>
      </c>
      <c r="D385" s="71" t="s">
        <v>12839</v>
      </c>
    </row>
    <row r="386" ht="14.25" customHeight="1">
      <c r="C386" s="71" t="s">
        <v>12840</v>
      </c>
      <c r="D386" s="71" t="s">
        <v>12841</v>
      </c>
    </row>
    <row r="387" ht="14.25" customHeight="1">
      <c r="C387" s="71" t="s">
        <v>12826</v>
      </c>
      <c r="D387" s="71" t="s">
        <v>12118</v>
      </c>
    </row>
    <row r="388" ht="14.25" customHeight="1">
      <c r="D388" s="71" t="s">
        <v>12842</v>
      </c>
    </row>
    <row r="389" ht="14.25" customHeight="1">
      <c r="D389" s="71" t="s">
        <v>8978</v>
      </c>
    </row>
    <row r="390" ht="14.25" customHeight="1">
      <c r="C390" s="71" t="s">
        <v>10515</v>
      </c>
      <c r="D390" s="71" t="s">
        <v>11921</v>
      </c>
    </row>
    <row r="391" ht="14.25" customHeight="1">
      <c r="C391" s="71" t="s">
        <v>12843</v>
      </c>
      <c r="D391" s="71" t="s">
        <v>9258</v>
      </c>
    </row>
    <row r="392" ht="14.25" customHeight="1">
      <c r="C392" s="71" t="s">
        <v>3566</v>
      </c>
      <c r="D392" s="71" t="s">
        <v>8968</v>
      </c>
    </row>
    <row r="393" ht="14.25" customHeight="1">
      <c r="C393" s="71" t="s">
        <v>12844</v>
      </c>
      <c r="D393" s="71" t="s">
        <v>12845</v>
      </c>
    </row>
    <row r="394" ht="14.25" customHeight="1">
      <c r="C394" s="71" t="s">
        <v>12846</v>
      </c>
      <c r="D394" s="71" t="s">
        <v>12847</v>
      </c>
    </row>
    <row r="395" ht="14.25" customHeight="1">
      <c r="C395" s="71" t="s">
        <v>9277</v>
      </c>
      <c r="D395" s="71" t="s">
        <v>9637</v>
      </c>
    </row>
    <row r="396" ht="14.25" customHeight="1">
      <c r="C396" s="71" t="s">
        <v>8398</v>
      </c>
      <c r="D396" s="71" t="s">
        <v>10199</v>
      </c>
    </row>
    <row r="397" ht="14.25" customHeight="1">
      <c r="C397" s="71" t="s">
        <v>9282</v>
      </c>
      <c r="D397" s="71" t="s">
        <v>9291</v>
      </c>
    </row>
    <row r="398" ht="14.25" customHeight="1">
      <c r="D398" s="71" t="s">
        <v>9273</v>
      </c>
    </row>
    <row r="399" ht="14.25" customHeight="1">
      <c r="D399" s="71" t="s">
        <v>8978</v>
      </c>
    </row>
    <row r="400" ht="14.25" customHeight="1">
      <c r="C400" s="71" t="s">
        <v>12132</v>
      </c>
      <c r="D400" s="71" t="s">
        <v>8978</v>
      </c>
    </row>
    <row r="401" ht="14.25" customHeight="1">
      <c r="C401" s="71" t="s">
        <v>12848</v>
      </c>
      <c r="D401" s="71" t="s">
        <v>9258</v>
      </c>
    </row>
    <row r="402" ht="14.25" customHeight="1">
      <c r="C402" s="71" t="s">
        <v>12849</v>
      </c>
      <c r="D402" s="71" t="s">
        <v>10124</v>
      </c>
    </row>
    <row r="403" ht="14.25" customHeight="1">
      <c r="C403" s="71" t="s">
        <v>244</v>
      </c>
      <c r="D403" s="71" t="s">
        <v>9406</v>
      </c>
    </row>
    <row r="404" ht="14.25" customHeight="1">
      <c r="C404" s="71" t="s">
        <v>7066</v>
      </c>
      <c r="D404" s="71" t="s">
        <v>11176</v>
      </c>
    </row>
    <row r="405" ht="14.25" customHeight="1">
      <c r="C405" s="71" t="s">
        <v>11443</v>
      </c>
      <c r="D405" s="71" t="s">
        <v>9026</v>
      </c>
    </row>
    <row r="406" ht="14.25" customHeight="1">
      <c r="C406" s="71" t="s">
        <v>12850</v>
      </c>
      <c r="D406" s="71" t="s">
        <v>12851</v>
      </c>
    </row>
    <row r="407" ht="14.25" customHeight="1">
      <c r="C407" s="71" t="s">
        <v>12736</v>
      </c>
      <c r="D407" s="71" t="s">
        <v>8978</v>
      </c>
    </row>
    <row r="408" ht="14.25" customHeight="1">
      <c r="C408" s="71" t="s">
        <v>12852</v>
      </c>
      <c r="D408" s="71" t="s">
        <v>12853</v>
      </c>
    </row>
    <row r="409" ht="14.25" customHeight="1">
      <c r="B409" s="71" t="s">
        <v>41</v>
      </c>
      <c r="C409" s="71" t="s">
        <v>8969</v>
      </c>
      <c r="D409" s="71" t="s">
        <v>12854</v>
      </c>
    </row>
    <row r="410" ht="14.25" customHeight="1">
      <c r="C410" s="71" t="s">
        <v>12054</v>
      </c>
      <c r="D410" s="71" t="s">
        <v>12393</v>
      </c>
    </row>
    <row r="411" ht="14.25" customHeight="1">
      <c r="C411" s="71" t="s">
        <v>12855</v>
      </c>
      <c r="D411" s="71" t="s">
        <v>9274</v>
      </c>
    </row>
    <row r="412" ht="14.25" customHeight="1">
      <c r="A412" s="71" t="s">
        <v>9339</v>
      </c>
      <c r="B412" s="71" t="s">
        <v>40</v>
      </c>
      <c r="C412" s="71" t="s">
        <v>8969</v>
      </c>
      <c r="D412" s="71" t="s">
        <v>10189</v>
      </c>
    </row>
    <row r="413" ht="14.25" customHeight="1">
      <c r="D413" s="71" t="s">
        <v>9258</v>
      </c>
    </row>
    <row r="414" ht="14.25" customHeight="1">
      <c r="D414" s="71" t="s">
        <v>9256</v>
      </c>
    </row>
    <row r="415" ht="14.25" customHeight="1">
      <c r="D415" s="71" t="s">
        <v>8978</v>
      </c>
    </row>
    <row r="416" ht="14.25" customHeight="1">
      <c r="D416" s="71" t="s">
        <v>12092</v>
      </c>
    </row>
    <row r="417" ht="14.25" customHeight="1">
      <c r="C417" s="71" t="s">
        <v>9257</v>
      </c>
      <c r="D417" s="71" t="s">
        <v>10036</v>
      </c>
    </row>
    <row r="418" ht="14.25" customHeight="1">
      <c r="C418" s="71" t="s">
        <v>2379</v>
      </c>
      <c r="D418" s="71" t="s">
        <v>10815</v>
      </c>
    </row>
    <row r="419" ht="14.25" customHeight="1">
      <c r="D419" s="71" t="s">
        <v>10796</v>
      </c>
    </row>
    <row r="420" ht="14.25" customHeight="1">
      <c r="D420" s="71" t="s">
        <v>8978</v>
      </c>
    </row>
    <row r="421" ht="14.25" customHeight="1">
      <c r="C421" s="71" t="s">
        <v>11684</v>
      </c>
      <c r="D421" s="71" t="s">
        <v>8978</v>
      </c>
    </row>
    <row r="422" ht="14.25" customHeight="1">
      <c r="C422" s="71" t="s">
        <v>9355</v>
      </c>
      <c r="D422" s="71" t="s">
        <v>12856</v>
      </c>
    </row>
    <row r="423" ht="14.25" customHeight="1">
      <c r="D423" s="71" t="s">
        <v>8978</v>
      </c>
    </row>
    <row r="424" ht="14.25" customHeight="1">
      <c r="C424" s="71" t="s">
        <v>82</v>
      </c>
      <c r="D424" s="71" t="s">
        <v>9645</v>
      </c>
    </row>
    <row r="425" ht="14.25" customHeight="1">
      <c r="C425" s="71" t="s">
        <v>9300</v>
      </c>
      <c r="D425" s="71" t="s">
        <v>12857</v>
      </c>
    </row>
    <row r="426" ht="14.25" customHeight="1">
      <c r="C426" s="71" t="s">
        <v>88</v>
      </c>
      <c r="D426" s="71" t="s">
        <v>8978</v>
      </c>
    </row>
    <row r="427" ht="14.25" customHeight="1">
      <c r="C427" s="71" t="s">
        <v>9320</v>
      </c>
      <c r="D427" s="71" t="s">
        <v>8978</v>
      </c>
    </row>
    <row r="428" ht="14.25" customHeight="1">
      <c r="C428" s="71" t="s">
        <v>92</v>
      </c>
      <c r="D428" s="71" t="s">
        <v>9050</v>
      </c>
    </row>
    <row r="429" ht="14.25" customHeight="1">
      <c r="D429" s="71" t="s">
        <v>9430</v>
      </c>
    </row>
    <row r="430" ht="14.25" customHeight="1">
      <c r="C430" s="71" t="s">
        <v>2669</v>
      </c>
      <c r="D430" s="71" t="s">
        <v>8978</v>
      </c>
    </row>
    <row r="431" ht="14.25" customHeight="1">
      <c r="D431" s="71" t="s">
        <v>9304</v>
      </c>
    </row>
    <row r="432" ht="14.25" customHeight="1">
      <c r="D432" s="71" t="s">
        <v>12858</v>
      </c>
    </row>
    <row r="433" ht="14.25" customHeight="1">
      <c r="D433" s="71" t="s">
        <v>12859</v>
      </c>
    </row>
    <row r="434" ht="14.25" customHeight="1">
      <c r="D434" s="71" t="s">
        <v>12860</v>
      </c>
    </row>
    <row r="435" ht="14.25" customHeight="1">
      <c r="D435" s="71" t="s">
        <v>12861</v>
      </c>
    </row>
    <row r="436" ht="14.25" customHeight="1">
      <c r="D436" s="71" t="s">
        <v>12862</v>
      </c>
    </row>
    <row r="437" ht="14.25" customHeight="1">
      <c r="C437" s="71" t="s">
        <v>9419</v>
      </c>
      <c r="D437" s="71" t="s">
        <v>8978</v>
      </c>
    </row>
    <row r="438" ht="14.25" customHeight="1">
      <c r="C438" s="71" t="s">
        <v>12863</v>
      </c>
      <c r="D438" s="71" t="s">
        <v>8978</v>
      </c>
    </row>
    <row r="439" ht="14.25" customHeight="1">
      <c r="C439" s="71" t="s">
        <v>9361</v>
      </c>
      <c r="D439" s="71" t="s">
        <v>8978</v>
      </c>
    </row>
    <row r="440" ht="14.25" customHeight="1">
      <c r="D440" s="71" t="s">
        <v>12092</v>
      </c>
    </row>
    <row r="441" ht="14.25" customHeight="1">
      <c r="C441" s="71" t="s">
        <v>9469</v>
      </c>
      <c r="D441" s="71" t="s">
        <v>8978</v>
      </c>
    </row>
    <row r="442" ht="14.25" customHeight="1">
      <c r="C442" s="71" t="s">
        <v>12864</v>
      </c>
      <c r="D442" s="71" t="s">
        <v>9273</v>
      </c>
    </row>
    <row r="443" ht="14.25" customHeight="1">
      <c r="C443" s="71" t="s">
        <v>9323</v>
      </c>
      <c r="D443" s="71" t="s">
        <v>8978</v>
      </c>
    </row>
    <row r="444" ht="14.25" customHeight="1">
      <c r="C444" s="71" t="s">
        <v>9362</v>
      </c>
      <c r="D444" s="71" t="s">
        <v>12865</v>
      </c>
    </row>
    <row r="445" ht="14.25" customHeight="1">
      <c r="C445" s="71" t="s">
        <v>10804</v>
      </c>
      <c r="D445" s="71" t="s">
        <v>9319</v>
      </c>
    </row>
    <row r="446" ht="14.25" customHeight="1">
      <c r="C446" s="71" t="s">
        <v>12866</v>
      </c>
      <c r="D446" s="71" t="s">
        <v>9319</v>
      </c>
    </row>
    <row r="447" ht="14.25" customHeight="1">
      <c r="C447" s="71" t="s">
        <v>12103</v>
      </c>
      <c r="D447" s="71" t="s">
        <v>12867</v>
      </c>
    </row>
    <row r="448" ht="14.25" customHeight="1">
      <c r="D448" s="71" t="s">
        <v>9258</v>
      </c>
    </row>
    <row r="449" ht="14.25" customHeight="1">
      <c r="D449" s="71" t="s">
        <v>8978</v>
      </c>
    </row>
    <row r="450" ht="14.25" customHeight="1">
      <c r="C450" s="71" t="s">
        <v>9113</v>
      </c>
      <c r="D450" s="71" t="s">
        <v>12868</v>
      </c>
    </row>
    <row r="451" ht="14.25" customHeight="1">
      <c r="C451" s="71" t="s">
        <v>12869</v>
      </c>
      <c r="D451" s="71" t="s">
        <v>9258</v>
      </c>
    </row>
    <row r="452" ht="14.25" customHeight="1">
      <c r="C452" s="71" t="s">
        <v>2798</v>
      </c>
      <c r="D452" s="71" t="s">
        <v>9034</v>
      </c>
    </row>
    <row r="453" ht="14.25" customHeight="1">
      <c r="D453" s="71" t="s">
        <v>9637</v>
      </c>
    </row>
    <row r="454" ht="14.25" customHeight="1">
      <c r="D454" s="71" t="s">
        <v>10197</v>
      </c>
    </row>
    <row r="455" ht="14.25" customHeight="1">
      <c r="D455" s="71" t="s">
        <v>12105</v>
      </c>
    </row>
    <row r="456" ht="14.25" customHeight="1">
      <c r="C456" s="71" t="s">
        <v>916</v>
      </c>
      <c r="D456" s="71" t="s">
        <v>9380</v>
      </c>
    </row>
    <row r="457" ht="14.25" customHeight="1">
      <c r="D457" s="71" t="s">
        <v>9258</v>
      </c>
    </row>
    <row r="458" ht="14.25" customHeight="1">
      <c r="D458" s="71" t="s">
        <v>8978</v>
      </c>
    </row>
    <row r="459" ht="14.25" customHeight="1">
      <c r="C459" s="71" t="s">
        <v>9630</v>
      </c>
      <c r="D459" s="71" t="s">
        <v>12252</v>
      </c>
    </row>
    <row r="460" ht="14.25" customHeight="1">
      <c r="D460" s="71" t="s">
        <v>12870</v>
      </c>
    </row>
    <row r="461" ht="14.25" customHeight="1">
      <c r="C461" s="71" t="s">
        <v>10387</v>
      </c>
      <c r="D461" s="71" t="s">
        <v>12107</v>
      </c>
    </row>
    <row r="462" ht="14.25" customHeight="1">
      <c r="C462" s="71" t="s">
        <v>6182</v>
      </c>
      <c r="D462" s="71" t="s">
        <v>9430</v>
      </c>
    </row>
    <row r="463" ht="14.25" customHeight="1">
      <c r="D463" s="71" t="s">
        <v>9637</v>
      </c>
    </row>
    <row r="464" ht="14.25" customHeight="1">
      <c r="C464" s="71" t="s">
        <v>12871</v>
      </c>
      <c r="D464" s="71" t="s">
        <v>8978</v>
      </c>
    </row>
    <row r="465" ht="14.25" customHeight="1">
      <c r="C465" s="71" t="s">
        <v>124</v>
      </c>
      <c r="D465" s="71" t="s">
        <v>9258</v>
      </c>
    </row>
    <row r="466" ht="14.25" customHeight="1">
      <c r="C466" s="71" t="s">
        <v>8981</v>
      </c>
      <c r="D466" s="71" t="s">
        <v>9258</v>
      </c>
    </row>
    <row r="467" ht="14.25" customHeight="1">
      <c r="C467" s="71" t="s">
        <v>9268</v>
      </c>
      <c r="D467" s="71" t="s">
        <v>12872</v>
      </c>
    </row>
    <row r="468" ht="14.25" customHeight="1">
      <c r="C468" s="71" t="s">
        <v>9133</v>
      </c>
      <c r="D468" s="71" t="s">
        <v>9258</v>
      </c>
    </row>
    <row r="469" ht="14.25" customHeight="1">
      <c r="C469" s="71" t="s">
        <v>12873</v>
      </c>
      <c r="D469" s="71" t="s">
        <v>8978</v>
      </c>
    </row>
    <row r="470" ht="14.25" customHeight="1">
      <c r="C470" s="71" t="s">
        <v>12874</v>
      </c>
      <c r="D470" s="71" t="s">
        <v>12875</v>
      </c>
    </row>
    <row r="471" ht="14.25" customHeight="1">
      <c r="C471" s="71" t="s">
        <v>12876</v>
      </c>
      <c r="D471" s="71" t="s">
        <v>8978</v>
      </c>
    </row>
    <row r="472" ht="14.25" customHeight="1">
      <c r="C472" s="71" t="s">
        <v>9426</v>
      </c>
      <c r="D472" s="71" t="s">
        <v>9258</v>
      </c>
    </row>
    <row r="473" ht="14.25" customHeight="1">
      <c r="C473" s="71" t="s">
        <v>12877</v>
      </c>
      <c r="D473" s="71" t="s">
        <v>8978</v>
      </c>
    </row>
    <row r="474" ht="14.25" customHeight="1">
      <c r="C474" s="71" t="s">
        <v>12878</v>
      </c>
      <c r="D474" s="71" t="s">
        <v>12879</v>
      </c>
    </row>
    <row r="475" ht="14.25" customHeight="1">
      <c r="C475" s="71" t="s">
        <v>3138</v>
      </c>
      <c r="D475" s="71" t="s">
        <v>12880</v>
      </c>
    </row>
    <row r="476" ht="14.25" customHeight="1">
      <c r="D476" s="71" t="s">
        <v>9258</v>
      </c>
    </row>
    <row r="477" ht="14.25" customHeight="1">
      <c r="C477" s="71" t="s">
        <v>9303</v>
      </c>
      <c r="D477" s="71" t="s">
        <v>9154</v>
      </c>
    </row>
    <row r="478" ht="14.25" customHeight="1">
      <c r="C478" s="71" t="s">
        <v>9374</v>
      </c>
      <c r="D478" s="71" t="s">
        <v>10189</v>
      </c>
    </row>
    <row r="479" ht="14.25" customHeight="1">
      <c r="D479" s="71" t="s">
        <v>8978</v>
      </c>
    </row>
    <row r="480" ht="14.25" customHeight="1">
      <c r="C480" s="71" t="s">
        <v>6405</v>
      </c>
      <c r="D480" s="71" t="s">
        <v>8978</v>
      </c>
    </row>
    <row r="481" ht="14.25" customHeight="1">
      <c r="C481" s="71" t="s">
        <v>12881</v>
      </c>
      <c r="D481" s="71" t="s">
        <v>8976</v>
      </c>
    </row>
    <row r="482" ht="14.25" customHeight="1">
      <c r="C482" s="71" t="s">
        <v>12882</v>
      </c>
      <c r="D482" s="71" t="s">
        <v>9034</v>
      </c>
    </row>
    <row r="483" ht="14.25" customHeight="1">
      <c r="C483" s="71" t="s">
        <v>12883</v>
      </c>
      <c r="D483" s="71" t="s">
        <v>9216</v>
      </c>
    </row>
    <row r="484" ht="14.25" customHeight="1">
      <c r="C484" s="71" t="s">
        <v>153</v>
      </c>
      <c r="D484" s="71" t="s">
        <v>8978</v>
      </c>
    </row>
    <row r="485" ht="14.25" customHeight="1">
      <c r="C485" s="71" t="s">
        <v>12884</v>
      </c>
      <c r="D485" s="71" t="s">
        <v>12885</v>
      </c>
    </row>
    <row r="486" ht="14.25" customHeight="1">
      <c r="C486" s="71" t="s">
        <v>12886</v>
      </c>
      <c r="D486" s="71" t="s">
        <v>12315</v>
      </c>
    </row>
    <row r="487" ht="14.25" customHeight="1">
      <c r="C487" s="71" t="s">
        <v>12826</v>
      </c>
      <c r="D487" s="71" t="s">
        <v>8978</v>
      </c>
    </row>
    <row r="488" ht="14.25" customHeight="1">
      <c r="C488" s="71" t="s">
        <v>3517</v>
      </c>
      <c r="D488" s="71" t="s">
        <v>9319</v>
      </c>
    </row>
    <row r="489" ht="14.25" customHeight="1">
      <c r="C489" s="71" t="s">
        <v>9385</v>
      </c>
      <c r="D489" s="71" t="s">
        <v>12887</v>
      </c>
    </row>
    <row r="490" ht="14.25" customHeight="1">
      <c r="C490" s="71" t="s">
        <v>12888</v>
      </c>
      <c r="D490" s="71" t="s">
        <v>8978</v>
      </c>
    </row>
    <row r="491" ht="14.25" customHeight="1">
      <c r="C491" s="71" t="s">
        <v>9427</v>
      </c>
      <c r="D491" s="71" t="s">
        <v>8978</v>
      </c>
    </row>
    <row r="492" ht="14.25" customHeight="1">
      <c r="C492" s="71" t="s">
        <v>3566</v>
      </c>
      <c r="D492" s="71" t="s">
        <v>9404</v>
      </c>
    </row>
    <row r="493" ht="14.25" customHeight="1">
      <c r="C493" s="71" t="s">
        <v>1513</v>
      </c>
      <c r="D493" s="71" t="s">
        <v>8978</v>
      </c>
    </row>
    <row r="494" ht="14.25" customHeight="1">
      <c r="C494" s="71" t="s">
        <v>12889</v>
      </c>
      <c r="D494" s="71" t="s">
        <v>12890</v>
      </c>
    </row>
    <row r="495" ht="14.25" customHeight="1">
      <c r="C495" s="71" t="s">
        <v>12891</v>
      </c>
      <c r="D495" s="71" t="s">
        <v>12892</v>
      </c>
    </row>
    <row r="496" ht="14.25" customHeight="1">
      <c r="C496" s="71" t="s">
        <v>9577</v>
      </c>
      <c r="D496" s="71" t="s">
        <v>9578</v>
      </c>
    </row>
    <row r="497" ht="14.25" customHeight="1">
      <c r="C497" s="71" t="s">
        <v>9390</v>
      </c>
      <c r="D497" s="71" t="s">
        <v>8978</v>
      </c>
    </row>
    <row r="498" ht="14.25" customHeight="1">
      <c r="C498" s="71" t="s">
        <v>9277</v>
      </c>
      <c r="D498" s="71" t="s">
        <v>9526</v>
      </c>
    </row>
    <row r="499" ht="14.25" customHeight="1">
      <c r="D499" s="71" t="s">
        <v>8978</v>
      </c>
    </row>
    <row r="500" ht="14.25" customHeight="1">
      <c r="C500" s="71" t="s">
        <v>12893</v>
      </c>
      <c r="D500" s="71" t="s">
        <v>12894</v>
      </c>
    </row>
    <row r="501" ht="14.25" customHeight="1">
      <c r="C501" s="71" t="s">
        <v>10827</v>
      </c>
      <c r="D501" s="71" t="s">
        <v>8978</v>
      </c>
    </row>
    <row r="502" ht="14.25" customHeight="1">
      <c r="C502" s="71" t="s">
        <v>12895</v>
      </c>
      <c r="D502" s="71" t="s">
        <v>8978</v>
      </c>
    </row>
    <row r="503" ht="14.25" customHeight="1">
      <c r="C503" s="71" t="s">
        <v>10184</v>
      </c>
      <c r="D503" s="71" t="s">
        <v>10259</v>
      </c>
    </row>
    <row r="504" ht="14.25" customHeight="1">
      <c r="C504" s="71" t="s">
        <v>9282</v>
      </c>
      <c r="D504" s="71" t="s">
        <v>8978</v>
      </c>
    </row>
    <row r="505" ht="14.25" customHeight="1">
      <c r="C505" s="71" t="s">
        <v>6841</v>
      </c>
      <c r="D505" s="71" t="s">
        <v>9430</v>
      </c>
    </row>
    <row r="506" ht="14.25" customHeight="1">
      <c r="C506" s="71" t="s">
        <v>218</v>
      </c>
      <c r="D506" s="71" t="s">
        <v>12896</v>
      </c>
    </row>
    <row r="507" ht="14.25" customHeight="1">
      <c r="D507" s="71" t="s">
        <v>9258</v>
      </c>
    </row>
    <row r="508" ht="14.25" customHeight="1">
      <c r="D508" s="71" t="s">
        <v>8978</v>
      </c>
    </row>
    <row r="509" ht="14.25" customHeight="1">
      <c r="C509" s="71" t="s">
        <v>10990</v>
      </c>
      <c r="D509" s="71" t="s">
        <v>10861</v>
      </c>
    </row>
    <row r="510" ht="14.25" customHeight="1">
      <c r="C510" s="71" t="s">
        <v>12125</v>
      </c>
      <c r="D510" s="71" t="s">
        <v>8978</v>
      </c>
    </row>
    <row r="511" ht="14.25" customHeight="1">
      <c r="C511" s="71" t="s">
        <v>10833</v>
      </c>
      <c r="D511" s="71" t="s">
        <v>8978</v>
      </c>
    </row>
    <row r="512" ht="14.25" customHeight="1">
      <c r="C512" s="71" t="s">
        <v>9286</v>
      </c>
      <c r="D512" s="71" t="s">
        <v>12897</v>
      </c>
    </row>
    <row r="513" ht="14.25" customHeight="1">
      <c r="D513" s="71" t="s">
        <v>9258</v>
      </c>
    </row>
    <row r="514" ht="14.25" customHeight="1">
      <c r="D514" s="71" t="s">
        <v>12898</v>
      </c>
    </row>
    <row r="515" ht="14.25" customHeight="1">
      <c r="C515" s="71" t="s">
        <v>12129</v>
      </c>
      <c r="D515" s="71" t="s">
        <v>9256</v>
      </c>
    </row>
    <row r="516" ht="14.25" customHeight="1">
      <c r="D516" s="71" t="s">
        <v>12899</v>
      </c>
    </row>
    <row r="517" ht="14.25" customHeight="1">
      <c r="C517" s="71" t="s">
        <v>9333</v>
      </c>
      <c r="D517" s="71" t="s">
        <v>9391</v>
      </c>
    </row>
    <row r="518" ht="14.25" customHeight="1">
      <c r="C518" s="71" t="s">
        <v>12900</v>
      </c>
      <c r="D518" s="71" t="s">
        <v>12901</v>
      </c>
    </row>
    <row r="519" ht="14.25" customHeight="1">
      <c r="C519" s="71" t="s">
        <v>8997</v>
      </c>
      <c r="D519" s="71" t="s">
        <v>8978</v>
      </c>
    </row>
    <row r="520" ht="14.25" customHeight="1">
      <c r="C520" s="71" t="s">
        <v>12902</v>
      </c>
      <c r="D520" s="71" t="s">
        <v>12903</v>
      </c>
    </row>
    <row r="521" ht="14.25" customHeight="1">
      <c r="C521" s="71" t="s">
        <v>12904</v>
      </c>
      <c r="D521" s="71" t="s">
        <v>12905</v>
      </c>
    </row>
    <row r="522" ht="14.25" customHeight="1">
      <c r="D522" s="71" t="s">
        <v>8978</v>
      </c>
    </row>
    <row r="523" ht="14.25" customHeight="1">
      <c r="C523" s="71" t="s">
        <v>9405</v>
      </c>
      <c r="D523" s="71" t="s">
        <v>8978</v>
      </c>
    </row>
    <row r="524" ht="14.25" customHeight="1">
      <c r="C524" s="71" t="s">
        <v>12906</v>
      </c>
      <c r="D524" s="71" t="s">
        <v>12907</v>
      </c>
    </row>
    <row r="525" ht="14.25" customHeight="1">
      <c r="C525" s="71" t="s">
        <v>9090</v>
      </c>
      <c r="D525" s="71" t="s">
        <v>10736</v>
      </c>
    </row>
    <row r="526" ht="14.25" customHeight="1">
      <c r="C526" s="71" t="s">
        <v>9160</v>
      </c>
      <c r="D526" s="71" t="s">
        <v>12908</v>
      </c>
    </row>
    <row r="527" ht="14.25" customHeight="1">
      <c r="D527" s="71" t="s">
        <v>8978</v>
      </c>
    </row>
    <row r="528" ht="14.25" customHeight="1">
      <c r="C528" s="71" t="s">
        <v>11525</v>
      </c>
      <c r="D528" s="71" t="s">
        <v>8978</v>
      </c>
    </row>
    <row r="529" ht="14.25" customHeight="1">
      <c r="C529" s="71" t="s">
        <v>12909</v>
      </c>
      <c r="D529" s="71" t="s">
        <v>9319</v>
      </c>
    </row>
    <row r="530" ht="14.25" customHeight="1">
      <c r="C530" s="71" t="s">
        <v>12910</v>
      </c>
      <c r="D530" s="71" t="s">
        <v>8978</v>
      </c>
    </row>
    <row r="531" ht="14.25" customHeight="1">
      <c r="C531" s="71" t="s">
        <v>9005</v>
      </c>
      <c r="D531" s="71" t="s">
        <v>12911</v>
      </c>
    </row>
    <row r="532" ht="14.25" customHeight="1">
      <c r="C532" s="71" t="s">
        <v>12850</v>
      </c>
      <c r="D532" s="71" t="s">
        <v>12912</v>
      </c>
    </row>
    <row r="533" ht="14.25" customHeight="1">
      <c r="C533" s="71" t="s">
        <v>274</v>
      </c>
      <c r="D533" s="71" t="s">
        <v>10202</v>
      </c>
    </row>
    <row r="534" ht="14.25" customHeight="1">
      <c r="C534" s="71" t="s">
        <v>9295</v>
      </c>
      <c r="D534" s="71" t="s">
        <v>8978</v>
      </c>
    </row>
    <row r="535" ht="14.25" customHeight="1">
      <c r="C535" s="71" t="s">
        <v>12913</v>
      </c>
      <c r="D535" s="71" t="s">
        <v>8978</v>
      </c>
    </row>
    <row r="536" ht="14.25" customHeight="1">
      <c r="C536" s="71" t="s">
        <v>9787</v>
      </c>
      <c r="D536" s="71" t="s">
        <v>9319</v>
      </c>
    </row>
    <row r="537" ht="14.25" customHeight="1">
      <c r="D537" s="71" t="s">
        <v>8978</v>
      </c>
    </row>
    <row r="538" ht="14.25" customHeight="1">
      <c r="B538" s="71" t="s">
        <v>41</v>
      </c>
      <c r="C538" s="71" t="s">
        <v>9034</v>
      </c>
      <c r="D538" s="71" t="s">
        <v>10189</v>
      </c>
    </row>
    <row r="539" ht="14.25" customHeight="1">
      <c r="C539" s="71" t="s">
        <v>12914</v>
      </c>
      <c r="D539" s="71" t="s">
        <v>8978</v>
      </c>
    </row>
    <row r="540" ht="14.25" customHeight="1">
      <c r="C540" s="71" t="s">
        <v>12915</v>
      </c>
      <c r="D540" s="71" t="s">
        <v>8978</v>
      </c>
    </row>
    <row r="541" ht="14.25" customHeight="1">
      <c r="C541" s="71" t="s">
        <v>8969</v>
      </c>
      <c r="D541" s="71" t="s">
        <v>12916</v>
      </c>
    </row>
    <row r="542" ht="14.25" customHeight="1">
      <c r="D542" s="71" t="s">
        <v>9256</v>
      </c>
    </row>
    <row r="543" ht="14.25" customHeight="1">
      <c r="C543" s="71" t="s">
        <v>12917</v>
      </c>
      <c r="D543" s="71" t="s">
        <v>8978</v>
      </c>
    </row>
    <row r="544" ht="14.25" customHeight="1">
      <c r="C544" s="71" t="s">
        <v>9630</v>
      </c>
      <c r="D544" s="71" t="s">
        <v>9236</v>
      </c>
    </row>
    <row r="545" ht="14.25" customHeight="1">
      <c r="D545" s="71" t="s">
        <v>12918</v>
      </c>
    </row>
    <row r="546" ht="14.25" customHeight="1">
      <c r="C546" s="71" t="s">
        <v>12919</v>
      </c>
      <c r="D546" s="71" t="s">
        <v>8978</v>
      </c>
    </row>
    <row r="547" ht="14.25" customHeight="1">
      <c r="C547" s="71" t="s">
        <v>3138</v>
      </c>
      <c r="D547" s="71" t="s">
        <v>8978</v>
      </c>
    </row>
    <row r="548" ht="14.25" customHeight="1">
      <c r="C548" s="71" t="s">
        <v>9303</v>
      </c>
      <c r="D548" s="71" t="s">
        <v>8978</v>
      </c>
    </row>
    <row r="549" ht="14.25" customHeight="1">
      <c r="C549" s="71" t="s">
        <v>9374</v>
      </c>
      <c r="D549" s="71" t="s">
        <v>8978</v>
      </c>
    </row>
    <row r="550" ht="14.25" customHeight="1">
      <c r="C550" s="71" t="s">
        <v>153</v>
      </c>
      <c r="D550" s="71" t="s">
        <v>8978</v>
      </c>
    </row>
    <row r="551" ht="14.25" customHeight="1">
      <c r="C551" s="71" t="s">
        <v>162</v>
      </c>
      <c r="D551" s="71" t="s">
        <v>10841</v>
      </c>
    </row>
    <row r="552" ht="14.25" customHeight="1">
      <c r="C552" s="71" t="s">
        <v>9390</v>
      </c>
      <c r="D552" s="71" t="s">
        <v>8978</v>
      </c>
    </row>
    <row r="553" ht="14.25" customHeight="1">
      <c r="C553" s="71" t="s">
        <v>12828</v>
      </c>
      <c r="D553" s="71" t="s">
        <v>8978</v>
      </c>
    </row>
    <row r="554" ht="14.25" customHeight="1">
      <c r="C554" s="71" t="s">
        <v>9277</v>
      </c>
      <c r="D554" s="71" t="s">
        <v>8978</v>
      </c>
    </row>
    <row r="555" ht="14.25" customHeight="1">
      <c r="C555" s="71" t="s">
        <v>9282</v>
      </c>
      <c r="D555" s="71" t="s">
        <v>8978</v>
      </c>
    </row>
    <row r="556" ht="14.25" customHeight="1">
      <c r="C556" s="71" t="s">
        <v>10833</v>
      </c>
      <c r="D556" s="71" t="s">
        <v>8978</v>
      </c>
    </row>
    <row r="557" ht="14.25" customHeight="1">
      <c r="C557" s="71" t="s">
        <v>8997</v>
      </c>
      <c r="D557" s="71" t="s">
        <v>8978</v>
      </c>
    </row>
    <row r="558" ht="14.25" customHeight="1">
      <c r="C558" s="71" t="s">
        <v>12920</v>
      </c>
      <c r="D558" s="71" t="s">
        <v>8978</v>
      </c>
    </row>
    <row r="559" ht="14.25" customHeight="1">
      <c r="C559" s="71" t="s">
        <v>12921</v>
      </c>
      <c r="D559" s="71" t="s">
        <v>8978</v>
      </c>
    </row>
    <row r="560" ht="14.25" customHeight="1">
      <c r="C560" s="71" t="s">
        <v>9529</v>
      </c>
      <c r="D560" s="71" t="s">
        <v>12922</v>
      </c>
    </row>
    <row r="561" ht="14.25" customHeight="1">
      <c r="C561" s="71" t="s">
        <v>9295</v>
      </c>
      <c r="D561" s="71" t="s">
        <v>9326</v>
      </c>
    </row>
    <row r="562" ht="14.25" customHeight="1">
      <c r="B562" s="71" t="s">
        <v>13</v>
      </c>
      <c r="C562" s="71" t="s">
        <v>12923</v>
      </c>
      <c r="D562" s="71" t="s">
        <v>9380</v>
      </c>
    </row>
    <row r="563" ht="14.25" customHeight="1">
      <c r="C563" s="71" t="s">
        <v>12924</v>
      </c>
      <c r="D563" s="71" t="s">
        <v>8978</v>
      </c>
    </row>
    <row r="564" ht="14.25" customHeight="1">
      <c r="A564" s="71" t="s">
        <v>9443</v>
      </c>
      <c r="B564" s="71" t="s">
        <v>40</v>
      </c>
      <c r="C564" s="71" t="s">
        <v>2669</v>
      </c>
      <c r="D564" s="71" t="s">
        <v>12925</v>
      </c>
    </row>
    <row r="565" ht="14.25" customHeight="1">
      <c r="C565" s="71" t="s">
        <v>6182</v>
      </c>
      <c r="D565" s="71" t="s">
        <v>9430</v>
      </c>
    </row>
    <row r="566" ht="14.25" customHeight="1">
      <c r="C566" s="71" t="s">
        <v>12926</v>
      </c>
      <c r="D566" s="71" t="s">
        <v>9258</v>
      </c>
    </row>
    <row r="567" ht="14.25" customHeight="1">
      <c r="C567" s="71" t="s">
        <v>12927</v>
      </c>
      <c r="D567" s="71" t="s">
        <v>12928</v>
      </c>
    </row>
    <row r="568" ht="14.25" customHeight="1">
      <c r="C568" s="71" t="s">
        <v>12929</v>
      </c>
      <c r="D568" s="71" t="s">
        <v>8978</v>
      </c>
    </row>
    <row r="569" ht="14.25" customHeight="1">
      <c r="C569" s="71" t="s">
        <v>12930</v>
      </c>
      <c r="D569" s="71" t="s">
        <v>8978</v>
      </c>
    </row>
    <row r="570" ht="14.25" customHeight="1">
      <c r="A570" s="71" t="s">
        <v>9457</v>
      </c>
      <c r="B570" s="71" t="s">
        <v>40</v>
      </c>
      <c r="C570" s="71" t="s">
        <v>9340</v>
      </c>
      <c r="D570" s="71" t="s">
        <v>12931</v>
      </c>
    </row>
    <row r="571" ht="14.25" customHeight="1">
      <c r="C571" s="71" t="s">
        <v>9310</v>
      </c>
      <c r="D571" s="71" t="s">
        <v>9034</v>
      </c>
    </row>
    <row r="572" ht="14.25" customHeight="1">
      <c r="C572" s="71" t="s">
        <v>11684</v>
      </c>
      <c r="D572" s="71" t="s">
        <v>8978</v>
      </c>
    </row>
    <row r="573" ht="14.25" customHeight="1">
      <c r="C573" s="71" t="s">
        <v>12932</v>
      </c>
      <c r="D573" s="71" t="s">
        <v>9867</v>
      </c>
    </row>
    <row r="574" ht="14.25" customHeight="1">
      <c r="C574" s="71" t="s">
        <v>7471</v>
      </c>
      <c r="D574" s="71" t="s">
        <v>12933</v>
      </c>
    </row>
    <row r="575" ht="14.25" customHeight="1">
      <c r="C575" s="71" t="s">
        <v>12599</v>
      </c>
      <c r="D575" s="71" t="s">
        <v>9265</v>
      </c>
    </row>
    <row r="576" ht="14.25" customHeight="1">
      <c r="C576" s="71" t="s">
        <v>81</v>
      </c>
      <c r="D576" s="71" t="s">
        <v>10224</v>
      </c>
    </row>
    <row r="577" ht="14.25" customHeight="1">
      <c r="C577" s="71" t="s">
        <v>1889</v>
      </c>
      <c r="D577" s="71" t="s">
        <v>12934</v>
      </c>
    </row>
    <row r="578" ht="14.25" customHeight="1">
      <c r="C578" s="71" t="s">
        <v>12935</v>
      </c>
      <c r="D578" s="71" t="s">
        <v>9265</v>
      </c>
    </row>
    <row r="579" ht="14.25" customHeight="1">
      <c r="C579" s="71" t="s">
        <v>12936</v>
      </c>
      <c r="D579" s="71" t="s">
        <v>9265</v>
      </c>
    </row>
    <row r="580" ht="14.25" customHeight="1">
      <c r="C580" s="71" t="s">
        <v>89</v>
      </c>
      <c r="D580" s="71" t="s">
        <v>12937</v>
      </c>
    </row>
    <row r="581" ht="14.25" customHeight="1">
      <c r="D581" s="71" t="s">
        <v>10883</v>
      </c>
    </row>
    <row r="582" ht="14.25" customHeight="1">
      <c r="D582" s="71" t="s">
        <v>9265</v>
      </c>
    </row>
    <row r="583" ht="14.25" customHeight="1">
      <c r="D583" s="71" t="s">
        <v>8968</v>
      </c>
    </row>
    <row r="584" ht="14.25" customHeight="1">
      <c r="D584" s="71" t="s">
        <v>12938</v>
      </c>
    </row>
    <row r="585" ht="14.25" customHeight="1">
      <c r="C585" s="71" t="s">
        <v>9320</v>
      </c>
      <c r="D585" s="71" t="s">
        <v>12939</v>
      </c>
    </row>
    <row r="586" ht="14.25" customHeight="1">
      <c r="C586" s="71" t="s">
        <v>2669</v>
      </c>
      <c r="D586" s="71" t="s">
        <v>12940</v>
      </c>
    </row>
    <row r="587" ht="14.25" customHeight="1">
      <c r="C587" s="71" t="s">
        <v>12941</v>
      </c>
      <c r="D587" s="71" t="s">
        <v>12942</v>
      </c>
    </row>
    <row r="588" ht="14.25" customHeight="1">
      <c r="C588" s="71" t="s">
        <v>12943</v>
      </c>
      <c r="D588" s="71" t="s">
        <v>9755</v>
      </c>
    </row>
    <row r="589" ht="14.25" customHeight="1">
      <c r="C589" s="71" t="s">
        <v>12944</v>
      </c>
      <c r="D589" s="71" t="s">
        <v>9755</v>
      </c>
    </row>
    <row r="590" ht="14.25" customHeight="1">
      <c r="C590" s="71" t="s">
        <v>10123</v>
      </c>
      <c r="D590" s="71" t="s">
        <v>10224</v>
      </c>
    </row>
    <row r="591" ht="14.25" customHeight="1">
      <c r="D591" s="71" t="s">
        <v>9474</v>
      </c>
    </row>
    <row r="592" ht="14.25" customHeight="1">
      <c r="D592" s="71" t="s">
        <v>9026</v>
      </c>
    </row>
    <row r="593" ht="14.25" customHeight="1">
      <c r="C593" s="71" t="s">
        <v>12945</v>
      </c>
      <c r="D593" s="71" t="s">
        <v>8978</v>
      </c>
    </row>
    <row r="594" ht="14.25" customHeight="1">
      <c r="C594" s="71" t="s">
        <v>916</v>
      </c>
      <c r="D594" s="71" t="s">
        <v>12946</v>
      </c>
    </row>
    <row r="595" ht="14.25" customHeight="1">
      <c r="D595" s="71" t="s">
        <v>12947</v>
      </c>
    </row>
    <row r="596" ht="14.25" customHeight="1">
      <c r="C596" s="71" t="s">
        <v>6152</v>
      </c>
      <c r="D596" s="71" t="s">
        <v>10124</v>
      </c>
    </row>
    <row r="597" ht="14.25" customHeight="1">
      <c r="C597" s="71" t="s">
        <v>9121</v>
      </c>
      <c r="D597" s="71" t="s">
        <v>9034</v>
      </c>
    </row>
    <row r="598" ht="14.25" customHeight="1">
      <c r="D598" s="71" t="s">
        <v>9827</v>
      </c>
    </row>
    <row r="599" ht="14.25" customHeight="1">
      <c r="C599" s="71" t="s">
        <v>12948</v>
      </c>
      <c r="D599" s="71" t="s">
        <v>9671</v>
      </c>
    </row>
    <row r="600" ht="14.25" customHeight="1">
      <c r="C600" s="71" t="s">
        <v>12949</v>
      </c>
      <c r="D600" s="71" t="s">
        <v>10197</v>
      </c>
    </row>
    <row r="601" ht="14.25" customHeight="1">
      <c r="C601" s="71" t="s">
        <v>2908</v>
      </c>
      <c r="D601" s="71" t="s">
        <v>9118</v>
      </c>
    </row>
    <row r="602" ht="14.25" customHeight="1">
      <c r="C602" s="71" t="s">
        <v>12950</v>
      </c>
      <c r="D602" s="71" t="s">
        <v>10232</v>
      </c>
    </row>
    <row r="603" ht="14.25" customHeight="1">
      <c r="C603" s="71" t="s">
        <v>9478</v>
      </c>
      <c r="D603" s="71" t="s">
        <v>9265</v>
      </c>
    </row>
    <row r="604" ht="14.25" customHeight="1">
      <c r="C604" s="71" t="s">
        <v>12951</v>
      </c>
      <c r="D604" s="71" t="s">
        <v>12760</v>
      </c>
    </row>
    <row r="605" ht="14.25" customHeight="1">
      <c r="C605" s="71" t="s">
        <v>8981</v>
      </c>
      <c r="D605" s="71" t="s">
        <v>12056</v>
      </c>
    </row>
    <row r="606" ht="14.25" customHeight="1">
      <c r="C606" s="71" t="s">
        <v>9481</v>
      </c>
      <c r="D606" s="71" t="s">
        <v>12952</v>
      </c>
    </row>
    <row r="607" ht="14.25" customHeight="1">
      <c r="C607" s="71" t="s">
        <v>9268</v>
      </c>
      <c r="D607" s="71" t="s">
        <v>10223</v>
      </c>
    </row>
    <row r="608" ht="14.25" customHeight="1">
      <c r="D608" s="71" t="s">
        <v>12286</v>
      </c>
    </row>
    <row r="609" ht="14.25" customHeight="1">
      <c r="C609" s="71" t="s">
        <v>9133</v>
      </c>
      <c r="D609" s="71" t="s">
        <v>9265</v>
      </c>
    </row>
    <row r="610" ht="14.25" customHeight="1">
      <c r="C610" s="71" t="s">
        <v>12953</v>
      </c>
      <c r="D610" s="71" t="s">
        <v>9486</v>
      </c>
    </row>
    <row r="611" ht="14.25" customHeight="1">
      <c r="C611" s="71" t="s">
        <v>12954</v>
      </c>
      <c r="D611" s="71" t="s">
        <v>9514</v>
      </c>
    </row>
    <row r="612" ht="14.25" customHeight="1">
      <c r="C612" s="71" t="s">
        <v>9589</v>
      </c>
      <c r="D612" s="71" t="s">
        <v>10224</v>
      </c>
    </row>
    <row r="613" ht="14.25" customHeight="1">
      <c r="C613" s="71" t="s">
        <v>12822</v>
      </c>
      <c r="D613" s="71" t="s">
        <v>9131</v>
      </c>
    </row>
    <row r="614" ht="14.25" customHeight="1">
      <c r="C614" s="71" t="s">
        <v>3138</v>
      </c>
      <c r="D614" s="71" t="s">
        <v>12955</v>
      </c>
    </row>
    <row r="615" ht="14.25" customHeight="1">
      <c r="C615" s="71" t="s">
        <v>12956</v>
      </c>
      <c r="D615" s="71" t="s">
        <v>12092</v>
      </c>
    </row>
    <row r="616" ht="14.25" customHeight="1">
      <c r="C616" s="71" t="s">
        <v>12957</v>
      </c>
      <c r="D616" s="71" t="s">
        <v>9265</v>
      </c>
    </row>
    <row r="617" ht="14.25" customHeight="1">
      <c r="C617" s="71" t="s">
        <v>12958</v>
      </c>
      <c r="D617" s="71" t="s">
        <v>12959</v>
      </c>
    </row>
    <row r="618" ht="14.25" customHeight="1">
      <c r="C618" s="71" t="s">
        <v>9272</v>
      </c>
      <c r="D618" s="71" t="s">
        <v>8978</v>
      </c>
    </row>
    <row r="619" ht="14.25" customHeight="1">
      <c r="C619" s="71" t="s">
        <v>153</v>
      </c>
      <c r="D619" s="71" t="s">
        <v>12600</v>
      </c>
    </row>
    <row r="620" ht="14.25" customHeight="1">
      <c r="D620" s="71" t="s">
        <v>9867</v>
      </c>
    </row>
    <row r="621" ht="14.25" customHeight="1">
      <c r="D621" s="71" t="s">
        <v>12960</v>
      </c>
    </row>
    <row r="622" ht="14.25" customHeight="1">
      <c r="C622" s="71" t="s">
        <v>3359</v>
      </c>
      <c r="D622" s="71" t="s">
        <v>9039</v>
      </c>
    </row>
    <row r="623" ht="14.25" customHeight="1">
      <c r="C623" s="71" t="s">
        <v>12961</v>
      </c>
      <c r="D623" s="71" t="s">
        <v>9039</v>
      </c>
    </row>
    <row r="624" ht="14.25" customHeight="1">
      <c r="C624" s="71" t="s">
        <v>12962</v>
      </c>
      <c r="D624" s="71" t="s">
        <v>9265</v>
      </c>
    </row>
    <row r="625" ht="14.25" customHeight="1">
      <c r="C625" s="71" t="s">
        <v>12963</v>
      </c>
      <c r="D625" s="71" t="s">
        <v>9151</v>
      </c>
    </row>
    <row r="626" ht="14.25" customHeight="1">
      <c r="C626" s="71" t="s">
        <v>166</v>
      </c>
      <c r="D626" s="71" t="s">
        <v>10239</v>
      </c>
    </row>
    <row r="627" ht="14.25" customHeight="1">
      <c r="C627" s="71" t="s">
        <v>9385</v>
      </c>
      <c r="D627" s="71" t="s">
        <v>9265</v>
      </c>
    </row>
    <row r="628" ht="14.25" customHeight="1">
      <c r="D628" s="71" t="s">
        <v>10224</v>
      </c>
    </row>
    <row r="629" ht="14.25" customHeight="1">
      <c r="C629" s="71" t="s">
        <v>3566</v>
      </c>
      <c r="D629" s="71" t="s">
        <v>8978</v>
      </c>
    </row>
    <row r="630" ht="14.25" customHeight="1">
      <c r="D630" s="71" t="s">
        <v>12964</v>
      </c>
    </row>
    <row r="631" ht="14.25" customHeight="1">
      <c r="C631" s="71" t="s">
        <v>12965</v>
      </c>
      <c r="D631" s="71" t="s">
        <v>12966</v>
      </c>
    </row>
    <row r="632" ht="14.25" customHeight="1">
      <c r="C632" s="71" t="s">
        <v>9277</v>
      </c>
      <c r="D632" s="71" t="s">
        <v>9265</v>
      </c>
    </row>
    <row r="633" ht="14.25" customHeight="1">
      <c r="C633" s="71" t="s">
        <v>12967</v>
      </c>
      <c r="D633" s="71" t="s">
        <v>9109</v>
      </c>
    </row>
    <row r="634" ht="14.25" customHeight="1">
      <c r="C634" s="71" t="s">
        <v>10247</v>
      </c>
      <c r="D634" s="71" t="s">
        <v>12968</v>
      </c>
    </row>
    <row r="635" ht="14.25" customHeight="1">
      <c r="C635" s="71" t="s">
        <v>12969</v>
      </c>
      <c r="D635" s="71" t="s">
        <v>12970</v>
      </c>
    </row>
    <row r="636" ht="14.25" customHeight="1">
      <c r="C636" s="71" t="s">
        <v>12971</v>
      </c>
      <c r="D636" s="71" t="s">
        <v>12972</v>
      </c>
    </row>
    <row r="637" ht="14.25" customHeight="1">
      <c r="C637" s="71" t="s">
        <v>12973</v>
      </c>
      <c r="D637" s="71" t="s">
        <v>9039</v>
      </c>
    </row>
    <row r="638" ht="14.25" customHeight="1">
      <c r="C638" s="71" t="s">
        <v>8997</v>
      </c>
      <c r="D638" s="71" t="s">
        <v>12974</v>
      </c>
    </row>
    <row r="639" ht="14.25" customHeight="1">
      <c r="D639" s="71" t="s">
        <v>12975</v>
      </c>
    </row>
    <row r="640" ht="14.25" customHeight="1">
      <c r="C640" s="71" t="s">
        <v>12976</v>
      </c>
      <c r="D640" s="71" t="s">
        <v>12977</v>
      </c>
    </row>
    <row r="641" ht="14.25" customHeight="1">
      <c r="C641" s="71" t="s">
        <v>11236</v>
      </c>
      <c r="D641" s="71" t="s">
        <v>12978</v>
      </c>
    </row>
    <row r="642" ht="14.25" customHeight="1">
      <c r="C642" s="71" t="s">
        <v>4035</v>
      </c>
      <c r="D642" s="71" t="s">
        <v>12725</v>
      </c>
    </row>
    <row r="643" ht="14.25" customHeight="1">
      <c r="D643" s="71" t="s">
        <v>10224</v>
      </c>
    </row>
    <row r="644" ht="14.25" customHeight="1">
      <c r="D644" s="71" t="s">
        <v>8968</v>
      </c>
    </row>
    <row r="645" ht="14.25" customHeight="1">
      <c r="C645" s="71" t="s">
        <v>12979</v>
      </c>
      <c r="D645" s="71" t="s">
        <v>9265</v>
      </c>
    </row>
    <row r="646" ht="14.25" customHeight="1">
      <c r="C646" s="71" t="s">
        <v>9902</v>
      </c>
      <c r="D646" s="71" t="s">
        <v>9474</v>
      </c>
    </row>
    <row r="647" ht="14.25" customHeight="1">
      <c r="C647" s="71" t="s">
        <v>12980</v>
      </c>
      <c r="D647" s="71" t="s">
        <v>12981</v>
      </c>
    </row>
    <row r="648" ht="14.25" customHeight="1">
      <c r="C648" s="71" t="s">
        <v>12982</v>
      </c>
      <c r="D648" s="71" t="s">
        <v>9066</v>
      </c>
    </row>
    <row r="649" ht="14.25" customHeight="1">
      <c r="C649" s="71" t="s">
        <v>8763</v>
      </c>
      <c r="D649" s="71" t="s">
        <v>405</v>
      </c>
    </row>
    <row r="650" ht="14.25" customHeight="1">
      <c r="C650" s="71" t="s">
        <v>9160</v>
      </c>
      <c r="D650" s="71" t="s">
        <v>9545</v>
      </c>
    </row>
    <row r="651" ht="14.25" customHeight="1">
      <c r="D651" s="71" t="s">
        <v>12983</v>
      </c>
    </row>
    <row r="652" ht="14.25" customHeight="1">
      <c r="D652" s="71" t="s">
        <v>9291</v>
      </c>
    </row>
    <row r="653" ht="14.25" customHeight="1">
      <c r="D653" s="71" t="s">
        <v>10270</v>
      </c>
    </row>
    <row r="654" ht="14.25" customHeight="1">
      <c r="D654" s="71" t="s">
        <v>12984</v>
      </c>
    </row>
    <row r="655" ht="14.25" customHeight="1">
      <c r="D655" s="71" t="s">
        <v>11490</v>
      </c>
    </row>
    <row r="656" ht="14.25" customHeight="1">
      <c r="D656" s="71" t="s">
        <v>12985</v>
      </c>
    </row>
    <row r="657" ht="14.25" customHeight="1">
      <c r="D657" s="71" t="s">
        <v>9525</v>
      </c>
    </row>
    <row r="658" ht="14.25" customHeight="1">
      <c r="D658" s="71" t="s">
        <v>9292</v>
      </c>
    </row>
    <row r="659" ht="14.25" customHeight="1">
      <c r="D659" s="71" t="s">
        <v>12986</v>
      </c>
    </row>
    <row r="660" ht="14.25" customHeight="1">
      <c r="D660" s="71" t="s">
        <v>12987</v>
      </c>
    </row>
    <row r="661" ht="14.25" customHeight="1">
      <c r="D661" s="71" t="s">
        <v>11690</v>
      </c>
    </row>
    <row r="662" ht="14.25" customHeight="1">
      <c r="D662" s="71" t="s">
        <v>9086</v>
      </c>
    </row>
    <row r="663" ht="14.25" customHeight="1">
      <c r="C663" s="71" t="s">
        <v>12988</v>
      </c>
      <c r="D663" s="71" t="s">
        <v>12975</v>
      </c>
    </row>
    <row r="664" ht="14.25" customHeight="1">
      <c r="C664" s="71" t="s">
        <v>268</v>
      </c>
      <c r="D664" s="71" t="s">
        <v>9291</v>
      </c>
    </row>
    <row r="665" ht="14.25" customHeight="1">
      <c r="C665" s="71" t="s">
        <v>12989</v>
      </c>
      <c r="D665" s="71" t="s">
        <v>12990</v>
      </c>
    </row>
    <row r="666" ht="14.25" customHeight="1">
      <c r="C666" s="71" t="s">
        <v>9005</v>
      </c>
      <c r="D666" s="71" t="s">
        <v>9006</v>
      </c>
    </row>
    <row r="667" ht="14.25" customHeight="1">
      <c r="C667" s="71" t="s">
        <v>12991</v>
      </c>
      <c r="D667" s="71" t="s">
        <v>12992</v>
      </c>
    </row>
    <row r="668" ht="14.25" customHeight="1">
      <c r="C668" s="71" t="s">
        <v>9007</v>
      </c>
      <c r="D668" s="71" t="s">
        <v>9034</v>
      </c>
    </row>
    <row r="669" ht="14.25" customHeight="1">
      <c r="C669" s="71" t="s">
        <v>12993</v>
      </c>
      <c r="D669" s="71" t="s">
        <v>9265</v>
      </c>
    </row>
    <row r="670" ht="14.25" customHeight="1">
      <c r="B670" s="71" t="s">
        <v>41</v>
      </c>
      <c r="C670" s="71" t="s">
        <v>12994</v>
      </c>
      <c r="D670" s="71" t="s">
        <v>12995</v>
      </c>
    </row>
    <row r="671" ht="14.25" customHeight="1">
      <c r="C671" s="71" t="s">
        <v>1889</v>
      </c>
      <c r="D671" s="71" t="s">
        <v>9508</v>
      </c>
    </row>
    <row r="672" ht="14.25" customHeight="1">
      <c r="C672" s="71" t="s">
        <v>11548</v>
      </c>
      <c r="D672" s="71" t="s">
        <v>12996</v>
      </c>
    </row>
    <row r="673" ht="14.25" customHeight="1">
      <c r="C673" s="71" t="s">
        <v>12997</v>
      </c>
      <c r="D673" s="71" t="s">
        <v>9055</v>
      </c>
    </row>
    <row r="674" ht="14.25" customHeight="1">
      <c r="C674" s="71" t="s">
        <v>9426</v>
      </c>
      <c r="D674" s="71" t="s">
        <v>8978</v>
      </c>
    </row>
    <row r="675" ht="14.25" customHeight="1">
      <c r="C675" s="71" t="s">
        <v>141</v>
      </c>
      <c r="D675" s="71" t="s">
        <v>12998</v>
      </c>
    </row>
    <row r="676" ht="14.25" customHeight="1">
      <c r="C676" s="71" t="s">
        <v>153</v>
      </c>
      <c r="D676" s="71" t="s">
        <v>9867</v>
      </c>
    </row>
    <row r="677" ht="14.25" customHeight="1">
      <c r="C677" s="71" t="s">
        <v>10905</v>
      </c>
      <c r="D677" s="71" t="s">
        <v>9265</v>
      </c>
    </row>
    <row r="678" ht="14.25" customHeight="1">
      <c r="C678" s="71" t="s">
        <v>12999</v>
      </c>
      <c r="D678" s="71" t="s">
        <v>13000</v>
      </c>
    </row>
    <row r="679" ht="14.25" customHeight="1">
      <c r="C679" s="71" t="s">
        <v>13001</v>
      </c>
      <c r="D679" s="71" t="s">
        <v>9034</v>
      </c>
    </row>
    <row r="680" ht="14.25" customHeight="1">
      <c r="C680" s="71" t="s">
        <v>13002</v>
      </c>
      <c r="D680" s="71" t="s">
        <v>13003</v>
      </c>
    </row>
    <row r="681" ht="14.25" customHeight="1">
      <c r="B681" s="71" t="s">
        <v>13</v>
      </c>
      <c r="C681" s="71" t="s">
        <v>10273</v>
      </c>
      <c r="D681" s="71" t="s">
        <v>13004</v>
      </c>
    </row>
    <row r="682" ht="14.25" customHeight="1">
      <c r="C682" s="71" t="s">
        <v>13005</v>
      </c>
      <c r="D682" s="71" t="s">
        <v>9176</v>
      </c>
    </row>
    <row r="683" ht="14.25" customHeight="1">
      <c r="C683" s="71" t="s">
        <v>13006</v>
      </c>
      <c r="D683" s="71" t="s">
        <v>12581</v>
      </c>
    </row>
    <row r="684" ht="14.25" customHeight="1">
      <c r="C684" s="71" t="s">
        <v>9329</v>
      </c>
      <c r="D684" s="71" t="s">
        <v>9440</v>
      </c>
    </row>
    <row r="685" ht="14.25" customHeight="1">
      <c r="C685" s="71" t="s">
        <v>13007</v>
      </c>
      <c r="D685" s="71" t="s">
        <v>13008</v>
      </c>
    </row>
    <row r="686" ht="14.25" customHeight="1">
      <c r="C686" s="71" t="s">
        <v>13009</v>
      </c>
      <c r="D686" s="71" t="s">
        <v>13010</v>
      </c>
    </row>
    <row r="687" ht="14.25" customHeight="1">
      <c r="C687" s="71" t="s">
        <v>9333</v>
      </c>
      <c r="D687" s="71" t="s">
        <v>9332</v>
      </c>
    </row>
    <row r="688" ht="14.25" customHeight="1">
      <c r="C688" s="71" t="s">
        <v>13011</v>
      </c>
      <c r="D688" s="71" t="s">
        <v>9176</v>
      </c>
    </row>
    <row r="689" ht="14.25" customHeight="1">
      <c r="C689" s="71" t="s">
        <v>13012</v>
      </c>
      <c r="D689" s="71" t="s">
        <v>9291</v>
      </c>
    </row>
    <row r="690" ht="14.25" customHeight="1">
      <c r="C690" s="71" t="s">
        <v>13013</v>
      </c>
      <c r="D690" s="71" t="s">
        <v>9176</v>
      </c>
    </row>
    <row r="691" ht="14.25" customHeight="1">
      <c r="A691" s="71" t="s">
        <v>9551</v>
      </c>
      <c r="B691" s="71" t="s">
        <v>40</v>
      </c>
      <c r="C691" s="71" t="s">
        <v>9340</v>
      </c>
      <c r="D691" s="71" t="s">
        <v>13014</v>
      </c>
    </row>
    <row r="692" ht="14.25" customHeight="1">
      <c r="C692" s="71" t="s">
        <v>13015</v>
      </c>
      <c r="D692" s="71" t="s">
        <v>9265</v>
      </c>
    </row>
    <row r="693" ht="14.25" customHeight="1">
      <c r="C693" s="71" t="s">
        <v>13016</v>
      </c>
      <c r="D693" s="71" t="s">
        <v>13017</v>
      </c>
    </row>
    <row r="694" ht="14.25" customHeight="1">
      <c r="C694" s="71" t="s">
        <v>13018</v>
      </c>
      <c r="D694" s="71" t="s">
        <v>9152</v>
      </c>
    </row>
    <row r="695" ht="14.25" customHeight="1">
      <c r="C695" s="71" t="s">
        <v>9374</v>
      </c>
      <c r="D695" s="71" t="s">
        <v>8978</v>
      </c>
    </row>
    <row r="696" ht="14.25" customHeight="1">
      <c r="C696" s="71" t="s">
        <v>145</v>
      </c>
      <c r="D696" s="71" t="s">
        <v>9118</v>
      </c>
    </row>
    <row r="697" ht="14.25" customHeight="1">
      <c r="C697" s="71" t="s">
        <v>13019</v>
      </c>
      <c r="D697" s="71" t="s">
        <v>11596</v>
      </c>
    </row>
    <row r="698" ht="14.25" customHeight="1">
      <c r="C698" s="71" t="s">
        <v>13020</v>
      </c>
      <c r="D698" s="71" t="s">
        <v>8976</v>
      </c>
    </row>
    <row r="699" ht="14.25" customHeight="1">
      <c r="C699" s="71" t="s">
        <v>9506</v>
      </c>
      <c r="D699" s="71" t="s">
        <v>13021</v>
      </c>
    </row>
    <row r="700" ht="14.25" customHeight="1">
      <c r="D700" s="71" t="s">
        <v>13022</v>
      </c>
    </row>
    <row r="701" ht="14.25" customHeight="1">
      <c r="C701" s="71" t="s">
        <v>210</v>
      </c>
      <c r="D701" s="71" t="s">
        <v>13023</v>
      </c>
    </row>
    <row r="702" ht="14.25" customHeight="1">
      <c r="D702" s="71" t="s">
        <v>9118</v>
      </c>
    </row>
    <row r="703" ht="14.25" customHeight="1">
      <c r="C703" s="71" t="s">
        <v>13024</v>
      </c>
      <c r="D703" s="71" t="s">
        <v>9265</v>
      </c>
    </row>
    <row r="704" ht="14.25" customHeight="1">
      <c r="C704" s="71" t="s">
        <v>10246</v>
      </c>
      <c r="D704" s="71" t="s">
        <v>9265</v>
      </c>
    </row>
    <row r="705" ht="14.25" customHeight="1">
      <c r="C705" s="71" t="s">
        <v>9770</v>
      </c>
      <c r="D705" s="71" t="s">
        <v>9637</v>
      </c>
    </row>
    <row r="706" ht="14.25" customHeight="1">
      <c r="C706" s="71" t="s">
        <v>13025</v>
      </c>
      <c r="D706" s="71" t="s">
        <v>9034</v>
      </c>
    </row>
    <row r="707" ht="14.25" customHeight="1">
      <c r="C707" s="71" t="s">
        <v>13026</v>
      </c>
      <c r="D707" s="71" t="s">
        <v>8978</v>
      </c>
    </row>
    <row r="708" ht="14.25" customHeight="1">
      <c r="C708" s="71" t="s">
        <v>10998</v>
      </c>
      <c r="D708" s="71" t="s">
        <v>13027</v>
      </c>
    </row>
    <row r="709" ht="14.25" customHeight="1">
      <c r="C709" s="71" t="s">
        <v>13028</v>
      </c>
      <c r="D709" s="71" t="s">
        <v>13029</v>
      </c>
    </row>
    <row r="710" ht="14.25" customHeight="1">
      <c r="C710" s="71" t="s">
        <v>9090</v>
      </c>
      <c r="D710" s="71" t="s">
        <v>13030</v>
      </c>
    </row>
    <row r="711" ht="14.25" customHeight="1">
      <c r="C711" s="71" t="s">
        <v>9160</v>
      </c>
      <c r="D711" s="71" t="s">
        <v>9525</v>
      </c>
    </row>
    <row r="712" ht="14.25" customHeight="1">
      <c r="D712" s="71" t="s">
        <v>12164</v>
      </c>
    </row>
    <row r="713" ht="14.25" customHeight="1">
      <c r="D713" s="71" t="s">
        <v>9118</v>
      </c>
    </row>
    <row r="714" ht="14.25" customHeight="1">
      <c r="C714" s="71" t="s">
        <v>9529</v>
      </c>
      <c r="D714" s="71" t="s">
        <v>9034</v>
      </c>
    </row>
    <row r="715" ht="14.25" customHeight="1">
      <c r="C715" s="71" t="s">
        <v>9007</v>
      </c>
      <c r="D715" s="71" t="s">
        <v>9970</v>
      </c>
    </row>
    <row r="716" ht="14.25" customHeight="1">
      <c r="A716" s="71" t="s">
        <v>579</v>
      </c>
      <c r="B716" s="71" t="s">
        <v>41</v>
      </c>
      <c r="C716" s="71" t="s">
        <v>13031</v>
      </c>
      <c r="D716" s="71" t="s">
        <v>13032</v>
      </c>
    </row>
    <row r="717" ht="14.25" customHeight="1">
      <c r="C717" s="71" t="s">
        <v>10101</v>
      </c>
      <c r="D717" s="71" t="s">
        <v>13033</v>
      </c>
    </row>
    <row r="718" ht="14.25" customHeight="1">
      <c r="C718" s="71" t="s">
        <v>193</v>
      </c>
      <c r="D718" s="71" t="s">
        <v>13034</v>
      </c>
    </row>
    <row r="719" ht="14.25" customHeight="1">
      <c r="C719" s="71" t="s">
        <v>255</v>
      </c>
      <c r="D719" s="71" t="s">
        <v>11427</v>
      </c>
    </row>
    <row r="720" ht="14.25" customHeight="1">
      <c r="A720" s="71" t="s">
        <v>361</v>
      </c>
      <c r="B720" s="71" t="s">
        <v>41</v>
      </c>
      <c r="C720" s="71" t="s">
        <v>13035</v>
      </c>
      <c r="D720" s="71" t="s">
        <v>13036</v>
      </c>
    </row>
    <row r="721" ht="14.25" customHeight="1">
      <c r="A721" s="71" t="s">
        <v>9570</v>
      </c>
      <c r="B721" s="71" t="s">
        <v>41</v>
      </c>
      <c r="C721" s="71" t="s">
        <v>13037</v>
      </c>
      <c r="D721" s="71" t="s">
        <v>12000</v>
      </c>
    </row>
    <row r="722" ht="14.25" customHeight="1">
      <c r="C722" s="71" t="s">
        <v>3566</v>
      </c>
      <c r="D722" s="71" t="s">
        <v>8976</v>
      </c>
    </row>
    <row r="723" ht="14.25" customHeight="1">
      <c r="C723" s="71" t="s">
        <v>204</v>
      </c>
      <c r="D723" s="71" t="s">
        <v>13038</v>
      </c>
    </row>
    <row r="724" ht="14.25" customHeight="1">
      <c r="C724" s="71" t="s">
        <v>13039</v>
      </c>
      <c r="D724" s="71" t="s">
        <v>10622</v>
      </c>
    </row>
    <row r="725" ht="14.25" customHeight="1">
      <c r="A725" s="71" t="s">
        <v>9580</v>
      </c>
      <c r="B725" s="71" t="s">
        <v>41</v>
      </c>
      <c r="C725" s="71" t="s">
        <v>13040</v>
      </c>
      <c r="D725" s="71" t="s">
        <v>10400</v>
      </c>
    </row>
    <row r="726" ht="14.25" customHeight="1">
      <c r="C726" s="71" t="s">
        <v>13041</v>
      </c>
      <c r="D726" s="71" t="s">
        <v>9746</v>
      </c>
    </row>
    <row r="727" ht="14.25" customHeight="1">
      <c r="A727" s="71" t="s">
        <v>9585</v>
      </c>
      <c r="B727" s="71" t="s">
        <v>40</v>
      </c>
      <c r="C727" s="71" t="s">
        <v>9589</v>
      </c>
      <c r="D727" s="71" t="s">
        <v>10124</v>
      </c>
    </row>
    <row r="728" ht="14.25" customHeight="1">
      <c r="C728" s="71" t="s">
        <v>12755</v>
      </c>
      <c r="D728" s="71" t="s">
        <v>13042</v>
      </c>
    </row>
    <row r="729" ht="14.25" customHeight="1">
      <c r="D729" s="71" t="s">
        <v>13043</v>
      </c>
    </row>
    <row r="730" ht="14.25" customHeight="1">
      <c r="C730" s="71" t="s">
        <v>13044</v>
      </c>
      <c r="D730" s="71" t="s">
        <v>13045</v>
      </c>
    </row>
    <row r="731" ht="14.25" customHeight="1">
      <c r="C731" s="71" t="s">
        <v>9203</v>
      </c>
      <c r="D731" s="71" t="s">
        <v>9204</v>
      </c>
    </row>
    <row r="732" ht="14.25" customHeight="1">
      <c r="A732" s="71" t="s">
        <v>9596</v>
      </c>
      <c r="B732" s="71" t="s">
        <v>40</v>
      </c>
      <c r="C732" s="71" t="s">
        <v>12234</v>
      </c>
      <c r="D732" s="71" t="s">
        <v>9922</v>
      </c>
    </row>
    <row r="733" ht="14.25" customHeight="1">
      <c r="C733" s="71" t="s">
        <v>9340</v>
      </c>
      <c r="D733" s="71" t="s">
        <v>13046</v>
      </c>
    </row>
    <row r="734" ht="14.25" customHeight="1">
      <c r="C734" s="71" t="s">
        <v>13047</v>
      </c>
      <c r="D734" s="71" t="s">
        <v>13048</v>
      </c>
    </row>
    <row r="735" ht="14.25" customHeight="1">
      <c r="C735" s="71" t="s">
        <v>13049</v>
      </c>
      <c r="D735" s="71" t="s">
        <v>1948</v>
      </c>
    </row>
    <row r="736" ht="14.25" customHeight="1">
      <c r="C736" s="71" t="s">
        <v>9552</v>
      </c>
      <c r="D736" s="71" t="s">
        <v>11681</v>
      </c>
    </row>
    <row r="737" ht="14.25" customHeight="1">
      <c r="D737" s="71" t="s">
        <v>13050</v>
      </c>
    </row>
    <row r="738" ht="14.25" customHeight="1">
      <c r="C738" s="71" t="s">
        <v>13051</v>
      </c>
      <c r="D738" s="71" t="s">
        <v>13052</v>
      </c>
    </row>
    <row r="739" ht="14.25" customHeight="1">
      <c r="C739" s="71" t="s">
        <v>8969</v>
      </c>
      <c r="D739" s="71" t="s">
        <v>10306</v>
      </c>
    </row>
    <row r="740" ht="14.25" customHeight="1">
      <c r="C740" s="71" t="s">
        <v>13053</v>
      </c>
      <c r="D740" s="71" t="s">
        <v>13054</v>
      </c>
    </row>
    <row r="741" ht="14.25" customHeight="1">
      <c r="C741" s="71" t="s">
        <v>9601</v>
      </c>
      <c r="D741" s="71" t="s">
        <v>9602</v>
      </c>
    </row>
    <row r="742" ht="14.25" customHeight="1">
      <c r="C742" s="71" t="s">
        <v>9351</v>
      </c>
      <c r="D742" s="71" t="s">
        <v>13055</v>
      </c>
    </row>
    <row r="743" ht="14.25" customHeight="1">
      <c r="D743" s="71" t="s">
        <v>9616</v>
      </c>
    </row>
    <row r="744" ht="14.25" customHeight="1">
      <c r="C744" s="71" t="s">
        <v>13056</v>
      </c>
      <c r="D744" s="71" t="s">
        <v>13057</v>
      </c>
    </row>
    <row r="745" ht="14.25" customHeight="1">
      <c r="C745" s="71" t="s">
        <v>13058</v>
      </c>
      <c r="D745" s="71" t="s">
        <v>9639</v>
      </c>
    </row>
    <row r="746" ht="14.25" customHeight="1">
      <c r="C746" s="71" t="s">
        <v>13059</v>
      </c>
      <c r="D746" s="71" t="s">
        <v>13060</v>
      </c>
    </row>
    <row r="747" ht="14.25" customHeight="1">
      <c r="C747" s="71" t="s">
        <v>13061</v>
      </c>
      <c r="D747" s="71" t="s">
        <v>9050</v>
      </c>
    </row>
    <row r="748" ht="14.25" customHeight="1">
      <c r="C748" s="71" t="s">
        <v>13062</v>
      </c>
      <c r="D748" s="71" t="s">
        <v>13063</v>
      </c>
    </row>
    <row r="749" ht="14.25" customHeight="1">
      <c r="C749" s="71" t="s">
        <v>89</v>
      </c>
      <c r="D749" s="71" t="s">
        <v>13064</v>
      </c>
    </row>
    <row r="750" ht="14.25" customHeight="1">
      <c r="C750" s="71" t="s">
        <v>13065</v>
      </c>
      <c r="D750" s="71" t="s">
        <v>13066</v>
      </c>
    </row>
    <row r="751" ht="14.25" customHeight="1">
      <c r="C751" s="71" t="s">
        <v>12243</v>
      </c>
      <c r="D751" s="71" t="s">
        <v>9034</v>
      </c>
    </row>
    <row r="752" ht="14.25" customHeight="1">
      <c r="D752" s="71" t="s">
        <v>13067</v>
      </c>
    </row>
    <row r="753" ht="14.25" customHeight="1">
      <c r="D753" s="71" t="s">
        <v>9639</v>
      </c>
    </row>
    <row r="754" ht="14.25" customHeight="1">
      <c r="C754" s="71" t="s">
        <v>2669</v>
      </c>
      <c r="D754" s="71" t="s">
        <v>13068</v>
      </c>
    </row>
    <row r="755" ht="14.25" customHeight="1">
      <c r="C755" s="71" t="s">
        <v>294</v>
      </c>
      <c r="D755" s="71" t="s">
        <v>9705</v>
      </c>
    </row>
    <row r="756" ht="14.25" customHeight="1">
      <c r="D756" s="71" t="s">
        <v>13069</v>
      </c>
    </row>
    <row r="757" ht="14.25" customHeight="1">
      <c r="C757" s="71" t="s">
        <v>9615</v>
      </c>
      <c r="D757" s="71" t="s">
        <v>9645</v>
      </c>
    </row>
    <row r="758" ht="14.25" customHeight="1">
      <c r="D758" s="71" t="s">
        <v>9616</v>
      </c>
    </row>
    <row r="759" ht="14.25" customHeight="1">
      <c r="C759" s="71" t="s">
        <v>9619</v>
      </c>
      <c r="D759" s="71" t="s">
        <v>9602</v>
      </c>
    </row>
    <row r="760" ht="14.25" customHeight="1">
      <c r="C760" s="71" t="s">
        <v>11629</v>
      </c>
      <c r="D760" s="71" t="s">
        <v>9690</v>
      </c>
    </row>
    <row r="761" ht="14.25" customHeight="1">
      <c r="C761" s="71" t="s">
        <v>11631</v>
      </c>
      <c r="D761" s="71" t="s">
        <v>13070</v>
      </c>
    </row>
    <row r="762" ht="14.25" customHeight="1">
      <c r="C762" s="71" t="s">
        <v>12945</v>
      </c>
      <c r="D762" s="71" t="s">
        <v>1948</v>
      </c>
    </row>
    <row r="763" ht="14.25" customHeight="1">
      <c r="C763" s="71" t="s">
        <v>916</v>
      </c>
      <c r="D763" s="71" t="s">
        <v>13071</v>
      </c>
    </row>
    <row r="764" ht="14.25" customHeight="1">
      <c r="D764" s="71" t="s">
        <v>9614</v>
      </c>
    </row>
    <row r="765" ht="14.25" customHeight="1">
      <c r="C765" s="71" t="s">
        <v>9630</v>
      </c>
      <c r="D765" s="71" t="s">
        <v>13072</v>
      </c>
    </row>
    <row r="766" ht="14.25" customHeight="1">
      <c r="D766" s="71" t="s">
        <v>12440</v>
      </c>
    </row>
    <row r="767" ht="14.25" customHeight="1">
      <c r="C767" s="71" t="s">
        <v>13073</v>
      </c>
      <c r="D767" s="71" t="s">
        <v>13074</v>
      </c>
    </row>
    <row r="768" ht="14.25" customHeight="1">
      <c r="C768" s="71" t="s">
        <v>13075</v>
      </c>
      <c r="D768" s="71" t="s">
        <v>13076</v>
      </c>
    </row>
    <row r="769" ht="14.25" customHeight="1">
      <c r="C769" s="71" t="s">
        <v>13077</v>
      </c>
      <c r="D769" s="71" t="s">
        <v>13078</v>
      </c>
    </row>
    <row r="770" ht="14.25" customHeight="1">
      <c r="C770" s="71" t="s">
        <v>12167</v>
      </c>
      <c r="D770" s="71" t="s">
        <v>10472</v>
      </c>
    </row>
    <row r="771" ht="14.25" customHeight="1">
      <c r="C771" s="71" t="s">
        <v>9635</v>
      </c>
      <c r="D771" s="71" t="s">
        <v>12253</v>
      </c>
    </row>
    <row r="772" ht="14.25" customHeight="1">
      <c r="C772" s="71" t="s">
        <v>13079</v>
      </c>
      <c r="D772" s="71" t="s">
        <v>13080</v>
      </c>
    </row>
    <row r="773" ht="14.25" customHeight="1">
      <c r="C773" s="71" t="s">
        <v>9455</v>
      </c>
      <c r="D773" s="71" t="s">
        <v>13081</v>
      </c>
    </row>
    <row r="774" ht="14.25" customHeight="1">
      <c r="C774" s="71" t="s">
        <v>13082</v>
      </c>
      <c r="D774" s="71" t="s">
        <v>9639</v>
      </c>
    </row>
    <row r="775" ht="14.25" customHeight="1">
      <c r="C775" s="71" t="s">
        <v>13083</v>
      </c>
      <c r="D775" s="71" t="s">
        <v>13084</v>
      </c>
    </row>
    <row r="776" ht="14.25" customHeight="1">
      <c r="C776" s="71" t="s">
        <v>13085</v>
      </c>
      <c r="D776" s="71" t="s">
        <v>13086</v>
      </c>
    </row>
    <row r="777" ht="14.25" customHeight="1">
      <c r="C777" s="71" t="s">
        <v>9644</v>
      </c>
      <c r="D777" s="71" t="s">
        <v>9645</v>
      </c>
    </row>
    <row r="778" ht="14.25" customHeight="1">
      <c r="C778" s="71" t="s">
        <v>13087</v>
      </c>
      <c r="D778" s="71" t="s">
        <v>13088</v>
      </c>
    </row>
    <row r="779" ht="14.25" customHeight="1">
      <c r="C779" s="71" t="s">
        <v>6405</v>
      </c>
      <c r="D779" s="71" t="s">
        <v>13089</v>
      </c>
    </row>
    <row r="780" ht="14.25" customHeight="1">
      <c r="D780" s="71" t="s">
        <v>13090</v>
      </c>
    </row>
    <row r="781" ht="14.25" customHeight="1">
      <c r="C781" s="71" t="s">
        <v>13091</v>
      </c>
      <c r="D781" s="71" t="s">
        <v>9639</v>
      </c>
    </row>
    <row r="782" ht="14.25" customHeight="1">
      <c r="C782" s="71" t="s">
        <v>12715</v>
      </c>
      <c r="D782" s="71" t="s">
        <v>12296</v>
      </c>
    </row>
    <row r="783" ht="14.25" customHeight="1">
      <c r="C783" s="71" t="s">
        <v>13092</v>
      </c>
      <c r="D783" s="71" t="s">
        <v>13093</v>
      </c>
    </row>
    <row r="784" ht="14.25" customHeight="1">
      <c r="C784" s="71" t="s">
        <v>3313</v>
      </c>
      <c r="D784" s="71" t="s">
        <v>9216</v>
      </c>
    </row>
    <row r="785" ht="14.25" customHeight="1">
      <c r="C785" s="71" t="s">
        <v>9648</v>
      </c>
      <c r="D785" s="71" t="s">
        <v>9649</v>
      </c>
    </row>
    <row r="786" ht="14.25" customHeight="1">
      <c r="C786" s="71" t="s">
        <v>13094</v>
      </c>
      <c r="D786" s="71" t="s">
        <v>13095</v>
      </c>
    </row>
    <row r="787" ht="14.25" customHeight="1">
      <c r="C787" s="71" t="s">
        <v>13096</v>
      </c>
      <c r="D787" s="71" t="s">
        <v>11646</v>
      </c>
    </row>
    <row r="788" ht="14.25" customHeight="1">
      <c r="C788" s="71" t="s">
        <v>9655</v>
      </c>
      <c r="D788" s="71" t="s">
        <v>13097</v>
      </c>
    </row>
    <row r="789" ht="14.25" customHeight="1">
      <c r="C789" s="71" t="s">
        <v>13098</v>
      </c>
      <c r="D789" s="71" t="s">
        <v>10986</v>
      </c>
    </row>
    <row r="790" ht="14.25" customHeight="1">
      <c r="C790" s="71" t="s">
        <v>9660</v>
      </c>
      <c r="D790" s="71" t="s">
        <v>9639</v>
      </c>
    </row>
    <row r="791" ht="14.25" customHeight="1">
      <c r="C791" s="71" t="s">
        <v>3566</v>
      </c>
      <c r="D791" s="71" t="s">
        <v>13099</v>
      </c>
    </row>
    <row r="792" ht="14.25" customHeight="1">
      <c r="C792" s="71" t="s">
        <v>13100</v>
      </c>
      <c r="D792" s="71" t="s">
        <v>13101</v>
      </c>
    </row>
    <row r="793" ht="14.25" customHeight="1">
      <c r="C793" s="71" t="s">
        <v>9676</v>
      </c>
      <c r="D793" s="71" t="s">
        <v>10985</v>
      </c>
    </row>
    <row r="794" ht="14.25" customHeight="1">
      <c r="C794" s="71" t="s">
        <v>13102</v>
      </c>
      <c r="D794" s="71" t="s">
        <v>9645</v>
      </c>
    </row>
    <row r="795" ht="14.25" customHeight="1">
      <c r="D795" s="71" t="s">
        <v>10341</v>
      </c>
    </row>
    <row r="796" ht="14.25" customHeight="1">
      <c r="C796" s="71" t="s">
        <v>13103</v>
      </c>
      <c r="D796" s="71" t="s">
        <v>12832</v>
      </c>
    </row>
    <row r="797" ht="14.25" customHeight="1">
      <c r="C797" s="71" t="s">
        <v>13104</v>
      </c>
      <c r="D797" s="71" t="s">
        <v>9228</v>
      </c>
    </row>
    <row r="798" ht="14.25" customHeight="1">
      <c r="C798" s="71" t="s">
        <v>13105</v>
      </c>
      <c r="D798" s="71" t="s">
        <v>13095</v>
      </c>
    </row>
    <row r="799" ht="14.25" customHeight="1">
      <c r="C799" s="71" t="s">
        <v>13106</v>
      </c>
      <c r="D799" s="71" t="s">
        <v>13107</v>
      </c>
    </row>
    <row r="800" ht="14.25" customHeight="1">
      <c r="C800" s="71" t="s">
        <v>9282</v>
      </c>
      <c r="D800" s="71" t="s">
        <v>13108</v>
      </c>
    </row>
    <row r="801" ht="14.25" customHeight="1">
      <c r="D801" s="71" t="s">
        <v>11176</v>
      </c>
    </row>
    <row r="802" ht="14.25" customHeight="1">
      <c r="C802" s="71" t="s">
        <v>13109</v>
      </c>
      <c r="D802" s="71" t="s">
        <v>13110</v>
      </c>
    </row>
    <row r="803" ht="14.25" customHeight="1">
      <c r="C803" s="71" t="s">
        <v>13111</v>
      </c>
      <c r="D803" s="71" t="s">
        <v>9922</v>
      </c>
    </row>
    <row r="804" ht="14.25" customHeight="1">
      <c r="C804" s="71" t="s">
        <v>220</v>
      </c>
      <c r="D804" s="71" t="s">
        <v>9141</v>
      </c>
    </row>
    <row r="805" ht="14.25" customHeight="1">
      <c r="C805" s="71" t="s">
        <v>9074</v>
      </c>
      <c r="D805" s="71" t="s">
        <v>13112</v>
      </c>
    </row>
    <row r="806" ht="14.25" customHeight="1">
      <c r="C806" s="71" t="s">
        <v>11314</v>
      </c>
      <c r="D806" s="71" t="s">
        <v>9697</v>
      </c>
    </row>
    <row r="807" ht="14.25" customHeight="1">
      <c r="C807" s="71" t="s">
        <v>13113</v>
      </c>
      <c r="D807" s="71" t="s">
        <v>13095</v>
      </c>
    </row>
    <row r="808" ht="14.25" customHeight="1">
      <c r="C808" s="71" t="s">
        <v>13114</v>
      </c>
      <c r="D808" s="71" t="s">
        <v>9602</v>
      </c>
    </row>
    <row r="809" ht="14.25" customHeight="1">
      <c r="C809" s="71" t="s">
        <v>9286</v>
      </c>
      <c r="D809" s="71" t="s">
        <v>13115</v>
      </c>
    </row>
    <row r="810" ht="14.25" customHeight="1">
      <c r="C810" s="71" t="s">
        <v>13116</v>
      </c>
      <c r="D810" s="71" t="s">
        <v>9705</v>
      </c>
    </row>
    <row r="811" ht="14.25" customHeight="1">
      <c r="D811" s="71" t="s">
        <v>9216</v>
      </c>
    </row>
    <row r="812" ht="14.25" customHeight="1">
      <c r="C812" s="71" t="s">
        <v>8997</v>
      </c>
      <c r="D812" s="71" t="s">
        <v>13117</v>
      </c>
    </row>
    <row r="813" ht="14.25" customHeight="1">
      <c r="C813" s="71" t="s">
        <v>13118</v>
      </c>
      <c r="D813" s="71" t="s">
        <v>13119</v>
      </c>
    </row>
    <row r="814" ht="14.25" customHeight="1">
      <c r="C814" s="71" t="s">
        <v>9399</v>
      </c>
      <c r="D814" s="71" t="s">
        <v>9659</v>
      </c>
    </row>
    <row r="815" ht="14.25" customHeight="1">
      <c r="D815" s="71" t="s">
        <v>9574</v>
      </c>
    </row>
    <row r="816" ht="14.25" customHeight="1">
      <c r="C816" s="71" t="s">
        <v>3984</v>
      </c>
      <c r="D816" s="71" t="s">
        <v>9144</v>
      </c>
    </row>
    <row r="817" ht="14.25" customHeight="1">
      <c r="C817" s="71" t="s">
        <v>12304</v>
      </c>
      <c r="D817" s="71" t="s">
        <v>13120</v>
      </c>
    </row>
    <row r="818" ht="14.25" customHeight="1">
      <c r="C818" s="71" t="s">
        <v>11663</v>
      </c>
      <c r="D818" s="71" t="s">
        <v>10985</v>
      </c>
    </row>
    <row r="819" ht="14.25" customHeight="1">
      <c r="D819" s="71" t="s">
        <v>9616</v>
      </c>
    </row>
    <row r="820" ht="14.25" customHeight="1">
      <c r="C820" s="71" t="s">
        <v>10290</v>
      </c>
      <c r="D820" s="71" t="s">
        <v>9645</v>
      </c>
    </row>
    <row r="821" ht="14.25" customHeight="1">
      <c r="D821" s="71" t="s">
        <v>9616</v>
      </c>
    </row>
    <row r="822" ht="14.25" customHeight="1">
      <c r="C822" s="71" t="s">
        <v>9691</v>
      </c>
      <c r="D822" s="71" t="s">
        <v>11030</v>
      </c>
    </row>
    <row r="823" ht="14.25" customHeight="1">
      <c r="C823" s="71" t="s">
        <v>13121</v>
      </c>
      <c r="D823" s="71" t="s">
        <v>1948</v>
      </c>
    </row>
    <row r="824" ht="14.25" customHeight="1">
      <c r="C824" s="71" t="s">
        <v>9693</v>
      </c>
      <c r="D824" s="71" t="s">
        <v>9643</v>
      </c>
    </row>
    <row r="825" ht="14.25" customHeight="1">
      <c r="D825" s="71" t="s">
        <v>9922</v>
      </c>
    </row>
    <row r="826" ht="14.25" customHeight="1">
      <c r="D826" s="71" t="s">
        <v>13122</v>
      </c>
    </row>
    <row r="827" ht="14.25" customHeight="1">
      <c r="C827" s="71" t="s">
        <v>13123</v>
      </c>
      <c r="D827" s="71" t="s">
        <v>9602</v>
      </c>
    </row>
    <row r="828" ht="14.25" customHeight="1">
      <c r="C828" s="71" t="s">
        <v>9698</v>
      </c>
      <c r="D828" s="71" t="s">
        <v>9639</v>
      </c>
    </row>
    <row r="829" ht="14.25" customHeight="1">
      <c r="C829" s="71" t="s">
        <v>13124</v>
      </c>
      <c r="D829" s="71" t="s">
        <v>9602</v>
      </c>
    </row>
    <row r="830" ht="14.25" customHeight="1">
      <c r="C830" s="71" t="s">
        <v>13125</v>
      </c>
      <c r="D830" s="71" t="s">
        <v>9922</v>
      </c>
    </row>
    <row r="831" ht="14.25" customHeight="1">
      <c r="C831" s="71" t="s">
        <v>252</v>
      </c>
      <c r="D831" s="71" t="s">
        <v>1948</v>
      </c>
    </row>
    <row r="832" ht="14.25" customHeight="1">
      <c r="C832" s="71" t="s">
        <v>13126</v>
      </c>
      <c r="D832" s="71" t="s">
        <v>9228</v>
      </c>
    </row>
    <row r="833" ht="14.25" customHeight="1">
      <c r="C833" s="71" t="s">
        <v>10356</v>
      </c>
      <c r="D833" s="71" t="s">
        <v>10357</v>
      </c>
    </row>
    <row r="834" ht="14.25" customHeight="1">
      <c r="C834" s="71" t="s">
        <v>13127</v>
      </c>
      <c r="D834" s="71" t="s">
        <v>9216</v>
      </c>
    </row>
    <row r="835" ht="14.25" customHeight="1">
      <c r="C835" s="71" t="s">
        <v>255</v>
      </c>
      <c r="D835" s="71" t="s">
        <v>13128</v>
      </c>
    </row>
    <row r="836" ht="14.25" customHeight="1">
      <c r="C836" s="71" t="s">
        <v>13129</v>
      </c>
      <c r="D836" s="71" t="s">
        <v>10350</v>
      </c>
    </row>
    <row r="837" ht="14.25" customHeight="1">
      <c r="C837" s="71" t="s">
        <v>9704</v>
      </c>
      <c r="D837" s="71" t="s">
        <v>12190</v>
      </c>
    </row>
    <row r="838" ht="14.25" customHeight="1">
      <c r="C838" s="71" t="s">
        <v>13130</v>
      </c>
      <c r="D838" s="71" t="s">
        <v>9649</v>
      </c>
    </row>
    <row r="839" ht="14.25" customHeight="1">
      <c r="C839" s="71" t="s">
        <v>269</v>
      </c>
      <c r="D839" s="71" t="s">
        <v>9705</v>
      </c>
    </row>
    <row r="840" ht="14.25" customHeight="1">
      <c r="C840" s="71" t="s">
        <v>13131</v>
      </c>
      <c r="D840" s="71" t="s">
        <v>12394</v>
      </c>
    </row>
    <row r="841" ht="14.25" customHeight="1">
      <c r="C841" s="71" t="s">
        <v>9437</v>
      </c>
      <c r="D841" s="71" t="s">
        <v>13132</v>
      </c>
    </row>
    <row r="842" ht="14.25" customHeight="1">
      <c r="C842" s="71" t="s">
        <v>9529</v>
      </c>
      <c r="D842" s="71" t="s">
        <v>13133</v>
      </c>
    </row>
    <row r="843" ht="14.25" customHeight="1">
      <c r="C843" s="71" t="s">
        <v>9007</v>
      </c>
      <c r="D843" s="71" t="s">
        <v>9006</v>
      </c>
    </row>
    <row r="844" ht="14.25" customHeight="1">
      <c r="C844" s="71" t="s">
        <v>2163</v>
      </c>
      <c r="D844" s="71" t="s">
        <v>9034</v>
      </c>
    </row>
    <row r="845" ht="14.25" customHeight="1">
      <c r="D845" s="71" t="s">
        <v>9008</v>
      </c>
    </row>
    <row r="846" ht="14.25" customHeight="1">
      <c r="D846" s="71" t="s">
        <v>13134</v>
      </c>
    </row>
    <row r="847" ht="14.25" customHeight="1">
      <c r="D847" s="71" t="s">
        <v>9970</v>
      </c>
    </row>
    <row r="848" ht="14.25" customHeight="1">
      <c r="D848" s="71" t="s">
        <v>13135</v>
      </c>
    </row>
    <row r="849" ht="14.25" customHeight="1">
      <c r="D849" s="71" t="s">
        <v>9004</v>
      </c>
    </row>
    <row r="850" ht="14.25" customHeight="1">
      <c r="C850" s="71" t="s">
        <v>324</v>
      </c>
      <c r="D850" s="71" t="s">
        <v>13136</v>
      </c>
    </row>
    <row r="851" ht="14.25" customHeight="1">
      <c r="C851" s="71" t="s">
        <v>13137</v>
      </c>
      <c r="D851" s="71" t="s">
        <v>9274</v>
      </c>
    </row>
    <row r="852" ht="14.25" customHeight="1">
      <c r="C852" s="71" t="s">
        <v>13138</v>
      </c>
      <c r="D852" s="71" t="s">
        <v>13139</v>
      </c>
    </row>
    <row r="853" ht="14.25" customHeight="1">
      <c r="C853" s="71" t="s">
        <v>13140</v>
      </c>
      <c r="D853" s="71" t="s">
        <v>10342</v>
      </c>
    </row>
    <row r="854" ht="14.25" customHeight="1">
      <c r="D854" s="71" t="s">
        <v>9616</v>
      </c>
    </row>
    <row r="855" ht="14.25" customHeight="1">
      <c r="D855" s="71" t="s">
        <v>13141</v>
      </c>
    </row>
    <row r="856" ht="14.25" customHeight="1">
      <c r="C856" s="71" t="s">
        <v>13142</v>
      </c>
      <c r="D856" s="71" t="s">
        <v>9430</v>
      </c>
    </row>
    <row r="857" ht="14.25" customHeight="1">
      <c r="C857" s="71" t="s">
        <v>13143</v>
      </c>
      <c r="D857" s="71" t="s">
        <v>13144</v>
      </c>
    </row>
    <row r="858" ht="14.25" customHeight="1">
      <c r="C858" s="71" t="s">
        <v>12321</v>
      </c>
      <c r="D858" s="71" t="s">
        <v>10306</v>
      </c>
    </row>
    <row r="859" ht="14.25" customHeight="1">
      <c r="B859" s="71" t="s">
        <v>41</v>
      </c>
      <c r="C859" s="71" t="s">
        <v>2342</v>
      </c>
      <c r="D859" s="71" t="s">
        <v>13145</v>
      </c>
    </row>
    <row r="860" ht="14.25" customHeight="1">
      <c r="D860" s="71" t="s">
        <v>13146</v>
      </c>
    </row>
    <row r="861" ht="14.25" customHeight="1">
      <c r="C861" s="71" t="s">
        <v>13147</v>
      </c>
      <c r="D861" s="71" t="s">
        <v>13148</v>
      </c>
    </row>
    <row r="862" ht="14.25" customHeight="1">
      <c r="C862" s="71" t="s">
        <v>12238</v>
      </c>
      <c r="D862" s="71" t="s">
        <v>13149</v>
      </c>
    </row>
    <row r="863" ht="14.25" customHeight="1">
      <c r="C863" s="71" t="s">
        <v>13150</v>
      </c>
      <c r="D863" s="71" t="s">
        <v>12573</v>
      </c>
    </row>
    <row r="864" ht="14.25" customHeight="1">
      <c r="C864" s="71" t="s">
        <v>1889</v>
      </c>
      <c r="D864" s="71" t="s">
        <v>9746</v>
      </c>
    </row>
    <row r="865" ht="14.25" customHeight="1">
      <c r="C865" s="71" t="s">
        <v>13151</v>
      </c>
      <c r="D865" s="71" t="s">
        <v>9705</v>
      </c>
    </row>
    <row r="866" ht="14.25" customHeight="1">
      <c r="C866" s="71" t="s">
        <v>13152</v>
      </c>
      <c r="D866" s="71" t="s">
        <v>12573</v>
      </c>
    </row>
    <row r="867" ht="14.25" customHeight="1">
      <c r="C867" s="71" t="s">
        <v>9572</v>
      </c>
      <c r="D867" s="71" t="s">
        <v>13153</v>
      </c>
    </row>
    <row r="868" ht="14.25" customHeight="1">
      <c r="C868" s="71" t="s">
        <v>13154</v>
      </c>
      <c r="D868" s="71" t="s">
        <v>13155</v>
      </c>
    </row>
    <row r="869" ht="14.25" customHeight="1">
      <c r="C869" s="71" t="s">
        <v>13156</v>
      </c>
      <c r="D869" s="71" t="s">
        <v>13157</v>
      </c>
    </row>
    <row r="870" ht="14.25" customHeight="1">
      <c r="C870" s="71" t="s">
        <v>9626</v>
      </c>
      <c r="D870" s="71" t="s">
        <v>9216</v>
      </c>
    </row>
    <row r="871" ht="14.25" customHeight="1">
      <c r="C871" s="71" t="s">
        <v>13158</v>
      </c>
      <c r="D871" s="71" t="s">
        <v>13159</v>
      </c>
    </row>
    <row r="872" ht="14.25" customHeight="1">
      <c r="C872" s="71" t="s">
        <v>13160</v>
      </c>
      <c r="D872" s="71" t="s">
        <v>13161</v>
      </c>
    </row>
    <row r="873" ht="14.25" customHeight="1">
      <c r="C873" s="71" t="s">
        <v>12715</v>
      </c>
      <c r="D873" s="71" t="s">
        <v>13162</v>
      </c>
    </row>
    <row r="874" ht="14.25" customHeight="1">
      <c r="D874" s="71" t="s">
        <v>13163</v>
      </c>
    </row>
    <row r="875" ht="14.25" customHeight="1">
      <c r="C875" s="71" t="s">
        <v>13164</v>
      </c>
      <c r="D875" s="71" t="s">
        <v>13165</v>
      </c>
    </row>
    <row r="876" ht="14.25" customHeight="1">
      <c r="C876" s="71" t="s">
        <v>13166</v>
      </c>
      <c r="D876" s="71" t="s">
        <v>9705</v>
      </c>
    </row>
    <row r="877" ht="14.25" customHeight="1">
      <c r="C877" s="71" t="s">
        <v>13167</v>
      </c>
      <c r="D877" s="71" t="s">
        <v>13161</v>
      </c>
    </row>
    <row r="878" ht="14.25" customHeight="1">
      <c r="C878" s="71" t="s">
        <v>9658</v>
      </c>
      <c r="D878" s="71" t="s">
        <v>13168</v>
      </c>
    </row>
    <row r="879" ht="14.25" customHeight="1">
      <c r="C879" s="71" t="s">
        <v>13169</v>
      </c>
      <c r="D879" s="71" t="s">
        <v>13161</v>
      </c>
    </row>
    <row r="880" ht="14.25" customHeight="1">
      <c r="C880" s="71" t="s">
        <v>13170</v>
      </c>
      <c r="D880" s="71" t="s">
        <v>9753</v>
      </c>
    </row>
    <row r="881" ht="14.25" customHeight="1">
      <c r="C881" s="71" t="s">
        <v>3566</v>
      </c>
      <c r="D881" s="71" t="s">
        <v>13171</v>
      </c>
    </row>
    <row r="882" ht="14.25" customHeight="1">
      <c r="C882" s="71" t="s">
        <v>12634</v>
      </c>
      <c r="D882" s="71" t="s">
        <v>13171</v>
      </c>
    </row>
    <row r="883" ht="14.25" customHeight="1">
      <c r="C883" s="71" t="s">
        <v>13172</v>
      </c>
      <c r="D883" s="71" t="s">
        <v>13173</v>
      </c>
    </row>
    <row r="884" ht="14.25" customHeight="1">
      <c r="C884" s="71" t="s">
        <v>10498</v>
      </c>
      <c r="D884" s="71" t="s">
        <v>9430</v>
      </c>
    </row>
    <row r="885" ht="14.25" customHeight="1">
      <c r="C885" s="71" t="s">
        <v>189</v>
      </c>
      <c r="D885" s="71" t="s">
        <v>9271</v>
      </c>
    </row>
    <row r="886" ht="14.25" customHeight="1">
      <c r="C886" s="71" t="s">
        <v>13174</v>
      </c>
      <c r="D886" s="71" t="s">
        <v>13175</v>
      </c>
    </row>
    <row r="887" ht="14.25" customHeight="1">
      <c r="C887" s="71" t="s">
        <v>9561</v>
      </c>
      <c r="D887" s="71" t="s">
        <v>13176</v>
      </c>
    </row>
    <row r="888" ht="14.25" customHeight="1">
      <c r="C888" s="71" t="s">
        <v>13177</v>
      </c>
      <c r="D888" s="71" t="s">
        <v>13178</v>
      </c>
    </row>
    <row r="889" ht="14.25" customHeight="1">
      <c r="C889" s="71" t="s">
        <v>13179</v>
      </c>
      <c r="D889" s="71" t="s">
        <v>13180</v>
      </c>
    </row>
    <row r="890" ht="14.25" customHeight="1">
      <c r="C890" s="71" t="s">
        <v>9676</v>
      </c>
      <c r="D890" s="71" t="s">
        <v>10985</v>
      </c>
    </row>
    <row r="891" ht="14.25" customHeight="1">
      <c r="C891" s="71" t="s">
        <v>9791</v>
      </c>
      <c r="D891" s="71" t="s">
        <v>13144</v>
      </c>
    </row>
    <row r="892" ht="14.25" customHeight="1">
      <c r="C892" s="71" t="s">
        <v>13181</v>
      </c>
      <c r="D892" s="71" t="s">
        <v>13182</v>
      </c>
    </row>
    <row r="893" ht="14.25" customHeight="1">
      <c r="C893" s="71" t="s">
        <v>13183</v>
      </c>
      <c r="D893" s="71" t="s">
        <v>13184</v>
      </c>
    </row>
    <row r="894" ht="14.25" customHeight="1">
      <c r="C894" s="71" t="s">
        <v>13118</v>
      </c>
      <c r="D894" s="71" t="s">
        <v>9649</v>
      </c>
    </row>
    <row r="895" ht="14.25" customHeight="1">
      <c r="C895" s="71" t="s">
        <v>10345</v>
      </c>
      <c r="D895" s="71" t="s">
        <v>13185</v>
      </c>
    </row>
    <row r="896" ht="14.25" customHeight="1">
      <c r="C896" s="71" t="s">
        <v>13186</v>
      </c>
      <c r="D896" s="71" t="s">
        <v>13161</v>
      </c>
    </row>
    <row r="897" ht="14.25" customHeight="1">
      <c r="C897" s="71" t="s">
        <v>13187</v>
      </c>
      <c r="D897" s="71" t="s">
        <v>9034</v>
      </c>
    </row>
    <row r="898" ht="14.25" customHeight="1">
      <c r="C898" s="71" t="s">
        <v>13188</v>
      </c>
      <c r="D898" s="71" t="s">
        <v>9718</v>
      </c>
    </row>
    <row r="899" ht="14.25" customHeight="1">
      <c r="C899" s="71" t="s">
        <v>10290</v>
      </c>
      <c r="D899" s="71" t="s">
        <v>13189</v>
      </c>
    </row>
    <row r="900" ht="14.25" customHeight="1">
      <c r="C900" s="71" t="s">
        <v>13190</v>
      </c>
      <c r="D900" s="71" t="s">
        <v>9151</v>
      </c>
    </row>
    <row r="901" ht="14.25" customHeight="1">
      <c r="C901" s="71" t="s">
        <v>13191</v>
      </c>
      <c r="D901" s="71" t="s">
        <v>10350</v>
      </c>
    </row>
    <row r="902" ht="14.25" customHeight="1">
      <c r="C902" s="71" t="s">
        <v>13137</v>
      </c>
      <c r="D902" s="71" t="s">
        <v>12190</v>
      </c>
    </row>
    <row r="903" ht="14.25" customHeight="1">
      <c r="D903" s="71" t="s">
        <v>13192</v>
      </c>
    </row>
    <row r="904" ht="14.25" customHeight="1">
      <c r="A904" s="71" t="s">
        <v>9728</v>
      </c>
      <c r="B904" s="71" t="s">
        <v>40</v>
      </c>
      <c r="C904" s="71" t="s">
        <v>9340</v>
      </c>
      <c r="D904" s="71" t="s">
        <v>9034</v>
      </c>
    </row>
    <row r="905" ht="14.25" customHeight="1">
      <c r="D905" s="71" t="s">
        <v>13193</v>
      </c>
    </row>
    <row r="906" ht="14.25" customHeight="1">
      <c r="D906" s="71" t="s">
        <v>13194</v>
      </c>
    </row>
    <row r="907" ht="14.25" customHeight="1">
      <c r="C907" s="71" t="s">
        <v>13195</v>
      </c>
      <c r="D907" s="71" t="s">
        <v>13196</v>
      </c>
    </row>
    <row r="908" ht="14.25" customHeight="1">
      <c r="C908" s="71" t="s">
        <v>9552</v>
      </c>
      <c r="D908" s="71" t="s">
        <v>9354</v>
      </c>
    </row>
    <row r="909" ht="14.25" customHeight="1">
      <c r="C909" s="71" t="s">
        <v>9172</v>
      </c>
      <c r="D909" s="71" t="s">
        <v>9071</v>
      </c>
    </row>
    <row r="910" ht="14.25" customHeight="1">
      <c r="C910" s="71" t="s">
        <v>9351</v>
      </c>
      <c r="D910" s="71" t="s">
        <v>13197</v>
      </c>
    </row>
    <row r="911" ht="14.25" customHeight="1">
      <c r="D911" s="71" t="s">
        <v>13198</v>
      </c>
    </row>
    <row r="912" ht="14.25" customHeight="1">
      <c r="C912" s="71" t="s">
        <v>4609</v>
      </c>
      <c r="D912" s="71" t="s">
        <v>13199</v>
      </c>
    </row>
    <row r="913" ht="14.25" customHeight="1">
      <c r="C913" s="71" t="s">
        <v>9355</v>
      </c>
      <c r="D913" s="71" t="s">
        <v>9380</v>
      </c>
    </row>
    <row r="914" ht="14.25" customHeight="1">
      <c r="C914" s="71" t="s">
        <v>9105</v>
      </c>
      <c r="D914" s="71" t="s">
        <v>12776</v>
      </c>
    </row>
    <row r="915" ht="14.25" customHeight="1">
      <c r="D915" s="71" t="s">
        <v>9178</v>
      </c>
    </row>
    <row r="916" ht="14.25" customHeight="1">
      <c r="C916" s="71" t="s">
        <v>13200</v>
      </c>
      <c r="D916" s="71" t="s">
        <v>13201</v>
      </c>
    </row>
    <row r="917" ht="14.25" customHeight="1">
      <c r="C917" s="71" t="s">
        <v>82</v>
      </c>
      <c r="D917" s="71" t="s">
        <v>12697</v>
      </c>
    </row>
    <row r="918" ht="14.25" customHeight="1">
      <c r="C918" s="71" t="s">
        <v>13202</v>
      </c>
      <c r="D918" s="71" t="s">
        <v>13203</v>
      </c>
    </row>
    <row r="919" ht="14.25" customHeight="1">
      <c r="C919" s="71" t="s">
        <v>329</v>
      </c>
      <c r="D919" s="71" t="s">
        <v>13204</v>
      </c>
    </row>
    <row r="920" ht="14.25" customHeight="1">
      <c r="C920" s="71" t="s">
        <v>294</v>
      </c>
      <c r="D920" s="71" t="s">
        <v>13205</v>
      </c>
    </row>
    <row r="921" ht="14.25" customHeight="1">
      <c r="C921" s="71" t="s">
        <v>98</v>
      </c>
      <c r="D921" s="71" t="s">
        <v>9075</v>
      </c>
    </row>
    <row r="922" ht="14.25" customHeight="1">
      <c r="C922" s="71" t="s">
        <v>9742</v>
      </c>
      <c r="D922" s="71" t="s">
        <v>13206</v>
      </c>
    </row>
    <row r="923" ht="14.25" customHeight="1">
      <c r="D923" s="71" t="s">
        <v>13207</v>
      </c>
    </row>
    <row r="924" ht="14.25" customHeight="1">
      <c r="C924" s="71" t="s">
        <v>13208</v>
      </c>
      <c r="D924" s="71" t="s">
        <v>9055</v>
      </c>
    </row>
    <row r="925" ht="14.25" customHeight="1">
      <c r="C925" s="71" t="s">
        <v>12329</v>
      </c>
      <c r="D925" s="71" t="s">
        <v>13209</v>
      </c>
    </row>
    <row r="926" ht="14.25" customHeight="1">
      <c r="C926" s="71" t="s">
        <v>13210</v>
      </c>
      <c r="D926" s="71" t="s">
        <v>13211</v>
      </c>
    </row>
    <row r="927" ht="14.25" customHeight="1">
      <c r="C927" s="71" t="s">
        <v>916</v>
      </c>
      <c r="D927" s="71" t="s">
        <v>13162</v>
      </c>
    </row>
    <row r="928" ht="14.25" customHeight="1">
      <c r="C928" s="71" t="s">
        <v>9630</v>
      </c>
      <c r="D928" s="71" t="s">
        <v>13212</v>
      </c>
    </row>
    <row r="929" ht="14.25" customHeight="1">
      <c r="C929" s="71" t="s">
        <v>9121</v>
      </c>
      <c r="D929" s="71" t="s">
        <v>13213</v>
      </c>
    </row>
    <row r="930" ht="14.25" customHeight="1">
      <c r="C930" s="71" t="s">
        <v>13214</v>
      </c>
      <c r="D930" s="71" t="s">
        <v>9216</v>
      </c>
    </row>
    <row r="931" ht="14.25" customHeight="1">
      <c r="C931" s="71" t="s">
        <v>13215</v>
      </c>
      <c r="D931" s="71" t="s">
        <v>13216</v>
      </c>
    </row>
    <row r="932" ht="14.25" customHeight="1">
      <c r="C932" s="71" t="s">
        <v>124</v>
      </c>
      <c r="D932" s="71" t="s">
        <v>8982</v>
      </c>
    </row>
    <row r="933" ht="14.25" customHeight="1">
      <c r="C933" s="71" t="s">
        <v>9268</v>
      </c>
      <c r="D933" s="71" t="s">
        <v>13217</v>
      </c>
    </row>
    <row r="934" ht="14.25" customHeight="1">
      <c r="C934" s="71" t="s">
        <v>13041</v>
      </c>
      <c r="D934" s="71" t="s">
        <v>9643</v>
      </c>
    </row>
    <row r="935" ht="14.25" customHeight="1">
      <c r="D935" s="71" t="s">
        <v>13218</v>
      </c>
    </row>
    <row r="936" ht="14.25" customHeight="1">
      <c r="C936" s="71" t="s">
        <v>13219</v>
      </c>
      <c r="D936" s="71" t="s">
        <v>13220</v>
      </c>
    </row>
    <row r="937" ht="14.25" customHeight="1">
      <c r="C937" s="71" t="s">
        <v>13221</v>
      </c>
      <c r="D937" s="71" t="s">
        <v>11030</v>
      </c>
    </row>
    <row r="938" ht="14.25" customHeight="1">
      <c r="C938" s="71" t="s">
        <v>141</v>
      </c>
      <c r="D938" s="71" t="s">
        <v>9753</v>
      </c>
    </row>
    <row r="939" ht="14.25" customHeight="1">
      <c r="D939" s="71" t="s">
        <v>13222</v>
      </c>
    </row>
    <row r="940" ht="14.25" customHeight="1">
      <c r="C940" s="71" t="s">
        <v>6405</v>
      </c>
      <c r="D940" s="71" t="s">
        <v>13223</v>
      </c>
    </row>
    <row r="941" ht="14.25" customHeight="1">
      <c r="C941" s="71" t="s">
        <v>9272</v>
      </c>
      <c r="D941" s="71" t="s">
        <v>9066</v>
      </c>
    </row>
    <row r="942" ht="14.25" customHeight="1">
      <c r="C942" s="71" t="s">
        <v>10462</v>
      </c>
      <c r="D942" s="71" t="s">
        <v>13224</v>
      </c>
    </row>
    <row r="943" ht="14.25" customHeight="1">
      <c r="C943" s="71" t="s">
        <v>153</v>
      </c>
      <c r="D943" s="71" t="s">
        <v>13081</v>
      </c>
    </row>
    <row r="944" ht="14.25" customHeight="1">
      <c r="C944" s="71" t="s">
        <v>9329</v>
      </c>
      <c r="D944" s="71" t="s">
        <v>9073</v>
      </c>
    </row>
    <row r="945" ht="14.25" customHeight="1">
      <c r="C945" s="71" t="s">
        <v>13225</v>
      </c>
      <c r="D945" s="71" t="s">
        <v>9430</v>
      </c>
    </row>
    <row r="946" ht="14.25" customHeight="1">
      <c r="C946" s="71" t="s">
        <v>9385</v>
      </c>
      <c r="D946" s="71" t="s">
        <v>13226</v>
      </c>
    </row>
    <row r="947" ht="14.25" customHeight="1">
      <c r="C947" s="71" t="s">
        <v>13227</v>
      </c>
      <c r="D947" s="71" t="s">
        <v>9216</v>
      </c>
    </row>
    <row r="948" ht="14.25" customHeight="1">
      <c r="C948" s="71" t="s">
        <v>3566</v>
      </c>
      <c r="D948" s="71" t="s">
        <v>9667</v>
      </c>
    </row>
    <row r="949" ht="14.25" customHeight="1">
      <c r="C949" s="71" t="s">
        <v>189</v>
      </c>
      <c r="D949" s="71" t="s">
        <v>9289</v>
      </c>
    </row>
    <row r="950" ht="14.25" customHeight="1">
      <c r="C950" s="71" t="s">
        <v>9577</v>
      </c>
      <c r="D950" s="71" t="s">
        <v>9578</v>
      </c>
    </row>
    <row r="951" ht="14.25" customHeight="1">
      <c r="C951" s="71" t="s">
        <v>9277</v>
      </c>
      <c r="D951" s="71" t="s">
        <v>10463</v>
      </c>
    </row>
    <row r="952" ht="14.25" customHeight="1">
      <c r="C952" s="71" t="s">
        <v>9505</v>
      </c>
      <c r="D952" s="71" t="s">
        <v>11307</v>
      </c>
    </row>
    <row r="953" ht="14.25" customHeight="1">
      <c r="C953" s="71" t="s">
        <v>10905</v>
      </c>
      <c r="D953" s="71" t="s">
        <v>9759</v>
      </c>
    </row>
    <row r="954" ht="14.25" customHeight="1">
      <c r="C954" s="71" t="s">
        <v>13228</v>
      </c>
      <c r="D954" s="71" t="s">
        <v>9216</v>
      </c>
    </row>
    <row r="955" ht="14.25" customHeight="1">
      <c r="C955" s="71" t="s">
        <v>9282</v>
      </c>
      <c r="D955" s="71" t="s">
        <v>9273</v>
      </c>
    </row>
    <row r="956" ht="14.25" customHeight="1">
      <c r="C956" s="71" t="s">
        <v>3861</v>
      </c>
      <c r="D956" s="71" t="s">
        <v>9265</v>
      </c>
    </row>
    <row r="957" ht="14.25" customHeight="1">
      <c r="C957" s="71" t="s">
        <v>220</v>
      </c>
      <c r="D957" s="71" t="s">
        <v>13229</v>
      </c>
    </row>
    <row r="958" ht="14.25" customHeight="1">
      <c r="D958" s="71" t="s">
        <v>9141</v>
      </c>
    </row>
    <row r="959" ht="14.25" customHeight="1">
      <c r="D959" s="71" t="s">
        <v>10430</v>
      </c>
    </row>
    <row r="960" ht="14.25" customHeight="1">
      <c r="C960" s="71" t="s">
        <v>9283</v>
      </c>
      <c r="D960" s="71" t="s">
        <v>10430</v>
      </c>
    </row>
    <row r="961" ht="14.25" customHeight="1">
      <c r="C961" s="71" t="s">
        <v>9286</v>
      </c>
      <c r="D961" s="71" t="s">
        <v>12216</v>
      </c>
    </row>
    <row r="962" ht="14.25" customHeight="1">
      <c r="D962" s="71" t="s">
        <v>9430</v>
      </c>
    </row>
    <row r="963" ht="14.25" customHeight="1">
      <c r="C963" s="71" t="s">
        <v>13230</v>
      </c>
      <c r="D963" s="71" t="s">
        <v>13231</v>
      </c>
    </row>
    <row r="964" ht="14.25" customHeight="1">
      <c r="C964" s="71" t="s">
        <v>9156</v>
      </c>
      <c r="D964" s="71" t="s">
        <v>9073</v>
      </c>
    </row>
    <row r="965" ht="14.25" customHeight="1">
      <c r="C965" s="71" t="s">
        <v>8997</v>
      </c>
      <c r="D965" s="71" t="s">
        <v>9236</v>
      </c>
    </row>
    <row r="966" ht="14.25" customHeight="1">
      <c r="D966" s="71" t="s">
        <v>8976</v>
      </c>
    </row>
    <row r="967" ht="14.25" customHeight="1">
      <c r="C967" s="71" t="s">
        <v>4035</v>
      </c>
      <c r="D967" s="71" t="s">
        <v>10124</v>
      </c>
    </row>
    <row r="968" ht="14.25" customHeight="1">
      <c r="C968" s="71" t="s">
        <v>12848</v>
      </c>
      <c r="D968" s="71" t="s">
        <v>13232</v>
      </c>
    </row>
    <row r="969" ht="14.25" customHeight="1">
      <c r="C969" s="71" t="s">
        <v>13233</v>
      </c>
      <c r="D969" s="71" t="s">
        <v>9430</v>
      </c>
    </row>
    <row r="970" ht="14.25" customHeight="1">
      <c r="C970" s="71" t="s">
        <v>10290</v>
      </c>
      <c r="D970" s="71" t="s">
        <v>13234</v>
      </c>
    </row>
    <row r="971" ht="14.25" customHeight="1">
      <c r="C971" s="71" t="s">
        <v>4109</v>
      </c>
      <c r="D971" s="71" t="s">
        <v>13235</v>
      </c>
    </row>
    <row r="972" ht="14.25" customHeight="1">
      <c r="C972" s="71" t="s">
        <v>13236</v>
      </c>
      <c r="D972" s="71" t="s">
        <v>9775</v>
      </c>
    </row>
    <row r="973" ht="14.25" customHeight="1">
      <c r="C973" s="71" t="s">
        <v>13237</v>
      </c>
      <c r="D973" s="71" t="s">
        <v>9667</v>
      </c>
    </row>
    <row r="974" ht="14.25" customHeight="1">
      <c r="C974" s="71" t="s">
        <v>13238</v>
      </c>
      <c r="D974" s="71" t="s">
        <v>9667</v>
      </c>
    </row>
    <row r="975" ht="14.25" customHeight="1">
      <c r="C975" s="71" t="s">
        <v>4231</v>
      </c>
      <c r="D975" s="71" t="s">
        <v>9578</v>
      </c>
    </row>
    <row r="976" ht="14.25" customHeight="1">
      <c r="C976" s="71" t="s">
        <v>13239</v>
      </c>
      <c r="D976" s="71" t="s">
        <v>9618</v>
      </c>
    </row>
    <row r="977" ht="14.25" customHeight="1">
      <c r="C977" s="71" t="s">
        <v>9160</v>
      </c>
      <c r="D977" s="71" t="s">
        <v>9667</v>
      </c>
    </row>
    <row r="978" ht="14.25" customHeight="1">
      <c r="D978" s="71" t="s">
        <v>13240</v>
      </c>
    </row>
    <row r="979" ht="14.25" customHeight="1">
      <c r="D979" s="71" t="s">
        <v>12359</v>
      </c>
    </row>
    <row r="980" ht="14.25" customHeight="1">
      <c r="C980" s="71" t="s">
        <v>13241</v>
      </c>
      <c r="D980" s="71" t="s">
        <v>9771</v>
      </c>
    </row>
    <row r="981" ht="14.25" customHeight="1">
      <c r="C981" s="71" t="s">
        <v>4326</v>
      </c>
      <c r="D981" s="71" t="s">
        <v>9073</v>
      </c>
    </row>
    <row r="982" ht="14.25" customHeight="1">
      <c r="C982" s="71" t="s">
        <v>9908</v>
      </c>
      <c r="D982" s="71" t="s">
        <v>9962</v>
      </c>
    </row>
    <row r="983" ht="14.25" customHeight="1">
      <c r="C983" s="71" t="s">
        <v>2115</v>
      </c>
      <c r="D983" s="71" t="s">
        <v>12364</v>
      </c>
    </row>
    <row r="984" ht="14.25" customHeight="1">
      <c r="C984" s="71" t="s">
        <v>9005</v>
      </c>
      <c r="D984" s="71" t="s">
        <v>9034</v>
      </c>
    </row>
    <row r="985" ht="14.25" customHeight="1">
      <c r="D985" s="71" t="s">
        <v>13242</v>
      </c>
    </row>
    <row r="986" ht="14.25" customHeight="1">
      <c r="D986" s="71" t="s">
        <v>13243</v>
      </c>
    </row>
    <row r="987" ht="14.25" customHeight="1">
      <c r="D987" s="71" t="s">
        <v>13244</v>
      </c>
    </row>
    <row r="988" ht="14.25" customHeight="1">
      <c r="C988" s="71" t="s">
        <v>9529</v>
      </c>
      <c r="D988" s="71" t="s">
        <v>9034</v>
      </c>
    </row>
    <row r="989" ht="14.25" customHeight="1">
      <c r="C989" s="71" t="s">
        <v>13245</v>
      </c>
      <c r="D989" s="71" t="s">
        <v>13246</v>
      </c>
    </row>
    <row r="990" ht="14.25" customHeight="1">
      <c r="C990" s="71" t="s">
        <v>9787</v>
      </c>
      <c r="D990" s="71" t="s">
        <v>9729</v>
      </c>
    </row>
    <row r="991" ht="14.25" customHeight="1">
      <c r="C991" s="71" t="s">
        <v>280</v>
      </c>
      <c r="D991" s="71" t="s">
        <v>9151</v>
      </c>
    </row>
    <row r="992" ht="14.25" customHeight="1">
      <c r="B992" s="71" t="s">
        <v>41</v>
      </c>
      <c r="C992" s="71" t="s">
        <v>9034</v>
      </c>
      <c r="D992" s="71" t="s">
        <v>9050</v>
      </c>
    </row>
    <row r="993" ht="14.25" customHeight="1">
      <c r="C993" s="71" t="s">
        <v>1889</v>
      </c>
      <c r="D993" s="71" t="s">
        <v>10418</v>
      </c>
    </row>
    <row r="994" ht="14.25" customHeight="1">
      <c r="C994" s="71" t="s">
        <v>9469</v>
      </c>
      <c r="D994" s="71" t="s">
        <v>9319</v>
      </c>
    </row>
    <row r="995" ht="14.25" customHeight="1">
      <c r="C995" s="71" t="s">
        <v>9742</v>
      </c>
      <c r="D995" s="71" t="s">
        <v>13207</v>
      </c>
    </row>
    <row r="996" ht="14.25" customHeight="1">
      <c r="C996" s="71" t="s">
        <v>9490</v>
      </c>
      <c r="D996" s="71" t="s">
        <v>11568</v>
      </c>
    </row>
    <row r="997" ht="14.25" customHeight="1">
      <c r="C997" s="71" t="s">
        <v>3664</v>
      </c>
      <c r="D997" s="71" t="s">
        <v>13247</v>
      </c>
    </row>
    <row r="998" ht="14.25" customHeight="1">
      <c r="C998" s="71" t="s">
        <v>13248</v>
      </c>
      <c r="D998" s="71" t="s">
        <v>11651</v>
      </c>
    </row>
    <row r="999" ht="14.25" customHeight="1">
      <c r="C999" s="71" t="s">
        <v>12731</v>
      </c>
      <c r="D999" s="71" t="s">
        <v>13249</v>
      </c>
    </row>
    <row r="1000" ht="14.25" customHeight="1">
      <c r="B1000" s="71" t="s">
        <v>13</v>
      </c>
      <c r="C1000" s="71" t="s">
        <v>13250</v>
      </c>
      <c r="D1000" s="71" t="s">
        <v>13251</v>
      </c>
    </row>
    <row r="1001" ht="14.25" customHeight="1">
      <c r="C1001" s="71" t="s">
        <v>13252</v>
      </c>
      <c r="D1001" s="71" t="s">
        <v>9380</v>
      </c>
    </row>
    <row r="1002" ht="14.25" customHeight="1">
      <c r="A1002" s="71" t="s">
        <v>9796</v>
      </c>
      <c r="B1002" s="71" t="s">
        <v>40</v>
      </c>
      <c r="C1002" s="71" t="s">
        <v>13253</v>
      </c>
      <c r="D1002" s="71" t="s">
        <v>9236</v>
      </c>
    </row>
    <row r="1003" ht="14.25" customHeight="1">
      <c r="C1003" s="71" t="s">
        <v>9374</v>
      </c>
      <c r="D1003" s="71" t="s">
        <v>8978</v>
      </c>
    </row>
    <row r="1004" ht="14.25" customHeight="1">
      <c r="C1004" s="71" t="s">
        <v>3499</v>
      </c>
      <c r="D1004" s="71" t="s">
        <v>13254</v>
      </c>
    </row>
    <row r="1005" ht="14.25" customHeight="1">
      <c r="B1005" s="71" t="s">
        <v>13</v>
      </c>
      <c r="C1005" s="71" t="s">
        <v>9577</v>
      </c>
      <c r="D1005" s="71" t="s">
        <v>9050</v>
      </c>
    </row>
    <row r="1006" ht="14.25" customHeight="1">
      <c r="C1006" s="71" t="s">
        <v>13255</v>
      </c>
      <c r="D1006" s="71" t="s">
        <v>13256</v>
      </c>
    </row>
    <row r="1007" ht="14.25" customHeight="1">
      <c r="A1007" s="71" t="s">
        <v>9806</v>
      </c>
      <c r="B1007" s="71" t="s">
        <v>40</v>
      </c>
      <c r="C1007" s="71" t="s">
        <v>13257</v>
      </c>
      <c r="D1007" s="71" t="s">
        <v>8978</v>
      </c>
    </row>
    <row r="1008" ht="14.25" customHeight="1">
      <c r="C1008" s="71" t="s">
        <v>13258</v>
      </c>
      <c r="D1008" s="71" t="s">
        <v>9028</v>
      </c>
    </row>
    <row r="1009" ht="14.25" customHeight="1">
      <c r="C1009" s="71" t="s">
        <v>9172</v>
      </c>
      <c r="D1009" s="71" t="s">
        <v>9028</v>
      </c>
    </row>
    <row r="1010" ht="14.25" customHeight="1">
      <c r="C1010" s="71" t="s">
        <v>10307</v>
      </c>
      <c r="D1010" s="71" t="s">
        <v>9291</v>
      </c>
    </row>
    <row r="1011" ht="14.25" customHeight="1">
      <c r="C1011" s="71" t="s">
        <v>8974</v>
      </c>
      <c r="D1011" s="71" t="s">
        <v>9071</v>
      </c>
    </row>
    <row r="1012" ht="14.25" customHeight="1">
      <c r="C1012" s="71" t="s">
        <v>10424</v>
      </c>
      <c r="D1012" s="71" t="s">
        <v>9152</v>
      </c>
    </row>
    <row r="1013" ht="14.25" customHeight="1">
      <c r="C1013" s="71" t="s">
        <v>13259</v>
      </c>
      <c r="D1013" s="71" t="s">
        <v>9131</v>
      </c>
    </row>
    <row r="1014" ht="14.25" customHeight="1">
      <c r="C1014" s="71" t="s">
        <v>13260</v>
      </c>
      <c r="D1014" s="71" t="s">
        <v>9649</v>
      </c>
    </row>
    <row r="1015" ht="14.25" customHeight="1">
      <c r="C1015" s="71" t="s">
        <v>13261</v>
      </c>
      <c r="D1015" s="71" t="s">
        <v>9291</v>
      </c>
    </row>
    <row r="1016" ht="14.25" customHeight="1">
      <c r="C1016" s="71" t="s">
        <v>13262</v>
      </c>
      <c r="D1016" s="71" t="s">
        <v>13263</v>
      </c>
    </row>
    <row r="1017" ht="14.25" customHeight="1">
      <c r="C1017" s="71" t="s">
        <v>13264</v>
      </c>
      <c r="D1017" s="71" t="s">
        <v>9875</v>
      </c>
    </row>
    <row r="1018" ht="14.25" customHeight="1">
      <c r="C1018" s="71" t="s">
        <v>1066</v>
      </c>
      <c r="D1018" s="71" t="s">
        <v>13265</v>
      </c>
    </row>
    <row r="1019" ht="14.25" customHeight="1">
      <c r="C1019" s="71" t="s">
        <v>13266</v>
      </c>
      <c r="D1019" s="71" t="s">
        <v>9131</v>
      </c>
    </row>
    <row r="1020" ht="14.25" customHeight="1">
      <c r="C1020" s="71" t="s">
        <v>11167</v>
      </c>
      <c r="D1020" s="71" t="s">
        <v>9034</v>
      </c>
    </row>
    <row r="1021" ht="14.25" customHeight="1">
      <c r="C1021" s="71" t="s">
        <v>13267</v>
      </c>
      <c r="D1021" s="71" t="s">
        <v>9034</v>
      </c>
    </row>
    <row r="1022" ht="14.25" customHeight="1">
      <c r="C1022" s="71" t="s">
        <v>141</v>
      </c>
      <c r="D1022" s="71" t="s">
        <v>13268</v>
      </c>
    </row>
    <row r="1023" ht="14.25" customHeight="1">
      <c r="C1023" s="71" t="s">
        <v>9650</v>
      </c>
      <c r="D1023" s="71" t="s">
        <v>9649</v>
      </c>
    </row>
    <row r="1024" ht="14.25" customHeight="1">
      <c r="C1024" s="71" t="s">
        <v>13269</v>
      </c>
      <c r="D1024" s="71" t="s">
        <v>9071</v>
      </c>
    </row>
    <row r="1025" ht="14.25" customHeight="1">
      <c r="C1025" s="71" t="s">
        <v>9203</v>
      </c>
      <c r="D1025" s="71" t="s">
        <v>9204</v>
      </c>
    </row>
    <row r="1026" ht="14.25" customHeight="1">
      <c r="C1026" s="71" t="s">
        <v>3566</v>
      </c>
      <c r="D1026" s="71" t="s">
        <v>9034</v>
      </c>
    </row>
    <row r="1027" ht="14.25" customHeight="1">
      <c r="D1027" s="71" t="s">
        <v>9071</v>
      </c>
    </row>
    <row r="1028" ht="14.25" customHeight="1">
      <c r="D1028" s="71" t="s">
        <v>9028</v>
      </c>
    </row>
    <row r="1029" ht="14.25" customHeight="1">
      <c r="C1029" s="71" t="s">
        <v>9804</v>
      </c>
      <c r="D1029" s="71" t="s">
        <v>10018</v>
      </c>
    </row>
    <row r="1030" ht="14.25" customHeight="1">
      <c r="D1030" s="71" t="s">
        <v>13270</v>
      </c>
    </row>
    <row r="1031" ht="14.25" customHeight="1">
      <c r="C1031" s="71" t="s">
        <v>9674</v>
      </c>
      <c r="D1031" s="71" t="s">
        <v>10986</v>
      </c>
    </row>
    <row r="1032" ht="14.25" customHeight="1">
      <c r="C1032" s="71" t="s">
        <v>13271</v>
      </c>
      <c r="D1032" s="71" t="s">
        <v>9855</v>
      </c>
    </row>
    <row r="1033" ht="14.25" customHeight="1">
      <c r="C1033" s="71" t="s">
        <v>13272</v>
      </c>
      <c r="D1033" s="71" t="s">
        <v>9071</v>
      </c>
    </row>
    <row r="1034" ht="14.25" customHeight="1">
      <c r="C1034" s="71" t="s">
        <v>13273</v>
      </c>
      <c r="D1034" s="71" t="s">
        <v>9071</v>
      </c>
    </row>
    <row r="1035" ht="14.25" customHeight="1">
      <c r="C1035" s="71" t="s">
        <v>13274</v>
      </c>
      <c r="D1035" s="71" t="s">
        <v>9071</v>
      </c>
    </row>
    <row r="1036" ht="14.25" customHeight="1">
      <c r="C1036" s="71" t="s">
        <v>1743</v>
      </c>
      <c r="D1036" s="71" t="s">
        <v>9516</v>
      </c>
    </row>
    <row r="1037" ht="14.25" customHeight="1">
      <c r="C1037" s="71" t="s">
        <v>4056</v>
      </c>
      <c r="D1037" s="71" t="s">
        <v>12600</v>
      </c>
    </row>
    <row r="1038" ht="14.25" customHeight="1">
      <c r="C1038" s="71" t="s">
        <v>13275</v>
      </c>
      <c r="D1038" s="71" t="s">
        <v>9291</v>
      </c>
    </row>
    <row r="1039" ht="14.25" customHeight="1">
      <c r="C1039" s="71" t="s">
        <v>251</v>
      </c>
      <c r="D1039" s="71" t="s">
        <v>9028</v>
      </c>
    </row>
    <row r="1040" ht="14.25" customHeight="1">
      <c r="C1040" s="71" t="s">
        <v>254</v>
      </c>
      <c r="D1040" s="71" t="s">
        <v>10317</v>
      </c>
    </row>
    <row r="1041" ht="14.25" customHeight="1">
      <c r="C1041" s="71" t="s">
        <v>9160</v>
      </c>
      <c r="D1041" s="71" t="s">
        <v>9817</v>
      </c>
    </row>
    <row r="1042" ht="14.25" customHeight="1">
      <c r="C1042" s="71" t="s">
        <v>13276</v>
      </c>
      <c r="D1042" s="71" t="s">
        <v>9583</v>
      </c>
    </row>
    <row r="1043" ht="14.25" customHeight="1">
      <c r="C1043" s="71" t="s">
        <v>9007</v>
      </c>
      <c r="D1043" s="71" t="s">
        <v>9006</v>
      </c>
    </row>
    <row r="1044" ht="14.25" customHeight="1">
      <c r="C1044" s="71" t="s">
        <v>13277</v>
      </c>
      <c r="D1044" s="71" t="s">
        <v>9741</v>
      </c>
    </row>
    <row r="1045" ht="14.25" customHeight="1">
      <c r="A1045" s="71" t="s">
        <v>9824</v>
      </c>
      <c r="B1045" s="71" t="s">
        <v>40</v>
      </c>
      <c r="C1045" s="71" t="s">
        <v>62</v>
      </c>
      <c r="D1045" s="71" t="s">
        <v>9249</v>
      </c>
    </row>
    <row r="1046" ht="14.25" customHeight="1">
      <c r="C1046" s="71" t="s">
        <v>13278</v>
      </c>
      <c r="D1046" s="71" t="s">
        <v>13279</v>
      </c>
    </row>
    <row r="1047" ht="14.25" customHeight="1">
      <c r="C1047" s="71" t="s">
        <v>13280</v>
      </c>
      <c r="D1047" s="71" t="s">
        <v>13281</v>
      </c>
    </row>
    <row r="1048" ht="14.25" customHeight="1">
      <c r="C1048" s="71" t="s">
        <v>13282</v>
      </c>
      <c r="D1048" s="71" t="s">
        <v>13283</v>
      </c>
    </row>
    <row r="1049" ht="14.25" customHeight="1">
      <c r="C1049" s="71" t="s">
        <v>9139</v>
      </c>
      <c r="D1049" s="71" t="s">
        <v>13284</v>
      </c>
    </row>
    <row r="1050" ht="14.25" customHeight="1">
      <c r="C1050" s="71" t="s">
        <v>13285</v>
      </c>
      <c r="D1050" s="71" t="s">
        <v>13286</v>
      </c>
    </row>
    <row r="1051" ht="14.25" customHeight="1">
      <c r="C1051" s="71" t="s">
        <v>13287</v>
      </c>
      <c r="D1051" s="71" t="s">
        <v>9073</v>
      </c>
    </row>
    <row r="1052" ht="14.25" customHeight="1">
      <c r="C1052" s="71" t="s">
        <v>3517</v>
      </c>
      <c r="D1052" s="71" t="s">
        <v>13288</v>
      </c>
    </row>
    <row r="1053" ht="14.25" customHeight="1">
      <c r="C1053" s="71" t="s">
        <v>3566</v>
      </c>
      <c r="D1053" s="71" t="s">
        <v>9825</v>
      </c>
    </row>
    <row r="1054" ht="14.25" customHeight="1">
      <c r="C1054" s="71" t="s">
        <v>13289</v>
      </c>
      <c r="D1054" s="71" t="s">
        <v>9034</v>
      </c>
    </row>
    <row r="1055" ht="14.25" customHeight="1">
      <c r="C1055" s="71" t="s">
        <v>13290</v>
      </c>
      <c r="D1055" s="71" t="s">
        <v>13291</v>
      </c>
    </row>
    <row r="1056" ht="14.25" customHeight="1">
      <c r="C1056" s="71" t="s">
        <v>9562</v>
      </c>
      <c r="D1056" s="71" t="s">
        <v>405</v>
      </c>
    </row>
    <row r="1057" ht="14.25" customHeight="1">
      <c r="C1057" s="71" t="s">
        <v>13292</v>
      </c>
      <c r="D1057" s="71" t="s">
        <v>9825</v>
      </c>
    </row>
    <row r="1058" ht="14.25" customHeight="1">
      <c r="C1058" s="71" t="s">
        <v>12731</v>
      </c>
      <c r="D1058" s="71" t="s">
        <v>9073</v>
      </c>
    </row>
    <row r="1059" ht="14.25" customHeight="1">
      <c r="C1059" s="71" t="s">
        <v>12782</v>
      </c>
      <c r="D1059" s="71" t="s">
        <v>11076</v>
      </c>
    </row>
    <row r="1060" ht="14.25" customHeight="1">
      <c r="B1060" s="71" t="s">
        <v>41</v>
      </c>
      <c r="C1060" s="71" t="s">
        <v>13293</v>
      </c>
      <c r="D1060" s="71" t="s">
        <v>9131</v>
      </c>
    </row>
    <row r="1061" ht="14.25" customHeight="1">
      <c r="C1061" s="71" t="s">
        <v>8398</v>
      </c>
      <c r="D1061" s="71" t="s">
        <v>13294</v>
      </c>
    </row>
    <row r="1062" ht="14.25" customHeight="1">
      <c r="C1062" s="71" t="s">
        <v>4035</v>
      </c>
      <c r="D1062" s="71" t="s">
        <v>10124</v>
      </c>
    </row>
    <row r="1063" ht="14.25" customHeight="1">
      <c r="B1063" s="71" t="s">
        <v>13</v>
      </c>
      <c r="C1063" s="71" t="s">
        <v>13295</v>
      </c>
      <c r="D1063" s="71" t="s">
        <v>12743</v>
      </c>
    </row>
    <row r="1064" ht="14.25" customHeight="1">
      <c r="C1064" s="71" t="s">
        <v>13296</v>
      </c>
      <c r="D1064" s="71" t="s">
        <v>9176</v>
      </c>
    </row>
    <row r="1065" ht="14.25" customHeight="1">
      <c r="C1065" s="71" t="s">
        <v>3566</v>
      </c>
      <c r="D1065" s="71" t="s">
        <v>9440</v>
      </c>
    </row>
    <row r="1066" ht="14.25" customHeight="1">
      <c r="C1066" s="71" t="s">
        <v>8398</v>
      </c>
      <c r="D1066" s="71" t="s">
        <v>9825</v>
      </c>
    </row>
    <row r="1067" ht="14.25" customHeight="1">
      <c r="C1067" s="71" t="s">
        <v>233</v>
      </c>
      <c r="D1067" s="71" t="s">
        <v>10608</v>
      </c>
    </row>
    <row r="1068" ht="14.25" customHeight="1">
      <c r="C1068" s="71" t="s">
        <v>13297</v>
      </c>
      <c r="D1068" s="71" t="s">
        <v>13298</v>
      </c>
    </row>
    <row r="1069" ht="14.25" customHeight="1">
      <c r="A1069" s="71" t="s">
        <v>9840</v>
      </c>
      <c r="B1069" s="71" t="s">
        <v>40</v>
      </c>
      <c r="C1069" s="71" t="s">
        <v>9034</v>
      </c>
      <c r="D1069" s="71" t="s">
        <v>9525</v>
      </c>
    </row>
    <row r="1070" ht="14.25" customHeight="1">
      <c r="C1070" s="71" t="s">
        <v>11390</v>
      </c>
      <c r="D1070" s="71" t="s">
        <v>9583</v>
      </c>
    </row>
    <row r="1071" ht="14.25" customHeight="1">
      <c r="C1071" s="71" t="s">
        <v>5749</v>
      </c>
      <c r="D1071" s="71" t="s">
        <v>9216</v>
      </c>
    </row>
    <row r="1072" ht="14.25" customHeight="1">
      <c r="C1072" s="71" t="s">
        <v>58</v>
      </c>
      <c r="D1072" s="71" t="s">
        <v>8976</v>
      </c>
    </row>
    <row r="1073" ht="14.25" customHeight="1">
      <c r="C1073" s="71" t="s">
        <v>9552</v>
      </c>
      <c r="D1073" s="71" t="s">
        <v>9050</v>
      </c>
    </row>
    <row r="1074" ht="14.25" customHeight="1">
      <c r="D1074" s="71" t="s">
        <v>9553</v>
      </c>
    </row>
    <row r="1075" ht="14.25" customHeight="1">
      <c r="C1075" s="71" t="s">
        <v>13299</v>
      </c>
      <c r="D1075" s="71" t="s">
        <v>9583</v>
      </c>
    </row>
    <row r="1076" ht="14.25" customHeight="1">
      <c r="C1076" s="71" t="s">
        <v>2379</v>
      </c>
      <c r="D1076" s="71" t="s">
        <v>13300</v>
      </c>
    </row>
    <row r="1077" ht="14.25" customHeight="1">
      <c r="C1077" s="71" t="s">
        <v>62</v>
      </c>
      <c r="D1077" s="71" t="s">
        <v>9075</v>
      </c>
    </row>
    <row r="1078" ht="14.25" customHeight="1">
      <c r="C1078" s="71" t="s">
        <v>9313</v>
      </c>
      <c r="D1078" s="71" t="s">
        <v>9131</v>
      </c>
    </row>
    <row r="1079" ht="14.25" customHeight="1">
      <c r="C1079" s="71" t="s">
        <v>9172</v>
      </c>
      <c r="D1079" s="71" t="s">
        <v>9028</v>
      </c>
    </row>
    <row r="1080" ht="14.25" customHeight="1">
      <c r="C1080" s="71" t="s">
        <v>12642</v>
      </c>
      <c r="D1080" s="71" t="s">
        <v>9216</v>
      </c>
    </row>
    <row r="1081" ht="14.25" customHeight="1">
      <c r="C1081" s="71" t="s">
        <v>5828</v>
      </c>
      <c r="D1081" s="71" t="s">
        <v>9914</v>
      </c>
    </row>
    <row r="1082" ht="14.25" customHeight="1">
      <c r="C1082" s="71" t="s">
        <v>5834</v>
      </c>
      <c r="D1082" s="71" t="s">
        <v>9034</v>
      </c>
    </row>
    <row r="1083" ht="14.25" customHeight="1">
      <c r="D1083" s="71" t="s">
        <v>10124</v>
      </c>
    </row>
    <row r="1084" ht="14.25" customHeight="1">
      <c r="C1084" s="71" t="s">
        <v>77</v>
      </c>
      <c r="D1084" s="71" t="s">
        <v>13301</v>
      </c>
    </row>
    <row r="1085" ht="14.25" customHeight="1">
      <c r="C1085" s="71" t="s">
        <v>9810</v>
      </c>
      <c r="D1085" s="71" t="s">
        <v>13302</v>
      </c>
    </row>
    <row r="1086" ht="14.25" customHeight="1">
      <c r="C1086" s="71" t="s">
        <v>9015</v>
      </c>
      <c r="D1086" s="71" t="s">
        <v>9028</v>
      </c>
    </row>
    <row r="1087" ht="14.25" customHeight="1">
      <c r="C1087" s="71" t="s">
        <v>1889</v>
      </c>
      <c r="D1087" s="71" t="s">
        <v>13303</v>
      </c>
    </row>
    <row r="1088" ht="14.25" customHeight="1">
      <c r="D1088" s="71" t="s">
        <v>9071</v>
      </c>
    </row>
    <row r="1089" ht="14.25" customHeight="1">
      <c r="D1089" s="71" t="s">
        <v>10577</v>
      </c>
    </row>
    <row r="1090" ht="14.25" customHeight="1">
      <c r="D1090" s="71" t="s">
        <v>8994</v>
      </c>
    </row>
    <row r="1091" ht="14.25" customHeight="1">
      <c r="C1091" s="71" t="s">
        <v>9300</v>
      </c>
      <c r="D1091" s="71" t="s">
        <v>9055</v>
      </c>
    </row>
    <row r="1092" ht="14.25" customHeight="1">
      <c r="C1092" s="71" t="s">
        <v>13304</v>
      </c>
      <c r="D1092" s="71" t="s">
        <v>10124</v>
      </c>
    </row>
    <row r="1093" ht="14.25" customHeight="1">
      <c r="C1093" s="71" t="s">
        <v>9572</v>
      </c>
      <c r="D1093" s="71" t="s">
        <v>9075</v>
      </c>
    </row>
    <row r="1094" ht="14.25" customHeight="1">
      <c r="C1094" s="71" t="s">
        <v>89</v>
      </c>
      <c r="D1094" s="71" t="s">
        <v>13305</v>
      </c>
    </row>
    <row r="1095" ht="14.25" customHeight="1">
      <c r="C1095" s="71" t="s">
        <v>329</v>
      </c>
      <c r="D1095" s="71" t="s">
        <v>11900</v>
      </c>
    </row>
    <row r="1096" ht="14.25" customHeight="1">
      <c r="C1096" s="71" t="s">
        <v>2669</v>
      </c>
      <c r="D1096" s="71" t="s">
        <v>9258</v>
      </c>
    </row>
    <row r="1097" ht="14.25" customHeight="1">
      <c r="C1097" s="71" t="s">
        <v>12701</v>
      </c>
      <c r="D1097" s="71" t="s">
        <v>12702</v>
      </c>
    </row>
    <row r="1098" ht="14.25" customHeight="1">
      <c r="C1098" s="71" t="s">
        <v>294</v>
      </c>
      <c r="D1098" s="71" t="s">
        <v>10219</v>
      </c>
    </row>
    <row r="1099" ht="14.25" customHeight="1">
      <c r="C1099" s="71" t="s">
        <v>9469</v>
      </c>
      <c r="D1099" s="71" t="s">
        <v>9131</v>
      </c>
    </row>
    <row r="1100" ht="14.25" customHeight="1">
      <c r="C1100" s="71" t="s">
        <v>13306</v>
      </c>
      <c r="D1100" s="71" t="s">
        <v>11877</v>
      </c>
    </row>
    <row r="1101" ht="14.25" customHeight="1">
      <c r="C1101" s="71" t="s">
        <v>13307</v>
      </c>
      <c r="D1101" s="71" t="s">
        <v>9037</v>
      </c>
    </row>
    <row r="1102" ht="14.25" customHeight="1">
      <c r="C1102" s="71" t="s">
        <v>13308</v>
      </c>
      <c r="D1102" s="71" t="s">
        <v>9055</v>
      </c>
    </row>
    <row r="1103" ht="14.25" customHeight="1">
      <c r="C1103" s="71" t="s">
        <v>916</v>
      </c>
      <c r="D1103" s="71" t="s">
        <v>8976</v>
      </c>
    </row>
    <row r="1104" ht="14.25" customHeight="1">
      <c r="C1104" s="71" t="s">
        <v>9630</v>
      </c>
      <c r="D1104" s="71" t="s">
        <v>13309</v>
      </c>
    </row>
    <row r="1105" ht="14.25" customHeight="1">
      <c r="C1105" s="71" t="s">
        <v>10387</v>
      </c>
      <c r="D1105" s="71" t="s">
        <v>12107</v>
      </c>
    </row>
    <row r="1106" ht="14.25" customHeight="1">
      <c r="C1106" s="71" t="s">
        <v>12166</v>
      </c>
      <c r="D1106" s="71" t="s">
        <v>9055</v>
      </c>
    </row>
    <row r="1107" ht="14.25" customHeight="1">
      <c r="C1107" s="71" t="s">
        <v>13310</v>
      </c>
      <c r="D1107" s="71" t="s">
        <v>13311</v>
      </c>
    </row>
    <row r="1108" ht="14.25" customHeight="1">
      <c r="C1108" s="71" t="s">
        <v>9121</v>
      </c>
      <c r="D1108" s="71" t="s">
        <v>13312</v>
      </c>
    </row>
    <row r="1109" ht="14.25" customHeight="1">
      <c r="C1109" s="71" t="s">
        <v>13313</v>
      </c>
      <c r="D1109" s="71" t="s">
        <v>13314</v>
      </c>
    </row>
    <row r="1110" ht="14.25" customHeight="1">
      <c r="C1110" s="71" t="s">
        <v>298</v>
      </c>
      <c r="D1110" s="71" t="s">
        <v>9028</v>
      </c>
    </row>
    <row r="1111" ht="14.25" customHeight="1">
      <c r="C1111" s="71" t="s">
        <v>13315</v>
      </c>
      <c r="D1111" s="71" t="s">
        <v>9291</v>
      </c>
    </row>
    <row r="1112" ht="14.25" customHeight="1">
      <c r="C1112" s="71" t="s">
        <v>13316</v>
      </c>
      <c r="D1112" s="71" t="s">
        <v>9131</v>
      </c>
    </row>
    <row r="1113" ht="14.25" customHeight="1">
      <c r="C1113" s="71" t="s">
        <v>124</v>
      </c>
      <c r="D1113" s="71" t="s">
        <v>8982</v>
      </c>
    </row>
    <row r="1114" ht="14.25" customHeight="1">
      <c r="C1114" s="71" t="s">
        <v>9133</v>
      </c>
      <c r="D1114" s="71" t="s">
        <v>13317</v>
      </c>
    </row>
    <row r="1115" ht="14.25" customHeight="1">
      <c r="D1115" s="71" t="s">
        <v>13318</v>
      </c>
    </row>
    <row r="1116" ht="14.25" customHeight="1">
      <c r="C1116" s="71" t="s">
        <v>9640</v>
      </c>
      <c r="D1116" s="71" t="s">
        <v>11415</v>
      </c>
    </row>
    <row r="1117" ht="14.25" customHeight="1">
      <c r="C1117" s="71" t="s">
        <v>1066</v>
      </c>
      <c r="D1117" s="71" t="s">
        <v>9055</v>
      </c>
    </row>
    <row r="1118" ht="14.25" customHeight="1">
      <c r="C1118" s="71" t="s">
        <v>13319</v>
      </c>
      <c r="D1118" s="71" t="s">
        <v>13320</v>
      </c>
    </row>
    <row r="1119" ht="14.25" customHeight="1">
      <c r="C1119" s="71" t="s">
        <v>13321</v>
      </c>
      <c r="D1119" s="71" t="s">
        <v>13322</v>
      </c>
    </row>
    <row r="1120" ht="14.25" customHeight="1">
      <c r="C1120" s="71" t="s">
        <v>9589</v>
      </c>
      <c r="D1120" s="71" t="s">
        <v>10124</v>
      </c>
    </row>
    <row r="1121" ht="14.25" customHeight="1">
      <c r="C1121" s="71" t="s">
        <v>9865</v>
      </c>
      <c r="D1121" s="71" t="s">
        <v>12683</v>
      </c>
    </row>
    <row r="1122" ht="14.25" customHeight="1">
      <c r="C1122" s="71" t="s">
        <v>11167</v>
      </c>
      <c r="D1122" s="71" t="s">
        <v>8968</v>
      </c>
    </row>
    <row r="1123" ht="14.25" customHeight="1">
      <c r="C1123" s="71" t="s">
        <v>3138</v>
      </c>
      <c r="D1123" s="71" t="s">
        <v>13323</v>
      </c>
    </row>
    <row r="1124" ht="14.25" customHeight="1">
      <c r="D1124" s="71" t="s">
        <v>13324</v>
      </c>
    </row>
    <row r="1125" ht="14.25" customHeight="1">
      <c r="C1125" s="71" t="s">
        <v>13325</v>
      </c>
      <c r="D1125" s="71" t="s">
        <v>9055</v>
      </c>
    </row>
    <row r="1126" ht="14.25" customHeight="1">
      <c r="C1126" s="71" t="s">
        <v>13326</v>
      </c>
      <c r="D1126" s="71" t="s">
        <v>10186</v>
      </c>
    </row>
    <row r="1127" ht="14.25" customHeight="1">
      <c r="C1127" s="71" t="s">
        <v>141</v>
      </c>
      <c r="D1127" s="71" t="s">
        <v>9028</v>
      </c>
    </row>
    <row r="1128" ht="14.25" customHeight="1">
      <c r="C1128" s="71" t="s">
        <v>13327</v>
      </c>
      <c r="D1128" s="71" t="s">
        <v>13328</v>
      </c>
    </row>
    <row r="1129" ht="14.25" customHeight="1">
      <c r="C1129" s="71" t="s">
        <v>9329</v>
      </c>
      <c r="D1129" s="71" t="s">
        <v>9051</v>
      </c>
    </row>
    <row r="1130" ht="14.25" customHeight="1">
      <c r="C1130" s="71" t="s">
        <v>13329</v>
      </c>
      <c r="D1130" s="71" t="s">
        <v>9055</v>
      </c>
    </row>
    <row r="1131" ht="14.25" customHeight="1">
      <c r="C1131" s="71" t="s">
        <v>9201</v>
      </c>
      <c r="D1131" s="71" t="s">
        <v>13330</v>
      </c>
    </row>
    <row r="1132" ht="14.25" customHeight="1">
      <c r="D1132" s="71" t="s">
        <v>13331</v>
      </c>
    </row>
    <row r="1133" ht="14.25" customHeight="1">
      <c r="C1133" s="71" t="s">
        <v>13332</v>
      </c>
      <c r="D1133" s="71" t="s">
        <v>9028</v>
      </c>
    </row>
    <row r="1134" ht="14.25" customHeight="1">
      <c r="C1134" s="71" t="s">
        <v>162</v>
      </c>
      <c r="D1134" s="71" t="s">
        <v>405</v>
      </c>
    </row>
    <row r="1135" ht="14.25" customHeight="1">
      <c r="C1135" s="71" t="s">
        <v>10515</v>
      </c>
      <c r="D1135" s="71" t="s">
        <v>9055</v>
      </c>
    </row>
    <row r="1136" ht="14.25" customHeight="1">
      <c r="C1136" s="71" t="s">
        <v>9203</v>
      </c>
      <c r="D1136" s="71" t="s">
        <v>9204</v>
      </c>
    </row>
    <row r="1137" ht="14.25" customHeight="1">
      <c r="C1137" s="71" t="s">
        <v>9882</v>
      </c>
      <c r="D1137" s="71" t="s">
        <v>9055</v>
      </c>
    </row>
    <row r="1138" ht="14.25" customHeight="1">
      <c r="C1138" s="71" t="s">
        <v>13333</v>
      </c>
      <c r="D1138" s="71" t="s">
        <v>10131</v>
      </c>
    </row>
    <row r="1139" ht="14.25" customHeight="1">
      <c r="C1139" s="71" t="s">
        <v>9385</v>
      </c>
      <c r="D1139" s="71" t="s">
        <v>9028</v>
      </c>
    </row>
    <row r="1140" ht="14.25" customHeight="1">
      <c r="D1140" s="71" t="s">
        <v>10486</v>
      </c>
    </row>
    <row r="1141" ht="14.25" customHeight="1">
      <c r="D1141" s="71" t="s">
        <v>8994</v>
      </c>
    </row>
    <row r="1142" ht="14.25" customHeight="1">
      <c r="C1142" s="71" t="s">
        <v>13334</v>
      </c>
      <c r="D1142" s="71" t="s">
        <v>13335</v>
      </c>
    </row>
    <row r="1143" ht="14.25" customHeight="1">
      <c r="C1143" s="71" t="s">
        <v>13336</v>
      </c>
      <c r="D1143" s="71" t="s">
        <v>9028</v>
      </c>
    </row>
    <row r="1144" ht="14.25" customHeight="1">
      <c r="C1144" s="71" t="s">
        <v>3566</v>
      </c>
      <c r="D1144" s="71" t="s">
        <v>13337</v>
      </c>
    </row>
    <row r="1145" ht="14.25" customHeight="1">
      <c r="D1145" s="71" t="s">
        <v>13338</v>
      </c>
    </row>
    <row r="1146" ht="14.25" customHeight="1">
      <c r="D1146" s="71" t="s">
        <v>13339</v>
      </c>
    </row>
    <row r="1147" ht="14.25" customHeight="1">
      <c r="D1147" s="71" t="s">
        <v>13340</v>
      </c>
    </row>
    <row r="1148" ht="14.25" customHeight="1">
      <c r="D1148" s="71" t="s">
        <v>9669</v>
      </c>
    </row>
    <row r="1149" ht="14.25" customHeight="1">
      <c r="D1149" s="71" t="s">
        <v>13341</v>
      </c>
    </row>
    <row r="1150" ht="14.25" customHeight="1">
      <c r="C1150" s="71" t="s">
        <v>12634</v>
      </c>
      <c r="D1150" s="71" t="s">
        <v>8989</v>
      </c>
    </row>
    <row r="1151" ht="14.25" customHeight="1">
      <c r="C1151" s="71" t="s">
        <v>9804</v>
      </c>
      <c r="D1151" s="71" t="s">
        <v>10576</v>
      </c>
    </row>
    <row r="1152" ht="14.25" customHeight="1">
      <c r="C1152" s="71" t="s">
        <v>10498</v>
      </c>
      <c r="D1152" s="71" t="s">
        <v>9109</v>
      </c>
    </row>
    <row r="1153" ht="14.25" customHeight="1">
      <c r="C1153" s="71" t="s">
        <v>13342</v>
      </c>
      <c r="D1153" s="71" t="s">
        <v>9271</v>
      </c>
    </row>
    <row r="1154" ht="14.25" customHeight="1">
      <c r="C1154" s="71" t="s">
        <v>9577</v>
      </c>
      <c r="D1154" s="71" t="s">
        <v>9578</v>
      </c>
    </row>
    <row r="1155" ht="14.25" customHeight="1">
      <c r="C1155" s="71" t="s">
        <v>12665</v>
      </c>
      <c r="D1155" s="71" t="s">
        <v>13343</v>
      </c>
    </row>
    <row r="1156" ht="14.25" customHeight="1">
      <c r="C1156" s="71" t="s">
        <v>13344</v>
      </c>
      <c r="D1156" s="71" t="s">
        <v>9583</v>
      </c>
    </row>
    <row r="1157" ht="14.25" customHeight="1">
      <c r="C1157" s="71" t="s">
        <v>13345</v>
      </c>
      <c r="D1157" s="71" t="s">
        <v>9055</v>
      </c>
    </row>
    <row r="1158" ht="14.25" customHeight="1">
      <c r="C1158" s="71" t="s">
        <v>13346</v>
      </c>
      <c r="D1158" s="71" t="s">
        <v>9055</v>
      </c>
    </row>
    <row r="1159" ht="14.25" customHeight="1">
      <c r="C1159" s="71" t="s">
        <v>5305</v>
      </c>
      <c r="D1159" s="71" t="s">
        <v>11596</v>
      </c>
    </row>
    <row r="1160" ht="14.25" customHeight="1">
      <c r="C1160" s="71" t="s">
        <v>3814</v>
      </c>
      <c r="D1160" s="71" t="s">
        <v>9827</v>
      </c>
    </row>
    <row r="1161" ht="14.25" customHeight="1">
      <c r="C1161" s="71" t="s">
        <v>13347</v>
      </c>
      <c r="D1161" s="71" t="s">
        <v>13348</v>
      </c>
    </row>
    <row r="1162" ht="14.25" customHeight="1">
      <c r="C1162" s="71" t="s">
        <v>13349</v>
      </c>
      <c r="D1162" s="71" t="s">
        <v>13350</v>
      </c>
    </row>
    <row r="1163" ht="14.25" customHeight="1">
      <c r="C1163" s="71" t="s">
        <v>149</v>
      </c>
      <c r="D1163" s="71" t="s">
        <v>9983</v>
      </c>
    </row>
    <row r="1164" ht="14.25" customHeight="1">
      <c r="C1164" s="71" t="s">
        <v>13351</v>
      </c>
      <c r="D1164" s="71" t="s">
        <v>9055</v>
      </c>
    </row>
    <row r="1165" ht="14.25" customHeight="1">
      <c r="C1165" s="71" t="s">
        <v>10990</v>
      </c>
      <c r="D1165" s="71" t="s">
        <v>11795</v>
      </c>
    </row>
    <row r="1166" ht="14.25" customHeight="1">
      <c r="D1166" s="71" t="s">
        <v>9877</v>
      </c>
    </row>
    <row r="1167" ht="14.25" customHeight="1">
      <c r="C1167" s="71" t="s">
        <v>9896</v>
      </c>
      <c r="D1167" s="71" t="s">
        <v>13352</v>
      </c>
    </row>
    <row r="1168" ht="14.25" customHeight="1">
      <c r="C1168" s="71" t="s">
        <v>9156</v>
      </c>
      <c r="D1168" s="71" t="s">
        <v>13353</v>
      </c>
    </row>
    <row r="1169" ht="14.25" customHeight="1">
      <c r="D1169" s="71" t="s">
        <v>9073</v>
      </c>
    </row>
    <row r="1170" ht="14.25" customHeight="1">
      <c r="C1170" s="71" t="s">
        <v>13354</v>
      </c>
      <c r="D1170" s="71" t="s">
        <v>13355</v>
      </c>
    </row>
    <row r="1171" ht="14.25" customHeight="1">
      <c r="C1171" s="71" t="s">
        <v>12670</v>
      </c>
      <c r="D1171" s="71" t="s">
        <v>9430</v>
      </c>
    </row>
    <row r="1172" ht="14.25" customHeight="1">
      <c r="C1172" s="71" t="s">
        <v>13356</v>
      </c>
      <c r="D1172" s="71" t="s">
        <v>10486</v>
      </c>
    </row>
    <row r="1173" ht="14.25" customHeight="1">
      <c r="C1173" s="71" t="s">
        <v>13357</v>
      </c>
      <c r="D1173" s="71" t="s">
        <v>13358</v>
      </c>
    </row>
    <row r="1174" ht="14.25" customHeight="1">
      <c r="C1174" s="71" t="s">
        <v>13359</v>
      </c>
      <c r="D1174" s="71" t="s">
        <v>13360</v>
      </c>
    </row>
    <row r="1175" ht="14.25" customHeight="1">
      <c r="C1175" s="71" t="s">
        <v>4035</v>
      </c>
      <c r="D1175" s="71" t="s">
        <v>8968</v>
      </c>
    </row>
    <row r="1176" ht="14.25" customHeight="1">
      <c r="D1176" s="71" t="s">
        <v>10124</v>
      </c>
    </row>
    <row r="1177" ht="14.25" customHeight="1">
      <c r="D1177" s="71" t="s">
        <v>13361</v>
      </c>
    </row>
    <row r="1178" ht="14.25" customHeight="1">
      <c r="C1178" s="71" t="s">
        <v>4056</v>
      </c>
      <c r="D1178" s="71" t="s">
        <v>9028</v>
      </c>
    </row>
    <row r="1179" ht="14.25" customHeight="1">
      <c r="C1179" s="71" t="s">
        <v>10290</v>
      </c>
      <c r="D1179" s="71" t="s">
        <v>9034</v>
      </c>
    </row>
    <row r="1180" ht="14.25" customHeight="1">
      <c r="D1180" s="71" t="s">
        <v>13362</v>
      </c>
    </row>
    <row r="1181" ht="14.25" customHeight="1">
      <c r="D1181" s="71" t="s">
        <v>13363</v>
      </c>
    </row>
    <row r="1182" ht="14.25" customHeight="1">
      <c r="C1182" s="71" t="s">
        <v>13364</v>
      </c>
      <c r="D1182" s="71" t="s">
        <v>9034</v>
      </c>
    </row>
    <row r="1183" ht="14.25" customHeight="1">
      <c r="C1183" s="71" t="s">
        <v>4109</v>
      </c>
      <c r="D1183" s="71" t="s">
        <v>9314</v>
      </c>
    </row>
    <row r="1184" ht="14.25" customHeight="1">
      <c r="D1184" s="71" t="s">
        <v>13365</v>
      </c>
    </row>
    <row r="1185" ht="14.25" customHeight="1">
      <c r="C1185" s="71" t="s">
        <v>241</v>
      </c>
      <c r="D1185" s="71" t="s">
        <v>13366</v>
      </c>
    </row>
    <row r="1186" ht="14.25" customHeight="1">
      <c r="C1186" s="71" t="s">
        <v>13367</v>
      </c>
      <c r="D1186" s="71" t="s">
        <v>13368</v>
      </c>
    </row>
    <row r="1187" ht="14.25" customHeight="1">
      <c r="C1187" s="71" t="s">
        <v>4139</v>
      </c>
      <c r="D1187" s="71" t="s">
        <v>8968</v>
      </c>
    </row>
    <row r="1188" ht="14.25" customHeight="1">
      <c r="C1188" s="71" t="s">
        <v>9215</v>
      </c>
      <c r="D1188" s="71" t="s">
        <v>13369</v>
      </c>
    </row>
    <row r="1189" ht="14.25" customHeight="1">
      <c r="C1189" s="71" t="s">
        <v>11797</v>
      </c>
      <c r="D1189" s="71" t="s">
        <v>11137</v>
      </c>
    </row>
    <row r="1190" ht="14.25" customHeight="1">
      <c r="C1190" s="71" t="s">
        <v>13370</v>
      </c>
      <c r="D1190" s="71" t="s">
        <v>9075</v>
      </c>
    </row>
    <row r="1191" ht="14.25" customHeight="1">
      <c r="C1191" s="71" t="s">
        <v>255</v>
      </c>
      <c r="D1191" s="71" t="s">
        <v>9075</v>
      </c>
    </row>
    <row r="1192" ht="14.25" customHeight="1">
      <c r="C1192" s="71" t="s">
        <v>13371</v>
      </c>
      <c r="D1192" s="71" t="s">
        <v>9055</v>
      </c>
    </row>
    <row r="1193" ht="14.25" customHeight="1">
      <c r="C1193" s="71" t="s">
        <v>9251</v>
      </c>
      <c r="D1193" s="71" t="s">
        <v>9151</v>
      </c>
    </row>
    <row r="1194" ht="14.25" customHeight="1">
      <c r="C1194" s="71" t="s">
        <v>12731</v>
      </c>
      <c r="D1194" s="71" t="s">
        <v>13372</v>
      </c>
    </row>
    <row r="1195" ht="14.25" customHeight="1">
      <c r="D1195" s="71" t="s">
        <v>13373</v>
      </c>
    </row>
    <row r="1196" ht="14.25" customHeight="1">
      <c r="C1196" s="71" t="s">
        <v>9703</v>
      </c>
      <c r="D1196" s="71" t="s">
        <v>9618</v>
      </c>
    </row>
    <row r="1197" ht="14.25" customHeight="1">
      <c r="C1197" s="71" t="s">
        <v>9160</v>
      </c>
      <c r="D1197" s="71" t="s">
        <v>9817</v>
      </c>
    </row>
    <row r="1198" ht="14.25" customHeight="1">
      <c r="D1198" s="71" t="s">
        <v>9071</v>
      </c>
    </row>
    <row r="1199" ht="14.25" customHeight="1">
      <c r="C1199" s="71" t="s">
        <v>4294</v>
      </c>
      <c r="D1199" s="71" t="s">
        <v>13374</v>
      </c>
    </row>
    <row r="1200" ht="14.25" customHeight="1">
      <c r="C1200" s="71" t="s">
        <v>13375</v>
      </c>
      <c r="D1200" s="71" t="s">
        <v>9028</v>
      </c>
    </row>
    <row r="1201" ht="14.25" customHeight="1">
      <c r="C1201" s="71" t="s">
        <v>11802</v>
      </c>
      <c r="D1201" s="71" t="s">
        <v>13376</v>
      </c>
    </row>
    <row r="1202" ht="14.25" customHeight="1">
      <c r="C1202" s="71" t="s">
        <v>11010</v>
      </c>
      <c r="D1202" s="71" t="s">
        <v>9671</v>
      </c>
    </row>
    <row r="1203" ht="14.25" customHeight="1">
      <c r="C1203" s="71" t="s">
        <v>9005</v>
      </c>
      <c r="D1203" s="71" t="s">
        <v>12851</v>
      </c>
    </row>
    <row r="1204" ht="14.25" customHeight="1">
      <c r="C1204" s="71" t="s">
        <v>13377</v>
      </c>
      <c r="D1204" s="71" t="s">
        <v>9028</v>
      </c>
    </row>
    <row r="1205" ht="14.25" customHeight="1">
      <c r="C1205" s="71" t="s">
        <v>13378</v>
      </c>
      <c r="D1205" s="71" t="s">
        <v>13379</v>
      </c>
    </row>
    <row r="1206" ht="14.25" customHeight="1">
      <c r="C1206" s="71" t="s">
        <v>13380</v>
      </c>
      <c r="D1206" s="71" t="s">
        <v>9216</v>
      </c>
    </row>
    <row r="1207" ht="14.25" customHeight="1">
      <c r="C1207" s="71" t="s">
        <v>13381</v>
      </c>
      <c r="D1207" s="71" t="s">
        <v>9071</v>
      </c>
    </row>
    <row r="1208" ht="14.25" customHeight="1">
      <c r="C1208" s="71" t="s">
        <v>13382</v>
      </c>
      <c r="D1208" s="71" t="s">
        <v>9291</v>
      </c>
    </row>
    <row r="1209" ht="14.25" customHeight="1">
      <c r="B1209" s="71" t="s">
        <v>41</v>
      </c>
      <c r="C1209" s="71" t="s">
        <v>9034</v>
      </c>
      <c r="D1209" s="71" t="s">
        <v>9028</v>
      </c>
    </row>
    <row r="1210" ht="14.25" customHeight="1">
      <c r="C1210" s="71" t="s">
        <v>9172</v>
      </c>
      <c r="D1210" s="71" t="s">
        <v>9071</v>
      </c>
    </row>
    <row r="1211" ht="14.25" customHeight="1">
      <c r="C1211" s="71" t="s">
        <v>13383</v>
      </c>
      <c r="D1211" s="71" t="s">
        <v>9037</v>
      </c>
    </row>
    <row r="1212" ht="14.25" customHeight="1">
      <c r="C1212" s="71" t="s">
        <v>10735</v>
      </c>
      <c r="D1212" s="71" t="s">
        <v>9055</v>
      </c>
    </row>
    <row r="1213" ht="14.25" customHeight="1">
      <c r="C1213" s="71" t="s">
        <v>1889</v>
      </c>
      <c r="D1213" s="71" t="s">
        <v>9583</v>
      </c>
    </row>
    <row r="1214" ht="14.25" customHeight="1">
      <c r="C1214" s="71" t="s">
        <v>916</v>
      </c>
      <c r="D1214" s="71" t="s">
        <v>9867</v>
      </c>
    </row>
    <row r="1215" ht="14.25" customHeight="1">
      <c r="D1215" s="71" t="s">
        <v>10486</v>
      </c>
    </row>
    <row r="1216" ht="14.25" customHeight="1">
      <c r="C1216" s="71" t="s">
        <v>13384</v>
      </c>
      <c r="D1216" s="71" t="s">
        <v>8976</v>
      </c>
    </row>
    <row r="1217" ht="14.25" customHeight="1">
      <c r="C1217" s="71" t="s">
        <v>12891</v>
      </c>
      <c r="D1217" s="71" t="s">
        <v>13385</v>
      </c>
    </row>
    <row r="1218" ht="14.25" customHeight="1">
      <c r="C1218" s="71" t="s">
        <v>204</v>
      </c>
      <c r="D1218" s="71" t="s">
        <v>9028</v>
      </c>
    </row>
    <row r="1219" ht="14.25" customHeight="1">
      <c r="D1219" s="71" t="s">
        <v>13386</v>
      </c>
    </row>
    <row r="1220" ht="14.25" customHeight="1">
      <c r="C1220" s="71" t="s">
        <v>3861</v>
      </c>
      <c r="D1220" s="71" t="s">
        <v>9168</v>
      </c>
    </row>
    <row r="1221" ht="14.25" customHeight="1">
      <c r="C1221" s="71" t="s">
        <v>9896</v>
      </c>
      <c r="D1221" s="71" t="s">
        <v>9028</v>
      </c>
    </row>
    <row r="1222" ht="14.25" customHeight="1">
      <c r="C1222" s="71" t="s">
        <v>8997</v>
      </c>
      <c r="D1222" s="71" t="s">
        <v>10298</v>
      </c>
    </row>
    <row r="1223" ht="14.25" customHeight="1">
      <c r="C1223" s="71" t="s">
        <v>10290</v>
      </c>
      <c r="D1223" s="71" t="s">
        <v>9071</v>
      </c>
    </row>
    <row r="1224" ht="14.25" customHeight="1">
      <c r="D1224" s="71" t="s">
        <v>9028</v>
      </c>
    </row>
    <row r="1225" ht="14.25" customHeight="1">
      <c r="C1225" s="71" t="s">
        <v>244</v>
      </c>
      <c r="D1225" s="71" t="s">
        <v>8968</v>
      </c>
    </row>
    <row r="1226" ht="14.25" customHeight="1">
      <c r="C1226" s="71" t="s">
        <v>324</v>
      </c>
      <c r="D1226" s="71" t="s">
        <v>9181</v>
      </c>
    </row>
    <row r="1227" ht="14.25" customHeight="1">
      <c r="B1227" s="71" t="s">
        <v>13</v>
      </c>
      <c r="C1227" s="71" t="s">
        <v>13387</v>
      </c>
      <c r="D1227" s="71" t="s">
        <v>9176</v>
      </c>
    </row>
    <row r="1228" ht="14.25" customHeight="1">
      <c r="C1228" s="71" t="s">
        <v>9313</v>
      </c>
      <c r="D1228" s="71" t="s">
        <v>13388</v>
      </c>
    </row>
    <row r="1229" ht="14.25" customHeight="1">
      <c r="C1229" s="71" t="s">
        <v>3081</v>
      </c>
      <c r="D1229" s="71" t="s">
        <v>11444</v>
      </c>
    </row>
    <row r="1230" ht="14.25" customHeight="1">
      <c r="C1230" s="71" t="s">
        <v>9329</v>
      </c>
      <c r="D1230" s="71" t="s">
        <v>9034</v>
      </c>
    </row>
    <row r="1231" ht="14.25" customHeight="1">
      <c r="C1231" s="71" t="s">
        <v>13389</v>
      </c>
      <c r="D1231" s="71" t="s">
        <v>9440</v>
      </c>
    </row>
    <row r="1232" ht="14.25" customHeight="1">
      <c r="C1232" s="71" t="s">
        <v>13390</v>
      </c>
      <c r="D1232" s="71" t="s">
        <v>9073</v>
      </c>
    </row>
    <row r="1233" ht="14.25" customHeight="1">
      <c r="C1233" s="71" t="s">
        <v>13391</v>
      </c>
      <c r="D1233" s="71" t="s">
        <v>13392</v>
      </c>
    </row>
    <row r="1234" ht="14.25" customHeight="1">
      <c r="C1234" s="71" t="s">
        <v>13393</v>
      </c>
      <c r="D1234" s="71" t="s">
        <v>10788</v>
      </c>
    </row>
    <row r="1235" ht="14.25" customHeight="1">
      <c r="C1235" s="71" t="s">
        <v>13394</v>
      </c>
      <c r="D1235" s="71" t="s">
        <v>9174</v>
      </c>
    </row>
    <row r="1236" ht="14.25" customHeight="1">
      <c r="C1236" s="71" t="s">
        <v>13395</v>
      </c>
      <c r="D1236" s="71" t="s">
        <v>13396</v>
      </c>
    </row>
    <row r="1237" ht="14.25" customHeight="1">
      <c r="C1237" s="71" t="s">
        <v>9090</v>
      </c>
      <c r="D1237" s="71" t="s">
        <v>9176</v>
      </c>
    </row>
    <row r="1238" ht="14.25" customHeight="1">
      <c r="C1238" s="71" t="s">
        <v>13397</v>
      </c>
      <c r="D1238" s="71" t="s">
        <v>9176</v>
      </c>
    </row>
    <row r="1239" ht="14.25" customHeight="1">
      <c r="A1239" s="71" t="s">
        <v>9935</v>
      </c>
      <c r="B1239" s="71" t="s">
        <v>40</v>
      </c>
      <c r="C1239" s="71" t="s">
        <v>13398</v>
      </c>
      <c r="D1239" s="71" t="s">
        <v>13399</v>
      </c>
    </row>
    <row r="1240" ht="14.25" customHeight="1">
      <c r="C1240" s="71" t="s">
        <v>13400</v>
      </c>
      <c r="D1240" s="71" t="s">
        <v>9055</v>
      </c>
    </row>
    <row r="1241" ht="14.25" customHeight="1">
      <c r="C1241" s="71" t="s">
        <v>12932</v>
      </c>
      <c r="D1241" s="71" t="s">
        <v>9755</v>
      </c>
    </row>
    <row r="1242" ht="14.25" customHeight="1">
      <c r="C1242" s="71" t="s">
        <v>78</v>
      </c>
      <c r="D1242" s="71" t="s">
        <v>13401</v>
      </c>
    </row>
    <row r="1243" ht="14.25" customHeight="1">
      <c r="C1243" s="71" t="s">
        <v>13402</v>
      </c>
      <c r="D1243" s="71" t="s">
        <v>9026</v>
      </c>
    </row>
    <row r="1244" ht="14.25" customHeight="1">
      <c r="C1244" s="71" t="s">
        <v>6057</v>
      </c>
      <c r="D1244" s="71" t="s">
        <v>8978</v>
      </c>
    </row>
    <row r="1245" ht="14.25" customHeight="1">
      <c r="C1245" s="71" t="s">
        <v>13403</v>
      </c>
      <c r="D1245" s="71" t="s">
        <v>13404</v>
      </c>
    </row>
    <row r="1246" ht="14.25" customHeight="1">
      <c r="C1246" s="71" t="s">
        <v>13405</v>
      </c>
      <c r="D1246" s="71" t="s">
        <v>9168</v>
      </c>
    </row>
    <row r="1247" ht="14.25" customHeight="1">
      <c r="C1247" s="71" t="s">
        <v>124</v>
      </c>
      <c r="D1247" s="71" t="s">
        <v>8982</v>
      </c>
    </row>
    <row r="1248" ht="14.25" customHeight="1">
      <c r="C1248" s="71" t="s">
        <v>13406</v>
      </c>
      <c r="D1248" s="71" t="s">
        <v>13407</v>
      </c>
    </row>
    <row r="1249" ht="14.25" customHeight="1">
      <c r="C1249" s="71" t="s">
        <v>13408</v>
      </c>
      <c r="D1249" s="71" t="s">
        <v>8976</v>
      </c>
    </row>
    <row r="1250" ht="14.25" customHeight="1">
      <c r="C1250" s="71" t="s">
        <v>9385</v>
      </c>
      <c r="D1250" s="71" t="s">
        <v>9369</v>
      </c>
    </row>
    <row r="1251" ht="14.25" customHeight="1">
      <c r="D1251" s="71" t="s">
        <v>13409</v>
      </c>
    </row>
    <row r="1252" ht="14.25" customHeight="1">
      <c r="C1252" s="71" t="s">
        <v>189</v>
      </c>
      <c r="D1252" s="71" t="s">
        <v>9289</v>
      </c>
    </row>
    <row r="1253" ht="14.25" customHeight="1">
      <c r="C1253" s="71" t="s">
        <v>9562</v>
      </c>
      <c r="D1253" s="71" t="s">
        <v>10517</v>
      </c>
    </row>
    <row r="1254" ht="14.25" customHeight="1">
      <c r="C1254" s="71" t="s">
        <v>1743</v>
      </c>
      <c r="D1254" s="71" t="s">
        <v>13410</v>
      </c>
    </row>
    <row r="1255" ht="14.25" customHeight="1">
      <c r="C1255" s="71" t="s">
        <v>13411</v>
      </c>
      <c r="D1255" s="71" t="s">
        <v>9875</v>
      </c>
    </row>
    <row r="1256" ht="14.25" customHeight="1">
      <c r="C1256" s="71" t="s">
        <v>13412</v>
      </c>
      <c r="D1256" s="71" t="s">
        <v>13413</v>
      </c>
    </row>
    <row r="1257" ht="14.25" customHeight="1">
      <c r="C1257" s="71" t="s">
        <v>10020</v>
      </c>
      <c r="D1257" s="71" t="s">
        <v>9729</v>
      </c>
    </row>
    <row r="1258" ht="14.25" customHeight="1">
      <c r="C1258" s="71" t="s">
        <v>13414</v>
      </c>
      <c r="D1258" s="71" t="s">
        <v>9118</v>
      </c>
    </row>
    <row r="1259" ht="14.25" customHeight="1">
      <c r="C1259" s="71" t="s">
        <v>9160</v>
      </c>
      <c r="D1259" s="71" t="s">
        <v>9265</v>
      </c>
    </row>
    <row r="1260" ht="14.25" customHeight="1">
      <c r="C1260" s="71" t="s">
        <v>4281</v>
      </c>
      <c r="D1260" s="71" t="s">
        <v>9265</v>
      </c>
    </row>
    <row r="1261" ht="14.25" customHeight="1">
      <c r="C1261" s="71" t="s">
        <v>4294</v>
      </c>
      <c r="D1261" s="71" t="s">
        <v>8976</v>
      </c>
    </row>
    <row r="1262" ht="14.25" customHeight="1">
      <c r="C1262" s="71" t="s">
        <v>9005</v>
      </c>
      <c r="D1262" s="71" t="s">
        <v>13415</v>
      </c>
    </row>
    <row r="1263" ht="14.25" customHeight="1">
      <c r="A1263" s="71" t="s">
        <v>9948</v>
      </c>
      <c r="B1263" s="71" t="s">
        <v>40</v>
      </c>
      <c r="C1263" s="71" t="s">
        <v>2295</v>
      </c>
      <c r="D1263" s="71" t="s">
        <v>13416</v>
      </c>
    </row>
    <row r="1264" ht="14.25" customHeight="1">
      <c r="C1264" s="71" t="s">
        <v>77</v>
      </c>
      <c r="D1264" s="71" t="s">
        <v>13417</v>
      </c>
    </row>
    <row r="1265" ht="14.25" customHeight="1">
      <c r="C1265" s="71" t="s">
        <v>8981</v>
      </c>
      <c r="D1265" s="71" t="s">
        <v>9216</v>
      </c>
    </row>
    <row r="1266" ht="14.25" customHeight="1">
      <c r="C1266" s="71" t="s">
        <v>12607</v>
      </c>
      <c r="D1266" s="71" t="s">
        <v>13418</v>
      </c>
    </row>
    <row r="1267" ht="14.25" customHeight="1">
      <c r="C1267" s="71" t="s">
        <v>9821</v>
      </c>
      <c r="D1267" s="71" t="s">
        <v>10124</v>
      </c>
    </row>
    <row r="1268" ht="14.25" customHeight="1">
      <c r="C1268" s="71" t="s">
        <v>204</v>
      </c>
      <c r="D1268" s="71" t="s">
        <v>9109</v>
      </c>
    </row>
    <row r="1269" ht="14.25" customHeight="1">
      <c r="D1269" s="71" t="s">
        <v>9151</v>
      </c>
    </row>
    <row r="1270" ht="14.25" customHeight="1">
      <c r="D1270" s="71" t="s">
        <v>13419</v>
      </c>
    </row>
    <row r="1271" ht="14.25" customHeight="1">
      <c r="C1271" s="71" t="s">
        <v>13420</v>
      </c>
      <c r="D1271" s="71" t="s">
        <v>13421</v>
      </c>
    </row>
    <row r="1272" ht="14.25" customHeight="1">
      <c r="C1272" s="71" t="s">
        <v>13422</v>
      </c>
      <c r="D1272" s="71" t="s">
        <v>13423</v>
      </c>
    </row>
    <row r="1273" ht="14.25" customHeight="1">
      <c r="C1273" s="71" t="s">
        <v>4109</v>
      </c>
      <c r="D1273" s="71" t="s">
        <v>8978</v>
      </c>
    </row>
    <row r="1274" ht="14.25" customHeight="1">
      <c r="C1274" s="71" t="s">
        <v>9090</v>
      </c>
      <c r="D1274" s="71" t="s">
        <v>13424</v>
      </c>
    </row>
    <row r="1275" ht="14.25" customHeight="1">
      <c r="D1275" s="71" t="s">
        <v>9964</v>
      </c>
    </row>
    <row r="1276" ht="14.25" customHeight="1">
      <c r="C1276" s="71" t="s">
        <v>2163</v>
      </c>
      <c r="D1276" s="71" t="s">
        <v>13425</v>
      </c>
    </row>
    <row r="1277" ht="14.25" customHeight="1">
      <c r="D1277" s="71" t="s">
        <v>13135</v>
      </c>
    </row>
    <row r="1278" ht="14.25" customHeight="1">
      <c r="C1278" s="71" t="s">
        <v>9973</v>
      </c>
      <c r="D1278" s="71" t="s">
        <v>9961</v>
      </c>
    </row>
    <row r="1279" ht="14.25" customHeight="1">
      <c r="D1279" s="71" t="s">
        <v>9947</v>
      </c>
    </row>
    <row r="1280" ht="14.25" customHeight="1">
      <c r="B1280" s="71" t="s">
        <v>41</v>
      </c>
      <c r="C1280" s="71" t="s">
        <v>9804</v>
      </c>
      <c r="D1280" s="71" t="s">
        <v>9961</v>
      </c>
    </row>
    <row r="1281" ht="14.25" customHeight="1">
      <c r="D1281" s="71" t="s">
        <v>11117</v>
      </c>
    </row>
    <row r="1282" ht="14.25" customHeight="1">
      <c r="D1282" s="71" t="s">
        <v>13426</v>
      </c>
    </row>
    <row r="1283" ht="14.25" customHeight="1">
      <c r="B1283" s="71" t="s">
        <v>13</v>
      </c>
      <c r="C1283" s="71" t="s">
        <v>13427</v>
      </c>
      <c r="D1283" s="71" t="s">
        <v>13428</v>
      </c>
    </row>
    <row r="1284" ht="14.25" customHeight="1">
      <c r="C1284" s="71" t="s">
        <v>13429</v>
      </c>
      <c r="D1284" s="71" t="s">
        <v>13430</v>
      </c>
    </row>
    <row r="1285" ht="14.25" customHeight="1">
      <c r="C1285" s="71" t="s">
        <v>9804</v>
      </c>
      <c r="D1285" s="71" t="s">
        <v>10608</v>
      </c>
    </row>
    <row r="1286" ht="14.25" customHeight="1">
      <c r="C1286" s="71" t="s">
        <v>10182</v>
      </c>
      <c r="D1286" s="71" t="s">
        <v>9925</v>
      </c>
    </row>
    <row r="1287" ht="14.25" customHeight="1">
      <c r="C1287" s="71" t="s">
        <v>12813</v>
      </c>
      <c r="D1287" s="71" t="s">
        <v>9249</v>
      </c>
    </row>
    <row r="1288" ht="14.25" customHeight="1">
      <c r="C1288" s="71" t="s">
        <v>13377</v>
      </c>
      <c r="D1288" s="71" t="s">
        <v>9972</v>
      </c>
    </row>
    <row r="1289" ht="14.25" customHeight="1">
      <c r="A1289" s="71" t="s">
        <v>9978</v>
      </c>
      <c r="B1289" s="71" t="s">
        <v>40</v>
      </c>
      <c r="C1289" s="71" t="s">
        <v>9458</v>
      </c>
      <c r="D1289" s="71" t="s">
        <v>9075</v>
      </c>
    </row>
    <row r="1290" ht="14.25" customHeight="1">
      <c r="C1290" s="71" t="s">
        <v>13431</v>
      </c>
      <c r="D1290" s="71" t="s">
        <v>13432</v>
      </c>
    </row>
    <row r="1291" ht="14.25" customHeight="1">
      <c r="C1291" s="71" t="s">
        <v>13433</v>
      </c>
      <c r="D1291" s="71" t="s">
        <v>9026</v>
      </c>
    </row>
    <row r="1292" ht="14.25" customHeight="1">
      <c r="C1292" s="71" t="s">
        <v>13434</v>
      </c>
      <c r="D1292" s="71" t="s">
        <v>8994</v>
      </c>
    </row>
    <row r="1293" ht="14.25" customHeight="1">
      <c r="C1293" s="71" t="s">
        <v>13435</v>
      </c>
      <c r="D1293" s="71" t="s">
        <v>13436</v>
      </c>
    </row>
    <row r="1294" ht="14.25" customHeight="1">
      <c r="C1294" s="71" t="s">
        <v>9984</v>
      </c>
      <c r="D1294" s="71" t="s">
        <v>9916</v>
      </c>
    </row>
    <row r="1295" ht="14.25" customHeight="1">
      <c r="C1295" s="71" t="s">
        <v>13437</v>
      </c>
      <c r="D1295" s="71" t="s">
        <v>9034</v>
      </c>
    </row>
    <row r="1296" ht="14.25" customHeight="1">
      <c r="C1296" s="71" t="s">
        <v>13438</v>
      </c>
      <c r="D1296" s="71" t="s">
        <v>13439</v>
      </c>
    </row>
    <row r="1297" ht="14.25" customHeight="1">
      <c r="C1297" s="71" t="s">
        <v>13440</v>
      </c>
      <c r="D1297" s="71" t="s">
        <v>13441</v>
      </c>
    </row>
    <row r="1298" ht="14.25" customHeight="1">
      <c r="C1298" s="71" t="s">
        <v>9203</v>
      </c>
      <c r="D1298" s="71" t="s">
        <v>9204</v>
      </c>
    </row>
    <row r="1299" ht="14.25" customHeight="1">
      <c r="C1299" s="71" t="s">
        <v>13442</v>
      </c>
      <c r="D1299" s="71" t="s">
        <v>13439</v>
      </c>
    </row>
    <row r="1300" ht="14.25" customHeight="1">
      <c r="C1300" s="71" t="s">
        <v>13443</v>
      </c>
      <c r="D1300" s="71" t="s">
        <v>9055</v>
      </c>
    </row>
    <row r="1301" ht="14.25" customHeight="1">
      <c r="C1301" s="71" t="s">
        <v>3707</v>
      </c>
      <c r="D1301" s="71" t="s">
        <v>13439</v>
      </c>
    </row>
    <row r="1302" ht="14.25" customHeight="1">
      <c r="C1302" s="71" t="s">
        <v>13444</v>
      </c>
      <c r="D1302" s="71" t="s">
        <v>9831</v>
      </c>
    </row>
    <row r="1303" ht="14.25" customHeight="1">
      <c r="C1303" s="71" t="s">
        <v>9593</v>
      </c>
      <c r="D1303" s="71" t="s">
        <v>9221</v>
      </c>
    </row>
    <row r="1304" ht="14.25" customHeight="1">
      <c r="C1304" s="71" t="s">
        <v>4187</v>
      </c>
      <c r="D1304" s="71" t="s">
        <v>9026</v>
      </c>
    </row>
    <row r="1305" ht="14.25" customHeight="1">
      <c r="C1305" s="71" t="s">
        <v>9005</v>
      </c>
      <c r="D1305" s="71" t="s">
        <v>9004</v>
      </c>
    </row>
    <row r="1306" ht="14.25" customHeight="1">
      <c r="D1306" s="71" t="s">
        <v>13445</v>
      </c>
    </row>
    <row r="1307" ht="14.25" customHeight="1">
      <c r="C1307" s="71" t="s">
        <v>11808</v>
      </c>
      <c r="D1307" s="71" t="s">
        <v>9151</v>
      </c>
    </row>
    <row r="1308" ht="14.25" customHeight="1">
      <c r="C1308" s="71" t="s">
        <v>9929</v>
      </c>
      <c r="D1308" s="71" t="s">
        <v>9026</v>
      </c>
    </row>
    <row r="1309" ht="14.25" customHeight="1">
      <c r="B1309" s="71" t="s">
        <v>41</v>
      </c>
      <c r="C1309" s="71" t="s">
        <v>13446</v>
      </c>
      <c r="D1309" s="71" t="s">
        <v>13447</v>
      </c>
    </row>
    <row r="1310" ht="14.25" customHeight="1">
      <c r="C1310" s="71" t="s">
        <v>10528</v>
      </c>
      <c r="D1310" s="71" t="s">
        <v>13448</v>
      </c>
    </row>
    <row r="1311" ht="14.25" customHeight="1">
      <c r="A1311" s="71" t="s">
        <v>9998</v>
      </c>
      <c r="B1311" s="71" t="s">
        <v>40</v>
      </c>
      <c r="C1311" s="71" t="s">
        <v>13449</v>
      </c>
      <c r="D1311" s="71" t="s">
        <v>13450</v>
      </c>
    </row>
    <row r="1312" ht="14.25" customHeight="1">
      <c r="C1312" s="71" t="s">
        <v>13451</v>
      </c>
      <c r="D1312" s="71" t="s">
        <v>9043</v>
      </c>
    </row>
    <row r="1313" ht="14.25" customHeight="1">
      <c r="C1313" s="71" t="s">
        <v>77</v>
      </c>
      <c r="D1313" s="71" t="s">
        <v>13268</v>
      </c>
    </row>
    <row r="1314" ht="14.25" customHeight="1">
      <c r="D1314" s="71" t="s">
        <v>13452</v>
      </c>
    </row>
    <row r="1315" ht="14.25" customHeight="1">
      <c r="C1315" s="71" t="s">
        <v>13453</v>
      </c>
      <c r="D1315" s="71" t="s">
        <v>13454</v>
      </c>
    </row>
    <row r="1316" ht="14.25" customHeight="1">
      <c r="C1316" s="71" t="s">
        <v>9113</v>
      </c>
      <c r="D1316" s="71" t="s">
        <v>9002</v>
      </c>
    </row>
    <row r="1317" ht="14.25" customHeight="1">
      <c r="C1317" s="71" t="s">
        <v>13455</v>
      </c>
      <c r="D1317" s="71" t="s">
        <v>13456</v>
      </c>
    </row>
    <row r="1318" ht="14.25" customHeight="1">
      <c r="C1318" s="71" t="s">
        <v>6145</v>
      </c>
      <c r="D1318" s="71" t="s">
        <v>13457</v>
      </c>
    </row>
    <row r="1319" ht="14.25" customHeight="1">
      <c r="C1319" s="71" t="s">
        <v>13458</v>
      </c>
      <c r="D1319" s="71" t="s">
        <v>13459</v>
      </c>
    </row>
    <row r="1320" ht="14.25" customHeight="1">
      <c r="C1320" s="71" t="s">
        <v>13460</v>
      </c>
      <c r="D1320" s="71" t="s">
        <v>13461</v>
      </c>
    </row>
    <row r="1321" ht="14.25" customHeight="1">
      <c r="C1321" s="71" t="s">
        <v>9860</v>
      </c>
      <c r="D1321" s="71" t="s">
        <v>10124</v>
      </c>
    </row>
    <row r="1322" ht="14.25" customHeight="1">
      <c r="C1322" s="71" t="s">
        <v>13462</v>
      </c>
      <c r="D1322" s="71" t="s">
        <v>12610</v>
      </c>
    </row>
    <row r="1323" ht="14.25" customHeight="1">
      <c r="C1323" s="71" t="s">
        <v>141</v>
      </c>
      <c r="D1323" s="71" t="s">
        <v>13463</v>
      </c>
    </row>
    <row r="1324" ht="14.25" customHeight="1">
      <c r="C1324" s="71" t="s">
        <v>13464</v>
      </c>
      <c r="D1324" s="71" t="s">
        <v>13465</v>
      </c>
    </row>
    <row r="1325" ht="14.25" customHeight="1">
      <c r="C1325" s="71" t="s">
        <v>8185</v>
      </c>
      <c r="D1325" s="71" t="s">
        <v>13466</v>
      </c>
    </row>
    <row r="1326" ht="14.25" customHeight="1">
      <c r="C1326" s="71" t="s">
        <v>11134</v>
      </c>
      <c r="D1326" s="71" t="s">
        <v>9151</v>
      </c>
    </row>
    <row r="1327" ht="14.25" customHeight="1">
      <c r="C1327" s="71" t="s">
        <v>193</v>
      </c>
      <c r="D1327" s="71" t="s">
        <v>9152</v>
      </c>
    </row>
    <row r="1328" ht="14.25" customHeight="1">
      <c r="D1328" s="71" t="s">
        <v>9999</v>
      </c>
    </row>
    <row r="1329" ht="14.25" customHeight="1">
      <c r="C1329" s="71" t="s">
        <v>3804</v>
      </c>
      <c r="D1329" s="71" t="s">
        <v>9151</v>
      </c>
    </row>
    <row r="1330" ht="14.25" customHeight="1">
      <c r="C1330" s="71" t="s">
        <v>13467</v>
      </c>
      <c r="D1330" s="71" t="s">
        <v>9152</v>
      </c>
    </row>
    <row r="1331" ht="14.25" customHeight="1">
      <c r="C1331" s="71" t="s">
        <v>149</v>
      </c>
      <c r="D1331" s="71" t="s">
        <v>13468</v>
      </c>
    </row>
    <row r="1332" ht="14.25" customHeight="1">
      <c r="C1332" s="71" t="s">
        <v>13469</v>
      </c>
      <c r="D1332" s="71" t="s">
        <v>9999</v>
      </c>
    </row>
    <row r="1333" ht="14.25" customHeight="1">
      <c r="C1333" s="71" t="s">
        <v>9584</v>
      </c>
      <c r="D1333" s="71" t="s">
        <v>13470</v>
      </c>
    </row>
    <row r="1334" ht="14.25" customHeight="1">
      <c r="C1334" s="71" t="s">
        <v>13471</v>
      </c>
      <c r="D1334" s="71" t="s">
        <v>10130</v>
      </c>
    </row>
    <row r="1335" ht="14.25" customHeight="1">
      <c r="C1335" s="71" t="s">
        <v>10290</v>
      </c>
      <c r="D1335" s="71" t="s">
        <v>9151</v>
      </c>
    </row>
    <row r="1336" ht="14.25" customHeight="1">
      <c r="D1336" s="71" t="s">
        <v>13472</v>
      </c>
    </row>
    <row r="1337" ht="14.25" customHeight="1">
      <c r="D1337" s="71" t="s">
        <v>13473</v>
      </c>
    </row>
    <row r="1338" ht="14.25" customHeight="1">
      <c r="D1338" s="71" t="s">
        <v>13474</v>
      </c>
    </row>
    <row r="1339" ht="14.25" customHeight="1">
      <c r="D1339" s="71" t="s">
        <v>13475</v>
      </c>
    </row>
    <row r="1340" ht="14.25" customHeight="1">
      <c r="C1340" s="71" t="s">
        <v>11844</v>
      </c>
      <c r="D1340" s="71" t="s">
        <v>9151</v>
      </c>
    </row>
    <row r="1341" ht="14.25" customHeight="1">
      <c r="C1341" s="71" t="s">
        <v>4139</v>
      </c>
      <c r="D1341" s="71" t="s">
        <v>13476</v>
      </c>
    </row>
    <row r="1342" ht="14.25" customHeight="1">
      <c r="C1342" s="71" t="s">
        <v>13477</v>
      </c>
      <c r="D1342" s="71" t="s">
        <v>13478</v>
      </c>
    </row>
    <row r="1343" ht="14.25" customHeight="1">
      <c r="C1343" s="71" t="s">
        <v>13479</v>
      </c>
      <c r="D1343" s="71" t="s">
        <v>9151</v>
      </c>
    </row>
    <row r="1344" ht="14.25" customHeight="1">
      <c r="C1344" s="71" t="s">
        <v>13480</v>
      </c>
      <c r="D1344" s="71" t="s">
        <v>8968</v>
      </c>
    </row>
    <row r="1345" ht="14.25" customHeight="1">
      <c r="C1345" s="71" t="s">
        <v>9007</v>
      </c>
      <c r="D1345" s="71" t="s">
        <v>13481</v>
      </c>
    </row>
    <row r="1346" ht="14.25" customHeight="1">
      <c r="C1346" s="71" t="s">
        <v>13482</v>
      </c>
      <c r="D1346" s="71" t="s">
        <v>10001</v>
      </c>
    </row>
    <row r="1347" ht="14.25" customHeight="1">
      <c r="C1347" s="71" t="s">
        <v>10545</v>
      </c>
      <c r="D1347" s="71" t="s">
        <v>13456</v>
      </c>
    </row>
    <row r="1348" ht="14.25" customHeight="1">
      <c r="B1348" s="71" t="s">
        <v>41</v>
      </c>
      <c r="C1348" s="71" t="s">
        <v>77</v>
      </c>
      <c r="D1348" s="71" t="s">
        <v>9151</v>
      </c>
    </row>
    <row r="1349" ht="14.25" customHeight="1">
      <c r="C1349" s="71" t="s">
        <v>10290</v>
      </c>
      <c r="D1349" s="71" t="s">
        <v>9999</v>
      </c>
    </row>
    <row r="1350" ht="14.25" customHeight="1">
      <c r="C1350" s="71" t="s">
        <v>4139</v>
      </c>
      <c r="D1350" s="71" t="s">
        <v>13476</v>
      </c>
    </row>
    <row r="1351" ht="14.25" customHeight="1">
      <c r="C1351" s="71" t="s">
        <v>255</v>
      </c>
      <c r="D1351" s="71" t="s">
        <v>13483</v>
      </c>
    </row>
    <row r="1352" ht="14.25" customHeight="1">
      <c r="C1352" s="71" t="s">
        <v>13484</v>
      </c>
      <c r="D1352" s="71" t="s">
        <v>9579</v>
      </c>
    </row>
    <row r="1353" ht="14.25" customHeight="1">
      <c r="B1353" s="71" t="s">
        <v>13</v>
      </c>
      <c r="C1353" s="71" t="s">
        <v>9469</v>
      </c>
      <c r="D1353" s="71" t="s">
        <v>9380</v>
      </c>
    </row>
    <row r="1354" ht="14.25" customHeight="1">
      <c r="C1354" s="71" t="s">
        <v>141</v>
      </c>
      <c r="D1354" s="71" t="s">
        <v>13485</v>
      </c>
    </row>
    <row r="1355" ht="14.25" customHeight="1">
      <c r="C1355" s="71" t="s">
        <v>8249</v>
      </c>
      <c r="D1355" s="71" t="s">
        <v>13486</v>
      </c>
    </row>
    <row r="1356" ht="14.25" customHeight="1">
      <c r="C1356" s="71" t="s">
        <v>9090</v>
      </c>
      <c r="D1356" s="71" t="s">
        <v>9176</v>
      </c>
    </row>
    <row r="1357" ht="14.25" customHeight="1">
      <c r="A1357" s="71" t="s">
        <v>10014</v>
      </c>
      <c r="B1357" s="71" t="s">
        <v>41</v>
      </c>
      <c r="C1357" s="71" t="s">
        <v>13487</v>
      </c>
      <c r="D1357" s="71" t="s">
        <v>9947</v>
      </c>
    </row>
    <row r="1358" ht="14.25" customHeight="1">
      <c r="A1358" s="71" t="s">
        <v>10016</v>
      </c>
      <c r="B1358" s="71" t="s">
        <v>41</v>
      </c>
      <c r="C1358" s="71" t="s">
        <v>9034</v>
      </c>
      <c r="D1358" s="71" t="s">
        <v>9726</v>
      </c>
    </row>
    <row r="1359" ht="14.25" customHeight="1">
      <c r="C1359" s="71" t="s">
        <v>13257</v>
      </c>
      <c r="D1359" s="71" t="s">
        <v>13488</v>
      </c>
    </row>
    <row r="1360" ht="14.25" customHeight="1">
      <c r="C1360" s="71" t="s">
        <v>8969</v>
      </c>
      <c r="D1360" s="71" t="s">
        <v>12573</v>
      </c>
    </row>
    <row r="1361" ht="14.25" customHeight="1">
      <c r="C1361" s="71" t="s">
        <v>77</v>
      </c>
      <c r="D1361" s="71" t="s">
        <v>13489</v>
      </c>
    </row>
    <row r="1362" ht="14.25" customHeight="1">
      <c r="C1362" s="71" t="s">
        <v>12706</v>
      </c>
      <c r="D1362" s="71" t="s">
        <v>9216</v>
      </c>
    </row>
    <row r="1363" ht="14.25" customHeight="1">
      <c r="C1363" s="71" t="s">
        <v>13490</v>
      </c>
      <c r="D1363" s="71" t="s">
        <v>13491</v>
      </c>
    </row>
    <row r="1364" ht="14.25" customHeight="1">
      <c r="C1364" s="71" t="s">
        <v>13492</v>
      </c>
      <c r="D1364" s="71" t="s">
        <v>13493</v>
      </c>
    </row>
    <row r="1365" ht="14.25" customHeight="1">
      <c r="C1365" s="71" t="s">
        <v>13494</v>
      </c>
      <c r="D1365" s="71" t="s">
        <v>9055</v>
      </c>
    </row>
    <row r="1366" ht="14.25" customHeight="1">
      <c r="C1366" s="71" t="s">
        <v>12607</v>
      </c>
      <c r="D1366" s="71" t="s">
        <v>9526</v>
      </c>
    </row>
    <row r="1367" ht="14.25" customHeight="1">
      <c r="C1367" s="71" t="s">
        <v>13495</v>
      </c>
      <c r="D1367" s="71" t="s">
        <v>9875</v>
      </c>
    </row>
    <row r="1368" ht="14.25" customHeight="1">
      <c r="C1368" s="71" t="s">
        <v>3517</v>
      </c>
      <c r="D1368" s="71" t="s">
        <v>9445</v>
      </c>
    </row>
    <row r="1369" ht="14.25" customHeight="1">
      <c r="C1369" s="71" t="s">
        <v>3566</v>
      </c>
      <c r="D1369" s="71" t="s">
        <v>11530</v>
      </c>
    </row>
    <row r="1370" ht="14.25" customHeight="1">
      <c r="D1370" s="71" t="s">
        <v>12570</v>
      </c>
    </row>
    <row r="1371" ht="14.25" customHeight="1">
      <c r="D1371" s="71" t="s">
        <v>9540</v>
      </c>
    </row>
    <row r="1372" ht="14.25" customHeight="1">
      <c r="C1372" s="71" t="s">
        <v>12634</v>
      </c>
      <c r="D1372" s="71" t="s">
        <v>13496</v>
      </c>
    </row>
    <row r="1373" ht="14.25" customHeight="1">
      <c r="C1373" s="71" t="s">
        <v>9804</v>
      </c>
      <c r="D1373" s="71" t="s">
        <v>13497</v>
      </c>
    </row>
    <row r="1374" ht="14.25" customHeight="1">
      <c r="D1374" s="71" t="s">
        <v>13498</v>
      </c>
    </row>
    <row r="1375" ht="14.25" customHeight="1">
      <c r="D1375" s="71" t="s">
        <v>8968</v>
      </c>
    </row>
    <row r="1376" ht="14.25" customHeight="1">
      <c r="C1376" s="71" t="s">
        <v>13499</v>
      </c>
      <c r="D1376" s="71" t="s">
        <v>11596</v>
      </c>
    </row>
    <row r="1377" ht="14.25" customHeight="1">
      <c r="C1377" s="71" t="s">
        <v>9562</v>
      </c>
      <c r="D1377" s="71" t="s">
        <v>13500</v>
      </c>
    </row>
    <row r="1378" ht="14.25" customHeight="1">
      <c r="D1378" s="71" t="s">
        <v>13501</v>
      </c>
    </row>
    <row r="1379" ht="14.25" customHeight="1">
      <c r="C1379" s="71" t="s">
        <v>11601</v>
      </c>
      <c r="D1379" s="71" t="s">
        <v>12286</v>
      </c>
    </row>
    <row r="1380" ht="14.25" customHeight="1">
      <c r="C1380" s="71" t="s">
        <v>13502</v>
      </c>
      <c r="D1380" s="71" t="s">
        <v>9073</v>
      </c>
    </row>
    <row r="1381" ht="14.25" customHeight="1">
      <c r="C1381" s="71" t="s">
        <v>9896</v>
      </c>
      <c r="D1381" s="71" t="s">
        <v>13503</v>
      </c>
    </row>
    <row r="1382" ht="14.25" customHeight="1">
      <c r="C1382" s="71" t="s">
        <v>13504</v>
      </c>
      <c r="D1382" s="71" t="s">
        <v>13505</v>
      </c>
    </row>
    <row r="1383" ht="14.25" customHeight="1">
      <c r="C1383" s="71" t="s">
        <v>11306</v>
      </c>
      <c r="D1383" s="71" t="s">
        <v>10451</v>
      </c>
    </row>
    <row r="1384" ht="14.25" customHeight="1">
      <c r="C1384" s="71" t="s">
        <v>13506</v>
      </c>
      <c r="D1384" s="71" t="s">
        <v>13507</v>
      </c>
    </row>
    <row r="1385" ht="14.25" customHeight="1">
      <c r="C1385" s="71" t="s">
        <v>13508</v>
      </c>
      <c r="D1385" s="71" t="s">
        <v>9216</v>
      </c>
    </row>
    <row r="1386" ht="14.25" customHeight="1">
      <c r="C1386" s="71" t="s">
        <v>11042</v>
      </c>
      <c r="D1386" s="71" t="s">
        <v>12570</v>
      </c>
    </row>
  </sheetData>
  <mergeCells count="226">
    <mergeCell ref="B364:B366"/>
    <mergeCell ref="B367:B408"/>
    <mergeCell ref="B409:B411"/>
    <mergeCell ref="B412:B537"/>
    <mergeCell ref="B538:B561"/>
    <mergeCell ref="B562:B563"/>
    <mergeCell ref="B564:B569"/>
    <mergeCell ref="B727:B731"/>
    <mergeCell ref="B732:B858"/>
    <mergeCell ref="B570:B669"/>
    <mergeCell ref="B670:B680"/>
    <mergeCell ref="B681:B690"/>
    <mergeCell ref="B691:B715"/>
    <mergeCell ref="B716:B719"/>
    <mergeCell ref="B721:B724"/>
    <mergeCell ref="B725:B726"/>
    <mergeCell ref="C824:C826"/>
    <mergeCell ref="C844:C849"/>
    <mergeCell ref="C853:C855"/>
    <mergeCell ref="C779:C780"/>
    <mergeCell ref="C794:C795"/>
    <mergeCell ref="C800:C801"/>
    <mergeCell ref="C810:C811"/>
    <mergeCell ref="C814:C815"/>
    <mergeCell ref="C818:C819"/>
    <mergeCell ref="C820:C821"/>
    <mergeCell ref="C25:C34"/>
    <mergeCell ref="C40:C44"/>
    <mergeCell ref="C46:C47"/>
    <mergeCell ref="C50:C51"/>
    <mergeCell ref="C3:C4"/>
    <mergeCell ref="C8:C9"/>
    <mergeCell ref="C10:C11"/>
    <mergeCell ref="C13:C15"/>
    <mergeCell ref="C22:C23"/>
    <mergeCell ref="C52:C55"/>
    <mergeCell ref="B70:B73"/>
    <mergeCell ref="B2:B56"/>
    <mergeCell ref="B57:B69"/>
    <mergeCell ref="B74:B83"/>
    <mergeCell ref="B84:B113"/>
    <mergeCell ref="B114:B116"/>
    <mergeCell ref="B117:B122"/>
    <mergeCell ref="B123:B126"/>
    <mergeCell ref="B127:B210"/>
    <mergeCell ref="B211:B212"/>
    <mergeCell ref="B213:B217"/>
    <mergeCell ref="B218:B292"/>
    <mergeCell ref="B293:B316"/>
    <mergeCell ref="B317:B326"/>
    <mergeCell ref="B327:B363"/>
    <mergeCell ref="C353:C354"/>
    <mergeCell ref="C365:C366"/>
    <mergeCell ref="C379:C380"/>
    <mergeCell ref="C382:C383"/>
    <mergeCell ref="C387:C389"/>
    <mergeCell ref="C397:C399"/>
    <mergeCell ref="C412:C416"/>
    <mergeCell ref="C627:C628"/>
    <mergeCell ref="C629:C630"/>
    <mergeCell ref="C638:C639"/>
    <mergeCell ref="C642:C644"/>
    <mergeCell ref="C650:C662"/>
    <mergeCell ref="C699:C700"/>
    <mergeCell ref="C701:C702"/>
    <mergeCell ref="C763:C764"/>
    <mergeCell ref="C765:C766"/>
    <mergeCell ref="B859:B903"/>
    <mergeCell ref="C859:C860"/>
    <mergeCell ref="C873:C874"/>
    <mergeCell ref="C902:C903"/>
    <mergeCell ref="C984:C987"/>
    <mergeCell ref="B904:B991"/>
    <mergeCell ref="B992:B999"/>
    <mergeCell ref="B1000:B1001"/>
    <mergeCell ref="B1002:B1004"/>
    <mergeCell ref="B1005:B1006"/>
    <mergeCell ref="B1007:B1044"/>
    <mergeCell ref="B1045:B1059"/>
    <mergeCell ref="C711:C713"/>
    <mergeCell ref="C728:C729"/>
    <mergeCell ref="C736:C737"/>
    <mergeCell ref="C742:C743"/>
    <mergeCell ref="C751:C753"/>
    <mergeCell ref="C755:C756"/>
    <mergeCell ref="C757:C758"/>
    <mergeCell ref="C904:C906"/>
    <mergeCell ref="C910:C911"/>
    <mergeCell ref="C914:C915"/>
    <mergeCell ref="C922:C923"/>
    <mergeCell ref="C934:C935"/>
    <mergeCell ref="C938:C939"/>
    <mergeCell ref="C957:C959"/>
    <mergeCell ref="C961:C962"/>
    <mergeCell ref="B1060:B1062"/>
    <mergeCell ref="B1063:B1068"/>
    <mergeCell ref="B1069:B1208"/>
    <mergeCell ref="C1183:C1184"/>
    <mergeCell ref="C1194:C1195"/>
    <mergeCell ref="C1197:C1198"/>
    <mergeCell ref="C965:C966"/>
    <mergeCell ref="C977:C979"/>
    <mergeCell ref="C1026:C1028"/>
    <mergeCell ref="C1029:C1030"/>
    <mergeCell ref="C1073:C1074"/>
    <mergeCell ref="C1082:C1083"/>
    <mergeCell ref="C1087:C1090"/>
    <mergeCell ref="C81:C83"/>
    <mergeCell ref="C94:C96"/>
    <mergeCell ref="C101:C102"/>
    <mergeCell ref="C131:C132"/>
    <mergeCell ref="C141:C142"/>
    <mergeCell ref="C143:C144"/>
    <mergeCell ref="C145:C147"/>
    <mergeCell ref="C157:C158"/>
    <mergeCell ref="C160:C164"/>
    <mergeCell ref="C169:C170"/>
    <mergeCell ref="C185:C186"/>
    <mergeCell ref="C191:C193"/>
    <mergeCell ref="C204:C205"/>
    <mergeCell ref="C206:C208"/>
    <mergeCell ref="C223:C224"/>
    <mergeCell ref="C226:C227"/>
    <mergeCell ref="C234:C237"/>
    <mergeCell ref="C250:C251"/>
    <mergeCell ref="C253:C254"/>
    <mergeCell ref="C257:C259"/>
    <mergeCell ref="C261:C262"/>
    <mergeCell ref="C263:C266"/>
    <mergeCell ref="C276:C277"/>
    <mergeCell ref="C291:C292"/>
    <mergeCell ref="C297:C298"/>
    <mergeCell ref="C332:C333"/>
    <mergeCell ref="C337:C338"/>
    <mergeCell ref="C344:C345"/>
    <mergeCell ref="A2:A73"/>
    <mergeCell ref="A74:A83"/>
    <mergeCell ref="A84:A122"/>
    <mergeCell ref="A123:A126"/>
    <mergeCell ref="A127:A217"/>
    <mergeCell ref="A218:A326"/>
    <mergeCell ref="A327:A366"/>
    <mergeCell ref="A367:A411"/>
    <mergeCell ref="A412:A563"/>
    <mergeCell ref="A564:A569"/>
    <mergeCell ref="A570:A690"/>
    <mergeCell ref="A691:A715"/>
    <mergeCell ref="A716:A719"/>
    <mergeCell ref="A721:A724"/>
    <mergeCell ref="A1069:A1238"/>
    <mergeCell ref="A1239:A1262"/>
    <mergeCell ref="A1263:A1288"/>
    <mergeCell ref="A1289:A1310"/>
    <mergeCell ref="A1311:A1356"/>
    <mergeCell ref="A1358:A1386"/>
    <mergeCell ref="A725:A726"/>
    <mergeCell ref="A727:A731"/>
    <mergeCell ref="A732:A903"/>
    <mergeCell ref="A904:A1001"/>
    <mergeCell ref="A1002:A1006"/>
    <mergeCell ref="A1007:A1044"/>
    <mergeCell ref="A1045:A1068"/>
    <mergeCell ref="C456:C458"/>
    <mergeCell ref="C459:C460"/>
    <mergeCell ref="C418:C420"/>
    <mergeCell ref="C422:C423"/>
    <mergeCell ref="C428:C429"/>
    <mergeCell ref="C430:C436"/>
    <mergeCell ref="C439:C440"/>
    <mergeCell ref="C447:C449"/>
    <mergeCell ref="C452:C455"/>
    <mergeCell ref="C521:C522"/>
    <mergeCell ref="C526:C527"/>
    <mergeCell ref="C462:C463"/>
    <mergeCell ref="C475:C476"/>
    <mergeCell ref="C478:C479"/>
    <mergeCell ref="C498:C499"/>
    <mergeCell ref="C506:C508"/>
    <mergeCell ref="C512:C514"/>
    <mergeCell ref="C515:C516"/>
    <mergeCell ref="C607:C608"/>
    <mergeCell ref="C619:C621"/>
    <mergeCell ref="C536:C537"/>
    <mergeCell ref="C541:C542"/>
    <mergeCell ref="C544:C545"/>
    <mergeCell ref="C580:C584"/>
    <mergeCell ref="C590:C592"/>
    <mergeCell ref="C594:C595"/>
    <mergeCell ref="C597:C598"/>
    <mergeCell ref="C1114:C1115"/>
    <mergeCell ref="C1123:C1124"/>
    <mergeCell ref="C1131:C1132"/>
    <mergeCell ref="C1139:C1141"/>
    <mergeCell ref="C1144:C1149"/>
    <mergeCell ref="C1165:C1166"/>
    <mergeCell ref="C1168:C1169"/>
    <mergeCell ref="C1175:C1177"/>
    <mergeCell ref="C1179:C1181"/>
    <mergeCell ref="B1209:B1226"/>
    <mergeCell ref="C1214:C1215"/>
    <mergeCell ref="C1218:C1219"/>
    <mergeCell ref="C1223:C1224"/>
    <mergeCell ref="B1227:B1238"/>
    <mergeCell ref="B1239:B1262"/>
    <mergeCell ref="C1250:C1251"/>
    <mergeCell ref="B1263:B1279"/>
    <mergeCell ref="C1268:C1270"/>
    <mergeCell ref="C1274:C1275"/>
    <mergeCell ref="C1276:C1277"/>
    <mergeCell ref="C1278:C1279"/>
    <mergeCell ref="C1313:C1314"/>
    <mergeCell ref="C1327:C1328"/>
    <mergeCell ref="C1369:C1371"/>
    <mergeCell ref="C1373:C1375"/>
    <mergeCell ref="C1377:C1378"/>
    <mergeCell ref="B1311:B1347"/>
    <mergeCell ref="B1348:B1352"/>
    <mergeCell ref="B1353:B1356"/>
    <mergeCell ref="B1358:B1386"/>
    <mergeCell ref="B1280:B1282"/>
    <mergeCell ref="C1280:C1282"/>
    <mergeCell ref="B1283:B1288"/>
    <mergeCell ref="B1289:B1308"/>
    <mergeCell ref="C1305:C1306"/>
    <mergeCell ref="B1309:B1310"/>
    <mergeCell ref="C1335:C1339"/>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2D0"/>
    <pageSetUpPr/>
  </sheetPr>
  <sheetViews>
    <sheetView workbookViewId="0"/>
  </sheetViews>
  <sheetFormatPr customHeight="1" defaultColWidth="12.63" defaultRowHeight="15.0"/>
  <cols>
    <col customWidth="1" min="1" max="1" width="33.88"/>
    <col customWidth="1" min="2" max="2" width="14.88"/>
    <col customWidth="1" min="3" max="3" width="55.25"/>
    <col customWidth="1" min="4" max="4" width="57.13"/>
    <col customWidth="1" min="5" max="26" width="8.63"/>
  </cols>
  <sheetData>
    <row r="1" ht="14.25" customHeight="1">
      <c r="A1" s="70" t="s">
        <v>8962</v>
      </c>
      <c r="B1" s="70" t="s">
        <v>8963</v>
      </c>
      <c r="C1" s="70" t="s">
        <v>8964</v>
      </c>
      <c r="D1" s="70" t="s">
        <v>8965</v>
      </c>
    </row>
    <row r="2" ht="14.25" customHeight="1">
      <c r="A2" s="71" t="s">
        <v>8966</v>
      </c>
      <c r="B2" s="71" t="s">
        <v>40</v>
      </c>
      <c r="C2" s="71" t="s">
        <v>10735</v>
      </c>
      <c r="D2" s="71" t="s">
        <v>13509</v>
      </c>
    </row>
    <row r="3" ht="14.25" customHeight="1">
      <c r="D3" s="71" t="s">
        <v>8976</v>
      </c>
    </row>
    <row r="4" ht="14.25" customHeight="1">
      <c r="C4" s="71" t="s">
        <v>9810</v>
      </c>
      <c r="D4" s="71" t="s">
        <v>13510</v>
      </c>
    </row>
    <row r="5" ht="14.25" customHeight="1">
      <c r="D5" s="71" t="s">
        <v>10124</v>
      </c>
    </row>
    <row r="6" ht="14.25" customHeight="1">
      <c r="C6" s="71" t="s">
        <v>11179</v>
      </c>
      <c r="D6" s="71" t="s">
        <v>8973</v>
      </c>
    </row>
    <row r="7" ht="14.25" customHeight="1">
      <c r="D7" s="71" t="s">
        <v>13511</v>
      </c>
    </row>
    <row r="8" ht="14.25" customHeight="1">
      <c r="C8" s="71" t="s">
        <v>1889</v>
      </c>
      <c r="D8" s="71" t="s">
        <v>8976</v>
      </c>
    </row>
    <row r="9" ht="14.25" customHeight="1">
      <c r="C9" s="71" t="s">
        <v>13512</v>
      </c>
      <c r="D9" s="71" t="s">
        <v>405</v>
      </c>
    </row>
    <row r="10" ht="14.25" customHeight="1">
      <c r="C10" s="71" t="s">
        <v>11870</v>
      </c>
      <c r="D10" s="71" t="s">
        <v>11871</v>
      </c>
    </row>
    <row r="11" ht="14.25" customHeight="1">
      <c r="C11" s="71" t="s">
        <v>6538</v>
      </c>
      <c r="D11" s="71" t="s">
        <v>13513</v>
      </c>
    </row>
    <row r="12" ht="14.25" customHeight="1">
      <c r="D12" s="71" t="s">
        <v>13514</v>
      </c>
    </row>
    <row r="13" ht="14.25" customHeight="1">
      <c r="D13" s="71" t="s">
        <v>8976</v>
      </c>
    </row>
    <row r="14" ht="14.25" customHeight="1">
      <c r="C14" s="71" t="s">
        <v>312</v>
      </c>
      <c r="D14" s="71" t="s">
        <v>9034</v>
      </c>
    </row>
    <row r="15" ht="14.25" customHeight="1">
      <c r="C15" s="71" t="s">
        <v>3566</v>
      </c>
      <c r="D15" s="71" t="s">
        <v>8973</v>
      </c>
    </row>
    <row r="16" ht="14.25" customHeight="1">
      <c r="D16" s="71" t="s">
        <v>13515</v>
      </c>
    </row>
    <row r="17" ht="14.25" customHeight="1">
      <c r="D17" s="71" t="s">
        <v>8978</v>
      </c>
    </row>
    <row r="18" ht="14.25" customHeight="1">
      <c r="D18" s="71" t="s">
        <v>8976</v>
      </c>
    </row>
    <row r="19" ht="14.25" customHeight="1">
      <c r="C19" s="71" t="s">
        <v>11698</v>
      </c>
      <c r="D19" s="71" t="s">
        <v>10204</v>
      </c>
    </row>
    <row r="20" ht="14.25" customHeight="1">
      <c r="C20" s="71" t="s">
        <v>3596</v>
      </c>
      <c r="D20" s="71" t="s">
        <v>9034</v>
      </c>
    </row>
    <row r="21" ht="14.25" customHeight="1">
      <c r="D21" s="71" t="s">
        <v>10080</v>
      </c>
    </row>
    <row r="22" ht="14.25" customHeight="1">
      <c r="D22" s="71" t="s">
        <v>12618</v>
      </c>
    </row>
    <row r="23" ht="14.25" customHeight="1">
      <c r="C23" s="71" t="s">
        <v>10905</v>
      </c>
      <c r="D23" s="71" t="s">
        <v>8976</v>
      </c>
    </row>
    <row r="24" ht="14.25" customHeight="1">
      <c r="C24" s="71" t="s">
        <v>9215</v>
      </c>
      <c r="D24" s="71" t="s">
        <v>9109</v>
      </c>
    </row>
    <row r="25" ht="14.25" customHeight="1">
      <c r="B25" s="71" t="s">
        <v>41</v>
      </c>
      <c r="C25" s="71" t="s">
        <v>1889</v>
      </c>
      <c r="D25" s="71" t="s">
        <v>9034</v>
      </c>
    </row>
    <row r="26" ht="14.25" customHeight="1">
      <c r="C26" s="71" t="s">
        <v>9261</v>
      </c>
      <c r="D26" s="71" t="s">
        <v>13516</v>
      </c>
    </row>
    <row r="27" ht="14.25" customHeight="1">
      <c r="C27" s="71" t="s">
        <v>1058</v>
      </c>
      <c r="D27" s="71" t="s">
        <v>8994</v>
      </c>
    </row>
    <row r="28" ht="14.25" customHeight="1">
      <c r="C28" s="71" t="s">
        <v>3566</v>
      </c>
      <c r="D28" s="71" t="s">
        <v>13517</v>
      </c>
    </row>
    <row r="29" ht="14.25" customHeight="1">
      <c r="C29" s="71" t="s">
        <v>3596</v>
      </c>
      <c r="D29" s="71" t="s">
        <v>10080</v>
      </c>
    </row>
    <row r="30" ht="14.25" customHeight="1">
      <c r="D30" s="71" t="s">
        <v>11487</v>
      </c>
    </row>
    <row r="31" ht="14.25" customHeight="1">
      <c r="C31" s="71" t="s">
        <v>5224</v>
      </c>
      <c r="D31" s="71" t="s">
        <v>8973</v>
      </c>
    </row>
    <row r="32" ht="14.25" customHeight="1">
      <c r="C32" s="71" t="s">
        <v>10905</v>
      </c>
      <c r="D32" s="71" t="s">
        <v>13518</v>
      </c>
    </row>
    <row r="33" ht="14.25" customHeight="1">
      <c r="D33" s="71" t="s">
        <v>9404</v>
      </c>
    </row>
    <row r="34" ht="14.25" customHeight="1">
      <c r="B34" s="71" t="s">
        <v>13</v>
      </c>
      <c r="C34" s="71" t="s">
        <v>13519</v>
      </c>
      <c r="D34" s="71" t="s">
        <v>12743</v>
      </c>
    </row>
    <row r="35" ht="14.25" customHeight="1">
      <c r="D35" s="71" t="s">
        <v>10608</v>
      </c>
    </row>
    <row r="36" ht="14.25" customHeight="1">
      <c r="C36" s="71" t="s">
        <v>11373</v>
      </c>
      <c r="D36" s="71" t="s">
        <v>13520</v>
      </c>
    </row>
    <row r="37" ht="14.25" customHeight="1">
      <c r="C37" s="71" t="s">
        <v>1889</v>
      </c>
      <c r="D37" s="71" t="s">
        <v>13521</v>
      </c>
    </row>
    <row r="38" ht="14.25" customHeight="1">
      <c r="C38" s="71" t="s">
        <v>13522</v>
      </c>
      <c r="D38" s="71" t="s">
        <v>9440</v>
      </c>
    </row>
    <row r="39" ht="14.25" customHeight="1">
      <c r="C39" s="71" t="s">
        <v>3566</v>
      </c>
      <c r="D39" s="71" t="s">
        <v>8973</v>
      </c>
    </row>
    <row r="40" ht="14.25" customHeight="1">
      <c r="C40" s="71" t="s">
        <v>9390</v>
      </c>
      <c r="D40" s="71" t="s">
        <v>9440</v>
      </c>
    </row>
    <row r="41" ht="14.25" customHeight="1">
      <c r="C41" s="71" t="s">
        <v>5224</v>
      </c>
      <c r="D41" s="71" t="s">
        <v>10066</v>
      </c>
    </row>
    <row r="42" ht="14.25" customHeight="1">
      <c r="D42" s="71" t="s">
        <v>13523</v>
      </c>
    </row>
    <row r="43" ht="14.25" customHeight="1">
      <c r="C43" s="71" t="s">
        <v>13524</v>
      </c>
      <c r="D43" s="71" t="s">
        <v>9249</v>
      </c>
    </row>
    <row r="44" ht="14.25" customHeight="1">
      <c r="C44" s="71" t="s">
        <v>5242</v>
      </c>
      <c r="D44" s="71" t="s">
        <v>8973</v>
      </c>
    </row>
    <row r="45" ht="14.25" customHeight="1">
      <c r="C45" s="71" t="s">
        <v>8576</v>
      </c>
      <c r="D45" s="71" t="s">
        <v>9332</v>
      </c>
    </row>
    <row r="46" ht="14.25" customHeight="1">
      <c r="C46" s="71" t="s">
        <v>13525</v>
      </c>
      <c r="D46" s="71" t="s">
        <v>9440</v>
      </c>
    </row>
    <row r="47" ht="14.25" customHeight="1">
      <c r="C47" s="71" t="s">
        <v>10640</v>
      </c>
      <c r="D47" s="71" t="s">
        <v>13526</v>
      </c>
    </row>
    <row r="48" ht="14.25" customHeight="1">
      <c r="C48" s="71" t="s">
        <v>13527</v>
      </c>
      <c r="D48" s="71" t="s">
        <v>13528</v>
      </c>
    </row>
    <row r="49" ht="14.25" customHeight="1">
      <c r="A49" s="71" t="s">
        <v>9022</v>
      </c>
      <c r="B49" s="71" t="s">
        <v>40</v>
      </c>
      <c r="C49" s="71" t="s">
        <v>1417</v>
      </c>
      <c r="D49" s="71" t="s">
        <v>9204</v>
      </c>
    </row>
    <row r="50" ht="14.25" customHeight="1">
      <c r="A50" s="71" t="s">
        <v>9058</v>
      </c>
      <c r="B50" s="71" t="s">
        <v>40</v>
      </c>
      <c r="C50" s="71" t="s">
        <v>13529</v>
      </c>
      <c r="D50" s="71" t="s">
        <v>12618</v>
      </c>
    </row>
    <row r="51" ht="14.25" customHeight="1">
      <c r="C51" s="71" t="s">
        <v>13530</v>
      </c>
      <c r="D51" s="71" t="s">
        <v>11407</v>
      </c>
    </row>
    <row r="52" ht="14.25" customHeight="1">
      <c r="C52" s="71" t="s">
        <v>9826</v>
      </c>
      <c r="D52" s="71" t="s">
        <v>13531</v>
      </c>
    </row>
    <row r="53" ht="14.25" customHeight="1">
      <c r="C53" s="71" t="s">
        <v>13532</v>
      </c>
      <c r="D53" s="71" t="s">
        <v>13533</v>
      </c>
    </row>
    <row r="54" ht="14.25" customHeight="1">
      <c r="C54" s="71" t="s">
        <v>9063</v>
      </c>
      <c r="D54" s="71" t="s">
        <v>13534</v>
      </c>
    </row>
    <row r="55" ht="14.25" customHeight="1">
      <c r="C55" s="71" t="s">
        <v>6538</v>
      </c>
      <c r="D55" s="71" t="s">
        <v>13535</v>
      </c>
    </row>
    <row r="56" ht="14.25" customHeight="1">
      <c r="C56" s="71" t="s">
        <v>10998</v>
      </c>
      <c r="D56" s="71" t="s">
        <v>10999</v>
      </c>
    </row>
    <row r="57" ht="14.25" customHeight="1">
      <c r="C57" s="71" t="s">
        <v>13536</v>
      </c>
      <c r="D57" s="71" t="s">
        <v>13537</v>
      </c>
    </row>
    <row r="58" ht="14.25" customHeight="1">
      <c r="B58" s="71" t="s">
        <v>41</v>
      </c>
      <c r="C58" s="71" t="s">
        <v>13529</v>
      </c>
      <c r="D58" s="71" t="s">
        <v>13538</v>
      </c>
    </row>
    <row r="59" ht="14.25" customHeight="1">
      <c r="C59" s="71" t="s">
        <v>10646</v>
      </c>
      <c r="D59" s="71" t="s">
        <v>10219</v>
      </c>
    </row>
    <row r="60" ht="14.25" customHeight="1">
      <c r="C60" s="71" t="s">
        <v>13539</v>
      </c>
      <c r="D60" s="71" t="s">
        <v>13540</v>
      </c>
    </row>
    <row r="61" ht="14.25" customHeight="1">
      <c r="C61" s="71" t="s">
        <v>13541</v>
      </c>
      <c r="D61" s="71" t="s">
        <v>9073</v>
      </c>
    </row>
    <row r="62" ht="14.25" customHeight="1">
      <c r="C62" s="71" t="s">
        <v>9506</v>
      </c>
      <c r="D62" s="71" t="s">
        <v>9574</v>
      </c>
    </row>
    <row r="63" ht="14.25" customHeight="1">
      <c r="C63" s="71" t="s">
        <v>13542</v>
      </c>
      <c r="D63" s="71" t="s">
        <v>13543</v>
      </c>
    </row>
    <row r="64" ht="14.25" customHeight="1">
      <c r="C64" s="71" t="s">
        <v>13544</v>
      </c>
      <c r="D64" s="71" t="s">
        <v>10124</v>
      </c>
    </row>
    <row r="65" ht="14.25" customHeight="1">
      <c r="C65" s="71" t="s">
        <v>13545</v>
      </c>
      <c r="D65" s="71" t="s">
        <v>13546</v>
      </c>
    </row>
    <row r="66" ht="14.25" customHeight="1">
      <c r="B66" s="71" t="s">
        <v>13</v>
      </c>
      <c r="C66" s="71" t="s">
        <v>13547</v>
      </c>
      <c r="D66" s="71" t="s">
        <v>13548</v>
      </c>
    </row>
    <row r="67" ht="14.25" customHeight="1">
      <c r="C67" s="71" t="s">
        <v>13549</v>
      </c>
      <c r="D67" s="71" t="s">
        <v>9034</v>
      </c>
    </row>
    <row r="68" ht="14.25" customHeight="1">
      <c r="C68" s="71" t="s">
        <v>13550</v>
      </c>
      <c r="D68" s="71" t="s">
        <v>11403</v>
      </c>
    </row>
    <row r="69" ht="14.25" customHeight="1">
      <c r="C69" s="71" t="s">
        <v>13551</v>
      </c>
      <c r="D69" s="71" t="s">
        <v>13552</v>
      </c>
    </row>
    <row r="70" ht="14.25" customHeight="1">
      <c r="C70" s="71" t="s">
        <v>13553</v>
      </c>
      <c r="D70" s="71" t="s">
        <v>13554</v>
      </c>
    </row>
    <row r="71" ht="14.25" customHeight="1">
      <c r="C71" s="71" t="s">
        <v>9090</v>
      </c>
      <c r="D71" s="71" t="s">
        <v>13555</v>
      </c>
    </row>
    <row r="72" ht="14.25" customHeight="1">
      <c r="D72" s="71" t="s">
        <v>9095</v>
      </c>
    </row>
    <row r="73" ht="14.25" customHeight="1">
      <c r="A73" s="71" t="s">
        <v>9094</v>
      </c>
      <c r="B73" s="71" t="s">
        <v>41</v>
      </c>
      <c r="C73" s="71" t="s">
        <v>12034</v>
      </c>
      <c r="D73" s="71" t="s">
        <v>9034</v>
      </c>
    </row>
    <row r="74" ht="14.25" customHeight="1">
      <c r="D74" s="71" t="s">
        <v>13556</v>
      </c>
    </row>
    <row r="75" ht="14.25" customHeight="1">
      <c r="A75" s="71" t="s">
        <v>9097</v>
      </c>
      <c r="B75" s="71" t="s">
        <v>40</v>
      </c>
      <c r="C75" s="71" t="s">
        <v>57</v>
      </c>
      <c r="D75" s="71" t="s">
        <v>9101</v>
      </c>
    </row>
    <row r="76" ht="14.25" customHeight="1">
      <c r="C76" s="71" t="s">
        <v>5828</v>
      </c>
      <c r="D76" s="71" t="s">
        <v>13557</v>
      </c>
    </row>
    <row r="77" ht="14.25" customHeight="1">
      <c r="C77" s="71" t="s">
        <v>13558</v>
      </c>
      <c r="D77" s="71" t="s">
        <v>13559</v>
      </c>
    </row>
    <row r="78" ht="14.25" customHeight="1">
      <c r="C78" s="71" t="s">
        <v>88</v>
      </c>
      <c r="D78" s="71" t="s">
        <v>12431</v>
      </c>
    </row>
    <row r="79" ht="14.25" customHeight="1">
      <c r="D79" s="71" t="s">
        <v>9106</v>
      </c>
    </row>
    <row r="80" ht="14.25" customHeight="1">
      <c r="D80" s="71" t="s">
        <v>10463</v>
      </c>
    </row>
    <row r="81" ht="14.25" customHeight="1">
      <c r="C81" s="71" t="s">
        <v>12375</v>
      </c>
      <c r="D81" s="71" t="s">
        <v>11252</v>
      </c>
    </row>
    <row r="82" ht="14.25" customHeight="1">
      <c r="C82" s="71" t="s">
        <v>2669</v>
      </c>
      <c r="D82" s="71" t="s">
        <v>13560</v>
      </c>
    </row>
    <row r="83" ht="14.25" customHeight="1">
      <c r="C83" s="71" t="s">
        <v>10660</v>
      </c>
      <c r="D83" s="71" t="s">
        <v>9111</v>
      </c>
    </row>
    <row r="84" ht="14.25" customHeight="1">
      <c r="D84" s="71" t="s">
        <v>9073</v>
      </c>
    </row>
    <row r="85" ht="14.25" customHeight="1">
      <c r="C85" s="71" t="s">
        <v>13561</v>
      </c>
      <c r="D85" s="71" t="s">
        <v>9073</v>
      </c>
    </row>
    <row r="86" ht="14.25" customHeight="1">
      <c r="C86" s="71" t="s">
        <v>13562</v>
      </c>
      <c r="D86" s="71" t="s">
        <v>10099</v>
      </c>
    </row>
    <row r="87" ht="14.25" customHeight="1">
      <c r="C87" s="71" t="s">
        <v>9114</v>
      </c>
      <c r="D87" s="71" t="s">
        <v>13563</v>
      </c>
    </row>
    <row r="88" ht="14.25" customHeight="1">
      <c r="C88" s="71" t="s">
        <v>9121</v>
      </c>
      <c r="D88" s="71" t="s">
        <v>13564</v>
      </c>
    </row>
    <row r="89" ht="14.25" customHeight="1">
      <c r="D89" s="71" t="s">
        <v>9925</v>
      </c>
    </row>
    <row r="90" ht="14.25" customHeight="1">
      <c r="D90" s="71" t="s">
        <v>9002</v>
      </c>
    </row>
    <row r="91" ht="14.25" customHeight="1">
      <c r="C91" s="71" t="s">
        <v>6180</v>
      </c>
      <c r="D91" s="71" t="s">
        <v>9051</v>
      </c>
    </row>
    <row r="92" ht="14.25" customHeight="1">
      <c r="C92" s="71" t="s">
        <v>124</v>
      </c>
      <c r="D92" s="71" t="s">
        <v>8982</v>
      </c>
    </row>
    <row r="93" ht="14.25" customHeight="1">
      <c r="C93" s="71" t="s">
        <v>9133</v>
      </c>
      <c r="D93" s="71" t="s">
        <v>11196</v>
      </c>
    </row>
    <row r="94" ht="14.25" customHeight="1">
      <c r="C94" s="71" t="s">
        <v>10942</v>
      </c>
      <c r="D94" s="71" t="s">
        <v>13565</v>
      </c>
    </row>
    <row r="95" ht="14.25" customHeight="1">
      <c r="C95" s="71" t="s">
        <v>6322</v>
      </c>
      <c r="D95" s="71" t="s">
        <v>13468</v>
      </c>
    </row>
    <row r="96" ht="14.25" customHeight="1">
      <c r="C96" s="71" t="s">
        <v>13566</v>
      </c>
      <c r="D96" s="71" t="s">
        <v>9649</v>
      </c>
    </row>
    <row r="97" ht="14.25" customHeight="1">
      <c r="C97" s="71" t="s">
        <v>3405</v>
      </c>
      <c r="D97" s="71" t="s">
        <v>9587</v>
      </c>
    </row>
    <row r="98" ht="14.25" customHeight="1">
      <c r="C98" s="71" t="s">
        <v>12061</v>
      </c>
      <c r="D98" s="71" t="s">
        <v>8978</v>
      </c>
    </row>
    <row r="99" ht="14.25" customHeight="1">
      <c r="C99" s="71" t="s">
        <v>9882</v>
      </c>
      <c r="D99" s="71" t="s">
        <v>9073</v>
      </c>
    </row>
    <row r="100" ht="14.25" customHeight="1">
      <c r="C100" s="71" t="s">
        <v>3603</v>
      </c>
      <c r="D100" s="71" t="s">
        <v>9055</v>
      </c>
    </row>
    <row r="101" ht="14.25" customHeight="1">
      <c r="C101" s="71" t="s">
        <v>184</v>
      </c>
      <c r="D101" s="71" t="s">
        <v>9109</v>
      </c>
    </row>
    <row r="102" ht="14.25" customHeight="1">
      <c r="D102" s="71" t="s">
        <v>9002</v>
      </c>
    </row>
    <row r="103" ht="14.25" customHeight="1">
      <c r="C103" s="71" t="s">
        <v>191</v>
      </c>
      <c r="D103" s="71" t="s">
        <v>13567</v>
      </c>
    </row>
    <row r="104" ht="14.25" customHeight="1">
      <c r="C104" s="71" t="s">
        <v>13568</v>
      </c>
      <c r="D104" s="71" t="s">
        <v>12378</v>
      </c>
    </row>
    <row r="105" ht="14.25" customHeight="1">
      <c r="C105" s="71" t="s">
        <v>9505</v>
      </c>
      <c r="D105" s="71" t="s">
        <v>11568</v>
      </c>
    </row>
    <row r="106" ht="14.25" customHeight="1">
      <c r="D106" s="71" t="s">
        <v>9073</v>
      </c>
    </row>
    <row r="107" ht="14.25" customHeight="1">
      <c r="C107" s="71" t="s">
        <v>315</v>
      </c>
      <c r="D107" s="71" t="s">
        <v>9002</v>
      </c>
    </row>
    <row r="108" ht="14.25" customHeight="1">
      <c r="C108" s="71" t="s">
        <v>3814</v>
      </c>
      <c r="D108" s="71" t="s">
        <v>9111</v>
      </c>
    </row>
    <row r="109" ht="14.25" customHeight="1">
      <c r="D109" s="71" t="s">
        <v>9073</v>
      </c>
    </row>
    <row r="110" ht="14.25" customHeight="1">
      <c r="C110" s="71" t="s">
        <v>220</v>
      </c>
      <c r="D110" s="71" t="s">
        <v>9141</v>
      </c>
    </row>
    <row r="111" ht="14.25" customHeight="1">
      <c r="D111" s="71" t="s">
        <v>13569</v>
      </c>
    </row>
    <row r="112" ht="14.25" customHeight="1">
      <c r="C112" s="71" t="s">
        <v>10990</v>
      </c>
      <c r="D112" s="71" t="s">
        <v>9073</v>
      </c>
    </row>
    <row r="113" ht="14.25" customHeight="1">
      <c r="C113" s="71" t="s">
        <v>13570</v>
      </c>
      <c r="D113" s="71" t="s">
        <v>8968</v>
      </c>
    </row>
    <row r="114" ht="14.25" customHeight="1">
      <c r="D114" s="71" t="s">
        <v>389</v>
      </c>
    </row>
    <row r="115" ht="14.25" customHeight="1">
      <c r="C115" s="71" t="s">
        <v>13571</v>
      </c>
      <c r="D115" s="71" t="s">
        <v>13572</v>
      </c>
    </row>
    <row r="116" ht="14.25" customHeight="1">
      <c r="C116" s="71" t="s">
        <v>230</v>
      </c>
      <c r="D116" s="71" t="s">
        <v>8976</v>
      </c>
    </row>
    <row r="117" ht="14.25" customHeight="1">
      <c r="C117" s="71" t="s">
        <v>7022</v>
      </c>
      <c r="D117" s="71" t="s">
        <v>9002</v>
      </c>
    </row>
    <row r="118" ht="14.25" customHeight="1">
      <c r="C118" s="71" t="s">
        <v>9215</v>
      </c>
      <c r="D118" s="71" t="s">
        <v>10594</v>
      </c>
    </row>
    <row r="119" ht="14.25" customHeight="1">
      <c r="C119" s="71" t="s">
        <v>254</v>
      </c>
      <c r="D119" s="71" t="s">
        <v>9073</v>
      </c>
    </row>
    <row r="120" ht="14.25" customHeight="1">
      <c r="C120" s="71" t="s">
        <v>262</v>
      </c>
      <c r="D120" s="71" t="s">
        <v>9051</v>
      </c>
    </row>
    <row r="121" ht="14.25" customHeight="1">
      <c r="D121" s="71" t="s">
        <v>11089</v>
      </c>
    </row>
    <row r="122" ht="14.25" customHeight="1">
      <c r="D122" s="71" t="s">
        <v>11972</v>
      </c>
    </row>
    <row r="123" ht="14.25" customHeight="1">
      <c r="C123" s="71" t="s">
        <v>11864</v>
      </c>
      <c r="D123" s="71" t="s">
        <v>13573</v>
      </c>
    </row>
    <row r="124" ht="14.25" customHeight="1">
      <c r="C124" s="71" t="s">
        <v>13574</v>
      </c>
      <c r="D124" s="71" t="s">
        <v>13575</v>
      </c>
    </row>
    <row r="125" ht="14.25" customHeight="1">
      <c r="C125" s="71" t="s">
        <v>4322</v>
      </c>
      <c r="D125" s="71" t="s">
        <v>9073</v>
      </c>
    </row>
    <row r="126" ht="14.25" customHeight="1">
      <c r="D126" s="71" t="s">
        <v>9836</v>
      </c>
    </row>
    <row r="127" ht="14.25" customHeight="1">
      <c r="C127" s="71" t="s">
        <v>4349</v>
      </c>
      <c r="D127" s="71" t="s">
        <v>9354</v>
      </c>
    </row>
    <row r="128" ht="14.25" customHeight="1">
      <c r="C128" s="71" t="s">
        <v>324</v>
      </c>
      <c r="D128" s="71" t="s">
        <v>12735</v>
      </c>
    </row>
    <row r="129" ht="14.25" customHeight="1">
      <c r="D129" s="71" t="s">
        <v>9162</v>
      </c>
    </row>
    <row r="130" ht="14.25" customHeight="1">
      <c r="B130" s="71" t="s">
        <v>41</v>
      </c>
      <c r="C130" s="71" t="s">
        <v>13576</v>
      </c>
      <c r="D130" s="71" t="s">
        <v>9314</v>
      </c>
    </row>
    <row r="131" ht="14.25" customHeight="1">
      <c r="C131" s="71" t="s">
        <v>2682</v>
      </c>
      <c r="D131" s="71" t="s">
        <v>9354</v>
      </c>
    </row>
    <row r="132" ht="14.25" customHeight="1">
      <c r="C132" s="71" t="s">
        <v>2977</v>
      </c>
      <c r="D132" s="71" t="s">
        <v>9075</v>
      </c>
    </row>
    <row r="133" ht="14.25" customHeight="1">
      <c r="C133" s="71" t="s">
        <v>307</v>
      </c>
      <c r="D133" s="71" t="s">
        <v>13577</v>
      </c>
    </row>
    <row r="134" ht="14.25" customHeight="1">
      <c r="C134" s="71" t="s">
        <v>9329</v>
      </c>
      <c r="D134" s="71" t="s">
        <v>9073</v>
      </c>
    </row>
    <row r="135" ht="14.25" customHeight="1">
      <c r="D135" s="71" t="s">
        <v>9337</v>
      </c>
    </row>
    <row r="136" ht="14.25" customHeight="1">
      <c r="C136" s="71" t="s">
        <v>10673</v>
      </c>
      <c r="D136" s="71" t="s">
        <v>13312</v>
      </c>
    </row>
    <row r="137" ht="14.25" customHeight="1">
      <c r="C137" s="71" t="s">
        <v>4035</v>
      </c>
      <c r="D137" s="71" t="s">
        <v>10124</v>
      </c>
    </row>
    <row r="138" ht="14.25" customHeight="1">
      <c r="C138" s="71" t="s">
        <v>254</v>
      </c>
      <c r="D138" s="71" t="s">
        <v>9073</v>
      </c>
    </row>
    <row r="139" ht="14.25" customHeight="1">
      <c r="C139" s="71" t="s">
        <v>9090</v>
      </c>
      <c r="D139" s="71" t="s">
        <v>11117</v>
      </c>
    </row>
    <row r="140" ht="14.25" customHeight="1">
      <c r="B140" s="71" t="s">
        <v>13</v>
      </c>
      <c r="C140" s="71" t="s">
        <v>2408</v>
      </c>
      <c r="D140" s="71" t="s">
        <v>9073</v>
      </c>
    </row>
    <row r="141" ht="14.25" customHeight="1">
      <c r="C141" s="71" t="s">
        <v>12701</v>
      </c>
      <c r="D141" s="71" t="s">
        <v>9249</v>
      </c>
    </row>
    <row r="142" ht="14.25" customHeight="1">
      <c r="C142" s="71" t="s">
        <v>9329</v>
      </c>
      <c r="D142" s="71" t="s">
        <v>13578</v>
      </c>
    </row>
    <row r="143" ht="14.25" customHeight="1">
      <c r="C143" s="71" t="s">
        <v>13579</v>
      </c>
      <c r="D143" s="71" t="s">
        <v>13580</v>
      </c>
    </row>
    <row r="144" ht="14.25" customHeight="1">
      <c r="C144" s="71" t="s">
        <v>13581</v>
      </c>
      <c r="D144" s="71" t="s">
        <v>9176</v>
      </c>
    </row>
    <row r="145" ht="14.25" customHeight="1">
      <c r="C145" s="71" t="s">
        <v>13582</v>
      </c>
      <c r="D145" s="71" t="s">
        <v>10686</v>
      </c>
    </row>
    <row r="146" ht="14.25" customHeight="1">
      <c r="C146" s="71" t="s">
        <v>13583</v>
      </c>
      <c r="D146" s="71" t="s">
        <v>13528</v>
      </c>
    </row>
    <row r="147" ht="14.25" customHeight="1">
      <c r="A147" s="71" t="s">
        <v>9177</v>
      </c>
      <c r="B147" s="71" t="s">
        <v>40</v>
      </c>
      <c r="C147" s="71" t="s">
        <v>5740</v>
      </c>
      <c r="D147" s="71" t="s">
        <v>9180</v>
      </c>
    </row>
    <row r="148" ht="14.25" customHeight="1">
      <c r="C148" s="71" t="s">
        <v>13584</v>
      </c>
      <c r="D148" s="71" t="s">
        <v>13585</v>
      </c>
    </row>
    <row r="149" ht="14.25" customHeight="1">
      <c r="C149" s="71" t="s">
        <v>13586</v>
      </c>
      <c r="D149" s="71" t="s">
        <v>13587</v>
      </c>
    </row>
    <row r="150" ht="14.25" customHeight="1">
      <c r="C150" s="71" t="s">
        <v>13588</v>
      </c>
      <c r="D150" s="71" t="s">
        <v>10122</v>
      </c>
    </row>
    <row r="151" ht="14.25" customHeight="1">
      <c r="C151" s="71" t="s">
        <v>75</v>
      </c>
      <c r="D151" s="71" t="s">
        <v>10610</v>
      </c>
    </row>
    <row r="152" ht="14.25" customHeight="1">
      <c r="C152" s="71" t="s">
        <v>11049</v>
      </c>
      <c r="D152" s="71" t="s">
        <v>12431</v>
      </c>
    </row>
    <row r="153" ht="14.25" customHeight="1">
      <c r="C153" s="71" t="s">
        <v>13589</v>
      </c>
      <c r="D153" s="71" t="s">
        <v>9055</v>
      </c>
    </row>
    <row r="154" ht="14.25" customHeight="1">
      <c r="C154" s="71" t="s">
        <v>80</v>
      </c>
      <c r="D154" s="71" t="s">
        <v>9034</v>
      </c>
    </row>
    <row r="155" ht="14.25" customHeight="1">
      <c r="D155" s="71" t="s">
        <v>9180</v>
      </c>
    </row>
    <row r="156" ht="14.25" customHeight="1">
      <c r="D156" s="71" t="s">
        <v>9219</v>
      </c>
    </row>
    <row r="157" ht="14.25" customHeight="1">
      <c r="D157" s="71" t="s">
        <v>9026</v>
      </c>
    </row>
    <row r="158" ht="14.25" customHeight="1">
      <c r="C158" s="71" t="s">
        <v>7547</v>
      </c>
      <c r="D158" s="71" t="s">
        <v>9131</v>
      </c>
    </row>
    <row r="159" ht="14.25" customHeight="1">
      <c r="C159" s="71" t="s">
        <v>89</v>
      </c>
      <c r="D159" s="71" t="s">
        <v>13590</v>
      </c>
    </row>
    <row r="160" ht="14.25" customHeight="1">
      <c r="C160" s="71" t="s">
        <v>13591</v>
      </c>
      <c r="D160" s="71" t="s">
        <v>13592</v>
      </c>
    </row>
    <row r="161" ht="14.25" customHeight="1">
      <c r="C161" s="71" t="s">
        <v>101</v>
      </c>
      <c r="D161" s="71" t="s">
        <v>9219</v>
      </c>
    </row>
    <row r="162" ht="14.25" customHeight="1">
      <c r="C162" s="71" t="s">
        <v>13593</v>
      </c>
      <c r="D162" s="71" t="s">
        <v>9219</v>
      </c>
    </row>
    <row r="163" ht="14.25" customHeight="1">
      <c r="C163" s="71" t="s">
        <v>13594</v>
      </c>
      <c r="D163" s="71" t="s">
        <v>13595</v>
      </c>
    </row>
    <row r="164" ht="14.25" customHeight="1">
      <c r="C164" s="71" t="s">
        <v>13596</v>
      </c>
      <c r="D164" s="71" t="s">
        <v>9244</v>
      </c>
    </row>
    <row r="165" ht="14.25" customHeight="1">
      <c r="C165" s="71" t="s">
        <v>13597</v>
      </c>
      <c r="D165" s="71" t="s">
        <v>8994</v>
      </c>
    </row>
    <row r="166" ht="14.25" customHeight="1">
      <c r="C166" s="71" t="s">
        <v>1196</v>
      </c>
      <c r="D166" s="71" t="s">
        <v>9180</v>
      </c>
    </row>
    <row r="167" ht="14.25" customHeight="1">
      <c r="D167" s="71" t="s">
        <v>9219</v>
      </c>
    </row>
    <row r="168" ht="14.25" customHeight="1">
      <c r="D168" s="71" t="s">
        <v>10141</v>
      </c>
    </row>
    <row r="169" ht="14.25" customHeight="1">
      <c r="C169" s="71" t="s">
        <v>148</v>
      </c>
      <c r="D169" s="71" t="s">
        <v>9034</v>
      </c>
    </row>
    <row r="170" ht="14.25" customHeight="1">
      <c r="D170" s="71" t="s">
        <v>10124</v>
      </c>
    </row>
    <row r="171" ht="14.25" customHeight="1">
      <c r="C171" s="71" t="s">
        <v>13598</v>
      </c>
      <c r="D171" s="71" t="s">
        <v>8968</v>
      </c>
    </row>
    <row r="172" ht="14.25" customHeight="1">
      <c r="C172" s="71" t="s">
        <v>1417</v>
      </c>
      <c r="D172" s="71" t="s">
        <v>9204</v>
      </c>
    </row>
    <row r="173" ht="14.25" customHeight="1">
      <c r="D173" s="71" t="s">
        <v>9219</v>
      </c>
    </row>
    <row r="174" ht="14.25" customHeight="1">
      <c r="D174" s="71" t="s">
        <v>13599</v>
      </c>
    </row>
    <row r="175" ht="14.25" customHeight="1">
      <c r="D175" s="71" t="s">
        <v>10130</v>
      </c>
    </row>
    <row r="176" ht="14.25" customHeight="1">
      <c r="D176" s="71" t="s">
        <v>8994</v>
      </c>
    </row>
    <row r="177" ht="14.25" customHeight="1">
      <c r="D177" s="71" t="s">
        <v>13600</v>
      </c>
    </row>
    <row r="178" ht="14.25" customHeight="1">
      <c r="C178" s="71" t="s">
        <v>12798</v>
      </c>
      <c r="D178" s="71" t="s">
        <v>9219</v>
      </c>
    </row>
    <row r="179" ht="14.25" customHeight="1">
      <c r="C179" s="71" t="s">
        <v>13601</v>
      </c>
      <c r="D179" s="71" t="s">
        <v>13602</v>
      </c>
    </row>
    <row r="180" ht="14.25" customHeight="1">
      <c r="C180" s="71" t="s">
        <v>13603</v>
      </c>
      <c r="D180" s="71" t="s">
        <v>13604</v>
      </c>
    </row>
    <row r="181" ht="14.25" customHeight="1">
      <c r="C181" s="71" t="s">
        <v>12014</v>
      </c>
      <c r="D181" s="71" t="s">
        <v>13605</v>
      </c>
    </row>
    <row r="182" ht="14.25" customHeight="1">
      <c r="C182" s="71" t="s">
        <v>13606</v>
      </c>
      <c r="D182" s="71" t="s">
        <v>9213</v>
      </c>
    </row>
    <row r="183" ht="14.25" customHeight="1">
      <c r="C183" s="71" t="s">
        <v>188</v>
      </c>
      <c r="D183" s="71" t="s">
        <v>9213</v>
      </c>
    </row>
    <row r="184" ht="14.25" customHeight="1">
      <c r="C184" s="71" t="s">
        <v>211</v>
      </c>
      <c r="D184" s="71" t="s">
        <v>13607</v>
      </c>
    </row>
    <row r="185" ht="14.25" customHeight="1">
      <c r="C185" s="71" t="s">
        <v>217</v>
      </c>
      <c r="D185" s="71" t="s">
        <v>10124</v>
      </c>
    </row>
    <row r="186" ht="14.25" customHeight="1">
      <c r="C186" s="71" t="s">
        <v>3910</v>
      </c>
      <c r="D186" s="71" t="s">
        <v>13608</v>
      </c>
    </row>
    <row r="187" ht="14.25" customHeight="1">
      <c r="C187" s="71" t="s">
        <v>13609</v>
      </c>
      <c r="D187" s="71" t="s">
        <v>9131</v>
      </c>
    </row>
    <row r="188" ht="14.25" customHeight="1">
      <c r="C188" s="71" t="s">
        <v>225</v>
      </c>
      <c r="D188" s="71" t="s">
        <v>9034</v>
      </c>
    </row>
    <row r="189" ht="14.25" customHeight="1">
      <c r="D189" s="71" t="s">
        <v>9131</v>
      </c>
    </row>
    <row r="190" ht="14.25" customHeight="1">
      <c r="D190" s="71" t="s">
        <v>9219</v>
      </c>
    </row>
    <row r="191" ht="14.25" customHeight="1">
      <c r="C191" s="71" t="s">
        <v>13610</v>
      </c>
      <c r="D191" s="71" t="s">
        <v>405</v>
      </c>
    </row>
    <row r="192" ht="14.25" customHeight="1">
      <c r="C192" s="71" t="s">
        <v>10249</v>
      </c>
      <c r="D192" s="71" t="s">
        <v>13611</v>
      </c>
    </row>
    <row r="193" ht="14.25" customHeight="1">
      <c r="C193" s="71" t="s">
        <v>13612</v>
      </c>
      <c r="D193" s="71" t="s">
        <v>13613</v>
      </c>
    </row>
    <row r="194" ht="14.25" customHeight="1">
      <c r="C194" s="71" t="s">
        <v>9215</v>
      </c>
      <c r="D194" s="71" t="s">
        <v>9055</v>
      </c>
    </row>
    <row r="195" ht="14.25" customHeight="1">
      <c r="C195" s="71" t="s">
        <v>245</v>
      </c>
      <c r="D195" s="71" t="s">
        <v>13614</v>
      </c>
    </row>
    <row r="196" ht="14.25" customHeight="1">
      <c r="D196" s="71" t="s">
        <v>9219</v>
      </c>
    </row>
    <row r="197" ht="14.25" customHeight="1">
      <c r="D197" s="71" t="s">
        <v>9043</v>
      </c>
    </row>
    <row r="198" ht="14.25" customHeight="1">
      <c r="C198" s="71" t="s">
        <v>4187</v>
      </c>
      <c r="D198" s="71" t="s">
        <v>9026</v>
      </c>
    </row>
    <row r="199" ht="14.25" customHeight="1">
      <c r="C199" s="71" t="s">
        <v>13615</v>
      </c>
      <c r="D199" s="71" t="s">
        <v>9055</v>
      </c>
    </row>
    <row r="200" ht="14.25" customHeight="1">
      <c r="C200" s="71" t="s">
        <v>261</v>
      </c>
      <c r="D200" s="71" t="s">
        <v>11076</v>
      </c>
    </row>
    <row r="201" ht="14.25" customHeight="1">
      <c r="C201" s="71" t="s">
        <v>8820</v>
      </c>
      <c r="D201" s="71" t="s">
        <v>9043</v>
      </c>
    </row>
    <row r="202" ht="14.25" customHeight="1">
      <c r="C202" s="71" t="s">
        <v>267</v>
      </c>
      <c r="D202" s="71" t="s">
        <v>11430</v>
      </c>
    </row>
    <row r="203" ht="14.25" customHeight="1">
      <c r="C203" s="71" t="s">
        <v>270</v>
      </c>
      <c r="D203" s="71" t="s">
        <v>13616</v>
      </c>
    </row>
    <row r="204" ht="14.25" customHeight="1">
      <c r="C204" s="71" t="s">
        <v>13617</v>
      </c>
      <c r="D204" s="71" t="s">
        <v>9034</v>
      </c>
    </row>
    <row r="205" ht="14.25" customHeight="1">
      <c r="C205" s="71" t="s">
        <v>2230</v>
      </c>
      <c r="D205" s="71" t="s">
        <v>9034</v>
      </c>
    </row>
    <row r="206" ht="14.25" customHeight="1">
      <c r="D206" s="71" t="s">
        <v>9219</v>
      </c>
    </row>
    <row r="207" ht="14.25" customHeight="1">
      <c r="C207" s="71" t="s">
        <v>4487</v>
      </c>
      <c r="D207" s="71" t="s">
        <v>9151</v>
      </c>
    </row>
    <row r="208" ht="14.25" customHeight="1">
      <c r="B208" s="71" t="s">
        <v>41</v>
      </c>
      <c r="C208" s="71" t="s">
        <v>9034</v>
      </c>
      <c r="D208" s="71" t="s">
        <v>8994</v>
      </c>
    </row>
    <row r="209" ht="14.25" customHeight="1">
      <c r="C209" s="71" t="s">
        <v>5740</v>
      </c>
      <c r="D209" s="71" t="s">
        <v>8994</v>
      </c>
    </row>
    <row r="210" ht="14.25" customHeight="1">
      <c r="D210" s="71" t="s">
        <v>9194</v>
      </c>
    </row>
    <row r="211" ht="14.25" customHeight="1">
      <c r="C211" s="71" t="s">
        <v>10147</v>
      </c>
      <c r="D211" s="71" t="s">
        <v>9109</v>
      </c>
    </row>
    <row r="212" ht="14.25" customHeight="1">
      <c r="C212" s="71" t="s">
        <v>76</v>
      </c>
      <c r="D212" s="71" t="s">
        <v>9055</v>
      </c>
    </row>
    <row r="213" ht="14.25" customHeight="1">
      <c r="C213" s="71" t="s">
        <v>13618</v>
      </c>
      <c r="D213" s="71" t="s">
        <v>9151</v>
      </c>
    </row>
    <row r="214" ht="14.25" customHeight="1">
      <c r="C214" s="71" t="s">
        <v>10656</v>
      </c>
      <c r="D214" s="71" t="s">
        <v>13619</v>
      </c>
    </row>
    <row r="215" ht="14.25" customHeight="1">
      <c r="C215" s="71" t="s">
        <v>80</v>
      </c>
      <c r="D215" s="71" t="s">
        <v>8968</v>
      </c>
    </row>
    <row r="216" ht="14.25" customHeight="1">
      <c r="C216" s="71" t="s">
        <v>81</v>
      </c>
      <c r="D216" s="71" t="s">
        <v>13620</v>
      </c>
    </row>
    <row r="217" ht="14.25" customHeight="1">
      <c r="C217" s="71" t="s">
        <v>89</v>
      </c>
      <c r="D217" s="71" t="s">
        <v>11436</v>
      </c>
    </row>
    <row r="218" ht="14.25" customHeight="1">
      <c r="C218" s="71" t="s">
        <v>7652</v>
      </c>
      <c r="D218" s="71" t="s">
        <v>12032</v>
      </c>
    </row>
    <row r="219" ht="14.25" customHeight="1">
      <c r="C219" s="71" t="s">
        <v>10660</v>
      </c>
      <c r="D219" s="71" t="s">
        <v>13621</v>
      </c>
    </row>
    <row r="220" ht="14.25" customHeight="1">
      <c r="C220" s="71" t="s">
        <v>13622</v>
      </c>
      <c r="D220" s="71" t="s">
        <v>9034</v>
      </c>
    </row>
    <row r="221" ht="14.25" customHeight="1">
      <c r="C221" s="71" t="s">
        <v>10723</v>
      </c>
      <c r="D221" s="71" t="s">
        <v>9034</v>
      </c>
    </row>
    <row r="222" ht="14.25" customHeight="1">
      <c r="D222" s="71" t="s">
        <v>13623</v>
      </c>
    </row>
    <row r="223" ht="14.25" customHeight="1">
      <c r="C223" s="71" t="s">
        <v>13624</v>
      </c>
      <c r="D223" s="71" t="s">
        <v>9055</v>
      </c>
    </row>
    <row r="224" ht="14.25" customHeight="1">
      <c r="C224" s="71" t="s">
        <v>11897</v>
      </c>
      <c r="D224" s="71" t="s">
        <v>10610</v>
      </c>
    </row>
    <row r="225" ht="14.25" customHeight="1">
      <c r="C225" s="71" t="s">
        <v>13625</v>
      </c>
      <c r="D225" s="71" t="s">
        <v>9026</v>
      </c>
    </row>
    <row r="226" ht="14.25" customHeight="1">
      <c r="C226" s="71" t="s">
        <v>13626</v>
      </c>
      <c r="D226" s="71" t="s">
        <v>13627</v>
      </c>
    </row>
    <row r="227" ht="14.25" customHeight="1">
      <c r="C227" s="71" t="s">
        <v>13628</v>
      </c>
      <c r="D227" s="71" t="s">
        <v>9189</v>
      </c>
    </row>
    <row r="228" ht="14.25" customHeight="1">
      <c r="C228" s="71" t="s">
        <v>129</v>
      </c>
      <c r="D228" s="71" t="s">
        <v>13629</v>
      </c>
    </row>
    <row r="229" ht="14.25" customHeight="1">
      <c r="C229" s="71" t="s">
        <v>131</v>
      </c>
      <c r="D229" s="71" t="s">
        <v>9187</v>
      </c>
    </row>
    <row r="230" ht="14.25" customHeight="1">
      <c r="C230" s="71" t="s">
        <v>4911</v>
      </c>
      <c r="D230" s="71" t="s">
        <v>8994</v>
      </c>
    </row>
    <row r="231" ht="14.25" customHeight="1">
      <c r="C231" s="71" t="s">
        <v>11473</v>
      </c>
      <c r="D231" s="71" t="s">
        <v>10731</v>
      </c>
    </row>
    <row r="232" ht="14.25" customHeight="1">
      <c r="C232" s="71" t="s">
        <v>10702</v>
      </c>
      <c r="D232" s="71" t="s">
        <v>9219</v>
      </c>
    </row>
    <row r="233" ht="14.25" customHeight="1">
      <c r="D233" s="71" t="s">
        <v>12803</v>
      </c>
    </row>
    <row r="234" ht="14.25" customHeight="1">
      <c r="D234" s="71" t="s">
        <v>13600</v>
      </c>
    </row>
    <row r="235" ht="14.25" customHeight="1">
      <c r="D235" s="71" t="s">
        <v>13630</v>
      </c>
    </row>
    <row r="236" ht="14.25" customHeight="1">
      <c r="C236" s="71" t="s">
        <v>13631</v>
      </c>
      <c r="D236" s="71" t="s">
        <v>9219</v>
      </c>
    </row>
    <row r="237" ht="14.25" customHeight="1">
      <c r="C237" s="71" t="s">
        <v>152</v>
      </c>
      <c r="D237" s="71" t="s">
        <v>9219</v>
      </c>
    </row>
    <row r="238" ht="14.25" customHeight="1">
      <c r="C238" s="71" t="s">
        <v>1283</v>
      </c>
      <c r="D238" s="71" t="s">
        <v>9131</v>
      </c>
    </row>
    <row r="239" ht="14.25" customHeight="1">
      <c r="C239" s="71" t="s">
        <v>159</v>
      </c>
      <c r="D239" s="71" t="s">
        <v>9180</v>
      </c>
    </row>
    <row r="240" ht="14.25" customHeight="1">
      <c r="D240" s="71" t="s">
        <v>10610</v>
      </c>
    </row>
    <row r="241" ht="14.25" customHeight="1">
      <c r="D241" s="71" t="s">
        <v>12419</v>
      </c>
    </row>
    <row r="242" ht="14.25" customHeight="1">
      <c r="D242" s="71" t="s">
        <v>8994</v>
      </c>
    </row>
    <row r="243" ht="14.25" customHeight="1">
      <c r="D243" s="71" t="s">
        <v>13632</v>
      </c>
    </row>
    <row r="244" ht="14.25" customHeight="1">
      <c r="D244" s="71" t="s">
        <v>11458</v>
      </c>
    </row>
    <row r="245" ht="14.25" customHeight="1">
      <c r="D245" s="71" t="s">
        <v>9194</v>
      </c>
    </row>
    <row r="246" ht="14.25" customHeight="1">
      <c r="C246" s="71" t="s">
        <v>8150</v>
      </c>
      <c r="D246" s="71" t="s">
        <v>9055</v>
      </c>
    </row>
    <row r="247" ht="14.25" customHeight="1">
      <c r="C247" s="71" t="s">
        <v>166</v>
      </c>
      <c r="D247" s="71" t="s">
        <v>8994</v>
      </c>
    </row>
    <row r="248" ht="14.25" customHeight="1">
      <c r="C248" s="71" t="s">
        <v>12232</v>
      </c>
      <c r="D248" s="71" t="s">
        <v>13633</v>
      </c>
    </row>
    <row r="249" ht="14.25" customHeight="1">
      <c r="C249" s="71" t="s">
        <v>12038</v>
      </c>
      <c r="D249" s="71" t="s">
        <v>9026</v>
      </c>
    </row>
    <row r="250" ht="14.25" customHeight="1">
      <c r="C250" s="71" t="s">
        <v>11461</v>
      </c>
      <c r="D250" s="71" t="s">
        <v>9026</v>
      </c>
    </row>
    <row r="251" ht="14.25" customHeight="1">
      <c r="C251" s="71" t="s">
        <v>196</v>
      </c>
      <c r="D251" s="71" t="s">
        <v>9831</v>
      </c>
    </row>
    <row r="252" ht="14.25" customHeight="1">
      <c r="C252" s="71" t="s">
        <v>13634</v>
      </c>
      <c r="D252" s="71" t="s">
        <v>13635</v>
      </c>
    </row>
    <row r="253" ht="14.25" customHeight="1">
      <c r="C253" s="71" t="s">
        <v>13636</v>
      </c>
      <c r="D253" s="71" t="s">
        <v>9055</v>
      </c>
    </row>
    <row r="254" ht="14.25" customHeight="1">
      <c r="D254" s="71" t="s">
        <v>13637</v>
      </c>
    </row>
    <row r="255" ht="14.25" customHeight="1">
      <c r="C255" s="71" t="s">
        <v>214</v>
      </c>
      <c r="D255" s="71" t="s">
        <v>9181</v>
      </c>
    </row>
    <row r="256" ht="14.25" customHeight="1">
      <c r="C256" s="71" t="s">
        <v>5436</v>
      </c>
      <c r="D256" s="71" t="s">
        <v>10732</v>
      </c>
    </row>
    <row r="257" ht="14.25" customHeight="1">
      <c r="C257" s="71" t="s">
        <v>13638</v>
      </c>
      <c r="D257" s="71" t="s">
        <v>13639</v>
      </c>
    </row>
    <row r="258" ht="14.25" customHeight="1">
      <c r="C258" s="71" t="s">
        <v>246</v>
      </c>
      <c r="D258" s="71" t="s">
        <v>9044</v>
      </c>
    </row>
    <row r="259" ht="14.25" customHeight="1">
      <c r="C259" s="71" t="s">
        <v>12045</v>
      </c>
      <c r="D259" s="71" t="s">
        <v>9055</v>
      </c>
    </row>
    <row r="260" ht="14.25" customHeight="1">
      <c r="C260" s="71" t="s">
        <v>13640</v>
      </c>
      <c r="D260" s="71" t="s">
        <v>9189</v>
      </c>
    </row>
    <row r="261" ht="14.25" customHeight="1">
      <c r="C261" s="71" t="s">
        <v>13615</v>
      </c>
      <c r="D261" s="71" t="s">
        <v>13641</v>
      </c>
    </row>
    <row r="262" ht="14.25" customHeight="1">
      <c r="D262" s="71" t="s">
        <v>10731</v>
      </c>
    </row>
    <row r="263" ht="14.25" customHeight="1">
      <c r="C263" s="71" t="s">
        <v>12731</v>
      </c>
      <c r="D263" s="71" t="s">
        <v>13642</v>
      </c>
    </row>
    <row r="264" ht="14.25" customHeight="1">
      <c r="C264" s="71" t="s">
        <v>13643</v>
      </c>
      <c r="D264" s="71" t="s">
        <v>13644</v>
      </c>
    </row>
    <row r="265" ht="14.25" customHeight="1">
      <c r="C265" s="71" t="s">
        <v>11465</v>
      </c>
      <c r="D265" s="71" t="s">
        <v>9026</v>
      </c>
    </row>
    <row r="266" ht="14.25" customHeight="1">
      <c r="C266" s="71" t="s">
        <v>13645</v>
      </c>
      <c r="D266" s="71" t="s">
        <v>9216</v>
      </c>
    </row>
    <row r="267" ht="14.25" customHeight="1">
      <c r="C267" s="71" t="s">
        <v>11468</v>
      </c>
      <c r="D267" s="71" t="s">
        <v>10610</v>
      </c>
    </row>
    <row r="268" ht="14.25" customHeight="1">
      <c r="C268" s="71" t="s">
        <v>13646</v>
      </c>
      <c r="D268" s="71" t="s">
        <v>13647</v>
      </c>
    </row>
    <row r="269" ht="14.25" customHeight="1">
      <c r="C269" s="71" t="s">
        <v>286</v>
      </c>
      <c r="D269" s="71" t="s">
        <v>9221</v>
      </c>
    </row>
    <row r="270" ht="14.25" customHeight="1">
      <c r="C270" s="71" t="s">
        <v>13648</v>
      </c>
      <c r="D270" s="71" t="s">
        <v>13649</v>
      </c>
    </row>
    <row r="271" ht="14.25" customHeight="1">
      <c r="C271" s="71" t="s">
        <v>13650</v>
      </c>
      <c r="D271" s="71" t="s">
        <v>9055</v>
      </c>
    </row>
    <row r="272" ht="14.25" customHeight="1">
      <c r="B272" s="71" t="s">
        <v>13</v>
      </c>
      <c r="C272" s="71" t="s">
        <v>9034</v>
      </c>
      <c r="D272" s="71" t="s">
        <v>9174</v>
      </c>
    </row>
    <row r="273" ht="14.25" customHeight="1">
      <c r="C273" s="71" t="s">
        <v>5740</v>
      </c>
      <c r="D273" s="71" t="s">
        <v>13651</v>
      </c>
    </row>
    <row r="274" ht="14.25" customHeight="1">
      <c r="C274" s="71" t="s">
        <v>13652</v>
      </c>
      <c r="D274" s="71" t="s">
        <v>9176</v>
      </c>
    </row>
    <row r="275" ht="14.25" customHeight="1">
      <c r="C275" s="71" t="s">
        <v>13570</v>
      </c>
      <c r="D275" s="71" t="s">
        <v>9380</v>
      </c>
    </row>
    <row r="276" ht="14.25" customHeight="1">
      <c r="C276" s="71" t="s">
        <v>13653</v>
      </c>
      <c r="D276" s="71" t="s">
        <v>13654</v>
      </c>
    </row>
    <row r="277" ht="14.25" customHeight="1">
      <c r="C277" s="71" t="s">
        <v>9090</v>
      </c>
      <c r="D277" s="71" t="s">
        <v>9034</v>
      </c>
    </row>
    <row r="278" ht="14.25" customHeight="1">
      <c r="D278" s="71" t="s">
        <v>13555</v>
      </c>
    </row>
    <row r="279" ht="14.25" customHeight="1">
      <c r="D279" s="71" t="s">
        <v>13655</v>
      </c>
    </row>
    <row r="280" ht="14.25" customHeight="1">
      <c r="C280" s="71" t="s">
        <v>13656</v>
      </c>
      <c r="D280" s="71" t="s">
        <v>11850</v>
      </c>
    </row>
    <row r="281" ht="14.25" customHeight="1">
      <c r="C281" s="71" t="s">
        <v>9437</v>
      </c>
      <c r="D281" s="71" t="s">
        <v>10446</v>
      </c>
    </row>
    <row r="282" ht="14.25" customHeight="1">
      <c r="C282" s="71" t="s">
        <v>13657</v>
      </c>
      <c r="D282" s="71" t="s">
        <v>9174</v>
      </c>
    </row>
    <row r="283" ht="14.25" customHeight="1">
      <c r="C283" s="71" t="s">
        <v>286</v>
      </c>
      <c r="D283" s="71" t="s">
        <v>13658</v>
      </c>
    </row>
    <row r="284" ht="14.25" customHeight="1">
      <c r="C284" s="71" t="s">
        <v>9246</v>
      </c>
      <c r="D284" s="71" t="s">
        <v>9221</v>
      </c>
    </row>
    <row r="285" ht="14.25" customHeight="1">
      <c r="A285" s="71" t="s">
        <v>9299</v>
      </c>
      <c r="B285" s="71" t="s">
        <v>40</v>
      </c>
      <c r="C285" s="71" t="s">
        <v>9034</v>
      </c>
      <c r="D285" s="71" t="s">
        <v>13659</v>
      </c>
    </row>
    <row r="286" ht="14.25" customHeight="1">
      <c r="C286" s="71" t="s">
        <v>10767</v>
      </c>
      <c r="D286" s="71" t="s">
        <v>10219</v>
      </c>
    </row>
    <row r="287" ht="14.25" customHeight="1">
      <c r="C287" s="71" t="s">
        <v>2444</v>
      </c>
      <c r="D287" s="71" t="s">
        <v>12610</v>
      </c>
    </row>
    <row r="288" ht="14.25" customHeight="1">
      <c r="C288" s="71" t="s">
        <v>2812</v>
      </c>
      <c r="D288" s="71" t="s">
        <v>13660</v>
      </c>
    </row>
    <row r="289" ht="14.25" customHeight="1">
      <c r="C289" s="71" t="s">
        <v>6182</v>
      </c>
      <c r="D289" s="71" t="s">
        <v>9430</v>
      </c>
    </row>
    <row r="290" ht="14.25" customHeight="1">
      <c r="C290" s="71" t="s">
        <v>13661</v>
      </c>
      <c r="D290" s="71" t="s">
        <v>8978</v>
      </c>
    </row>
    <row r="291" ht="14.25" customHeight="1">
      <c r="C291" s="71" t="s">
        <v>12061</v>
      </c>
      <c r="D291" s="71" t="s">
        <v>13662</v>
      </c>
    </row>
    <row r="292" ht="14.25" customHeight="1">
      <c r="C292" s="71" t="s">
        <v>312</v>
      </c>
      <c r="D292" s="71" t="s">
        <v>13663</v>
      </c>
    </row>
    <row r="293" ht="14.25" customHeight="1">
      <c r="C293" s="71" t="s">
        <v>262</v>
      </c>
      <c r="D293" s="71" t="s">
        <v>9086</v>
      </c>
    </row>
    <row r="294" ht="14.25" customHeight="1">
      <c r="B294" s="71" t="s">
        <v>41</v>
      </c>
      <c r="C294" s="71" t="s">
        <v>8969</v>
      </c>
      <c r="D294" s="71" t="s">
        <v>9256</v>
      </c>
    </row>
    <row r="295" ht="14.25" customHeight="1">
      <c r="C295" s="71" t="s">
        <v>3138</v>
      </c>
      <c r="D295" s="71" t="s">
        <v>8978</v>
      </c>
    </row>
    <row r="296" ht="14.25" customHeight="1">
      <c r="B296" s="71" t="s">
        <v>13</v>
      </c>
      <c r="C296" s="71" t="s">
        <v>90</v>
      </c>
      <c r="D296" s="71" t="s">
        <v>10605</v>
      </c>
    </row>
    <row r="297" ht="14.25" customHeight="1">
      <c r="A297" s="71" t="s">
        <v>9309</v>
      </c>
      <c r="B297" s="71" t="s">
        <v>40</v>
      </c>
      <c r="C297" s="71" t="s">
        <v>2444</v>
      </c>
      <c r="D297" s="71" t="s">
        <v>13664</v>
      </c>
    </row>
    <row r="298" ht="14.25" customHeight="1">
      <c r="C298" s="71" t="s">
        <v>9351</v>
      </c>
      <c r="D298" s="71" t="s">
        <v>13665</v>
      </c>
    </row>
    <row r="299" ht="14.25" customHeight="1">
      <c r="C299" s="71" t="s">
        <v>10660</v>
      </c>
      <c r="D299" s="71" t="s">
        <v>8978</v>
      </c>
    </row>
    <row r="300" ht="14.25" customHeight="1">
      <c r="C300" s="71" t="s">
        <v>10962</v>
      </c>
      <c r="D300" s="71" t="s">
        <v>9131</v>
      </c>
    </row>
    <row r="301" ht="14.25" customHeight="1">
      <c r="C301" s="71" t="s">
        <v>10387</v>
      </c>
      <c r="D301" s="71" t="s">
        <v>13666</v>
      </c>
    </row>
    <row r="302" ht="14.25" customHeight="1">
      <c r="C302" s="71" t="s">
        <v>13667</v>
      </c>
      <c r="D302" s="71" t="s">
        <v>13668</v>
      </c>
    </row>
    <row r="303" ht="14.25" customHeight="1">
      <c r="C303" s="71" t="s">
        <v>153</v>
      </c>
      <c r="D303" s="71" t="s">
        <v>9341</v>
      </c>
    </row>
    <row r="304" ht="14.25" customHeight="1">
      <c r="C304" s="71" t="s">
        <v>13669</v>
      </c>
      <c r="D304" s="71" t="s">
        <v>8978</v>
      </c>
    </row>
    <row r="305" ht="14.25" customHeight="1">
      <c r="C305" s="71" t="s">
        <v>3566</v>
      </c>
      <c r="D305" s="71" t="s">
        <v>8978</v>
      </c>
    </row>
    <row r="306" ht="14.25" customHeight="1">
      <c r="C306" s="71" t="s">
        <v>9277</v>
      </c>
      <c r="D306" s="71" t="s">
        <v>9574</v>
      </c>
    </row>
    <row r="307" ht="14.25" customHeight="1">
      <c r="C307" s="71" t="s">
        <v>13670</v>
      </c>
      <c r="D307" s="71" t="s">
        <v>8978</v>
      </c>
    </row>
    <row r="308" ht="14.25" customHeight="1">
      <c r="C308" s="71" t="s">
        <v>13671</v>
      </c>
      <c r="D308" s="71" t="s">
        <v>11610</v>
      </c>
    </row>
    <row r="309" ht="14.25" customHeight="1">
      <c r="C309" s="71" t="s">
        <v>218</v>
      </c>
      <c r="D309" s="71" t="s">
        <v>9258</v>
      </c>
    </row>
    <row r="310" ht="14.25" customHeight="1">
      <c r="C310" s="71" t="s">
        <v>12129</v>
      </c>
      <c r="D310" s="71" t="s">
        <v>8978</v>
      </c>
    </row>
    <row r="311" ht="14.25" customHeight="1">
      <c r="C311" s="71" t="s">
        <v>8576</v>
      </c>
      <c r="D311" s="71" t="s">
        <v>11367</v>
      </c>
    </row>
    <row r="312" ht="14.25" customHeight="1">
      <c r="C312" s="71" t="s">
        <v>13672</v>
      </c>
      <c r="D312" s="71" t="s">
        <v>13673</v>
      </c>
    </row>
    <row r="313" ht="14.25" customHeight="1">
      <c r="C313" s="71" t="s">
        <v>10874</v>
      </c>
      <c r="D313" s="71" t="s">
        <v>10185</v>
      </c>
    </row>
    <row r="314" ht="14.25" customHeight="1">
      <c r="C314" s="71" t="s">
        <v>262</v>
      </c>
      <c r="D314" s="71" t="s">
        <v>9525</v>
      </c>
    </row>
    <row r="315" ht="14.25" customHeight="1">
      <c r="C315" s="71" t="s">
        <v>11080</v>
      </c>
      <c r="D315" s="71" t="s">
        <v>13674</v>
      </c>
    </row>
    <row r="316" ht="14.25" customHeight="1">
      <c r="C316" s="71" t="s">
        <v>13675</v>
      </c>
      <c r="D316" s="71" t="s">
        <v>8978</v>
      </c>
    </row>
    <row r="317" ht="14.25" customHeight="1">
      <c r="B317" s="71" t="s">
        <v>41</v>
      </c>
      <c r="C317" s="71" t="s">
        <v>8969</v>
      </c>
      <c r="D317" s="71" t="s">
        <v>11478</v>
      </c>
    </row>
    <row r="318" ht="14.25" customHeight="1">
      <c r="C318" s="71" t="s">
        <v>9313</v>
      </c>
      <c r="D318" s="71" t="s">
        <v>13676</v>
      </c>
    </row>
    <row r="319" ht="14.25" customHeight="1">
      <c r="D319" s="71" t="s">
        <v>10223</v>
      </c>
    </row>
    <row r="320" ht="14.25" customHeight="1">
      <c r="C320" s="71" t="s">
        <v>10628</v>
      </c>
      <c r="D320" s="71" t="s">
        <v>9354</v>
      </c>
    </row>
    <row r="321" ht="14.25" customHeight="1">
      <c r="C321" s="71" t="s">
        <v>6031</v>
      </c>
      <c r="D321" s="71" t="s">
        <v>10270</v>
      </c>
    </row>
    <row r="322" ht="14.25" customHeight="1">
      <c r="C322" s="71" t="s">
        <v>10807</v>
      </c>
      <c r="D322" s="71" t="s">
        <v>13677</v>
      </c>
    </row>
    <row r="323" ht="14.25" customHeight="1">
      <c r="C323" s="71" t="s">
        <v>13678</v>
      </c>
      <c r="D323" s="71" t="s">
        <v>9326</v>
      </c>
    </row>
    <row r="324" ht="14.25" customHeight="1">
      <c r="C324" s="71" t="s">
        <v>13679</v>
      </c>
      <c r="D324" s="71" t="s">
        <v>8978</v>
      </c>
    </row>
    <row r="325" ht="14.25" customHeight="1">
      <c r="C325" s="71" t="s">
        <v>13680</v>
      </c>
      <c r="D325" s="71" t="s">
        <v>8968</v>
      </c>
    </row>
    <row r="326" ht="14.25" customHeight="1">
      <c r="C326" s="71" t="s">
        <v>9333</v>
      </c>
      <c r="D326" s="71" t="s">
        <v>8968</v>
      </c>
    </row>
    <row r="327" ht="14.25" customHeight="1">
      <c r="B327" s="71" t="s">
        <v>13</v>
      </c>
      <c r="C327" s="71" t="s">
        <v>9313</v>
      </c>
      <c r="D327" s="71" t="s">
        <v>13681</v>
      </c>
    </row>
    <row r="328" ht="14.25" customHeight="1">
      <c r="C328" s="71" t="s">
        <v>10184</v>
      </c>
      <c r="D328" s="71" t="s">
        <v>13682</v>
      </c>
    </row>
    <row r="329" ht="14.25" customHeight="1">
      <c r="C329" s="71" t="s">
        <v>13683</v>
      </c>
      <c r="D329" s="71" t="s">
        <v>12210</v>
      </c>
    </row>
    <row r="330" ht="14.25" customHeight="1">
      <c r="A330" s="71" t="s">
        <v>9339</v>
      </c>
      <c r="B330" s="71" t="s">
        <v>40</v>
      </c>
      <c r="C330" s="71" t="s">
        <v>13684</v>
      </c>
      <c r="D330" s="71" t="s">
        <v>8978</v>
      </c>
    </row>
    <row r="331" ht="14.25" customHeight="1">
      <c r="C331" s="71" t="s">
        <v>8969</v>
      </c>
      <c r="D331" s="71" t="s">
        <v>9034</v>
      </c>
    </row>
    <row r="332" ht="14.25" customHeight="1">
      <c r="D332" s="71" t="s">
        <v>9258</v>
      </c>
    </row>
    <row r="333" ht="14.25" customHeight="1">
      <c r="D333" s="71" t="s">
        <v>9256</v>
      </c>
    </row>
    <row r="334" ht="14.25" customHeight="1">
      <c r="D334" s="71" t="s">
        <v>11478</v>
      </c>
    </row>
    <row r="335" ht="14.25" customHeight="1">
      <c r="C335" s="71" t="s">
        <v>2379</v>
      </c>
      <c r="D335" s="71" t="s">
        <v>13685</v>
      </c>
    </row>
    <row r="336" ht="14.25" customHeight="1">
      <c r="D336" s="71" t="s">
        <v>9258</v>
      </c>
    </row>
    <row r="337" ht="14.25" customHeight="1">
      <c r="C337" s="71" t="s">
        <v>11684</v>
      </c>
      <c r="D337" s="71" t="s">
        <v>8978</v>
      </c>
    </row>
    <row r="338" ht="14.25" customHeight="1">
      <c r="C338" s="71" t="s">
        <v>13686</v>
      </c>
      <c r="D338" s="71" t="s">
        <v>9034</v>
      </c>
    </row>
    <row r="339" ht="14.25" customHeight="1">
      <c r="C339" s="71" t="s">
        <v>13687</v>
      </c>
      <c r="D339" s="71" t="s">
        <v>9258</v>
      </c>
    </row>
    <row r="340" ht="14.25" customHeight="1">
      <c r="C340" s="71" t="s">
        <v>92</v>
      </c>
      <c r="D340" s="71" t="s">
        <v>9354</v>
      </c>
    </row>
    <row r="341" ht="14.25" customHeight="1">
      <c r="C341" s="71" t="s">
        <v>2669</v>
      </c>
      <c r="D341" s="71" t="s">
        <v>9034</v>
      </c>
    </row>
    <row r="342" ht="14.25" customHeight="1">
      <c r="D342" s="71" t="s">
        <v>13688</v>
      </c>
    </row>
    <row r="343" ht="14.25" customHeight="1">
      <c r="C343" s="71" t="s">
        <v>13689</v>
      </c>
      <c r="D343" s="71" t="s">
        <v>8978</v>
      </c>
    </row>
    <row r="344" ht="14.25" customHeight="1">
      <c r="C344" s="71" t="s">
        <v>13690</v>
      </c>
      <c r="D344" s="71" t="s">
        <v>8978</v>
      </c>
    </row>
    <row r="345" ht="14.25" customHeight="1">
      <c r="C345" s="71" t="s">
        <v>2798</v>
      </c>
      <c r="D345" s="71" t="s">
        <v>8978</v>
      </c>
    </row>
    <row r="346" ht="14.25" customHeight="1">
      <c r="C346" s="71" t="s">
        <v>13691</v>
      </c>
      <c r="D346" s="71" t="s">
        <v>9258</v>
      </c>
    </row>
    <row r="347" ht="14.25" customHeight="1">
      <c r="C347" s="71" t="s">
        <v>916</v>
      </c>
      <c r="D347" s="71" t="s">
        <v>8978</v>
      </c>
    </row>
    <row r="348" ht="14.25" customHeight="1">
      <c r="C348" s="71" t="s">
        <v>6182</v>
      </c>
      <c r="D348" s="71" t="s">
        <v>10806</v>
      </c>
    </row>
    <row r="349" ht="14.25" customHeight="1">
      <c r="D349" s="71" t="s">
        <v>9266</v>
      </c>
    </row>
    <row r="350" ht="14.25" customHeight="1">
      <c r="C350" s="71" t="s">
        <v>124</v>
      </c>
      <c r="D350" s="71" t="s">
        <v>9258</v>
      </c>
    </row>
    <row r="351" ht="14.25" customHeight="1">
      <c r="C351" s="71" t="s">
        <v>2972</v>
      </c>
      <c r="D351" s="71" t="s">
        <v>8978</v>
      </c>
    </row>
    <row r="352" ht="14.25" customHeight="1">
      <c r="C352" s="71" t="s">
        <v>13692</v>
      </c>
      <c r="D352" s="71" t="s">
        <v>9258</v>
      </c>
    </row>
    <row r="353" ht="14.25" customHeight="1">
      <c r="C353" s="71" t="s">
        <v>9133</v>
      </c>
      <c r="D353" s="71" t="s">
        <v>13693</v>
      </c>
    </row>
    <row r="354" ht="14.25" customHeight="1">
      <c r="C354" s="71" t="s">
        <v>12058</v>
      </c>
      <c r="D354" s="71" t="s">
        <v>13694</v>
      </c>
    </row>
    <row r="355" ht="14.25" customHeight="1">
      <c r="C355" s="71" t="s">
        <v>10814</v>
      </c>
      <c r="D355" s="71" t="s">
        <v>10815</v>
      </c>
    </row>
    <row r="356" ht="14.25" customHeight="1">
      <c r="C356" s="71" t="s">
        <v>3138</v>
      </c>
      <c r="D356" s="71" t="s">
        <v>8978</v>
      </c>
    </row>
    <row r="357" ht="14.25" customHeight="1">
      <c r="C357" s="71" t="s">
        <v>9374</v>
      </c>
      <c r="D357" s="71" t="s">
        <v>9034</v>
      </c>
    </row>
    <row r="358" ht="14.25" customHeight="1">
      <c r="C358" s="71" t="s">
        <v>6405</v>
      </c>
      <c r="D358" s="71" t="s">
        <v>12092</v>
      </c>
    </row>
    <row r="359" ht="14.25" customHeight="1">
      <c r="C359" s="71" t="s">
        <v>13695</v>
      </c>
      <c r="D359" s="71" t="s">
        <v>9034</v>
      </c>
    </row>
    <row r="360" ht="14.25" customHeight="1">
      <c r="C360" s="71" t="s">
        <v>9329</v>
      </c>
      <c r="D360" s="71" t="s">
        <v>13696</v>
      </c>
    </row>
    <row r="361" ht="14.25" customHeight="1">
      <c r="C361" s="71" t="s">
        <v>12061</v>
      </c>
      <c r="D361" s="71" t="s">
        <v>8978</v>
      </c>
    </row>
    <row r="362" ht="14.25" customHeight="1">
      <c r="C362" s="71" t="s">
        <v>13697</v>
      </c>
      <c r="D362" s="71" t="s">
        <v>8978</v>
      </c>
    </row>
    <row r="363" ht="14.25" customHeight="1">
      <c r="C363" s="71" t="s">
        <v>13698</v>
      </c>
      <c r="D363" s="71" t="s">
        <v>8978</v>
      </c>
    </row>
    <row r="364" ht="14.25" customHeight="1">
      <c r="C364" s="71" t="s">
        <v>6654</v>
      </c>
      <c r="D364" s="71" t="s">
        <v>9258</v>
      </c>
    </row>
    <row r="365" ht="14.25" customHeight="1">
      <c r="C365" s="71" t="s">
        <v>9277</v>
      </c>
      <c r="D365" s="71" t="s">
        <v>8978</v>
      </c>
    </row>
    <row r="366" ht="14.25" customHeight="1">
      <c r="C366" s="71" t="s">
        <v>13699</v>
      </c>
      <c r="D366" s="71" t="s">
        <v>8978</v>
      </c>
    </row>
    <row r="367" ht="14.25" customHeight="1">
      <c r="C367" s="71" t="s">
        <v>10831</v>
      </c>
      <c r="D367" s="71" t="s">
        <v>9291</v>
      </c>
    </row>
    <row r="368" ht="14.25" customHeight="1">
      <c r="C368" s="71" t="s">
        <v>10832</v>
      </c>
      <c r="D368" s="71" t="s">
        <v>8978</v>
      </c>
    </row>
    <row r="369" ht="14.25" customHeight="1">
      <c r="C369" s="71" t="s">
        <v>13700</v>
      </c>
      <c r="D369" s="71" t="s">
        <v>9034</v>
      </c>
    </row>
    <row r="370" ht="14.25" customHeight="1">
      <c r="C370" s="71" t="s">
        <v>10833</v>
      </c>
      <c r="D370" s="71" t="s">
        <v>8978</v>
      </c>
    </row>
    <row r="371" ht="14.25" customHeight="1">
      <c r="C371" s="71" t="s">
        <v>13701</v>
      </c>
      <c r="D371" s="71" t="s">
        <v>13702</v>
      </c>
    </row>
    <row r="372" ht="14.25" customHeight="1">
      <c r="C372" s="71" t="s">
        <v>4035</v>
      </c>
      <c r="D372" s="71" t="s">
        <v>12385</v>
      </c>
    </row>
    <row r="373" ht="14.25" customHeight="1">
      <c r="C373" s="71" t="s">
        <v>13703</v>
      </c>
      <c r="D373" s="71" t="s">
        <v>9258</v>
      </c>
    </row>
    <row r="374" ht="14.25" customHeight="1">
      <c r="C374" s="71" t="s">
        <v>4281</v>
      </c>
      <c r="D374" s="71" t="s">
        <v>8978</v>
      </c>
    </row>
    <row r="375" ht="14.25" customHeight="1">
      <c r="C375" s="71" t="s">
        <v>11080</v>
      </c>
      <c r="D375" s="71" t="s">
        <v>9274</v>
      </c>
    </row>
    <row r="376" ht="14.25" customHeight="1">
      <c r="C376" s="71" t="s">
        <v>11864</v>
      </c>
      <c r="D376" s="71" t="s">
        <v>9319</v>
      </c>
    </row>
    <row r="377" ht="14.25" customHeight="1">
      <c r="C377" s="71" t="s">
        <v>13704</v>
      </c>
      <c r="D377" s="71" t="s">
        <v>8978</v>
      </c>
    </row>
    <row r="378" ht="14.25" customHeight="1">
      <c r="C378" s="71" t="s">
        <v>13705</v>
      </c>
      <c r="D378" s="71" t="s">
        <v>9380</v>
      </c>
    </row>
    <row r="379" ht="14.25" customHeight="1">
      <c r="C379" s="71" t="s">
        <v>274</v>
      </c>
      <c r="D379" s="71" t="s">
        <v>13706</v>
      </c>
    </row>
    <row r="380" ht="14.25" customHeight="1">
      <c r="C380" s="71" t="s">
        <v>10851</v>
      </c>
      <c r="D380" s="71" t="s">
        <v>11514</v>
      </c>
    </row>
    <row r="381" ht="14.25" customHeight="1">
      <c r="C381" s="71" t="s">
        <v>9295</v>
      </c>
      <c r="D381" s="71" t="s">
        <v>8978</v>
      </c>
    </row>
    <row r="382" ht="14.25" customHeight="1">
      <c r="B382" s="71" t="s">
        <v>41</v>
      </c>
      <c r="C382" s="71" t="s">
        <v>9329</v>
      </c>
      <c r="D382" s="71" t="s">
        <v>9131</v>
      </c>
    </row>
    <row r="383" ht="14.25" customHeight="1">
      <c r="C383" s="71" t="s">
        <v>3566</v>
      </c>
      <c r="D383" s="71" t="s">
        <v>11511</v>
      </c>
    </row>
    <row r="384" ht="14.25" customHeight="1">
      <c r="C384" s="71" t="s">
        <v>13707</v>
      </c>
      <c r="D384" s="71" t="s">
        <v>10204</v>
      </c>
    </row>
    <row r="385" ht="14.25" customHeight="1">
      <c r="C385" s="71" t="s">
        <v>10762</v>
      </c>
      <c r="D385" s="71" t="s">
        <v>13708</v>
      </c>
    </row>
    <row r="386" ht="14.25" customHeight="1">
      <c r="B386" s="71" t="s">
        <v>13</v>
      </c>
      <c r="C386" s="71" t="s">
        <v>13709</v>
      </c>
      <c r="D386" s="71" t="s">
        <v>13710</v>
      </c>
    </row>
    <row r="387" ht="14.25" customHeight="1">
      <c r="C387" s="71" t="s">
        <v>13652</v>
      </c>
      <c r="D387" s="71" t="s">
        <v>13710</v>
      </c>
    </row>
    <row r="388" ht="14.25" customHeight="1">
      <c r="C388" s="71" t="s">
        <v>9277</v>
      </c>
      <c r="D388" s="71" t="s">
        <v>10202</v>
      </c>
    </row>
    <row r="389" ht="14.25" customHeight="1">
      <c r="C389" s="71" t="s">
        <v>13711</v>
      </c>
      <c r="D389" s="71" t="s">
        <v>13712</v>
      </c>
    </row>
    <row r="390" ht="14.25" customHeight="1">
      <c r="C390" s="71" t="s">
        <v>13713</v>
      </c>
      <c r="D390" s="71" t="s">
        <v>9440</v>
      </c>
    </row>
    <row r="391" ht="14.25" customHeight="1">
      <c r="C391" s="71" t="s">
        <v>13714</v>
      </c>
      <c r="D391" s="71" t="s">
        <v>13528</v>
      </c>
    </row>
    <row r="392" ht="14.25" customHeight="1">
      <c r="A392" s="71" t="s">
        <v>9443</v>
      </c>
      <c r="B392" s="71" t="s">
        <v>40</v>
      </c>
      <c r="C392" s="71" t="s">
        <v>2379</v>
      </c>
      <c r="D392" s="71" t="s">
        <v>12154</v>
      </c>
    </row>
    <row r="393" ht="14.25" customHeight="1">
      <c r="D393" s="71" t="s">
        <v>10815</v>
      </c>
    </row>
    <row r="394" ht="14.25" customHeight="1">
      <c r="C394" s="71" t="s">
        <v>13715</v>
      </c>
      <c r="D394" s="71" t="s">
        <v>8978</v>
      </c>
    </row>
    <row r="395" ht="14.25" customHeight="1">
      <c r="C395" s="71" t="s">
        <v>274</v>
      </c>
      <c r="D395" s="71" t="s">
        <v>8978</v>
      </c>
    </row>
    <row r="396" ht="14.25" customHeight="1">
      <c r="A396" s="71" t="s">
        <v>9457</v>
      </c>
      <c r="B396" s="71" t="s">
        <v>40</v>
      </c>
      <c r="C396" s="71" t="s">
        <v>9034</v>
      </c>
      <c r="D396" s="71" t="s">
        <v>9265</v>
      </c>
    </row>
    <row r="397" ht="14.25" customHeight="1">
      <c r="C397" s="71" t="s">
        <v>13716</v>
      </c>
      <c r="D397" s="71" t="s">
        <v>8978</v>
      </c>
    </row>
    <row r="398" ht="14.25" customHeight="1">
      <c r="C398" s="71" t="s">
        <v>10767</v>
      </c>
      <c r="D398" s="71" t="s">
        <v>13717</v>
      </c>
    </row>
    <row r="399" ht="14.25" customHeight="1">
      <c r="C399" s="71" t="s">
        <v>2319</v>
      </c>
      <c r="D399" s="71" t="s">
        <v>9034</v>
      </c>
    </row>
    <row r="400" ht="14.25" customHeight="1">
      <c r="C400" s="71" t="s">
        <v>13718</v>
      </c>
      <c r="D400" s="71" t="s">
        <v>13719</v>
      </c>
    </row>
    <row r="401" ht="14.25" customHeight="1">
      <c r="C401" s="71" t="s">
        <v>9257</v>
      </c>
      <c r="D401" s="71" t="s">
        <v>13720</v>
      </c>
    </row>
    <row r="402" ht="14.25" customHeight="1">
      <c r="C402" s="71" t="s">
        <v>9313</v>
      </c>
      <c r="D402" s="71" t="s">
        <v>13721</v>
      </c>
    </row>
    <row r="403" ht="14.25" customHeight="1">
      <c r="C403" s="71" t="s">
        <v>68</v>
      </c>
      <c r="D403" s="71" t="s">
        <v>9265</v>
      </c>
    </row>
    <row r="404" ht="14.25" customHeight="1">
      <c r="C404" s="71" t="s">
        <v>13722</v>
      </c>
      <c r="D404" s="71" t="s">
        <v>9474</v>
      </c>
    </row>
    <row r="405" ht="14.25" customHeight="1">
      <c r="C405" s="71" t="s">
        <v>13723</v>
      </c>
      <c r="D405" s="71" t="s">
        <v>11993</v>
      </c>
    </row>
    <row r="406" ht="14.25" customHeight="1">
      <c r="C406" s="71" t="s">
        <v>81</v>
      </c>
      <c r="D406" s="71" t="s">
        <v>9034</v>
      </c>
    </row>
    <row r="407" ht="14.25" customHeight="1">
      <c r="D407" s="71" t="s">
        <v>10224</v>
      </c>
    </row>
    <row r="408" ht="14.25" customHeight="1">
      <c r="C408" s="71" t="s">
        <v>1889</v>
      </c>
      <c r="D408" s="71" t="s">
        <v>13724</v>
      </c>
    </row>
    <row r="409" ht="14.25" customHeight="1">
      <c r="C409" s="71" t="s">
        <v>10660</v>
      </c>
      <c r="D409" s="71" t="s">
        <v>13725</v>
      </c>
    </row>
    <row r="410" ht="14.25" customHeight="1">
      <c r="C410" s="71" t="s">
        <v>6057</v>
      </c>
      <c r="D410" s="71" t="s">
        <v>9545</v>
      </c>
    </row>
    <row r="411" ht="14.25" customHeight="1">
      <c r="C411" s="71" t="s">
        <v>11754</v>
      </c>
      <c r="D411" s="71" t="s">
        <v>13726</v>
      </c>
    </row>
    <row r="412" ht="14.25" customHeight="1">
      <c r="C412" s="71" t="s">
        <v>10962</v>
      </c>
      <c r="D412" s="71" t="s">
        <v>9131</v>
      </c>
    </row>
    <row r="413" ht="14.25" customHeight="1">
      <c r="C413" s="71" t="s">
        <v>12950</v>
      </c>
      <c r="D413" s="71" t="s">
        <v>13727</v>
      </c>
    </row>
    <row r="414" ht="14.25" customHeight="1">
      <c r="C414" s="71" t="s">
        <v>11773</v>
      </c>
      <c r="D414" s="71" t="s">
        <v>10229</v>
      </c>
    </row>
    <row r="415" ht="14.25" customHeight="1">
      <c r="C415" s="71" t="s">
        <v>10744</v>
      </c>
      <c r="D415" s="71" t="s">
        <v>9324</v>
      </c>
    </row>
    <row r="416" ht="14.25" customHeight="1">
      <c r="C416" s="71" t="s">
        <v>9133</v>
      </c>
      <c r="D416" s="71" t="s">
        <v>9485</v>
      </c>
    </row>
    <row r="417" ht="14.25" customHeight="1">
      <c r="D417" s="71" t="s">
        <v>9071</v>
      </c>
    </row>
    <row r="418" ht="14.25" customHeight="1">
      <c r="C418" s="71" t="s">
        <v>6322</v>
      </c>
      <c r="D418" s="71" t="s">
        <v>13728</v>
      </c>
    </row>
    <row r="419" ht="14.25" customHeight="1">
      <c r="C419" s="71" t="s">
        <v>12115</v>
      </c>
      <c r="D419" s="71" t="s">
        <v>11176</v>
      </c>
    </row>
    <row r="420" ht="14.25" customHeight="1">
      <c r="C420" s="71" t="s">
        <v>307</v>
      </c>
      <c r="D420" s="71" t="s">
        <v>9315</v>
      </c>
    </row>
    <row r="421" ht="14.25" customHeight="1">
      <c r="C421" s="71" t="s">
        <v>153</v>
      </c>
      <c r="D421" s="71" t="s">
        <v>11493</v>
      </c>
    </row>
    <row r="422" ht="14.25" customHeight="1">
      <c r="C422" s="71" t="s">
        <v>157</v>
      </c>
      <c r="D422" s="71" t="s">
        <v>9265</v>
      </c>
    </row>
    <row r="423" ht="14.25" customHeight="1">
      <c r="C423" s="71" t="s">
        <v>12963</v>
      </c>
      <c r="D423" s="71" t="s">
        <v>11176</v>
      </c>
    </row>
    <row r="424" ht="14.25" customHeight="1">
      <c r="C424" s="71" t="s">
        <v>312</v>
      </c>
      <c r="D424" s="71" t="s">
        <v>9034</v>
      </c>
    </row>
    <row r="425" ht="14.25" customHeight="1">
      <c r="D425" s="71" t="s">
        <v>10224</v>
      </c>
    </row>
    <row r="426" ht="14.25" customHeight="1">
      <c r="D426" s="71" t="s">
        <v>8978</v>
      </c>
    </row>
    <row r="427" ht="14.25" customHeight="1">
      <c r="C427" s="71" t="s">
        <v>3566</v>
      </c>
      <c r="D427" s="71" t="s">
        <v>9486</v>
      </c>
    </row>
    <row r="428" ht="14.25" customHeight="1">
      <c r="D428" s="71" t="s">
        <v>8978</v>
      </c>
    </row>
    <row r="429" ht="14.25" customHeight="1">
      <c r="C429" s="71" t="s">
        <v>13729</v>
      </c>
      <c r="D429" s="71" t="s">
        <v>9118</v>
      </c>
    </row>
    <row r="430" ht="14.25" customHeight="1">
      <c r="C430" s="71" t="s">
        <v>9277</v>
      </c>
      <c r="D430" s="71" t="s">
        <v>8978</v>
      </c>
    </row>
    <row r="431" ht="14.25" customHeight="1">
      <c r="C431" s="71" t="s">
        <v>13730</v>
      </c>
      <c r="D431" s="71" t="s">
        <v>13731</v>
      </c>
    </row>
    <row r="432" ht="14.25" customHeight="1">
      <c r="C432" s="71" t="s">
        <v>200</v>
      </c>
      <c r="D432" s="71" t="s">
        <v>10224</v>
      </c>
    </row>
    <row r="433" ht="14.25" customHeight="1">
      <c r="C433" s="71" t="s">
        <v>211</v>
      </c>
      <c r="D433" s="71" t="s">
        <v>10224</v>
      </c>
    </row>
    <row r="434" ht="14.25" customHeight="1">
      <c r="C434" s="71" t="s">
        <v>215</v>
      </c>
      <c r="D434" s="71" t="s">
        <v>13732</v>
      </c>
    </row>
    <row r="435" ht="14.25" customHeight="1">
      <c r="C435" s="71" t="s">
        <v>13701</v>
      </c>
      <c r="D435" s="71" t="s">
        <v>10197</v>
      </c>
    </row>
    <row r="436" ht="14.25" customHeight="1">
      <c r="C436" s="71" t="s">
        <v>1743</v>
      </c>
      <c r="D436" s="71" t="s">
        <v>12190</v>
      </c>
    </row>
    <row r="437" ht="14.25" customHeight="1">
      <c r="C437" s="71" t="s">
        <v>225</v>
      </c>
      <c r="D437" s="71" t="s">
        <v>9131</v>
      </c>
    </row>
    <row r="438" ht="14.25" customHeight="1">
      <c r="C438" s="71" t="s">
        <v>8576</v>
      </c>
      <c r="D438" s="71" t="s">
        <v>13733</v>
      </c>
    </row>
    <row r="439" ht="14.25" customHeight="1">
      <c r="D439" s="71" t="s">
        <v>11367</v>
      </c>
    </row>
    <row r="440" ht="14.25" customHeight="1">
      <c r="C440" s="71" t="s">
        <v>4035</v>
      </c>
      <c r="D440" s="71" t="s">
        <v>9034</v>
      </c>
    </row>
    <row r="441" ht="14.25" customHeight="1">
      <c r="D441" s="71" t="s">
        <v>9265</v>
      </c>
    </row>
    <row r="442" ht="14.25" customHeight="1">
      <c r="D442" s="71" t="s">
        <v>10124</v>
      </c>
    </row>
    <row r="443" ht="14.25" customHeight="1">
      <c r="C443" s="71" t="s">
        <v>4165</v>
      </c>
      <c r="D443" s="71" t="s">
        <v>8978</v>
      </c>
    </row>
    <row r="444" ht="14.25" customHeight="1">
      <c r="C444" s="71" t="s">
        <v>9090</v>
      </c>
      <c r="D444" s="71" t="s">
        <v>9095</v>
      </c>
    </row>
    <row r="445" ht="14.25" customHeight="1">
      <c r="C445" s="71" t="s">
        <v>262</v>
      </c>
      <c r="D445" s="71" t="s">
        <v>10270</v>
      </c>
    </row>
    <row r="446" ht="14.25" customHeight="1">
      <c r="D446" s="71" t="s">
        <v>9292</v>
      </c>
    </row>
    <row r="447" ht="14.25" customHeight="1">
      <c r="D447" s="71" t="s">
        <v>13734</v>
      </c>
    </row>
    <row r="448" ht="14.25" customHeight="1">
      <c r="D448" s="71" t="s">
        <v>9118</v>
      </c>
    </row>
    <row r="449" ht="14.25" customHeight="1">
      <c r="D449" s="71" t="s">
        <v>9086</v>
      </c>
    </row>
    <row r="450" ht="14.25" customHeight="1">
      <c r="C450" s="71" t="s">
        <v>13735</v>
      </c>
      <c r="D450" s="71" t="s">
        <v>13736</v>
      </c>
    </row>
    <row r="451" ht="14.25" customHeight="1">
      <c r="C451" s="71" t="s">
        <v>12397</v>
      </c>
      <c r="D451" s="71" t="s">
        <v>13737</v>
      </c>
    </row>
    <row r="452" ht="14.25" customHeight="1">
      <c r="C452" s="71" t="s">
        <v>2230</v>
      </c>
      <c r="D452" s="71" t="s">
        <v>13725</v>
      </c>
    </row>
    <row r="453" ht="14.25" customHeight="1">
      <c r="B453" s="71" t="s">
        <v>41</v>
      </c>
      <c r="C453" s="71" t="s">
        <v>10767</v>
      </c>
      <c r="D453" s="71" t="s">
        <v>10769</v>
      </c>
    </row>
    <row r="454" ht="14.25" customHeight="1">
      <c r="C454" s="71" t="s">
        <v>6031</v>
      </c>
      <c r="D454" s="71" t="s">
        <v>13738</v>
      </c>
    </row>
    <row r="455" ht="14.25" customHeight="1">
      <c r="D455" s="71" t="s">
        <v>10223</v>
      </c>
    </row>
    <row r="456" ht="14.25" customHeight="1">
      <c r="C456" s="71" t="s">
        <v>3596</v>
      </c>
      <c r="D456" s="71" t="s">
        <v>9265</v>
      </c>
    </row>
    <row r="457" ht="14.25" customHeight="1">
      <c r="C457" s="71" t="s">
        <v>262</v>
      </c>
      <c r="D457" s="71" t="s">
        <v>8976</v>
      </c>
    </row>
    <row r="458" ht="14.25" customHeight="1">
      <c r="C458" s="71" t="s">
        <v>13739</v>
      </c>
      <c r="D458" s="71" t="s">
        <v>13740</v>
      </c>
    </row>
    <row r="459" ht="14.25" customHeight="1">
      <c r="B459" s="71" t="s">
        <v>13</v>
      </c>
      <c r="C459" s="71" t="s">
        <v>9313</v>
      </c>
      <c r="D459" s="71" t="s">
        <v>10204</v>
      </c>
    </row>
    <row r="460" ht="14.25" customHeight="1">
      <c r="C460" s="71" t="s">
        <v>13741</v>
      </c>
      <c r="D460" s="71" t="s">
        <v>9176</v>
      </c>
    </row>
    <row r="461" ht="14.25" customHeight="1">
      <c r="C461" s="71" t="s">
        <v>9320</v>
      </c>
      <c r="D461" s="71" t="s">
        <v>8978</v>
      </c>
    </row>
    <row r="462" ht="14.25" customHeight="1">
      <c r="C462" s="71" t="s">
        <v>6152</v>
      </c>
      <c r="D462" s="71" t="s">
        <v>9332</v>
      </c>
    </row>
    <row r="463" ht="14.25" customHeight="1">
      <c r="C463" s="71" t="s">
        <v>13742</v>
      </c>
      <c r="D463" s="71" t="s">
        <v>9265</v>
      </c>
    </row>
    <row r="464" ht="14.25" customHeight="1">
      <c r="C464" s="71" t="s">
        <v>307</v>
      </c>
      <c r="D464" s="71" t="s">
        <v>11343</v>
      </c>
    </row>
    <row r="465" ht="14.25" customHeight="1">
      <c r="C465" s="71" t="s">
        <v>9329</v>
      </c>
      <c r="D465" s="71" t="s">
        <v>9545</v>
      </c>
    </row>
    <row r="466" ht="14.25" customHeight="1">
      <c r="C466" s="71" t="s">
        <v>13296</v>
      </c>
      <c r="D466" s="71" t="s">
        <v>13743</v>
      </c>
    </row>
    <row r="467" ht="14.25" customHeight="1">
      <c r="C467" s="71" t="s">
        <v>13744</v>
      </c>
      <c r="D467" s="71" t="s">
        <v>13745</v>
      </c>
    </row>
    <row r="468" ht="14.25" customHeight="1">
      <c r="C468" s="71" t="s">
        <v>13746</v>
      </c>
      <c r="D468" s="71" t="s">
        <v>9034</v>
      </c>
    </row>
    <row r="469" ht="14.25" customHeight="1">
      <c r="C469" s="71" t="s">
        <v>7038</v>
      </c>
      <c r="D469" s="71" t="s">
        <v>9131</v>
      </c>
    </row>
    <row r="470" ht="14.25" customHeight="1">
      <c r="A470" s="71" t="s">
        <v>9551</v>
      </c>
      <c r="B470" s="71" t="s">
        <v>40</v>
      </c>
      <c r="C470" s="71" t="s">
        <v>1889</v>
      </c>
      <c r="D470" s="71" t="s">
        <v>13747</v>
      </c>
    </row>
    <row r="471" ht="14.25" customHeight="1">
      <c r="C471" s="71" t="s">
        <v>10660</v>
      </c>
      <c r="D471" s="71" t="s">
        <v>13748</v>
      </c>
    </row>
    <row r="472" ht="14.25" customHeight="1">
      <c r="C472" s="71" t="s">
        <v>13749</v>
      </c>
      <c r="D472" s="71" t="s">
        <v>9352</v>
      </c>
    </row>
    <row r="473" ht="14.25" customHeight="1">
      <c r="C473" s="71" t="s">
        <v>13750</v>
      </c>
      <c r="D473" s="71" t="s">
        <v>13751</v>
      </c>
    </row>
    <row r="474" ht="14.25" customHeight="1">
      <c r="C474" s="71" t="s">
        <v>916</v>
      </c>
      <c r="D474" s="71" t="s">
        <v>8978</v>
      </c>
    </row>
    <row r="475" ht="14.25" customHeight="1">
      <c r="C475" s="71" t="s">
        <v>129</v>
      </c>
      <c r="D475" s="71" t="s">
        <v>13752</v>
      </c>
    </row>
    <row r="476" ht="14.25" customHeight="1">
      <c r="C476" s="71" t="s">
        <v>13753</v>
      </c>
      <c r="D476" s="71" t="s">
        <v>8978</v>
      </c>
    </row>
    <row r="477" ht="14.25" customHeight="1">
      <c r="C477" s="71" t="s">
        <v>3313</v>
      </c>
      <c r="D477" s="71" t="s">
        <v>9875</v>
      </c>
    </row>
    <row r="478" ht="14.25" customHeight="1">
      <c r="C478" s="71" t="s">
        <v>11536</v>
      </c>
      <c r="D478" s="71" t="s">
        <v>13754</v>
      </c>
    </row>
    <row r="479" ht="14.25" customHeight="1">
      <c r="C479" s="71" t="s">
        <v>13755</v>
      </c>
      <c r="D479" s="71" t="s">
        <v>12992</v>
      </c>
    </row>
    <row r="480" ht="14.25" customHeight="1">
      <c r="C480" s="71" t="s">
        <v>312</v>
      </c>
      <c r="D480" s="71" t="s">
        <v>9304</v>
      </c>
    </row>
    <row r="481" ht="14.25" customHeight="1">
      <c r="C481" s="71" t="s">
        <v>6654</v>
      </c>
      <c r="D481" s="71" t="s">
        <v>9962</v>
      </c>
    </row>
    <row r="482" ht="14.25" customHeight="1">
      <c r="C482" s="71" t="s">
        <v>9506</v>
      </c>
      <c r="D482" s="71" t="s">
        <v>8978</v>
      </c>
    </row>
    <row r="483" ht="14.25" customHeight="1">
      <c r="C483" s="71" t="s">
        <v>13756</v>
      </c>
      <c r="D483" s="71" t="s">
        <v>9383</v>
      </c>
    </row>
    <row r="484" ht="14.25" customHeight="1">
      <c r="C484" s="71" t="s">
        <v>215</v>
      </c>
      <c r="D484" s="71" t="s">
        <v>13757</v>
      </c>
    </row>
    <row r="485" ht="14.25" customHeight="1">
      <c r="C485" s="71" t="s">
        <v>6904</v>
      </c>
      <c r="D485" s="71" t="s">
        <v>12218</v>
      </c>
    </row>
    <row r="486" ht="14.25" customHeight="1">
      <c r="C486" s="71" t="s">
        <v>1743</v>
      </c>
      <c r="D486" s="71" t="s">
        <v>13758</v>
      </c>
    </row>
    <row r="487" ht="14.25" customHeight="1">
      <c r="C487" s="71" t="s">
        <v>13570</v>
      </c>
      <c r="D487" s="71" t="s">
        <v>13759</v>
      </c>
    </row>
    <row r="488" ht="14.25" customHeight="1">
      <c r="C488" s="71" t="s">
        <v>13760</v>
      </c>
      <c r="D488" s="71" t="s">
        <v>13761</v>
      </c>
    </row>
    <row r="489" ht="14.25" customHeight="1">
      <c r="C489" s="71" t="s">
        <v>13762</v>
      </c>
      <c r="D489" s="71" t="s">
        <v>12854</v>
      </c>
    </row>
    <row r="490" ht="14.25" customHeight="1">
      <c r="C490" s="71" t="s">
        <v>262</v>
      </c>
      <c r="D490" s="71" t="s">
        <v>9291</v>
      </c>
    </row>
    <row r="491" ht="14.25" customHeight="1">
      <c r="D491" s="71" t="s">
        <v>9941</v>
      </c>
    </row>
    <row r="492" ht="14.25" customHeight="1">
      <c r="D492" s="71" t="s">
        <v>13763</v>
      </c>
    </row>
    <row r="493" ht="14.25" customHeight="1">
      <c r="D493" s="71" t="s">
        <v>9086</v>
      </c>
    </row>
    <row r="494" ht="14.25" customHeight="1">
      <c r="C494" s="71" t="s">
        <v>11529</v>
      </c>
      <c r="D494" s="71" t="s">
        <v>11530</v>
      </c>
    </row>
    <row r="495" ht="14.25" customHeight="1">
      <c r="C495" s="71" t="s">
        <v>13764</v>
      </c>
      <c r="D495" s="71" t="s">
        <v>13765</v>
      </c>
    </row>
    <row r="496" ht="14.25" customHeight="1">
      <c r="C496" s="71" t="s">
        <v>10851</v>
      </c>
      <c r="D496" s="71" t="s">
        <v>13766</v>
      </c>
    </row>
    <row r="497" ht="14.25" customHeight="1">
      <c r="C497" s="71" t="s">
        <v>9296</v>
      </c>
      <c r="D497" s="71" t="s">
        <v>9236</v>
      </c>
    </row>
    <row r="498" ht="14.25" customHeight="1">
      <c r="C498" s="71" t="s">
        <v>13767</v>
      </c>
      <c r="D498" s="71" t="s">
        <v>10806</v>
      </c>
    </row>
    <row r="499" ht="14.25" customHeight="1">
      <c r="A499" s="71" t="s">
        <v>579</v>
      </c>
      <c r="B499" s="71" t="s">
        <v>41</v>
      </c>
      <c r="C499" s="71" t="s">
        <v>13768</v>
      </c>
      <c r="D499" s="71" t="s">
        <v>13769</v>
      </c>
    </row>
    <row r="500" ht="14.25" customHeight="1">
      <c r="C500" s="71" t="s">
        <v>10660</v>
      </c>
      <c r="D500" s="71" t="s">
        <v>13770</v>
      </c>
    </row>
    <row r="501" ht="14.25" customHeight="1">
      <c r="C501" s="71" t="s">
        <v>13771</v>
      </c>
      <c r="D501" s="71" t="s">
        <v>9055</v>
      </c>
    </row>
    <row r="502" ht="14.25" customHeight="1">
      <c r="C502" s="71" t="s">
        <v>13772</v>
      </c>
      <c r="D502" s="71" t="s">
        <v>13773</v>
      </c>
    </row>
    <row r="503" ht="14.25" customHeight="1">
      <c r="C503" s="71" t="s">
        <v>13774</v>
      </c>
      <c r="D503" s="71" t="s">
        <v>11568</v>
      </c>
    </row>
    <row r="504" ht="14.25" customHeight="1">
      <c r="C504" s="71" t="s">
        <v>9529</v>
      </c>
      <c r="D504" s="71" t="s">
        <v>13775</v>
      </c>
    </row>
    <row r="505" ht="14.25" customHeight="1">
      <c r="A505" s="71" t="s">
        <v>361</v>
      </c>
      <c r="B505" s="71" t="s">
        <v>13</v>
      </c>
      <c r="C505" s="71" t="s">
        <v>13776</v>
      </c>
      <c r="D505" s="71" t="s">
        <v>10306</v>
      </c>
    </row>
    <row r="506" ht="14.25" customHeight="1">
      <c r="A506" s="71" t="s">
        <v>9570</v>
      </c>
      <c r="B506" s="71" t="s">
        <v>41</v>
      </c>
      <c r="C506" s="71" t="s">
        <v>2786</v>
      </c>
      <c r="D506" s="71" t="s">
        <v>13777</v>
      </c>
    </row>
    <row r="507" ht="14.25" customHeight="1">
      <c r="C507" s="71" t="s">
        <v>13778</v>
      </c>
      <c r="D507" s="71" t="s">
        <v>13779</v>
      </c>
    </row>
    <row r="508" ht="14.25" customHeight="1">
      <c r="C508" s="71" t="s">
        <v>13780</v>
      </c>
      <c r="D508" s="71" t="s">
        <v>13781</v>
      </c>
    </row>
    <row r="509" ht="14.25" customHeight="1">
      <c r="C509" s="71" t="s">
        <v>3566</v>
      </c>
      <c r="D509" s="71" t="s">
        <v>13782</v>
      </c>
    </row>
    <row r="510" ht="14.25" customHeight="1">
      <c r="A510" s="71" t="s">
        <v>9580</v>
      </c>
      <c r="B510" s="71" t="s">
        <v>41</v>
      </c>
      <c r="C510" s="71" t="s">
        <v>776</v>
      </c>
      <c r="D510" s="71" t="s">
        <v>13783</v>
      </c>
    </row>
    <row r="511" ht="14.25" customHeight="1">
      <c r="C511" s="71" t="s">
        <v>3596</v>
      </c>
      <c r="D511" s="71" t="s">
        <v>11487</v>
      </c>
    </row>
    <row r="512" ht="14.25" customHeight="1">
      <c r="C512" s="71" t="s">
        <v>13784</v>
      </c>
      <c r="D512" s="71" t="s">
        <v>13785</v>
      </c>
    </row>
    <row r="513" ht="14.25" customHeight="1">
      <c r="A513" s="71" t="s">
        <v>9585</v>
      </c>
      <c r="B513" s="71" t="s">
        <v>40</v>
      </c>
      <c r="C513" s="71" t="s">
        <v>1196</v>
      </c>
      <c r="D513" s="71" t="s">
        <v>9219</v>
      </c>
    </row>
    <row r="514" ht="14.25" customHeight="1">
      <c r="C514" s="71" t="s">
        <v>1417</v>
      </c>
      <c r="D514" s="71" t="s">
        <v>11438</v>
      </c>
    </row>
    <row r="515" ht="14.25" customHeight="1">
      <c r="C515" s="71" t="s">
        <v>262</v>
      </c>
      <c r="D515" s="71" t="s">
        <v>9051</v>
      </c>
    </row>
    <row r="516" ht="14.25" customHeight="1">
      <c r="C516" s="71" t="s">
        <v>270</v>
      </c>
      <c r="D516" s="71" t="s">
        <v>9180</v>
      </c>
    </row>
    <row r="517" ht="14.25" customHeight="1">
      <c r="C517" s="71" t="s">
        <v>2230</v>
      </c>
      <c r="D517" s="71" t="s">
        <v>13786</v>
      </c>
    </row>
    <row r="518" ht="14.25" customHeight="1">
      <c r="A518" s="71" t="s">
        <v>9596</v>
      </c>
      <c r="B518" s="71" t="s">
        <v>40</v>
      </c>
      <c r="C518" s="71" t="s">
        <v>13787</v>
      </c>
      <c r="D518" s="71" t="s">
        <v>13788</v>
      </c>
    </row>
    <row r="519" ht="14.25" customHeight="1">
      <c r="C519" s="71" t="s">
        <v>9313</v>
      </c>
      <c r="D519" s="71" t="s">
        <v>11115</v>
      </c>
    </row>
    <row r="520" ht="14.25" customHeight="1">
      <c r="C520" s="71" t="s">
        <v>13789</v>
      </c>
      <c r="D520" s="71" t="s">
        <v>13790</v>
      </c>
    </row>
    <row r="521" ht="14.25" customHeight="1">
      <c r="C521" s="71" t="s">
        <v>13791</v>
      </c>
      <c r="D521" s="71" t="s">
        <v>9746</v>
      </c>
    </row>
    <row r="522" ht="14.25" customHeight="1">
      <c r="C522" s="71" t="s">
        <v>12243</v>
      </c>
      <c r="D522" s="71" t="s">
        <v>10351</v>
      </c>
    </row>
    <row r="523" ht="14.25" customHeight="1">
      <c r="C523" s="71" t="s">
        <v>11023</v>
      </c>
      <c r="D523" s="71" t="s">
        <v>9616</v>
      </c>
    </row>
    <row r="524" ht="14.25" customHeight="1">
      <c r="C524" s="71" t="s">
        <v>96</v>
      </c>
      <c r="D524" s="71" t="s">
        <v>13792</v>
      </c>
    </row>
    <row r="525" ht="14.25" customHeight="1">
      <c r="C525" s="71" t="s">
        <v>9619</v>
      </c>
      <c r="D525" s="71" t="s">
        <v>9616</v>
      </c>
    </row>
    <row r="526" ht="14.25" customHeight="1">
      <c r="C526" s="71" t="s">
        <v>13793</v>
      </c>
      <c r="D526" s="71" t="s">
        <v>9645</v>
      </c>
    </row>
    <row r="527" ht="14.25" customHeight="1">
      <c r="D527" s="71" t="s">
        <v>9639</v>
      </c>
    </row>
    <row r="528" ht="14.25" customHeight="1">
      <c r="C528" s="71" t="s">
        <v>6094</v>
      </c>
      <c r="D528" s="71" t="s">
        <v>13794</v>
      </c>
    </row>
    <row r="529" ht="14.25" customHeight="1">
      <c r="C529" s="71" t="s">
        <v>9630</v>
      </c>
      <c r="D529" s="71" t="s">
        <v>11687</v>
      </c>
    </row>
    <row r="530" ht="14.25" customHeight="1">
      <c r="C530" s="71" t="s">
        <v>13795</v>
      </c>
      <c r="D530" s="71" t="s">
        <v>9602</v>
      </c>
    </row>
    <row r="531" ht="14.25" customHeight="1">
      <c r="C531" s="71" t="s">
        <v>12167</v>
      </c>
      <c r="D531" s="71" t="s">
        <v>13796</v>
      </c>
    </row>
    <row r="532" ht="14.25" customHeight="1">
      <c r="C532" s="71" t="s">
        <v>9635</v>
      </c>
      <c r="D532" s="71" t="s">
        <v>9645</v>
      </c>
    </row>
    <row r="533" ht="14.25" customHeight="1">
      <c r="C533" s="71" t="s">
        <v>2928</v>
      </c>
      <c r="D533" s="71" t="s">
        <v>13797</v>
      </c>
    </row>
    <row r="534" ht="14.25" customHeight="1">
      <c r="C534" s="71" t="s">
        <v>13798</v>
      </c>
      <c r="D534" s="71" t="s">
        <v>13799</v>
      </c>
    </row>
    <row r="535" ht="14.25" customHeight="1">
      <c r="C535" s="71" t="s">
        <v>9640</v>
      </c>
      <c r="D535" s="71" t="s">
        <v>11415</v>
      </c>
    </row>
    <row r="536" ht="14.25" customHeight="1">
      <c r="C536" s="71" t="s">
        <v>13800</v>
      </c>
      <c r="D536" s="71" t="s">
        <v>13801</v>
      </c>
    </row>
    <row r="537" ht="14.25" customHeight="1">
      <c r="D537" s="71" t="s">
        <v>13802</v>
      </c>
    </row>
    <row r="538" ht="14.25" customHeight="1">
      <c r="C538" s="71" t="s">
        <v>12267</v>
      </c>
      <c r="D538" s="71" t="s">
        <v>9645</v>
      </c>
    </row>
    <row r="539" ht="14.25" customHeight="1">
      <c r="C539" s="71" t="s">
        <v>141</v>
      </c>
      <c r="D539" s="71" t="s">
        <v>13803</v>
      </c>
    </row>
    <row r="540" ht="14.25" customHeight="1">
      <c r="C540" s="71" t="s">
        <v>12454</v>
      </c>
      <c r="D540" s="71" t="s">
        <v>9649</v>
      </c>
    </row>
    <row r="541" ht="14.25" customHeight="1">
      <c r="C541" s="71" t="s">
        <v>6405</v>
      </c>
      <c r="D541" s="71" t="s">
        <v>13804</v>
      </c>
    </row>
    <row r="542" ht="14.25" customHeight="1">
      <c r="C542" s="71" t="s">
        <v>13805</v>
      </c>
      <c r="D542" s="71" t="s">
        <v>13806</v>
      </c>
    </row>
    <row r="543" ht="14.25" customHeight="1">
      <c r="C543" s="71" t="s">
        <v>13807</v>
      </c>
      <c r="D543" s="71" t="s">
        <v>1948</v>
      </c>
    </row>
    <row r="544" ht="14.25" customHeight="1">
      <c r="C544" s="71" t="s">
        <v>12275</v>
      </c>
      <c r="D544" s="71" t="s">
        <v>1948</v>
      </c>
    </row>
    <row r="545" ht="14.25" customHeight="1">
      <c r="C545" s="71" t="s">
        <v>13808</v>
      </c>
      <c r="D545" s="71" t="s">
        <v>9216</v>
      </c>
    </row>
    <row r="546" ht="14.25" customHeight="1">
      <c r="C546" s="71" t="s">
        <v>13809</v>
      </c>
      <c r="D546" s="71" t="s">
        <v>1948</v>
      </c>
    </row>
    <row r="547" ht="14.25" customHeight="1">
      <c r="C547" s="71" t="s">
        <v>6538</v>
      </c>
      <c r="D547" s="71" t="s">
        <v>13810</v>
      </c>
    </row>
    <row r="548" ht="14.25" customHeight="1">
      <c r="C548" s="71" t="s">
        <v>3566</v>
      </c>
      <c r="D548" s="71" t="s">
        <v>13811</v>
      </c>
    </row>
    <row r="549" ht="14.25" customHeight="1">
      <c r="D549" s="71" t="s">
        <v>9724</v>
      </c>
    </row>
    <row r="550" ht="14.25" customHeight="1">
      <c r="C550" s="71" t="s">
        <v>9672</v>
      </c>
      <c r="D550" s="71" t="s">
        <v>13812</v>
      </c>
    </row>
    <row r="551" ht="14.25" customHeight="1">
      <c r="C551" s="71" t="s">
        <v>13813</v>
      </c>
      <c r="D551" s="71" t="s">
        <v>9041</v>
      </c>
    </row>
    <row r="552" ht="14.25" customHeight="1">
      <c r="C552" s="71" t="s">
        <v>13102</v>
      </c>
      <c r="D552" s="71" t="s">
        <v>13814</v>
      </c>
    </row>
    <row r="553" ht="14.25" customHeight="1">
      <c r="C553" s="71" t="s">
        <v>13815</v>
      </c>
      <c r="D553" s="71" t="s">
        <v>9445</v>
      </c>
    </row>
    <row r="554" ht="14.25" customHeight="1">
      <c r="D554" s="71" t="s">
        <v>13816</v>
      </c>
    </row>
    <row r="555" ht="14.25" customHeight="1">
      <c r="C555" s="71" t="s">
        <v>13817</v>
      </c>
      <c r="D555" s="71" t="s">
        <v>13095</v>
      </c>
    </row>
    <row r="556" ht="14.25" customHeight="1">
      <c r="C556" s="71" t="s">
        <v>11656</v>
      </c>
      <c r="D556" s="71" t="s">
        <v>13818</v>
      </c>
    </row>
    <row r="557" ht="14.25" customHeight="1">
      <c r="C557" s="71" t="s">
        <v>208</v>
      </c>
      <c r="D557" s="71" t="s">
        <v>9604</v>
      </c>
    </row>
    <row r="558" ht="14.25" customHeight="1">
      <c r="C558" s="71" t="s">
        <v>3814</v>
      </c>
      <c r="D558" s="71" t="s">
        <v>9746</v>
      </c>
    </row>
    <row r="559" ht="14.25" customHeight="1">
      <c r="D559" s="71" t="s">
        <v>12286</v>
      </c>
    </row>
    <row r="560" ht="14.25" customHeight="1">
      <c r="C560" s="71" t="s">
        <v>11662</v>
      </c>
      <c r="D560" s="71" t="s">
        <v>13819</v>
      </c>
    </row>
    <row r="561" ht="14.25" customHeight="1">
      <c r="D561" s="71" t="s">
        <v>13820</v>
      </c>
    </row>
    <row r="562" ht="14.25" customHeight="1">
      <c r="C562" s="71" t="s">
        <v>13821</v>
      </c>
      <c r="D562" s="71" t="s">
        <v>12253</v>
      </c>
    </row>
    <row r="563" ht="14.25" customHeight="1">
      <c r="C563" s="71" t="s">
        <v>13822</v>
      </c>
      <c r="D563" s="71" t="s">
        <v>13823</v>
      </c>
    </row>
    <row r="564" ht="14.25" customHeight="1">
      <c r="C564" s="71" t="s">
        <v>13824</v>
      </c>
      <c r="D564" s="71" t="s">
        <v>9034</v>
      </c>
    </row>
    <row r="565" ht="14.25" customHeight="1">
      <c r="D565" s="71" t="s">
        <v>13825</v>
      </c>
    </row>
    <row r="566" ht="14.25" customHeight="1">
      <c r="C566" s="71" t="s">
        <v>13826</v>
      </c>
      <c r="D566" s="71" t="s">
        <v>13827</v>
      </c>
    </row>
    <row r="567" ht="14.25" customHeight="1">
      <c r="C567" s="71" t="s">
        <v>11663</v>
      </c>
      <c r="D567" s="71" t="s">
        <v>9705</v>
      </c>
    </row>
    <row r="568" ht="14.25" customHeight="1">
      <c r="C568" s="71" t="s">
        <v>13828</v>
      </c>
      <c r="D568" s="71" t="s">
        <v>13829</v>
      </c>
    </row>
    <row r="569" ht="14.25" customHeight="1">
      <c r="C569" s="71" t="s">
        <v>10838</v>
      </c>
      <c r="D569" s="71" t="s">
        <v>13830</v>
      </c>
    </row>
    <row r="570" ht="14.25" customHeight="1">
      <c r="D570" s="71" t="s">
        <v>1948</v>
      </c>
    </row>
    <row r="571" ht="14.25" customHeight="1">
      <c r="D571" s="71" t="s">
        <v>9643</v>
      </c>
    </row>
    <row r="572" ht="14.25" customHeight="1">
      <c r="D572" s="71" t="s">
        <v>13074</v>
      </c>
    </row>
    <row r="573" ht="14.25" customHeight="1">
      <c r="C573" s="71" t="s">
        <v>1906</v>
      </c>
      <c r="D573" s="71" t="s">
        <v>9614</v>
      </c>
    </row>
    <row r="574" ht="14.25" customHeight="1">
      <c r="C574" s="71" t="s">
        <v>4109</v>
      </c>
      <c r="D574" s="71" t="s">
        <v>1948</v>
      </c>
    </row>
    <row r="575" ht="14.25" customHeight="1">
      <c r="D575" s="71" t="s">
        <v>9656</v>
      </c>
    </row>
    <row r="576" ht="14.25" customHeight="1">
      <c r="C576" s="71" t="s">
        <v>9698</v>
      </c>
      <c r="D576" s="71" t="s">
        <v>9639</v>
      </c>
    </row>
    <row r="577" ht="14.25" customHeight="1">
      <c r="C577" s="71" t="s">
        <v>13831</v>
      </c>
      <c r="D577" s="71" t="s">
        <v>9034</v>
      </c>
    </row>
    <row r="578" ht="14.25" customHeight="1">
      <c r="C578" s="71" t="s">
        <v>11675</v>
      </c>
      <c r="D578" s="71" t="s">
        <v>9034</v>
      </c>
    </row>
    <row r="579" ht="14.25" customHeight="1">
      <c r="D579" s="71" t="s">
        <v>13832</v>
      </c>
    </row>
    <row r="580" ht="14.25" customHeight="1">
      <c r="C580" s="71" t="s">
        <v>13833</v>
      </c>
      <c r="D580" s="71" t="s">
        <v>9614</v>
      </c>
    </row>
    <row r="581" ht="14.25" customHeight="1">
      <c r="C581" s="71" t="s">
        <v>11003</v>
      </c>
      <c r="D581" s="71" t="s">
        <v>10355</v>
      </c>
    </row>
    <row r="582" ht="14.25" customHeight="1">
      <c r="C582" s="71" t="s">
        <v>13834</v>
      </c>
      <c r="D582" s="71" t="s">
        <v>9144</v>
      </c>
    </row>
    <row r="583" ht="14.25" customHeight="1">
      <c r="C583" s="71" t="s">
        <v>7155</v>
      </c>
      <c r="D583" s="71" t="s">
        <v>9671</v>
      </c>
    </row>
    <row r="584" ht="14.25" customHeight="1">
      <c r="C584" s="71" t="s">
        <v>13835</v>
      </c>
      <c r="D584" s="71" t="s">
        <v>13836</v>
      </c>
    </row>
    <row r="585" ht="14.25" customHeight="1">
      <c r="C585" s="71" t="s">
        <v>11080</v>
      </c>
      <c r="D585" s="71" t="s">
        <v>13837</v>
      </c>
    </row>
    <row r="586" ht="14.25" customHeight="1">
      <c r="C586" s="71" t="s">
        <v>13838</v>
      </c>
      <c r="D586" s="71" t="s">
        <v>13839</v>
      </c>
    </row>
    <row r="587" ht="14.25" customHeight="1">
      <c r="C587" s="71" t="s">
        <v>269</v>
      </c>
      <c r="D587" s="71" t="s">
        <v>9228</v>
      </c>
    </row>
    <row r="588" ht="14.25" customHeight="1">
      <c r="C588" s="71" t="s">
        <v>324</v>
      </c>
      <c r="D588" s="71" t="s">
        <v>13840</v>
      </c>
    </row>
    <row r="589" ht="14.25" customHeight="1">
      <c r="C589" s="71" t="s">
        <v>13841</v>
      </c>
      <c r="D589" s="71" t="s">
        <v>9034</v>
      </c>
    </row>
    <row r="590" ht="14.25" customHeight="1">
      <c r="A590" s="71" t="s">
        <v>9728</v>
      </c>
      <c r="B590" s="71" t="s">
        <v>40</v>
      </c>
      <c r="C590" s="71" t="s">
        <v>12324</v>
      </c>
      <c r="D590" s="71" t="s">
        <v>9236</v>
      </c>
    </row>
    <row r="591" ht="14.25" customHeight="1">
      <c r="C591" s="71" t="s">
        <v>8969</v>
      </c>
      <c r="D591" s="71" t="s">
        <v>12573</v>
      </c>
    </row>
    <row r="592" ht="14.25" customHeight="1">
      <c r="C592" s="71" t="s">
        <v>2379</v>
      </c>
      <c r="D592" s="71" t="s">
        <v>13842</v>
      </c>
    </row>
    <row r="593" ht="14.25" customHeight="1">
      <c r="C593" s="71" t="s">
        <v>5785</v>
      </c>
      <c r="D593" s="71" t="s">
        <v>9118</v>
      </c>
    </row>
    <row r="594" ht="14.25" customHeight="1">
      <c r="C594" s="71" t="s">
        <v>2408</v>
      </c>
      <c r="D594" s="71" t="s">
        <v>9664</v>
      </c>
    </row>
    <row r="595" ht="14.25" customHeight="1">
      <c r="D595" s="71" t="s">
        <v>11815</v>
      </c>
    </row>
    <row r="596" ht="14.25" customHeight="1">
      <c r="C596" s="71" t="s">
        <v>13843</v>
      </c>
      <c r="D596" s="71" t="s">
        <v>9216</v>
      </c>
    </row>
    <row r="597" ht="14.25" customHeight="1">
      <c r="C597" s="71" t="s">
        <v>9351</v>
      </c>
      <c r="D597" s="71" t="s">
        <v>13198</v>
      </c>
    </row>
    <row r="598" ht="14.25" customHeight="1">
      <c r="C598" s="71" t="s">
        <v>9809</v>
      </c>
      <c r="D598" s="71" t="s">
        <v>12327</v>
      </c>
    </row>
    <row r="599" ht="14.25" customHeight="1">
      <c r="C599" s="71" t="s">
        <v>290</v>
      </c>
      <c r="D599" s="71" t="s">
        <v>9305</v>
      </c>
    </row>
    <row r="600" ht="14.25" customHeight="1">
      <c r="D600" s="71" t="s">
        <v>9216</v>
      </c>
    </row>
    <row r="601" ht="14.25" customHeight="1">
      <c r="C601" s="71" t="s">
        <v>10628</v>
      </c>
      <c r="D601" s="71" t="s">
        <v>9354</v>
      </c>
    </row>
    <row r="602" ht="14.25" customHeight="1">
      <c r="C602" s="71" t="s">
        <v>10735</v>
      </c>
      <c r="D602" s="71" t="s">
        <v>13844</v>
      </c>
    </row>
    <row r="603" ht="14.25" customHeight="1">
      <c r="C603" s="71" t="s">
        <v>13845</v>
      </c>
      <c r="D603" s="71" t="s">
        <v>13846</v>
      </c>
    </row>
    <row r="604" ht="14.25" customHeight="1">
      <c r="C604" s="71" t="s">
        <v>89</v>
      </c>
      <c r="D604" s="71" t="s">
        <v>13847</v>
      </c>
    </row>
    <row r="605" ht="14.25" customHeight="1">
      <c r="C605" s="71" t="s">
        <v>9361</v>
      </c>
      <c r="D605" s="71" t="s">
        <v>9216</v>
      </c>
    </row>
    <row r="606" ht="14.25" customHeight="1">
      <c r="C606" s="71" t="s">
        <v>10804</v>
      </c>
      <c r="D606" s="71" t="s">
        <v>13848</v>
      </c>
    </row>
    <row r="607" ht="14.25" customHeight="1">
      <c r="C607" s="71" t="s">
        <v>4739</v>
      </c>
      <c r="D607" s="71" t="s">
        <v>13849</v>
      </c>
    </row>
    <row r="608" ht="14.25" customHeight="1">
      <c r="D608" s="71" t="s">
        <v>13850</v>
      </c>
    </row>
    <row r="609" ht="14.25" customHeight="1">
      <c r="C609" s="71" t="s">
        <v>6070</v>
      </c>
      <c r="D609" s="71" t="s">
        <v>9236</v>
      </c>
    </row>
    <row r="610" ht="14.25" customHeight="1">
      <c r="C610" s="71" t="s">
        <v>2798</v>
      </c>
      <c r="D610" s="71" t="s">
        <v>9741</v>
      </c>
    </row>
    <row r="611" ht="14.25" customHeight="1">
      <c r="C611" s="71" t="s">
        <v>916</v>
      </c>
      <c r="D611" s="71" t="s">
        <v>13851</v>
      </c>
    </row>
    <row r="612" ht="14.25" customHeight="1">
      <c r="C612" s="71" t="s">
        <v>10889</v>
      </c>
      <c r="D612" s="71" t="s">
        <v>9151</v>
      </c>
    </row>
    <row r="613" ht="14.25" customHeight="1">
      <c r="C613" s="71" t="s">
        <v>13852</v>
      </c>
      <c r="D613" s="71" t="s">
        <v>9525</v>
      </c>
    </row>
    <row r="614" ht="14.25" customHeight="1">
      <c r="C614" s="71" t="s">
        <v>6156</v>
      </c>
      <c r="D614" s="71" t="s">
        <v>13853</v>
      </c>
    </row>
    <row r="615" ht="14.25" customHeight="1">
      <c r="C615" s="71" t="s">
        <v>8981</v>
      </c>
      <c r="D615" s="71" t="s">
        <v>8982</v>
      </c>
    </row>
    <row r="616" ht="14.25" customHeight="1">
      <c r="C616" s="71" t="s">
        <v>13854</v>
      </c>
      <c r="D616" s="71" t="s">
        <v>9216</v>
      </c>
    </row>
    <row r="617" ht="14.25" customHeight="1">
      <c r="C617" s="71" t="s">
        <v>12034</v>
      </c>
      <c r="D617" s="71" t="s">
        <v>13855</v>
      </c>
    </row>
    <row r="618" ht="14.25" customHeight="1">
      <c r="D618" s="71" t="s">
        <v>13856</v>
      </c>
    </row>
    <row r="619" ht="14.25" customHeight="1">
      <c r="C619" s="71" t="s">
        <v>141</v>
      </c>
      <c r="D619" s="71" t="s">
        <v>9034</v>
      </c>
    </row>
    <row r="620" ht="14.25" customHeight="1">
      <c r="C620" s="71" t="s">
        <v>153</v>
      </c>
      <c r="D620" s="71" t="s">
        <v>13857</v>
      </c>
    </row>
    <row r="621" ht="14.25" customHeight="1">
      <c r="C621" s="71" t="s">
        <v>11781</v>
      </c>
      <c r="D621" s="71" t="s">
        <v>13858</v>
      </c>
    </row>
    <row r="622" ht="14.25" customHeight="1">
      <c r="C622" s="71" t="s">
        <v>13859</v>
      </c>
      <c r="D622" s="71" t="s">
        <v>13860</v>
      </c>
    </row>
    <row r="623" ht="14.25" customHeight="1">
      <c r="C623" s="71" t="s">
        <v>1380</v>
      </c>
      <c r="D623" s="71" t="s">
        <v>9071</v>
      </c>
    </row>
    <row r="624" ht="14.25" customHeight="1">
      <c r="C624" s="71" t="s">
        <v>13861</v>
      </c>
      <c r="D624" s="71" t="s">
        <v>9204</v>
      </c>
    </row>
    <row r="625" ht="14.25" customHeight="1">
      <c r="C625" s="71" t="s">
        <v>3566</v>
      </c>
      <c r="D625" s="71" t="s">
        <v>9034</v>
      </c>
    </row>
    <row r="626" ht="14.25" customHeight="1">
      <c r="D626" s="71" t="s">
        <v>13862</v>
      </c>
    </row>
    <row r="627" ht="14.25" customHeight="1">
      <c r="D627" s="71" t="s">
        <v>9667</v>
      </c>
    </row>
    <row r="628" ht="14.25" customHeight="1">
      <c r="D628" s="71" t="s">
        <v>9071</v>
      </c>
    </row>
    <row r="629" ht="14.25" customHeight="1">
      <c r="D629" s="71" t="s">
        <v>8976</v>
      </c>
    </row>
    <row r="630" ht="14.25" customHeight="1">
      <c r="D630" s="71" t="s">
        <v>13863</v>
      </c>
    </row>
    <row r="631" ht="14.25" customHeight="1">
      <c r="C631" s="71" t="s">
        <v>189</v>
      </c>
      <c r="D631" s="71" t="s">
        <v>9430</v>
      </c>
    </row>
    <row r="632" ht="14.25" customHeight="1">
      <c r="D632" s="71" t="s">
        <v>10075</v>
      </c>
    </row>
    <row r="633" ht="14.25" customHeight="1">
      <c r="D633" s="71" t="s">
        <v>9289</v>
      </c>
    </row>
    <row r="634" ht="14.25" customHeight="1">
      <c r="C634" s="71" t="s">
        <v>13864</v>
      </c>
      <c r="D634" s="71" t="s">
        <v>8976</v>
      </c>
    </row>
    <row r="635" ht="14.25" customHeight="1">
      <c r="C635" s="71" t="s">
        <v>9277</v>
      </c>
      <c r="D635" s="71" t="s">
        <v>13865</v>
      </c>
    </row>
    <row r="636" ht="14.25" customHeight="1">
      <c r="C636" s="71" t="s">
        <v>13866</v>
      </c>
      <c r="D636" s="71" t="s">
        <v>9055</v>
      </c>
    </row>
    <row r="637" ht="14.25" customHeight="1">
      <c r="C637" s="71" t="s">
        <v>9765</v>
      </c>
      <c r="D637" s="71" t="s">
        <v>9731</v>
      </c>
    </row>
    <row r="638" ht="14.25" customHeight="1">
      <c r="C638" s="71" t="s">
        <v>208</v>
      </c>
      <c r="D638" s="71" t="s">
        <v>9152</v>
      </c>
    </row>
    <row r="639" ht="14.25" customHeight="1">
      <c r="C639" s="71" t="s">
        <v>13701</v>
      </c>
      <c r="D639" s="71" t="s">
        <v>13231</v>
      </c>
    </row>
    <row r="640" ht="14.25" customHeight="1">
      <c r="C640" s="71" t="s">
        <v>8576</v>
      </c>
      <c r="D640" s="71" t="s">
        <v>9667</v>
      </c>
    </row>
    <row r="641" ht="14.25" customHeight="1">
      <c r="D641" s="71" t="s">
        <v>13867</v>
      </c>
    </row>
    <row r="642" ht="14.25" customHeight="1">
      <c r="C642" s="71" t="s">
        <v>4035</v>
      </c>
      <c r="D642" s="71" t="s">
        <v>12725</v>
      </c>
    </row>
    <row r="643" ht="14.25" customHeight="1">
      <c r="D643" s="71" t="s">
        <v>12385</v>
      </c>
    </row>
    <row r="644" ht="14.25" customHeight="1">
      <c r="D644" s="71" t="s">
        <v>10124</v>
      </c>
    </row>
    <row r="645" ht="14.25" customHeight="1">
      <c r="C645" s="71" t="s">
        <v>13868</v>
      </c>
      <c r="D645" s="71" t="s">
        <v>13869</v>
      </c>
    </row>
    <row r="646" ht="14.25" customHeight="1">
      <c r="C646" s="71" t="s">
        <v>12355</v>
      </c>
      <c r="D646" s="71" t="s">
        <v>9667</v>
      </c>
    </row>
    <row r="647" ht="14.25" customHeight="1">
      <c r="C647" s="71" t="s">
        <v>13784</v>
      </c>
      <c r="D647" s="71" t="s">
        <v>13870</v>
      </c>
    </row>
    <row r="648" ht="14.25" customHeight="1">
      <c r="C648" s="71" t="s">
        <v>261</v>
      </c>
      <c r="D648" s="71" t="s">
        <v>11076</v>
      </c>
    </row>
    <row r="649" ht="14.25" customHeight="1">
      <c r="C649" s="71" t="s">
        <v>262</v>
      </c>
      <c r="D649" s="71" t="s">
        <v>12356</v>
      </c>
    </row>
    <row r="650" ht="14.25" customHeight="1">
      <c r="D650" s="71" t="s">
        <v>9667</v>
      </c>
    </row>
    <row r="651" ht="14.25" customHeight="1">
      <c r="C651" s="71" t="s">
        <v>4281</v>
      </c>
      <c r="D651" s="71" t="s">
        <v>9667</v>
      </c>
    </row>
    <row r="652" ht="14.25" customHeight="1">
      <c r="C652" s="71" t="s">
        <v>4326</v>
      </c>
      <c r="D652" s="71" t="s">
        <v>13871</v>
      </c>
    </row>
    <row r="653" ht="14.25" customHeight="1">
      <c r="C653" s="71" t="s">
        <v>11243</v>
      </c>
      <c r="D653" s="71" t="s">
        <v>10407</v>
      </c>
    </row>
    <row r="654" ht="14.25" customHeight="1">
      <c r="C654" s="71" t="s">
        <v>5618</v>
      </c>
      <c r="D654" s="71" t="s">
        <v>13872</v>
      </c>
    </row>
    <row r="655" ht="14.25" customHeight="1">
      <c r="C655" s="71" t="s">
        <v>13873</v>
      </c>
      <c r="D655" s="71" t="s">
        <v>13874</v>
      </c>
    </row>
    <row r="656" ht="14.25" customHeight="1">
      <c r="C656" s="71" t="s">
        <v>13875</v>
      </c>
      <c r="D656" s="71" t="s">
        <v>13876</v>
      </c>
    </row>
    <row r="657" ht="14.25" customHeight="1">
      <c r="C657" s="71" t="s">
        <v>13877</v>
      </c>
      <c r="D657" s="71" t="s">
        <v>13878</v>
      </c>
    </row>
    <row r="658" ht="14.25" customHeight="1">
      <c r="B658" s="71" t="s">
        <v>41</v>
      </c>
      <c r="C658" s="71" t="s">
        <v>11390</v>
      </c>
      <c r="D658" s="71" t="s">
        <v>10350</v>
      </c>
    </row>
    <row r="659" ht="14.25" customHeight="1">
      <c r="C659" s="71" t="s">
        <v>8969</v>
      </c>
      <c r="D659" s="71" t="s">
        <v>13879</v>
      </c>
    </row>
    <row r="660" ht="14.25" customHeight="1">
      <c r="C660" s="71" t="s">
        <v>5785</v>
      </c>
      <c r="D660" s="71" t="s">
        <v>9746</v>
      </c>
    </row>
    <row r="661" ht="14.25" customHeight="1">
      <c r="C661" s="71" t="s">
        <v>2408</v>
      </c>
      <c r="D661" s="71" t="s">
        <v>13880</v>
      </c>
    </row>
    <row r="662" ht="14.25" customHeight="1">
      <c r="C662" s="71" t="s">
        <v>13881</v>
      </c>
      <c r="D662" s="71" t="s">
        <v>13882</v>
      </c>
    </row>
    <row r="663" ht="14.25" customHeight="1">
      <c r="C663" s="71" t="s">
        <v>916</v>
      </c>
      <c r="D663" s="71" t="s">
        <v>11061</v>
      </c>
    </row>
    <row r="664" ht="14.25" customHeight="1">
      <c r="C664" s="71" t="s">
        <v>13883</v>
      </c>
      <c r="D664" s="71" t="s">
        <v>9236</v>
      </c>
    </row>
    <row r="665" ht="14.25" customHeight="1">
      <c r="C665" s="71" t="s">
        <v>12061</v>
      </c>
      <c r="D665" s="71" t="s">
        <v>13884</v>
      </c>
    </row>
    <row r="666" ht="14.25" customHeight="1">
      <c r="C666" s="71" t="s">
        <v>13885</v>
      </c>
      <c r="D666" s="71" t="s">
        <v>9055</v>
      </c>
    </row>
    <row r="667" ht="14.25" customHeight="1">
      <c r="C667" s="71" t="s">
        <v>13886</v>
      </c>
      <c r="D667" s="71" t="s">
        <v>9771</v>
      </c>
    </row>
    <row r="668" ht="14.25" customHeight="1">
      <c r="C668" s="71" t="s">
        <v>314</v>
      </c>
      <c r="D668" s="71" t="s">
        <v>9667</v>
      </c>
    </row>
    <row r="669" ht="14.25" customHeight="1">
      <c r="D669" s="71" t="s">
        <v>13887</v>
      </c>
    </row>
    <row r="670" ht="14.25" customHeight="1">
      <c r="C670" s="71" t="s">
        <v>10254</v>
      </c>
      <c r="D670" s="71" t="s">
        <v>9578</v>
      </c>
    </row>
    <row r="671" ht="14.25" customHeight="1">
      <c r="C671" s="71" t="s">
        <v>10640</v>
      </c>
      <c r="D671" s="71" t="s">
        <v>9034</v>
      </c>
    </row>
    <row r="672" ht="14.25" customHeight="1">
      <c r="C672" s="71" t="s">
        <v>13888</v>
      </c>
      <c r="D672" s="71" t="s">
        <v>13889</v>
      </c>
    </row>
    <row r="673" ht="14.25" customHeight="1">
      <c r="C673" s="71" t="s">
        <v>9434</v>
      </c>
      <c r="D673" s="71" t="s">
        <v>9667</v>
      </c>
    </row>
    <row r="674" ht="14.25" customHeight="1">
      <c r="D674" s="71" t="s">
        <v>13890</v>
      </c>
    </row>
    <row r="675" ht="14.25" customHeight="1">
      <c r="D675" s="71" t="s">
        <v>9055</v>
      </c>
    </row>
    <row r="676" ht="14.25" customHeight="1">
      <c r="D676" s="71" t="s">
        <v>13891</v>
      </c>
    </row>
    <row r="677" ht="14.25" customHeight="1">
      <c r="D677" s="71" t="s">
        <v>13892</v>
      </c>
    </row>
    <row r="678" ht="14.25" customHeight="1">
      <c r="C678" s="71" t="s">
        <v>13893</v>
      </c>
      <c r="D678" s="71" t="s">
        <v>13894</v>
      </c>
    </row>
    <row r="679" ht="14.25" customHeight="1">
      <c r="C679" s="71" t="s">
        <v>11864</v>
      </c>
      <c r="D679" s="71" t="s">
        <v>13573</v>
      </c>
    </row>
    <row r="680" ht="14.25" customHeight="1">
      <c r="C680" s="71" t="s">
        <v>271</v>
      </c>
      <c r="D680" s="71" t="s">
        <v>8968</v>
      </c>
    </row>
    <row r="681" ht="14.25" customHeight="1">
      <c r="D681" s="71" t="s">
        <v>9782</v>
      </c>
    </row>
    <row r="682" ht="14.25" customHeight="1">
      <c r="C682" s="71" t="s">
        <v>12392</v>
      </c>
      <c r="D682" s="71" t="s">
        <v>9034</v>
      </c>
    </row>
    <row r="683" ht="14.25" customHeight="1">
      <c r="B683" s="71" t="s">
        <v>13</v>
      </c>
      <c r="C683" s="71" t="s">
        <v>9090</v>
      </c>
      <c r="D683" s="71" t="s">
        <v>9174</v>
      </c>
    </row>
    <row r="684" ht="14.25" customHeight="1">
      <c r="D684" s="71" t="s">
        <v>13895</v>
      </c>
    </row>
    <row r="685" ht="14.25" customHeight="1">
      <c r="D685" s="71" t="s">
        <v>10794</v>
      </c>
    </row>
    <row r="686" ht="14.25" customHeight="1">
      <c r="C686" s="71" t="s">
        <v>13896</v>
      </c>
      <c r="D686" s="71" t="s">
        <v>13897</v>
      </c>
    </row>
    <row r="687" ht="14.25" customHeight="1">
      <c r="C687" s="71" t="s">
        <v>13898</v>
      </c>
      <c r="D687" s="71" t="s">
        <v>13899</v>
      </c>
    </row>
    <row r="688" ht="14.25" customHeight="1">
      <c r="C688" s="71" t="s">
        <v>13900</v>
      </c>
      <c r="D688" s="71" t="s">
        <v>9028</v>
      </c>
    </row>
    <row r="689" ht="14.25" customHeight="1">
      <c r="C689" s="71" t="s">
        <v>10201</v>
      </c>
      <c r="D689" s="71" t="s">
        <v>12387</v>
      </c>
    </row>
    <row r="690" ht="14.25" customHeight="1">
      <c r="A690" s="71" t="s">
        <v>9796</v>
      </c>
      <c r="B690" s="71" t="s">
        <v>40</v>
      </c>
      <c r="C690" s="71" t="s">
        <v>916</v>
      </c>
      <c r="D690" s="71" t="s">
        <v>9028</v>
      </c>
    </row>
    <row r="691" ht="14.25" customHeight="1">
      <c r="B691" s="71" t="s">
        <v>41</v>
      </c>
      <c r="C691" s="71" t="s">
        <v>8975</v>
      </c>
      <c r="D691" s="71" t="s">
        <v>13901</v>
      </c>
    </row>
    <row r="692" ht="14.25" customHeight="1">
      <c r="A692" s="71" t="s">
        <v>9806</v>
      </c>
      <c r="B692" s="71" t="s">
        <v>40</v>
      </c>
      <c r="C692" s="71" t="s">
        <v>6057</v>
      </c>
      <c r="D692" s="71" t="s">
        <v>9028</v>
      </c>
    </row>
    <row r="693" ht="14.25" customHeight="1">
      <c r="C693" s="71" t="s">
        <v>13902</v>
      </c>
      <c r="D693" s="71" t="s">
        <v>9583</v>
      </c>
    </row>
    <row r="694" ht="14.25" customHeight="1">
      <c r="C694" s="71" t="s">
        <v>6405</v>
      </c>
      <c r="D694" s="71" t="s">
        <v>13903</v>
      </c>
    </row>
    <row r="695" ht="14.25" customHeight="1">
      <c r="C695" s="71" t="s">
        <v>13904</v>
      </c>
      <c r="D695" s="71" t="s">
        <v>9055</v>
      </c>
    </row>
    <row r="696" ht="14.25" customHeight="1">
      <c r="C696" s="71" t="s">
        <v>13905</v>
      </c>
      <c r="D696" s="71" t="s">
        <v>9071</v>
      </c>
    </row>
    <row r="697" ht="14.25" customHeight="1">
      <c r="C697" s="71" t="s">
        <v>13906</v>
      </c>
      <c r="D697" s="71" t="s">
        <v>11900</v>
      </c>
    </row>
    <row r="698" ht="14.25" customHeight="1">
      <c r="C698" s="71" t="s">
        <v>3566</v>
      </c>
      <c r="D698" s="71" t="s">
        <v>8989</v>
      </c>
    </row>
    <row r="699" ht="14.25" customHeight="1">
      <c r="C699" s="71" t="s">
        <v>10900</v>
      </c>
      <c r="D699" s="71" t="s">
        <v>13907</v>
      </c>
    </row>
    <row r="700" ht="14.25" customHeight="1">
      <c r="C700" s="71" t="s">
        <v>13908</v>
      </c>
      <c r="D700" s="71" t="s">
        <v>13909</v>
      </c>
    </row>
    <row r="701" ht="14.25" customHeight="1">
      <c r="C701" s="71" t="s">
        <v>6769</v>
      </c>
      <c r="D701" s="71" t="s">
        <v>9071</v>
      </c>
    </row>
    <row r="702" ht="14.25" customHeight="1">
      <c r="D702" s="71" t="s">
        <v>9028</v>
      </c>
    </row>
    <row r="703" ht="14.25" customHeight="1">
      <c r="C703" s="71" t="s">
        <v>208</v>
      </c>
      <c r="D703" s="71" t="s">
        <v>9071</v>
      </c>
    </row>
    <row r="704" ht="14.25" customHeight="1">
      <c r="C704" s="71" t="s">
        <v>6845</v>
      </c>
      <c r="D704" s="71" t="s">
        <v>9071</v>
      </c>
    </row>
    <row r="705" ht="14.25" customHeight="1">
      <c r="C705" s="71" t="s">
        <v>13910</v>
      </c>
      <c r="D705" s="71" t="s">
        <v>13911</v>
      </c>
    </row>
    <row r="706" ht="14.25" customHeight="1">
      <c r="C706" s="71" t="s">
        <v>13912</v>
      </c>
      <c r="D706" s="71" t="s">
        <v>13913</v>
      </c>
    </row>
    <row r="707" ht="14.25" customHeight="1">
      <c r="C707" s="71" t="s">
        <v>9434</v>
      </c>
      <c r="D707" s="71" t="s">
        <v>9583</v>
      </c>
    </row>
    <row r="708" ht="14.25" customHeight="1">
      <c r="C708" s="71" t="s">
        <v>262</v>
      </c>
      <c r="D708" s="71" t="s">
        <v>9817</v>
      </c>
    </row>
    <row r="709" ht="14.25" customHeight="1">
      <c r="C709" s="71" t="s">
        <v>263</v>
      </c>
      <c r="D709" s="71" t="s">
        <v>9618</v>
      </c>
    </row>
    <row r="710" ht="14.25" customHeight="1">
      <c r="C710" s="71" t="s">
        <v>13914</v>
      </c>
      <c r="D710" s="71" t="s">
        <v>9071</v>
      </c>
    </row>
    <row r="711" ht="14.25" customHeight="1">
      <c r="A711" s="71" t="s">
        <v>9824</v>
      </c>
      <c r="B711" s="71" t="s">
        <v>40</v>
      </c>
      <c r="C711" s="71" t="s">
        <v>2408</v>
      </c>
      <c r="D711" s="71" t="s">
        <v>13915</v>
      </c>
    </row>
    <row r="712" ht="14.25" customHeight="1">
      <c r="C712" s="71" t="s">
        <v>13916</v>
      </c>
      <c r="D712" s="71" t="s">
        <v>13917</v>
      </c>
    </row>
    <row r="713" ht="14.25" customHeight="1">
      <c r="C713" s="71" t="s">
        <v>13918</v>
      </c>
      <c r="D713" s="71" t="s">
        <v>13919</v>
      </c>
    </row>
    <row r="714" ht="14.25" customHeight="1">
      <c r="B714" s="71" t="s">
        <v>41</v>
      </c>
      <c r="C714" s="71" t="s">
        <v>13920</v>
      </c>
      <c r="D714" s="71" t="s">
        <v>8968</v>
      </c>
    </row>
    <row r="715" ht="14.25" customHeight="1">
      <c r="C715" s="71" t="s">
        <v>11612</v>
      </c>
      <c r="D715" s="71" t="s">
        <v>13921</v>
      </c>
    </row>
    <row r="716" ht="14.25" customHeight="1">
      <c r="C716" s="71" t="s">
        <v>4035</v>
      </c>
      <c r="D716" s="71" t="s">
        <v>13922</v>
      </c>
    </row>
    <row r="717" ht="14.25" customHeight="1">
      <c r="B717" s="71" t="s">
        <v>13</v>
      </c>
      <c r="C717" s="71" t="s">
        <v>2408</v>
      </c>
      <c r="D717" s="71" t="s">
        <v>13923</v>
      </c>
    </row>
    <row r="718" ht="14.25" customHeight="1">
      <c r="C718" s="71" t="s">
        <v>13924</v>
      </c>
      <c r="D718" s="71" t="s">
        <v>13925</v>
      </c>
    </row>
    <row r="719" ht="14.25" customHeight="1">
      <c r="C719" s="71" t="s">
        <v>13926</v>
      </c>
      <c r="D719" s="71" t="s">
        <v>13298</v>
      </c>
    </row>
    <row r="720" ht="14.25" customHeight="1">
      <c r="C720" s="71" t="s">
        <v>9329</v>
      </c>
      <c r="D720" s="71" t="s">
        <v>13927</v>
      </c>
    </row>
    <row r="721" ht="14.25" customHeight="1">
      <c r="D721" s="71" t="s">
        <v>9073</v>
      </c>
    </row>
    <row r="722" ht="14.25" customHeight="1">
      <c r="D722" s="71" t="s">
        <v>13928</v>
      </c>
    </row>
    <row r="723" ht="14.25" customHeight="1">
      <c r="C723" s="71" t="s">
        <v>9804</v>
      </c>
      <c r="D723" s="71" t="s">
        <v>10608</v>
      </c>
    </row>
    <row r="724" ht="14.25" customHeight="1">
      <c r="C724" s="71" t="s">
        <v>1702</v>
      </c>
      <c r="D724" s="71" t="s">
        <v>13655</v>
      </c>
    </row>
    <row r="725" ht="14.25" customHeight="1">
      <c r="C725" s="71" t="s">
        <v>13929</v>
      </c>
      <c r="D725" s="71" t="s">
        <v>9176</v>
      </c>
    </row>
    <row r="726" ht="14.25" customHeight="1">
      <c r="C726" s="71" t="s">
        <v>13930</v>
      </c>
      <c r="D726" s="71" t="s">
        <v>13528</v>
      </c>
    </row>
    <row r="727" ht="14.25" customHeight="1">
      <c r="C727" s="71" t="s">
        <v>13931</v>
      </c>
      <c r="D727" s="71" t="s">
        <v>13932</v>
      </c>
    </row>
    <row r="728" ht="14.25" customHeight="1">
      <c r="C728" s="71" t="s">
        <v>9090</v>
      </c>
      <c r="D728" s="71" t="s">
        <v>13528</v>
      </c>
    </row>
    <row r="729" ht="14.25" customHeight="1">
      <c r="A729" s="71" t="s">
        <v>9840</v>
      </c>
      <c r="B729" s="71" t="s">
        <v>40</v>
      </c>
      <c r="C729" s="71" t="s">
        <v>11760</v>
      </c>
      <c r="D729" s="71" t="s">
        <v>9028</v>
      </c>
    </row>
    <row r="730" ht="14.25" customHeight="1">
      <c r="C730" s="71" t="s">
        <v>62</v>
      </c>
      <c r="D730" s="71" t="s">
        <v>13933</v>
      </c>
    </row>
    <row r="731" ht="14.25" customHeight="1">
      <c r="C731" s="71" t="s">
        <v>13934</v>
      </c>
      <c r="D731" s="71" t="s">
        <v>9831</v>
      </c>
    </row>
    <row r="732" ht="14.25" customHeight="1">
      <c r="C732" s="71" t="s">
        <v>10916</v>
      </c>
      <c r="D732" s="71" t="s">
        <v>10124</v>
      </c>
    </row>
    <row r="733" ht="14.25" customHeight="1">
      <c r="C733" s="71" t="s">
        <v>13935</v>
      </c>
      <c r="D733" s="71" t="s">
        <v>10124</v>
      </c>
    </row>
    <row r="734" ht="14.25" customHeight="1">
      <c r="C734" s="71" t="s">
        <v>7471</v>
      </c>
      <c r="D734" s="71" t="s">
        <v>13936</v>
      </c>
    </row>
    <row r="735" ht="14.25" customHeight="1">
      <c r="C735" s="71" t="s">
        <v>78</v>
      </c>
      <c r="D735" s="71" t="s">
        <v>9305</v>
      </c>
    </row>
    <row r="736" ht="14.25" customHeight="1">
      <c r="C736" s="71" t="s">
        <v>11179</v>
      </c>
      <c r="D736" s="71" t="s">
        <v>9028</v>
      </c>
    </row>
    <row r="737" ht="14.25" customHeight="1">
      <c r="C737" s="71" t="s">
        <v>1889</v>
      </c>
      <c r="D737" s="71" t="s">
        <v>8976</v>
      </c>
    </row>
    <row r="738" ht="14.25" customHeight="1">
      <c r="C738" s="71" t="s">
        <v>86</v>
      </c>
      <c r="D738" s="71" t="s">
        <v>9604</v>
      </c>
    </row>
    <row r="739" ht="14.25" customHeight="1">
      <c r="C739" s="71" t="s">
        <v>87</v>
      </c>
      <c r="D739" s="71" t="s">
        <v>13937</v>
      </c>
    </row>
    <row r="740" ht="14.25" customHeight="1">
      <c r="C740" s="71" t="s">
        <v>13938</v>
      </c>
      <c r="D740" s="71" t="s">
        <v>13939</v>
      </c>
    </row>
    <row r="741" ht="14.25" customHeight="1">
      <c r="C741" s="71" t="s">
        <v>776</v>
      </c>
      <c r="D741" s="71" t="s">
        <v>9066</v>
      </c>
    </row>
    <row r="742" ht="14.25" customHeight="1">
      <c r="C742" s="71" t="s">
        <v>10660</v>
      </c>
      <c r="D742" s="71" t="s">
        <v>10459</v>
      </c>
    </row>
    <row r="743" ht="14.25" customHeight="1">
      <c r="D743" s="71" t="s">
        <v>9028</v>
      </c>
    </row>
    <row r="744" ht="14.25" customHeight="1">
      <c r="C744" s="71" t="s">
        <v>6057</v>
      </c>
      <c r="D744" s="71" t="s">
        <v>13940</v>
      </c>
    </row>
    <row r="745" ht="14.25" customHeight="1">
      <c r="C745" s="71" t="s">
        <v>2798</v>
      </c>
      <c r="D745" s="71" t="s">
        <v>9741</v>
      </c>
    </row>
    <row r="746" ht="14.25" customHeight="1">
      <c r="C746" s="71" t="s">
        <v>9630</v>
      </c>
      <c r="D746" s="71" t="s">
        <v>9430</v>
      </c>
    </row>
    <row r="747" ht="14.25" customHeight="1">
      <c r="C747" s="71" t="s">
        <v>9747</v>
      </c>
      <c r="D747" s="71" t="s">
        <v>13573</v>
      </c>
    </row>
    <row r="748" ht="14.25" customHeight="1">
      <c r="C748" s="71" t="s">
        <v>112</v>
      </c>
      <c r="D748" s="71" t="s">
        <v>9216</v>
      </c>
    </row>
    <row r="749" ht="14.25" customHeight="1">
      <c r="C749" s="71" t="s">
        <v>300</v>
      </c>
      <c r="D749" s="71" t="s">
        <v>9109</v>
      </c>
    </row>
    <row r="750" ht="14.25" customHeight="1">
      <c r="C750" s="71" t="s">
        <v>8981</v>
      </c>
      <c r="D750" s="71" t="s">
        <v>8982</v>
      </c>
    </row>
    <row r="751" ht="14.25" customHeight="1">
      <c r="C751" s="71" t="s">
        <v>11724</v>
      </c>
      <c r="D751" s="71" t="s">
        <v>13941</v>
      </c>
    </row>
    <row r="752" ht="14.25" customHeight="1">
      <c r="C752" s="71" t="s">
        <v>9133</v>
      </c>
      <c r="D752" s="71" t="s">
        <v>9151</v>
      </c>
    </row>
    <row r="753" ht="14.25" customHeight="1">
      <c r="D753" s="71" t="s">
        <v>13942</v>
      </c>
    </row>
    <row r="754" ht="14.25" customHeight="1">
      <c r="D754" s="71" t="s">
        <v>11776</v>
      </c>
    </row>
    <row r="755" ht="14.25" customHeight="1">
      <c r="C755" s="71" t="s">
        <v>9862</v>
      </c>
      <c r="D755" s="71" t="s">
        <v>9525</v>
      </c>
    </row>
    <row r="756" ht="14.25" customHeight="1">
      <c r="C756" s="71" t="s">
        <v>128</v>
      </c>
      <c r="D756" s="71" t="s">
        <v>9864</v>
      </c>
    </row>
    <row r="757" ht="14.25" customHeight="1">
      <c r="C757" s="71" t="s">
        <v>10094</v>
      </c>
      <c r="D757" s="71" t="s">
        <v>10095</v>
      </c>
    </row>
    <row r="758" ht="14.25" customHeight="1">
      <c r="C758" s="71" t="s">
        <v>9641</v>
      </c>
      <c r="D758" s="71" t="s">
        <v>13943</v>
      </c>
    </row>
    <row r="759" ht="14.25" customHeight="1">
      <c r="C759" s="71" t="s">
        <v>3138</v>
      </c>
      <c r="D759" s="71" t="s">
        <v>8968</v>
      </c>
    </row>
    <row r="760" ht="14.25" customHeight="1">
      <c r="D760" s="71" t="s">
        <v>9867</v>
      </c>
    </row>
    <row r="761" ht="14.25" customHeight="1">
      <c r="C761" s="71" t="s">
        <v>13944</v>
      </c>
      <c r="D761" s="71" t="s">
        <v>13945</v>
      </c>
    </row>
    <row r="762" ht="14.25" customHeight="1">
      <c r="C762" s="71" t="s">
        <v>9145</v>
      </c>
      <c r="D762" s="71" t="s">
        <v>9028</v>
      </c>
    </row>
    <row r="763" ht="14.25" customHeight="1">
      <c r="C763" s="71" t="s">
        <v>13946</v>
      </c>
      <c r="D763" s="71" t="s">
        <v>13947</v>
      </c>
    </row>
    <row r="764" ht="14.25" customHeight="1">
      <c r="C764" s="71" t="s">
        <v>9882</v>
      </c>
      <c r="D764" s="71" t="s">
        <v>9034</v>
      </c>
    </row>
    <row r="765" ht="14.25" customHeight="1">
      <c r="C765" s="71" t="s">
        <v>312</v>
      </c>
      <c r="D765" s="71" t="s">
        <v>8994</v>
      </c>
    </row>
    <row r="766" ht="14.25" customHeight="1">
      <c r="C766" s="71" t="s">
        <v>3566</v>
      </c>
      <c r="D766" s="71" t="s">
        <v>9034</v>
      </c>
    </row>
    <row r="767" ht="14.25" customHeight="1">
      <c r="D767" s="71" t="s">
        <v>8989</v>
      </c>
    </row>
    <row r="768" ht="14.25" customHeight="1">
      <c r="D768" s="71" t="s">
        <v>13948</v>
      </c>
    </row>
    <row r="769" ht="14.25" customHeight="1">
      <c r="D769" s="71" t="s">
        <v>10124</v>
      </c>
    </row>
    <row r="770" ht="14.25" customHeight="1">
      <c r="D770" s="71" t="s">
        <v>13949</v>
      </c>
    </row>
    <row r="771" ht="14.25" customHeight="1">
      <c r="D771" s="71" t="s">
        <v>8976</v>
      </c>
    </row>
    <row r="772" ht="14.25" customHeight="1">
      <c r="C772" s="71" t="s">
        <v>3596</v>
      </c>
      <c r="D772" s="71" t="s">
        <v>9131</v>
      </c>
    </row>
    <row r="773" ht="14.25" customHeight="1">
      <c r="D773" s="71" t="s">
        <v>10124</v>
      </c>
    </row>
    <row r="774" ht="14.25" customHeight="1">
      <c r="D774" s="71" t="s">
        <v>11596</v>
      </c>
    </row>
    <row r="775" ht="14.25" customHeight="1">
      <c r="D775" s="71" t="s">
        <v>9055</v>
      </c>
    </row>
    <row r="776" ht="14.25" customHeight="1">
      <c r="D776" s="71" t="s">
        <v>12618</v>
      </c>
    </row>
    <row r="777" ht="14.25" customHeight="1">
      <c r="C777" s="71" t="s">
        <v>6654</v>
      </c>
      <c r="D777" s="71" t="s">
        <v>9873</v>
      </c>
    </row>
    <row r="778" ht="14.25" customHeight="1">
      <c r="C778" s="71" t="s">
        <v>184</v>
      </c>
      <c r="D778" s="71" t="s">
        <v>9109</v>
      </c>
    </row>
    <row r="779" ht="14.25" customHeight="1">
      <c r="D779" s="71" t="s">
        <v>13950</v>
      </c>
    </row>
    <row r="780" ht="14.25" customHeight="1">
      <c r="C780" s="71" t="s">
        <v>191</v>
      </c>
      <c r="D780" s="71" t="s">
        <v>9028</v>
      </c>
    </row>
    <row r="781" ht="14.25" customHeight="1">
      <c r="D781" s="71" t="s">
        <v>13951</v>
      </c>
    </row>
    <row r="782" ht="14.25" customHeight="1">
      <c r="C782" s="71" t="s">
        <v>9277</v>
      </c>
      <c r="D782" s="71" t="s">
        <v>8978</v>
      </c>
    </row>
    <row r="783" ht="14.25" customHeight="1">
      <c r="C783" s="71" t="s">
        <v>5224</v>
      </c>
      <c r="D783" s="71" t="s">
        <v>11877</v>
      </c>
    </row>
    <row r="784" ht="14.25" customHeight="1">
      <c r="C784" s="71" t="s">
        <v>204</v>
      </c>
      <c r="D784" s="71" t="s">
        <v>13952</v>
      </c>
    </row>
    <row r="785" ht="14.25" customHeight="1">
      <c r="C785" s="71" t="s">
        <v>208</v>
      </c>
      <c r="D785" s="71" t="s">
        <v>10486</v>
      </c>
    </row>
    <row r="786" ht="14.25" customHeight="1">
      <c r="C786" s="71" t="s">
        <v>13953</v>
      </c>
      <c r="D786" s="71" t="s">
        <v>9319</v>
      </c>
    </row>
    <row r="787" ht="14.25" customHeight="1">
      <c r="C787" s="71" t="s">
        <v>210</v>
      </c>
      <c r="D787" s="71" t="s">
        <v>9073</v>
      </c>
    </row>
    <row r="788" ht="14.25" customHeight="1">
      <c r="C788" s="71" t="s">
        <v>215</v>
      </c>
      <c r="D788" s="71" t="s">
        <v>9109</v>
      </c>
    </row>
    <row r="789" ht="14.25" customHeight="1">
      <c r="C789" s="71" t="s">
        <v>224</v>
      </c>
      <c r="D789" s="71" t="s">
        <v>8968</v>
      </c>
    </row>
    <row r="790" ht="14.25" customHeight="1">
      <c r="C790" s="71" t="s">
        <v>8576</v>
      </c>
      <c r="D790" s="71" t="s">
        <v>8976</v>
      </c>
    </row>
    <row r="791" ht="14.25" customHeight="1">
      <c r="C791" s="71" t="s">
        <v>13954</v>
      </c>
      <c r="D791" s="71" t="s">
        <v>9168</v>
      </c>
    </row>
    <row r="792" ht="14.25" customHeight="1">
      <c r="C792" s="71" t="s">
        <v>229</v>
      </c>
      <c r="D792" s="71" t="s">
        <v>13470</v>
      </c>
    </row>
    <row r="793" ht="14.25" customHeight="1">
      <c r="C793" s="71" t="s">
        <v>13955</v>
      </c>
      <c r="D793" s="71" t="s">
        <v>9152</v>
      </c>
    </row>
    <row r="794" ht="14.25" customHeight="1">
      <c r="C794" s="71" t="s">
        <v>4035</v>
      </c>
      <c r="D794" s="71" t="s">
        <v>10124</v>
      </c>
    </row>
    <row r="795" ht="14.25" customHeight="1">
      <c r="C795" s="71" t="s">
        <v>10252</v>
      </c>
      <c r="D795" s="71" t="s">
        <v>13956</v>
      </c>
    </row>
    <row r="796" ht="14.25" customHeight="1">
      <c r="C796" s="71" t="s">
        <v>13957</v>
      </c>
      <c r="D796" s="71" t="s">
        <v>9875</v>
      </c>
    </row>
    <row r="797" ht="14.25" customHeight="1">
      <c r="C797" s="71" t="s">
        <v>9215</v>
      </c>
      <c r="D797" s="71" t="s">
        <v>13958</v>
      </c>
    </row>
    <row r="798" ht="14.25" customHeight="1">
      <c r="C798" s="71" t="s">
        <v>13959</v>
      </c>
      <c r="D798" s="71" t="s">
        <v>13960</v>
      </c>
    </row>
    <row r="799" ht="14.25" customHeight="1">
      <c r="C799" s="71" t="s">
        <v>13961</v>
      </c>
      <c r="D799" s="71" t="s">
        <v>9618</v>
      </c>
    </row>
    <row r="800" ht="14.25" customHeight="1">
      <c r="C800" s="71" t="s">
        <v>254</v>
      </c>
      <c r="D800" s="71" t="s">
        <v>10124</v>
      </c>
    </row>
    <row r="801" ht="14.25" customHeight="1">
      <c r="C801" s="71" t="s">
        <v>255</v>
      </c>
      <c r="D801" s="71" t="s">
        <v>9778</v>
      </c>
    </row>
    <row r="802" ht="14.25" customHeight="1">
      <c r="C802" s="71" t="s">
        <v>9434</v>
      </c>
      <c r="D802" s="71" t="s">
        <v>13962</v>
      </c>
    </row>
    <row r="803" ht="14.25" customHeight="1">
      <c r="D803" s="71" t="s">
        <v>13963</v>
      </c>
    </row>
    <row r="804" ht="14.25" customHeight="1">
      <c r="C804" s="71" t="s">
        <v>11006</v>
      </c>
      <c r="D804" s="71" t="s">
        <v>9055</v>
      </c>
    </row>
    <row r="805" ht="14.25" customHeight="1">
      <c r="C805" s="71" t="s">
        <v>4326</v>
      </c>
      <c r="D805" s="71" t="s">
        <v>9002</v>
      </c>
    </row>
    <row r="806" ht="14.25" customHeight="1">
      <c r="D806" s="71" t="s">
        <v>13964</v>
      </c>
    </row>
    <row r="807" ht="14.25" customHeight="1">
      <c r="C807" s="71" t="s">
        <v>324</v>
      </c>
      <c r="D807" s="71" t="s">
        <v>9877</v>
      </c>
    </row>
    <row r="808" ht="14.25" customHeight="1">
      <c r="C808" s="71" t="s">
        <v>13965</v>
      </c>
      <c r="D808" s="71" t="s">
        <v>13966</v>
      </c>
    </row>
    <row r="809" ht="14.25" customHeight="1">
      <c r="C809" s="71" t="s">
        <v>10758</v>
      </c>
      <c r="D809" s="71" t="s">
        <v>9430</v>
      </c>
    </row>
    <row r="810" ht="14.25" customHeight="1">
      <c r="C810" s="71" t="s">
        <v>13967</v>
      </c>
      <c r="D810" s="71" t="s">
        <v>9485</v>
      </c>
    </row>
    <row r="811" ht="14.25" customHeight="1">
      <c r="B811" s="71" t="s">
        <v>41</v>
      </c>
      <c r="C811" s="71" t="s">
        <v>13968</v>
      </c>
      <c r="D811" s="71" t="s">
        <v>13969</v>
      </c>
    </row>
    <row r="812" ht="14.25" customHeight="1">
      <c r="C812" s="71" t="s">
        <v>12076</v>
      </c>
      <c r="D812" s="71" t="s">
        <v>9867</v>
      </c>
    </row>
    <row r="813" ht="14.25" customHeight="1">
      <c r="C813" s="71" t="s">
        <v>1889</v>
      </c>
      <c r="D813" s="71" t="s">
        <v>9018</v>
      </c>
    </row>
    <row r="814" ht="14.25" customHeight="1">
      <c r="D814" s="71" t="s">
        <v>9583</v>
      </c>
    </row>
    <row r="815" ht="14.25" customHeight="1">
      <c r="C815" s="71" t="s">
        <v>13970</v>
      </c>
      <c r="D815" s="71" t="s">
        <v>9034</v>
      </c>
    </row>
    <row r="816" ht="14.25" customHeight="1">
      <c r="C816" s="71" t="s">
        <v>89</v>
      </c>
      <c r="D816" s="71" t="s">
        <v>13971</v>
      </c>
    </row>
    <row r="817" ht="14.25" customHeight="1">
      <c r="C817" s="71" t="s">
        <v>10650</v>
      </c>
      <c r="D817" s="71" t="s">
        <v>10080</v>
      </c>
    </row>
    <row r="818" ht="14.25" customHeight="1">
      <c r="C818" s="71" t="s">
        <v>13972</v>
      </c>
      <c r="D818" s="71" t="s">
        <v>9404</v>
      </c>
    </row>
    <row r="819" ht="14.25" customHeight="1">
      <c r="C819" s="71" t="s">
        <v>9133</v>
      </c>
      <c r="D819" s="71" t="s">
        <v>10090</v>
      </c>
    </row>
    <row r="820" ht="14.25" customHeight="1">
      <c r="C820" s="71" t="s">
        <v>141</v>
      </c>
      <c r="D820" s="71" t="s">
        <v>9859</v>
      </c>
    </row>
    <row r="821" ht="14.25" customHeight="1">
      <c r="C821" s="71" t="s">
        <v>13973</v>
      </c>
      <c r="D821" s="71" t="s">
        <v>13974</v>
      </c>
    </row>
    <row r="822" ht="14.25" customHeight="1">
      <c r="C822" s="71" t="s">
        <v>13975</v>
      </c>
      <c r="D822" s="71" t="s">
        <v>9583</v>
      </c>
    </row>
    <row r="823" ht="14.25" customHeight="1">
      <c r="C823" s="71" t="s">
        <v>3313</v>
      </c>
      <c r="D823" s="71" t="s">
        <v>13976</v>
      </c>
    </row>
    <row r="824" ht="14.25" customHeight="1">
      <c r="C824" s="71" t="s">
        <v>13977</v>
      </c>
      <c r="D824" s="71" t="s">
        <v>13328</v>
      </c>
    </row>
    <row r="825" ht="14.25" customHeight="1">
      <c r="C825" s="71" t="s">
        <v>13978</v>
      </c>
      <c r="D825" s="71" t="s">
        <v>9583</v>
      </c>
    </row>
    <row r="826" ht="14.25" customHeight="1">
      <c r="C826" s="71" t="s">
        <v>3566</v>
      </c>
      <c r="D826" s="71" t="s">
        <v>13979</v>
      </c>
    </row>
    <row r="827" ht="14.25" customHeight="1">
      <c r="C827" s="71" t="s">
        <v>9543</v>
      </c>
      <c r="D827" s="71" t="s">
        <v>13980</v>
      </c>
    </row>
    <row r="828" ht="14.25" customHeight="1">
      <c r="C828" s="71" t="s">
        <v>10636</v>
      </c>
      <c r="D828" s="71" t="s">
        <v>10080</v>
      </c>
    </row>
    <row r="829" ht="14.25" customHeight="1">
      <c r="C829" s="71" t="s">
        <v>10905</v>
      </c>
      <c r="D829" s="71" t="s">
        <v>13981</v>
      </c>
    </row>
    <row r="830" ht="14.25" customHeight="1">
      <c r="C830" s="71" t="s">
        <v>211</v>
      </c>
      <c r="D830" s="71" t="s">
        <v>9778</v>
      </c>
    </row>
    <row r="831" ht="14.25" customHeight="1">
      <c r="C831" s="71" t="s">
        <v>4035</v>
      </c>
      <c r="D831" s="71" t="s">
        <v>10124</v>
      </c>
    </row>
    <row r="832" ht="14.25" customHeight="1">
      <c r="C832" s="71" t="s">
        <v>9215</v>
      </c>
      <c r="D832" s="71" t="s">
        <v>13982</v>
      </c>
    </row>
    <row r="833" ht="14.25" customHeight="1">
      <c r="B833" s="71" t="s">
        <v>13</v>
      </c>
      <c r="C833" s="71" t="s">
        <v>9313</v>
      </c>
      <c r="D833" s="71" t="s">
        <v>13983</v>
      </c>
    </row>
    <row r="834" ht="14.25" customHeight="1">
      <c r="C834" s="71" t="s">
        <v>2408</v>
      </c>
      <c r="D834" s="71" t="s">
        <v>13984</v>
      </c>
    </row>
    <row r="835" ht="14.25" customHeight="1">
      <c r="C835" s="71" t="s">
        <v>1889</v>
      </c>
      <c r="D835" s="71" t="s">
        <v>13985</v>
      </c>
    </row>
    <row r="836" ht="14.25" customHeight="1">
      <c r="C836" s="71" t="s">
        <v>13986</v>
      </c>
      <c r="D836" s="71" t="s">
        <v>13987</v>
      </c>
    </row>
    <row r="837" ht="14.25" customHeight="1">
      <c r="C837" s="71" t="s">
        <v>13988</v>
      </c>
      <c r="D837" s="71" t="s">
        <v>11444</v>
      </c>
    </row>
    <row r="838" ht="14.25" customHeight="1">
      <c r="C838" s="71" t="s">
        <v>13989</v>
      </c>
      <c r="D838" s="71" t="s">
        <v>9073</v>
      </c>
    </row>
    <row r="839" ht="14.25" customHeight="1">
      <c r="C839" s="71" t="s">
        <v>13990</v>
      </c>
      <c r="D839" s="71" t="s">
        <v>9174</v>
      </c>
    </row>
    <row r="840" ht="14.25" customHeight="1">
      <c r="C840" s="71" t="s">
        <v>13991</v>
      </c>
      <c r="D840" s="71" t="s">
        <v>13992</v>
      </c>
    </row>
    <row r="841" ht="14.25" customHeight="1">
      <c r="C841" s="71" t="s">
        <v>12084</v>
      </c>
      <c r="D841" s="71" t="s">
        <v>8968</v>
      </c>
    </row>
    <row r="842" ht="14.25" customHeight="1">
      <c r="C842" s="71" t="s">
        <v>13993</v>
      </c>
      <c r="D842" s="71" t="s">
        <v>13994</v>
      </c>
    </row>
    <row r="843" ht="14.25" customHeight="1">
      <c r="C843" s="71" t="s">
        <v>11820</v>
      </c>
      <c r="D843" s="71" t="s">
        <v>9034</v>
      </c>
    </row>
    <row r="844" ht="14.25" customHeight="1">
      <c r="C844" s="71" t="s">
        <v>1702</v>
      </c>
      <c r="D844" s="71" t="s">
        <v>13528</v>
      </c>
    </row>
    <row r="845" ht="14.25" customHeight="1">
      <c r="C845" s="71" t="s">
        <v>13995</v>
      </c>
      <c r="D845" s="71" t="s">
        <v>9174</v>
      </c>
    </row>
    <row r="846" ht="14.25" customHeight="1">
      <c r="C846" s="71" t="s">
        <v>13996</v>
      </c>
      <c r="D846" s="71" t="s">
        <v>9332</v>
      </c>
    </row>
    <row r="847" ht="14.25" customHeight="1">
      <c r="C847" s="71" t="s">
        <v>13477</v>
      </c>
      <c r="D847" s="71" t="s">
        <v>8968</v>
      </c>
    </row>
    <row r="848" ht="14.25" customHeight="1">
      <c r="C848" s="71" t="s">
        <v>9090</v>
      </c>
      <c r="D848" s="71" t="s">
        <v>9174</v>
      </c>
    </row>
    <row r="849" ht="14.25" customHeight="1">
      <c r="D849" s="71" t="s">
        <v>13528</v>
      </c>
    </row>
    <row r="850" ht="14.25" customHeight="1">
      <c r="D850" s="71" t="s">
        <v>10608</v>
      </c>
    </row>
    <row r="851" ht="14.25" customHeight="1">
      <c r="C851" s="71" t="s">
        <v>13997</v>
      </c>
      <c r="D851" s="71" t="s">
        <v>13528</v>
      </c>
    </row>
    <row r="852" ht="14.25" customHeight="1">
      <c r="A852" s="71" t="s">
        <v>9935</v>
      </c>
      <c r="B852" s="71" t="s">
        <v>40</v>
      </c>
      <c r="C852" s="71" t="s">
        <v>9257</v>
      </c>
      <c r="D852" s="71" t="s">
        <v>10027</v>
      </c>
    </row>
    <row r="853" ht="14.25" customHeight="1">
      <c r="C853" s="71" t="s">
        <v>13998</v>
      </c>
      <c r="D853" s="71" t="s">
        <v>10222</v>
      </c>
    </row>
    <row r="854" ht="14.25" customHeight="1">
      <c r="C854" s="71" t="s">
        <v>7471</v>
      </c>
      <c r="D854" s="71" t="s">
        <v>13999</v>
      </c>
    </row>
    <row r="855" ht="14.25" customHeight="1">
      <c r="C855" s="71" t="s">
        <v>14000</v>
      </c>
      <c r="D855" s="71" t="s">
        <v>13066</v>
      </c>
    </row>
    <row r="856" ht="14.25" customHeight="1">
      <c r="C856" s="71" t="s">
        <v>10737</v>
      </c>
      <c r="D856" s="71" t="s">
        <v>14001</v>
      </c>
    </row>
    <row r="857" ht="14.25" customHeight="1">
      <c r="C857" s="71" t="s">
        <v>9641</v>
      </c>
      <c r="D857" s="71" t="s">
        <v>13943</v>
      </c>
    </row>
    <row r="858" ht="14.25" customHeight="1">
      <c r="C858" s="71" t="s">
        <v>12034</v>
      </c>
      <c r="D858" s="71" t="s">
        <v>12517</v>
      </c>
    </row>
    <row r="859" ht="14.25" customHeight="1">
      <c r="C859" s="71" t="s">
        <v>14002</v>
      </c>
      <c r="D859" s="71" t="s">
        <v>14003</v>
      </c>
    </row>
    <row r="860" ht="14.25" customHeight="1">
      <c r="C860" s="71" t="s">
        <v>3566</v>
      </c>
      <c r="D860" s="71" t="s">
        <v>9265</v>
      </c>
    </row>
    <row r="861" ht="14.25" customHeight="1">
      <c r="C861" s="71" t="s">
        <v>3596</v>
      </c>
      <c r="D861" s="71" t="s">
        <v>12468</v>
      </c>
    </row>
    <row r="862" ht="14.25" customHeight="1">
      <c r="C862" s="71" t="s">
        <v>215</v>
      </c>
      <c r="D862" s="71" t="s">
        <v>10517</v>
      </c>
    </row>
    <row r="863" ht="14.25" customHeight="1">
      <c r="C863" s="71" t="s">
        <v>14004</v>
      </c>
      <c r="D863" s="71" t="s">
        <v>9028</v>
      </c>
    </row>
    <row r="864" ht="14.25" customHeight="1">
      <c r="C864" s="71" t="s">
        <v>255</v>
      </c>
      <c r="D864" s="71" t="s">
        <v>9075</v>
      </c>
    </row>
    <row r="865" ht="14.25" customHeight="1">
      <c r="C865" s="71" t="s">
        <v>9434</v>
      </c>
      <c r="D865" s="71" t="s">
        <v>14005</v>
      </c>
    </row>
    <row r="866" ht="14.25" customHeight="1">
      <c r="A866" s="71" t="s">
        <v>9948</v>
      </c>
      <c r="B866" s="71" t="s">
        <v>40</v>
      </c>
      <c r="C866" s="71" t="s">
        <v>14006</v>
      </c>
      <c r="D866" s="71" t="s">
        <v>14007</v>
      </c>
    </row>
    <row r="867" ht="14.25" customHeight="1">
      <c r="B867" s="71" t="s">
        <v>41</v>
      </c>
      <c r="C867" s="71" t="s">
        <v>3596</v>
      </c>
      <c r="D867" s="71" t="s">
        <v>14008</v>
      </c>
    </row>
    <row r="868" ht="14.25" customHeight="1">
      <c r="D868" s="71" t="s">
        <v>11487</v>
      </c>
    </row>
    <row r="869" ht="14.25" customHeight="1">
      <c r="C869" s="71" t="s">
        <v>14009</v>
      </c>
      <c r="D869" s="71" t="s">
        <v>14010</v>
      </c>
    </row>
    <row r="870" ht="14.25" customHeight="1">
      <c r="B870" s="71" t="s">
        <v>13</v>
      </c>
      <c r="C870" s="71" t="s">
        <v>13172</v>
      </c>
      <c r="D870" s="71" t="s">
        <v>9972</v>
      </c>
    </row>
    <row r="871" ht="14.25" customHeight="1">
      <c r="C871" s="71" t="s">
        <v>14011</v>
      </c>
      <c r="D871" s="71" t="s">
        <v>9972</v>
      </c>
    </row>
    <row r="872" ht="14.25" customHeight="1">
      <c r="C872" s="71" t="s">
        <v>233</v>
      </c>
      <c r="D872" s="71" t="s">
        <v>14012</v>
      </c>
    </row>
    <row r="873" ht="14.25" customHeight="1">
      <c r="C873" s="71" t="s">
        <v>13930</v>
      </c>
      <c r="D873" s="71" t="s">
        <v>13528</v>
      </c>
    </row>
    <row r="874" ht="14.25" customHeight="1">
      <c r="A874" s="71" t="s">
        <v>9978</v>
      </c>
      <c r="B874" s="71" t="s">
        <v>40</v>
      </c>
      <c r="C874" s="71" t="s">
        <v>10950</v>
      </c>
      <c r="D874" s="71" t="s">
        <v>14013</v>
      </c>
    </row>
    <row r="875" ht="14.25" customHeight="1">
      <c r="C875" s="71" t="s">
        <v>255</v>
      </c>
      <c r="D875" s="71" t="s">
        <v>9778</v>
      </c>
    </row>
    <row r="876" ht="14.25" customHeight="1">
      <c r="B876" s="71" t="s">
        <v>41</v>
      </c>
      <c r="C876" s="71" t="s">
        <v>14014</v>
      </c>
      <c r="D876" s="71" t="s">
        <v>14015</v>
      </c>
    </row>
    <row r="877" ht="14.25" customHeight="1">
      <c r="C877" s="71" t="s">
        <v>14016</v>
      </c>
      <c r="D877" s="71" t="s">
        <v>9180</v>
      </c>
    </row>
    <row r="878" ht="14.25" customHeight="1">
      <c r="B878" s="71" t="s">
        <v>13</v>
      </c>
      <c r="C878" s="71" t="s">
        <v>14017</v>
      </c>
      <c r="D878" s="71" t="s">
        <v>13528</v>
      </c>
    </row>
    <row r="879" ht="14.25" customHeight="1">
      <c r="C879" s="71" t="s">
        <v>14018</v>
      </c>
      <c r="D879" s="71" t="s">
        <v>13528</v>
      </c>
    </row>
    <row r="880" ht="14.25" customHeight="1">
      <c r="C880" s="71" t="s">
        <v>14019</v>
      </c>
      <c r="D880" s="71" t="s">
        <v>13528</v>
      </c>
    </row>
    <row r="881" ht="14.25" customHeight="1">
      <c r="A881" s="71" t="s">
        <v>9998</v>
      </c>
      <c r="B881" s="71" t="s">
        <v>40</v>
      </c>
      <c r="C881" s="71" t="s">
        <v>9034</v>
      </c>
      <c r="D881" s="71" t="s">
        <v>10001</v>
      </c>
    </row>
    <row r="882" ht="14.25" customHeight="1">
      <c r="C882" s="71" t="s">
        <v>6011</v>
      </c>
      <c r="D882" s="71" t="s">
        <v>8968</v>
      </c>
    </row>
    <row r="883" ht="14.25" customHeight="1">
      <c r="C883" s="71" t="s">
        <v>10660</v>
      </c>
      <c r="D883" s="71" t="s">
        <v>14020</v>
      </c>
    </row>
    <row r="884" ht="14.25" customHeight="1">
      <c r="C884" s="71" t="s">
        <v>11939</v>
      </c>
      <c r="D884" s="71" t="s">
        <v>8968</v>
      </c>
    </row>
    <row r="885" ht="14.25" customHeight="1">
      <c r="C885" s="71" t="s">
        <v>9113</v>
      </c>
      <c r="D885" s="71" t="s">
        <v>14021</v>
      </c>
    </row>
    <row r="886" ht="14.25" customHeight="1">
      <c r="C886" s="71" t="s">
        <v>14022</v>
      </c>
      <c r="D886" s="71" t="s">
        <v>9034</v>
      </c>
    </row>
    <row r="887" ht="14.25" customHeight="1">
      <c r="C887" s="71" t="s">
        <v>9860</v>
      </c>
      <c r="D887" s="71" t="s">
        <v>9219</v>
      </c>
    </row>
    <row r="888" ht="14.25" customHeight="1">
      <c r="C888" s="71" t="s">
        <v>14023</v>
      </c>
      <c r="D888" s="71" t="s">
        <v>10999</v>
      </c>
    </row>
    <row r="889" ht="14.25" customHeight="1">
      <c r="C889" s="71" t="s">
        <v>3281</v>
      </c>
      <c r="D889" s="71" t="s">
        <v>9034</v>
      </c>
    </row>
    <row r="890" ht="14.25" customHeight="1">
      <c r="C890" s="71" t="s">
        <v>9150</v>
      </c>
      <c r="D890" s="71" t="s">
        <v>9151</v>
      </c>
    </row>
    <row r="891" ht="14.25" customHeight="1">
      <c r="C891" s="71" t="s">
        <v>11134</v>
      </c>
      <c r="D891" s="71" t="s">
        <v>14024</v>
      </c>
    </row>
    <row r="892" ht="14.25" customHeight="1">
      <c r="C892" s="71" t="s">
        <v>12548</v>
      </c>
      <c r="D892" s="71" t="s">
        <v>10001</v>
      </c>
    </row>
    <row r="893" ht="14.25" customHeight="1">
      <c r="C893" s="71" t="s">
        <v>11312</v>
      </c>
      <c r="D893" s="71" t="s">
        <v>13450</v>
      </c>
    </row>
    <row r="894" ht="14.25" customHeight="1">
      <c r="C894" s="71" t="s">
        <v>14025</v>
      </c>
      <c r="D894" s="71" t="s">
        <v>14026</v>
      </c>
    </row>
    <row r="895" ht="14.25" customHeight="1">
      <c r="C895" s="71" t="s">
        <v>11844</v>
      </c>
      <c r="D895" s="71" t="s">
        <v>14027</v>
      </c>
    </row>
    <row r="896" ht="14.25" customHeight="1">
      <c r="C896" s="71" t="s">
        <v>10640</v>
      </c>
      <c r="D896" s="71" t="s">
        <v>9151</v>
      </c>
    </row>
    <row r="897" ht="14.25" customHeight="1">
      <c r="D897" s="71" t="s">
        <v>10001</v>
      </c>
    </row>
    <row r="898" ht="14.25" customHeight="1">
      <c r="C898" s="71" t="s">
        <v>4139</v>
      </c>
      <c r="D898" s="71" t="s">
        <v>8968</v>
      </c>
    </row>
    <row r="899" ht="14.25" customHeight="1">
      <c r="C899" s="71" t="s">
        <v>4231</v>
      </c>
      <c r="D899" s="71" t="s">
        <v>14028</v>
      </c>
    </row>
    <row r="900" ht="14.25" customHeight="1">
      <c r="C900" s="71" t="s">
        <v>7317</v>
      </c>
      <c r="D900" s="71" t="s">
        <v>9151</v>
      </c>
    </row>
    <row r="901" ht="14.25" customHeight="1">
      <c r="D901" s="71" t="s">
        <v>14029</v>
      </c>
    </row>
    <row r="902" ht="14.25" customHeight="1">
      <c r="D902" s="71" t="s">
        <v>14030</v>
      </c>
    </row>
    <row r="903" ht="14.25" customHeight="1">
      <c r="B903" s="71" t="s">
        <v>41</v>
      </c>
      <c r="C903" s="71" t="s">
        <v>5795</v>
      </c>
      <c r="D903" s="71" t="s">
        <v>14031</v>
      </c>
    </row>
    <row r="904" ht="14.25" customHeight="1">
      <c r="C904" s="71" t="s">
        <v>11939</v>
      </c>
      <c r="D904" s="71" t="s">
        <v>11522</v>
      </c>
    </row>
    <row r="905" ht="14.25" customHeight="1">
      <c r="C905" s="71" t="s">
        <v>141</v>
      </c>
      <c r="D905" s="71" t="s">
        <v>10999</v>
      </c>
    </row>
    <row r="906" ht="14.25" customHeight="1">
      <c r="C906" s="71" t="s">
        <v>14032</v>
      </c>
      <c r="D906" s="71" t="s">
        <v>8968</v>
      </c>
    </row>
    <row r="907" ht="14.25" customHeight="1">
      <c r="C907" s="71" t="s">
        <v>3814</v>
      </c>
      <c r="D907" s="71" t="s">
        <v>10541</v>
      </c>
    </row>
    <row r="908" ht="14.25" customHeight="1">
      <c r="D908" s="71" t="s">
        <v>14033</v>
      </c>
    </row>
    <row r="909" ht="14.25" customHeight="1">
      <c r="B909" s="71" t="s">
        <v>13</v>
      </c>
      <c r="C909" s="71" t="s">
        <v>9133</v>
      </c>
      <c r="D909" s="71" t="s">
        <v>9380</v>
      </c>
    </row>
    <row r="910" ht="14.25" customHeight="1">
      <c r="C910" s="71" t="s">
        <v>141</v>
      </c>
      <c r="D910" s="71" t="s">
        <v>14034</v>
      </c>
    </row>
    <row r="911" ht="14.25" customHeight="1">
      <c r="A911" s="71" t="s">
        <v>10014</v>
      </c>
      <c r="B911" s="71" t="s">
        <v>41</v>
      </c>
      <c r="C911" s="71" t="s">
        <v>14035</v>
      </c>
      <c r="D911" s="71" t="s">
        <v>14036</v>
      </c>
    </row>
    <row r="912" ht="14.25" customHeight="1">
      <c r="C912" s="71" t="s">
        <v>14037</v>
      </c>
      <c r="D912" s="71" t="s">
        <v>9947</v>
      </c>
    </row>
    <row r="913" ht="14.25" customHeight="1">
      <c r="C913" s="71" t="s">
        <v>8576</v>
      </c>
      <c r="D913" s="71" t="s">
        <v>14038</v>
      </c>
    </row>
    <row r="914" ht="14.25" customHeight="1">
      <c r="C914" s="71" t="s">
        <v>4035</v>
      </c>
      <c r="D914" s="71" t="s">
        <v>10124</v>
      </c>
    </row>
    <row r="915" ht="14.25" customHeight="1">
      <c r="A915" s="71" t="s">
        <v>10024</v>
      </c>
      <c r="B915" s="71" t="s">
        <v>40</v>
      </c>
      <c r="C915" s="71" t="s">
        <v>14039</v>
      </c>
      <c r="D915" s="71" t="s">
        <v>12119</v>
      </c>
    </row>
    <row r="916" ht="14.25" customHeight="1">
      <c r="C916" s="71" t="s">
        <v>9630</v>
      </c>
      <c r="D916" s="71" t="s">
        <v>9034</v>
      </c>
    </row>
    <row r="917" ht="14.25" customHeight="1">
      <c r="C917" s="71" t="s">
        <v>14040</v>
      </c>
      <c r="D917" s="71" t="s">
        <v>14041</v>
      </c>
    </row>
    <row r="918" ht="14.25" customHeight="1">
      <c r="C918" s="71" t="s">
        <v>10874</v>
      </c>
      <c r="D918" s="71" t="s">
        <v>11852</v>
      </c>
    </row>
    <row r="919" ht="14.25" customHeight="1">
      <c r="C919" s="71" t="s">
        <v>14042</v>
      </c>
      <c r="D919" s="71" t="s">
        <v>11852</v>
      </c>
    </row>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72">
    <mergeCell ref="B396:B452"/>
    <mergeCell ref="B453:B458"/>
    <mergeCell ref="B459:B469"/>
    <mergeCell ref="B470:B498"/>
    <mergeCell ref="B499:B504"/>
    <mergeCell ref="B506:B509"/>
    <mergeCell ref="B510:B512"/>
    <mergeCell ref="B513:B517"/>
    <mergeCell ref="B518:B589"/>
    <mergeCell ref="B590:B657"/>
    <mergeCell ref="B658:B682"/>
    <mergeCell ref="B683:B689"/>
    <mergeCell ref="B692:B710"/>
    <mergeCell ref="B711:B713"/>
    <mergeCell ref="B382:B385"/>
    <mergeCell ref="B386:B391"/>
    <mergeCell ref="B392:B395"/>
    <mergeCell ref="C392:C393"/>
    <mergeCell ref="C406:C407"/>
    <mergeCell ref="C416:C417"/>
    <mergeCell ref="C445:C449"/>
    <mergeCell ref="C454:C455"/>
    <mergeCell ref="C438:C439"/>
    <mergeCell ref="C440:C442"/>
    <mergeCell ref="C490:C493"/>
    <mergeCell ref="C526:C527"/>
    <mergeCell ref="C536:C537"/>
    <mergeCell ref="C548:C549"/>
    <mergeCell ref="C553:C554"/>
    <mergeCell ref="C558:C559"/>
    <mergeCell ref="C560:C561"/>
    <mergeCell ref="C564:C565"/>
    <mergeCell ref="C569:C572"/>
    <mergeCell ref="C574:C575"/>
    <mergeCell ref="C578:C579"/>
    <mergeCell ref="C594:C595"/>
    <mergeCell ref="C599:C600"/>
    <mergeCell ref="C607:C608"/>
    <mergeCell ref="C617:C618"/>
    <mergeCell ref="C625:C630"/>
    <mergeCell ref="C631:C633"/>
    <mergeCell ref="C640:C641"/>
    <mergeCell ref="C642:C644"/>
    <mergeCell ref="C802:C803"/>
    <mergeCell ref="C805:C806"/>
    <mergeCell ref="C813:C814"/>
    <mergeCell ref="C848:C850"/>
    <mergeCell ref="C867:C868"/>
    <mergeCell ref="C649:C650"/>
    <mergeCell ref="C668:C669"/>
    <mergeCell ref="C673:C677"/>
    <mergeCell ref="C680:C681"/>
    <mergeCell ref="C683:C685"/>
    <mergeCell ref="C701:C702"/>
    <mergeCell ref="C780:C781"/>
    <mergeCell ref="B729:B810"/>
    <mergeCell ref="B811:B832"/>
    <mergeCell ref="B833:B851"/>
    <mergeCell ref="B852:B865"/>
    <mergeCell ref="B867:B869"/>
    <mergeCell ref="B870:B873"/>
    <mergeCell ref="B874:B875"/>
    <mergeCell ref="C172:C177"/>
    <mergeCell ref="C188:C190"/>
    <mergeCell ref="C120:C122"/>
    <mergeCell ref="C125:C126"/>
    <mergeCell ref="C128:C129"/>
    <mergeCell ref="C134:C135"/>
    <mergeCell ref="C154:C157"/>
    <mergeCell ref="C166:C168"/>
    <mergeCell ref="C169:C170"/>
    <mergeCell ref="C261:C262"/>
    <mergeCell ref="C277:C279"/>
    <mergeCell ref="C195:C197"/>
    <mergeCell ref="C205:C206"/>
    <mergeCell ref="C209:C210"/>
    <mergeCell ref="C221:C222"/>
    <mergeCell ref="C232:C235"/>
    <mergeCell ref="C239:C245"/>
    <mergeCell ref="C253:C254"/>
    <mergeCell ref="B327:B329"/>
    <mergeCell ref="C331:C334"/>
    <mergeCell ref="C335:C336"/>
    <mergeCell ref="C341:C342"/>
    <mergeCell ref="B272:B284"/>
    <mergeCell ref="B285:B293"/>
    <mergeCell ref="B294:B295"/>
    <mergeCell ref="B297:B316"/>
    <mergeCell ref="B317:B326"/>
    <mergeCell ref="C318:C319"/>
    <mergeCell ref="B330:B381"/>
    <mergeCell ref="C348:C349"/>
    <mergeCell ref="A2:A48"/>
    <mergeCell ref="A50:A72"/>
    <mergeCell ref="A73:A74"/>
    <mergeCell ref="A75:A146"/>
    <mergeCell ref="A147:A284"/>
    <mergeCell ref="A285:A296"/>
    <mergeCell ref="A297:A329"/>
    <mergeCell ref="A330:A391"/>
    <mergeCell ref="A392:A395"/>
    <mergeCell ref="A396:A469"/>
    <mergeCell ref="A470:A498"/>
    <mergeCell ref="A499:A504"/>
    <mergeCell ref="A506:A509"/>
    <mergeCell ref="A510:A512"/>
    <mergeCell ref="A852:A865"/>
    <mergeCell ref="A866:A873"/>
    <mergeCell ref="A874:A880"/>
    <mergeCell ref="A881:A910"/>
    <mergeCell ref="A911:A914"/>
    <mergeCell ref="A915:A919"/>
    <mergeCell ref="A513:A517"/>
    <mergeCell ref="A518:A589"/>
    <mergeCell ref="A590:A689"/>
    <mergeCell ref="A690:A691"/>
    <mergeCell ref="A692:A710"/>
    <mergeCell ref="A711:A728"/>
    <mergeCell ref="A729:A851"/>
    <mergeCell ref="C29:C30"/>
    <mergeCell ref="C32:C33"/>
    <mergeCell ref="C20:C22"/>
    <mergeCell ref="C34:C35"/>
    <mergeCell ref="C2:C3"/>
    <mergeCell ref="C4:C5"/>
    <mergeCell ref="C6:C7"/>
    <mergeCell ref="C11:C13"/>
    <mergeCell ref="C15:C18"/>
    <mergeCell ref="B34:B48"/>
    <mergeCell ref="C41:C42"/>
    <mergeCell ref="B50:B57"/>
    <mergeCell ref="B58:B65"/>
    <mergeCell ref="B66:B72"/>
    <mergeCell ref="C71:C72"/>
    <mergeCell ref="B73:B74"/>
    <mergeCell ref="C73:C74"/>
    <mergeCell ref="C78:C80"/>
    <mergeCell ref="C83:C84"/>
    <mergeCell ref="C88:C90"/>
    <mergeCell ref="C101:C102"/>
    <mergeCell ref="C105:C106"/>
    <mergeCell ref="C108:C109"/>
    <mergeCell ref="C110:C111"/>
    <mergeCell ref="C113:C114"/>
    <mergeCell ref="B2:B24"/>
    <mergeCell ref="B25:B33"/>
    <mergeCell ref="B75:B129"/>
    <mergeCell ref="B130:B139"/>
    <mergeCell ref="B140:B146"/>
    <mergeCell ref="B147:B207"/>
    <mergeCell ref="B208:B271"/>
    <mergeCell ref="C424:C426"/>
    <mergeCell ref="C427:C428"/>
    <mergeCell ref="C772:C776"/>
    <mergeCell ref="C778:C779"/>
    <mergeCell ref="B714:B716"/>
    <mergeCell ref="B717:B728"/>
    <mergeCell ref="C720:C722"/>
    <mergeCell ref="C742:C743"/>
    <mergeCell ref="C752:C754"/>
    <mergeCell ref="C759:C760"/>
    <mergeCell ref="C766:C771"/>
    <mergeCell ref="B909:B910"/>
    <mergeCell ref="B911:B914"/>
    <mergeCell ref="B915:B919"/>
    <mergeCell ref="B876:B877"/>
    <mergeCell ref="B878:B880"/>
    <mergeCell ref="B881:B902"/>
    <mergeCell ref="C896:C897"/>
    <mergeCell ref="C900:C902"/>
    <mergeCell ref="B903:B908"/>
    <mergeCell ref="C907:C908"/>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2D0"/>
    <pageSetUpPr/>
  </sheetPr>
  <sheetViews>
    <sheetView workbookViewId="0"/>
  </sheetViews>
  <sheetFormatPr customHeight="1" defaultColWidth="12.63" defaultRowHeight="15.0"/>
  <cols>
    <col customWidth="1" min="1" max="1" width="34.25"/>
    <col customWidth="1" min="2" max="2" width="14.0"/>
    <col customWidth="1" min="3" max="3" width="51.5"/>
    <col customWidth="1" min="4" max="4" width="50.5"/>
    <col customWidth="1" min="5" max="6" width="8.63"/>
  </cols>
  <sheetData>
    <row r="1" ht="14.25" customHeight="1">
      <c r="A1" s="55" t="s">
        <v>8962</v>
      </c>
      <c r="B1" s="55" t="s">
        <v>8963</v>
      </c>
      <c r="C1" s="55" t="s">
        <v>8964</v>
      </c>
      <c r="D1" s="55" t="s">
        <v>8965</v>
      </c>
    </row>
    <row r="2" ht="14.25" customHeight="1">
      <c r="A2" s="55" t="s">
        <v>8966</v>
      </c>
      <c r="B2" s="55" t="s">
        <v>40</v>
      </c>
      <c r="C2" s="55" t="s">
        <v>9034</v>
      </c>
      <c r="D2" s="55" t="s">
        <v>10575</v>
      </c>
    </row>
    <row r="3" ht="14.25" customHeight="1">
      <c r="A3" s="55" t="s">
        <v>8966</v>
      </c>
      <c r="B3" s="55" t="s">
        <v>40</v>
      </c>
      <c r="C3" s="55" t="s">
        <v>9034</v>
      </c>
      <c r="D3" s="55" t="s">
        <v>10576</v>
      </c>
    </row>
    <row r="4" ht="14.25" customHeight="1">
      <c r="A4" s="55" t="s">
        <v>8966</v>
      </c>
      <c r="B4" s="55" t="s">
        <v>40</v>
      </c>
      <c r="C4" s="55" t="s">
        <v>9034</v>
      </c>
      <c r="D4" s="55" t="s">
        <v>10577</v>
      </c>
    </row>
    <row r="5" ht="14.25" customHeight="1">
      <c r="A5" s="55" t="s">
        <v>8966</v>
      </c>
      <c r="B5" s="55" t="s">
        <v>40</v>
      </c>
      <c r="C5" s="55" t="s">
        <v>8967</v>
      </c>
      <c r="D5" s="55" t="s">
        <v>8968</v>
      </c>
    </row>
    <row r="6" ht="14.25" customHeight="1">
      <c r="A6" s="55" t="s">
        <v>8966</v>
      </c>
      <c r="B6" s="55" t="s">
        <v>40</v>
      </c>
      <c r="C6" s="55" t="s">
        <v>11364</v>
      </c>
      <c r="D6" s="55" t="s">
        <v>11365</v>
      </c>
    </row>
    <row r="7" ht="14.25" customHeight="1">
      <c r="A7" s="55" t="s">
        <v>8966</v>
      </c>
      <c r="B7" s="55" t="s">
        <v>40</v>
      </c>
      <c r="C7" s="55" t="s">
        <v>12595</v>
      </c>
      <c r="D7" s="55" t="s">
        <v>12596</v>
      </c>
    </row>
    <row r="8" ht="14.25" customHeight="1">
      <c r="A8" s="55" t="s">
        <v>8966</v>
      </c>
      <c r="B8" s="55" t="s">
        <v>40</v>
      </c>
      <c r="C8" s="55" t="s">
        <v>10053</v>
      </c>
      <c r="D8" s="55" t="s">
        <v>8976</v>
      </c>
    </row>
    <row r="9" ht="14.25" customHeight="1">
      <c r="A9" s="55" t="s">
        <v>8966</v>
      </c>
      <c r="B9" s="55" t="s">
        <v>40</v>
      </c>
      <c r="C9" s="55" t="s">
        <v>58</v>
      </c>
      <c r="D9" s="55" t="s">
        <v>12597</v>
      </c>
    </row>
    <row r="10" ht="14.25" customHeight="1">
      <c r="A10" s="55" t="s">
        <v>8966</v>
      </c>
      <c r="B10" s="55" t="s">
        <v>40</v>
      </c>
      <c r="C10" s="55" t="s">
        <v>58</v>
      </c>
      <c r="D10" s="55" t="s">
        <v>8978</v>
      </c>
    </row>
    <row r="11" ht="14.25" customHeight="1">
      <c r="A11" s="55" t="s">
        <v>8966</v>
      </c>
      <c r="B11" s="55" t="s">
        <v>40</v>
      </c>
      <c r="C11" s="55" t="s">
        <v>58</v>
      </c>
      <c r="D11" s="55" t="s">
        <v>8976</v>
      </c>
    </row>
    <row r="12" ht="14.25" customHeight="1">
      <c r="A12" s="55" t="s">
        <v>8966</v>
      </c>
      <c r="B12" s="55" t="s">
        <v>40</v>
      </c>
      <c r="C12" s="55" t="s">
        <v>8969</v>
      </c>
      <c r="D12" s="55" t="s">
        <v>8970</v>
      </c>
    </row>
    <row r="13" ht="14.25" customHeight="1">
      <c r="A13" s="55" t="s">
        <v>8966</v>
      </c>
      <c r="B13" s="55" t="s">
        <v>40</v>
      </c>
      <c r="C13" s="55" t="s">
        <v>2379</v>
      </c>
      <c r="D13" s="55" t="s">
        <v>8968</v>
      </c>
    </row>
    <row r="14" ht="14.25" customHeight="1">
      <c r="A14" s="55" t="s">
        <v>8966</v>
      </c>
      <c r="B14" s="55" t="s">
        <v>40</v>
      </c>
      <c r="C14" s="55" t="s">
        <v>14043</v>
      </c>
      <c r="D14" s="55" t="s">
        <v>9840</v>
      </c>
    </row>
    <row r="15" ht="14.25" customHeight="1">
      <c r="A15" s="55" t="s">
        <v>8966</v>
      </c>
      <c r="B15" s="55" t="s">
        <v>40</v>
      </c>
      <c r="C15" s="55" t="s">
        <v>12598</v>
      </c>
      <c r="D15" s="55" t="s">
        <v>11382</v>
      </c>
    </row>
    <row r="16" ht="14.25" customHeight="1">
      <c r="A16" s="55" t="s">
        <v>8966</v>
      </c>
      <c r="B16" s="55" t="s">
        <v>40</v>
      </c>
      <c r="C16" s="55" t="s">
        <v>12599</v>
      </c>
      <c r="D16" s="55" t="s">
        <v>14044</v>
      </c>
    </row>
    <row r="17" ht="14.25" customHeight="1">
      <c r="A17" s="55" t="s">
        <v>8966</v>
      </c>
      <c r="B17" s="55" t="s">
        <v>40</v>
      </c>
      <c r="C17" s="55" t="s">
        <v>12599</v>
      </c>
      <c r="D17" s="55" t="s">
        <v>8992</v>
      </c>
    </row>
    <row r="18" ht="14.25" customHeight="1">
      <c r="A18" s="55" t="s">
        <v>8966</v>
      </c>
      <c r="B18" s="55" t="s">
        <v>40</v>
      </c>
      <c r="C18" s="55" t="s">
        <v>7493</v>
      </c>
      <c r="D18" s="55" t="s">
        <v>9669</v>
      </c>
    </row>
    <row r="19" ht="14.25" customHeight="1">
      <c r="A19" s="55" t="s">
        <v>8966</v>
      </c>
      <c r="B19" s="55" t="s">
        <v>40</v>
      </c>
      <c r="C19" s="55" t="s">
        <v>10735</v>
      </c>
      <c r="D19" s="55" t="s">
        <v>13509</v>
      </c>
    </row>
    <row r="20" ht="14.25" customHeight="1">
      <c r="A20" s="55" t="s">
        <v>8966</v>
      </c>
      <c r="B20" s="55" t="s">
        <v>40</v>
      </c>
      <c r="C20" s="55" t="s">
        <v>10735</v>
      </c>
      <c r="D20" s="55" t="s">
        <v>11866</v>
      </c>
    </row>
    <row r="21" ht="14.25" customHeight="1">
      <c r="A21" s="55" t="s">
        <v>8966</v>
      </c>
      <c r="B21" s="55" t="s">
        <v>40</v>
      </c>
      <c r="C21" s="55" t="s">
        <v>10735</v>
      </c>
      <c r="D21" s="55" t="s">
        <v>14045</v>
      </c>
    </row>
    <row r="22" ht="14.25" customHeight="1">
      <c r="A22" s="55" t="s">
        <v>8966</v>
      </c>
      <c r="B22" s="55" t="s">
        <v>40</v>
      </c>
      <c r="C22" s="55" t="s">
        <v>10735</v>
      </c>
      <c r="D22" s="55" t="s">
        <v>8976</v>
      </c>
    </row>
    <row r="23" ht="14.25" customHeight="1">
      <c r="A23" s="55" t="s">
        <v>8966</v>
      </c>
      <c r="B23" s="55" t="s">
        <v>40</v>
      </c>
      <c r="C23" s="55" t="s">
        <v>8971</v>
      </c>
      <c r="D23" s="55" t="s">
        <v>8968</v>
      </c>
    </row>
    <row r="24" ht="14.25" customHeight="1">
      <c r="A24" s="55" t="s">
        <v>8966</v>
      </c>
      <c r="B24" s="55" t="s">
        <v>40</v>
      </c>
      <c r="C24" s="55" t="s">
        <v>8972</v>
      </c>
      <c r="D24" s="55" t="s">
        <v>8973</v>
      </c>
    </row>
    <row r="25" ht="14.25" customHeight="1">
      <c r="A25" s="55" t="s">
        <v>8966</v>
      </c>
      <c r="B25" s="55" t="s">
        <v>40</v>
      </c>
      <c r="C25" s="55" t="s">
        <v>8972</v>
      </c>
      <c r="D25" s="55" t="s">
        <v>8968</v>
      </c>
    </row>
    <row r="26" ht="14.25" customHeight="1">
      <c r="A26" s="55" t="s">
        <v>8966</v>
      </c>
      <c r="B26" s="55" t="s">
        <v>40</v>
      </c>
      <c r="C26" s="55" t="s">
        <v>9810</v>
      </c>
      <c r="D26" s="55" t="s">
        <v>8973</v>
      </c>
    </row>
    <row r="27" ht="14.25" customHeight="1">
      <c r="A27" s="55" t="s">
        <v>8966</v>
      </c>
      <c r="B27" s="55" t="s">
        <v>40</v>
      </c>
      <c r="C27" s="55" t="s">
        <v>9810</v>
      </c>
      <c r="D27" s="55" t="s">
        <v>13510</v>
      </c>
    </row>
    <row r="28" ht="14.25" customHeight="1">
      <c r="A28" s="55" t="s">
        <v>8966</v>
      </c>
      <c r="B28" s="55" t="s">
        <v>40</v>
      </c>
      <c r="C28" s="55" t="s">
        <v>9810</v>
      </c>
      <c r="D28" s="55" t="s">
        <v>11530</v>
      </c>
    </row>
    <row r="29" ht="14.25" customHeight="1">
      <c r="A29" s="55" t="s">
        <v>8966</v>
      </c>
      <c r="B29" s="55" t="s">
        <v>40</v>
      </c>
      <c r="C29" s="55" t="s">
        <v>9810</v>
      </c>
      <c r="D29" s="55" t="s">
        <v>10124</v>
      </c>
    </row>
    <row r="30" ht="14.25" customHeight="1">
      <c r="A30" s="55" t="s">
        <v>8966</v>
      </c>
      <c r="B30" s="55" t="s">
        <v>40</v>
      </c>
      <c r="C30" s="55" t="s">
        <v>9810</v>
      </c>
      <c r="D30" s="55" t="s">
        <v>10578</v>
      </c>
    </row>
    <row r="31" ht="14.25" customHeight="1">
      <c r="A31" s="55" t="s">
        <v>8966</v>
      </c>
      <c r="B31" s="55" t="s">
        <v>40</v>
      </c>
      <c r="C31" s="55" t="s">
        <v>9810</v>
      </c>
      <c r="D31" s="55" t="s">
        <v>9404</v>
      </c>
    </row>
    <row r="32" ht="14.25" customHeight="1">
      <c r="A32" s="55" t="s">
        <v>8966</v>
      </c>
      <c r="B32" s="55" t="s">
        <v>40</v>
      </c>
      <c r="C32" s="55" t="s">
        <v>9810</v>
      </c>
      <c r="D32" s="55" t="s">
        <v>8978</v>
      </c>
    </row>
    <row r="33" ht="14.25" customHeight="1">
      <c r="A33" s="55" t="s">
        <v>8966</v>
      </c>
      <c r="B33" s="55" t="s">
        <v>40</v>
      </c>
      <c r="C33" s="55" t="s">
        <v>8974</v>
      </c>
      <c r="D33" s="55" t="s">
        <v>8973</v>
      </c>
    </row>
    <row r="34" ht="14.25" customHeight="1">
      <c r="A34" s="55" t="s">
        <v>8966</v>
      </c>
      <c r="B34" s="55" t="s">
        <v>40</v>
      </c>
      <c r="C34" s="55" t="s">
        <v>9015</v>
      </c>
      <c r="D34" s="55" t="s">
        <v>8973</v>
      </c>
    </row>
    <row r="35" ht="14.25" customHeight="1">
      <c r="A35" s="55" t="s">
        <v>8966</v>
      </c>
      <c r="B35" s="55" t="s">
        <v>40</v>
      </c>
      <c r="C35" s="55" t="s">
        <v>9015</v>
      </c>
      <c r="D35" s="55" t="s">
        <v>12600</v>
      </c>
    </row>
    <row r="36" ht="14.25" customHeight="1">
      <c r="A36" s="55" t="s">
        <v>8966</v>
      </c>
      <c r="B36" s="55" t="s">
        <v>40</v>
      </c>
      <c r="C36" s="55" t="s">
        <v>11179</v>
      </c>
      <c r="D36" s="55" t="s">
        <v>8973</v>
      </c>
    </row>
    <row r="37" ht="14.25" customHeight="1">
      <c r="A37" s="55" t="s">
        <v>8966</v>
      </c>
      <c r="B37" s="55" t="s">
        <v>40</v>
      </c>
      <c r="C37" s="55" t="s">
        <v>11179</v>
      </c>
      <c r="D37" s="55" t="s">
        <v>13511</v>
      </c>
    </row>
    <row r="38" ht="14.25" customHeight="1">
      <c r="A38" s="55" t="s">
        <v>8966</v>
      </c>
      <c r="B38" s="55" t="s">
        <v>40</v>
      </c>
      <c r="C38" s="55" t="s">
        <v>8975</v>
      </c>
      <c r="D38" s="55" t="s">
        <v>12601</v>
      </c>
    </row>
    <row r="39" ht="14.25" customHeight="1">
      <c r="A39" s="55" t="s">
        <v>8966</v>
      </c>
      <c r="B39" s="55" t="s">
        <v>40</v>
      </c>
      <c r="C39" s="55" t="s">
        <v>8975</v>
      </c>
      <c r="D39" s="55" t="s">
        <v>8976</v>
      </c>
    </row>
    <row r="40" ht="14.25" customHeight="1">
      <c r="A40" s="55" t="s">
        <v>8966</v>
      </c>
      <c r="B40" s="55" t="s">
        <v>40</v>
      </c>
      <c r="C40" s="55" t="s">
        <v>1889</v>
      </c>
      <c r="D40" s="55" t="s">
        <v>12602</v>
      </c>
    </row>
    <row r="41" ht="14.25" customHeight="1">
      <c r="A41" s="55" t="s">
        <v>8966</v>
      </c>
      <c r="B41" s="55" t="s">
        <v>40</v>
      </c>
      <c r="C41" s="55" t="s">
        <v>1889</v>
      </c>
      <c r="D41" s="55" t="s">
        <v>12600</v>
      </c>
    </row>
    <row r="42" ht="14.25" customHeight="1">
      <c r="A42" s="55" t="s">
        <v>8966</v>
      </c>
      <c r="B42" s="55" t="s">
        <v>40</v>
      </c>
      <c r="C42" s="55" t="s">
        <v>1889</v>
      </c>
      <c r="D42" s="55" t="s">
        <v>12578</v>
      </c>
    </row>
    <row r="43" ht="14.25" customHeight="1">
      <c r="A43" s="55" t="s">
        <v>8966</v>
      </c>
      <c r="B43" s="55" t="s">
        <v>40</v>
      </c>
      <c r="C43" s="55" t="s">
        <v>1889</v>
      </c>
      <c r="D43" s="55" t="s">
        <v>9044</v>
      </c>
    </row>
    <row r="44" ht="14.25" customHeight="1">
      <c r="A44" s="55" t="s">
        <v>8966</v>
      </c>
      <c r="B44" s="55" t="s">
        <v>40</v>
      </c>
      <c r="C44" s="55" t="s">
        <v>1889</v>
      </c>
      <c r="D44" s="55" t="s">
        <v>8976</v>
      </c>
    </row>
    <row r="45" ht="14.25" customHeight="1">
      <c r="A45" s="55" t="s">
        <v>8966</v>
      </c>
      <c r="B45" s="55" t="s">
        <v>40</v>
      </c>
      <c r="C45" s="55" t="s">
        <v>10579</v>
      </c>
      <c r="D45" s="55" t="s">
        <v>10577</v>
      </c>
    </row>
    <row r="46" ht="14.25" customHeight="1">
      <c r="A46" s="55" t="s">
        <v>8966</v>
      </c>
      <c r="B46" s="55" t="s">
        <v>40</v>
      </c>
      <c r="C46" s="55" t="s">
        <v>12603</v>
      </c>
      <c r="D46" s="55" t="s">
        <v>12604</v>
      </c>
    </row>
    <row r="47" ht="14.25" customHeight="1">
      <c r="A47" s="55" t="s">
        <v>8966</v>
      </c>
      <c r="B47" s="55" t="s">
        <v>40</v>
      </c>
      <c r="C47" s="55" t="s">
        <v>10378</v>
      </c>
      <c r="D47" s="55" t="s">
        <v>14046</v>
      </c>
    </row>
    <row r="48" ht="14.25" customHeight="1">
      <c r="A48" s="55" t="s">
        <v>8966</v>
      </c>
      <c r="B48" s="55" t="s">
        <v>40</v>
      </c>
      <c r="C48" s="55" t="s">
        <v>9261</v>
      </c>
      <c r="D48" s="55" t="s">
        <v>14047</v>
      </c>
    </row>
    <row r="49" ht="14.25" customHeight="1">
      <c r="A49" s="55" t="s">
        <v>8966</v>
      </c>
      <c r="B49" s="55" t="s">
        <v>40</v>
      </c>
      <c r="C49" s="55" t="s">
        <v>9261</v>
      </c>
      <c r="D49" s="55" t="s">
        <v>10054</v>
      </c>
    </row>
    <row r="50" ht="14.25" customHeight="1">
      <c r="A50" s="55" t="s">
        <v>8966</v>
      </c>
      <c r="B50" s="55" t="s">
        <v>40</v>
      </c>
      <c r="C50" s="55" t="s">
        <v>8977</v>
      </c>
      <c r="D50" s="55" t="s">
        <v>8978</v>
      </c>
    </row>
    <row r="51" ht="14.25" customHeight="1">
      <c r="A51" s="55" t="s">
        <v>8966</v>
      </c>
      <c r="B51" s="55" t="s">
        <v>40</v>
      </c>
      <c r="C51" s="55" t="s">
        <v>805</v>
      </c>
      <c r="D51" s="55" t="s">
        <v>11867</v>
      </c>
    </row>
    <row r="52" ht="14.25" customHeight="1">
      <c r="A52" s="55" t="s">
        <v>8966</v>
      </c>
      <c r="B52" s="55" t="s">
        <v>40</v>
      </c>
      <c r="C52" s="55" t="s">
        <v>13512</v>
      </c>
      <c r="D52" s="55" t="s">
        <v>405</v>
      </c>
    </row>
    <row r="53" ht="14.25" customHeight="1">
      <c r="A53" s="55" t="s">
        <v>8966</v>
      </c>
      <c r="B53" s="55" t="s">
        <v>40</v>
      </c>
      <c r="C53" s="55" t="s">
        <v>6057</v>
      </c>
      <c r="D53" s="55" t="s">
        <v>9034</v>
      </c>
    </row>
    <row r="54" ht="14.25" customHeight="1">
      <c r="A54" s="55" t="s">
        <v>8966</v>
      </c>
      <c r="B54" s="55" t="s">
        <v>40</v>
      </c>
      <c r="C54" s="55" t="s">
        <v>6057</v>
      </c>
      <c r="D54" s="55" t="s">
        <v>8968</v>
      </c>
    </row>
    <row r="55" ht="14.25" customHeight="1">
      <c r="A55" s="55" t="s">
        <v>8966</v>
      </c>
      <c r="B55" s="55" t="s">
        <v>40</v>
      </c>
      <c r="C55" s="55" t="s">
        <v>6057</v>
      </c>
      <c r="D55" s="55" t="s">
        <v>9028</v>
      </c>
    </row>
    <row r="56" ht="14.25" customHeight="1">
      <c r="A56" s="55" t="s">
        <v>8966</v>
      </c>
      <c r="B56" s="55" t="s">
        <v>40</v>
      </c>
      <c r="C56" s="55" t="s">
        <v>6057</v>
      </c>
      <c r="D56" s="55" t="s">
        <v>9152</v>
      </c>
    </row>
    <row r="57" ht="14.25" customHeight="1">
      <c r="A57" s="55" t="s">
        <v>8966</v>
      </c>
      <c r="B57" s="55" t="s">
        <v>40</v>
      </c>
      <c r="C57" s="55" t="s">
        <v>6057</v>
      </c>
      <c r="D57" s="55" t="s">
        <v>8994</v>
      </c>
    </row>
    <row r="58" ht="14.25" customHeight="1">
      <c r="A58" s="55" t="s">
        <v>8966</v>
      </c>
      <c r="B58" s="55" t="s">
        <v>40</v>
      </c>
      <c r="C58" s="55" t="s">
        <v>6057</v>
      </c>
      <c r="D58" s="55" t="s">
        <v>8976</v>
      </c>
    </row>
    <row r="59" ht="14.25" customHeight="1">
      <c r="A59" s="55" t="s">
        <v>8966</v>
      </c>
      <c r="B59" s="55" t="s">
        <v>40</v>
      </c>
      <c r="C59" s="55" t="s">
        <v>8979</v>
      </c>
      <c r="D59" s="55" t="s">
        <v>8980</v>
      </c>
    </row>
    <row r="60" ht="14.25" customHeight="1">
      <c r="A60" s="55" t="s">
        <v>8966</v>
      </c>
      <c r="B60" s="55" t="s">
        <v>40</v>
      </c>
      <c r="C60" s="55" t="s">
        <v>108</v>
      </c>
      <c r="D60" s="55" t="s">
        <v>9236</v>
      </c>
    </row>
    <row r="61" ht="14.25" customHeight="1">
      <c r="A61" s="55" t="s">
        <v>8966</v>
      </c>
      <c r="B61" s="55" t="s">
        <v>40</v>
      </c>
      <c r="C61" s="55" t="s">
        <v>2853</v>
      </c>
      <c r="D61" s="55" t="s">
        <v>11538</v>
      </c>
    </row>
    <row r="62" ht="14.25" customHeight="1">
      <c r="A62" s="55" t="s">
        <v>8966</v>
      </c>
      <c r="B62" s="55" t="s">
        <v>40</v>
      </c>
      <c r="C62" s="55" t="s">
        <v>11868</v>
      </c>
      <c r="D62" s="55" t="s">
        <v>405</v>
      </c>
    </row>
    <row r="63" ht="14.25" customHeight="1">
      <c r="A63" s="55" t="s">
        <v>8966</v>
      </c>
      <c r="B63" s="55" t="s">
        <v>40</v>
      </c>
      <c r="C63" s="55" t="s">
        <v>10580</v>
      </c>
      <c r="D63" s="55" t="s">
        <v>10581</v>
      </c>
    </row>
    <row r="64" ht="14.25" customHeight="1">
      <c r="A64" s="55" t="s">
        <v>8966</v>
      </c>
      <c r="B64" s="55" t="s">
        <v>40</v>
      </c>
      <c r="C64" s="55" t="s">
        <v>8981</v>
      </c>
      <c r="D64" s="55" t="s">
        <v>8982</v>
      </c>
    </row>
    <row r="65" ht="14.25" customHeight="1">
      <c r="A65" s="55" t="s">
        <v>8966</v>
      </c>
      <c r="B65" s="55" t="s">
        <v>40</v>
      </c>
      <c r="C65" s="55" t="s">
        <v>8983</v>
      </c>
      <c r="D65" s="55" t="s">
        <v>8984</v>
      </c>
    </row>
    <row r="66" ht="14.25" customHeight="1">
      <c r="A66" s="55" t="s">
        <v>8966</v>
      </c>
      <c r="B66" s="55" t="s">
        <v>40</v>
      </c>
      <c r="C66" s="55" t="s">
        <v>8985</v>
      </c>
      <c r="D66" s="55" t="s">
        <v>8986</v>
      </c>
    </row>
    <row r="67" ht="14.25" customHeight="1">
      <c r="A67" s="55" t="s">
        <v>8966</v>
      </c>
      <c r="B67" s="55" t="s">
        <v>40</v>
      </c>
      <c r="C67" s="55" t="s">
        <v>126</v>
      </c>
      <c r="D67" s="55" t="s">
        <v>9012</v>
      </c>
    </row>
    <row r="68" ht="14.25" customHeight="1">
      <c r="A68" s="55" t="s">
        <v>8966</v>
      </c>
      <c r="B68" s="55" t="s">
        <v>40</v>
      </c>
      <c r="C68" s="55" t="s">
        <v>11869</v>
      </c>
      <c r="D68" s="55" t="s">
        <v>11366</v>
      </c>
    </row>
    <row r="69" ht="14.25" customHeight="1">
      <c r="A69" s="55" t="s">
        <v>8966</v>
      </c>
      <c r="B69" s="55" t="s">
        <v>40</v>
      </c>
      <c r="C69" s="55" t="s">
        <v>1058</v>
      </c>
      <c r="D69" s="55" t="s">
        <v>12173</v>
      </c>
    </row>
    <row r="70" ht="14.25" customHeight="1">
      <c r="A70" s="55" t="s">
        <v>8966</v>
      </c>
      <c r="B70" s="55" t="s">
        <v>40</v>
      </c>
      <c r="C70" s="55" t="s">
        <v>1058</v>
      </c>
      <c r="D70" s="55" t="s">
        <v>8968</v>
      </c>
    </row>
    <row r="71" ht="14.25" customHeight="1">
      <c r="A71" s="55" t="s">
        <v>8966</v>
      </c>
      <c r="B71" s="55" t="s">
        <v>40</v>
      </c>
      <c r="C71" s="55" t="s">
        <v>1058</v>
      </c>
      <c r="D71" s="55" t="s">
        <v>11366</v>
      </c>
    </row>
    <row r="72" ht="14.25" customHeight="1">
      <c r="A72" s="55" t="s">
        <v>8966</v>
      </c>
      <c r="B72" s="55" t="s">
        <v>40</v>
      </c>
      <c r="C72" s="55" t="s">
        <v>128</v>
      </c>
      <c r="D72" s="55" t="s">
        <v>9291</v>
      </c>
    </row>
    <row r="73" ht="14.25" customHeight="1">
      <c r="A73" s="55" t="s">
        <v>8966</v>
      </c>
      <c r="B73" s="55" t="s">
        <v>40</v>
      </c>
      <c r="C73" s="55" t="s">
        <v>128</v>
      </c>
      <c r="D73" s="55" t="s">
        <v>9055</v>
      </c>
    </row>
    <row r="74" ht="14.25" customHeight="1">
      <c r="A74" s="55" t="s">
        <v>8966</v>
      </c>
      <c r="B74" s="55" t="s">
        <v>40</v>
      </c>
      <c r="C74" s="55" t="s">
        <v>8987</v>
      </c>
      <c r="D74" s="55" t="s">
        <v>8988</v>
      </c>
    </row>
    <row r="75" ht="14.25" customHeight="1">
      <c r="A75" s="55" t="s">
        <v>8966</v>
      </c>
      <c r="B75" s="55" t="s">
        <v>40</v>
      </c>
      <c r="C75" s="55" t="s">
        <v>12605</v>
      </c>
      <c r="D75" s="55" t="s">
        <v>12606</v>
      </c>
    </row>
    <row r="76" ht="14.25" customHeight="1">
      <c r="A76" s="55" t="s">
        <v>8966</v>
      </c>
      <c r="B76" s="55" t="s">
        <v>40</v>
      </c>
      <c r="C76" s="55" t="s">
        <v>3114</v>
      </c>
      <c r="D76" s="55" t="s">
        <v>11367</v>
      </c>
    </row>
    <row r="77" ht="14.25" customHeight="1">
      <c r="A77" s="55" t="s">
        <v>8966</v>
      </c>
      <c r="B77" s="55" t="s">
        <v>40</v>
      </c>
      <c r="C77" s="55" t="s">
        <v>135</v>
      </c>
      <c r="D77" s="55" t="s">
        <v>11368</v>
      </c>
    </row>
    <row r="78" ht="14.25" customHeight="1">
      <c r="A78" s="55" t="s">
        <v>8966</v>
      </c>
      <c r="B78" s="55" t="s">
        <v>40</v>
      </c>
      <c r="C78" s="55" t="s">
        <v>135</v>
      </c>
      <c r="D78" s="55" t="s">
        <v>8994</v>
      </c>
    </row>
    <row r="79" ht="14.25" customHeight="1">
      <c r="A79" s="55" t="s">
        <v>8966</v>
      </c>
      <c r="B79" s="55" t="s">
        <v>40</v>
      </c>
      <c r="C79" s="55" t="s">
        <v>3144</v>
      </c>
      <c r="D79" s="55" t="s">
        <v>8978</v>
      </c>
    </row>
    <row r="80" ht="14.25" customHeight="1">
      <c r="A80" s="55" t="s">
        <v>8966</v>
      </c>
      <c r="B80" s="55" t="s">
        <v>40</v>
      </c>
      <c r="C80" s="55" t="s">
        <v>11369</v>
      </c>
      <c r="D80" s="55" t="s">
        <v>9002</v>
      </c>
    </row>
    <row r="81" ht="14.25" customHeight="1">
      <c r="A81" s="55" t="s">
        <v>8966</v>
      </c>
      <c r="B81" s="55" t="s">
        <v>40</v>
      </c>
      <c r="C81" s="55" t="s">
        <v>6405</v>
      </c>
      <c r="D81" s="55" t="s">
        <v>8978</v>
      </c>
    </row>
    <row r="82" ht="14.25" customHeight="1">
      <c r="A82" s="55" t="s">
        <v>8966</v>
      </c>
      <c r="B82" s="55" t="s">
        <v>40</v>
      </c>
      <c r="C82" s="55" t="s">
        <v>10582</v>
      </c>
      <c r="D82" s="55" t="s">
        <v>9028</v>
      </c>
    </row>
    <row r="83" ht="14.25" customHeight="1">
      <c r="A83" s="55" t="s">
        <v>8966</v>
      </c>
      <c r="B83" s="55" t="s">
        <v>40</v>
      </c>
      <c r="C83" s="55" t="s">
        <v>10582</v>
      </c>
      <c r="D83" s="55" t="s">
        <v>8994</v>
      </c>
    </row>
    <row r="84" ht="14.25" customHeight="1">
      <c r="A84" s="55" t="s">
        <v>8966</v>
      </c>
      <c r="B84" s="55" t="s">
        <v>40</v>
      </c>
      <c r="C84" s="55" t="s">
        <v>14048</v>
      </c>
      <c r="D84" s="55" t="s">
        <v>14049</v>
      </c>
    </row>
    <row r="85" ht="14.25" customHeight="1">
      <c r="A85" s="55" t="s">
        <v>8966</v>
      </c>
      <c r="B85" s="55" t="s">
        <v>40</v>
      </c>
      <c r="C85" s="55" t="s">
        <v>3313</v>
      </c>
      <c r="D85" s="55" t="s">
        <v>8976</v>
      </c>
    </row>
    <row r="86" ht="14.25" customHeight="1">
      <c r="A86" s="55" t="s">
        <v>8966</v>
      </c>
      <c r="B86" s="55" t="s">
        <v>40</v>
      </c>
      <c r="C86" s="55" t="s">
        <v>3320</v>
      </c>
      <c r="D86" s="55" t="s">
        <v>9525</v>
      </c>
    </row>
    <row r="87" ht="14.25" customHeight="1">
      <c r="A87" s="55" t="s">
        <v>8966</v>
      </c>
      <c r="B87" s="55" t="s">
        <v>40</v>
      </c>
      <c r="C87" s="55" t="s">
        <v>12607</v>
      </c>
      <c r="D87" s="55" t="s">
        <v>9118</v>
      </c>
    </row>
    <row r="88" ht="14.25" customHeight="1">
      <c r="A88" s="55" t="s">
        <v>8966</v>
      </c>
      <c r="B88" s="55" t="s">
        <v>40</v>
      </c>
      <c r="C88" s="55" t="s">
        <v>11870</v>
      </c>
      <c r="D88" s="55" t="s">
        <v>11871</v>
      </c>
    </row>
    <row r="89" ht="14.25" customHeight="1">
      <c r="A89" s="55" t="s">
        <v>8966</v>
      </c>
      <c r="B89" s="55" t="s">
        <v>40</v>
      </c>
      <c r="C89" s="55" t="s">
        <v>3411</v>
      </c>
      <c r="D89" s="55" t="s">
        <v>12608</v>
      </c>
    </row>
    <row r="90" ht="14.25" customHeight="1">
      <c r="A90" s="55" t="s">
        <v>8966</v>
      </c>
      <c r="B90" s="55" t="s">
        <v>40</v>
      </c>
      <c r="C90" s="55" t="s">
        <v>10583</v>
      </c>
      <c r="D90" s="55" t="s">
        <v>8968</v>
      </c>
    </row>
    <row r="91" ht="14.25" customHeight="1">
      <c r="A91" s="55" t="s">
        <v>8966</v>
      </c>
      <c r="B91" s="55" t="s">
        <v>40</v>
      </c>
      <c r="C91" s="55" t="s">
        <v>12609</v>
      </c>
      <c r="D91" s="55" t="s">
        <v>12610</v>
      </c>
    </row>
    <row r="92" ht="14.25" customHeight="1">
      <c r="A92" s="55" t="s">
        <v>8966</v>
      </c>
      <c r="B92" s="55" t="s">
        <v>40</v>
      </c>
      <c r="C92" s="55" t="s">
        <v>10515</v>
      </c>
      <c r="D92" s="55" t="s">
        <v>14050</v>
      </c>
    </row>
    <row r="93" ht="14.25" customHeight="1">
      <c r="A93" s="55" t="s">
        <v>8966</v>
      </c>
      <c r="B93" s="55" t="s">
        <v>40</v>
      </c>
      <c r="C93" s="55" t="s">
        <v>6538</v>
      </c>
      <c r="D93" s="55" t="s">
        <v>13513</v>
      </c>
    </row>
    <row r="94" ht="14.25" customHeight="1">
      <c r="A94" s="55" t="s">
        <v>8966</v>
      </c>
      <c r="B94" s="55" t="s">
        <v>40</v>
      </c>
      <c r="C94" s="55" t="s">
        <v>6538</v>
      </c>
      <c r="D94" s="55" t="s">
        <v>13514</v>
      </c>
    </row>
    <row r="95" ht="14.25" customHeight="1">
      <c r="A95" s="55" t="s">
        <v>8966</v>
      </c>
      <c r="B95" s="55" t="s">
        <v>40</v>
      </c>
      <c r="C95" s="55" t="s">
        <v>6538</v>
      </c>
      <c r="D95" s="55" t="s">
        <v>11872</v>
      </c>
    </row>
    <row r="96" ht="14.25" customHeight="1">
      <c r="A96" s="55" t="s">
        <v>8966</v>
      </c>
      <c r="B96" s="55" t="s">
        <v>40</v>
      </c>
      <c r="C96" s="55" t="s">
        <v>6538</v>
      </c>
      <c r="D96" s="55" t="s">
        <v>8978</v>
      </c>
    </row>
    <row r="97" ht="14.25" customHeight="1">
      <c r="A97" s="55" t="s">
        <v>8966</v>
      </c>
      <c r="B97" s="55" t="s">
        <v>40</v>
      </c>
      <c r="C97" s="55" t="s">
        <v>6538</v>
      </c>
      <c r="D97" s="55" t="s">
        <v>8976</v>
      </c>
    </row>
    <row r="98" ht="14.25" customHeight="1">
      <c r="A98" s="55" t="s">
        <v>8966</v>
      </c>
      <c r="B98" s="55" t="s">
        <v>40</v>
      </c>
      <c r="C98" s="55" t="s">
        <v>10584</v>
      </c>
      <c r="D98" s="55" t="s">
        <v>8973</v>
      </c>
    </row>
    <row r="99" ht="14.25" customHeight="1">
      <c r="A99" s="55" t="s">
        <v>8966</v>
      </c>
      <c r="B99" s="55" t="s">
        <v>40</v>
      </c>
      <c r="C99" s="55" t="s">
        <v>6576</v>
      </c>
      <c r="D99" s="55" t="s">
        <v>8986</v>
      </c>
    </row>
    <row r="100" ht="14.25" customHeight="1">
      <c r="A100" s="55" t="s">
        <v>8966</v>
      </c>
      <c r="B100" s="55" t="s">
        <v>40</v>
      </c>
      <c r="C100" s="55" t="s">
        <v>9382</v>
      </c>
      <c r="D100" s="55" t="s">
        <v>8976</v>
      </c>
    </row>
    <row r="101" ht="14.25" customHeight="1">
      <c r="A101" s="55" t="s">
        <v>8966</v>
      </c>
      <c r="B101" s="55" t="s">
        <v>40</v>
      </c>
      <c r="C101" s="55" t="s">
        <v>9385</v>
      </c>
      <c r="D101" s="55" t="s">
        <v>8976</v>
      </c>
    </row>
    <row r="102" ht="14.25" customHeight="1">
      <c r="A102" s="55" t="s">
        <v>8966</v>
      </c>
      <c r="B102" s="55" t="s">
        <v>40</v>
      </c>
      <c r="C102" s="55" t="s">
        <v>9385</v>
      </c>
      <c r="D102" s="55" t="s">
        <v>11367</v>
      </c>
    </row>
    <row r="103" ht="14.25" customHeight="1">
      <c r="A103" s="55" t="s">
        <v>8966</v>
      </c>
      <c r="B103" s="55" t="s">
        <v>40</v>
      </c>
      <c r="C103" s="55" t="s">
        <v>312</v>
      </c>
      <c r="D103" s="55" t="s">
        <v>9034</v>
      </c>
    </row>
    <row r="104" ht="14.25" customHeight="1">
      <c r="A104" s="55" t="s">
        <v>8966</v>
      </c>
      <c r="B104" s="55" t="s">
        <v>40</v>
      </c>
      <c r="C104" s="55" t="s">
        <v>312</v>
      </c>
      <c r="D104" s="55" t="s">
        <v>8978</v>
      </c>
    </row>
    <row r="105" ht="14.25" customHeight="1">
      <c r="A105" s="55" t="s">
        <v>8966</v>
      </c>
      <c r="B105" s="55" t="s">
        <v>40</v>
      </c>
      <c r="C105" s="55" t="s">
        <v>312</v>
      </c>
      <c r="D105" s="55" t="s">
        <v>8994</v>
      </c>
    </row>
    <row r="106" ht="14.25" customHeight="1">
      <c r="A106" s="55" t="s">
        <v>8966</v>
      </c>
      <c r="B106" s="55" t="s">
        <v>40</v>
      </c>
      <c r="C106" s="55" t="s">
        <v>312</v>
      </c>
      <c r="D106" s="55" t="s">
        <v>8976</v>
      </c>
    </row>
    <row r="107" ht="14.25" customHeight="1">
      <c r="A107" s="55" t="s">
        <v>8966</v>
      </c>
      <c r="B107" s="55" t="s">
        <v>40</v>
      </c>
      <c r="C107" s="55" t="s">
        <v>12611</v>
      </c>
      <c r="D107" s="55" t="s">
        <v>8994</v>
      </c>
    </row>
    <row r="108" ht="14.25" customHeight="1">
      <c r="A108" s="55" t="s">
        <v>8966</v>
      </c>
      <c r="B108" s="55" t="s">
        <v>40</v>
      </c>
      <c r="C108" s="55" t="s">
        <v>3566</v>
      </c>
      <c r="D108" s="55" t="s">
        <v>9034</v>
      </c>
    </row>
    <row r="109" ht="14.25" customHeight="1">
      <c r="A109" s="55" t="s">
        <v>8966</v>
      </c>
      <c r="B109" s="55" t="s">
        <v>40</v>
      </c>
      <c r="C109" s="55" t="s">
        <v>3566</v>
      </c>
      <c r="D109" s="55" t="s">
        <v>8989</v>
      </c>
    </row>
    <row r="110" ht="14.25" customHeight="1">
      <c r="A110" s="55" t="s">
        <v>8966</v>
      </c>
      <c r="B110" s="55" t="s">
        <v>40</v>
      </c>
      <c r="C110" s="55" t="s">
        <v>3566</v>
      </c>
      <c r="D110" s="55" t="s">
        <v>9885</v>
      </c>
    </row>
    <row r="111" ht="14.25" customHeight="1">
      <c r="A111" s="55" t="s">
        <v>8966</v>
      </c>
      <c r="B111" s="55" t="s">
        <v>40</v>
      </c>
      <c r="C111" s="55" t="s">
        <v>3566</v>
      </c>
      <c r="D111" s="55" t="s">
        <v>8973</v>
      </c>
    </row>
    <row r="112" ht="14.25" customHeight="1">
      <c r="A112" s="55" t="s">
        <v>8966</v>
      </c>
      <c r="B112" s="55" t="s">
        <v>40</v>
      </c>
      <c r="C112" s="55" t="s">
        <v>3566</v>
      </c>
      <c r="D112" s="55" t="s">
        <v>8990</v>
      </c>
    </row>
    <row r="113" ht="14.25" customHeight="1">
      <c r="A113" s="55" t="s">
        <v>8966</v>
      </c>
      <c r="B113" s="55" t="s">
        <v>40</v>
      </c>
      <c r="C113" s="55" t="s">
        <v>3566</v>
      </c>
      <c r="D113" s="55" t="s">
        <v>11370</v>
      </c>
    </row>
    <row r="114" ht="14.25" customHeight="1">
      <c r="A114" s="55" t="s">
        <v>8966</v>
      </c>
      <c r="B114" s="55" t="s">
        <v>40</v>
      </c>
      <c r="C114" s="55" t="s">
        <v>3566</v>
      </c>
      <c r="D114" s="55" t="s">
        <v>8968</v>
      </c>
    </row>
    <row r="115" ht="14.25" customHeight="1">
      <c r="A115" s="55" t="s">
        <v>8966</v>
      </c>
      <c r="B115" s="55" t="s">
        <v>40</v>
      </c>
      <c r="C115" s="55" t="s">
        <v>3566</v>
      </c>
      <c r="D115" s="55" t="s">
        <v>11371</v>
      </c>
    </row>
    <row r="116" ht="14.25" customHeight="1">
      <c r="A116" s="55" t="s">
        <v>8966</v>
      </c>
      <c r="B116" s="55" t="s">
        <v>40</v>
      </c>
      <c r="C116" s="55" t="s">
        <v>3566</v>
      </c>
      <c r="D116" s="55" t="s">
        <v>12612</v>
      </c>
    </row>
    <row r="117" ht="14.25" customHeight="1">
      <c r="A117" s="55" t="s">
        <v>8966</v>
      </c>
      <c r="B117" s="55" t="s">
        <v>40</v>
      </c>
      <c r="C117" s="55" t="s">
        <v>3566</v>
      </c>
      <c r="D117" s="55" t="s">
        <v>8991</v>
      </c>
    </row>
    <row r="118" ht="14.25" customHeight="1">
      <c r="A118" s="55" t="s">
        <v>8966</v>
      </c>
      <c r="B118" s="55" t="s">
        <v>40</v>
      </c>
      <c r="C118" s="55" t="s">
        <v>3566</v>
      </c>
      <c r="D118" s="55" t="s">
        <v>12613</v>
      </c>
    </row>
    <row r="119" ht="14.25" customHeight="1">
      <c r="A119" s="55" t="s">
        <v>8966</v>
      </c>
      <c r="B119" s="55" t="s">
        <v>40</v>
      </c>
      <c r="C119" s="55" t="s">
        <v>3566</v>
      </c>
      <c r="D119" s="55" t="s">
        <v>8992</v>
      </c>
    </row>
    <row r="120" ht="14.25" customHeight="1">
      <c r="A120" s="55" t="s">
        <v>8966</v>
      </c>
      <c r="B120" s="55" t="s">
        <v>40</v>
      </c>
      <c r="C120" s="55" t="s">
        <v>3566</v>
      </c>
      <c r="D120" s="55" t="s">
        <v>13515</v>
      </c>
    </row>
    <row r="121" ht="14.25" customHeight="1">
      <c r="A121" s="55" t="s">
        <v>8966</v>
      </c>
      <c r="B121" s="55" t="s">
        <v>40</v>
      </c>
      <c r="C121" s="55" t="s">
        <v>3566</v>
      </c>
      <c r="D121" s="55" t="s">
        <v>12614</v>
      </c>
    </row>
    <row r="122" ht="14.25" customHeight="1">
      <c r="A122" s="55" t="s">
        <v>8966</v>
      </c>
      <c r="B122" s="55" t="s">
        <v>40</v>
      </c>
      <c r="C122" s="55" t="s">
        <v>3566</v>
      </c>
      <c r="D122" s="55" t="s">
        <v>11873</v>
      </c>
    </row>
    <row r="123" ht="14.25" customHeight="1">
      <c r="A123" s="55" t="s">
        <v>8966</v>
      </c>
      <c r="B123" s="55" t="s">
        <v>40</v>
      </c>
      <c r="C123" s="55" t="s">
        <v>3566</v>
      </c>
      <c r="D123" s="55" t="s">
        <v>9583</v>
      </c>
    </row>
    <row r="124" ht="14.25" customHeight="1">
      <c r="A124" s="55" t="s">
        <v>8966</v>
      </c>
      <c r="B124" s="55" t="s">
        <v>40</v>
      </c>
      <c r="C124" s="55" t="s">
        <v>3566</v>
      </c>
      <c r="D124" s="55" t="s">
        <v>12615</v>
      </c>
    </row>
    <row r="125" ht="14.25" customHeight="1">
      <c r="A125" s="55" t="s">
        <v>8966</v>
      </c>
      <c r="B125" s="55" t="s">
        <v>40</v>
      </c>
      <c r="C125" s="55" t="s">
        <v>3566</v>
      </c>
      <c r="D125" s="55" t="s">
        <v>9028</v>
      </c>
    </row>
    <row r="126" ht="14.25" customHeight="1">
      <c r="A126" s="55" t="s">
        <v>8966</v>
      </c>
      <c r="B126" s="55" t="s">
        <v>40</v>
      </c>
      <c r="C126" s="55" t="s">
        <v>3566</v>
      </c>
      <c r="D126" s="55" t="s">
        <v>12616</v>
      </c>
    </row>
    <row r="127" ht="14.25" customHeight="1">
      <c r="A127" s="55" t="s">
        <v>8966</v>
      </c>
      <c r="B127" s="55" t="s">
        <v>40</v>
      </c>
      <c r="C127" s="55" t="s">
        <v>3566</v>
      </c>
      <c r="D127" s="55" t="s">
        <v>10585</v>
      </c>
    </row>
    <row r="128" ht="14.25" customHeight="1">
      <c r="A128" s="55" t="s">
        <v>8966</v>
      </c>
      <c r="B128" s="55" t="s">
        <v>40</v>
      </c>
      <c r="C128" s="55" t="s">
        <v>3566</v>
      </c>
      <c r="D128" s="55" t="s">
        <v>8978</v>
      </c>
    </row>
    <row r="129" ht="14.25" customHeight="1">
      <c r="A129" s="55" t="s">
        <v>8966</v>
      </c>
      <c r="B129" s="55" t="s">
        <v>40</v>
      </c>
      <c r="C129" s="55" t="s">
        <v>3566</v>
      </c>
      <c r="D129" s="55" t="s">
        <v>8993</v>
      </c>
    </row>
    <row r="130" ht="14.25" customHeight="1">
      <c r="A130" s="55" t="s">
        <v>8966</v>
      </c>
      <c r="B130" s="55" t="s">
        <v>40</v>
      </c>
      <c r="C130" s="55" t="s">
        <v>3566</v>
      </c>
      <c r="D130" s="55" t="s">
        <v>9044</v>
      </c>
    </row>
    <row r="131" ht="14.25" customHeight="1">
      <c r="A131" s="55" t="s">
        <v>8966</v>
      </c>
      <c r="B131" s="55" t="s">
        <v>40</v>
      </c>
      <c r="C131" s="55" t="s">
        <v>3566</v>
      </c>
      <c r="D131" s="55" t="s">
        <v>8994</v>
      </c>
    </row>
    <row r="132" ht="14.25" customHeight="1">
      <c r="A132" s="55" t="s">
        <v>8966</v>
      </c>
      <c r="B132" s="55" t="s">
        <v>40</v>
      </c>
      <c r="C132" s="55" t="s">
        <v>3566</v>
      </c>
      <c r="D132" s="55" t="s">
        <v>11538</v>
      </c>
    </row>
    <row r="133" ht="14.25" customHeight="1">
      <c r="A133" s="55" t="s">
        <v>8966</v>
      </c>
      <c r="B133" s="55" t="s">
        <v>40</v>
      </c>
      <c r="C133" s="55" t="s">
        <v>3566</v>
      </c>
      <c r="D133" s="55" t="s">
        <v>8976</v>
      </c>
    </row>
    <row r="134" ht="14.25" customHeight="1">
      <c r="A134" s="55" t="s">
        <v>8966</v>
      </c>
      <c r="B134" s="55" t="s">
        <v>40</v>
      </c>
      <c r="C134" s="55" t="s">
        <v>3566</v>
      </c>
      <c r="D134" s="55" t="s">
        <v>11791</v>
      </c>
    </row>
    <row r="135" ht="14.25" customHeight="1">
      <c r="A135" s="55" t="s">
        <v>8966</v>
      </c>
      <c r="B135" s="55" t="s">
        <v>40</v>
      </c>
      <c r="C135" s="55" t="s">
        <v>3566</v>
      </c>
      <c r="D135" s="55" t="s">
        <v>12617</v>
      </c>
    </row>
    <row r="136" ht="14.25" customHeight="1">
      <c r="A136" s="55" t="s">
        <v>8966</v>
      </c>
      <c r="B136" s="55" t="s">
        <v>40</v>
      </c>
      <c r="C136" s="55" t="s">
        <v>3566</v>
      </c>
      <c r="D136" s="55" t="s">
        <v>11874</v>
      </c>
    </row>
    <row r="137" ht="14.25" customHeight="1">
      <c r="A137" s="55" t="s">
        <v>8966</v>
      </c>
      <c r="B137" s="55" t="s">
        <v>40</v>
      </c>
      <c r="C137" s="55" t="s">
        <v>11698</v>
      </c>
      <c r="D137" s="55" t="s">
        <v>10204</v>
      </c>
    </row>
    <row r="138" ht="14.25" customHeight="1">
      <c r="A138" s="55" t="s">
        <v>8966</v>
      </c>
      <c r="B138" s="55" t="s">
        <v>40</v>
      </c>
      <c r="C138" s="55" t="s">
        <v>10055</v>
      </c>
      <c r="D138" s="55" t="s">
        <v>9877</v>
      </c>
    </row>
    <row r="139" ht="14.25" customHeight="1">
      <c r="A139" s="55" t="s">
        <v>8966</v>
      </c>
      <c r="B139" s="55" t="s">
        <v>40</v>
      </c>
      <c r="C139" s="55" t="s">
        <v>9804</v>
      </c>
      <c r="D139" s="55" t="s">
        <v>12618</v>
      </c>
    </row>
    <row r="140" ht="14.25" customHeight="1">
      <c r="A140" s="55" t="s">
        <v>8966</v>
      </c>
      <c r="B140" s="55" t="s">
        <v>40</v>
      </c>
      <c r="C140" s="55" t="s">
        <v>3596</v>
      </c>
      <c r="D140" s="55" t="s">
        <v>9034</v>
      </c>
    </row>
    <row r="141" ht="14.25" customHeight="1">
      <c r="A141" s="55" t="s">
        <v>8966</v>
      </c>
      <c r="B141" s="55" t="s">
        <v>40</v>
      </c>
      <c r="C141" s="55" t="s">
        <v>3596</v>
      </c>
      <c r="D141" s="55" t="s">
        <v>10080</v>
      </c>
    </row>
    <row r="142" ht="14.25" customHeight="1">
      <c r="A142" s="55" t="s">
        <v>8966</v>
      </c>
      <c r="B142" s="55" t="s">
        <v>40</v>
      </c>
      <c r="C142" s="55" t="s">
        <v>3596</v>
      </c>
      <c r="D142" s="55" t="s">
        <v>11560</v>
      </c>
    </row>
    <row r="143" ht="14.25" customHeight="1">
      <c r="A143" s="55" t="s">
        <v>8966</v>
      </c>
      <c r="B143" s="55" t="s">
        <v>40</v>
      </c>
      <c r="C143" s="55" t="s">
        <v>3596</v>
      </c>
      <c r="D143" s="55" t="s">
        <v>12618</v>
      </c>
    </row>
    <row r="144" ht="14.25" customHeight="1">
      <c r="A144" s="55" t="s">
        <v>8966</v>
      </c>
      <c r="B144" s="55" t="s">
        <v>40</v>
      </c>
      <c r="C144" s="55" t="s">
        <v>3596</v>
      </c>
      <c r="D144" s="55" t="s">
        <v>10576</v>
      </c>
    </row>
    <row r="145" ht="14.25" customHeight="1">
      <c r="A145" s="55" t="s">
        <v>8966</v>
      </c>
      <c r="B145" s="55" t="s">
        <v>40</v>
      </c>
      <c r="C145" s="55" t="s">
        <v>3596</v>
      </c>
      <c r="D145" s="55" t="s">
        <v>11875</v>
      </c>
    </row>
    <row r="146" ht="14.25" customHeight="1">
      <c r="A146" s="55" t="s">
        <v>8966</v>
      </c>
      <c r="B146" s="55" t="s">
        <v>40</v>
      </c>
      <c r="C146" s="55" t="s">
        <v>6654</v>
      </c>
      <c r="D146" s="55" t="s">
        <v>11876</v>
      </c>
    </row>
    <row r="147" ht="14.25" customHeight="1">
      <c r="A147" s="55" t="s">
        <v>8966</v>
      </c>
      <c r="B147" s="55" t="s">
        <v>40</v>
      </c>
      <c r="C147" s="55" t="s">
        <v>9088</v>
      </c>
      <c r="D147" s="55" t="s">
        <v>9873</v>
      </c>
    </row>
    <row r="148" ht="14.25" customHeight="1">
      <c r="A148" s="55" t="s">
        <v>8966</v>
      </c>
      <c r="B148" s="55" t="s">
        <v>40</v>
      </c>
      <c r="C148" s="55" t="s">
        <v>9277</v>
      </c>
      <c r="D148" s="55" t="s">
        <v>8978</v>
      </c>
    </row>
    <row r="149" ht="14.25" customHeight="1">
      <c r="A149" s="55" t="s">
        <v>8966</v>
      </c>
      <c r="B149" s="55" t="s">
        <v>40</v>
      </c>
      <c r="C149" s="55" t="s">
        <v>8398</v>
      </c>
      <c r="D149" s="55" t="s">
        <v>8968</v>
      </c>
    </row>
    <row r="150" ht="14.25" customHeight="1">
      <c r="A150" s="55" t="s">
        <v>8966</v>
      </c>
      <c r="B150" s="55" t="s">
        <v>40</v>
      </c>
      <c r="C150" s="55" t="s">
        <v>12619</v>
      </c>
      <c r="D150" s="55" t="s">
        <v>8976</v>
      </c>
    </row>
    <row r="151" ht="14.25" customHeight="1">
      <c r="A151" s="55" t="s">
        <v>8966</v>
      </c>
      <c r="B151" s="55" t="s">
        <v>40</v>
      </c>
      <c r="C151" s="55" t="s">
        <v>5224</v>
      </c>
      <c r="D151" s="55" t="s">
        <v>11877</v>
      </c>
    </row>
    <row r="152" ht="14.25" customHeight="1">
      <c r="A152" s="55" t="s">
        <v>8966</v>
      </c>
      <c r="B152" s="55" t="s">
        <v>40</v>
      </c>
      <c r="C152" s="55" t="s">
        <v>5224</v>
      </c>
      <c r="D152" s="55" t="s">
        <v>11878</v>
      </c>
    </row>
    <row r="153" ht="14.25" customHeight="1">
      <c r="A153" s="55" t="s">
        <v>8966</v>
      </c>
      <c r="B153" s="55" t="s">
        <v>40</v>
      </c>
      <c r="C153" s="55" t="s">
        <v>11879</v>
      </c>
      <c r="D153" s="55" t="s">
        <v>8978</v>
      </c>
    </row>
    <row r="154" ht="14.25" customHeight="1">
      <c r="A154" s="55" t="s">
        <v>8966</v>
      </c>
      <c r="B154" s="55" t="s">
        <v>40</v>
      </c>
      <c r="C154" s="55" t="s">
        <v>9924</v>
      </c>
      <c r="D154" s="55" t="s">
        <v>8973</v>
      </c>
    </row>
    <row r="155" ht="14.25" customHeight="1">
      <c r="A155" s="55" t="s">
        <v>8966</v>
      </c>
      <c r="B155" s="55" t="s">
        <v>40</v>
      </c>
      <c r="C155" s="55" t="s">
        <v>12620</v>
      </c>
      <c r="D155" s="55" t="s">
        <v>9018</v>
      </c>
    </row>
    <row r="156" ht="14.25" customHeight="1">
      <c r="A156" s="55" t="s">
        <v>8966</v>
      </c>
      <c r="B156" s="55" t="s">
        <v>40</v>
      </c>
      <c r="C156" s="55" t="s">
        <v>6751</v>
      </c>
      <c r="D156" s="55" t="s">
        <v>8973</v>
      </c>
    </row>
    <row r="157" ht="14.25" customHeight="1">
      <c r="A157" s="55" t="s">
        <v>8966</v>
      </c>
      <c r="B157" s="55" t="s">
        <v>40</v>
      </c>
      <c r="C157" s="55" t="s">
        <v>5242</v>
      </c>
      <c r="D157" s="55" t="s">
        <v>8973</v>
      </c>
    </row>
    <row r="158" ht="14.25" customHeight="1">
      <c r="A158" s="55" t="s">
        <v>8966</v>
      </c>
      <c r="B158" s="55" t="s">
        <v>40</v>
      </c>
      <c r="C158" s="55" t="s">
        <v>10056</v>
      </c>
      <c r="D158" s="55" t="s">
        <v>8973</v>
      </c>
    </row>
    <row r="159" ht="14.25" customHeight="1">
      <c r="A159" s="55" t="s">
        <v>8966</v>
      </c>
      <c r="B159" s="55" t="s">
        <v>40</v>
      </c>
      <c r="C159" s="55" t="s">
        <v>204</v>
      </c>
      <c r="D159" s="55" t="s">
        <v>9109</v>
      </c>
    </row>
    <row r="160" ht="14.25" customHeight="1">
      <c r="A160" s="55" t="s">
        <v>8966</v>
      </c>
      <c r="B160" s="55" t="s">
        <v>40</v>
      </c>
      <c r="C160" s="55" t="s">
        <v>10057</v>
      </c>
      <c r="D160" s="55" t="s">
        <v>10058</v>
      </c>
    </row>
    <row r="161" ht="14.25" customHeight="1">
      <c r="A161" s="55" t="s">
        <v>8966</v>
      </c>
      <c r="B161" s="55" t="s">
        <v>40</v>
      </c>
      <c r="C161" s="55" t="s">
        <v>10586</v>
      </c>
      <c r="D161" s="55" t="s">
        <v>9990</v>
      </c>
    </row>
    <row r="162" ht="14.25" customHeight="1">
      <c r="A162" s="55" t="s">
        <v>8966</v>
      </c>
      <c r="B162" s="55" t="s">
        <v>40</v>
      </c>
      <c r="C162" s="55" t="s">
        <v>8995</v>
      </c>
      <c r="D162" s="55" t="s">
        <v>8968</v>
      </c>
    </row>
    <row r="163" ht="14.25" customHeight="1">
      <c r="A163" s="55" t="s">
        <v>8966</v>
      </c>
      <c r="B163" s="55" t="s">
        <v>40</v>
      </c>
      <c r="C163" s="55" t="s">
        <v>10059</v>
      </c>
      <c r="D163" s="55" t="s">
        <v>405</v>
      </c>
    </row>
    <row r="164" ht="14.25" customHeight="1">
      <c r="A164" s="55" t="s">
        <v>8966</v>
      </c>
      <c r="B164" s="55" t="s">
        <v>40</v>
      </c>
      <c r="C164" s="55" t="s">
        <v>12621</v>
      </c>
      <c r="D164" s="55" t="s">
        <v>12622</v>
      </c>
    </row>
    <row r="165" ht="14.25" customHeight="1">
      <c r="A165" s="55" t="s">
        <v>8966</v>
      </c>
      <c r="B165" s="55" t="s">
        <v>40</v>
      </c>
      <c r="C165" s="55" t="s">
        <v>10905</v>
      </c>
      <c r="D165" s="55" t="s">
        <v>9109</v>
      </c>
    </row>
    <row r="166" ht="14.25" customHeight="1">
      <c r="A166" s="55" t="s">
        <v>8966</v>
      </c>
      <c r="B166" s="55" t="s">
        <v>40</v>
      </c>
      <c r="C166" s="55" t="s">
        <v>10905</v>
      </c>
      <c r="D166" s="55" t="s">
        <v>9369</v>
      </c>
    </row>
    <row r="167" ht="14.25" customHeight="1">
      <c r="A167" s="55" t="s">
        <v>8966</v>
      </c>
      <c r="B167" s="55" t="s">
        <v>40</v>
      </c>
      <c r="C167" s="55" t="s">
        <v>10905</v>
      </c>
      <c r="D167" s="55" t="s">
        <v>9131</v>
      </c>
    </row>
    <row r="168" ht="14.25" customHeight="1">
      <c r="A168" s="55" t="s">
        <v>8966</v>
      </c>
      <c r="B168" s="55" t="s">
        <v>40</v>
      </c>
      <c r="C168" s="55" t="s">
        <v>10905</v>
      </c>
      <c r="D168" s="55" t="s">
        <v>8968</v>
      </c>
    </row>
    <row r="169" ht="14.25" customHeight="1">
      <c r="A169" s="55" t="s">
        <v>8966</v>
      </c>
      <c r="B169" s="55" t="s">
        <v>40</v>
      </c>
      <c r="C169" s="55" t="s">
        <v>10905</v>
      </c>
      <c r="D169" s="55" t="s">
        <v>12623</v>
      </c>
    </row>
    <row r="170" ht="14.25" customHeight="1">
      <c r="A170" s="55" t="s">
        <v>8966</v>
      </c>
      <c r="B170" s="55" t="s">
        <v>40</v>
      </c>
      <c r="C170" s="55" t="s">
        <v>10905</v>
      </c>
      <c r="D170" s="55" t="s">
        <v>8976</v>
      </c>
    </row>
    <row r="171" ht="14.25" customHeight="1">
      <c r="A171" s="55" t="s">
        <v>8966</v>
      </c>
      <c r="B171" s="55" t="s">
        <v>40</v>
      </c>
      <c r="C171" s="55" t="s">
        <v>10905</v>
      </c>
      <c r="D171" s="55" t="s">
        <v>9118</v>
      </c>
    </row>
    <row r="172" ht="14.25" customHeight="1">
      <c r="A172" s="55" t="s">
        <v>8966</v>
      </c>
      <c r="B172" s="55" t="s">
        <v>40</v>
      </c>
      <c r="C172" s="55" t="s">
        <v>8996</v>
      </c>
      <c r="D172" s="55" t="s">
        <v>8989</v>
      </c>
    </row>
    <row r="173" ht="14.25" customHeight="1">
      <c r="A173" s="55" t="s">
        <v>8966</v>
      </c>
      <c r="B173" s="55" t="s">
        <v>40</v>
      </c>
      <c r="C173" s="55" t="s">
        <v>213</v>
      </c>
      <c r="D173" s="55" t="s">
        <v>9034</v>
      </c>
    </row>
    <row r="174" ht="14.25" customHeight="1">
      <c r="A174" s="55" t="s">
        <v>8966</v>
      </c>
      <c r="B174" s="55" t="s">
        <v>40</v>
      </c>
      <c r="C174" s="55" t="s">
        <v>213</v>
      </c>
      <c r="D174" s="55" t="s">
        <v>8973</v>
      </c>
    </row>
    <row r="175" ht="14.25" customHeight="1">
      <c r="A175" s="55" t="s">
        <v>8966</v>
      </c>
      <c r="B175" s="55" t="s">
        <v>40</v>
      </c>
      <c r="C175" s="55" t="s">
        <v>5327</v>
      </c>
      <c r="D175" s="55" t="s">
        <v>10587</v>
      </c>
    </row>
    <row r="176" ht="14.25" customHeight="1">
      <c r="A176" s="55" t="s">
        <v>8966</v>
      </c>
      <c r="B176" s="55" t="s">
        <v>40</v>
      </c>
      <c r="C176" s="55" t="s">
        <v>10588</v>
      </c>
      <c r="D176" s="55" t="s">
        <v>10589</v>
      </c>
    </row>
    <row r="177" ht="14.25" customHeight="1">
      <c r="A177" s="55" t="s">
        <v>8966</v>
      </c>
      <c r="B177" s="55" t="s">
        <v>40</v>
      </c>
      <c r="C177" s="55" t="s">
        <v>9896</v>
      </c>
      <c r="D177" s="55" t="s">
        <v>9131</v>
      </c>
    </row>
    <row r="178" ht="14.25" customHeight="1">
      <c r="A178" s="55" t="s">
        <v>8966</v>
      </c>
      <c r="B178" s="55" t="s">
        <v>40</v>
      </c>
      <c r="C178" s="55" t="s">
        <v>9896</v>
      </c>
      <c r="D178" s="55" t="s">
        <v>12624</v>
      </c>
    </row>
    <row r="179" ht="14.25" customHeight="1">
      <c r="A179" s="55" t="s">
        <v>8966</v>
      </c>
      <c r="B179" s="55" t="s">
        <v>40</v>
      </c>
      <c r="C179" s="55" t="s">
        <v>14051</v>
      </c>
      <c r="D179" s="55" t="s">
        <v>9071</v>
      </c>
    </row>
    <row r="180" ht="14.25" customHeight="1">
      <c r="A180" s="55" t="s">
        <v>8966</v>
      </c>
      <c r="B180" s="55" t="s">
        <v>40</v>
      </c>
      <c r="C180" s="55" t="s">
        <v>8997</v>
      </c>
      <c r="D180" s="55" t="s">
        <v>10486</v>
      </c>
    </row>
    <row r="181" ht="14.25" customHeight="1">
      <c r="A181" s="55" t="s">
        <v>8966</v>
      </c>
      <c r="B181" s="55" t="s">
        <v>40</v>
      </c>
      <c r="C181" s="55" t="s">
        <v>8997</v>
      </c>
      <c r="D181" s="55" t="s">
        <v>8998</v>
      </c>
    </row>
    <row r="182" ht="14.25" customHeight="1">
      <c r="A182" s="55" t="s">
        <v>8966</v>
      </c>
      <c r="B182" s="55" t="s">
        <v>40</v>
      </c>
      <c r="C182" s="55" t="s">
        <v>8997</v>
      </c>
      <c r="D182" s="55" t="s">
        <v>8976</v>
      </c>
    </row>
    <row r="183" ht="14.25" customHeight="1">
      <c r="A183" s="55" t="s">
        <v>8966</v>
      </c>
      <c r="B183" s="55" t="s">
        <v>40</v>
      </c>
      <c r="C183" s="55" t="s">
        <v>12625</v>
      </c>
      <c r="D183" s="55" t="s">
        <v>8976</v>
      </c>
    </row>
    <row r="184" ht="14.25" customHeight="1">
      <c r="A184" s="55" t="s">
        <v>8966</v>
      </c>
      <c r="B184" s="55" t="s">
        <v>40</v>
      </c>
      <c r="C184" s="55" t="s">
        <v>8576</v>
      </c>
      <c r="D184" s="55" t="s">
        <v>11880</v>
      </c>
    </row>
    <row r="185" ht="14.25" customHeight="1">
      <c r="A185" s="55" t="s">
        <v>8966</v>
      </c>
      <c r="B185" s="55" t="s">
        <v>40</v>
      </c>
      <c r="C185" s="55" t="s">
        <v>8576</v>
      </c>
      <c r="D185" s="55" t="s">
        <v>8992</v>
      </c>
    </row>
    <row r="186" ht="14.25" customHeight="1">
      <c r="A186" s="55" t="s">
        <v>8966</v>
      </c>
      <c r="B186" s="55" t="s">
        <v>40</v>
      </c>
      <c r="C186" s="55" t="s">
        <v>8576</v>
      </c>
      <c r="D186" s="55" t="s">
        <v>11881</v>
      </c>
    </row>
    <row r="187" ht="14.25" customHeight="1">
      <c r="A187" s="55" t="s">
        <v>8966</v>
      </c>
      <c r="B187" s="55" t="s">
        <v>40</v>
      </c>
      <c r="C187" s="55" t="s">
        <v>8576</v>
      </c>
      <c r="D187" s="55" t="s">
        <v>9028</v>
      </c>
    </row>
    <row r="188" ht="14.25" customHeight="1">
      <c r="A188" s="55" t="s">
        <v>8966</v>
      </c>
      <c r="B188" s="55" t="s">
        <v>40</v>
      </c>
      <c r="C188" s="55" t="s">
        <v>8576</v>
      </c>
      <c r="D188" s="55" t="s">
        <v>11882</v>
      </c>
    </row>
    <row r="189" ht="14.25" customHeight="1">
      <c r="A189" s="55" t="s">
        <v>8966</v>
      </c>
      <c r="B189" s="55" t="s">
        <v>40</v>
      </c>
      <c r="C189" s="55" t="s">
        <v>8576</v>
      </c>
      <c r="D189" s="55" t="s">
        <v>8976</v>
      </c>
    </row>
    <row r="190" ht="14.25" customHeight="1">
      <c r="A190" s="55" t="s">
        <v>8966</v>
      </c>
      <c r="B190" s="55" t="s">
        <v>40</v>
      </c>
      <c r="C190" s="55" t="s">
        <v>10060</v>
      </c>
      <c r="D190" s="55" t="s">
        <v>8973</v>
      </c>
    </row>
    <row r="191" ht="14.25" customHeight="1">
      <c r="A191" s="55" t="s">
        <v>8966</v>
      </c>
      <c r="B191" s="55" t="s">
        <v>40</v>
      </c>
      <c r="C191" s="55" t="s">
        <v>12626</v>
      </c>
      <c r="D191" s="55" t="s">
        <v>12627</v>
      </c>
    </row>
    <row r="192" ht="14.25" customHeight="1">
      <c r="A192" s="55" t="s">
        <v>8966</v>
      </c>
      <c r="B192" s="55" t="s">
        <v>40</v>
      </c>
      <c r="C192" s="55" t="s">
        <v>10590</v>
      </c>
      <c r="D192" s="55" t="s">
        <v>8989</v>
      </c>
    </row>
    <row r="193" ht="14.25" customHeight="1">
      <c r="A193" s="55" t="s">
        <v>8966</v>
      </c>
      <c r="B193" s="55" t="s">
        <v>40</v>
      </c>
      <c r="C193" s="55" t="s">
        <v>233</v>
      </c>
      <c r="D193" s="55" t="s">
        <v>10591</v>
      </c>
    </row>
    <row r="194" ht="14.25" customHeight="1">
      <c r="A194" s="55" t="s">
        <v>8966</v>
      </c>
      <c r="B194" s="55" t="s">
        <v>40</v>
      </c>
      <c r="C194" s="55" t="s">
        <v>233</v>
      </c>
      <c r="D194" s="55" t="s">
        <v>10576</v>
      </c>
    </row>
    <row r="195" ht="14.25" customHeight="1">
      <c r="A195" s="55" t="s">
        <v>8966</v>
      </c>
      <c r="B195" s="55" t="s">
        <v>40</v>
      </c>
      <c r="C195" s="55" t="s">
        <v>10592</v>
      </c>
      <c r="D195" s="55" t="s">
        <v>10593</v>
      </c>
    </row>
    <row r="196" ht="14.25" customHeight="1">
      <c r="A196" s="55" t="s">
        <v>8966</v>
      </c>
      <c r="B196" s="55" t="s">
        <v>40</v>
      </c>
      <c r="C196" s="55" t="s">
        <v>9215</v>
      </c>
      <c r="D196" s="55" t="s">
        <v>9109</v>
      </c>
    </row>
    <row r="197" ht="14.25" customHeight="1">
      <c r="A197" s="55" t="s">
        <v>8966</v>
      </c>
      <c r="B197" s="55" t="s">
        <v>40</v>
      </c>
      <c r="C197" s="55" t="s">
        <v>9215</v>
      </c>
      <c r="D197" s="55" t="s">
        <v>14052</v>
      </c>
    </row>
    <row r="198" ht="14.25" customHeight="1">
      <c r="A198" s="55" t="s">
        <v>8966</v>
      </c>
      <c r="B198" s="55" t="s">
        <v>40</v>
      </c>
      <c r="C198" s="55" t="s">
        <v>9215</v>
      </c>
      <c r="D198" s="55" t="s">
        <v>12628</v>
      </c>
    </row>
    <row r="199" ht="14.25" customHeight="1">
      <c r="A199" s="55" t="s">
        <v>8966</v>
      </c>
      <c r="B199" s="55" t="s">
        <v>40</v>
      </c>
      <c r="C199" s="55" t="s">
        <v>9215</v>
      </c>
      <c r="D199" s="55" t="s">
        <v>10594</v>
      </c>
    </row>
    <row r="200" ht="14.25" customHeight="1">
      <c r="A200" s="55" t="s">
        <v>8966</v>
      </c>
      <c r="B200" s="55" t="s">
        <v>40</v>
      </c>
      <c r="C200" s="55" t="s">
        <v>9215</v>
      </c>
      <c r="D200" s="55" t="s">
        <v>9028</v>
      </c>
    </row>
    <row r="201" ht="14.25" customHeight="1">
      <c r="A201" s="55" t="s">
        <v>8966</v>
      </c>
      <c r="B201" s="55" t="s">
        <v>40</v>
      </c>
      <c r="C201" s="55" t="s">
        <v>9215</v>
      </c>
      <c r="D201" s="55" t="s">
        <v>11883</v>
      </c>
    </row>
    <row r="202" ht="14.25" customHeight="1">
      <c r="A202" s="55" t="s">
        <v>8966</v>
      </c>
      <c r="B202" s="55" t="s">
        <v>40</v>
      </c>
      <c r="C202" s="55" t="s">
        <v>4165</v>
      </c>
      <c r="D202" s="55" t="s">
        <v>8973</v>
      </c>
    </row>
    <row r="203" ht="14.25" customHeight="1">
      <c r="A203" s="55" t="s">
        <v>8966</v>
      </c>
      <c r="B203" s="55" t="s">
        <v>40</v>
      </c>
      <c r="C203" s="55" t="s">
        <v>8999</v>
      </c>
      <c r="D203" s="55" t="s">
        <v>9000</v>
      </c>
    </row>
    <row r="204" ht="14.25" customHeight="1">
      <c r="A204" s="55" t="s">
        <v>8966</v>
      </c>
      <c r="B204" s="55" t="s">
        <v>40</v>
      </c>
      <c r="C204" s="55" t="s">
        <v>8999</v>
      </c>
      <c r="D204" s="55" t="s">
        <v>8998</v>
      </c>
    </row>
    <row r="205" ht="14.25" customHeight="1">
      <c r="A205" s="55" t="s">
        <v>8966</v>
      </c>
      <c r="B205" s="55" t="s">
        <v>40</v>
      </c>
      <c r="C205" s="55" t="s">
        <v>10061</v>
      </c>
      <c r="D205" s="55" t="s">
        <v>8968</v>
      </c>
    </row>
    <row r="206" ht="14.25" customHeight="1">
      <c r="A206" s="55" t="s">
        <v>8966</v>
      </c>
      <c r="B206" s="55" t="s">
        <v>40</v>
      </c>
      <c r="C206" s="55" t="s">
        <v>9001</v>
      </c>
      <c r="D206" s="55" t="s">
        <v>9002</v>
      </c>
    </row>
    <row r="207" ht="14.25" customHeight="1">
      <c r="A207" s="55" t="s">
        <v>8966</v>
      </c>
      <c r="B207" s="55" t="s">
        <v>40</v>
      </c>
      <c r="C207" s="55" t="s">
        <v>14053</v>
      </c>
      <c r="D207" s="55" t="s">
        <v>14054</v>
      </c>
    </row>
    <row r="208" ht="14.25" customHeight="1">
      <c r="A208" s="55" t="s">
        <v>8966</v>
      </c>
      <c r="B208" s="55" t="s">
        <v>40</v>
      </c>
      <c r="C208" s="55" t="s">
        <v>4187</v>
      </c>
      <c r="D208" s="55" t="s">
        <v>9026</v>
      </c>
    </row>
    <row r="209" ht="14.25" customHeight="1">
      <c r="A209" s="55" t="s">
        <v>8966</v>
      </c>
      <c r="B209" s="55" t="s">
        <v>40</v>
      </c>
      <c r="C209" s="55" t="s">
        <v>10595</v>
      </c>
      <c r="D209" s="55" t="s">
        <v>10596</v>
      </c>
    </row>
    <row r="210" ht="14.25" customHeight="1">
      <c r="A210" s="55" t="s">
        <v>8966</v>
      </c>
      <c r="B210" s="55" t="s">
        <v>40</v>
      </c>
      <c r="C210" s="55" t="s">
        <v>9090</v>
      </c>
      <c r="D210" s="55" t="s">
        <v>11117</v>
      </c>
    </row>
    <row r="211" ht="14.25" customHeight="1">
      <c r="A211" s="55" t="s">
        <v>8966</v>
      </c>
      <c r="B211" s="55" t="s">
        <v>40</v>
      </c>
      <c r="C211" s="55" t="s">
        <v>9003</v>
      </c>
      <c r="D211" s="55" t="s">
        <v>9004</v>
      </c>
    </row>
    <row r="212" ht="14.25" customHeight="1">
      <c r="A212" s="55" t="s">
        <v>8966</v>
      </c>
      <c r="B212" s="55" t="s">
        <v>40</v>
      </c>
      <c r="C212" s="55" t="s">
        <v>14055</v>
      </c>
      <c r="D212" s="55" t="s">
        <v>14056</v>
      </c>
    </row>
    <row r="213" ht="14.25" customHeight="1">
      <c r="A213" s="55" t="s">
        <v>8966</v>
      </c>
      <c r="B213" s="55" t="s">
        <v>40</v>
      </c>
      <c r="C213" s="55" t="s">
        <v>4288</v>
      </c>
      <c r="D213" s="55" t="s">
        <v>9034</v>
      </c>
    </row>
    <row r="214" ht="14.25" customHeight="1">
      <c r="A214" s="55" t="s">
        <v>8966</v>
      </c>
      <c r="B214" s="55" t="s">
        <v>40</v>
      </c>
      <c r="C214" s="55" t="s">
        <v>10597</v>
      </c>
      <c r="D214" s="55" t="s">
        <v>8976</v>
      </c>
    </row>
    <row r="215" ht="14.25" customHeight="1">
      <c r="A215" s="55" t="s">
        <v>8966</v>
      </c>
      <c r="B215" s="55" t="s">
        <v>40</v>
      </c>
      <c r="C215" s="55" t="s">
        <v>4294</v>
      </c>
      <c r="D215" s="55" t="s">
        <v>10598</v>
      </c>
    </row>
    <row r="216" ht="14.25" customHeight="1">
      <c r="A216" s="55" t="s">
        <v>8966</v>
      </c>
      <c r="B216" s="55" t="s">
        <v>40</v>
      </c>
      <c r="C216" s="55" t="s">
        <v>4294</v>
      </c>
      <c r="D216" s="55" t="s">
        <v>11884</v>
      </c>
    </row>
    <row r="217" ht="14.25" customHeight="1">
      <c r="A217" s="55" t="s">
        <v>8966</v>
      </c>
      <c r="B217" s="55" t="s">
        <v>40</v>
      </c>
      <c r="C217" s="55" t="s">
        <v>4294</v>
      </c>
      <c r="D217" s="55" t="s">
        <v>10599</v>
      </c>
    </row>
    <row r="218" ht="14.25" customHeight="1">
      <c r="A218" s="55" t="s">
        <v>8966</v>
      </c>
      <c r="B218" s="55" t="s">
        <v>40</v>
      </c>
      <c r="C218" s="55" t="s">
        <v>4294</v>
      </c>
      <c r="D218" s="55" t="s">
        <v>9018</v>
      </c>
    </row>
    <row r="219" ht="14.25" customHeight="1">
      <c r="A219" s="55" t="s">
        <v>8966</v>
      </c>
      <c r="B219" s="55" t="s">
        <v>40</v>
      </c>
      <c r="C219" s="55" t="s">
        <v>4294</v>
      </c>
      <c r="D219" s="55" t="s">
        <v>11885</v>
      </c>
    </row>
    <row r="220" ht="14.25" customHeight="1">
      <c r="A220" s="55" t="s">
        <v>8966</v>
      </c>
      <c r="B220" s="55" t="s">
        <v>40</v>
      </c>
      <c r="C220" s="55" t="s">
        <v>4294</v>
      </c>
      <c r="D220" s="55" t="s">
        <v>11886</v>
      </c>
    </row>
    <row r="221" ht="14.25" customHeight="1">
      <c r="A221" s="55" t="s">
        <v>8966</v>
      </c>
      <c r="B221" s="55" t="s">
        <v>40</v>
      </c>
      <c r="C221" s="55" t="s">
        <v>4294</v>
      </c>
      <c r="D221" s="55" t="s">
        <v>10577</v>
      </c>
    </row>
    <row r="222" ht="14.25" customHeight="1">
      <c r="A222" s="55" t="s">
        <v>8966</v>
      </c>
      <c r="B222" s="55" t="s">
        <v>40</v>
      </c>
      <c r="C222" s="55" t="s">
        <v>4294</v>
      </c>
      <c r="D222" s="55" t="s">
        <v>8976</v>
      </c>
    </row>
    <row r="223" ht="14.25" customHeight="1">
      <c r="A223" s="55" t="s">
        <v>8966</v>
      </c>
      <c r="B223" s="55" t="s">
        <v>40</v>
      </c>
      <c r="C223" s="55" t="s">
        <v>9005</v>
      </c>
      <c r="D223" s="55" t="s">
        <v>9034</v>
      </c>
    </row>
    <row r="224" ht="14.25" customHeight="1">
      <c r="A224" s="55" t="s">
        <v>8966</v>
      </c>
      <c r="B224" s="55" t="s">
        <v>40</v>
      </c>
      <c r="C224" s="55" t="s">
        <v>9005</v>
      </c>
      <c r="D224" s="55" t="s">
        <v>9006</v>
      </c>
    </row>
    <row r="225" ht="14.25" customHeight="1">
      <c r="A225" s="55" t="s">
        <v>8966</v>
      </c>
      <c r="B225" s="55" t="s">
        <v>40</v>
      </c>
      <c r="C225" s="55" t="s">
        <v>9005</v>
      </c>
      <c r="D225" s="55" t="s">
        <v>9004</v>
      </c>
    </row>
    <row r="226" ht="14.25" customHeight="1">
      <c r="A226" s="55" t="s">
        <v>8966</v>
      </c>
      <c r="B226" s="55" t="s">
        <v>40</v>
      </c>
      <c r="C226" s="55" t="s">
        <v>9005</v>
      </c>
      <c r="D226" s="55" t="s">
        <v>12629</v>
      </c>
    </row>
    <row r="227" ht="14.25" customHeight="1">
      <c r="A227" s="55" t="s">
        <v>8966</v>
      </c>
      <c r="B227" s="55" t="s">
        <v>40</v>
      </c>
      <c r="C227" s="55" t="s">
        <v>9005</v>
      </c>
      <c r="D227" s="55" t="s">
        <v>10062</v>
      </c>
    </row>
    <row r="228" ht="14.25" customHeight="1">
      <c r="A228" s="55" t="s">
        <v>8966</v>
      </c>
      <c r="B228" s="55" t="s">
        <v>40</v>
      </c>
      <c r="C228" s="55" t="s">
        <v>9005</v>
      </c>
      <c r="D228" s="55" t="s">
        <v>9118</v>
      </c>
    </row>
    <row r="229" ht="14.25" customHeight="1">
      <c r="A229" s="55" t="s">
        <v>8966</v>
      </c>
      <c r="B229" s="55" t="s">
        <v>40</v>
      </c>
      <c r="C229" s="55" t="s">
        <v>14057</v>
      </c>
      <c r="D229" s="55" t="s">
        <v>14058</v>
      </c>
    </row>
    <row r="230" ht="14.25" customHeight="1">
      <c r="A230" s="55" t="s">
        <v>8966</v>
      </c>
      <c r="B230" s="55" t="s">
        <v>40</v>
      </c>
      <c r="C230" s="55" t="s">
        <v>10063</v>
      </c>
      <c r="D230" s="55" t="s">
        <v>10064</v>
      </c>
    </row>
    <row r="231" ht="14.25" customHeight="1">
      <c r="A231" s="55" t="s">
        <v>8966</v>
      </c>
      <c r="B231" s="55" t="s">
        <v>40</v>
      </c>
      <c r="C231" s="55" t="s">
        <v>9007</v>
      </c>
      <c r="D231" s="55" t="s">
        <v>9006</v>
      </c>
    </row>
    <row r="232" ht="14.25" customHeight="1">
      <c r="A232" s="55" t="s">
        <v>8966</v>
      </c>
      <c r="B232" s="55" t="s">
        <v>40</v>
      </c>
      <c r="C232" s="55" t="s">
        <v>9007</v>
      </c>
      <c r="D232" s="55" t="s">
        <v>9008</v>
      </c>
    </row>
    <row r="233" ht="14.25" customHeight="1">
      <c r="A233" s="55" t="s">
        <v>8966</v>
      </c>
      <c r="B233" s="55" t="s">
        <v>40</v>
      </c>
      <c r="C233" s="55" t="s">
        <v>9007</v>
      </c>
      <c r="D233" s="55" t="s">
        <v>10062</v>
      </c>
    </row>
    <row r="234" ht="14.25" customHeight="1">
      <c r="A234" s="55" t="s">
        <v>8966</v>
      </c>
      <c r="B234" s="55" t="s">
        <v>40</v>
      </c>
      <c r="C234" s="55" t="s">
        <v>2163</v>
      </c>
      <c r="D234" s="55" t="s">
        <v>9034</v>
      </c>
    </row>
    <row r="235" ht="14.25" customHeight="1">
      <c r="A235" s="55" t="s">
        <v>8966</v>
      </c>
      <c r="B235" s="55" t="s">
        <v>40</v>
      </c>
      <c r="C235" s="55" t="s">
        <v>2163</v>
      </c>
      <c r="D235" s="55" t="s">
        <v>9021</v>
      </c>
    </row>
    <row r="236" ht="14.25" customHeight="1">
      <c r="A236" s="55" t="s">
        <v>8966</v>
      </c>
      <c r="B236" s="55" t="s">
        <v>40</v>
      </c>
      <c r="C236" s="55" t="s">
        <v>10065</v>
      </c>
      <c r="D236" s="55" t="s">
        <v>10066</v>
      </c>
    </row>
    <row r="237" ht="14.25" customHeight="1">
      <c r="A237" s="55" t="s">
        <v>8966</v>
      </c>
      <c r="B237" s="55" t="s">
        <v>40</v>
      </c>
      <c r="C237" s="55" t="s">
        <v>9009</v>
      </c>
      <c r="D237" s="55" t="s">
        <v>9010</v>
      </c>
    </row>
    <row r="238" ht="14.25" customHeight="1">
      <c r="A238" s="55" t="s">
        <v>8966</v>
      </c>
      <c r="B238" s="55" t="s">
        <v>40</v>
      </c>
      <c r="C238" s="55" t="s">
        <v>9011</v>
      </c>
      <c r="D238" s="55" t="s">
        <v>9012</v>
      </c>
    </row>
    <row r="239" ht="14.25" customHeight="1">
      <c r="A239" s="55" t="s">
        <v>8966</v>
      </c>
      <c r="B239" s="55" t="s">
        <v>40</v>
      </c>
      <c r="C239" s="55" t="s">
        <v>11372</v>
      </c>
      <c r="D239" s="55" t="s">
        <v>9614</v>
      </c>
    </row>
    <row r="240" ht="14.25" customHeight="1">
      <c r="A240" s="55" t="s">
        <v>8966</v>
      </c>
      <c r="B240" s="55" t="s">
        <v>40</v>
      </c>
      <c r="C240" s="55" t="s">
        <v>10600</v>
      </c>
      <c r="D240" s="55" t="s">
        <v>10601</v>
      </c>
    </row>
    <row r="241" ht="14.25" customHeight="1">
      <c r="A241" s="55" t="s">
        <v>8966</v>
      </c>
      <c r="B241" s="55" t="s">
        <v>41</v>
      </c>
      <c r="C241" s="55" t="s">
        <v>14059</v>
      </c>
      <c r="D241" s="55" t="s">
        <v>14060</v>
      </c>
    </row>
    <row r="242" ht="14.25" customHeight="1">
      <c r="A242" s="55" t="s">
        <v>8966</v>
      </c>
      <c r="B242" s="55" t="s">
        <v>41</v>
      </c>
      <c r="C242" s="55" t="s">
        <v>10067</v>
      </c>
      <c r="D242" s="55" t="s">
        <v>10068</v>
      </c>
    </row>
    <row r="243" ht="14.25" customHeight="1">
      <c r="A243" s="55" t="s">
        <v>8966</v>
      </c>
      <c r="B243" s="55" t="s">
        <v>41</v>
      </c>
      <c r="C243" s="55" t="s">
        <v>14061</v>
      </c>
      <c r="D243" s="55" t="s">
        <v>9305</v>
      </c>
    </row>
    <row r="244" ht="14.25" customHeight="1">
      <c r="A244" s="55" t="s">
        <v>8966</v>
      </c>
      <c r="B244" s="55" t="s">
        <v>41</v>
      </c>
      <c r="C244" s="55" t="s">
        <v>9013</v>
      </c>
      <c r="D244" s="55" t="s">
        <v>9014</v>
      </c>
    </row>
    <row r="245" ht="14.25" customHeight="1">
      <c r="A245" s="55" t="s">
        <v>8966</v>
      </c>
      <c r="B245" s="55" t="s">
        <v>41</v>
      </c>
      <c r="C245" s="55" t="s">
        <v>12599</v>
      </c>
      <c r="D245" s="55" t="s">
        <v>12630</v>
      </c>
    </row>
    <row r="246" ht="14.25" customHeight="1">
      <c r="A246" s="55" t="s">
        <v>8966</v>
      </c>
      <c r="B246" s="55" t="s">
        <v>41</v>
      </c>
      <c r="C246" s="55" t="s">
        <v>11373</v>
      </c>
      <c r="D246" s="55" t="s">
        <v>11374</v>
      </c>
    </row>
    <row r="247" ht="14.25" customHeight="1">
      <c r="A247" s="55" t="s">
        <v>8966</v>
      </c>
      <c r="B247" s="55" t="s">
        <v>41</v>
      </c>
      <c r="C247" s="55" t="s">
        <v>9015</v>
      </c>
      <c r="D247" s="55" t="s">
        <v>9016</v>
      </c>
    </row>
    <row r="248" ht="14.25" customHeight="1">
      <c r="A248" s="55" t="s">
        <v>8966</v>
      </c>
      <c r="B248" s="55" t="s">
        <v>41</v>
      </c>
      <c r="C248" s="55" t="s">
        <v>11179</v>
      </c>
      <c r="D248" s="55" t="s">
        <v>8973</v>
      </c>
    </row>
    <row r="249" ht="14.25" customHeight="1">
      <c r="A249" s="55" t="s">
        <v>8966</v>
      </c>
      <c r="B249" s="55" t="s">
        <v>41</v>
      </c>
      <c r="C249" s="55" t="s">
        <v>1889</v>
      </c>
      <c r="D249" s="55" t="s">
        <v>9034</v>
      </c>
    </row>
    <row r="250" ht="14.25" customHeight="1">
      <c r="A250" s="55" t="s">
        <v>8966</v>
      </c>
      <c r="B250" s="55" t="s">
        <v>41</v>
      </c>
      <c r="C250" s="55" t="s">
        <v>1889</v>
      </c>
      <c r="D250" s="55" t="s">
        <v>8986</v>
      </c>
    </row>
    <row r="251" ht="14.25" customHeight="1">
      <c r="A251" s="55" t="s">
        <v>8966</v>
      </c>
      <c r="B251" s="55" t="s">
        <v>41</v>
      </c>
      <c r="C251" s="55" t="s">
        <v>10069</v>
      </c>
      <c r="D251" s="55" t="s">
        <v>8973</v>
      </c>
    </row>
    <row r="252" ht="14.25" customHeight="1">
      <c r="A252" s="55" t="s">
        <v>8966</v>
      </c>
      <c r="B252" s="55" t="s">
        <v>41</v>
      </c>
      <c r="C252" s="55" t="s">
        <v>9261</v>
      </c>
      <c r="D252" s="55" t="s">
        <v>13516</v>
      </c>
    </row>
    <row r="253" ht="14.25" customHeight="1">
      <c r="A253" s="55" t="s">
        <v>8966</v>
      </c>
      <c r="B253" s="55" t="s">
        <v>41</v>
      </c>
      <c r="C253" s="55" t="s">
        <v>11887</v>
      </c>
      <c r="D253" s="55" t="s">
        <v>11888</v>
      </c>
    </row>
    <row r="254" ht="14.25" customHeight="1">
      <c r="A254" s="55" t="s">
        <v>8966</v>
      </c>
      <c r="B254" s="55" t="s">
        <v>41</v>
      </c>
      <c r="C254" s="55" t="s">
        <v>10444</v>
      </c>
      <c r="D254" s="55" t="s">
        <v>10602</v>
      </c>
    </row>
    <row r="255" ht="14.25" customHeight="1">
      <c r="A255" s="55" t="s">
        <v>8966</v>
      </c>
      <c r="B255" s="55" t="s">
        <v>41</v>
      </c>
      <c r="C255" s="55" t="s">
        <v>6057</v>
      </c>
      <c r="D255" s="55" t="s">
        <v>10298</v>
      </c>
    </row>
    <row r="256" ht="14.25" customHeight="1">
      <c r="A256" s="55" t="s">
        <v>8966</v>
      </c>
      <c r="B256" s="55" t="s">
        <v>41</v>
      </c>
      <c r="C256" s="55" t="s">
        <v>6057</v>
      </c>
      <c r="D256" s="55" t="s">
        <v>8976</v>
      </c>
    </row>
    <row r="257" ht="14.25" customHeight="1">
      <c r="A257" s="55" t="s">
        <v>8966</v>
      </c>
      <c r="B257" s="55" t="s">
        <v>41</v>
      </c>
      <c r="C257" s="55" t="s">
        <v>1015</v>
      </c>
      <c r="D257" s="55" t="s">
        <v>9151</v>
      </c>
    </row>
    <row r="258" ht="14.25" customHeight="1">
      <c r="A258" s="55" t="s">
        <v>8966</v>
      </c>
      <c r="B258" s="55" t="s">
        <v>41</v>
      </c>
      <c r="C258" s="55" t="s">
        <v>1058</v>
      </c>
      <c r="D258" s="55" t="s">
        <v>9012</v>
      </c>
    </row>
    <row r="259" ht="14.25" customHeight="1">
      <c r="A259" s="55" t="s">
        <v>8966</v>
      </c>
      <c r="B259" s="55" t="s">
        <v>41</v>
      </c>
      <c r="C259" s="55" t="s">
        <v>1058</v>
      </c>
      <c r="D259" s="55" t="s">
        <v>8994</v>
      </c>
    </row>
    <row r="260" ht="14.25" customHeight="1">
      <c r="A260" s="55" t="s">
        <v>8966</v>
      </c>
      <c r="B260" s="55" t="s">
        <v>41</v>
      </c>
      <c r="C260" s="55" t="s">
        <v>12501</v>
      </c>
      <c r="D260" s="55" t="s">
        <v>12631</v>
      </c>
    </row>
    <row r="261" ht="14.25" customHeight="1">
      <c r="A261" s="55" t="s">
        <v>8966</v>
      </c>
      <c r="B261" s="55" t="s">
        <v>41</v>
      </c>
      <c r="C261" s="55" t="s">
        <v>11889</v>
      </c>
      <c r="D261" s="55" t="s">
        <v>8976</v>
      </c>
    </row>
    <row r="262" ht="14.25" customHeight="1">
      <c r="A262" s="55" t="s">
        <v>8966</v>
      </c>
      <c r="B262" s="55" t="s">
        <v>41</v>
      </c>
      <c r="C262" s="55" t="s">
        <v>3411</v>
      </c>
      <c r="D262" s="55" t="s">
        <v>10603</v>
      </c>
    </row>
    <row r="263" ht="14.25" customHeight="1">
      <c r="A263" s="55" t="s">
        <v>8966</v>
      </c>
      <c r="B263" s="55" t="s">
        <v>41</v>
      </c>
      <c r="C263" s="55" t="s">
        <v>12632</v>
      </c>
      <c r="D263" s="55" t="s">
        <v>12633</v>
      </c>
    </row>
    <row r="264" ht="14.25" customHeight="1">
      <c r="A264" s="55" t="s">
        <v>8966</v>
      </c>
      <c r="B264" s="55" t="s">
        <v>41</v>
      </c>
      <c r="C264" s="55" t="s">
        <v>312</v>
      </c>
      <c r="D264" s="55" t="s">
        <v>11890</v>
      </c>
    </row>
    <row r="265" ht="14.25" customHeight="1">
      <c r="A265" s="55" t="s">
        <v>8966</v>
      </c>
      <c r="B265" s="55" t="s">
        <v>41</v>
      </c>
      <c r="C265" s="55" t="s">
        <v>312</v>
      </c>
      <c r="D265" s="55" t="s">
        <v>8976</v>
      </c>
    </row>
    <row r="266" ht="14.25" customHeight="1">
      <c r="A266" s="55" t="s">
        <v>8966</v>
      </c>
      <c r="B266" s="55" t="s">
        <v>41</v>
      </c>
      <c r="C266" s="55" t="s">
        <v>312</v>
      </c>
      <c r="D266" s="55" t="s">
        <v>9118</v>
      </c>
    </row>
    <row r="267" ht="14.25" customHeight="1">
      <c r="A267" s="55" t="s">
        <v>8966</v>
      </c>
      <c r="B267" s="55" t="s">
        <v>41</v>
      </c>
      <c r="C267" s="55" t="s">
        <v>3566</v>
      </c>
      <c r="D267" s="55" t="s">
        <v>9034</v>
      </c>
    </row>
    <row r="268" ht="14.25" customHeight="1">
      <c r="A268" s="55" t="s">
        <v>8966</v>
      </c>
      <c r="B268" s="55" t="s">
        <v>41</v>
      </c>
      <c r="C268" s="55" t="s">
        <v>3566</v>
      </c>
      <c r="D268" s="55" t="s">
        <v>13517</v>
      </c>
    </row>
    <row r="269" ht="14.25" customHeight="1">
      <c r="A269" s="55" t="s">
        <v>8966</v>
      </c>
      <c r="B269" s="55" t="s">
        <v>41</v>
      </c>
      <c r="C269" s="55" t="s">
        <v>3566</v>
      </c>
      <c r="D269" s="55" t="s">
        <v>8989</v>
      </c>
    </row>
    <row r="270" ht="14.25" customHeight="1">
      <c r="A270" s="55" t="s">
        <v>8966</v>
      </c>
      <c r="B270" s="55" t="s">
        <v>41</v>
      </c>
      <c r="C270" s="55" t="s">
        <v>3566</v>
      </c>
      <c r="D270" s="55" t="s">
        <v>8968</v>
      </c>
    </row>
    <row r="271" ht="14.25" customHeight="1">
      <c r="A271" s="55" t="s">
        <v>8966</v>
      </c>
      <c r="B271" s="55" t="s">
        <v>41</v>
      </c>
      <c r="C271" s="55" t="s">
        <v>3566</v>
      </c>
      <c r="D271" s="55" t="s">
        <v>11375</v>
      </c>
    </row>
    <row r="272" ht="14.25" customHeight="1">
      <c r="A272" s="55" t="s">
        <v>8966</v>
      </c>
      <c r="B272" s="55" t="s">
        <v>41</v>
      </c>
      <c r="C272" s="55" t="s">
        <v>3566</v>
      </c>
      <c r="D272" s="55" t="s">
        <v>11376</v>
      </c>
    </row>
    <row r="273" ht="14.25" customHeight="1">
      <c r="A273" s="55" t="s">
        <v>8966</v>
      </c>
      <c r="B273" s="55" t="s">
        <v>41</v>
      </c>
      <c r="C273" s="55" t="s">
        <v>3566</v>
      </c>
      <c r="D273" s="55" t="s">
        <v>11891</v>
      </c>
    </row>
    <row r="274" ht="14.25" customHeight="1">
      <c r="A274" s="55" t="s">
        <v>8966</v>
      </c>
      <c r="B274" s="55" t="s">
        <v>41</v>
      </c>
      <c r="C274" s="55" t="s">
        <v>3566</v>
      </c>
      <c r="D274" s="55" t="s">
        <v>9071</v>
      </c>
    </row>
    <row r="275" ht="14.25" customHeight="1">
      <c r="A275" s="55" t="s">
        <v>8966</v>
      </c>
      <c r="B275" s="55" t="s">
        <v>41</v>
      </c>
      <c r="C275" s="55" t="s">
        <v>3566</v>
      </c>
      <c r="D275" s="55" t="s">
        <v>9055</v>
      </c>
    </row>
    <row r="276" ht="14.25" customHeight="1">
      <c r="A276" s="55" t="s">
        <v>8966</v>
      </c>
      <c r="B276" s="55" t="s">
        <v>41</v>
      </c>
      <c r="C276" s="55" t="s">
        <v>3566</v>
      </c>
      <c r="D276" s="55" t="s">
        <v>8978</v>
      </c>
    </row>
    <row r="277" ht="14.25" customHeight="1">
      <c r="A277" s="55" t="s">
        <v>8966</v>
      </c>
      <c r="B277" s="55" t="s">
        <v>41</v>
      </c>
      <c r="C277" s="55" t="s">
        <v>3566</v>
      </c>
      <c r="D277" s="55" t="s">
        <v>14062</v>
      </c>
    </row>
    <row r="278" ht="14.25" customHeight="1">
      <c r="A278" s="55" t="s">
        <v>8966</v>
      </c>
      <c r="B278" s="55" t="s">
        <v>41</v>
      </c>
      <c r="C278" s="55" t="s">
        <v>3566</v>
      </c>
      <c r="D278" s="55" t="s">
        <v>11377</v>
      </c>
    </row>
    <row r="279" ht="14.25" customHeight="1">
      <c r="A279" s="55" t="s">
        <v>8966</v>
      </c>
      <c r="B279" s="55" t="s">
        <v>41</v>
      </c>
      <c r="C279" s="55" t="s">
        <v>3566</v>
      </c>
      <c r="D279" s="55" t="s">
        <v>8976</v>
      </c>
    </row>
    <row r="280" ht="14.25" customHeight="1">
      <c r="A280" s="55" t="s">
        <v>8966</v>
      </c>
      <c r="B280" s="55" t="s">
        <v>41</v>
      </c>
      <c r="C280" s="55" t="s">
        <v>12634</v>
      </c>
      <c r="D280" s="55" t="s">
        <v>12635</v>
      </c>
    </row>
    <row r="281" ht="14.25" customHeight="1">
      <c r="A281" s="55" t="s">
        <v>8966</v>
      </c>
      <c r="B281" s="55" t="s">
        <v>41</v>
      </c>
      <c r="C281" s="55" t="s">
        <v>9804</v>
      </c>
      <c r="D281" s="55" t="s">
        <v>9249</v>
      </c>
    </row>
    <row r="282" ht="14.25" customHeight="1">
      <c r="A282" s="55" t="s">
        <v>8966</v>
      </c>
      <c r="B282" s="55" t="s">
        <v>41</v>
      </c>
      <c r="C282" s="55" t="s">
        <v>3596</v>
      </c>
      <c r="D282" s="55" t="s">
        <v>10080</v>
      </c>
    </row>
    <row r="283" ht="14.25" customHeight="1">
      <c r="A283" s="55" t="s">
        <v>8966</v>
      </c>
      <c r="B283" s="55" t="s">
        <v>41</v>
      </c>
      <c r="C283" s="55" t="s">
        <v>3596</v>
      </c>
      <c r="D283" s="55" t="s">
        <v>11487</v>
      </c>
    </row>
    <row r="284" ht="14.25" customHeight="1">
      <c r="A284" s="55" t="s">
        <v>8966</v>
      </c>
      <c r="B284" s="55" t="s">
        <v>41</v>
      </c>
      <c r="C284" s="55" t="s">
        <v>12619</v>
      </c>
      <c r="D284" s="55" t="s">
        <v>10602</v>
      </c>
    </row>
    <row r="285" ht="14.25" customHeight="1">
      <c r="A285" s="55" t="s">
        <v>8966</v>
      </c>
      <c r="B285" s="55" t="s">
        <v>41</v>
      </c>
      <c r="C285" s="55" t="s">
        <v>5224</v>
      </c>
      <c r="D285" s="55" t="s">
        <v>8973</v>
      </c>
    </row>
    <row r="286" ht="14.25" customHeight="1">
      <c r="A286" s="55" t="s">
        <v>8966</v>
      </c>
      <c r="B286" s="55" t="s">
        <v>41</v>
      </c>
      <c r="C286" s="55" t="s">
        <v>5242</v>
      </c>
      <c r="D286" s="55" t="s">
        <v>8973</v>
      </c>
    </row>
    <row r="287" ht="14.25" customHeight="1">
      <c r="A287" s="55" t="s">
        <v>8966</v>
      </c>
      <c r="B287" s="55" t="s">
        <v>41</v>
      </c>
      <c r="C287" s="55" t="s">
        <v>10905</v>
      </c>
      <c r="D287" s="55" t="s">
        <v>8973</v>
      </c>
    </row>
    <row r="288" ht="14.25" customHeight="1">
      <c r="A288" s="55" t="s">
        <v>8966</v>
      </c>
      <c r="B288" s="55" t="s">
        <v>41</v>
      </c>
      <c r="C288" s="55" t="s">
        <v>10905</v>
      </c>
      <c r="D288" s="55" t="s">
        <v>13518</v>
      </c>
    </row>
    <row r="289" ht="14.25" customHeight="1">
      <c r="A289" s="55" t="s">
        <v>8966</v>
      </c>
      <c r="B289" s="55" t="s">
        <v>41</v>
      </c>
      <c r="C289" s="55" t="s">
        <v>10905</v>
      </c>
      <c r="D289" s="55" t="s">
        <v>9028</v>
      </c>
    </row>
    <row r="290" ht="14.25" customHeight="1">
      <c r="A290" s="55" t="s">
        <v>8966</v>
      </c>
      <c r="B290" s="55" t="s">
        <v>41</v>
      </c>
      <c r="C290" s="55" t="s">
        <v>10905</v>
      </c>
      <c r="D290" s="55" t="s">
        <v>9404</v>
      </c>
    </row>
    <row r="291" ht="14.25" customHeight="1">
      <c r="A291" s="55" t="s">
        <v>8966</v>
      </c>
      <c r="B291" s="55" t="s">
        <v>41</v>
      </c>
      <c r="C291" s="55" t="s">
        <v>10905</v>
      </c>
      <c r="D291" s="55" t="s">
        <v>8994</v>
      </c>
    </row>
    <row r="292" ht="14.25" customHeight="1">
      <c r="A292" s="55" t="s">
        <v>8966</v>
      </c>
      <c r="B292" s="55" t="s">
        <v>41</v>
      </c>
      <c r="C292" s="55" t="s">
        <v>213</v>
      </c>
      <c r="D292" s="55" t="s">
        <v>12636</v>
      </c>
    </row>
    <row r="293" ht="14.25" customHeight="1">
      <c r="A293" s="55" t="s">
        <v>8966</v>
      </c>
      <c r="B293" s="55" t="s">
        <v>41</v>
      </c>
      <c r="C293" s="55" t="s">
        <v>213</v>
      </c>
      <c r="D293" s="55" t="s">
        <v>14063</v>
      </c>
    </row>
    <row r="294" ht="14.25" customHeight="1">
      <c r="A294" s="55" t="s">
        <v>8966</v>
      </c>
      <c r="B294" s="55" t="s">
        <v>41</v>
      </c>
      <c r="C294" s="55" t="s">
        <v>213</v>
      </c>
      <c r="D294" s="55" t="s">
        <v>9943</v>
      </c>
    </row>
    <row r="295" ht="14.25" customHeight="1">
      <c r="A295" s="55" t="s">
        <v>8966</v>
      </c>
      <c r="B295" s="55" t="s">
        <v>41</v>
      </c>
      <c r="C295" s="55" t="s">
        <v>213</v>
      </c>
      <c r="D295" s="55" t="s">
        <v>8976</v>
      </c>
    </row>
    <row r="296" ht="14.25" customHeight="1">
      <c r="A296" s="55" t="s">
        <v>8966</v>
      </c>
      <c r="B296" s="55" t="s">
        <v>41</v>
      </c>
      <c r="C296" s="55" t="s">
        <v>11378</v>
      </c>
      <c r="D296" s="55" t="s">
        <v>9920</v>
      </c>
    </row>
    <row r="297" ht="14.25" customHeight="1">
      <c r="A297" s="55" t="s">
        <v>8966</v>
      </c>
      <c r="B297" s="55" t="s">
        <v>41</v>
      </c>
      <c r="C297" s="55" t="s">
        <v>9017</v>
      </c>
      <c r="D297" s="55" t="s">
        <v>9018</v>
      </c>
    </row>
    <row r="298" ht="14.25" customHeight="1">
      <c r="A298" s="55" t="s">
        <v>8966</v>
      </c>
      <c r="B298" s="55" t="s">
        <v>41</v>
      </c>
      <c r="C298" s="55" t="s">
        <v>8997</v>
      </c>
      <c r="D298" s="55" t="s">
        <v>12637</v>
      </c>
    </row>
    <row r="299" ht="14.25" customHeight="1">
      <c r="A299" s="55" t="s">
        <v>8966</v>
      </c>
      <c r="B299" s="55" t="s">
        <v>41</v>
      </c>
      <c r="C299" s="55" t="s">
        <v>8576</v>
      </c>
      <c r="D299" s="55" t="s">
        <v>10298</v>
      </c>
    </row>
    <row r="300" ht="14.25" customHeight="1">
      <c r="A300" s="55" t="s">
        <v>8966</v>
      </c>
      <c r="B300" s="55" t="s">
        <v>41</v>
      </c>
      <c r="C300" s="55" t="s">
        <v>8576</v>
      </c>
      <c r="D300" s="55" t="s">
        <v>11377</v>
      </c>
    </row>
    <row r="301" ht="14.25" customHeight="1">
      <c r="A301" s="55" t="s">
        <v>8966</v>
      </c>
      <c r="B301" s="55" t="s">
        <v>41</v>
      </c>
      <c r="C301" s="55" t="s">
        <v>233</v>
      </c>
      <c r="D301" s="55" t="s">
        <v>405</v>
      </c>
    </row>
    <row r="302" ht="14.25" customHeight="1">
      <c r="A302" s="55" t="s">
        <v>8966</v>
      </c>
      <c r="B302" s="55" t="s">
        <v>41</v>
      </c>
      <c r="C302" s="55" t="s">
        <v>233</v>
      </c>
      <c r="D302" s="55" t="s">
        <v>10080</v>
      </c>
    </row>
    <row r="303" ht="14.25" customHeight="1">
      <c r="A303" s="55" t="s">
        <v>8966</v>
      </c>
      <c r="B303" s="55" t="s">
        <v>41</v>
      </c>
      <c r="C303" s="55" t="s">
        <v>10604</v>
      </c>
      <c r="D303" s="55" t="s">
        <v>10605</v>
      </c>
    </row>
    <row r="304" ht="14.25" customHeight="1">
      <c r="A304" s="55" t="s">
        <v>8966</v>
      </c>
      <c r="B304" s="55" t="s">
        <v>41</v>
      </c>
      <c r="C304" s="55" t="s">
        <v>244</v>
      </c>
      <c r="D304" s="55" t="s">
        <v>8968</v>
      </c>
    </row>
    <row r="305" ht="14.25" customHeight="1">
      <c r="A305" s="55" t="s">
        <v>8966</v>
      </c>
      <c r="B305" s="55" t="s">
        <v>41</v>
      </c>
      <c r="C305" s="55" t="s">
        <v>12638</v>
      </c>
      <c r="D305" s="55" t="s">
        <v>12639</v>
      </c>
    </row>
    <row r="306" ht="14.25" customHeight="1">
      <c r="A306" s="55" t="s">
        <v>8966</v>
      </c>
      <c r="B306" s="55" t="s">
        <v>41</v>
      </c>
      <c r="C306" s="55" t="s">
        <v>9090</v>
      </c>
      <c r="D306" s="55" t="s">
        <v>9249</v>
      </c>
    </row>
    <row r="307" ht="14.25" customHeight="1">
      <c r="A307" s="55" t="s">
        <v>8966</v>
      </c>
      <c r="B307" s="55" t="s">
        <v>41</v>
      </c>
      <c r="C307" s="55" t="s">
        <v>10606</v>
      </c>
      <c r="D307" s="55" t="s">
        <v>10607</v>
      </c>
    </row>
    <row r="308" ht="14.25" customHeight="1">
      <c r="A308" s="55" t="s">
        <v>8966</v>
      </c>
      <c r="B308" s="55" t="s">
        <v>41</v>
      </c>
      <c r="C308" s="55" t="s">
        <v>11379</v>
      </c>
      <c r="D308" s="55" t="s">
        <v>9071</v>
      </c>
    </row>
    <row r="309" ht="14.25" customHeight="1">
      <c r="A309" s="55" t="s">
        <v>8966</v>
      </c>
      <c r="B309" s="55" t="s">
        <v>41</v>
      </c>
      <c r="C309" s="55" t="s">
        <v>10597</v>
      </c>
      <c r="D309" s="55" t="s">
        <v>9335</v>
      </c>
    </row>
    <row r="310" ht="14.25" customHeight="1">
      <c r="A310" s="55" t="s">
        <v>8966</v>
      </c>
      <c r="B310" s="55" t="s">
        <v>41</v>
      </c>
      <c r="C310" s="55" t="s">
        <v>4294</v>
      </c>
      <c r="D310" s="55" t="s">
        <v>11892</v>
      </c>
    </row>
    <row r="311" ht="14.25" customHeight="1">
      <c r="A311" s="55" t="s">
        <v>8966</v>
      </c>
      <c r="B311" s="55" t="s">
        <v>41</v>
      </c>
      <c r="C311" s="55" t="s">
        <v>4294</v>
      </c>
      <c r="D311" s="55" t="s">
        <v>11380</v>
      </c>
    </row>
    <row r="312" ht="14.25" customHeight="1">
      <c r="A312" s="55" t="s">
        <v>8966</v>
      </c>
      <c r="B312" s="55" t="s">
        <v>41</v>
      </c>
      <c r="C312" s="55" t="s">
        <v>9019</v>
      </c>
      <c r="D312" s="55" t="s">
        <v>9020</v>
      </c>
    </row>
    <row r="313" ht="14.25" customHeight="1">
      <c r="A313" s="55" t="s">
        <v>8966</v>
      </c>
      <c r="B313" s="55" t="s">
        <v>41</v>
      </c>
      <c r="C313" s="55" t="s">
        <v>9005</v>
      </c>
      <c r="D313" s="55" t="s">
        <v>9006</v>
      </c>
    </row>
    <row r="314" ht="14.25" customHeight="1">
      <c r="A314" s="55" t="s">
        <v>8966</v>
      </c>
      <c r="B314" s="55" t="s">
        <v>41</v>
      </c>
      <c r="C314" s="55" t="s">
        <v>10070</v>
      </c>
      <c r="D314" s="55" t="s">
        <v>9118</v>
      </c>
    </row>
    <row r="315" ht="14.25" customHeight="1">
      <c r="A315" s="55" t="s">
        <v>8966</v>
      </c>
      <c r="B315" s="55" t="s">
        <v>41</v>
      </c>
      <c r="C315" s="55" t="s">
        <v>11381</v>
      </c>
      <c r="D315" s="55" t="s">
        <v>11382</v>
      </c>
    </row>
    <row r="316" ht="14.25" customHeight="1">
      <c r="A316" s="55" t="s">
        <v>8966</v>
      </c>
      <c r="B316" s="55" t="s">
        <v>41</v>
      </c>
      <c r="C316" s="55" t="s">
        <v>2163</v>
      </c>
      <c r="D316" s="55" t="s">
        <v>9021</v>
      </c>
    </row>
    <row r="317" ht="14.25" customHeight="1">
      <c r="A317" s="55" t="s">
        <v>8966</v>
      </c>
      <c r="B317" s="55" t="s">
        <v>13</v>
      </c>
      <c r="C317" s="55" t="s">
        <v>13519</v>
      </c>
      <c r="D317" s="55" t="s">
        <v>12743</v>
      </c>
    </row>
    <row r="318" ht="14.25" customHeight="1">
      <c r="A318" s="55" t="s">
        <v>8966</v>
      </c>
      <c r="B318" s="55" t="s">
        <v>13</v>
      </c>
      <c r="C318" s="55" t="s">
        <v>13519</v>
      </c>
      <c r="D318" s="55" t="s">
        <v>10608</v>
      </c>
    </row>
    <row r="319" ht="14.25" customHeight="1">
      <c r="A319" s="55" t="s">
        <v>8966</v>
      </c>
      <c r="B319" s="55" t="s">
        <v>13</v>
      </c>
      <c r="C319" s="55" t="s">
        <v>9932</v>
      </c>
      <c r="D319" s="55" t="s">
        <v>9176</v>
      </c>
    </row>
    <row r="320" ht="14.25" customHeight="1">
      <c r="A320" s="55" t="s">
        <v>8966</v>
      </c>
      <c r="B320" s="55" t="s">
        <v>13</v>
      </c>
      <c r="C320" s="55" t="s">
        <v>11373</v>
      </c>
      <c r="D320" s="55" t="s">
        <v>13520</v>
      </c>
    </row>
    <row r="321" ht="14.25" customHeight="1">
      <c r="A321" s="55" t="s">
        <v>8966</v>
      </c>
      <c r="B321" s="55" t="s">
        <v>13</v>
      </c>
      <c r="C321" s="55" t="s">
        <v>1889</v>
      </c>
      <c r="D321" s="55" t="s">
        <v>13521</v>
      </c>
    </row>
    <row r="322" ht="14.25" customHeight="1">
      <c r="A322" s="55" t="s">
        <v>8966</v>
      </c>
      <c r="B322" s="55" t="s">
        <v>13</v>
      </c>
      <c r="C322" s="55" t="s">
        <v>11383</v>
      </c>
      <c r="D322" s="55" t="s">
        <v>9249</v>
      </c>
    </row>
    <row r="323" ht="14.25" customHeight="1">
      <c r="A323" s="55" t="s">
        <v>8966</v>
      </c>
      <c r="B323" s="55" t="s">
        <v>13</v>
      </c>
      <c r="C323" s="55" t="s">
        <v>13522</v>
      </c>
      <c r="D323" s="55" t="s">
        <v>9440</v>
      </c>
    </row>
    <row r="324" ht="14.25" customHeight="1">
      <c r="A324" s="55" t="s">
        <v>8966</v>
      </c>
      <c r="B324" s="55" t="s">
        <v>13</v>
      </c>
      <c r="C324" s="55" t="s">
        <v>3566</v>
      </c>
      <c r="D324" s="55" t="s">
        <v>8989</v>
      </c>
    </row>
    <row r="325" ht="14.25" customHeight="1">
      <c r="A325" s="55" t="s">
        <v>8966</v>
      </c>
      <c r="B325" s="55" t="s">
        <v>13</v>
      </c>
      <c r="C325" s="55" t="s">
        <v>3566</v>
      </c>
      <c r="D325" s="55" t="s">
        <v>10071</v>
      </c>
    </row>
    <row r="326" ht="14.25" customHeight="1">
      <c r="A326" s="55" t="s">
        <v>8966</v>
      </c>
      <c r="B326" s="55" t="s">
        <v>13</v>
      </c>
      <c r="C326" s="55" t="s">
        <v>3566</v>
      </c>
      <c r="D326" s="55" t="s">
        <v>8973</v>
      </c>
    </row>
    <row r="327" ht="14.25" customHeight="1">
      <c r="A327" s="55" t="s">
        <v>8966</v>
      </c>
      <c r="B327" s="55" t="s">
        <v>13</v>
      </c>
      <c r="C327" s="55" t="s">
        <v>3596</v>
      </c>
      <c r="D327" s="55" t="s">
        <v>10608</v>
      </c>
    </row>
    <row r="328" ht="14.25" customHeight="1">
      <c r="A328" s="55" t="s">
        <v>8966</v>
      </c>
      <c r="B328" s="55" t="s">
        <v>13</v>
      </c>
      <c r="C328" s="55" t="s">
        <v>9390</v>
      </c>
      <c r="D328" s="55" t="s">
        <v>9440</v>
      </c>
    </row>
    <row r="329" ht="14.25" customHeight="1">
      <c r="A329" s="55" t="s">
        <v>8966</v>
      </c>
      <c r="B329" s="55" t="s">
        <v>13</v>
      </c>
      <c r="C329" s="55" t="s">
        <v>8398</v>
      </c>
      <c r="D329" s="55" t="s">
        <v>10608</v>
      </c>
    </row>
    <row r="330" ht="14.25" customHeight="1">
      <c r="A330" s="55" t="s">
        <v>8966</v>
      </c>
      <c r="B330" s="55" t="s">
        <v>13</v>
      </c>
      <c r="C330" s="55" t="s">
        <v>5224</v>
      </c>
      <c r="D330" s="55" t="s">
        <v>10066</v>
      </c>
    </row>
    <row r="331" ht="14.25" customHeight="1">
      <c r="A331" s="55" t="s">
        <v>8966</v>
      </c>
      <c r="B331" s="55" t="s">
        <v>13</v>
      </c>
      <c r="C331" s="55" t="s">
        <v>5224</v>
      </c>
      <c r="D331" s="55" t="s">
        <v>13523</v>
      </c>
    </row>
    <row r="332" ht="14.25" customHeight="1">
      <c r="A332" s="55" t="s">
        <v>8966</v>
      </c>
      <c r="B332" s="55" t="s">
        <v>13</v>
      </c>
      <c r="C332" s="55" t="s">
        <v>13524</v>
      </c>
      <c r="D332" s="55" t="s">
        <v>9249</v>
      </c>
    </row>
    <row r="333" ht="14.25" customHeight="1">
      <c r="A333" s="55" t="s">
        <v>8966</v>
      </c>
      <c r="B333" s="55" t="s">
        <v>13</v>
      </c>
      <c r="C333" s="55" t="s">
        <v>5242</v>
      </c>
      <c r="D333" s="55" t="s">
        <v>8973</v>
      </c>
    </row>
    <row r="334" ht="14.25" customHeight="1">
      <c r="A334" s="55" t="s">
        <v>8966</v>
      </c>
      <c r="B334" s="55" t="s">
        <v>13</v>
      </c>
      <c r="C334" s="55" t="s">
        <v>8576</v>
      </c>
      <c r="D334" s="55" t="s">
        <v>9332</v>
      </c>
    </row>
    <row r="335" ht="14.25" customHeight="1">
      <c r="A335" s="55" t="s">
        <v>8966</v>
      </c>
      <c r="B335" s="55" t="s">
        <v>13</v>
      </c>
      <c r="C335" s="55" t="s">
        <v>12640</v>
      </c>
      <c r="D335" s="55" t="s">
        <v>9174</v>
      </c>
    </row>
    <row r="336" ht="14.25" customHeight="1">
      <c r="A336" s="55" t="s">
        <v>8966</v>
      </c>
      <c r="B336" s="55" t="s">
        <v>13</v>
      </c>
      <c r="C336" s="55" t="s">
        <v>13525</v>
      </c>
      <c r="D336" s="55" t="s">
        <v>9440</v>
      </c>
    </row>
    <row r="337" ht="14.25" customHeight="1">
      <c r="A337" s="55" t="s">
        <v>8966</v>
      </c>
      <c r="B337" s="55" t="s">
        <v>13</v>
      </c>
      <c r="C337" s="55" t="s">
        <v>233</v>
      </c>
      <c r="D337" s="55" t="s">
        <v>11384</v>
      </c>
    </row>
    <row r="338" ht="14.25" customHeight="1">
      <c r="A338" s="55" t="s">
        <v>8966</v>
      </c>
      <c r="B338" s="55" t="s">
        <v>13</v>
      </c>
      <c r="C338" s="55" t="s">
        <v>233</v>
      </c>
      <c r="D338" s="55" t="s">
        <v>11893</v>
      </c>
    </row>
    <row r="339" ht="14.25" customHeight="1">
      <c r="A339" s="55" t="s">
        <v>8966</v>
      </c>
      <c r="B339" s="55" t="s">
        <v>13</v>
      </c>
      <c r="C339" s="55" t="s">
        <v>233</v>
      </c>
      <c r="D339" s="55" t="s">
        <v>11894</v>
      </c>
    </row>
    <row r="340" ht="14.25" customHeight="1">
      <c r="A340" s="55" t="s">
        <v>8966</v>
      </c>
      <c r="B340" s="55" t="s">
        <v>13</v>
      </c>
      <c r="C340" s="55" t="s">
        <v>10072</v>
      </c>
      <c r="D340" s="55" t="s">
        <v>10073</v>
      </c>
    </row>
    <row r="341" ht="14.25" customHeight="1">
      <c r="A341" s="55" t="s">
        <v>8966</v>
      </c>
      <c r="B341" s="55" t="s">
        <v>13</v>
      </c>
      <c r="C341" s="55" t="s">
        <v>11385</v>
      </c>
      <c r="D341" s="55" t="s">
        <v>9034</v>
      </c>
    </row>
    <row r="342" ht="14.25" customHeight="1">
      <c r="A342" s="55" t="s">
        <v>8966</v>
      </c>
      <c r="B342" s="55" t="s">
        <v>13</v>
      </c>
      <c r="C342" s="55" t="s">
        <v>10640</v>
      </c>
      <c r="D342" s="55" t="s">
        <v>13526</v>
      </c>
    </row>
    <row r="343" ht="14.25" customHeight="1">
      <c r="A343" s="55" t="s">
        <v>8966</v>
      </c>
      <c r="B343" s="55" t="s">
        <v>13</v>
      </c>
      <c r="C343" s="55" t="s">
        <v>244</v>
      </c>
      <c r="D343" s="55" t="s">
        <v>9249</v>
      </c>
    </row>
    <row r="344" ht="14.25" customHeight="1">
      <c r="A344" s="55" t="s">
        <v>8966</v>
      </c>
      <c r="B344" s="55" t="s">
        <v>13</v>
      </c>
      <c r="C344" s="55" t="s">
        <v>9090</v>
      </c>
      <c r="D344" s="55" t="s">
        <v>9176</v>
      </c>
    </row>
    <row r="345" ht="14.25" customHeight="1">
      <c r="A345" s="55" t="s">
        <v>8966</v>
      </c>
      <c r="B345" s="55" t="s">
        <v>13</v>
      </c>
      <c r="C345" s="55" t="s">
        <v>9090</v>
      </c>
      <c r="D345" s="55" t="s">
        <v>11386</v>
      </c>
    </row>
    <row r="346" ht="14.25" customHeight="1">
      <c r="A346" s="55" t="s">
        <v>8966</v>
      </c>
      <c r="B346" s="55" t="s">
        <v>13</v>
      </c>
      <c r="C346" s="55" t="s">
        <v>9090</v>
      </c>
      <c r="D346" s="55" t="s">
        <v>10608</v>
      </c>
    </row>
    <row r="347" ht="14.25" customHeight="1">
      <c r="A347" s="55" t="s">
        <v>8966</v>
      </c>
      <c r="B347" s="55" t="s">
        <v>13</v>
      </c>
      <c r="C347" s="55" t="s">
        <v>13527</v>
      </c>
      <c r="D347" s="55" t="s">
        <v>13528</v>
      </c>
    </row>
    <row r="348" ht="14.25" customHeight="1">
      <c r="A348" s="55" t="s">
        <v>8966</v>
      </c>
      <c r="B348" s="55" t="s">
        <v>13</v>
      </c>
      <c r="C348" s="55" t="s">
        <v>12641</v>
      </c>
      <c r="D348" s="55" t="s">
        <v>9174</v>
      </c>
    </row>
    <row r="349" ht="14.25" customHeight="1">
      <c r="A349" s="55" t="s">
        <v>8966</v>
      </c>
      <c r="B349" s="55" t="s">
        <v>13</v>
      </c>
      <c r="C349" s="55" t="s">
        <v>11895</v>
      </c>
      <c r="D349" s="55" t="s">
        <v>9174</v>
      </c>
    </row>
    <row r="350" ht="14.25" customHeight="1">
      <c r="A350" s="55" t="s">
        <v>9022</v>
      </c>
      <c r="B350" s="55" t="s">
        <v>40</v>
      </c>
      <c r="C350" s="55" t="s">
        <v>9034</v>
      </c>
      <c r="D350" s="55" t="s">
        <v>8968</v>
      </c>
    </row>
    <row r="351" ht="14.25" customHeight="1">
      <c r="A351" s="55" t="s">
        <v>9022</v>
      </c>
      <c r="B351" s="55" t="s">
        <v>40</v>
      </c>
      <c r="C351" s="55" t="s">
        <v>9034</v>
      </c>
      <c r="D351" s="55" t="s">
        <v>9028</v>
      </c>
    </row>
    <row r="352" ht="14.25" customHeight="1">
      <c r="A352" s="55" t="s">
        <v>9022</v>
      </c>
      <c r="B352" s="55" t="s">
        <v>40</v>
      </c>
      <c r="C352" s="55" t="s">
        <v>9034</v>
      </c>
      <c r="D352" s="55" t="s">
        <v>11896</v>
      </c>
    </row>
    <row r="353" ht="14.25" customHeight="1">
      <c r="A353" s="55" t="s">
        <v>9022</v>
      </c>
      <c r="B353" s="55" t="s">
        <v>40</v>
      </c>
      <c r="C353" s="55" t="s">
        <v>10609</v>
      </c>
      <c r="D353" s="55" t="s">
        <v>9034</v>
      </c>
    </row>
    <row r="354" ht="14.25" customHeight="1">
      <c r="A354" s="55" t="s">
        <v>9022</v>
      </c>
      <c r="B354" s="55" t="s">
        <v>40</v>
      </c>
      <c r="C354" s="55" t="s">
        <v>12642</v>
      </c>
      <c r="D354" s="55" t="s">
        <v>9216</v>
      </c>
    </row>
    <row r="355" ht="14.25" customHeight="1">
      <c r="A355" s="55" t="s">
        <v>9022</v>
      </c>
      <c r="B355" s="55" t="s">
        <v>40</v>
      </c>
      <c r="C355" s="55" t="s">
        <v>9023</v>
      </c>
      <c r="D355" s="55" t="s">
        <v>9024</v>
      </c>
    </row>
    <row r="356" ht="14.25" customHeight="1">
      <c r="A356" s="55" t="s">
        <v>9022</v>
      </c>
      <c r="B356" s="55" t="s">
        <v>40</v>
      </c>
      <c r="C356" s="55" t="s">
        <v>9025</v>
      </c>
      <c r="D356" s="55" t="s">
        <v>9026</v>
      </c>
    </row>
    <row r="357" ht="14.25" customHeight="1">
      <c r="A357" s="55" t="s">
        <v>9022</v>
      </c>
      <c r="B357" s="55" t="s">
        <v>40</v>
      </c>
      <c r="C357" s="55" t="s">
        <v>75</v>
      </c>
      <c r="D357" s="55" t="s">
        <v>10610</v>
      </c>
    </row>
    <row r="358" ht="14.25" customHeight="1">
      <c r="A358" s="55" t="s">
        <v>9022</v>
      </c>
      <c r="B358" s="55" t="s">
        <v>40</v>
      </c>
      <c r="C358" s="55" t="s">
        <v>80</v>
      </c>
      <c r="D358" s="55" t="s">
        <v>9055</v>
      </c>
    </row>
    <row r="359" ht="14.25" customHeight="1">
      <c r="A359" s="55" t="s">
        <v>9022</v>
      </c>
      <c r="B359" s="55" t="s">
        <v>40</v>
      </c>
      <c r="C359" s="55" t="s">
        <v>4657</v>
      </c>
      <c r="D359" s="55" t="s">
        <v>9180</v>
      </c>
    </row>
    <row r="360" ht="14.25" customHeight="1">
      <c r="A360" s="55" t="s">
        <v>9022</v>
      </c>
      <c r="B360" s="55" t="s">
        <v>40</v>
      </c>
      <c r="C360" s="55" t="s">
        <v>9027</v>
      </c>
      <c r="D360" s="55" t="s">
        <v>9028</v>
      </c>
    </row>
    <row r="361" ht="14.25" customHeight="1">
      <c r="A361" s="55" t="s">
        <v>9022</v>
      </c>
      <c r="B361" s="55" t="s">
        <v>40</v>
      </c>
      <c r="C361" s="55" t="s">
        <v>12643</v>
      </c>
      <c r="D361" s="55" t="s">
        <v>8994</v>
      </c>
    </row>
    <row r="362" ht="14.25" customHeight="1">
      <c r="A362" s="55" t="s">
        <v>9022</v>
      </c>
      <c r="B362" s="55" t="s">
        <v>40</v>
      </c>
      <c r="C362" s="55" t="s">
        <v>10611</v>
      </c>
      <c r="D362" s="55" t="s">
        <v>8994</v>
      </c>
    </row>
    <row r="363" ht="14.25" customHeight="1">
      <c r="A363" s="55" t="s">
        <v>9022</v>
      </c>
      <c r="B363" s="55" t="s">
        <v>40</v>
      </c>
      <c r="C363" s="55" t="s">
        <v>9029</v>
      </c>
      <c r="D363" s="55" t="s">
        <v>9030</v>
      </c>
    </row>
    <row r="364" ht="14.25" customHeight="1">
      <c r="A364" s="55" t="s">
        <v>9022</v>
      </c>
      <c r="B364" s="55" t="s">
        <v>40</v>
      </c>
      <c r="C364" s="55" t="s">
        <v>9031</v>
      </c>
      <c r="D364" s="55" t="s">
        <v>9032</v>
      </c>
    </row>
    <row r="365" ht="14.25" customHeight="1">
      <c r="A365" s="55" t="s">
        <v>9022</v>
      </c>
      <c r="B365" s="55" t="s">
        <v>40</v>
      </c>
      <c r="C365" s="55" t="s">
        <v>89</v>
      </c>
      <c r="D365" s="55" t="s">
        <v>9033</v>
      </c>
    </row>
    <row r="366" ht="14.25" customHeight="1">
      <c r="A366" s="55" t="s">
        <v>9022</v>
      </c>
      <c r="B366" s="55" t="s">
        <v>40</v>
      </c>
      <c r="C366" s="55" t="s">
        <v>12644</v>
      </c>
      <c r="D366" s="55" t="s">
        <v>9216</v>
      </c>
    </row>
    <row r="367" ht="14.25" customHeight="1">
      <c r="A367" s="55" t="s">
        <v>9022</v>
      </c>
      <c r="B367" s="55" t="s">
        <v>40</v>
      </c>
      <c r="C367" s="55" t="s">
        <v>6119</v>
      </c>
      <c r="D367" s="55" t="s">
        <v>8994</v>
      </c>
    </row>
    <row r="368" ht="14.25" customHeight="1">
      <c r="A368" s="55" t="s">
        <v>9022</v>
      </c>
      <c r="B368" s="55" t="s">
        <v>40</v>
      </c>
      <c r="C368" s="55" t="s">
        <v>11452</v>
      </c>
      <c r="D368" s="55" t="s">
        <v>8994</v>
      </c>
    </row>
    <row r="369" ht="14.25" customHeight="1">
      <c r="A369" s="55" t="s">
        <v>9022</v>
      </c>
      <c r="B369" s="55" t="s">
        <v>40</v>
      </c>
      <c r="C369" s="55" t="s">
        <v>11897</v>
      </c>
      <c r="D369" s="55" t="s">
        <v>10610</v>
      </c>
    </row>
    <row r="370" ht="14.25" customHeight="1">
      <c r="A370" s="55" t="s">
        <v>9022</v>
      </c>
      <c r="B370" s="55" t="s">
        <v>40</v>
      </c>
      <c r="C370" s="55" t="s">
        <v>10074</v>
      </c>
      <c r="D370" s="55" t="s">
        <v>10075</v>
      </c>
    </row>
    <row r="371" ht="14.25" customHeight="1">
      <c r="A371" s="55" t="s">
        <v>9022</v>
      </c>
      <c r="B371" s="55" t="s">
        <v>40</v>
      </c>
      <c r="C371" s="55" t="s">
        <v>11387</v>
      </c>
      <c r="D371" s="55" t="s">
        <v>9265</v>
      </c>
    </row>
    <row r="372" ht="14.25" customHeight="1">
      <c r="A372" s="55" t="s">
        <v>9022</v>
      </c>
      <c r="B372" s="55" t="s">
        <v>40</v>
      </c>
      <c r="C372" s="55" t="s">
        <v>11387</v>
      </c>
      <c r="D372" s="55" t="s">
        <v>11177</v>
      </c>
    </row>
    <row r="373" ht="14.25" customHeight="1">
      <c r="A373" s="55" t="s">
        <v>9022</v>
      </c>
      <c r="B373" s="55" t="s">
        <v>40</v>
      </c>
      <c r="C373" s="55" t="s">
        <v>12645</v>
      </c>
      <c r="D373" s="55" t="s">
        <v>12646</v>
      </c>
    </row>
    <row r="374" ht="14.25" customHeight="1">
      <c r="A374" s="55" t="s">
        <v>9022</v>
      </c>
      <c r="B374" s="55" t="s">
        <v>40</v>
      </c>
      <c r="C374" s="55" t="s">
        <v>1144</v>
      </c>
      <c r="D374" s="55" t="s">
        <v>9055</v>
      </c>
    </row>
    <row r="375" ht="14.25" customHeight="1">
      <c r="A375" s="55" t="s">
        <v>9022</v>
      </c>
      <c r="B375" s="55" t="s">
        <v>40</v>
      </c>
      <c r="C375" s="55" t="s">
        <v>10612</v>
      </c>
      <c r="D375" s="55" t="s">
        <v>10610</v>
      </c>
    </row>
    <row r="376" ht="14.25" customHeight="1">
      <c r="A376" s="55" t="s">
        <v>9022</v>
      </c>
      <c r="B376" s="55" t="s">
        <v>40</v>
      </c>
      <c r="C376" s="55" t="s">
        <v>11898</v>
      </c>
      <c r="D376" s="55" t="s">
        <v>9645</v>
      </c>
    </row>
    <row r="377" ht="14.25" customHeight="1">
      <c r="A377" s="55" t="s">
        <v>9022</v>
      </c>
      <c r="B377" s="55" t="s">
        <v>40</v>
      </c>
      <c r="C377" s="55" t="s">
        <v>10613</v>
      </c>
      <c r="D377" s="55" t="s">
        <v>10614</v>
      </c>
    </row>
    <row r="378" ht="14.25" customHeight="1">
      <c r="A378" s="55" t="s">
        <v>9022</v>
      </c>
      <c r="B378" s="55" t="s">
        <v>40</v>
      </c>
      <c r="C378" s="55" t="s">
        <v>145</v>
      </c>
      <c r="D378" s="55" t="s">
        <v>9034</v>
      </c>
    </row>
    <row r="379" ht="14.25" customHeight="1">
      <c r="A379" s="55" t="s">
        <v>9022</v>
      </c>
      <c r="B379" s="55" t="s">
        <v>40</v>
      </c>
      <c r="C379" s="55" t="s">
        <v>9035</v>
      </c>
      <c r="D379" s="55" t="s">
        <v>9036</v>
      </c>
    </row>
    <row r="380" ht="14.25" customHeight="1">
      <c r="A380" s="55" t="s">
        <v>9022</v>
      </c>
      <c r="B380" s="55" t="s">
        <v>40</v>
      </c>
      <c r="C380" s="55" t="s">
        <v>9035</v>
      </c>
      <c r="D380" s="55" t="s">
        <v>9037</v>
      </c>
    </row>
    <row r="381" ht="14.25" customHeight="1">
      <c r="A381" s="55" t="s">
        <v>9022</v>
      </c>
      <c r="B381" s="55" t="s">
        <v>40</v>
      </c>
      <c r="C381" s="55" t="s">
        <v>11899</v>
      </c>
      <c r="D381" s="55" t="s">
        <v>11900</v>
      </c>
    </row>
    <row r="382" ht="14.25" customHeight="1">
      <c r="A382" s="55" t="s">
        <v>9022</v>
      </c>
      <c r="B382" s="55" t="s">
        <v>40</v>
      </c>
      <c r="C382" s="55" t="s">
        <v>9038</v>
      </c>
      <c r="D382" s="55" t="s">
        <v>9039</v>
      </c>
    </row>
    <row r="383" ht="14.25" customHeight="1">
      <c r="A383" s="55" t="s">
        <v>9022</v>
      </c>
      <c r="B383" s="55" t="s">
        <v>40</v>
      </c>
      <c r="C383" s="55" t="s">
        <v>9040</v>
      </c>
      <c r="D383" s="55" t="s">
        <v>9041</v>
      </c>
    </row>
    <row r="384" ht="14.25" customHeight="1">
      <c r="A384" s="55" t="s">
        <v>9022</v>
      </c>
      <c r="B384" s="55" t="s">
        <v>40</v>
      </c>
      <c r="C384" s="55" t="s">
        <v>12647</v>
      </c>
      <c r="D384" s="55" t="s">
        <v>9151</v>
      </c>
    </row>
    <row r="385" ht="14.25" customHeight="1">
      <c r="A385" s="55" t="s">
        <v>9022</v>
      </c>
      <c r="B385" s="55" t="s">
        <v>40</v>
      </c>
      <c r="C385" s="55" t="s">
        <v>9042</v>
      </c>
      <c r="D385" s="55" t="s">
        <v>9043</v>
      </c>
    </row>
    <row r="386" ht="14.25" customHeight="1">
      <c r="A386" s="55" t="s">
        <v>9022</v>
      </c>
      <c r="B386" s="55" t="s">
        <v>40</v>
      </c>
      <c r="C386" s="55" t="s">
        <v>3359</v>
      </c>
      <c r="D386" s="55" t="s">
        <v>9044</v>
      </c>
    </row>
    <row r="387" ht="14.25" customHeight="1">
      <c r="A387" s="55" t="s">
        <v>9022</v>
      </c>
      <c r="B387" s="55" t="s">
        <v>40</v>
      </c>
      <c r="C387" s="55" t="s">
        <v>5036</v>
      </c>
      <c r="D387" s="55" t="s">
        <v>9045</v>
      </c>
    </row>
    <row r="388" ht="14.25" customHeight="1">
      <c r="A388" s="55" t="s">
        <v>9022</v>
      </c>
      <c r="B388" s="55" t="s">
        <v>40</v>
      </c>
      <c r="C388" s="55" t="s">
        <v>159</v>
      </c>
      <c r="D388" s="55" t="s">
        <v>9028</v>
      </c>
    </row>
    <row r="389" ht="14.25" customHeight="1">
      <c r="A389" s="55" t="s">
        <v>9022</v>
      </c>
      <c r="B389" s="55" t="s">
        <v>40</v>
      </c>
      <c r="C389" s="55" t="s">
        <v>8150</v>
      </c>
      <c r="D389" s="55" t="s">
        <v>9055</v>
      </c>
    </row>
    <row r="390" ht="14.25" customHeight="1">
      <c r="A390" s="55" t="s">
        <v>9022</v>
      </c>
      <c r="B390" s="55" t="s">
        <v>40</v>
      </c>
      <c r="C390" s="55" t="s">
        <v>166</v>
      </c>
      <c r="D390" s="55" t="s">
        <v>8994</v>
      </c>
    </row>
    <row r="391" ht="14.25" customHeight="1">
      <c r="A391" s="55" t="s">
        <v>9022</v>
      </c>
      <c r="B391" s="55" t="s">
        <v>40</v>
      </c>
      <c r="C391" s="55" t="s">
        <v>1417</v>
      </c>
      <c r="D391" s="55" t="s">
        <v>9204</v>
      </c>
    </row>
    <row r="392" ht="14.25" customHeight="1">
      <c r="A392" s="55" t="s">
        <v>9022</v>
      </c>
      <c r="B392" s="55" t="s">
        <v>40</v>
      </c>
      <c r="C392" s="55" t="s">
        <v>10615</v>
      </c>
      <c r="D392" s="55" t="s">
        <v>10616</v>
      </c>
    </row>
    <row r="393" ht="14.25" customHeight="1">
      <c r="A393" s="55" t="s">
        <v>9022</v>
      </c>
      <c r="B393" s="55" t="s">
        <v>40</v>
      </c>
      <c r="C393" s="55" t="s">
        <v>10617</v>
      </c>
      <c r="D393" s="55" t="s">
        <v>8994</v>
      </c>
    </row>
    <row r="394" ht="14.25" customHeight="1">
      <c r="A394" s="55" t="s">
        <v>9022</v>
      </c>
      <c r="B394" s="55" t="s">
        <v>40</v>
      </c>
      <c r="C394" s="55" t="s">
        <v>11901</v>
      </c>
      <c r="D394" s="55" t="s">
        <v>11902</v>
      </c>
    </row>
    <row r="395" ht="14.25" customHeight="1">
      <c r="A395" s="55" t="s">
        <v>9022</v>
      </c>
      <c r="B395" s="55" t="s">
        <v>40</v>
      </c>
      <c r="C395" s="55" t="s">
        <v>9046</v>
      </c>
      <c r="D395" s="55" t="s">
        <v>8994</v>
      </c>
    </row>
    <row r="396" ht="14.25" customHeight="1">
      <c r="A396" s="55" t="s">
        <v>9022</v>
      </c>
      <c r="B396" s="55" t="s">
        <v>40</v>
      </c>
      <c r="C396" s="55" t="s">
        <v>182</v>
      </c>
      <c r="D396" s="55" t="s">
        <v>9028</v>
      </c>
    </row>
    <row r="397" ht="14.25" customHeight="1">
      <c r="A397" s="55" t="s">
        <v>9022</v>
      </c>
      <c r="B397" s="55" t="s">
        <v>40</v>
      </c>
      <c r="C397" s="55" t="s">
        <v>10618</v>
      </c>
      <c r="D397" s="55" t="s">
        <v>9034</v>
      </c>
    </row>
    <row r="398" ht="14.25" customHeight="1">
      <c r="A398" s="55" t="s">
        <v>9022</v>
      </c>
      <c r="B398" s="55" t="s">
        <v>40</v>
      </c>
      <c r="C398" s="55" t="s">
        <v>10619</v>
      </c>
      <c r="D398" s="55" t="s">
        <v>10620</v>
      </c>
    </row>
    <row r="399" ht="14.25" customHeight="1">
      <c r="A399" s="55" t="s">
        <v>9022</v>
      </c>
      <c r="B399" s="55" t="s">
        <v>40</v>
      </c>
      <c r="C399" s="55" t="s">
        <v>9047</v>
      </c>
      <c r="D399" s="55" t="s">
        <v>9028</v>
      </c>
    </row>
    <row r="400" ht="14.25" customHeight="1">
      <c r="A400" s="55" t="s">
        <v>9022</v>
      </c>
      <c r="B400" s="55" t="s">
        <v>40</v>
      </c>
      <c r="C400" s="55" t="s">
        <v>9048</v>
      </c>
      <c r="D400" s="55" t="s">
        <v>9037</v>
      </c>
    </row>
    <row r="401" ht="14.25" customHeight="1">
      <c r="A401" s="55" t="s">
        <v>9022</v>
      </c>
      <c r="B401" s="55" t="s">
        <v>40</v>
      </c>
      <c r="C401" s="55" t="s">
        <v>12648</v>
      </c>
      <c r="D401" s="55" t="s">
        <v>9151</v>
      </c>
    </row>
    <row r="402" ht="14.25" customHeight="1">
      <c r="A402" s="55" t="s">
        <v>9022</v>
      </c>
      <c r="B402" s="55" t="s">
        <v>40</v>
      </c>
      <c r="C402" s="55" t="s">
        <v>9049</v>
      </c>
      <c r="D402" s="55" t="s">
        <v>9050</v>
      </c>
    </row>
    <row r="403" ht="14.25" customHeight="1">
      <c r="A403" s="55" t="s">
        <v>9022</v>
      </c>
      <c r="B403" s="55" t="s">
        <v>40</v>
      </c>
      <c r="C403" s="55" t="s">
        <v>10621</v>
      </c>
      <c r="D403" s="55" t="s">
        <v>10622</v>
      </c>
    </row>
    <row r="404" ht="14.25" customHeight="1">
      <c r="A404" s="55" t="s">
        <v>9022</v>
      </c>
      <c r="B404" s="55" t="s">
        <v>40</v>
      </c>
      <c r="C404" s="55" t="s">
        <v>209</v>
      </c>
      <c r="D404" s="55" t="s">
        <v>9131</v>
      </c>
    </row>
    <row r="405" ht="14.25" customHeight="1">
      <c r="A405" s="55" t="s">
        <v>9022</v>
      </c>
      <c r="B405" s="55" t="s">
        <v>40</v>
      </c>
      <c r="C405" s="55" t="s">
        <v>214</v>
      </c>
      <c r="D405" s="55" t="s">
        <v>9051</v>
      </c>
    </row>
    <row r="406" ht="14.25" customHeight="1">
      <c r="A406" s="55" t="s">
        <v>9022</v>
      </c>
      <c r="B406" s="55" t="s">
        <v>40</v>
      </c>
      <c r="C406" s="55" t="s">
        <v>10623</v>
      </c>
      <c r="D406" s="55" t="s">
        <v>8994</v>
      </c>
    </row>
    <row r="407" ht="14.25" customHeight="1">
      <c r="A407" s="55" t="s">
        <v>9022</v>
      </c>
      <c r="B407" s="55" t="s">
        <v>40</v>
      </c>
      <c r="C407" s="55" t="s">
        <v>10135</v>
      </c>
      <c r="D407" s="55" t="s">
        <v>9026</v>
      </c>
    </row>
    <row r="408" ht="14.25" customHeight="1">
      <c r="A408" s="55" t="s">
        <v>9022</v>
      </c>
      <c r="B408" s="55" t="s">
        <v>40</v>
      </c>
      <c r="C408" s="55" t="s">
        <v>6863</v>
      </c>
      <c r="D408" s="55" t="s">
        <v>9034</v>
      </c>
    </row>
    <row r="409" ht="14.25" customHeight="1">
      <c r="A409" s="55" t="s">
        <v>9022</v>
      </c>
      <c r="B409" s="55" t="s">
        <v>40</v>
      </c>
      <c r="C409" s="55" t="s">
        <v>11903</v>
      </c>
      <c r="D409" s="55" t="s">
        <v>9055</v>
      </c>
    </row>
    <row r="410" ht="14.25" customHeight="1">
      <c r="A410" s="55" t="s">
        <v>9022</v>
      </c>
      <c r="B410" s="55" t="s">
        <v>40</v>
      </c>
      <c r="C410" s="55" t="s">
        <v>11904</v>
      </c>
      <c r="D410" s="55" t="s">
        <v>11905</v>
      </c>
    </row>
    <row r="411" ht="14.25" customHeight="1">
      <c r="A411" s="55" t="s">
        <v>9022</v>
      </c>
      <c r="B411" s="55" t="s">
        <v>40</v>
      </c>
      <c r="C411" s="55" t="s">
        <v>10624</v>
      </c>
      <c r="D411" s="55" t="s">
        <v>9430</v>
      </c>
    </row>
    <row r="412" ht="14.25" customHeight="1">
      <c r="A412" s="55" t="s">
        <v>9022</v>
      </c>
      <c r="B412" s="55" t="s">
        <v>40</v>
      </c>
      <c r="C412" s="55" t="s">
        <v>9052</v>
      </c>
      <c r="D412" s="55" t="s">
        <v>9050</v>
      </c>
    </row>
    <row r="413" ht="14.25" customHeight="1">
      <c r="A413" s="55" t="s">
        <v>9022</v>
      </c>
      <c r="B413" s="55" t="s">
        <v>40</v>
      </c>
      <c r="C413" s="55" t="s">
        <v>240</v>
      </c>
      <c r="D413" s="55" t="s">
        <v>11177</v>
      </c>
    </row>
    <row r="414" ht="14.25" customHeight="1">
      <c r="A414" s="55" t="s">
        <v>9022</v>
      </c>
      <c r="B414" s="55" t="s">
        <v>40</v>
      </c>
      <c r="C414" s="55" t="s">
        <v>9053</v>
      </c>
      <c r="D414" s="55" t="s">
        <v>9054</v>
      </c>
    </row>
    <row r="415" ht="14.25" customHeight="1">
      <c r="A415" s="55" t="s">
        <v>9022</v>
      </c>
      <c r="B415" s="55" t="s">
        <v>40</v>
      </c>
      <c r="C415" s="55" t="s">
        <v>9053</v>
      </c>
      <c r="D415" s="55" t="s">
        <v>9028</v>
      </c>
    </row>
    <row r="416" ht="14.25" customHeight="1">
      <c r="A416" s="55" t="s">
        <v>9022</v>
      </c>
      <c r="B416" s="55" t="s">
        <v>40</v>
      </c>
      <c r="C416" s="55" t="s">
        <v>11388</v>
      </c>
      <c r="D416" s="55" t="s">
        <v>9055</v>
      </c>
    </row>
    <row r="417" ht="14.25" customHeight="1">
      <c r="A417" s="55" t="s">
        <v>9022</v>
      </c>
      <c r="B417" s="55" t="s">
        <v>40</v>
      </c>
      <c r="C417" s="55" t="s">
        <v>4202</v>
      </c>
      <c r="D417" s="55" t="s">
        <v>9055</v>
      </c>
    </row>
    <row r="418" ht="14.25" customHeight="1">
      <c r="A418" s="55" t="s">
        <v>9022</v>
      </c>
      <c r="B418" s="55" t="s">
        <v>40</v>
      </c>
      <c r="C418" s="55" t="s">
        <v>4247</v>
      </c>
      <c r="D418" s="55" t="s">
        <v>9028</v>
      </c>
    </row>
    <row r="419" ht="14.25" customHeight="1">
      <c r="A419" s="55" t="s">
        <v>9022</v>
      </c>
      <c r="B419" s="55" t="s">
        <v>40</v>
      </c>
      <c r="C419" s="55" t="s">
        <v>4247</v>
      </c>
      <c r="D419" s="55" t="s">
        <v>9055</v>
      </c>
    </row>
    <row r="420" ht="14.25" customHeight="1">
      <c r="A420" s="55" t="s">
        <v>9022</v>
      </c>
      <c r="B420" s="55" t="s">
        <v>40</v>
      </c>
      <c r="C420" s="55" t="s">
        <v>261</v>
      </c>
      <c r="D420" s="55" t="s">
        <v>9034</v>
      </c>
    </row>
    <row r="421" ht="14.25" customHeight="1">
      <c r="A421" s="55" t="s">
        <v>9022</v>
      </c>
      <c r="B421" s="55" t="s">
        <v>40</v>
      </c>
      <c r="C421" s="55" t="s">
        <v>9437</v>
      </c>
      <c r="D421" s="55" t="s">
        <v>10076</v>
      </c>
    </row>
    <row r="422" ht="14.25" customHeight="1">
      <c r="A422" s="55" t="s">
        <v>9022</v>
      </c>
      <c r="B422" s="55" t="s">
        <v>40</v>
      </c>
      <c r="C422" s="55" t="s">
        <v>11389</v>
      </c>
      <c r="D422" s="55" t="s">
        <v>9043</v>
      </c>
    </row>
    <row r="423" ht="14.25" customHeight="1">
      <c r="A423" s="55" t="s">
        <v>9022</v>
      </c>
      <c r="B423" s="55" t="s">
        <v>40</v>
      </c>
      <c r="C423" s="55" t="s">
        <v>10077</v>
      </c>
      <c r="D423" s="55" t="s">
        <v>9043</v>
      </c>
    </row>
    <row r="424" ht="14.25" customHeight="1">
      <c r="A424" s="55" t="s">
        <v>9022</v>
      </c>
      <c r="B424" s="55" t="s">
        <v>40</v>
      </c>
      <c r="C424" s="55" t="s">
        <v>10625</v>
      </c>
      <c r="D424" s="55" t="s">
        <v>9109</v>
      </c>
    </row>
    <row r="425" ht="14.25" customHeight="1">
      <c r="A425" s="55" t="s">
        <v>9022</v>
      </c>
      <c r="B425" s="55" t="s">
        <v>40</v>
      </c>
      <c r="C425" s="55" t="s">
        <v>284</v>
      </c>
      <c r="D425" s="55" t="s">
        <v>11906</v>
      </c>
    </row>
    <row r="426" ht="14.25" customHeight="1">
      <c r="A426" s="55" t="s">
        <v>9022</v>
      </c>
      <c r="B426" s="55" t="s">
        <v>40</v>
      </c>
      <c r="C426" s="55" t="s">
        <v>286</v>
      </c>
      <c r="D426" s="55" t="s">
        <v>12649</v>
      </c>
    </row>
    <row r="427" ht="14.25" customHeight="1">
      <c r="A427" s="55" t="s">
        <v>9022</v>
      </c>
      <c r="B427" s="55" t="s">
        <v>40</v>
      </c>
      <c r="C427" s="55" t="s">
        <v>286</v>
      </c>
      <c r="D427" s="55" t="s">
        <v>11900</v>
      </c>
    </row>
    <row r="428" ht="14.25" customHeight="1">
      <c r="A428" s="55" t="s">
        <v>9022</v>
      </c>
      <c r="B428" s="55" t="s">
        <v>40</v>
      </c>
      <c r="C428" s="55" t="s">
        <v>286</v>
      </c>
      <c r="D428" s="55" t="s">
        <v>9028</v>
      </c>
    </row>
    <row r="429" ht="14.25" customHeight="1">
      <c r="A429" s="55" t="s">
        <v>9022</v>
      </c>
      <c r="B429" s="55" t="s">
        <v>40</v>
      </c>
      <c r="C429" s="55" t="s">
        <v>286</v>
      </c>
      <c r="D429" s="55" t="s">
        <v>12650</v>
      </c>
    </row>
    <row r="430" ht="14.25" customHeight="1">
      <c r="A430" s="55" t="s">
        <v>9022</v>
      </c>
      <c r="B430" s="55" t="s">
        <v>40</v>
      </c>
      <c r="C430" s="55" t="s">
        <v>9246</v>
      </c>
      <c r="D430" s="55" t="s">
        <v>9859</v>
      </c>
    </row>
    <row r="431" ht="14.25" customHeight="1">
      <c r="A431" s="55" t="s">
        <v>9022</v>
      </c>
      <c r="B431" s="55" t="s">
        <v>40</v>
      </c>
      <c r="C431" s="55" t="s">
        <v>9056</v>
      </c>
      <c r="D431" s="55" t="s">
        <v>9057</v>
      </c>
    </row>
    <row r="432" ht="14.25" customHeight="1">
      <c r="A432" s="55" t="s">
        <v>9058</v>
      </c>
      <c r="B432" s="55" t="s">
        <v>40</v>
      </c>
      <c r="C432" s="55" t="s">
        <v>9034</v>
      </c>
      <c r="D432" s="55" t="s">
        <v>11907</v>
      </c>
    </row>
    <row r="433" ht="14.25" customHeight="1">
      <c r="A433" s="55" t="s">
        <v>9058</v>
      </c>
      <c r="B433" s="55" t="s">
        <v>40</v>
      </c>
      <c r="C433" s="55" t="s">
        <v>9034</v>
      </c>
      <c r="D433" s="55" t="s">
        <v>11908</v>
      </c>
    </row>
    <row r="434" ht="14.25" customHeight="1">
      <c r="A434" s="55" t="s">
        <v>9058</v>
      </c>
      <c r="B434" s="55" t="s">
        <v>40</v>
      </c>
      <c r="C434" s="55" t="s">
        <v>9034</v>
      </c>
      <c r="D434" s="55" t="s">
        <v>8982</v>
      </c>
    </row>
    <row r="435" ht="14.25" customHeight="1">
      <c r="A435" s="55" t="s">
        <v>9058</v>
      </c>
      <c r="B435" s="55" t="s">
        <v>40</v>
      </c>
      <c r="C435" s="55" t="s">
        <v>10626</v>
      </c>
      <c r="D435" s="55" t="s">
        <v>10627</v>
      </c>
    </row>
    <row r="436" ht="14.25" customHeight="1">
      <c r="A436" s="55" t="s">
        <v>9058</v>
      </c>
      <c r="B436" s="55" t="s">
        <v>40</v>
      </c>
      <c r="C436" s="55" t="s">
        <v>12651</v>
      </c>
      <c r="D436" s="55" t="s">
        <v>10627</v>
      </c>
    </row>
    <row r="437" ht="14.25" customHeight="1">
      <c r="A437" s="55" t="s">
        <v>9058</v>
      </c>
      <c r="B437" s="55" t="s">
        <v>40</v>
      </c>
      <c r="C437" s="55" t="s">
        <v>11390</v>
      </c>
      <c r="D437" s="55" t="s">
        <v>12652</v>
      </c>
    </row>
    <row r="438" ht="14.25" customHeight="1">
      <c r="A438" s="55" t="s">
        <v>9058</v>
      </c>
      <c r="B438" s="55" t="s">
        <v>40</v>
      </c>
      <c r="C438" s="55" t="s">
        <v>11390</v>
      </c>
      <c r="D438" s="55" t="s">
        <v>10627</v>
      </c>
    </row>
    <row r="439" ht="14.25" customHeight="1">
      <c r="A439" s="55" t="s">
        <v>9058</v>
      </c>
      <c r="B439" s="55" t="s">
        <v>40</v>
      </c>
      <c r="C439" s="55" t="s">
        <v>11390</v>
      </c>
      <c r="D439" s="55" t="s">
        <v>11909</v>
      </c>
    </row>
    <row r="440" ht="14.25" customHeight="1">
      <c r="A440" s="55" t="s">
        <v>9058</v>
      </c>
      <c r="B440" s="55" t="s">
        <v>40</v>
      </c>
      <c r="C440" s="55" t="s">
        <v>11390</v>
      </c>
      <c r="D440" s="55" t="s">
        <v>11391</v>
      </c>
    </row>
    <row r="441" ht="14.25" customHeight="1">
      <c r="A441" s="55" t="s">
        <v>9058</v>
      </c>
      <c r="B441" s="55" t="s">
        <v>40</v>
      </c>
      <c r="C441" s="55" t="s">
        <v>9340</v>
      </c>
      <c r="D441" s="55" t="s">
        <v>9236</v>
      </c>
    </row>
    <row r="442" ht="14.25" customHeight="1">
      <c r="A442" s="55" t="s">
        <v>9058</v>
      </c>
      <c r="B442" s="55" t="s">
        <v>40</v>
      </c>
      <c r="C442" s="55" t="s">
        <v>2342</v>
      </c>
      <c r="D442" s="55" t="s">
        <v>9071</v>
      </c>
    </row>
    <row r="443" ht="14.25" customHeight="1">
      <c r="A443" s="55" t="s">
        <v>9058</v>
      </c>
      <c r="B443" s="55" t="s">
        <v>40</v>
      </c>
      <c r="C443" s="55" t="s">
        <v>12653</v>
      </c>
      <c r="D443" s="55" t="s">
        <v>9265</v>
      </c>
    </row>
    <row r="444" ht="14.25" customHeight="1">
      <c r="A444" s="55" t="s">
        <v>9058</v>
      </c>
      <c r="B444" s="55" t="s">
        <v>40</v>
      </c>
      <c r="C444" s="55" t="s">
        <v>12654</v>
      </c>
      <c r="D444" s="55" t="s">
        <v>12655</v>
      </c>
    </row>
    <row r="445" ht="14.25" customHeight="1">
      <c r="A445" s="55" t="s">
        <v>9058</v>
      </c>
      <c r="B445" s="55" t="s">
        <v>40</v>
      </c>
      <c r="C445" s="55" t="s">
        <v>13529</v>
      </c>
      <c r="D445" s="55" t="s">
        <v>12618</v>
      </c>
    </row>
    <row r="446" ht="14.25" customHeight="1">
      <c r="A446" s="55" t="s">
        <v>9058</v>
      </c>
      <c r="B446" s="55" t="s">
        <v>40</v>
      </c>
      <c r="C446" s="55" t="s">
        <v>13530</v>
      </c>
      <c r="D446" s="55" t="s">
        <v>11407</v>
      </c>
    </row>
    <row r="447" ht="14.25" customHeight="1">
      <c r="A447" s="55" t="s">
        <v>9058</v>
      </c>
      <c r="B447" s="55" t="s">
        <v>40</v>
      </c>
      <c r="C447" s="55" t="s">
        <v>11910</v>
      </c>
      <c r="D447" s="55" t="s">
        <v>9430</v>
      </c>
    </row>
    <row r="448" ht="14.25" customHeight="1">
      <c r="A448" s="55" t="s">
        <v>9058</v>
      </c>
      <c r="B448" s="55" t="s">
        <v>40</v>
      </c>
      <c r="C448" s="55" t="s">
        <v>11910</v>
      </c>
      <c r="D448" s="55" t="s">
        <v>8978</v>
      </c>
    </row>
    <row r="449" ht="14.25" customHeight="1">
      <c r="A449" s="55" t="s">
        <v>9058</v>
      </c>
      <c r="B449" s="55" t="s">
        <v>40</v>
      </c>
      <c r="C449" s="55" t="s">
        <v>10628</v>
      </c>
      <c r="D449" s="55" t="s">
        <v>9354</v>
      </c>
    </row>
    <row r="450" ht="14.25" customHeight="1">
      <c r="A450" s="55" t="s">
        <v>9058</v>
      </c>
      <c r="B450" s="55" t="s">
        <v>40</v>
      </c>
      <c r="C450" s="55" t="s">
        <v>12656</v>
      </c>
      <c r="D450" s="55" t="s">
        <v>9086</v>
      </c>
    </row>
    <row r="451" ht="14.25" customHeight="1">
      <c r="A451" s="55" t="s">
        <v>9058</v>
      </c>
      <c r="B451" s="55" t="s">
        <v>40</v>
      </c>
      <c r="C451" s="55" t="s">
        <v>5909</v>
      </c>
      <c r="D451" s="55" t="s">
        <v>9086</v>
      </c>
    </row>
    <row r="452" ht="14.25" customHeight="1">
      <c r="A452" s="55" t="s">
        <v>9058</v>
      </c>
      <c r="B452" s="55" t="s">
        <v>40</v>
      </c>
      <c r="C452" s="55" t="s">
        <v>11911</v>
      </c>
      <c r="D452" s="55" t="s">
        <v>11912</v>
      </c>
    </row>
    <row r="453" ht="14.25" customHeight="1">
      <c r="A453" s="55" t="s">
        <v>9058</v>
      </c>
      <c r="B453" s="55" t="s">
        <v>40</v>
      </c>
      <c r="C453" s="55" t="s">
        <v>12657</v>
      </c>
      <c r="D453" s="55" t="s">
        <v>9875</v>
      </c>
    </row>
    <row r="454" ht="14.25" customHeight="1">
      <c r="A454" s="55" t="s">
        <v>9058</v>
      </c>
      <c r="B454" s="55" t="s">
        <v>40</v>
      </c>
      <c r="C454" s="55" t="s">
        <v>10629</v>
      </c>
      <c r="D454" s="55" t="s">
        <v>9067</v>
      </c>
    </row>
    <row r="455" ht="14.25" customHeight="1">
      <c r="A455" s="55" t="s">
        <v>9058</v>
      </c>
      <c r="B455" s="55" t="s">
        <v>40</v>
      </c>
      <c r="C455" s="55" t="s">
        <v>10629</v>
      </c>
      <c r="D455" s="55" t="s">
        <v>10630</v>
      </c>
    </row>
    <row r="456" ht="14.25" customHeight="1">
      <c r="A456" s="55" t="s">
        <v>9058</v>
      </c>
      <c r="B456" s="55" t="s">
        <v>40</v>
      </c>
      <c r="C456" s="55" t="s">
        <v>10629</v>
      </c>
      <c r="D456" s="55" t="s">
        <v>10627</v>
      </c>
    </row>
    <row r="457" ht="14.25" customHeight="1">
      <c r="A457" s="55" t="s">
        <v>9058</v>
      </c>
      <c r="B457" s="55" t="s">
        <v>40</v>
      </c>
      <c r="C457" s="55" t="s">
        <v>9059</v>
      </c>
      <c r="D457" s="55" t="s">
        <v>9067</v>
      </c>
    </row>
    <row r="458" ht="14.25" customHeight="1">
      <c r="A458" s="55" t="s">
        <v>9058</v>
      </c>
      <c r="B458" s="55" t="s">
        <v>40</v>
      </c>
      <c r="C458" s="55" t="s">
        <v>9059</v>
      </c>
      <c r="D458" s="55" t="s">
        <v>9060</v>
      </c>
    </row>
    <row r="459" ht="14.25" customHeight="1">
      <c r="A459" s="55" t="s">
        <v>9058</v>
      </c>
      <c r="B459" s="55" t="s">
        <v>40</v>
      </c>
      <c r="C459" s="55" t="s">
        <v>12658</v>
      </c>
      <c r="D459" s="55" t="s">
        <v>9071</v>
      </c>
    </row>
    <row r="460" ht="14.25" customHeight="1">
      <c r="A460" s="55" t="s">
        <v>9058</v>
      </c>
      <c r="B460" s="55" t="s">
        <v>40</v>
      </c>
      <c r="C460" s="55" t="s">
        <v>9061</v>
      </c>
      <c r="D460" s="55" t="s">
        <v>9062</v>
      </c>
    </row>
    <row r="461" ht="14.25" customHeight="1">
      <c r="A461" s="55" t="s">
        <v>9058</v>
      </c>
      <c r="B461" s="55" t="s">
        <v>40</v>
      </c>
      <c r="C461" s="55" t="s">
        <v>9826</v>
      </c>
      <c r="D461" s="55" t="s">
        <v>9109</v>
      </c>
    </row>
    <row r="462" ht="14.25" customHeight="1">
      <c r="A462" s="55" t="s">
        <v>9058</v>
      </c>
      <c r="B462" s="55" t="s">
        <v>40</v>
      </c>
      <c r="C462" s="55" t="s">
        <v>9826</v>
      </c>
      <c r="D462" s="55" t="s">
        <v>12659</v>
      </c>
    </row>
    <row r="463" ht="14.25" customHeight="1">
      <c r="A463" s="55" t="s">
        <v>9058</v>
      </c>
      <c r="B463" s="55" t="s">
        <v>40</v>
      </c>
      <c r="C463" s="55" t="s">
        <v>9826</v>
      </c>
      <c r="D463" s="55" t="s">
        <v>13531</v>
      </c>
    </row>
    <row r="464" ht="14.25" customHeight="1">
      <c r="A464" s="55" t="s">
        <v>9058</v>
      </c>
      <c r="B464" s="55" t="s">
        <v>40</v>
      </c>
      <c r="C464" s="55" t="s">
        <v>9826</v>
      </c>
      <c r="D464" s="55" t="s">
        <v>10631</v>
      </c>
    </row>
    <row r="465" ht="14.25" customHeight="1">
      <c r="A465" s="55" t="s">
        <v>9058</v>
      </c>
      <c r="B465" s="55" t="s">
        <v>40</v>
      </c>
      <c r="C465" s="55" t="s">
        <v>9826</v>
      </c>
      <c r="D465" s="55" t="s">
        <v>10078</v>
      </c>
    </row>
    <row r="466" ht="14.25" customHeight="1">
      <c r="A466" s="55" t="s">
        <v>9058</v>
      </c>
      <c r="B466" s="55" t="s">
        <v>40</v>
      </c>
      <c r="C466" s="55" t="s">
        <v>9826</v>
      </c>
      <c r="D466" s="55" t="s">
        <v>10080</v>
      </c>
    </row>
    <row r="467" ht="14.25" customHeight="1">
      <c r="A467" s="55" t="s">
        <v>9058</v>
      </c>
      <c r="B467" s="55" t="s">
        <v>40</v>
      </c>
      <c r="C467" s="55" t="s">
        <v>12660</v>
      </c>
      <c r="D467" s="55" t="s">
        <v>9181</v>
      </c>
    </row>
    <row r="468" ht="14.25" customHeight="1">
      <c r="A468" s="55" t="s">
        <v>9058</v>
      </c>
      <c r="B468" s="55" t="s">
        <v>40</v>
      </c>
      <c r="C468" s="55" t="s">
        <v>12660</v>
      </c>
      <c r="D468" s="55" t="s">
        <v>9073</v>
      </c>
    </row>
    <row r="469" ht="14.25" customHeight="1">
      <c r="A469" s="55" t="s">
        <v>9058</v>
      </c>
      <c r="B469" s="55" t="s">
        <v>40</v>
      </c>
      <c r="C469" s="55" t="s">
        <v>12660</v>
      </c>
      <c r="D469" s="55" t="s">
        <v>12661</v>
      </c>
    </row>
    <row r="470" ht="14.25" customHeight="1">
      <c r="A470" s="55" t="s">
        <v>9058</v>
      </c>
      <c r="B470" s="55" t="s">
        <v>40</v>
      </c>
      <c r="C470" s="55" t="s">
        <v>12662</v>
      </c>
      <c r="D470" s="55" t="s">
        <v>9109</v>
      </c>
    </row>
    <row r="471" ht="14.25" customHeight="1">
      <c r="A471" s="55" t="s">
        <v>9058</v>
      </c>
      <c r="B471" s="55" t="s">
        <v>40</v>
      </c>
      <c r="C471" s="55" t="s">
        <v>12104</v>
      </c>
      <c r="D471" s="55" t="s">
        <v>10712</v>
      </c>
    </row>
    <row r="472" ht="14.25" customHeight="1">
      <c r="A472" s="55" t="s">
        <v>9058</v>
      </c>
      <c r="B472" s="55" t="s">
        <v>40</v>
      </c>
      <c r="C472" s="55" t="s">
        <v>11392</v>
      </c>
      <c r="D472" s="55" t="s">
        <v>10712</v>
      </c>
    </row>
    <row r="473" ht="14.25" customHeight="1">
      <c r="A473" s="55" t="s">
        <v>9058</v>
      </c>
      <c r="B473" s="55" t="s">
        <v>40</v>
      </c>
      <c r="C473" s="55" t="s">
        <v>12663</v>
      </c>
      <c r="D473" s="55" t="s">
        <v>9096</v>
      </c>
    </row>
    <row r="474" ht="14.25" customHeight="1">
      <c r="A474" s="55" t="s">
        <v>9058</v>
      </c>
      <c r="B474" s="55" t="s">
        <v>40</v>
      </c>
      <c r="C474" s="55" t="s">
        <v>13532</v>
      </c>
      <c r="D474" s="55" t="s">
        <v>13533</v>
      </c>
    </row>
    <row r="475" ht="14.25" customHeight="1">
      <c r="A475" s="55" t="s">
        <v>9058</v>
      </c>
      <c r="B475" s="55" t="s">
        <v>40</v>
      </c>
      <c r="C475" s="55" t="s">
        <v>11480</v>
      </c>
      <c r="D475" s="55" t="s">
        <v>9532</v>
      </c>
    </row>
    <row r="476" ht="14.25" customHeight="1">
      <c r="A476" s="55" t="s">
        <v>9058</v>
      </c>
      <c r="B476" s="55" t="s">
        <v>40</v>
      </c>
      <c r="C476" s="55" t="s">
        <v>2918</v>
      </c>
      <c r="D476" s="55" t="s">
        <v>11913</v>
      </c>
    </row>
    <row r="477" ht="14.25" customHeight="1">
      <c r="A477" s="55" t="s">
        <v>9058</v>
      </c>
      <c r="B477" s="55" t="s">
        <v>40</v>
      </c>
      <c r="C477" s="55" t="s">
        <v>2918</v>
      </c>
      <c r="D477" s="55" t="s">
        <v>11914</v>
      </c>
    </row>
    <row r="478" ht="14.25" customHeight="1">
      <c r="A478" s="55" t="s">
        <v>9058</v>
      </c>
      <c r="B478" s="55" t="s">
        <v>40</v>
      </c>
      <c r="C478" s="55" t="s">
        <v>10632</v>
      </c>
      <c r="D478" s="55" t="s">
        <v>9962</v>
      </c>
    </row>
    <row r="479" ht="14.25" customHeight="1">
      <c r="A479" s="55" t="s">
        <v>9058</v>
      </c>
      <c r="B479" s="55" t="s">
        <v>40</v>
      </c>
      <c r="C479" s="55" t="s">
        <v>11915</v>
      </c>
      <c r="D479" s="55" t="s">
        <v>9055</v>
      </c>
    </row>
    <row r="480" ht="14.25" customHeight="1">
      <c r="A480" s="55" t="s">
        <v>9058</v>
      </c>
      <c r="B480" s="55" t="s">
        <v>40</v>
      </c>
      <c r="C480" s="55" t="s">
        <v>8981</v>
      </c>
      <c r="D480" s="55" t="s">
        <v>10633</v>
      </c>
    </row>
    <row r="481" ht="14.25" customHeight="1">
      <c r="A481" s="55" t="s">
        <v>9058</v>
      </c>
      <c r="B481" s="55" t="s">
        <v>40</v>
      </c>
      <c r="C481" s="55" t="s">
        <v>8981</v>
      </c>
      <c r="D481" s="55" t="s">
        <v>9216</v>
      </c>
    </row>
    <row r="482" ht="14.25" customHeight="1">
      <c r="A482" s="55" t="s">
        <v>9058</v>
      </c>
      <c r="B482" s="55" t="s">
        <v>40</v>
      </c>
      <c r="C482" s="55" t="s">
        <v>8981</v>
      </c>
      <c r="D482" s="55" t="s">
        <v>8982</v>
      </c>
    </row>
    <row r="483" ht="14.25" customHeight="1">
      <c r="A483" s="55" t="s">
        <v>9058</v>
      </c>
      <c r="B483" s="55" t="s">
        <v>40</v>
      </c>
      <c r="C483" s="55" t="s">
        <v>128</v>
      </c>
      <c r="D483" s="55" t="s">
        <v>9864</v>
      </c>
    </row>
    <row r="484" ht="14.25" customHeight="1">
      <c r="A484" s="55" t="s">
        <v>9058</v>
      </c>
      <c r="B484" s="55" t="s">
        <v>40</v>
      </c>
      <c r="C484" s="55" t="s">
        <v>9063</v>
      </c>
      <c r="D484" s="55" t="s">
        <v>9064</v>
      </c>
    </row>
    <row r="485" ht="14.25" customHeight="1">
      <c r="A485" s="55" t="s">
        <v>9058</v>
      </c>
      <c r="B485" s="55" t="s">
        <v>40</v>
      </c>
      <c r="C485" s="55" t="s">
        <v>9063</v>
      </c>
      <c r="D485" s="55" t="s">
        <v>12475</v>
      </c>
    </row>
    <row r="486" ht="14.25" customHeight="1">
      <c r="A486" s="55" t="s">
        <v>9058</v>
      </c>
      <c r="B486" s="55" t="s">
        <v>40</v>
      </c>
      <c r="C486" s="55" t="s">
        <v>9063</v>
      </c>
      <c r="D486" s="55" t="s">
        <v>13534</v>
      </c>
    </row>
    <row r="487" ht="14.25" customHeight="1">
      <c r="A487" s="55" t="s">
        <v>9058</v>
      </c>
      <c r="B487" s="55" t="s">
        <v>40</v>
      </c>
      <c r="C487" s="55" t="s">
        <v>10745</v>
      </c>
      <c r="D487" s="55" t="s">
        <v>9746</v>
      </c>
    </row>
    <row r="488" ht="14.25" customHeight="1">
      <c r="A488" s="55" t="s">
        <v>9058</v>
      </c>
      <c r="B488" s="55" t="s">
        <v>40</v>
      </c>
      <c r="C488" s="55" t="s">
        <v>11916</v>
      </c>
      <c r="D488" s="55" t="s">
        <v>9095</v>
      </c>
    </row>
    <row r="489" ht="14.25" customHeight="1">
      <c r="A489" s="55" t="s">
        <v>9058</v>
      </c>
      <c r="B489" s="55" t="s">
        <v>40</v>
      </c>
      <c r="C489" s="55" t="s">
        <v>12664</v>
      </c>
      <c r="D489" s="55" t="s">
        <v>11596</v>
      </c>
    </row>
    <row r="490" ht="14.25" customHeight="1">
      <c r="A490" s="55" t="s">
        <v>9058</v>
      </c>
      <c r="B490" s="55" t="s">
        <v>40</v>
      </c>
      <c r="C490" s="55" t="s">
        <v>9065</v>
      </c>
      <c r="D490" s="55" t="s">
        <v>9066</v>
      </c>
    </row>
    <row r="491" ht="14.25" customHeight="1">
      <c r="A491" s="55" t="s">
        <v>9058</v>
      </c>
      <c r="B491" s="55" t="s">
        <v>40</v>
      </c>
      <c r="C491" s="55" t="s">
        <v>162</v>
      </c>
      <c r="D491" s="55" t="s">
        <v>9067</v>
      </c>
    </row>
    <row r="492" ht="14.25" customHeight="1">
      <c r="A492" s="55" t="s">
        <v>9058</v>
      </c>
      <c r="B492" s="55" t="s">
        <v>40</v>
      </c>
      <c r="C492" s="55" t="s">
        <v>162</v>
      </c>
      <c r="D492" s="55" t="s">
        <v>9060</v>
      </c>
    </row>
    <row r="493" ht="14.25" customHeight="1">
      <c r="A493" s="55" t="s">
        <v>9058</v>
      </c>
      <c r="B493" s="55" t="s">
        <v>40</v>
      </c>
      <c r="C493" s="55" t="s">
        <v>162</v>
      </c>
      <c r="D493" s="55" t="s">
        <v>710</v>
      </c>
    </row>
    <row r="494" ht="14.25" customHeight="1">
      <c r="A494" s="55" t="s">
        <v>9058</v>
      </c>
      <c r="B494" s="55" t="s">
        <v>40</v>
      </c>
      <c r="C494" s="55" t="s">
        <v>162</v>
      </c>
      <c r="D494" s="55" t="s">
        <v>14064</v>
      </c>
    </row>
    <row r="495" ht="14.25" customHeight="1">
      <c r="A495" s="55" t="s">
        <v>9058</v>
      </c>
      <c r="B495" s="55" t="s">
        <v>40</v>
      </c>
      <c r="C495" s="55" t="s">
        <v>10515</v>
      </c>
      <c r="D495" s="55" t="s">
        <v>14065</v>
      </c>
    </row>
    <row r="496" ht="14.25" customHeight="1">
      <c r="A496" s="55" t="s">
        <v>9058</v>
      </c>
      <c r="B496" s="55" t="s">
        <v>40</v>
      </c>
      <c r="C496" s="55" t="s">
        <v>6538</v>
      </c>
      <c r="D496" s="55" t="s">
        <v>13535</v>
      </c>
    </row>
    <row r="497" ht="14.25" customHeight="1">
      <c r="A497" s="55" t="s">
        <v>9058</v>
      </c>
      <c r="B497" s="55" t="s">
        <v>40</v>
      </c>
      <c r="C497" s="55" t="s">
        <v>11393</v>
      </c>
      <c r="D497" s="55" t="s">
        <v>11394</v>
      </c>
    </row>
    <row r="498" ht="14.25" customHeight="1">
      <c r="A498" s="55" t="s">
        <v>9058</v>
      </c>
      <c r="B498" s="55" t="s">
        <v>40</v>
      </c>
      <c r="C498" s="55" t="s">
        <v>3596</v>
      </c>
      <c r="D498" s="55" t="s">
        <v>11917</v>
      </c>
    </row>
    <row r="499" ht="14.25" customHeight="1">
      <c r="A499" s="55" t="s">
        <v>9058</v>
      </c>
      <c r="B499" s="55" t="s">
        <v>40</v>
      </c>
      <c r="C499" s="55" t="s">
        <v>6654</v>
      </c>
      <c r="D499" s="55" t="s">
        <v>11918</v>
      </c>
    </row>
    <row r="500" ht="14.25" customHeight="1">
      <c r="A500" s="55" t="s">
        <v>9058</v>
      </c>
      <c r="B500" s="55" t="s">
        <v>40</v>
      </c>
      <c r="C500" s="55" t="s">
        <v>6654</v>
      </c>
      <c r="D500" s="55" t="s">
        <v>9559</v>
      </c>
    </row>
    <row r="501" ht="14.25" customHeight="1">
      <c r="A501" s="55" t="s">
        <v>9058</v>
      </c>
      <c r="B501" s="55" t="s">
        <v>40</v>
      </c>
      <c r="C501" s="55" t="s">
        <v>10634</v>
      </c>
      <c r="D501" s="55" t="s">
        <v>10635</v>
      </c>
    </row>
    <row r="502" ht="14.25" customHeight="1">
      <c r="A502" s="55" t="s">
        <v>9058</v>
      </c>
      <c r="B502" s="55" t="s">
        <v>40</v>
      </c>
      <c r="C502" s="55" t="s">
        <v>8359</v>
      </c>
      <c r="D502" s="55" t="s">
        <v>11919</v>
      </c>
    </row>
    <row r="503" ht="14.25" customHeight="1">
      <c r="A503" s="55" t="s">
        <v>9058</v>
      </c>
      <c r="B503" s="55" t="s">
        <v>40</v>
      </c>
      <c r="C503" s="55" t="s">
        <v>8359</v>
      </c>
      <c r="D503" s="55" t="s">
        <v>11920</v>
      </c>
    </row>
    <row r="504" ht="14.25" customHeight="1">
      <c r="A504" s="55" t="s">
        <v>9058</v>
      </c>
      <c r="B504" s="55" t="s">
        <v>40</v>
      </c>
      <c r="C504" s="55" t="s">
        <v>8359</v>
      </c>
      <c r="D504" s="55" t="s">
        <v>9579</v>
      </c>
    </row>
    <row r="505" ht="14.25" customHeight="1">
      <c r="A505" s="55" t="s">
        <v>9058</v>
      </c>
      <c r="B505" s="55" t="s">
        <v>40</v>
      </c>
      <c r="C505" s="55" t="s">
        <v>10636</v>
      </c>
      <c r="D505" s="55" t="s">
        <v>10637</v>
      </c>
    </row>
    <row r="506" ht="14.25" customHeight="1">
      <c r="A506" s="55" t="s">
        <v>9058</v>
      </c>
      <c r="B506" s="55" t="s">
        <v>40</v>
      </c>
      <c r="C506" s="55" t="s">
        <v>10636</v>
      </c>
      <c r="D506" s="55" t="s">
        <v>11921</v>
      </c>
    </row>
    <row r="507" ht="14.25" customHeight="1">
      <c r="A507" s="55" t="s">
        <v>9058</v>
      </c>
      <c r="B507" s="55" t="s">
        <v>40</v>
      </c>
      <c r="C507" s="55" t="s">
        <v>12665</v>
      </c>
      <c r="D507" s="55" t="s">
        <v>11399</v>
      </c>
    </row>
    <row r="508" ht="14.25" customHeight="1">
      <c r="A508" s="55" t="s">
        <v>9058</v>
      </c>
      <c r="B508" s="55" t="s">
        <v>40</v>
      </c>
      <c r="C508" s="55" t="s">
        <v>9068</v>
      </c>
      <c r="D508" s="55" t="s">
        <v>9069</v>
      </c>
    </row>
    <row r="509" ht="14.25" customHeight="1">
      <c r="A509" s="55" t="s">
        <v>9058</v>
      </c>
      <c r="B509" s="55" t="s">
        <v>40</v>
      </c>
      <c r="C509" s="55" t="s">
        <v>9068</v>
      </c>
      <c r="D509" s="55" t="s">
        <v>9070</v>
      </c>
    </row>
    <row r="510" ht="14.25" customHeight="1">
      <c r="A510" s="55" t="s">
        <v>9058</v>
      </c>
      <c r="B510" s="55" t="s">
        <v>40</v>
      </c>
      <c r="C510" s="55" t="s">
        <v>9068</v>
      </c>
      <c r="D510" s="55" t="s">
        <v>9071</v>
      </c>
    </row>
    <row r="511" ht="14.25" customHeight="1">
      <c r="A511" s="55" t="s">
        <v>9058</v>
      </c>
      <c r="B511" s="55" t="s">
        <v>40</v>
      </c>
      <c r="C511" s="55" t="s">
        <v>11395</v>
      </c>
      <c r="D511" s="55" t="s">
        <v>11396</v>
      </c>
    </row>
    <row r="512" ht="14.25" customHeight="1">
      <c r="A512" s="55" t="s">
        <v>9058</v>
      </c>
      <c r="B512" s="55" t="s">
        <v>40</v>
      </c>
      <c r="C512" s="55" t="s">
        <v>12666</v>
      </c>
      <c r="D512" s="55" t="s">
        <v>12667</v>
      </c>
    </row>
    <row r="513" ht="14.25" customHeight="1">
      <c r="A513" s="55" t="s">
        <v>9058</v>
      </c>
      <c r="B513" s="55" t="s">
        <v>40</v>
      </c>
      <c r="C513" s="55" t="s">
        <v>12668</v>
      </c>
      <c r="D513" s="55" t="s">
        <v>9573</v>
      </c>
    </row>
    <row r="514" ht="14.25" customHeight="1">
      <c r="A514" s="55" t="s">
        <v>9058</v>
      </c>
      <c r="B514" s="55" t="s">
        <v>40</v>
      </c>
      <c r="C514" s="55" t="s">
        <v>12669</v>
      </c>
      <c r="D514" s="55" t="s">
        <v>10622</v>
      </c>
    </row>
    <row r="515" ht="14.25" customHeight="1">
      <c r="A515" s="55" t="s">
        <v>9058</v>
      </c>
      <c r="B515" s="55" t="s">
        <v>40</v>
      </c>
      <c r="C515" s="55" t="s">
        <v>11922</v>
      </c>
      <c r="D515" s="55" t="s">
        <v>10627</v>
      </c>
    </row>
    <row r="516" ht="14.25" customHeight="1">
      <c r="A516" s="55" t="s">
        <v>9058</v>
      </c>
      <c r="B516" s="55" t="s">
        <v>40</v>
      </c>
      <c r="C516" s="55" t="s">
        <v>10638</v>
      </c>
      <c r="D516" s="55" t="s">
        <v>9741</v>
      </c>
    </row>
    <row r="517" ht="14.25" customHeight="1">
      <c r="A517" s="55" t="s">
        <v>9058</v>
      </c>
      <c r="B517" s="55" t="s">
        <v>40</v>
      </c>
      <c r="C517" s="55" t="s">
        <v>9072</v>
      </c>
      <c r="D517" s="55" t="s">
        <v>9073</v>
      </c>
    </row>
    <row r="518" ht="14.25" customHeight="1">
      <c r="A518" s="55" t="s">
        <v>9058</v>
      </c>
      <c r="B518" s="55" t="s">
        <v>40</v>
      </c>
      <c r="C518" s="55" t="s">
        <v>220</v>
      </c>
      <c r="D518" s="55" t="s">
        <v>9753</v>
      </c>
    </row>
    <row r="519" ht="14.25" customHeight="1">
      <c r="A519" s="55" t="s">
        <v>9058</v>
      </c>
      <c r="B519" s="55" t="s">
        <v>40</v>
      </c>
      <c r="C519" s="55" t="s">
        <v>9074</v>
      </c>
      <c r="D519" s="55" t="s">
        <v>9075</v>
      </c>
    </row>
    <row r="520" ht="14.25" customHeight="1">
      <c r="A520" s="55" t="s">
        <v>9058</v>
      </c>
      <c r="B520" s="55" t="s">
        <v>40</v>
      </c>
      <c r="C520" s="55" t="s">
        <v>9158</v>
      </c>
      <c r="D520" s="55" t="s">
        <v>9157</v>
      </c>
    </row>
    <row r="521" ht="14.25" customHeight="1">
      <c r="A521" s="55" t="s">
        <v>9058</v>
      </c>
      <c r="B521" s="55" t="s">
        <v>40</v>
      </c>
      <c r="C521" s="55" t="s">
        <v>10639</v>
      </c>
      <c r="D521" s="55" t="s">
        <v>10219</v>
      </c>
    </row>
    <row r="522" ht="14.25" customHeight="1">
      <c r="A522" s="55" t="s">
        <v>9058</v>
      </c>
      <c r="B522" s="55" t="s">
        <v>40</v>
      </c>
      <c r="C522" s="55" t="s">
        <v>9076</v>
      </c>
      <c r="D522" s="55" t="s">
        <v>9077</v>
      </c>
    </row>
    <row r="523" ht="14.25" customHeight="1">
      <c r="A523" s="55" t="s">
        <v>9058</v>
      </c>
      <c r="B523" s="55" t="s">
        <v>40</v>
      </c>
      <c r="C523" s="55" t="s">
        <v>12670</v>
      </c>
      <c r="D523" s="55" t="s">
        <v>12671</v>
      </c>
    </row>
    <row r="524" ht="14.25" customHeight="1">
      <c r="A524" s="55" t="s">
        <v>9058</v>
      </c>
      <c r="B524" s="55" t="s">
        <v>40</v>
      </c>
      <c r="C524" s="55" t="s">
        <v>9078</v>
      </c>
      <c r="D524" s="55" t="s">
        <v>9079</v>
      </c>
    </row>
    <row r="525" ht="14.25" customHeight="1">
      <c r="A525" s="55" t="s">
        <v>9058</v>
      </c>
      <c r="B525" s="55" t="s">
        <v>40</v>
      </c>
      <c r="C525" s="55" t="s">
        <v>9080</v>
      </c>
      <c r="D525" s="55" t="s">
        <v>9081</v>
      </c>
    </row>
    <row r="526" ht="14.25" customHeight="1">
      <c r="A526" s="55" t="s">
        <v>9058</v>
      </c>
      <c r="B526" s="55" t="s">
        <v>40</v>
      </c>
      <c r="C526" s="55" t="s">
        <v>10640</v>
      </c>
      <c r="D526" s="55" t="s">
        <v>10641</v>
      </c>
    </row>
    <row r="527" ht="14.25" customHeight="1">
      <c r="A527" s="55" t="s">
        <v>9058</v>
      </c>
      <c r="B527" s="55" t="s">
        <v>40</v>
      </c>
      <c r="C527" s="55" t="s">
        <v>10998</v>
      </c>
      <c r="D527" s="55" t="s">
        <v>10999</v>
      </c>
    </row>
    <row r="528" ht="14.25" customHeight="1">
      <c r="A528" s="55" t="s">
        <v>9058</v>
      </c>
      <c r="B528" s="55" t="s">
        <v>40</v>
      </c>
      <c r="C528" s="55" t="s">
        <v>11400</v>
      </c>
      <c r="D528" s="55" t="s">
        <v>11923</v>
      </c>
    </row>
    <row r="529" ht="14.25" customHeight="1">
      <c r="A529" s="55" t="s">
        <v>9058</v>
      </c>
      <c r="B529" s="55" t="s">
        <v>40</v>
      </c>
      <c r="C529" s="55" t="s">
        <v>12672</v>
      </c>
      <c r="D529" s="55" t="s">
        <v>12673</v>
      </c>
    </row>
    <row r="530" ht="14.25" customHeight="1">
      <c r="A530" s="55" t="s">
        <v>9058</v>
      </c>
      <c r="B530" s="55" t="s">
        <v>40</v>
      </c>
      <c r="C530" s="55" t="s">
        <v>14066</v>
      </c>
      <c r="D530" s="55" t="s">
        <v>9095</v>
      </c>
    </row>
    <row r="531" ht="14.25" customHeight="1">
      <c r="A531" s="55" t="s">
        <v>9058</v>
      </c>
      <c r="B531" s="55" t="s">
        <v>40</v>
      </c>
      <c r="C531" s="55" t="s">
        <v>9082</v>
      </c>
      <c r="D531" s="55" t="s">
        <v>9083</v>
      </c>
    </row>
    <row r="532" ht="14.25" customHeight="1">
      <c r="A532" s="55" t="s">
        <v>9058</v>
      </c>
      <c r="B532" s="55" t="s">
        <v>40</v>
      </c>
      <c r="C532" s="55" t="s">
        <v>9160</v>
      </c>
      <c r="D532" s="55" t="s">
        <v>9292</v>
      </c>
    </row>
    <row r="533" ht="14.25" customHeight="1">
      <c r="A533" s="55" t="s">
        <v>9058</v>
      </c>
      <c r="B533" s="55" t="s">
        <v>40</v>
      </c>
      <c r="C533" s="55" t="s">
        <v>262</v>
      </c>
      <c r="D533" s="55" t="s">
        <v>11397</v>
      </c>
    </row>
    <row r="534" ht="14.25" customHeight="1">
      <c r="A534" s="55" t="s">
        <v>9058</v>
      </c>
      <c r="B534" s="55" t="s">
        <v>40</v>
      </c>
      <c r="C534" s="55" t="s">
        <v>262</v>
      </c>
      <c r="D534" s="55" t="s">
        <v>9292</v>
      </c>
    </row>
    <row r="535" ht="14.25" customHeight="1">
      <c r="A535" s="55" t="s">
        <v>9058</v>
      </c>
      <c r="B535" s="55" t="s">
        <v>40</v>
      </c>
      <c r="C535" s="55" t="s">
        <v>12674</v>
      </c>
      <c r="D535" s="55" t="s">
        <v>12675</v>
      </c>
    </row>
    <row r="536" ht="14.25" customHeight="1">
      <c r="A536" s="55" t="s">
        <v>9058</v>
      </c>
      <c r="B536" s="55" t="s">
        <v>40</v>
      </c>
      <c r="C536" s="55" t="s">
        <v>10642</v>
      </c>
      <c r="D536" s="55" t="s">
        <v>8978</v>
      </c>
    </row>
    <row r="537" ht="14.25" customHeight="1">
      <c r="A537" s="55" t="s">
        <v>9058</v>
      </c>
      <c r="B537" s="55" t="s">
        <v>40</v>
      </c>
      <c r="C537" s="55" t="s">
        <v>11924</v>
      </c>
      <c r="D537" s="55" t="s">
        <v>9096</v>
      </c>
    </row>
    <row r="538" ht="14.25" customHeight="1">
      <c r="A538" s="55" t="s">
        <v>9058</v>
      </c>
      <c r="B538" s="55" t="s">
        <v>40</v>
      </c>
      <c r="C538" s="55" t="s">
        <v>10643</v>
      </c>
      <c r="D538" s="55" t="s">
        <v>10622</v>
      </c>
    </row>
    <row r="539" ht="14.25" customHeight="1">
      <c r="A539" s="55" t="s">
        <v>9058</v>
      </c>
      <c r="B539" s="55" t="s">
        <v>40</v>
      </c>
      <c r="C539" s="55" t="s">
        <v>13536</v>
      </c>
      <c r="D539" s="55" t="s">
        <v>13537</v>
      </c>
    </row>
    <row r="540" ht="14.25" customHeight="1">
      <c r="A540" s="55" t="s">
        <v>9058</v>
      </c>
      <c r="B540" s="55" t="s">
        <v>40</v>
      </c>
      <c r="C540" s="55" t="s">
        <v>10079</v>
      </c>
      <c r="D540" s="55" t="s">
        <v>10080</v>
      </c>
    </row>
    <row r="541" ht="14.25" customHeight="1">
      <c r="A541" s="55" t="s">
        <v>9058</v>
      </c>
      <c r="B541" s="55" t="s">
        <v>40</v>
      </c>
      <c r="C541" s="55" t="s">
        <v>9084</v>
      </c>
      <c r="D541" s="55" t="s">
        <v>9085</v>
      </c>
    </row>
    <row r="542" ht="14.25" customHeight="1">
      <c r="A542" s="55" t="s">
        <v>9058</v>
      </c>
      <c r="B542" s="55" t="s">
        <v>40</v>
      </c>
      <c r="C542" s="55" t="s">
        <v>12676</v>
      </c>
      <c r="D542" s="55" t="s">
        <v>11469</v>
      </c>
    </row>
    <row r="543" ht="14.25" customHeight="1">
      <c r="A543" s="55" t="s">
        <v>9058</v>
      </c>
      <c r="B543" s="55" t="s">
        <v>40</v>
      </c>
      <c r="C543" s="55" t="s">
        <v>10081</v>
      </c>
      <c r="D543" s="55" t="s">
        <v>10082</v>
      </c>
    </row>
    <row r="544" ht="14.25" customHeight="1">
      <c r="A544" s="55" t="s">
        <v>9058</v>
      </c>
      <c r="B544" s="55" t="s">
        <v>40</v>
      </c>
      <c r="C544" s="55" t="s">
        <v>11271</v>
      </c>
      <c r="D544" s="55" t="s">
        <v>9825</v>
      </c>
    </row>
    <row r="545" ht="14.25" customHeight="1">
      <c r="A545" s="55" t="s">
        <v>9058</v>
      </c>
      <c r="B545" s="55" t="s">
        <v>40</v>
      </c>
      <c r="C545" s="55" t="s">
        <v>10644</v>
      </c>
      <c r="D545" s="55" t="s">
        <v>10645</v>
      </c>
    </row>
    <row r="546" ht="14.25" customHeight="1">
      <c r="A546" s="55" t="s">
        <v>9058</v>
      </c>
      <c r="B546" s="55" t="s">
        <v>40</v>
      </c>
      <c r="C546" s="55" t="s">
        <v>11925</v>
      </c>
      <c r="D546" s="55" t="s">
        <v>11926</v>
      </c>
    </row>
    <row r="547" ht="14.25" customHeight="1">
      <c r="A547" s="55" t="s">
        <v>9058</v>
      </c>
      <c r="B547" s="55" t="s">
        <v>41</v>
      </c>
      <c r="C547" s="55" t="s">
        <v>11390</v>
      </c>
      <c r="D547" s="55" t="s">
        <v>10627</v>
      </c>
    </row>
    <row r="548" ht="14.25" customHeight="1">
      <c r="A548" s="55" t="s">
        <v>9058</v>
      </c>
      <c r="B548" s="55" t="s">
        <v>41</v>
      </c>
      <c r="C548" s="55" t="s">
        <v>11398</v>
      </c>
      <c r="D548" s="55" t="s">
        <v>11399</v>
      </c>
    </row>
    <row r="549" ht="14.25" customHeight="1">
      <c r="A549" s="55" t="s">
        <v>9058</v>
      </c>
      <c r="B549" s="55" t="s">
        <v>41</v>
      </c>
      <c r="C549" s="55" t="s">
        <v>2342</v>
      </c>
      <c r="D549" s="55" t="s">
        <v>9086</v>
      </c>
    </row>
    <row r="550" ht="14.25" customHeight="1">
      <c r="A550" s="55" t="s">
        <v>9058</v>
      </c>
      <c r="B550" s="55" t="s">
        <v>41</v>
      </c>
      <c r="C550" s="55" t="s">
        <v>13529</v>
      </c>
      <c r="D550" s="55" t="s">
        <v>14067</v>
      </c>
    </row>
    <row r="551" ht="14.25" customHeight="1">
      <c r="A551" s="55" t="s">
        <v>9058</v>
      </c>
      <c r="B551" s="55" t="s">
        <v>41</v>
      </c>
      <c r="C551" s="55" t="s">
        <v>13529</v>
      </c>
      <c r="D551" s="55" t="s">
        <v>13538</v>
      </c>
    </row>
    <row r="552" ht="14.25" customHeight="1">
      <c r="A552" s="55" t="s">
        <v>9058</v>
      </c>
      <c r="B552" s="55" t="s">
        <v>41</v>
      </c>
      <c r="C552" s="55" t="s">
        <v>10629</v>
      </c>
      <c r="D552" s="55" t="s">
        <v>9067</v>
      </c>
    </row>
    <row r="553" ht="14.25" customHeight="1">
      <c r="A553" s="55" t="s">
        <v>9058</v>
      </c>
      <c r="B553" s="55" t="s">
        <v>41</v>
      </c>
      <c r="C553" s="55" t="s">
        <v>9059</v>
      </c>
      <c r="D553" s="55" t="s">
        <v>14068</v>
      </c>
    </row>
    <row r="554" ht="14.25" customHeight="1">
      <c r="A554" s="55" t="s">
        <v>9058</v>
      </c>
      <c r="B554" s="55" t="s">
        <v>41</v>
      </c>
      <c r="C554" s="55" t="s">
        <v>10646</v>
      </c>
      <c r="D554" s="55" t="s">
        <v>9034</v>
      </c>
    </row>
    <row r="555" ht="14.25" customHeight="1">
      <c r="A555" s="55" t="s">
        <v>9058</v>
      </c>
      <c r="B555" s="55" t="s">
        <v>41</v>
      </c>
      <c r="C555" s="55" t="s">
        <v>10646</v>
      </c>
      <c r="D555" s="55" t="s">
        <v>10219</v>
      </c>
    </row>
    <row r="556" ht="14.25" customHeight="1">
      <c r="A556" s="55" t="s">
        <v>9058</v>
      </c>
      <c r="B556" s="55" t="s">
        <v>41</v>
      </c>
      <c r="C556" s="55" t="s">
        <v>9826</v>
      </c>
      <c r="D556" s="55" t="s">
        <v>10647</v>
      </c>
    </row>
    <row r="557" ht="14.25" customHeight="1">
      <c r="A557" s="55" t="s">
        <v>9058</v>
      </c>
      <c r="B557" s="55" t="s">
        <v>41</v>
      </c>
      <c r="C557" s="55" t="s">
        <v>9826</v>
      </c>
      <c r="D557" s="55" t="s">
        <v>12677</v>
      </c>
    </row>
    <row r="558" ht="14.25" customHeight="1">
      <c r="A558" s="55" t="s">
        <v>9058</v>
      </c>
      <c r="B558" s="55" t="s">
        <v>41</v>
      </c>
      <c r="C558" s="55" t="s">
        <v>12678</v>
      </c>
      <c r="D558" s="55" t="s">
        <v>9086</v>
      </c>
    </row>
    <row r="559" ht="14.25" customHeight="1">
      <c r="A559" s="55" t="s">
        <v>9058</v>
      </c>
      <c r="B559" s="55" t="s">
        <v>41</v>
      </c>
      <c r="C559" s="55" t="s">
        <v>10648</v>
      </c>
      <c r="D559" s="55" t="s">
        <v>10649</v>
      </c>
    </row>
    <row r="560" ht="14.25" customHeight="1">
      <c r="A560" s="55" t="s">
        <v>9058</v>
      </c>
      <c r="B560" s="55" t="s">
        <v>41</v>
      </c>
      <c r="C560" s="55" t="s">
        <v>12662</v>
      </c>
      <c r="D560" s="55" t="s">
        <v>9109</v>
      </c>
    </row>
    <row r="561" ht="14.25" customHeight="1">
      <c r="A561" s="55" t="s">
        <v>9058</v>
      </c>
      <c r="B561" s="55" t="s">
        <v>41</v>
      </c>
      <c r="C561" s="55" t="s">
        <v>10650</v>
      </c>
      <c r="D561" s="55" t="s">
        <v>9109</v>
      </c>
    </row>
    <row r="562" ht="14.25" customHeight="1">
      <c r="A562" s="55" t="s">
        <v>9058</v>
      </c>
      <c r="B562" s="55" t="s">
        <v>41</v>
      </c>
      <c r="C562" s="55" t="s">
        <v>10650</v>
      </c>
      <c r="D562" s="55" t="s">
        <v>9055</v>
      </c>
    </row>
    <row r="563" ht="14.25" customHeight="1">
      <c r="A563" s="55" t="s">
        <v>9058</v>
      </c>
      <c r="B563" s="55" t="s">
        <v>41</v>
      </c>
      <c r="C563" s="55" t="s">
        <v>11927</v>
      </c>
      <c r="D563" s="55" t="s">
        <v>11117</v>
      </c>
    </row>
    <row r="564" ht="14.25" customHeight="1">
      <c r="A564" s="55" t="s">
        <v>9058</v>
      </c>
      <c r="B564" s="55" t="s">
        <v>41</v>
      </c>
      <c r="C564" s="55" t="s">
        <v>13539</v>
      </c>
      <c r="D564" s="55" t="s">
        <v>13540</v>
      </c>
    </row>
    <row r="565" ht="14.25" customHeight="1">
      <c r="A565" s="55" t="s">
        <v>9058</v>
      </c>
      <c r="B565" s="55" t="s">
        <v>41</v>
      </c>
      <c r="C565" s="55" t="s">
        <v>9127</v>
      </c>
      <c r="D565" s="55" t="s">
        <v>9332</v>
      </c>
    </row>
    <row r="566" ht="14.25" customHeight="1">
      <c r="A566" s="55" t="s">
        <v>9058</v>
      </c>
      <c r="B566" s="55" t="s">
        <v>41</v>
      </c>
      <c r="C566" s="55" t="s">
        <v>10651</v>
      </c>
      <c r="D566" s="55" t="s">
        <v>8982</v>
      </c>
    </row>
    <row r="567" ht="14.25" customHeight="1">
      <c r="A567" s="55" t="s">
        <v>9058</v>
      </c>
      <c r="B567" s="55" t="s">
        <v>41</v>
      </c>
      <c r="C567" s="55" t="s">
        <v>14069</v>
      </c>
      <c r="D567" s="55" t="s">
        <v>14070</v>
      </c>
    </row>
    <row r="568" ht="14.25" customHeight="1">
      <c r="A568" s="55" t="s">
        <v>9058</v>
      </c>
      <c r="B568" s="55" t="s">
        <v>41</v>
      </c>
      <c r="C568" s="55" t="s">
        <v>14071</v>
      </c>
      <c r="D568" s="55" t="s">
        <v>12475</v>
      </c>
    </row>
    <row r="569" ht="14.25" customHeight="1">
      <c r="A569" s="55" t="s">
        <v>9058</v>
      </c>
      <c r="B569" s="55" t="s">
        <v>41</v>
      </c>
      <c r="C569" s="55" t="s">
        <v>14072</v>
      </c>
      <c r="D569" s="55" t="s">
        <v>14073</v>
      </c>
    </row>
    <row r="570" ht="14.25" customHeight="1">
      <c r="A570" s="55" t="s">
        <v>9058</v>
      </c>
      <c r="B570" s="55" t="s">
        <v>41</v>
      </c>
      <c r="C570" s="55" t="s">
        <v>13541</v>
      </c>
      <c r="D570" s="55" t="s">
        <v>9073</v>
      </c>
    </row>
    <row r="571" ht="14.25" customHeight="1">
      <c r="A571" s="55" t="s">
        <v>9058</v>
      </c>
      <c r="B571" s="55" t="s">
        <v>41</v>
      </c>
      <c r="C571" s="55" t="s">
        <v>162</v>
      </c>
      <c r="D571" s="55" t="s">
        <v>9060</v>
      </c>
    </row>
    <row r="572" ht="14.25" customHeight="1">
      <c r="A572" s="55" t="s">
        <v>9058</v>
      </c>
      <c r="B572" s="55" t="s">
        <v>41</v>
      </c>
      <c r="C572" s="55" t="s">
        <v>162</v>
      </c>
      <c r="D572" s="55" t="s">
        <v>9087</v>
      </c>
    </row>
    <row r="573" ht="14.25" customHeight="1">
      <c r="A573" s="55" t="s">
        <v>9058</v>
      </c>
      <c r="B573" s="55" t="s">
        <v>41</v>
      </c>
      <c r="C573" s="55" t="s">
        <v>9088</v>
      </c>
      <c r="D573" s="55" t="s">
        <v>9089</v>
      </c>
    </row>
    <row r="574" ht="14.25" customHeight="1">
      <c r="A574" s="55" t="s">
        <v>9058</v>
      </c>
      <c r="B574" s="55" t="s">
        <v>41</v>
      </c>
      <c r="C574" s="55" t="s">
        <v>11928</v>
      </c>
      <c r="D574" s="55" t="s">
        <v>9034</v>
      </c>
    </row>
    <row r="575" ht="14.25" customHeight="1">
      <c r="A575" s="55" t="s">
        <v>9058</v>
      </c>
      <c r="B575" s="55" t="s">
        <v>41</v>
      </c>
      <c r="C575" s="55" t="s">
        <v>10636</v>
      </c>
      <c r="D575" s="55" t="s">
        <v>10080</v>
      </c>
    </row>
    <row r="576" ht="14.25" customHeight="1">
      <c r="A576" s="55" t="s">
        <v>9058</v>
      </c>
      <c r="B576" s="55" t="s">
        <v>41</v>
      </c>
      <c r="C576" s="55" t="s">
        <v>9506</v>
      </c>
      <c r="D576" s="55" t="s">
        <v>9574</v>
      </c>
    </row>
    <row r="577" ht="14.25" customHeight="1">
      <c r="A577" s="55" t="s">
        <v>9058</v>
      </c>
      <c r="B577" s="55" t="s">
        <v>41</v>
      </c>
      <c r="C577" s="55" t="s">
        <v>14074</v>
      </c>
      <c r="D577" s="55" t="s">
        <v>9404</v>
      </c>
    </row>
    <row r="578" ht="14.25" customHeight="1">
      <c r="A578" s="55" t="s">
        <v>9058</v>
      </c>
      <c r="B578" s="55" t="s">
        <v>41</v>
      </c>
      <c r="C578" s="55" t="s">
        <v>12679</v>
      </c>
      <c r="D578" s="55" t="s">
        <v>12680</v>
      </c>
    </row>
    <row r="579" ht="14.25" customHeight="1">
      <c r="A579" s="55" t="s">
        <v>9058</v>
      </c>
      <c r="B579" s="55" t="s">
        <v>41</v>
      </c>
      <c r="C579" s="55" t="s">
        <v>13542</v>
      </c>
      <c r="D579" s="55" t="s">
        <v>13543</v>
      </c>
    </row>
    <row r="580" ht="14.25" customHeight="1">
      <c r="A580" s="55" t="s">
        <v>9058</v>
      </c>
      <c r="B580" s="55" t="s">
        <v>41</v>
      </c>
      <c r="C580" s="55" t="s">
        <v>14075</v>
      </c>
      <c r="D580" s="55" t="s">
        <v>10502</v>
      </c>
    </row>
    <row r="581" ht="14.25" customHeight="1">
      <c r="A581" s="55" t="s">
        <v>9058</v>
      </c>
      <c r="B581" s="55" t="s">
        <v>41</v>
      </c>
      <c r="C581" s="55" t="s">
        <v>13544</v>
      </c>
      <c r="D581" s="55" t="s">
        <v>10124</v>
      </c>
    </row>
    <row r="582" ht="14.25" customHeight="1">
      <c r="A582" s="55" t="s">
        <v>9058</v>
      </c>
      <c r="B582" s="55" t="s">
        <v>41</v>
      </c>
      <c r="C582" s="55" t="s">
        <v>11400</v>
      </c>
      <c r="D582" s="55" t="s">
        <v>11401</v>
      </c>
    </row>
    <row r="583" ht="14.25" customHeight="1">
      <c r="A583" s="55" t="s">
        <v>9058</v>
      </c>
      <c r="B583" s="55" t="s">
        <v>41</v>
      </c>
      <c r="C583" s="55" t="s">
        <v>14076</v>
      </c>
      <c r="D583" s="55" t="s">
        <v>9927</v>
      </c>
    </row>
    <row r="584" ht="14.25" customHeight="1">
      <c r="A584" s="55" t="s">
        <v>9058</v>
      </c>
      <c r="B584" s="55" t="s">
        <v>41</v>
      </c>
      <c r="C584" s="55" t="s">
        <v>9090</v>
      </c>
      <c r="D584" s="55" t="s">
        <v>9091</v>
      </c>
    </row>
    <row r="585" ht="14.25" customHeight="1">
      <c r="A585" s="55" t="s">
        <v>9058</v>
      </c>
      <c r="B585" s="55" t="s">
        <v>41</v>
      </c>
      <c r="C585" s="55" t="s">
        <v>13545</v>
      </c>
      <c r="D585" s="55" t="s">
        <v>13546</v>
      </c>
    </row>
    <row r="586" ht="14.25" customHeight="1">
      <c r="A586" s="55" t="s">
        <v>9058</v>
      </c>
      <c r="B586" s="55" t="s">
        <v>13</v>
      </c>
      <c r="C586" s="55" t="s">
        <v>10083</v>
      </c>
      <c r="D586" s="55" t="s">
        <v>10084</v>
      </c>
    </row>
    <row r="587" ht="14.25" customHeight="1">
      <c r="A587" s="55" t="s">
        <v>9058</v>
      </c>
      <c r="B587" s="55" t="s">
        <v>13</v>
      </c>
      <c r="C587" s="55" t="s">
        <v>10085</v>
      </c>
      <c r="D587" s="55" t="s">
        <v>10086</v>
      </c>
    </row>
    <row r="588" ht="14.25" customHeight="1">
      <c r="A588" s="55" t="s">
        <v>9058</v>
      </c>
      <c r="B588" s="55" t="s">
        <v>13</v>
      </c>
      <c r="C588" s="55" t="s">
        <v>12681</v>
      </c>
      <c r="D588" s="55" t="s">
        <v>9176</v>
      </c>
    </row>
    <row r="589" ht="14.25" customHeight="1">
      <c r="A589" s="55" t="s">
        <v>9058</v>
      </c>
      <c r="B589" s="55" t="s">
        <v>13</v>
      </c>
      <c r="C589" s="55" t="s">
        <v>12682</v>
      </c>
      <c r="D589" s="55" t="s">
        <v>9380</v>
      </c>
    </row>
    <row r="590" ht="14.25" customHeight="1">
      <c r="A590" s="55" t="s">
        <v>9058</v>
      </c>
      <c r="B590" s="55" t="s">
        <v>13</v>
      </c>
      <c r="C590" s="55" t="s">
        <v>13547</v>
      </c>
      <c r="D590" s="55" t="s">
        <v>13548</v>
      </c>
    </row>
    <row r="591" ht="14.25" customHeight="1">
      <c r="A591" s="55" t="s">
        <v>9058</v>
      </c>
      <c r="B591" s="55" t="s">
        <v>13</v>
      </c>
      <c r="C591" s="55" t="s">
        <v>12662</v>
      </c>
      <c r="D591" s="55" t="s">
        <v>12683</v>
      </c>
    </row>
    <row r="592" ht="14.25" customHeight="1">
      <c r="A592" s="55" t="s">
        <v>9058</v>
      </c>
      <c r="B592" s="55" t="s">
        <v>13</v>
      </c>
      <c r="C592" s="55" t="s">
        <v>13549</v>
      </c>
      <c r="D592" s="55" t="s">
        <v>9034</v>
      </c>
    </row>
    <row r="593" ht="14.25" customHeight="1">
      <c r="A593" s="55" t="s">
        <v>9058</v>
      </c>
      <c r="B593" s="55" t="s">
        <v>13</v>
      </c>
      <c r="C593" s="55" t="s">
        <v>9092</v>
      </c>
      <c r="D593" s="55" t="s">
        <v>9093</v>
      </c>
    </row>
    <row r="594" ht="14.25" customHeight="1">
      <c r="A594" s="55" t="s">
        <v>9058</v>
      </c>
      <c r="B594" s="55" t="s">
        <v>13</v>
      </c>
      <c r="C594" s="55" t="s">
        <v>13550</v>
      </c>
      <c r="D594" s="55" t="s">
        <v>11403</v>
      </c>
    </row>
    <row r="595" ht="14.25" customHeight="1">
      <c r="A595" s="55" t="s">
        <v>9058</v>
      </c>
      <c r="B595" s="55" t="s">
        <v>13</v>
      </c>
      <c r="C595" s="55" t="s">
        <v>11170</v>
      </c>
      <c r="D595" s="55" t="s">
        <v>10794</v>
      </c>
    </row>
    <row r="596" ht="14.25" customHeight="1">
      <c r="A596" s="55" t="s">
        <v>9058</v>
      </c>
      <c r="B596" s="55" t="s">
        <v>13</v>
      </c>
      <c r="C596" s="55" t="s">
        <v>8359</v>
      </c>
      <c r="D596" s="55" t="s">
        <v>12684</v>
      </c>
    </row>
    <row r="597" ht="14.25" customHeight="1">
      <c r="A597" s="55" t="s">
        <v>9058</v>
      </c>
      <c r="B597" s="55" t="s">
        <v>13</v>
      </c>
      <c r="C597" s="55" t="s">
        <v>13551</v>
      </c>
      <c r="D597" s="55" t="s">
        <v>13552</v>
      </c>
    </row>
    <row r="598" ht="14.25" customHeight="1">
      <c r="A598" s="55" t="s">
        <v>9058</v>
      </c>
      <c r="B598" s="55" t="s">
        <v>13</v>
      </c>
      <c r="C598" s="55" t="s">
        <v>13553</v>
      </c>
      <c r="D598" s="55" t="s">
        <v>13554</v>
      </c>
    </row>
    <row r="599" ht="14.25" customHeight="1">
      <c r="A599" s="55" t="s">
        <v>9058</v>
      </c>
      <c r="B599" s="55" t="s">
        <v>13</v>
      </c>
      <c r="C599" s="55" t="s">
        <v>10652</v>
      </c>
      <c r="D599" s="55" t="s">
        <v>10653</v>
      </c>
    </row>
    <row r="600" ht="14.25" customHeight="1">
      <c r="A600" s="55" t="s">
        <v>9058</v>
      </c>
      <c r="B600" s="55" t="s">
        <v>13</v>
      </c>
      <c r="C600" s="55" t="s">
        <v>13714</v>
      </c>
      <c r="D600" s="55" t="s">
        <v>9176</v>
      </c>
    </row>
    <row r="601" ht="14.25" customHeight="1">
      <c r="A601" s="55" t="s">
        <v>9058</v>
      </c>
      <c r="B601" s="55" t="s">
        <v>13</v>
      </c>
      <c r="C601" s="55" t="s">
        <v>9090</v>
      </c>
      <c r="D601" s="55" t="s">
        <v>13555</v>
      </c>
    </row>
    <row r="602" ht="14.25" customHeight="1">
      <c r="A602" s="55" t="s">
        <v>9058</v>
      </c>
      <c r="B602" s="55" t="s">
        <v>13</v>
      </c>
      <c r="C602" s="55" t="s">
        <v>9090</v>
      </c>
      <c r="D602" s="55" t="s">
        <v>12685</v>
      </c>
    </row>
    <row r="603" ht="14.25" customHeight="1">
      <c r="A603" s="55" t="s">
        <v>9058</v>
      </c>
      <c r="B603" s="55" t="s">
        <v>13</v>
      </c>
      <c r="C603" s="55" t="s">
        <v>9090</v>
      </c>
      <c r="D603" s="55" t="s">
        <v>9095</v>
      </c>
    </row>
    <row r="604" ht="14.25" customHeight="1">
      <c r="A604" s="55" t="s">
        <v>9058</v>
      </c>
      <c r="B604" s="55" t="s">
        <v>13</v>
      </c>
      <c r="C604" s="55" t="s">
        <v>14077</v>
      </c>
      <c r="D604" s="55" t="s">
        <v>9176</v>
      </c>
    </row>
    <row r="605" ht="14.25" customHeight="1">
      <c r="A605" s="55" t="s">
        <v>9058</v>
      </c>
      <c r="B605" s="55" t="s">
        <v>13</v>
      </c>
      <c r="C605" s="55" t="s">
        <v>10654</v>
      </c>
      <c r="D605" s="55" t="s">
        <v>10608</v>
      </c>
    </row>
    <row r="606" ht="14.25" customHeight="1">
      <c r="A606" s="55" t="s">
        <v>9094</v>
      </c>
      <c r="B606" s="55" t="s">
        <v>41</v>
      </c>
      <c r="C606" s="55" t="s">
        <v>12686</v>
      </c>
      <c r="D606" s="55" t="s">
        <v>12687</v>
      </c>
    </row>
    <row r="607" ht="14.25" customHeight="1">
      <c r="A607" s="55" t="s">
        <v>9094</v>
      </c>
      <c r="B607" s="55" t="s">
        <v>41</v>
      </c>
      <c r="C607" s="55" t="s">
        <v>11929</v>
      </c>
      <c r="D607" s="55" t="s">
        <v>11930</v>
      </c>
    </row>
    <row r="608" ht="14.25" customHeight="1">
      <c r="A608" s="55" t="s">
        <v>9094</v>
      </c>
      <c r="B608" s="55" t="s">
        <v>41</v>
      </c>
      <c r="C608" s="55" t="s">
        <v>14071</v>
      </c>
      <c r="D608" s="55" t="s">
        <v>14078</v>
      </c>
    </row>
    <row r="609" ht="14.25" customHeight="1">
      <c r="A609" s="55" t="s">
        <v>9094</v>
      </c>
      <c r="B609" s="55" t="s">
        <v>41</v>
      </c>
      <c r="C609" s="55" t="s">
        <v>12034</v>
      </c>
      <c r="D609" s="55" t="s">
        <v>9034</v>
      </c>
    </row>
    <row r="610" ht="14.25" customHeight="1">
      <c r="A610" s="55" t="s">
        <v>9094</v>
      </c>
      <c r="B610" s="55" t="s">
        <v>41</v>
      </c>
      <c r="C610" s="55" t="s">
        <v>12034</v>
      </c>
      <c r="D610" s="55" t="s">
        <v>13556</v>
      </c>
    </row>
    <row r="611" ht="14.25" customHeight="1">
      <c r="A611" s="55" t="s">
        <v>9094</v>
      </c>
      <c r="B611" s="55" t="s">
        <v>41</v>
      </c>
      <c r="C611" s="55" t="s">
        <v>12688</v>
      </c>
      <c r="D611" s="55" t="s">
        <v>12689</v>
      </c>
    </row>
    <row r="612" ht="14.25" customHeight="1">
      <c r="A612" s="55" t="s">
        <v>9094</v>
      </c>
      <c r="B612" s="55" t="s">
        <v>41</v>
      </c>
      <c r="C612" s="55" t="s">
        <v>12690</v>
      </c>
      <c r="D612" s="55" t="s">
        <v>9579</v>
      </c>
    </row>
    <row r="613" ht="14.25" customHeight="1">
      <c r="A613" s="55" t="s">
        <v>9094</v>
      </c>
      <c r="B613" s="55" t="s">
        <v>41</v>
      </c>
      <c r="C613" s="55" t="s">
        <v>14079</v>
      </c>
      <c r="D613" s="55" t="s">
        <v>14080</v>
      </c>
    </row>
    <row r="614" ht="14.25" customHeight="1">
      <c r="A614" s="55" t="s">
        <v>9094</v>
      </c>
      <c r="B614" s="55" t="s">
        <v>41</v>
      </c>
      <c r="C614" s="55" t="s">
        <v>12691</v>
      </c>
      <c r="D614" s="55" t="s">
        <v>9034</v>
      </c>
    </row>
    <row r="615" ht="14.25" customHeight="1">
      <c r="A615" s="55" t="s">
        <v>9094</v>
      </c>
      <c r="B615" s="55" t="s">
        <v>41</v>
      </c>
      <c r="C615" s="55" t="s">
        <v>11402</v>
      </c>
      <c r="D615" s="55" t="s">
        <v>11403</v>
      </c>
    </row>
    <row r="616" ht="14.25" customHeight="1">
      <c r="A616" s="55" t="s">
        <v>9094</v>
      </c>
      <c r="B616" s="55" t="s">
        <v>41</v>
      </c>
      <c r="C616" s="55" t="s">
        <v>11931</v>
      </c>
      <c r="D616" s="55" t="s">
        <v>9095</v>
      </c>
    </row>
    <row r="617" ht="14.25" customHeight="1">
      <c r="A617" s="55" t="s">
        <v>9094</v>
      </c>
      <c r="B617" s="55" t="s">
        <v>41</v>
      </c>
      <c r="C617" s="55" t="s">
        <v>9090</v>
      </c>
      <c r="D617" s="55" t="s">
        <v>9095</v>
      </c>
    </row>
    <row r="618" ht="14.25" customHeight="1">
      <c r="A618" s="55" t="s">
        <v>9094</v>
      </c>
      <c r="B618" s="55" t="s">
        <v>41</v>
      </c>
      <c r="C618" s="55" t="s">
        <v>9090</v>
      </c>
      <c r="D618" s="55" t="s">
        <v>9096</v>
      </c>
    </row>
    <row r="619" ht="14.25" customHeight="1">
      <c r="A619" s="55" t="s">
        <v>9094</v>
      </c>
      <c r="B619" s="55" t="s">
        <v>41</v>
      </c>
      <c r="C619" s="55" t="s">
        <v>11932</v>
      </c>
      <c r="D619" s="55" t="s">
        <v>11933</v>
      </c>
    </row>
    <row r="620" ht="14.25" customHeight="1">
      <c r="A620" s="55" t="s">
        <v>9097</v>
      </c>
      <c r="B620" s="55" t="s">
        <v>40</v>
      </c>
      <c r="C620" s="55" t="s">
        <v>9034</v>
      </c>
      <c r="D620" s="55" t="s">
        <v>9587</v>
      </c>
    </row>
    <row r="621" ht="14.25" customHeight="1">
      <c r="A621" s="55" t="s">
        <v>9097</v>
      </c>
      <c r="B621" s="55" t="s">
        <v>40</v>
      </c>
      <c r="C621" s="55" t="s">
        <v>9034</v>
      </c>
      <c r="D621" s="55" t="s">
        <v>9051</v>
      </c>
    </row>
    <row r="622" ht="14.25" customHeight="1">
      <c r="A622" s="55" t="s">
        <v>9097</v>
      </c>
      <c r="B622" s="55" t="s">
        <v>40</v>
      </c>
      <c r="C622" s="55" t="s">
        <v>9034</v>
      </c>
      <c r="D622" s="55" t="s">
        <v>9925</v>
      </c>
    </row>
    <row r="623" ht="14.25" customHeight="1">
      <c r="A623" s="55" t="s">
        <v>9097</v>
      </c>
      <c r="B623" s="55" t="s">
        <v>40</v>
      </c>
      <c r="C623" s="55" t="s">
        <v>9034</v>
      </c>
      <c r="D623" s="55" t="s">
        <v>9073</v>
      </c>
    </row>
    <row r="624" ht="14.25" customHeight="1">
      <c r="A624" s="55" t="s">
        <v>9097</v>
      </c>
      <c r="B624" s="55" t="s">
        <v>40</v>
      </c>
      <c r="C624" s="55" t="s">
        <v>10083</v>
      </c>
      <c r="D624" s="55" t="s">
        <v>9055</v>
      </c>
    </row>
    <row r="625" ht="14.25" customHeight="1">
      <c r="A625" s="55" t="s">
        <v>9097</v>
      </c>
      <c r="B625" s="55" t="s">
        <v>40</v>
      </c>
      <c r="C625" s="55" t="s">
        <v>12692</v>
      </c>
      <c r="D625" s="55" t="s">
        <v>9213</v>
      </c>
    </row>
    <row r="626" ht="14.25" customHeight="1">
      <c r="A626" s="55" t="s">
        <v>9097</v>
      </c>
      <c r="B626" s="55" t="s">
        <v>40</v>
      </c>
      <c r="C626" s="55" t="s">
        <v>14081</v>
      </c>
      <c r="D626" s="55" t="s">
        <v>14082</v>
      </c>
    </row>
    <row r="627" ht="14.25" customHeight="1">
      <c r="A627" s="55" t="s">
        <v>9097</v>
      </c>
      <c r="B627" s="55" t="s">
        <v>40</v>
      </c>
      <c r="C627" s="55" t="s">
        <v>2295</v>
      </c>
      <c r="D627" s="55" t="s">
        <v>9034</v>
      </c>
    </row>
    <row r="628" ht="14.25" customHeight="1">
      <c r="A628" s="55" t="s">
        <v>9097</v>
      </c>
      <c r="B628" s="55" t="s">
        <v>40</v>
      </c>
      <c r="C628" s="55" t="s">
        <v>9340</v>
      </c>
      <c r="D628" s="55" t="s">
        <v>9578</v>
      </c>
    </row>
    <row r="629" ht="14.25" customHeight="1">
      <c r="A629" s="55" t="s">
        <v>9097</v>
      </c>
      <c r="B629" s="55" t="s">
        <v>40</v>
      </c>
      <c r="C629" s="55" t="s">
        <v>9340</v>
      </c>
      <c r="D629" s="55" t="s">
        <v>11055</v>
      </c>
    </row>
    <row r="630" ht="14.25" customHeight="1">
      <c r="A630" s="55" t="s">
        <v>9097</v>
      </c>
      <c r="B630" s="55" t="s">
        <v>40</v>
      </c>
      <c r="C630" s="55" t="s">
        <v>9340</v>
      </c>
      <c r="D630" s="55" t="s">
        <v>12101</v>
      </c>
    </row>
    <row r="631" ht="14.25" customHeight="1">
      <c r="A631" s="55" t="s">
        <v>9097</v>
      </c>
      <c r="B631" s="55" t="s">
        <v>40</v>
      </c>
      <c r="C631" s="55" t="s">
        <v>11404</v>
      </c>
      <c r="D631" s="55" t="s">
        <v>9236</v>
      </c>
    </row>
    <row r="632" ht="14.25" customHeight="1">
      <c r="A632" s="55" t="s">
        <v>9097</v>
      </c>
      <c r="B632" s="55" t="s">
        <v>40</v>
      </c>
      <c r="C632" s="55" t="s">
        <v>11404</v>
      </c>
      <c r="D632" s="55" t="s">
        <v>11934</v>
      </c>
    </row>
    <row r="633" ht="14.25" customHeight="1">
      <c r="A633" s="55" t="s">
        <v>9097</v>
      </c>
      <c r="B633" s="55" t="s">
        <v>40</v>
      </c>
      <c r="C633" s="55" t="s">
        <v>9098</v>
      </c>
      <c r="D633" s="55" t="s">
        <v>9099</v>
      </c>
    </row>
    <row r="634" ht="14.25" customHeight="1">
      <c r="A634" s="55" t="s">
        <v>9097</v>
      </c>
      <c r="B634" s="55" t="s">
        <v>40</v>
      </c>
      <c r="C634" s="55" t="s">
        <v>57</v>
      </c>
      <c r="D634" s="55" t="s">
        <v>9101</v>
      </c>
    </row>
    <row r="635" ht="14.25" customHeight="1">
      <c r="A635" s="55" t="s">
        <v>9097</v>
      </c>
      <c r="B635" s="55" t="s">
        <v>40</v>
      </c>
      <c r="C635" s="55" t="s">
        <v>57</v>
      </c>
      <c r="D635" s="55" t="s">
        <v>8968</v>
      </c>
    </row>
    <row r="636" ht="14.25" customHeight="1">
      <c r="A636" s="55" t="s">
        <v>9097</v>
      </c>
      <c r="B636" s="55" t="s">
        <v>40</v>
      </c>
      <c r="C636" s="55" t="s">
        <v>57</v>
      </c>
      <c r="D636" s="55" t="s">
        <v>11405</v>
      </c>
    </row>
    <row r="637" ht="14.25" customHeight="1">
      <c r="A637" s="55" t="s">
        <v>9097</v>
      </c>
      <c r="B637" s="55" t="s">
        <v>40</v>
      </c>
      <c r="C637" s="55" t="s">
        <v>9100</v>
      </c>
      <c r="D637" s="55" t="s">
        <v>9101</v>
      </c>
    </row>
    <row r="638" ht="14.25" customHeight="1">
      <c r="A638" s="55" t="s">
        <v>9097</v>
      </c>
      <c r="B638" s="55" t="s">
        <v>40</v>
      </c>
      <c r="C638" s="55" t="s">
        <v>9100</v>
      </c>
      <c r="D638" s="55" t="s">
        <v>12693</v>
      </c>
    </row>
    <row r="639" ht="14.25" customHeight="1">
      <c r="A639" s="55" t="s">
        <v>9097</v>
      </c>
      <c r="B639" s="55" t="s">
        <v>40</v>
      </c>
      <c r="C639" s="55" t="s">
        <v>9100</v>
      </c>
      <c r="D639" s="55" t="s">
        <v>8968</v>
      </c>
    </row>
    <row r="640" ht="14.25" customHeight="1">
      <c r="A640" s="55" t="s">
        <v>9097</v>
      </c>
      <c r="B640" s="55" t="s">
        <v>40</v>
      </c>
      <c r="C640" s="55" t="s">
        <v>9100</v>
      </c>
      <c r="D640" s="55" t="s">
        <v>9075</v>
      </c>
    </row>
    <row r="641" ht="14.25" customHeight="1">
      <c r="A641" s="55" t="s">
        <v>9097</v>
      </c>
      <c r="B641" s="55" t="s">
        <v>40</v>
      </c>
      <c r="C641" s="55" t="s">
        <v>5749</v>
      </c>
      <c r="D641" s="55" t="s">
        <v>14083</v>
      </c>
    </row>
    <row r="642" ht="14.25" customHeight="1">
      <c r="A642" s="55" t="s">
        <v>9097</v>
      </c>
      <c r="B642" s="55" t="s">
        <v>40</v>
      </c>
      <c r="C642" s="55" t="s">
        <v>10655</v>
      </c>
      <c r="D642" s="55" t="s">
        <v>8968</v>
      </c>
    </row>
    <row r="643" ht="14.25" customHeight="1">
      <c r="A643" s="55" t="s">
        <v>9097</v>
      </c>
      <c r="B643" s="55" t="s">
        <v>40</v>
      </c>
      <c r="C643" s="55" t="s">
        <v>5754</v>
      </c>
      <c r="D643" s="55" t="s">
        <v>9111</v>
      </c>
    </row>
    <row r="644" ht="14.25" customHeight="1">
      <c r="A644" s="55" t="s">
        <v>9097</v>
      </c>
      <c r="B644" s="55" t="s">
        <v>40</v>
      </c>
      <c r="C644" s="55" t="s">
        <v>2333</v>
      </c>
      <c r="D644" s="55" t="s">
        <v>11406</v>
      </c>
    </row>
    <row r="645" ht="14.25" customHeight="1">
      <c r="A645" s="55" t="s">
        <v>9097</v>
      </c>
      <c r="B645" s="55" t="s">
        <v>40</v>
      </c>
      <c r="C645" s="55" t="s">
        <v>12694</v>
      </c>
      <c r="D645" s="55" t="s">
        <v>12695</v>
      </c>
    </row>
    <row r="646" ht="14.25" customHeight="1">
      <c r="A646" s="55" t="s">
        <v>9097</v>
      </c>
      <c r="B646" s="55" t="s">
        <v>40</v>
      </c>
      <c r="C646" s="55" t="s">
        <v>12696</v>
      </c>
      <c r="D646" s="55" t="s">
        <v>9002</v>
      </c>
    </row>
    <row r="647" ht="14.25" customHeight="1">
      <c r="A647" s="55" t="s">
        <v>9097</v>
      </c>
      <c r="B647" s="55" t="s">
        <v>40</v>
      </c>
      <c r="C647" s="55" t="s">
        <v>14084</v>
      </c>
      <c r="D647" s="55" t="s">
        <v>14085</v>
      </c>
    </row>
    <row r="648" ht="14.25" customHeight="1">
      <c r="A648" s="55" t="s">
        <v>9097</v>
      </c>
      <c r="B648" s="55" t="s">
        <v>40</v>
      </c>
      <c r="C648" s="55" t="s">
        <v>14084</v>
      </c>
      <c r="D648" s="55" t="s">
        <v>10124</v>
      </c>
    </row>
    <row r="649" ht="14.25" customHeight="1">
      <c r="A649" s="55" t="s">
        <v>9097</v>
      </c>
      <c r="B649" s="55" t="s">
        <v>40</v>
      </c>
      <c r="C649" s="55" t="s">
        <v>9599</v>
      </c>
      <c r="D649" s="55" t="s">
        <v>14086</v>
      </c>
    </row>
    <row r="650" ht="14.25" customHeight="1">
      <c r="A650" s="55" t="s">
        <v>9097</v>
      </c>
      <c r="B650" s="55" t="s">
        <v>40</v>
      </c>
      <c r="C650" s="55" t="s">
        <v>9599</v>
      </c>
      <c r="D650" s="55" t="s">
        <v>12697</v>
      </c>
    </row>
    <row r="651" ht="14.25" customHeight="1">
      <c r="A651" s="55" t="s">
        <v>9097</v>
      </c>
      <c r="B651" s="55" t="s">
        <v>40</v>
      </c>
      <c r="C651" s="55" t="s">
        <v>5795</v>
      </c>
      <c r="D651" s="55" t="s">
        <v>9051</v>
      </c>
    </row>
    <row r="652" ht="14.25" customHeight="1">
      <c r="A652" s="55" t="s">
        <v>9097</v>
      </c>
      <c r="B652" s="55" t="s">
        <v>40</v>
      </c>
      <c r="C652" s="55" t="s">
        <v>9172</v>
      </c>
      <c r="D652" s="55" t="s">
        <v>9836</v>
      </c>
    </row>
    <row r="653" ht="14.25" customHeight="1">
      <c r="A653" s="55" t="s">
        <v>9097</v>
      </c>
      <c r="B653" s="55" t="s">
        <v>40</v>
      </c>
      <c r="C653" s="55" t="s">
        <v>68</v>
      </c>
      <c r="D653" s="55" t="s">
        <v>9073</v>
      </c>
    </row>
    <row r="654" ht="14.25" customHeight="1">
      <c r="A654" s="55" t="s">
        <v>9097</v>
      </c>
      <c r="B654" s="55" t="s">
        <v>40</v>
      </c>
      <c r="C654" s="55" t="s">
        <v>10087</v>
      </c>
      <c r="D654" s="55" t="s">
        <v>10088</v>
      </c>
    </row>
    <row r="655" ht="14.25" customHeight="1">
      <c r="A655" s="55" t="s">
        <v>9097</v>
      </c>
      <c r="B655" s="55" t="s">
        <v>40</v>
      </c>
      <c r="C655" s="55" t="s">
        <v>5828</v>
      </c>
      <c r="D655" s="55" t="s">
        <v>13557</v>
      </c>
    </row>
    <row r="656" ht="14.25" customHeight="1">
      <c r="A656" s="55" t="s">
        <v>9097</v>
      </c>
      <c r="B656" s="55" t="s">
        <v>40</v>
      </c>
      <c r="C656" s="55" t="s">
        <v>5828</v>
      </c>
      <c r="D656" s="55" t="s">
        <v>9102</v>
      </c>
    </row>
    <row r="657" ht="14.25" customHeight="1">
      <c r="A657" s="55" t="s">
        <v>9097</v>
      </c>
      <c r="B657" s="55" t="s">
        <v>40</v>
      </c>
      <c r="C657" s="55" t="s">
        <v>5828</v>
      </c>
      <c r="D657" s="55" t="s">
        <v>14087</v>
      </c>
    </row>
    <row r="658" ht="14.25" customHeight="1">
      <c r="A658" s="55" t="s">
        <v>9097</v>
      </c>
      <c r="B658" s="55" t="s">
        <v>40</v>
      </c>
      <c r="C658" s="55" t="s">
        <v>5828</v>
      </c>
      <c r="D658" s="55" t="s">
        <v>9071</v>
      </c>
    </row>
    <row r="659" ht="14.25" customHeight="1">
      <c r="A659" s="55" t="s">
        <v>9097</v>
      </c>
      <c r="B659" s="55" t="s">
        <v>40</v>
      </c>
      <c r="C659" s="55" t="s">
        <v>5828</v>
      </c>
      <c r="D659" s="55" t="s">
        <v>11407</v>
      </c>
    </row>
    <row r="660" ht="14.25" customHeight="1">
      <c r="A660" s="55" t="s">
        <v>9097</v>
      </c>
      <c r="B660" s="55" t="s">
        <v>40</v>
      </c>
      <c r="C660" s="55" t="s">
        <v>12698</v>
      </c>
      <c r="D660" s="55" t="s">
        <v>9073</v>
      </c>
    </row>
    <row r="661" ht="14.25" customHeight="1">
      <c r="A661" s="55" t="s">
        <v>9097</v>
      </c>
      <c r="B661" s="55" t="s">
        <v>40</v>
      </c>
      <c r="C661" s="55" t="s">
        <v>13558</v>
      </c>
      <c r="D661" s="55" t="s">
        <v>13559</v>
      </c>
    </row>
    <row r="662" ht="14.25" customHeight="1">
      <c r="A662" s="55" t="s">
        <v>9097</v>
      </c>
      <c r="B662" s="55" t="s">
        <v>40</v>
      </c>
      <c r="C662" s="55" t="s">
        <v>11935</v>
      </c>
      <c r="D662" s="55" t="s">
        <v>9020</v>
      </c>
    </row>
    <row r="663" ht="14.25" customHeight="1">
      <c r="A663" s="55" t="s">
        <v>9097</v>
      </c>
      <c r="B663" s="55" t="s">
        <v>40</v>
      </c>
      <c r="C663" s="55" t="s">
        <v>10628</v>
      </c>
      <c r="D663" s="55" t="s">
        <v>9354</v>
      </c>
    </row>
    <row r="664" ht="14.25" customHeight="1">
      <c r="A664" s="55" t="s">
        <v>9097</v>
      </c>
      <c r="B664" s="55" t="s">
        <v>40</v>
      </c>
      <c r="C664" s="55" t="s">
        <v>77</v>
      </c>
      <c r="D664" s="55" t="s">
        <v>9103</v>
      </c>
    </row>
    <row r="665" ht="14.25" customHeight="1">
      <c r="A665" s="55" t="s">
        <v>9097</v>
      </c>
      <c r="B665" s="55" t="s">
        <v>40</v>
      </c>
      <c r="C665" s="55" t="s">
        <v>77</v>
      </c>
      <c r="D665" s="55" t="s">
        <v>9151</v>
      </c>
    </row>
    <row r="666" ht="14.25" customHeight="1">
      <c r="A666" s="55" t="s">
        <v>9097</v>
      </c>
      <c r="B666" s="55" t="s">
        <v>40</v>
      </c>
      <c r="C666" s="55" t="s">
        <v>12656</v>
      </c>
      <c r="D666" s="55" t="s">
        <v>9073</v>
      </c>
    </row>
    <row r="667" ht="14.25" customHeight="1">
      <c r="A667" s="55" t="s">
        <v>9097</v>
      </c>
      <c r="B667" s="55" t="s">
        <v>40</v>
      </c>
      <c r="C667" s="55" t="s">
        <v>9104</v>
      </c>
      <c r="D667" s="55" t="s">
        <v>8968</v>
      </c>
    </row>
    <row r="668" ht="14.25" customHeight="1">
      <c r="A668" s="55" t="s">
        <v>9097</v>
      </c>
      <c r="B668" s="55" t="s">
        <v>40</v>
      </c>
      <c r="C668" s="55" t="s">
        <v>9104</v>
      </c>
      <c r="D668" s="55" t="s">
        <v>14088</v>
      </c>
    </row>
    <row r="669" ht="14.25" customHeight="1">
      <c r="A669" s="55" t="s">
        <v>9097</v>
      </c>
      <c r="B669" s="55" t="s">
        <v>40</v>
      </c>
      <c r="C669" s="55" t="s">
        <v>9104</v>
      </c>
      <c r="D669" s="55" t="s">
        <v>9073</v>
      </c>
    </row>
    <row r="670" ht="14.25" customHeight="1">
      <c r="A670" s="55" t="s">
        <v>9097</v>
      </c>
      <c r="B670" s="55" t="s">
        <v>40</v>
      </c>
      <c r="C670" s="55" t="s">
        <v>9104</v>
      </c>
      <c r="D670" s="55" t="s">
        <v>12699</v>
      </c>
    </row>
    <row r="671" ht="14.25" customHeight="1">
      <c r="A671" s="55" t="s">
        <v>9097</v>
      </c>
      <c r="B671" s="55" t="s">
        <v>40</v>
      </c>
      <c r="C671" s="55" t="s">
        <v>11408</v>
      </c>
      <c r="D671" s="55" t="s">
        <v>9073</v>
      </c>
    </row>
    <row r="672" ht="14.25" customHeight="1">
      <c r="A672" s="55" t="s">
        <v>9097</v>
      </c>
      <c r="B672" s="55" t="s">
        <v>40</v>
      </c>
      <c r="C672" s="55" t="s">
        <v>10656</v>
      </c>
      <c r="D672" s="55" t="s">
        <v>9034</v>
      </c>
    </row>
    <row r="673" ht="14.25" customHeight="1">
      <c r="A673" s="55" t="s">
        <v>9097</v>
      </c>
      <c r="B673" s="55" t="s">
        <v>40</v>
      </c>
      <c r="C673" s="55" t="s">
        <v>10656</v>
      </c>
      <c r="D673" s="55" t="s">
        <v>9073</v>
      </c>
    </row>
    <row r="674" ht="14.25" customHeight="1">
      <c r="A674" s="55" t="s">
        <v>9097</v>
      </c>
      <c r="B674" s="55" t="s">
        <v>40</v>
      </c>
      <c r="C674" s="55" t="s">
        <v>9105</v>
      </c>
      <c r="D674" s="55" t="s">
        <v>9026</v>
      </c>
    </row>
    <row r="675" ht="14.25" customHeight="1">
      <c r="A675" s="55" t="s">
        <v>9097</v>
      </c>
      <c r="B675" s="55" t="s">
        <v>40</v>
      </c>
      <c r="C675" s="55" t="s">
        <v>1889</v>
      </c>
      <c r="D675" s="55" t="s">
        <v>14089</v>
      </c>
    </row>
    <row r="676" ht="14.25" customHeight="1">
      <c r="A676" s="55" t="s">
        <v>9097</v>
      </c>
      <c r="B676" s="55" t="s">
        <v>40</v>
      </c>
      <c r="C676" s="55" t="s">
        <v>10879</v>
      </c>
      <c r="D676" s="55" t="s">
        <v>9073</v>
      </c>
    </row>
    <row r="677" ht="14.25" customHeight="1">
      <c r="A677" s="55" t="s">
        <v>9097</v>
      </c>
      <c r="B677" s="55" t="s">
        <v>40</v>
      </c>
      <c r="C677" s="55" t="s">
        <v>11310</v>
      </c>
      <c r="D677" s="55" t="s">
        <v>10099</v>
      </c>
    </row>
    <row r="678" ht="14.25" customHeight="1">
      <c r="A678" s="55" t="s">
        <v>9097</v>
      </c>
      <c r="B678" s="55" t="s">
        <v>40</v>
      </c>
      <c r="C678" s="55" t="s">
        <v>10089</v>
      </c>
      <c r="D678" s="55" t="s">
        <v>9050</v>
      </c>
    </row>
    <row r="679" ht="14.25" customHeight="1">
      <c r="A679" s="55" t="s">
        <v>9097</v>
      </c>
      <c r="B679" s="55" t="s">
        <v>40</v>
      </c>
      <c r="C679" s="55" t="s">
        <v>10657</v>
      </c>
      <c r="D679" s="55" t="s">
        <v>10658</v>
      </c>
    </row>
    <row r="680" ht="14.25" customHeight="1">
      <c r="A680" s="55" t="s">
        <v>9097</v>
      </c>
      <c r="B680" s="55" t="s">
        <v>40</v>
      </c>
      <c r="C680" s="55" t="s">
        <v>88</v>
      </c>
      <c r="D680" s="55" t="s">
        <v>12431</v>
      </c>
    </row>
    <row r="681" ht="14.25" customHeight="1">
      <c r="A681" s="55" t="s">
        <v>9097</v>
      </c>
      <c r="B681" s="55" t="s">
        <v>40</v>
      </c>
      <c r="C681" s="55" t="s">
        <v>88</v>
      </c>
      <c r="D681" s="55" t="s">
        <v>9106</v>
      </c>
    </row>
    <row r="682" ht="14.25" customHeight="1">
      <c r="A682" s="55" t="s">
        <v>9097</v>
      </c>
      <c r="B682" s="55" t="s">
        <v>40</v>
      </c>
      <c r="C682" s="55" t="s">
        <v>88</v>
      </c>
      <c r="D682" s="55" t="s">
        <v>9314</v>
      </c>
    </row>
    <row r="683" ht="14.25" customHeight="1">
      <c r="A683" s="55" t="s">
        <v>9097</v>
      </c>
      <c r="B683" s="55" t="s">
        <v>40</v>
      </c>
      <c r="C683" s="55" t="s">
        <v>88</v>
      </c>
      <c r="D683" s="55" t="s">
        <v>9107</v>
      </c>
    </row>
    <row r="684" ht="14.25" customHeight="1">
      <c r="A684" s="55" t="s">
        <v>9097</v>
      </c>
      <c r="B684" s="55" t="s">
        <v>40</v>
      </c>
      <c r="C684" s="55" t="s">
        <v>88</v>
      </c>
      <c r="D684" s="55" t="s">
        <v>10463</v>
      </c>
    </row>
    <row r="685" ht="14.25" customHeight="1">
      <c r="A685" s="55" t="s">
        <v>9097</v>
      </c>
      <c r="B685" s="55" t="s">
        <v>40</v>
      </c>
      <c r="C685" s="55" t="s">
        <v>88</v>
      </c>
      <c r="D685" s="55" t="s">
        <v>9855</v>
      </c>
    </row>
    <row r="686" ht="14.25" customHeight="1">
      <c r="A686" s="55" t="s">
        <v>9097</v>
      </c>
      <c r="B686" s="55" t="s">
        <v>40</v>
      </c>
      <c r="C686" s="55" t="s">
        <v>10659</v>
      </c>
      <c r="D686" s="55" t="s">
        <v>10111</v>
      </c>
    </row>
    <row r="687" ht="14.25" customHeight="1">
      <c r="A687" s="55" t="s">
        <v>9097</v>
      </c>
      <c r="B687" s="55" t="s">
        <v>40</v>
      </c>
      <c r="C687" s="55" t="s">
        <v>12375</v>
      </c>
      <c r="D687" s="55" t="s">
        <v>11252</v>
      </c>
    </row>
    <row r="688" ht="14.25" customHeight="1">
      <c r="A688" s="55" t="s">
        <v>9097</v>
      </c>
      <c r="B688" s="55" t="s">
        <v>40</v>
      </c>
      <c r="C688" s="55" t="s">
        <v>12375</v>
      </c>
      <c r="D688" s="55" t="s">
        <v>9073</v>
      </c>
    </row>
    <row r="689" ht="14.25" customHeight="1">
      <c r="A689" s="55" t="s">
        <v>9097</v>
      </c>
      <c r="B689" s="55" t="s">
        <v>40</v>
      </c>
      <c r="C689" s="55" t="s">
        <v>89</v>
      </c>
      <c r="D689" s="55" t="s">
        <v>11936</v>
      </c>
    </row>
    <row r="690" ht="14.25" customHeight="1">
      <c r="A690" s="55" t="s">
        <v>9097</v>
      </c>
      <c r="B690" s="55" t="s">
        <v>40</v>
      </c>
      <c r="C690" s="55" t="s">
        <v>89</v>
      </c>
      <c r="D690" s="55" t="s">
        <v>11409</v>
      </c>
    </row>
    <row r="691" ht="14.25" customHeight="1">
      <c r="A691" s="55" t="s">
        <v>9097</v>
      </c>
      <c r="B691" s="55" t="s">
        <v>40</v>
      </c>
      <c r="C691" s="55" t="s">
        <v>89</v>
      </c>
      <c r="D691" s="55" t="s">
        <v>9111</v>
      </c>
    </row>
    <row r="692" ht="14.25" customHeight="1">
      <c r="A692" s="55" t="s">
        <v>9097</v>
      </c>
      <c r="B692" s="55" t="s">
        <v>40</v>
      </c>
      <c r="C692" s="55" t="s">
        <v>89</v>
      </c>
      <c r="D692" s="55" t="s">
        <v>12700</v>
      </c>
    </row>
    <row r="693" ht="14.25" customHeight="1">
      <c r="A693" s="55" t="s">
        <v>9097</v>
      </c>
      <c r="B693" s="55" t="s">
        <v>40</v>
      </c>
      <c r="C693" s="55" t="s">
        <v>89</v>
      </c>
      <c r="D693" s="55" t="s">
        <v>9168</v>
      </c>
    </row>
    <row r="694" ht="14.25" customHeight="1">
      <c r="A694" s="55" t="s">
        <v>9097</v>
      </c>
      <c r="B694" s="55" t="s">
        <v>40</v>
      </c>
      <c r="C694" s="55" t="s">
        <v>2669</v>
      </c>
      <c r="D694" s="55" t="s">
        <v>13560</v>
      </c>
    </row>
    <row r="695" ht="14.25" customHeight="1">
      <c r="A695" s="55" t="s">
        <v>9097</v>
      </c>
      <c r="B695" s="55" t="s">
        <v>40</v>
      </c>
      <c r="C695" s="55" t="s">
        <v>763</v>
      </c>
      <c r="D695" s="55" t="s">
        <v>9109</v>
      </c>
    </row>
    <row r="696" ht="14.25" customHeight="1">
      <c r="A696" s="55" t="s">
        <v>9097</v>
      </c>
      <c r="B696" s="55" t="s">
        <v>40</v>
      </c>
      <c r="C696" s="55" t="s">
        <v>763</v>
      </c>
      <c r="D696" s="55" t="s">
        <v>11937</v>
      </c>
    </row>
    <row r="697" ht="14.25" customHeight="1">
      <c r="A697" s="55" t="s">
        <v>9097</v>
      </c>
      <c r="B697" s="55" t="s">
        <v>40</v>
      </c>
      <c r="C697" s="55" t="s">
        <v>9108</v>
      </c>
      <c r="D697" s="55" t="s">
        <v>9109</v>
      </c>
    </row>
    <row r="698" ht="14.25" customHeight="1">
      <c r="A698" s="55" t="s">
        <v>9097</v>
      </c>
      <c r="B698" s="55" t="s">
        <v>40</v>
      </c>
      <c r="C698" s="55" t="s">
        <v>12701</v>
      </c>
      <c r="D698" s="55" t="s">
        <v>9109</v>
      </c>
    </row>
    <row r="699" ht="14.25" customHeight="1">
      <c r="A699" s="55" t="s">
        <v>9097</v>
      </c>
      <c r="B699" s="55" t="s">
        <v>40</v>
      </c>
      <c r="C699" s="55" t="s">
        <v>12701</v>
      </c>
      <c r="D699" s="55" t="s">
        <v>12702</v>
      </c>
    </row>
    <row r="700" ht="14.25" customHeight="1">
      <c r="A700" s="55" t="s">
        <v>9097</v>
      </c>
      <c r="B700" s="55" t="s">
        <v>40</v>
      </c>
      <c r="C700" s="55" t="s">
        <v>12701</v>
      </c>
      <c r="D700" s="55" t="s">
        <v>10186</v>
      </c>
    </row>
    <row r="701" ht="14.25" customHeight="1">
      <c r="A701" s="55" t="s">
        <v>9097</v>
      </c>
      <c r="B701" s="55" t="s">
        <v>40</v>
      </c>
      <c r="C701" s="55" t="s">
        <v>12701</v>
      </c>
      <c r="D701" s="55" t="s">
        <v>9962</v>
      </c>
    </row>
    <row r="702" ht="14.25" customHeight="1">
      <c r="A702" s="55" t="s">
        <v>9097</v>
      </c>
      <c r="B702" s="55" t="s">
        <v>40</v>
      </c>
      <c r="C702" s="55" t="s">
        <v>11410</v>
      </c>
      <c r="D702" s="55" t="s">
        <v>11411</v>
      </c>
    </row>
    <row r="703" ht="14.25" customHeight="1">
      <c r="A703" s="55" t="s">
        <v>9097</v>
      </c>
      <c r="B703" s="55" t="s">
        <v>40</v>
      </c>
      <c r="C703" s="55" t="s">
        <v>7652</v>
      </c>
      <c r="D703" s="55" t="s">
        <v>9073</v>
      </c>
    </row>
    <row r="704" ht="14.25" customHeight="1">
      <c r="A704" s="55" t="s">
        <v>9097</v>
      </c>
      <c r="B704" s="55" t="s">
        <v>40</v>
      </c>
      <c r="C704" s="55" t="s">
        <v>2700</v>
      </c>
      <c r="D704" s="55" t="s">
        <v>9109</v>
      </c>
    </row>
    <row r="705" ht="14.25" customHeight="1">
      <c r="A705" s="55" t="s">
        <v>9097</v>
      </c>
      <c r="B705" s="55" t="s">
        <v>40</v>
      </c>
      <c r="C705" s="55" t="s">
        <v>2700</v>
      </c>
      <c r="D705" s="55" t="s">
        <v>9162</v>
      </c>
    </row>
    <row r="706" ht="14.25" customHeight="1">
      <c r="A706" s="55" t="s">
        <v>9097</v>
      </c>
      <c r="B706" s="55" t="s">
        <v>40</v>
      </c>
      <c r="C706" s="55" t="s">
        <v>2700</v>
      </c>
      <c r="D706" s="55" t="s">
        <v>9073</v>
      </c>
    </row>
    <row r="707" ht="14.25" customHeight="1">
      <c r="A707" s="55" t="s">
        <v>9097</v>
      </c>
      <c r="B707" s="55" t="s">
        <v>40</v>
      </c>
      <c r="C707" s="55" t="s">
        <v>11938</v>
      </c>
      <c r="D707" s="55" t="s">
        <v>9073</v>
      </c>
    </row>
    <row r="708" ht="14.25" customHeight="1">
      <c r="A708" s="55" t="s">
        <v>9097</v>
      </c>
      <c r="B708" s="55" t="s">
        <v>40</v>
      </c>
      <c r="C708" s="55" t="s">
        <v>9469</v>
      </c>
      <c r="D708" s="55" t="s">
        <v>12703</v>
      </c>
    </row>
    <row r="709" ht="14.25" customHeight="1">
      <c r="A709" s="55" t="s">
        <v>9097</v>
      </c>
      <c r="B709" s="55" t="s">
        <v>40</v>
      </c>
      <c r="C709" s="55" t="s">
        <v>9469</v>
      </c>
      <c r="D709" s="55" t="s">
        <v>10090</v>
      </c>
    </row>
    <row r="710" ht="14.25" customHeight="1">
      <c r="A710" s="55" t="s">
        <v>9097</v>
      </c>
      <c r="B710" s="55" t="s">
        <v>40</v>
      </c>
      <c r="C710" s="55" t="s">
        <v>10660</v>
      </c>
      <c r="D710" s="55" t="s">
        <v>9111</v>
      </c>
    </row>
    <row r="711" ht="14.25" customHeight="1">
      <c r="A711" s="55" t="s">
        <v>9097</v>
      </c>
      <c r="B711" s="55" t="s">
        <v>40</v>
      </c>
      <c r="C711" s="55" t="s">
        <v>10660</v>
      </c>
      <c r="D711" s="55" t="s">
        <v>9051</v>
      </c>
    </row>
    <row r="712" ht="14.25" customHeight="1">
      <c r="A712" s="55" t="s">
        <v>9097</v>
      </c>
      <c r="B712" s="55" t="s">
        <v>40</v>
      </c>
      <c r="C712" s="55" t="s">
        <v>10660</v>
      </c>
      <c r="D712" s="55" t="s">
        <v>9073</v>
      </c>
    </row>
    <row r="713" ht="14.25" customHeight="1">
      <c r="A713" s="55" t="s">
        <v>9097</v>
      </c>
      <c r="B713" s="55" t="s">
        <v>40</v>
      </c>
      <c r="C713" s="55" t="s">
        <v>9110</v>
      </c>
      <c r="D713" s="55" t="s">
        <v>9111</v>
      </c>
    </row>
    <row r="714" ht="14.25" customHeight="1">
      <c r="A714" s="55" t="s">
        <v>9097</v>
      </c>
      <c r="B714" s="55" t="s">
        <v>40</v>
      </c>
      <c r="C714" s="55" t="s">
        <v>9110</v>
      </c>
      <c r="D714" s="55" t="s">
        <v>9073</v>
      </c>
    </row>
    <row r="715" ht="14.25" customHeight="1">
      <c r="A715" s="55" t="s">
        <v>9097</v>
      </c>
      <c r="B715" s="55" t="s">
        <v>40</v>
      </c>
      <c r="C715" s="55" t="s">
        <v>9110</v>
      </c>
      <c r="D715" s="55" t="s">
        <v>9112</v>
      </c>
    </row>
    <row r="716" ht="14.25" customHeight="1">
      <c r="A716" s="55" t="s">
        <v>9097</v>
      </c>
      <c r="B716" s="55" t="s">
        <v>40</v>
      </c>
      <c r="C716" s="55" t="s">
        <v>13561</v>
      </c>
      <c r="D716" s="55" t="s">
        <v>9073</v>
      </c>
    </row>
    <row r="717" ht="14.25" customHeight="1">
      <c r="A717" s="55" t="s">
        <v>9097</v>
      </c>
      <c r="B717" s="55" t="s">
        <v>40</v>
      </c>
      <c r="C717" s="55" t="s">
        <v>14090</v>
      </c>
      <c r="D717" s="55" t="s">
        <v>9073</v>
      </c>
    </row>
    <row r="718" ht="14.25" customHeight="1">
      <c r="A718" s="55" t="s">
        <v>9097</v>
      </c>
      <c r="B718" s="55" t="s">
        <v>40</v>
      </c>
      <c r="C718" s="55" t="s">
        <v>6049</v>
      </c>
      <c r="D718" s="55" t="s">
        <v>9075</v>
      </c>
    </row>
    <row r="719" ht="14.25" customHeight="1">
      <c r="A719" s="55" t="s">
        <v>9097</v>
      </c>
      <c r="B719" s="55" t="s">
        <v>40</v>
      </c>
      <c r="C719" s="55" t="s">
        <v>12704</v>
      </c>
      <c r="D719" s="55" t="s">
        <v>12705</v>
      </c>
    </row>
    <row r="720" ht="14.25" customHeight="1">
      <c r="A720" s="55" t="s">
        <v>9097</v>
      </c>
      <c r="B720" s="55" t="s">
        <v>40</v>
      </c>
      <c r="C720" s="55" t="s">
        <v>13562</v>
      </c>
      <c r="D720" s="55" t="s">
        <v>10099</v>
      </c>
    </row>
    <row r="721" ht="14.25" customHeight="1">
      <c r="A721" s="55" t="s">
        <v>9097</v>
      </c>
      <c r="B721" s="55" t="s">
        <v>40</v>
      </c>
      <c r="C721" s="55" t="s">
        <v>11939</v>
      </c>
      <c r="D721" s="55" t="s">
        <v>11940</v>
      </c>
    </row>
    <row r="722" ht="14.25" customHeight="1">
      <c r="A722" s="55" t="s">
        <v>9097</v>
      </c>
      <c r="B722" s="55" t="s">
        <v>40</v>
      </c>
      <c r="C722" s="55" t="s">
        <v>6065</v>
      </c>
      <c r="D722" s="55" t="s">
        <v>9162</v>
      </c>
    </row>
    <row r="723" ht="14.25" customHeight="1">
      <c r="A723" s="55" t="s">
        <v>9097</v>
      </c>
      <c r="B723" s="55" t="s">
        <v>40</v>
      </c>
      <c r="C723" s="55" t="s">
        <v>6065</v>
      </c>
      <c r="D723" s="55" t="s">
        <v>10661</v>
      </c>
    </row>
    <row r="724" ht="14.25" customHeight="1">
      <c r="A724" s="55" t="s">
        <v>9097</v>
      </c>
      <c r="B724" s="55" t="s">
        <v>40</v>
      </c>
      <c r="C724" s="55" t="s">
        <v>6065</v>
      </c>
      <c r="D724" s="55" t="s">
        <v>9055</v>
      </c>
    </row>
    <row r="725" ht="14.25" customHeight="1">
      <c r="A725" s="55" t="s">
        <v>9097</v>
      </c>
      <c r="B725" s="55" t="s">
        <v>40</v>
      </c>
      <c r="C725" s="55" t="s">
        <v>11941</v>
      </c>
      <c r="D725" s="55" t="s">
        <v>9034</v>
      </c>
    </row>
    <row r="726" ht="14.25" customHeight="1">
      <c r="A726" s="55" t="s">
        <v>9097</v>
      </c>
      <c r="B726" s="55" t="s">
        <v>40</v>
      </c>
      <c r="C726" s="55" t="s">
        <v>10662</v>
      </c>
      <c r="D726" s="55" t="s">
        <v>9051</v>
      </c>
    </row>
    <row r="727" ht="14.25" customHeight="1">
      <c r="A727" s="55" t="s">
        <v>9097</v>
      </c>
      <c r="B727" s="55" t="s">
        <v>40</v>
      </c>
      <c r="C727" s="55" t="s">
        <v>9113</v>
      </c>
      <c r="D727" s="55" t="s">
        <v>8968</v>
      </c>
    </row>
    <row r="728" ht="14.25" customHeight="1">
      <c r="A728" s="55" t="s">
        <v>9097</v>
      </c>
      <c r="B728" s="55" t="s">
        <v>40</v>
      </c>
      <c r="C728" s="55" t="s">
        <v>9113</v>
      </c>
      <c r="D728" s="55" t="s">
        <v>9073</v>
      </c>
    </row>
    <row r="729" ht="14.25" customHeight="1">
      <c r="A729" s="55" t="s">
        <v>9097</v>
      </c>
      <c r="B729" s="55" t="s">
        <v>40</v>
      </c>
      <c r="C729" s="55" t="s">
        <v>12706</v>
      </c>
      <c r="D729" s="55" t="s">
        <v>12707</v>
      </c>
    </row>
    <row r="730" ht="14.25" customHeight="1">
      <c r="A730" s="55" t="s">
        <v>9097</v>
      </c>
      <c r="B730" s="55" t="s">
        <v>40</v>
      </c>
      <c r="C730" s="55" t="s">
        <v>9114</v>
      </c>
      <c r="D730" s="55" t="s">
        <v>9075</v>
      </c>
    </row>
    <row r="731" ht="14.25" customHeight="1">
      <c r="A731" s="55" t="s">
        <v>9097</v>
      </c>
      <c r="B731" s="55" t="s">
        <v>40</v>
      </c>
      <c r="C731" s="55" t="s">
        <v>9114</v>
      </c>
      <c r="D731" s="55" t="s">
        <v>13563</v>
      </c>
    </row>
    <row r="732" ht="14.25" customHeight="1">
      <c r="A732" s="55" t="s">
        <v>9097</v>
      </c>
      <c r="B732" s="55" t="s">
        <v>40</v>
      </c>
      <c r="C732" s="55" t="s">
        <v>2786</v>
      </c>
      <c r="D732" s="55" t="s">
        <v>9075</v>
      </c>
    </row>
    <row r="733" ht="14.25" customHeight="1">
      <c r="A733" s="55" t="s">
        <v>9097</v>
      </c>
      <c r="B733" s="55" t="s">
        <v>40</v>
      </c>
      <c r="C733" s="55" t="s">
        <v>9115</v>
      </c>
      <c r="D733" s="55" t="s">
        <v>9116</v>
      </c>
    </row>
    <row r="734" ht="14.25" customHeight="1">
      <c r="A734" s="55" t="s">
        <v>9097</v>
      </c>
      <c r="B734" s="55" t="s">
        <v>40</v>
      </c>
      <c r="C734" s="55" t="s">
        <v>11942</v>
      </c>
      <c r="D734" s="55" t="s">
        <v>9073</v>
      </c>
    </row>
    <row r="735" ht="14.25" customHeight="1">
      <c r="A735" s="55" t="s">
        <v>9097</v>
      </c>
      <c r="B735" s="55" t="s">
        <v>40</v>
      </c>
      <c r="C735" s="55" t="s">
        <v>9117</v>
      </c>
      <c r="D735" s="55" t="s">
        <v>9118</v>
      </c>
    </row>
    <row r="736" ht="14.25" customHeight="1">
      <c r="A736" s="55" t="s">
        <v>9097</v>
      </c>
      <c r="B736" s="55" t="s">
        <v>40</v>
      </c>
      <c r="C736" s="55" t="s">
        <v>12708</v>
      </c>
      <c r="D736" s="55" t="s">
        <v>9073</v>
      </c>
    </row>
    <row r="737" ht="14.25" customHeight="1">
      <c r="A737" s="55" t="s">
        <v>9097</v>
      </c>
      <c r="B737" s="55" t="s">
        <v>40</v>
      </c>
      <c r="C737" s="55" t="s">
        <v>9630</v>
      </c>
      <c r="D737" s="55" t="s">
        <v>12252</v>
      </c>
    </row>
    <row r="738" ht="14.25" customHeight="1">
      <c r="A738" s="55" t="s">
        <v>9097</v>
      </c>
      <c r="B738" s="55" t="s">
        <v>40</v>
      </c>
      <c r="C738" s="55" t="s">
        <v>9630</v>
      </c>
      <c r="D738" s="55" t="s">
        <v>11687</v>
      </c>
    </row>
    <row r="739" ht="14.25" customHeight="1">
      <c r="A739" s="55" t="s">
        <v>9097</v>
      </c>
      <c r="B739" s="55" t="s">
        <v>40</v>
      </c>
      <c r="C739" s="55" t="s">
        <v>9119</v>
      </c>
      <c r="D739" s="55" t="s">
        <v>9120</v>
      </c>
    </row>
    <row r="740" ht="14.25" customHeight="1">
      <c r="A740" s="55" t="s">
        <v>9097</v>
      </c>
      <c r="B740" s="55" t="s">
        <v>40</v>
      </c>
      <c r="C740" s="55" t="s">
        <v>11412</v>
      </c>
      <c r="D740" s="55" t="s">
        <v>9055</v>
      </c>
    </row>
    <row r="741" ht="14.25" customHeight="1">
      <c r="A741" s="55" t="s">
        <v>9097</v>
      </c>
      <c r="B741" s="55" t="s">
        <v>40</v>
      </c>
      <c r="C741" s="55" t="s">
        <v>10663</v>
      </c>
      <c r="D741" s="55" t="s">
        <v>9034</v>
      </c>
    </row>
    <row r="742" ht="14.25" customHeight="1">
      <c r="A742" s="55" t="s">
        <v>9097</v>
      </c>
      <c r="B742" s="55" t="s">
        <v>40</v>
      </c>
      <c r="C742" s="55" t="s">
        <v>10663</v>
      </c>
      <c r="D742" s="55" t="s">
        <v>9111</v>
      </c>
    </row>
    <row r="743" ht="14.25" customHeight="1">
      <c r="A743" s="55" t="s">
        <v>9097</v>
      </c>
      <c r="B743" s="55" t="s">
        <v>40</v>
      </c>
      <c r="C743" s="55" t="s">
        <v>9121</v>
      </c>
      <c r="D743" s="55" t="s">
        <v>11413</v>
      </c>
    </row>
    <row r="744" ht="14.25" customHeight="1">
      <c r="A744" s="55" t="s">
        <v>9097</v>
      </c>
      <c r="B744" s="55" t="s">
        <v>40</v>
      </c>
      <c r="C744" s="55" t="s">
        <v>9121</v>
      </c>
      <c r="D744" s="55" t="s">
        <v>13564</v>
      </c>
    </row>
    <row r="745" ht="14.25" customHeight="1">
      <c r="A745" s="55" t="s">
        <v>9097</v>
      </c>
      <c r="B745" s="55" t="s">
        <v>40</v>
      </c>
      <c r="C745" s="55" t="s">
        <v>9121</v>
      </c>
      <c r="D745" s="55" t="s">
        <v>10091</v>
      </c>
    </row>
    <row r="746" ht="14.25" customHeight="1">
      <c r="A746" s="55" t="s">
        <v>9097</v>
      </c>
      <c r="B746" s="55" t="s">
        <v>40</v>
      </c>
      <c r="C746" s="55" t="s">
        <v>9121</v>
      </c>
      <c r="D746" s="55" t="s">
        <v>9122</v>
      </c>
    </row>
    <row r="747" ht="14.25" customHeight="1">
      <c r="A747" s="55" t="s">
        <v>9097</v>
      </c>
      <c r="B747" s="55" t="s">
        <v>40</v>
      </c>
      <c r="C747" s="55" t="s">
        <v>9121</v>
      </c>
      <c r="D747" s="55" t="s">
        <v>9925</v>
      </c>
    </row>
    <row r="748" ht="14.25" customHeight="1">
      <c r="A748" s="55" t="s">
        <v>9097</v>
      </c>
      <c r="B748" s="55" t="s">
        <v>40</v>
      </c>
      <c r="C748" s="55" t="s">
        <v>9121</v>
      </c>
      <c r="D748" s="55" t="s">
        <v>9073</v>
      </c>
    </row>
    <row r="749" ht="14.25" customHeight="1">
      <c r="A749" s="55" t="s">
        <v>9097</v>
      </c>
      <c r="B749" s="55" t="s">
        <v>40</v>
      </c>
      <c r="C749" s="55" t="s">
        <v>9121</v>
      </c>
      <c r="D749" s="55" t="s">
        <v>9002</v>
      </c>
    </row>
    <row r="750" ht="14.25" customHeight="1">
      <c r="A750" s="55" t="s">
        <v>9097</v>
      </c>
      <c r="B750" s="55" t="s">
        <v>40</v>
      </c>
      <c r="C750" s="55" t="s">
        <v>9121</v>
      </c>
      <c r="D750" s="55" t="s">
        <v>9075</v>
      </c>
    </row>
    <row r="751" ht="14.25" customHeight="1">
      <c r="A751" s="55" t="s">
        <v>9097</v>
      </c>
      <c r="B751" s="55" t="s">
        <v>40</v>
      </c>
      <c r="C751" s="55" t="s">
        <v>12709</v>
      </c>
      <c r="D751" s="55" t="s">
        <v>9002</v>
      </c>
    </row>
    <row r="752" ht="14.25" customHeight="1">
      <c r="A752" s="55" t="s">
        <v>9097</v>
      </c>
      <c r="B752" s="55" t="s">
        <v>40</v>
      </c>
      <c r="C752" s="55" t="s">
        <v>298</v>
      </c>
      <c r="D752" s="55" t="s">
        <v>9111</v>
      </c>
    </row>
    <row r="753" ht="14.25" customHeight="1">
      <c r="A753" s="55" t="s">
        <v>9097</v>
      </c>
      <c r="B753" s="55" t="s">
        <v>40</v>
      </c>
      <c r="C753" s="55" t="s">
        <v>298</v>
      </c>
      <c r="D753" s="55" t="s">
        <v>9073</v>
      </c>
    </row>
    <row r="754" ht="14.25" customHeight="1">
      <c r="A754" s="55" t="s">
        <v>9097</v>
      </c>
      <c r="B754" s="55" t="s">
        <v>40</v>
      </c>
      <c r="C754" s="55" t="s">
        <v>298</v>
      </c>
      <c r="D754" s="55" t="s">
        <v>9124</v>
      </c>
    </row>
    <row r="755" ht="14.25" customHeight="1">
      <c r="A755" s="55" t="s">
        <v>9097</v>
      </c>
      <c r="B755" s="55" t="s">
        <v>40</v>
      </c>
      <c r="C755" s="55" t="s">
        <v>9123</v>
      </c>
      <c r="D755" s="55" t="s">
        <v>9073</v>
      </c>
    </row>
    <row r="756" ht="14.25" customHeight="1">
      <c r="A756" s="55" t="s">
        <v>9097</v>
      </c>
      <c r="B756" s="55" t="s">
        <v>40</v>
      </c>
      <c r="C756" s="55" t="s">
        <v>9123</v>
      </c>
      <c r="D756" s="55" t="s">
        <v>9124</v>
      </c>
    </row>
    <row r="757" ht="14.25" customHeight="1">
      <c r="A757" s="55" t="s">
        <v>9097</v>
      </c>
      <c r="B757" s="55" t="s">
        <v>40</v>
      </c>
      <c r="C757" s="55" t="s">
        <v>2894</v>
      </c>
      <c r="D757" s="55" t="s">
        <v>14091</v>
      </c>
    </row>
    <row r="758" ht="14.25" customHeight="1">
      <c r="A758" s="55" t="s">
        <v>9097</v>
      </c>
      <c r="B758" s="55" t="s">
        <v>40</v>
      </c>
      <c r="C758" s="55" t="s">
        <v>2894</v>
      </c>
      <c r="D758" s="55" t="s">
        <v>9073</v>
      </c>
    </row>
    <row r="759" ht="14.25" customHeight="1">
      <c r="A759" s="55" t="s">
        <v>9097</v>
      </c>
      <c r="B759" s="55" t="s">
        <v>40</v>
      </c>
      <c r="C759" s="55" t="s">
        <v>6180</v>
      </c>
      <c r="D759" s="55" t="s">
        <v>9051</v>
      </c>
    </row>
    <row r="760" ht="14.25" customHeight="1">
      <c r="A760" s="55" t="s">
        <v>9097</v>
      </c>
      <c r="B760" s="55" t="s">
        <v>40</v>
      </c>
      <c r="C760" s="55" t="s">
        <v>10092</v>
      </c>
      <c r="D760" s="55" t="s">
        <v>9073</v>
      </c>
    </row>
    <row r="761" ht="14.25" customHeight="1">
      <c r="A761" s="55" t="s">
        <v>9097</v>
      </c>
      <c r="B761" s="55" t="s">
        <v>40</v>
      </c>
      <c r="C761" s="55" t="s">
        <v>9125</v>
      </c>
      <c r="D761" s="55" t="s">
        <v>9126</v>
      </c>
    </row>
    <row r="762" ht="14.25" customHeight="1">
      <c r="A762" s="55" t="s">
        <v>9097</v>
      </c>
      <c r="B762" s="55" t="s">
        <v>40</v>
      </c>
      <c r="C762" s="55" t="s">
        <v>9127</v>
      </c>
      <c r="D762" s="55" t="s">
        <v>9073</v>
      </c>
    </row>
    <row r="763" ht="14.25" customHeight="1">
      <c r="A763" s="55" t="s">
        <v>9097</v>
      </c>
      <c r="B763" s="55" t="s">
        <v>40</v>
      </c>
      <c r="C763" s="55" t="s">
        <v>9127</v>
      </c>
      <c r="D763" s="55" t="s">
        <v>9128</v>
      </c>
    </row>
    <row r="764" ht="14.25" customHeight="1">
      <c r="A764" s="55" t="s">
        <v>9097</v>
      </c>
      <c r="B764" s="55" t="s">
        <v>40</v>
      </c>
      <c r="C764" s="55" t="s">
        <v>2918</v>
      </c>
      <c r="D764" s="55" t="s">
        <v>9073</v>
      </c>
    </row>
    <row r="765" ht="14.25" customHeight="1">
      <c r="A765" s="55" t="s">
        <v>9097</v>
      </c>
      <c r="B765" s="55" t="s">
        <v>40</v>
      </c>
      <c r="C765" s="55" t="s">
        <v>2928</v>
      </c>
      <c r="D765" s="55" t="s">
        <v>13867</v>
      </c>
    </row>
    <row r="766" ht="14.25" customHeight="1">
      <c r="A766" s="55" t="s">
        <v>9097</v>
      </c>
      <c r="B766" s="55" t="s">
        <v>40</v>
      </c>
      <c r="C766" s="55" t="s">
        <v>9129</v>
      </c>
      <c r="D766" s="55" t="s">
        <v>9073</v>
      </c>
    </row>
    <row r="767" ht="14.25" customHeight="1">
      <c r="A767" s="55" t="s">
        <v>9097</v>
      </c>
      <c r="B767" s="55" t="s">
        <v>40</v>
      </c>
      <c r="C767" s="55" t="s">
        <v>9130</v>
      </c>
      <c r="D767" s="55" t="s">
        <v>9131</v>
      </c>
    </row>
    <row r="768" ht="14.25" customHeight="1">
      <c r="A768" s="55" t="s">
        <v>9097</v>
      </c>
      <c r="B768" s="55" t="s">
        <v>40</v>
      </c>
      <c r="C768" s="55" t="s">
        <v>10664</v>
      </c>
      <c r="D768" s="55" t="s">
        <v>9109</v>
      </c>
    </row>
    <row r="769" ht="14.25" customHeight="1">
      <c r="A769" s="55" t="s">
        <v>9097</v>
      </c>
      <c r="B769" s="55" t="s">
        <v>40</v>
      </c>
      <c r="C769" s="55" t="s">
        <v>9132</v>
      </c>
      <c r="D769" s="55" t="s">
        <v>12710</v>
      </c>
    </row>
    <row r="770" ht="14.25" customHeight="1">
      <c r="A770" s="55" t="s">
        <v>9097</v>
      </c>
      <c r="B770" s="55" t="s">
        <v>40</v>
      </c>
      <c r="C770" s="55" t="s">
        <v>9132</v>
      </c>
      <c r="D770" s="55" t="s">
        <v>8968</v>
      </c>
    </row>
    <row r="771" ht="14.25" customHeight="1">
      <c r="A771" s="55" t="s">
        <v>9097</v>
      </c>
      <c r="B771" s="55" t="s">
        <v>40</v>
      </c>
      <c r="C771" s="55" t="s">
        <v>9132</v>
      </c>
      <c r="D771" s="55" t="s">
        <v>9055</v>
      </c>
    </row>
    <row r="772" ht="14.25" customHeight="1">
      <c r="A772" s="55" t="s">
        <v>9097</v>
      </c>
      <c r="B772" s="55" t="s">
        <v>40</v>
      </c>
      <c r="C772" s="55" t="s">
        <v>9132</v>
      </c>
      <c r="D772" s="55" t="s">
        <v>9075</v>
      </c>
    </row>
    <row r="773" ht="14.25" customHeight="1">
      <c r="A773" s="55" t="s">
        <v>9097</v>
      </c>
      <c r="B773" s="55" t="s">
        <v>40</v>
      </c>
      <c r="C773" s="55" t="s">
        <v>123</v>
      </c>
      <c r="D773" s="55" t="s">
        <v>11943</v>
      </c>
    </row>
    <row r="774" ht="14.25" customHeight="1">
      <c r="A774" s="55" t="s">
        <v>9097</v>
      </c>
      <c r="B774" s="55" t="s">
        <v>40</v>
      </c>
      <c r="C774" s="55" t="s">
        <v>123</v>
      </c>
      <c r="D774" s="55" t="s">
        <v>11414</v>
      </c>
    </row>
    <row r="775" ht="14.25" customHeight="1">
      <c r="A775" s="55" t="s">
        <v>9097</v>
      </c>
      <c r="B775" s="55" t="s">
        <v>40</v>
      </c>
      <c r="C775" s="55" t="s">
        <v>123</v>
      </c>
      <c r="D775" s="55" t="s">
        <v>9075</v>
      </c>
    </row>
    <row r="776" ht="14.25" customHeight="1">
      <c r="A776" s="55" t="s">
        <v>9097</v>
      </c>
      <c r="B776" s="55" t="s">
        <v>40</v>
      </c>
      <c r="C776" s="55" t="s">
        <v>124</v>
      </c>
      <c r="D776" s="55" t="s">
        <v>8982</v>
      </c>
    </row>
    <row r="777" ht="14.25" customHeight="1">
      <c r="A777" s="55" t="s">
        <v>9097</v>
      </c>
      <c r="B777" s="55" t="s">
        <v>40</v>
      </c>
      <c r="C777" s="55" t="s">
        <v>11944</v>
      </c>
      <c r="D777" s="55" t="s">
        <v>8982</v>
      </c>
    </row>
    <row r="778" ht="14.25" customHeight="1">
      <c r="A778" s="55" t="s">
        <v>9097</v>
      </c>
      <c r="B778" s="55" t="s">
        <v>40</v>
      </c>
      <c r="C778" s="55" t="s">
        <v>8981</v>
      </c>
      <c r="D778" s="55" t="s">
        <v>8982</v>
      </c>
    </row>
    <row r="779" ht="14.25" customHeight="1">
      <c r="A779" s="55" t="s">
        <v>9097</v>
      </c>
      <c r="B779" s="55" t="s">
        <v>40</v>
      </c>
      <c r="C779" s="55" t="s">
        <v>11945</v>
      </c>
      <c r="D779" s="55" t="s">
        <v>9111</v>
      </c>
    </row>
    <row r="780" ht="14.25" customHeight="1">
      <c r="A780" s="55" t="s">
        <v>9097</v>
      </c>
      <c r="B780" s="55" t="s">
        <v>40</v>
      </c>
      <c r="C780" s="55" t="s">
        <v>2977</v>
      </c>
      <c r="D780" s="55" t="s">
        <v>9075</v>
      </c>
    </row>
    <row r="781" ht="14.25" customHeight="1">
      <c r="A781" s="55" t="s">
        <v>9097</v>
      </c>
      <c r="B781" s="55" t="s">
        <v>40</v>
      </c>
      <c r="C781" s="55" t="s">
        <v>12711</v>
      </c>
      <c r="D781" s="55" t="s">
        <v>9883</v>
      </c>
    </row>
    <row r="782" ht="14.25" customHeight="1">
      <c r="A782" s="55" t="s">
        <v>9097</v>
      </c>
      <c r="B782" s="55" t="s">
        <v>40</v>
      </c>
      <c r="C782" s="55" t="s">
        <v>2982</v>
      </c>
      <c r="D782" s="55" t="s">
        <v>9034</v>
      </c>
    </row>
    <row r="783" ht="14.25" customHeight="1">
      <c r="A783" s="55" t="s">
        <v>9097</v>
      </c>
      <c r="B783" s="55" t="s">
        <v>40</v>
      </c>
      <c r="C783" s="55" t="s">
        <v>9133</v>
      </c>
      <c r="D783" s="55" t="s">
        <v>9034</v>
      </c>
    </row>
    <row r="784" ht="14.25" customHeight="1">
      <c r="A784" s="55" t="s">
        <v>9097</v>
      </c>
      <c r="B784" s="55" t="s">
        <v>40</v>
      </c>
      <c r="C784" s="55" t="s">
        <v>9133</v>
      </c>
      <c r="D784" s="55" t="s">
        <v>9291</v>
      </c>
    </row>
    <row r="785" ht="14.25" customHeight="1">
      <c r="A785" s="55" t="s">
        <v>9097</v>
      </c>
      <c r="B785" s="55" t="s">
        <v>40</v>
      </c>
      <c r="C785" s="55" t="s">
        <v>9133</v>
      </c>
      <c r="D785" s="55" t="s">
        <v>9111</v>
      </c>
    </row>
    <row r="786" ht="14.25" customHeight="1">
      <c r="A786" s="55" t="s">
        <v>9097</v>
      </c>
      <c r="B786" s="55" t="s">
        <v>40</v>
      </c>
      <c r="C786" s="55" t="s">
        <v>9133</v>
      </c>
      <c r="D786" s="55" t="s">
        <v>11196</v>
      </c>
    </row>
    <row r="787" ht="14.25" customHeight="1">
      <c r="A787" s="55" t="s">
        <v>9097</v>
      </c>
      <c r="B787" s="55" t="s">
        <v>40</v>
      </c>
      <c r="C787" s="55" t="s">
        <v>9133</v>
      </c>
      <c r="D787" s="55" t="s">
        <v>10093</v>
      </c>
    </row>
    <row r="788" ht="14.25" customHeight="1">
      <c r="A788" s="55" t="s">
        <v>9097</v>
      </c>
      <c r="B788" s="55" t="s">
        <v>40</v>
      </c>
      <c r="C788" s="55" t="s">
        <v>9133</v>
      </c>
      <c r="D788" s="55" t="s">
        <v>11946</v>
      </c>
    </row>
    <row r="789" ht="14.25" customHeight="1">
      <c r="A789" s="55" t="s">
        <v>9097</v>
      </c>
      <c r="B789" s="55" t="s">
        <v>40</v>
      </c>
      <c r="C789" s="55" t="s">
        <v>9133</v>
      </c>
      <c r="D789" s="55" t="s">
        <v>9071</v>
      </c>
    </row>
    <row r="790" ht="14.25" customHeight="1">
      <c r="A790" s="55" t="s">
        <v>9097</v>
      </c>
      <c r="B790" s="55" t="s">
        <v>40</v>
      </c>
      <c r="C790" s="55" t="s">
        <v>9133</v>
      </c>
      <c r="D790" s="55" t="s">
        <v>11947</v>
      </c>
    </row>
    <row r="791" ht="14.25" customHeight="1">
      <c r="A791" s="55" t="s">
        <v>9097</v>
      </c>
      <c r="B791" s="55" t="s">
        <v>40</v>
      </c>
      <c r="C791" s="55" t="s">
        <v>9133</v>
      </c>
      <c r="D791" s="55" t="s">
        <v>12712</v>
      </c>
    </row>
    <row r="792" ht="14.25" customHeight="1">
      <c r="A792" s="55" t="s">
        <v>9097</v>
      </c>
      <c r="B792" s="55" t="s">
        <v>40</v>
      </c>
      <c r="C792" s="55" t="s">
        <v>9133</v>
      </c>
      <c r="D792" s="55" t="s">
        <v>12713</v>
      </c>
    </row>
    <row r="793" ht="14.25" customHeight="1">
      <c r="A793" s="55" t="s">
        <v>9097</v>
      </c>
      <c r="B793" s="55" t="s">
        <v>40</v>
      </c>
      <c r="C793" s="55" t="s">
        <v>9133</v>
      </c>
      <c r="D793" s="55" t="s">
        <v>11948</v>
      </c>
    </row>
    <row r="794" ht="14.25" customHeight="1">
      <c r="A794" s="55" t="s">
        <v>9097</v>
      </c>
      <c r="B794" s="55" t="s">
        <v>40</v>
      </c>
      <c r="C794" s="55" t="s">
        <v>9133</v>
      </c>
      <c r="D794" s="55" t="s">
        <v>9073</v>
      </c>
    </row>
    <row r="795" ht="14.25" customHeight="1">
      <c r="A795" s="55" t="s">
        <v>9097</v>
      </c>
      <c r="B795" s="55" t="s">
        <v>40</v>
      </c>
      <c r="C795" s="55" t="s">
        <v>9133</v>
      </c>
      <c r="D795" s="55" t="s">
        <v>9574</v>
      </c>
    </row>
    <row r="796" ht="14.25" customHeight="1">
      <c r="A796" s="55" t="s">
        <v>9097</v>
      </c>
      <c r="B796" s="55" t="s">
        <v>40</v>
      </c>
      <c r="C796" s="55" t="s">
        <v>9133</v>
      </c>
      <c r="D796" s="55" t="s">
        <v>9002</v>
      </c>
    </row>
    <row r="797" ht="14.25" customHeight="1">
      <c r="A797" s="55" t="s">
        <v>9097</v>
      </c>
      <c r="B797" s="55" t="s">
        <v>40</v>
      </c>
      <c r="C797" s="55" t="s">
        <v>9133</v>
      </c>
      <c r="D797" s="55" t="s">
        <v>9134</v>
      </c>
    </row>
    <row r="798" ht="14.25" customHeight="1">
      <c r="A798" s="55" t="s">
        <v>9097</v>
      </c>
      <c r="B798" s="55" t="s">
        <v>40</v>
      </c>
      <c r="C798" s="55" t="s">
        <v>9133</v>
      </c>
      <c r="D798" s="55" t="s">
        <v>9746</v>
      </c>
    </row>
    <row r="799" ht="14.25" customHeight="1">
      <c r="A799" s="55" t="s">
        <v>9097</v>
      </c>
      <c r="B799" s="55" t="s">
        <v>40</v>
      </c>
      <c r="C799" s="55" t="s">
        <v>9133</v>
      </c>
      <c r="D799" s="55" t="s">
        <v>12714</v>
      </c>
    </row>
    <row r="800" ht="14.25" customHeight="1">
      <c r="A800" s="55" t="s">
        <v>9097</v>
      </c>
      <c r="B800" s="55" t="s">
        <v>40</v>
      </c>
      <c r="C800" s="55" t="s">
        <v>9133</v>
      </c>
      <c r="D800" s="55" t="s">
        <v>10658</v>
      </c>
    </row>
    <row r="801" ht="14.25" customHeight="1">
      <c r="A801" s="55" t="s">
        <v>9097</v>
      </c>
      <c r="B801" s="55" t="s">
        <v>40</v>
      </c>
      <c r="C801" s="55" t="s">
        <v>9640</v>
      </c>
      <c r="D801" s="55" t="s">
        <v>11415</v>
      </c>
    </row>
    <row r="802" ht="14.25" customHeight="1">
      <c r="A802" s="55" t="s">
        <v>9097</v>
      </c>
      <c r="B802" s="55" t="s">
        <v>40</v>
      </c>
      <c r="C802" s="55" t="s">
        <v>9135</v>
      </c>
      <c r="D802" s="55" t="s">
        <v>9136</v>
      </c>
    </row>
    <row r="803" ht="14.25" customHeight="1">
      <c r="A803" s="55" t="s">
        <v>9097</v>
      </c>
      <c r="B803" s="55" t="s">
        <v>40</v>
      </c>
      <c r="C803" s="55" t="s">
        <v>3059</v>
      </c>
      <c r="D803" s="55" t="s">
        <v>9883</v>
      </c>
    </row>
    <row r="804" ht="14.25" customHeight="1">
      <c r="A804" s="55" t="s">
        <v>9097</v>
      </c>
      <c r="B804" s="55" t="s">
        <v>40</v>
      </c>
      <c r="C804" s="55" t="s">
        <v>3059</v>
      </c>
      <c r="D804" s="55" t="s">
        <v>9136</v>
      </c>
    </row>
    <row r="805" ht="14.25" customHeight="1">
      <c r="A805" s="55" t="s">
        <v>9097</v>
      </c>
      <c r="B805" s="55" t="s">
        <v>40</v>
      </c>
      <c r="C805" s="55" t="s">
        <v>3059</v>
      </c>
      <c r="D805" s="55" t="s">
        <v>9073</v>
      </c>
    </row>
    <row r="806" ht="14.25" customHeight="1">
      <c r="A806" s="55" t="s">
        <v>9097</v>
      </c>
      <c r="B806" s="55" t="s">
        <v>40</v>
      </c>
      <c r="C806" s="55" t="s">
        <v>3059</v>
      </c>
      <c r="D806" s="55" t="s">
        <v>9137</v>
      </c>
    </row>
    <row r="807" ht="14.25" customHeight="1">
      <c r="A807" s="55" t="s">
        <v>9097</v>
      </c>
      <c r="B807" s="55" t="s">
        <v>40</v>
      </c>
      <c r="C807" s="55" t="s">
        <v>9138</v>
      </c>
      <c r="D807" s="55" t="s">
        <v>9034</v>
      </c>
    </row>
    <row r="808" ht="14.25" customHeight="1">
      <c r="A808" s="55" t="s">
        <v>9097</v>
      </c>
      <c r="B808" s="55" t="s">
        <v>40</v>
      </c>
      <c r="C808" s="55" t="s">
        <v>9138</v>
      </c>
      <c r="D808" s="55" t="s">
        <v>9073</v>
      </c>
    </row>
    <row r="809" ht="14.25" customHeight="1">
      <c r="A809" s="55" t="s">
        <v>9097</v>
      </c>
      <c r="B809" s="55" t="s">
        <v>40</v>
      </c>
      <c r="C809" s="55" t="s">
        <v>129</v>
      </c>
      <c r="D809" s="55" t="s">
        <v>10665</v>
      </c>
    </row>
    <row r="810" ht="14.25" customHeight="1">
      <c r="A810" s="55" t="s">
        <v>9097</v>
      </c>
      <c r="B810" s="55" t="s">
        <v>40</v>
      </c>
      <c r="C810" s="55" t="s">
        <v>129</v>
      </c>
      <c r="D810" s="55" t="s">
        <v>9073</v>
      </c>
    </row>
    <row r="811" ht="14.25" customHeight="1">
      <c r="A811" s="55" t="s">
        <v>9097</v>
      </c>
      <c r="B811" s="55" t="s">
        <v>40</v>
      </c>
      <c r="C811" s="55" t="s">
        <v>10094</v>
      </c>
      <c r="D811" s="55" t="s">
        <v>9430</v>
      </c>
    </row>
    <row r="812" ht="14.25" customHeight="1">
      <c r="A812" s="55" t="s">
        <v>9097</v>
      </c>
      <c r="B812" s="55" t="s">
        <v>40</v>
      </c>
      <c r="C812" s="55" t="s">
        <v>10094</v>
      </c>
      <c r="D812" s="55" t="s">
        <v>10095</v>
      </c>
    </row>
    <row r="813" ht="14.25" customHeight="1">
      <c r="A813" s="55" t="s">
        <v>9097</v>
      </c>
      <c r="B813" s="55" t="s">
        <v>40</v>
      </c>
      <c r="C813" s="55" t="s">
        <v>10094</v>
      </c>
      <c r="D813" s="55" t="s">
        <v>11949</v>
      </c>
    </row>
    <row r="814" ht="14.25" customHeight="1">
      <c r="A814" s="55" t="s">
        <v>9097</v>
      </c>
      <c r="B814" s="55" t="s">
        <v>40</v>
      </c>
      <c r="C814" s="55" t="s">
        <v>14092</v>
      </c>
      <c r="D814" s="55" t="s">
        <v>13943</v>
      </c>
    </row>
    <row r="815" ht="14.25" customHeight="1">
      <c r="A815" s="55" t="s">
        <v>9097</v>
      </c>
      <c r="B815" s="55" t="s">
        <v>40</v>
      </c>
      <c r="C815" s="55" t="s">
        <v>10096</v>
      </c>
      <c r="D815" s="55" t="s">
        <v>10097</v>
      </c>
    </row>
    <row r="816" ht="14.25" customHeight="1">
      <c r="A816" s="55" t="s">
        <v>9097</v>
      </c>
      <c r="B816" s="55" t="s">
        <v>40</v>
      </c>
      <c r="C816" s="55" t="s">
        <v>9139</v>
      </c>
      <c r="D816" s="55" t="s">
        <v>9073</v>
      </c>
    </row>
    <row r="817" ht="14.25" customHeight="1">
      <c r="A817" s="55" t="s">
        <v>9097</v>
      </c>
      <c r="B817" s="55" t="s">
        <v>40</v>
      </c>
      <c r="C817" s="55" t="s">
        <v>11950</v>
      </c>
      <c r="D817" s="55" t="s">
        <v>9111</v>
      </c>
    </row>
    <row r="818" ht="14.25" customHeight="1">
      <c r="A818" s="55" t="s">
        <v>9097</v>
      </c>
      <c r="B818" s="55" t="s">
        <v>40</v>
      </c>
      <c r="C818" s="55" t="s">
        <v>9140</v>
      </c>
      <c r="D818" s="55" t="s">
        <v>9141</v>
      </c>
    </row>
    <row r="819" ht="14.25" customHeight="1">
      <c r="A819" s="55" t="s">
        <v>9097</v>
      </c>
      <c r="B819" s="55" t="s">
        <v>40</v>
      </c>
      <c r="C819" s="55" t="s">
        <v>13041</v>
      </c>
      <c r="D819" s="55" t="s">
        <v>14093</v>
      </c>
    </row>
    <row r="820" ht="14.25" customHeight="1">
      <c r="A820" s="55" t="s">
        <v>9097</v>
      </c>
      <c r="B820" s="55" t="s">
        <v>40</v>
      </c>
      <c r="C820" s="55" t="s">
        <v>10942</v>
      </c>
      <c r="D820" s="55" t="s">
        <v>13565</v>
      </c>
    </row>
    <row r="821" ht="14.25" customHeight="1">
      <c r="A821" s="55" t="s">
        <v>9097</v>
      </c>
      <c r="B821" s="55" t="s">
        <v>40</v>
      </c>
      <c r="C821" s="55" t="s">
        <v>10942</v>
      </c>
      <c r="D821" s="55" t="s">
        <v>9141</v>
      </c>
    </row>
    <row r="822" ht="14.25" customHeight="1">
      <c r="A822" s="55" t="s">
        <v>9097</v>
      </c>
      <c r="B822" s="55" t="s">
        <v>40</v>
      </c>
      <c r="C822" s="55" t="s">
        <v>14071</v>
      </c>
      <c r="D822" s="55" t="s">
        <v>11409</v>
      </c>
    </row>
    <row r="823" ht="14.25" customHeight="1">
      <c r="A823" s="55" t="s">
        <v>9097</v>
      </c>
      <c r="B823" s="55" t="s">
        <v>40</v>
      </c>
      <c r="C823" s="55" t="s">
        <v>9063</v>
      </c>
      <c r="D823" s="55" t="s">
        <v>9755</v>
      </c>
    </row>
    <row r="824" ht="14.25" customHeight="1">
      <c r="A824" s="55" t="s">
        <v>9097</v>
      </c>
      <c r="B824" s="55" t="s">
        <v>40</v>
      </c>
      <c r="C824" s="55" t="s">
        <v>133</v>
      </c>
      <c r="D824" s="55" t="s">
        <v>9034</v>
      </c>
    </row>
    <row r="825" ht="14.25" customHeight="1">
      <c r="A825" s="55" t="s">
        <v>9097</v>
      </c>
      <c r="B825" s="55" t="s">
        <v>40</v>
      </c>
      <c r="C825" s="55" t="s">
        <v>133</v>
      </c>
      <c r="D825" s="55" t="s">
        <v>9073</v>
      </c>
    </row>
    <row r="826" ht="14.25" customHeight="1">
      <c r="A826" s="55" t="s">
        <v>9097</v>
      </c>
      <c r="B826" s="55" t="s">
        <v>40</v>
      </c>
      <c r="C826" s="55" t="s">
        <v>133</v>
      </c>
      <c r="D826" s="55" t="s">
        <v>11416</v>
      </c>
    </row>
    <row r="827" ht="14.25" customHeight="1">
      <c r="A827" s="55" t="s">
        <v>9097</v>
      </c>
      <c r="B827" s="55" t="s">
        <v>40</v>
      </c>
      <c r="C827" s="55" t="s">
        <v>11951</v>
      </c>
      <c r="D827" s="55" t="s">
        <v>10080</v>
      </c>
    </row>
    <row r="828" ht="14.25" customHeight="1">
      <c r="A828" s="55" t="s">
        <v>9097</v>
      </c>
      <c r="B828" s="55" t="s">
        <v>40</v>
      </c>
      <c r="C828" s="55" t="s">
        <v>3138</v>
      </c>
      <c r="D828" s="55" t="s">
        <v>9142</v>
      </c>
    </row>
    <row r="829" ht="14.25" customHeight="1">
      <c r="A829" s="55" t="s">
        <v>9097</v>
      </c>
      <c r="B829" s="55" t="s">
        <v>40</v>
      </c>
      <c r="C829" s="55" t="s">
        <v>6322</v>
      </c>
      <c r="D829" s="55" t="s">
        <v>13468</v>
      </c>
    </row>
    <row r="830" ht="14.25" customHeight="1">
      <c r="A830" s="55" t="s">
        <v>9097</v>
      </c>
      <c r="B830" s="55" t="s">
        <v>40</v>
      </c>
      <c r="C830" s="55" t="s">
        <v>6322</v>
      </c>
      <c r="D830" s="55" t="s">
        <v>9122</v>
      </c>
    </row>
    <row r="831" ht="14.25" customHeight="1">
      <c r="A831" s="55" t="s">
        <v>9097</v>
      </c>
      <c r="B831" s="55" t="s">
        <v>40</v>
      </c>
      <c r="C831" s="55" t="s">
        <v>6322</v>
      </c>
      <c r="D831" s="55" t="s">
        <v>9073</v>
      </c>
    </row>
    <row r="832" ht="14.25" customHeight="1">
      <c r="A832" s="55" t="s">
        <v>9097</v>
      </c>
      <c r="B832" s="55" t="s">
        <v>40</v>
      </c>
      <c r="C832" s="55" t="s">
        <v>6322</v>
      </c>
      <c r="D832" s="55" t="s">
        <v>11952</v>
      </c>
    </row>
    <row r="833" ht="14.25" customHeight="1">
      <c r="A833" s="55" t="s">
        <v>9097</v>
      </c>
      <c r="B833" s="55" t="s">
        <v>40</v>
      </c>
      <c r="C833" s="55" t="s">
        <v>9303</v>
      </c>
      <c r="D833" s="55" t="s">
        <v>9236</v>
      </c>
    </row>
    <row r="834" ht="14.25" customHeight="1">
      <c r="A834" s="55" t="s">
        <v>9097</v>
      </c>
      <c r="B834" s="55" t="s">
        <v>40</v>
      </c>
      <c r="C834" s="55" t="s">
        <v>13566</v>
      </c>
      <c r="D834" s="55" t="s">
        <v>9649</v>
      </c>
    </row>
    <row r="835" ht="14.25" customHeight="1">
      <c r="A835" s="55" t="s">
        <v>9097</v>
      </c>
      <c r="B835" s="55" t="s">
        <v>40</v>
      </c>
      <c r="C835" s="55" t="s">
        <v>141</v>
      </c>
      <c r="D835" s="55" t="s">
        <v>10098</v>
      </c>
    </row>
    <row r="836" ht="14.25" customHeight="1">
      <c r="A836" s="55" t="s">
        <v>9097</v>
      </c>
      <c r="B836" s="55" t="s">
        <v>40</v>
      </c>
      <c r="C836" s="55" t="s">
        <v>141</v>
      </c>
      <c r="D836" s="55" t="s">
        <v>11953</v>
      </c>
    </row>
    <row r="837" ht="14.25" customHeight="1">
      <c r="A837" s="55" t="s">
        <v>9097</v>
      </c>
      <c r="B837" s="55" t="s">
        <v>40</v>
      </c>
      <c r="C837" s="55" t="s">
        <v>141</v>
      </c>
      <c r="D837" s="55" t="s">
        <v>11417</v>
      </c>
    </row>
    <row r="838" ht="14.25" customHeight="1">
      <c r="A838" s="55" t="s">
        <v>9097</v>
      </c>
      <c r="B838" s="55" t="s">
        <v>40</v>
      </c>
      <c r="C838" s="55" t="s">
        <v>141</v>
      </c>
      <c r="D838" s="55" t="s">
        <v>10666</v>
      </c>
    </row>
    <row r="839" ht="14.25" customHeight="1">
      <c r="A839" s="55" t="s">
        <v>9097</v>
      </c>
      <c r="B839" s="55" t="s">
        <v>40</v>
      </c>
      <c r="C839" s="55" t="s">
        <v>141</v>
      </c>
      <c r="D839" s="55" t="s">
        <v>9753</v>
      </c>
    </row>
    <row r="840" ht="14.25" customHeight="1">
      <c r="A840" s="55" t="s">
        <v>9097</v>
      </c>
      <c r="B840" s="55" t="s">
        <v>40</v>
      </c>
      <c r="C840" s="55" t="s">
        <v>12715</v>
      </c>
      <c r="D840" s="55" t="s">
        <v>9354</v>
      </c>
    </row>
    <row r="841" ht="14.25" customHeight="1">
      <c r="A841" s="55" t="s">
        <v>9097</v>
      </c>
      <c r="B841" s="55" t="s">
        <v>40</v>
      </c>
      <c r="C841" s="55" t="s">
        <v>12715</v>
      </c>
      <c r="D841" s="55" t="s">
        <v>12296</v>
      </c>
    </row>
    <row r="842" ht="14.25" customHeight="1">
      <c r="A842" s="55" t="s">
        <v>9097</v>
      </c>
      <c r="B842" s="55" t="s">
        <v>40</v>
      </c>
      <c r="C842" s="55" t="s">
        <v>9143</v>
      </c>
      <c r="D842" s="55" t="s">
        <v>9144</v>
      </c>
    </row>
    <row r="843" ht="14.25" customHeight="1">
      <c r="A843" s="55" t="s">
        <v>9097</v>
      </c>
      <c r="B843" s="55" t="s">
        <v>40</v>
      </c>
      <c r="C843" s="55" t="s">
        <v>3313</v>
      </c>
      <c r="D843" s="55" t="s">
        <v>9034</v>
      </c>
    </row>
    <row r="844" ht="14.25" customHeight="1">
      <c r="A844" s="55" t="s">
        <v>9097</v>
      </c>
      <c r="B844" s="55" t="s">
        <v>40</v>
      </c>
      <c r="C844" s="55" t="s">
        <v>3313</v>
      </c>
      <c r="D844" s="55" t="s">
        <v>9111</v>
      </c>
    </row>
    <row r="845" ht="14.25" customHeight="1">
      <c r="A845" s="55" t="s">
        <v>9097</v>
      </c>
      <c r="B845" s="55" t="s">
        <v>40</v>
      </c>
      <c r="C845" s="55" t="s">
        <v>3313</v>
      </c>
      <c r="D845" s="55" t="s">
        <v>9151</v>
      </c>
    </row>
    <row r="846" ht="14.25" customHeight="1">
      <c r="A846" s="55" t="s">
        <v>9097</v>
      </c>
      <c r="B846" s="55" t="s">
        <v>40</v>
      </c>
      <c r="C846" s="55" t="s">
        <v>3313</v>
      </c>
      <c r="D846" s="55" t="s">
        <v>11954</v>
      </c>
    </row>
    <row r="847" ht="14.25" customHeight="1">
      <c r="A847" s="55" t="s">
        <v>9097</v>
      </c>
      <c r="B847" s="55" t="s">
        <v>40</v>
      </c>
      <c r="C847" s="55" t="s">
        <v>3313</v>
      </c>
      <c r="D847" s="55" t="s">
        <v>9073</v>
      </c>
    </row>
    <row r="848" ht="14.25" customHeight="1">
      <c r="A848" s="55" t="s">
        <v>9097</v>
      </c>
      <c r="B848" s="55" t="s">
        <v>40</v>
      </c>
      <c r="C848" s="55" t="s">
        <v>3313</v>
      </c>
      <c r="D848" s="55" t="s">
        <v>9055</v>
      </c>
    </row>
    <row r="849" ht="14.25" customHeight="1">
      <c r="A849" s="55" t="s">
        <v>9097</v>
      </c>
      <c r="B849" s="55" t="s">
        <v>40</v>
      </c>
      <c r="C849" s="55" t="s">
        <v>11955</v>
      </c>
      <c r="D849" s="55" t="s">
        <v>11956</v>
      </c>
    </row>
    <row r="850" ht="14.25" customHeight="1">
      <c r="A850" s="55" t="s">
        <v>9097</v>
      </c>
      <c r="B850" s="55" t="s">
        <v>40</v>
      </c>
      <c r="C850" s="55" t="s">
        <v>11957</v>
      </c>
      <c r="D850" s="55" t="s">
        <v>11958</v>
      </c>
    </row>
    <row r="851" ht="14.25" customHeight="1">
      <c r="A851" s="55" t="s">
        <v>9097</v>
      </c>
      <c r="B851" s="55" t="s">
        <v>40</v>
      </c>
      <c r="C851" s="55" t="s">
        <v>12716</v>
      </c>
      <c r="D851" s="55" t="s">
        <v>12717</v>
      </c>
    </row>
    <row r="852" ht="14.25" customHeight="1">
      <c r="A852" s="55" t="s">
        <v>9097</v>
      </c>
      <c r="B852" s="55" t="s">
        <v>40</v>
      </c>
      <c r="C852" s="55" t="s">
        <v>9145</v>
      </c>
      <c r="D852" s="55" t="s">
        <v>9073</v>
      </c>
    </row>
    <row r="853" ht="14.25" customHeight="1">
      <c r="A853" s="55" t="s">
        <v>9097</v>
      </c>
      <c r="B853" s="55" t="s">
        <v>40</v>
      </c>
      <c r="C853" s="55" t="s">
        <v>9145</v>
      </c>
      <c r="D853" s="55" t="s">
        <v>9146</v>
      </c>
    </row>
    <row r="854" ht="14.25" customHeight="1">
      <c r="A854" s="55" t="s">
        <v>9097</v>
      </c>
      <c r="B854" s="55" t="s">
        <v>40</v>
      </c>
      <c r="C854" s="55" t="s">
        <v>9145</v>
      </c>
      <c r="D854" s="55" t="s">
        <v>14094</v>
      </c>
    </row>
    <row r="855" ht="14.25" customHeight="1">
      <c r="A855" s="55" t="s">
        <v>9097</v>
      </c>
      <c r="B855" s="55" t="s">
        <v>40</v>
      </c>
      <c r="C855" s="55" t="s">
        <v>10667</v>
      </c>
      <c r="D855" s="55" t="s">
        <v>9073</v>
      </c>
    </row>
    <row r="856" ht="14.25" customHeight="1">
      <c r="A856" s="55" t="s">
        <v>9097</v>
      </c>
      <c r="B856" s="55" t="s">
        <v>40</v>
      </c>
      <c r="C856" s="55" t="s">
        <v>11418</v>
      </c>
      <c r="D856" s="55" t="s">
        <v>9073</v>
      </c>
    </row>
    <row r="857" ht="14.25" customHeight="1">
      <c r="A857" s="55" t="s">
        <v>9097</v>
      </c>
      <c r="B857" s="55" t="s">
        <v>40</v>
      </c>
      <c r="C857" s="55" t="s">
        <v>9835</v>
      </c>
      <c r="D857" s="55" t="s">
        <v>9071</v>
      </c>
    </row>
    <row r="858" ht="14.25" customHeight="1">
      <c r="A858" s="55" t="s">
        <v>9097</v>
      </c>
      <c r="B858" s="55" t="s">
        <v>40</v>
      </c>
      <c r="C858" s="55" t="s">
        <v>6499</v>
      </c>
      <c r="D858" s="55" t="s">
        <v>12718</v>
      </c>
    </row>
    <row r="859" ht="14.25" customHeight="1">
      <c r="A859" s="55" t="s">
        <v>9097</v>
      </c>
      <c r="B859" s="55" t="s">
        <v>40</v>
      </c>
      <c r="C859" s="55" t="s">
        <v>3405</v>
      </c>
      <c r="D859" s="55" t="s">
        <v>9587</v>
      </c>
    </row>
    <row r="860" ht="14.25" customHeight="1">
      <c r="A860" s="55" t="s">
        <v>9097</v>
      </c>
      <c r="B860" s="55" t="s">
        <v>40</v>
      </c>
      <c r="C860" s="55" t="s">
        <v>3405</v>
      </c>
      <c r="D860" s="55" t="s">
        <v>9073</v>
      </c>
    </row>
    <row r="861" ht="14.25" customHeight="1">
      <c r="A861" s="55" t="s">
        <v>9097</v>
      </c>
      <c r="B861" s="55" t="s">
        <v>40</v>
      </c>
      <c r="C861" s="55" t="s">
        <v>9147</v>
      </c>
      <c r="D861" s="55" t="s">
        <v>9002</v>
      </c>
    </row>
    <row r="862" ht="14.25" customHeight="1">
      <c r="A862" s="55" t="s">
        <v>9097</v>
      </c>
      <c r="B862" s="55" t="s">
        <v>40</v>
      </c>
      <c r="C862" s="55" t="s">
        <v>161</v>
      </c>
      <c r="D862" s="55" t="s">
        <v>14095</v>
      </c>
    </row>
    <row r="863" ht="14.25" customHeight="1">
      <c r="A863" s="55" t="s">
        <v>9097</v>
      </c>
      <c r="B863" s="55" t="s">
        <v>40</v>
      </c>
      <c r="C863" s="55" t="s">
        <v>162</v>
      </c>
      <c r="D863" s="55" t="s">
        <v>11416</v>
      </c>
    </row>
    <row r="864" ht="14.25" customHeight="1">
      <c r="A864" s="55" t="s">
        <v>9097</v>
      </c>
      <c r="B864" s="55" t="s">
        <v>40</v>
      </c>
      <c r="C864" s="55" t="s">
        <v>12061</v>
      </c>
      <c r="D864" s="55" t="s">
        <v>8978</v>
      </c>
    </row>
    <row r="865" ht="14.25" customHeight="1">
      <c r="A865" s="55" t="s">
        <v>9097</v>
      </c>
      <c r="B865" s="55" t="s">
        <v>40</v>
      </c>
      <c r="C865" s="55" t="s">
        <v>6538</v>
      </c>
      <c r="D865" s="55" t="s">
        <v>11959</v>
      </c>
    </row>
    <row r="866" ht="14.25" customHeight="1">
      <c r="A866" s="55" t="s">
        <v>9097</v>
      </c>
      <c r="B866" s="55" t="s">
        <v>40</v>
      </c>
      <c r="C866" s="55" t="s">
        <v>3466</v>
      </c>
      <c r="D866" s="55" t="s">
        <v>9073</v>
      </c>
    </row>
    <row r="867" ht="14.25" customHeight="1">
      <c r="A867" s="55" t="s">
        <v>9097</v>
      </c>
      <c r="B867" s="55" t="s">
        <v>40</v>
      </c>
      <c r="C867" s="55" t="s">
        <v>14096</v>
      </c>
      <c r="D867" s="55" t="s">
        <v>10099</v>
      </c>
    </row>
    <row r="868" ht="14.25" customHeight="1">
      <c r="A868" s="55" t="s">
        <v>9097</v>
      </c>
      <c r="B868" s="55" t="s">
        <v>40</v>
      </c>
      <c r="C868" s="55" t="s">
        <v>166</v>
      </c>
      <c r="D868" s="55" t="s">
        <v>14097</v>
      </c>
    </row>
    <row r="869" ht="14.25" customHeight="1">
      <c r="A869" s="55" t="s">
        <v>9097</v>
      </c>
      <c r="B869" s="55" t="s">
        <v>40</v>
      </c>
      <c r="C869" s="55" t="s">
        <v>166</v>
      </c>
      <c r="D869" s="55" t="s">
        <v>9151</v>
      </c>
    </row>
    <row r="870" ht="14.25" customHeight="1">
      <c r="A870" s="55" t="s">
        <v>9097</v>
      </c>
      <c r="B870" s="55" t="s">
        <v>40</v>
      </c>
      <c r="C870" s="55" t="s">
        <v>166</v>
      </c>
      <c r="D870" s="55" t="s">
        <v>11960</v>
      </c>
    </row>
    <row r="871" ht="14.25" customHeight="1">
      <c r="A871" s="55" t="s">
        <v>9097</v>
      </c>
      <c r="B871" s="55" t="s">
        <v>40</v>
      </c>
      <c r="C871" s="55" t="s">
        <v>166</v>
      </c>
      <c r="D871" s="55" t="s">
        <v>9073</v>
      </c>
    </row>
    <row r="872" ht="14.25" customHeight="1">
      <c r="A872" s="55" t="s">
        <v>9097</v>
      </c>
      <c r="B872" s="55" t="s">
        <v>40</v>
      </c>
      <c r="C872" s="55" t="s">
        <v>3499</v>
      </c>
      <c r="D872" s="55" t="s">
        <v>9034</v>
      </c>
    </row>
    <row r="873" ht="14.25" customHeight="1">
      <c r="A873" s="55" t="s">
        <v>9097</v>
      </c>
      <c r="B873" s="55" t="s">
        <v>40</v>
      </c>
      <c r="C873" s="55" t="s">
        <v>3499</v>
      </c>
      <c r="D873" s="55" t="s">
        <v>10668</v>
      </c>
    </row>
    <row r="874" ht="14.25" customHeight="1">
      <c r="A874" s="55" t="s">
        <v>9097</v>
      </c>
      <c r="B874" s="55" t="s">
        <v>40</v>
      </c>
      <c r="C874" s="55" t="s">
        <v>3499</v>
      </c>
      <c r="D874" s="55" t="s">
        <v>9216</v>
      </c>
    </row>
    <row r="875" ht="14.25" customHeight="1">
      <c r="A875" s="55" t="s">
        <v>9097</v>
      </c>
      <c r="B875" s="55" t="s">
        <v>40</v>
      </c>
      <c r="C875" s="55" t="s">
        <v>9882</v>
      </c>
      <c r="D875" s="55" t="s">
        <v>9073</v>
      </c>
    </row>
    <row r="876" ht="14.25" customHeight="1">
      <c r="A876" s="55" t="s">
        <v>9097</v>
      </c>
      <c r="B876" s="55" t="s">
        <v>40</v>
      </c>
      <c r="C876" s="55" t="s">
        <v>9882</v>
      </c>
      <c r="D876" s="55" t="s">
        <v>10099</v>
      </c>
    </row>
    <row r="877" ht="14.25" customHeight="1">
      <c r="A877" s="55" t="s">
        <v>9097</v>
      </c>
      <c r="B877" s="55" t="s">
        <v>40</v>
      </c>
      <c r="C877" s="55" t="s">
        <v>9882</v>
      </c>
      <c r="D877" s="55" t="s">
        <v>9216</v>
      </c>
    </row>
    <row r="878" ht="14.25" customHeight="1">
      <c r="A878" s="55" t="s">
        <v>9097</v>
      </c>
      <c r="B878" s="55" t="s">
        <v>40</v>
      </c>
      <c r="C878" s="55" t="s">
        <v>3509</v>
      </c>
      <c r="D878" s="55" t="s">
        <v>9034</v>
      </c>
    </row>
    <row r="879" ht="14.25" customHeight="1">
      <c r="A879" s="55" t="s">
        <v>9097</v>
      </c>
      <c r="B879" s="55" t="s">
        <v>40</v>
      </c>
      <c r="C879" s="55" t="s">
        <v>3509</v>
      </c>
      <c r="D879" s="55" t="s">
        <v>9073</v>
      </c>
    </row>
    <row r="880" ht="14.25" customHeight="1">
      <c r="A880" s="55" t="s">
        <v>9097</v>
      </c>
      <c r="B880" s="55" t="s">
        <v>40</v>
      </c>
      <c r="C880" s="55" t="s">
        <v>3509</v>
      </c>
      <c r="D880" s="55" t="s">
        <v>11419</v>
      </c>
    </row>
    <row r="881" ht="14.25" customHeight="1">
      <c r="A881" s="55" t="s">
        <v>9097</v>
      </c>
      <c r="B881" s="55" t="s">
        <v>40</v>
      </c>
      <c r="C881" s="55" t="s">
        <v>3509</v>
      </c>
      <c r="D881" s="55" t="s">
        <v>11961</v>
      </c>
    </row>
    <row r="882" ht="14.25" customHeight="1">
      <c r="A882" s="55" t="s">
        <v>9097</v>
      </c>
      <c r="B882" s="55" t="s">
        <v>40</v>
      </c>
      <c r="C882" s="55" t="s">
        <v>9148</v>
      </c>
      <c r="D882" s="55" t="s">
        <v>9034</v>
      </c>
    </row>
    <row r="883" ht="14.25" customHeight="1">
      <c r="A883" s="55" t="s">
        <v>9097</v>
      </c>
      <c r="B883" s="55" t="s">
        <v>40</v>
      </c>
      <c r="C883" s="55" t="s">
        <v>9148</v>
      </c>
      <c r="D883" s="55" t="s">
        <v>9149</v>
      </c>
    </row>
    <row r="884" ht="14.25" customHeight="1">
      <c r="A884" s="55" t="s">
        <v>9097</v>
      </c>
      <c r="B884" s="55" t="s">
        <v>40</v>
      </c>
      <c r="C884" s="55" t="s">
        <v>10100</v>
      </c>
      <c r="D884" s="55" t="s">
        <v>9073</v>
      </c>
    </row>
    <row r="885" ht="14.25" customHeight="1">
      <c r="A885" s="55" t="s">
        <v>9097</v>
      </c>
      <c r="B885" s="55" t="s">
        <v>40</v>
      </c>
      <c r="C885" s="55" t="s">
        <v>12719</v>
      </c>
      <c r="D885" s="55" t="s">
        <v>9073</v>
      </c>
    </row>
    <row r="886" ht="14.25" customHeight="1">
      <c r="A886" s="55" t="s">
        <v>9097</v>
      </c>
      <c r="B886" s="55" t="s">
        <v>40</v>
      </c>
      <c r="C886" s="55" t="s">
        <v>12720</v>
      </c>
      <c r="D886" s="55" t="s">
        <v>9073</v>
      </c>
    </row>
    <row r="887" ht="14.25" customHeight="1">
      <c r="A887" s="55" t="s">
        <v>9097</v>
      </c>
      <c r="B887" s="55" t="s">
        <v>40</v>
      </c>
      <c r="C887" s="55" t="s">
        <v>12721</v>
      </c>
      <c r="D887" s="55" t="s">
        <v>9073</v>
      </c>
    </row>
    <row r="888" ht="14.25" customHeight="1">
      <c r="A888" s="55" t="s">
        <v>9097</v>
      </c>
      <c r="B888" s="55" t="s">
        <v>40</v>
      </c>
      <c r="C888" s="55" t="s">
        <v>14098</v>
      </c>
      <c r="D888" s="55" t="s">
        <v>9073</v>
      </c>
    </row>
    <row r="889" ht="14.25" customHeight="1">
      <c r="A889" s="55" t="s">
        <v>9097</v>
      </c>
      <c r="B889" s="55" t="s">
        <v>40</v>
      </c>
      <c r="C889" s="55" t="s">
        <v>9150</v>
      </c>
      <c r="D889" s="55" t="s">
        <v>9151</v>
      </c>
    </row>
    <row r="890" ht="14.25" customHeight="1">
      <c r="A890" s="55" t="s">
        <v>9097</v>
      </c>
      <c r="B890" s="55" t="s">
        <v>40</v>
      </c>
      <c r="C890" s="55" t="s">
        <v>178</v>
      </c>
      <c r="D890" s="55" t="s">
        <v>9034</v>
      </c>
    </row>
    <row r="891" ht="14.25" customHeight="1">
      <c r="A891" s="55" t="s">
        <v>9097</v>
      </c>
      <c r="B891" s="55" t="s">
        <v>40</v>
      </c>
      <c r="C891" s="55" t="s">
        <v>6632</v>
      </c>
      <c r="D891" s="55" t="s">
        <v>11962</v>
      </c>
    </row>
    <row r="892" ht="14.25" customHeight="1">
      <c r="A892" s="55" t="s">
        <v>9097</v>
      </c>
      <c r="B892" s="55" t="s">
        <v>40</v>
      </c>
      <c r="C892" s="55" t="s">
        <v>3566</v>
      </c>
      <c r="D892" s="55" t="s">
        <v>9825</v>
      </c>
    </row>
    <row r="893" ht="14.25" customHeight="1">
      <c r="A893" s="55" t="s">
        <v>9097</v>
      </c>
      <c r="B893" s="55" t="s">
        <v>40</v>
      </c>
      <c r="C893" s="55" t="s">
        <v>3596</v>
      </c>
      <c r="D893" s="55" t="s">
        <v>9034</v>
      </c>
    </row>
    <row r="894" ht="14.25" customHeight="1">
      <c r="A894" s="55" t="s">
        <v>9097</v>
      </c>
      <c r="B894" s="55" t="s">
        <v>40</v>
      </c>
      <c r="C894" s="55" t="s">
        <v>3603</v>
      </c>
      <c r="D894" s="55" t="s">
        <v>9124</v>
      </c>
    </row>
    <row r="895" ht="14.25" customHeight="1">
      <c r="A895" s="55" t="s">
        <v>9097</v>
      </c>
      <c r="B895" s="55" t="s">
        <v>40</v>
      </c>
      <c r="C895" s="55" t="s">
        <v>3603</v>
      </c>
      <c r="D895" s="55" t="s">
        <v>9055</v>
      </c>
    </row>
    <row r="896" ht="14.25" customHeight="1">
      <c r="A896" s="55" t="s">
        <v>9097</v>
      </c>
      <c r="B896" s="55" t="s">
        <v>40</v>
      </c>
      <c r="C896" s="55" t="s">
        <v>11963</v>
      </c>
      <c r="D896" s="55" t="s">
        <v>9073</v>
      </c>
    </row>
    <row r="897" ht="14.25" customHeight="1">
      <c r="A897" s="55" t="s">
        <v>9097</v>
      </c>
      <c r="B897" s="55" t="s">
        <v>40</v>
      </c>
      <c r="C897" s="55" t="s">
        <v>9088</v>
      </c>
      <c r="D897" s="55" t="s">
        <v>9096</v>
      </c>
    </row>
    <row r="898" ht="14.25" customHeight="1">
      <c r="A898" s="55" t="s">
        <v>9097</v>
      </c>
      <c r="B898" s="55" t="s">
        <v>40</v>
      </c>
      <c r="C898" s="55" t="s">
        <v>10498</v>
      </c>
      <c r="D898" s="55" t="s">
        <v>9109</v>
      </c>
    </row>
    <row r="899" ht="14.25" customHeight="1">
      <c r="A899" s="55" t="s">
        <v>9097</v>
      </c>
      <c r="B899" s="55" t="s">
        <v>40</v>
      </c>
      <c r="C899" s="55" t="s">
        <v>184</v>
      </c>
      <c r="D899" s="55" t="s">
        <v>14099</v>
      </c>
    </row>
    <row r="900" ht="14.25" customHeight="1">
      <c r="A900" s="55" t="s">
        <v>9097</v>
      </c>
      <c r="B900" s="55" t="s">
        <v>40</v>
      </c>
      <c r="C900" s="55" t="s">
        <v>184</v>
      </c>
      <c r="D900" s="55" t="s">
        <v>9109</v>
      </c>
    </row>
    <row r="901" ht="14.25" customHeight="1">
      <c r="A901" s="55" t="s">
        <v>9097</v>
      </c>
      <c r="B901" s="55" t="s">
        <v>40</v>
      </c>
      <c r="C901" s="55" t="s">
        <v>184</v>
      </c>
      <c r="D901" s="55" t="s">
        <v>8968</v>
      </c>
    </row>
    <row r="902" ht="14.25" customHeight="1">
      <c r="A902" s="55" t="s">
        <v>9097</v>
      </c>
      <c r="B902" s="55" t="s">
        <v>40</v>
      </c>
      <c r="C902" s="55" t="s">
        <v>184</v>
      </c>
      <c r="D902" s="55" t="s">
        <v>9073</v>
      </c>
    </row>
    <row r="903" ht="14.25" customHeight="1">
      <c r="A903" s="55" t="s">
        <v>9097</v>
      </c>
      <c r="B903" s="55" t="s">
        <v>40</v>
      </c>
      <c r="C903" s="55" t="s">
        <v>184</v>
      </c>
      <c r="D903" s="55" t="s">
        <v>9002</v>
      </c>
    </row>
    <row r="904" ht="14.25" customHeight="1">
      <c r="A904" s="55" t="s">
        <v>9097</v>
      </c>
      <c r="B904" s="55" t="s">
        <v>40</v>
      </c>
      <c r="C904" s="55" t="s">
        <v>10101</v>
      </c>
      <c r="D904" s="55" t="s">
        <v>9073</v>
      </c>
    </row>
    <row r="905" ht="14.25" customHeight="1">
      <c r="A905" s="55" t="s">
        <v>9097</v>
      </c>
      <c r="B905" s="55" t="s">
        <v>40</v>
      </c>
      <c r="C905" s="55" t="s">
        <v>10101</v>
      </c>
      <c r="D905" s="55" t="s">
        <v>10102</v>
      </c>
    </row>
    <row r="906" ht="14.25" customHeight="1">
      <c r="A906" s="55" t="s">
        <v>9097</v>
      </c>
      <c r="B906" s="55" t="s">
        <v>40</v>
      </c>
      <c r="C906" s="55" t="s">
        <v>9890</v>
      </c>
      <c r="D906" s="55" t="s">
        <v>13567</v>
      </c>
    </row>
    <row r="907" ht="14.25" customHeight="1">
      <c r="A907" s="55" t="s">
        <v>9097</v>
      </c>
      <c r="B907" s="55" t="s">
        <v>40</v>
      </c>
      <c r="C907" s="55" t="s">
        <v>191</v>
      </c>
      <c r="D907" s="55" t="s">
        <v>13567</v>
      </c>
    </row>
    <row r="908" ht="14.25" customHeight="1">
      <c r="A908" s="55" t="s">
        <v>9097</v>
      </c>
      <c r="B908" s="55" t="s">
        <v>40</v>
      </c>
      <c r="C908" s="55" t="s">
        <v>13568</v>
      </c>
      <c r="D908" s="55" t="s">
        <v>12378</v>
      </c>
    </row>
    <row r="909" ht="14.25" customHeight="1">
      <c r="A909" s="55" t="s">
        <v>9097</v>
      </c>
      <c r="B909" s="55" t="s">
        <v>40</v>
      </c>
      <c r="C909" s="55" t="s">
        <v>12722</v>
      </c>
      <c r="D909" s="55" t="s">
        <v>9073</v>
      </c>
    </row>
    <row r="910" ht="14.25" customHeight="1">
      <c r="A910" s="55" t="s">
        <v>9097</v>
      </c>
      <c r="B910" s="55" t="s">
        <v>40</v>
      </c>
      <c r="C910" s="55" t="s">
        <v>193</v>
      </c>
      <c r="D910" s="55" t="s">
        <v>9152</v>
      </c>
    </row>
    <row r="911" ht="14.25" customHeight="1">
      <c r="A911" s="55" t="s">
        <v>9097</v>
      </c>
      <c r="B911" s="55" t="s">
        <v>40</v>
      </c>
      <c r="C911" s="55" t="s">
        <v>10669</v>
      </c>
      <c r="D911" s="55" t="s">
        <v>9034</v>
      </c>
    </row>
    <row r="912" ht="14.25" customHeight="1">
      <c r="A912" s="55" t="s">
        <v>9097</v>
      </c>
      <c r="B912" s="55" t="s">
        <v>40</v>
      </c>
      <c r="C912" s="55" t="s">
        <v>9577</v>
      </c>
      <c r="D912" s="55" t="s">
        <v>9578</v>
      </c>
    </row>
    <row r="913" ht="14.25" customHeight="1">
      <c r="A913" s="55" t="s">
        <v>9097</v>
      </c>
      <c r="B913" s="55" t="s">
        <v>40</v>
      </c>
      <c r="C913" s="55" t="s">
        <v>12723</v>
      </c>
      <c r="D913" s="55" t="s">
        <v>9249</v>
      </c>
    </row>
    <row r="914" ht="14.25" customHeight="1">
      <c r="A914" s="55" t="s">
        <v>9097</v>
      </c>
      <c r="B914" s="55" t="s">
        <v>40</v>
      </c>
      <c r="C914" s="55" t="s">
        <v>6732</v>
      </c>
      <c r="D914" s="55" t="s">
        <v>9152</v>
      </c>
    </row>
    <row r="915" ht="14.25" customHeight="1">
      <c r="A915" s="55" t="s">
        <v>9097</v>
      </c>
      <c r="B915" s="55" t="s">
        <v>40</v>
      </c>
      <c r="C915" s="55" t="s">
        <v>9505</v>
      </c>
      <c r="D915" s="55" t="s">
        <v>11568</v>
      </c>
    </row>
    <row r="916" ht="14.25" customHeight="1">
      <c r="A916" s="55" t="s">
        <v>9097</v>
      </c>
      <c r="B916" s="55" t="s">
        <v>40</v>
      </c>
      <c r="C916" s="55" t="s">
        <v>9505</v>
      </c>
      <c r="D916" s="55" t="s">
        <v>11964</v>
      </c>
    </row>
    <row r="917" ht="14.25" customHeight="1">
      <c r="A917" s="55" t="s">
        <v>9097</v>
      </c>
      <c r="B917" s="55" t="s">
        <v>40</v>
      </c>
      <c r="C917" s="55" t="s">
        <v>9505</v>
      </c>
      <c r="D917" s="55" t="s">
        <v>9073</v>
      </c>
    </row>
    <row r="918" ht="14.25" customHeight="1">
      <c r="A918" s="55" t="s">
        <v>9097</v>
      </c>
      <c r="B918" s="55" t="s">
        <v>40</v>
      </c>
      <c r="C918" s="55" t="s">
        <v>9153</v>
      </c>
      <c r="D918" s="55" t="s">
        <v>9154</v>
      </c>
    </row>
    <row r="919" ht="14.25" customHeight="1">
      <c r="A919" s="55" t="s">
        <v>9097</v>
      </c>
      <c r="B919" s="55" t="s">
        <v>40</v>
      </c>
      <c r="C919" s="55" t="s">
        <v>204</v>
      </c>
      <c r="D919" s="55" t="s">
        <v>9111</v>
      </c>
    </row>
    <row r="920" ht="14.25" customHeight="1">
      <c r="A920" s="55" t="s">
        <v>9097</v>
      </c>
      <c r="B920" s="55" t="s">
        <v>40</v>
      </c>
      <c r="C920" s="55" t="s">
        <v>204</v>
      </c>
      <c r="D920" s="55" t="s">
        <v>9151</v>
      </c>
    </row>
    <row r="921" ht="14.25" customHeight="1">
      <c r="A921" s="55" t="s">
        <v>9097</v>
      </c>
      <c r="B921" s="55" t="s">
        <v>40</v>
      </c>
      <c r="C921" s="55" t="s">
        <v>11312</v>
      </c>
      <c r="D921" s="55" t="s">
        <v>9151</v>
      </c>
    </row>
    <row r="922" ht="14.25" customHeight="1">
      <c r="A922" s="55" t="s">
        <v>9097</v>
      </c>
      <c r="B922" s="55" t="s">
        <v>40</v>
      </c>
      <c r="C922" s="55" t="s">
        <v>11420</v>
      </c>
      <c r="D922" s="55" t="s">
        <v>9071</v>
      </c>
    </row>
    <row r="923" ht="14.25" customHeight="1">
      <c r="A923" s="55" t="s">
        <v>9097</v>
      </c>
      <c r="B923" s="55" t="s">
        <v>40</v>
      </c>
      <c r="C923" s="55" t="s">
        <v>315</v>
      </c>
      <c r="D923" s="55" t="s">
        <v>9002</v>
      </c>
    </row>
    <row r="924" ht="14.25" customHeight="1">
      <c r="A924" s="55" t="s">
        <v>9097</v>
      </c>
      <c r="B924" s="55" t="s">
        <v>40</v>
      </c>
      <c r="C924" s="55" t="s">
        <v>315</v>
      </c>
      <c r="D924" s="55" t="s">
        <v>9075</v>
      </c>
    </row>
    <row r="925" ht="14.25" customHeight="1">
      <c r="A925" s="55" t="s">
        <v>9097</v>
      </c>
      <c r="B925" s="55" t="s">
        <v>40</v>
      </c>
      <c r="C925" s="55" t="s">
        <v>10103</v>
      </c>
      <c r="D925" s="55" t="s">
        <v>10104</v>
      </c>
    </row>
    <row r="926" ht="14.25" customHeight="1">
      <c r="A926" s="55" t="s">
        <v>9097</v>
      </c>
      <c r="B926" s="55" t="s">
        <v>40</v>
      </c>
      <c r="C926" s="55" t="s">
        <v>14100</v>
      </c>
      <c r="D926" s="55" t="s">
        <v>9073</v>
      </c>
    </row>
    <row r="927" ht="14.25" customHeight="1">
      <c r="A927" s="55" t="s">
        <v>9097</v>
      </c>
      <c r="B927" s="55" t="s">
        <v>40</v>
      </c>
      <c r="C927" s="55" t="s">
        <v>10670</v>
      </c>
      <c r="D927" s="55" t="s">
        <v>10671</v>
      </c>
    </row>
    <row r="928" ht="14.25" customHeight="1">
      <c r="A928" s="55" t="s">
        <v>9097</v>
      </c>
      <c r="B928" s="55" t="s">
        <v>40</v>
      </c>
      <c r="C928" s="55" t="s">
        <v>11965</v>
      </c>
      <c r="D928" s="55" t="s">
        <v>9073</v>
      </c>
    </row>
    <row r="929" ht="14.25" customHeight="1">
      <c r="A929" s="55" t="s">
        <v>9097</v>
      </c>
      <c r="B929" s="55" t="s">
        <v>40</v>
      </c>
      <c r="C929" s="55" t="s">
        <v>10105</v>
      </c>
      <c r="D929" s="55" t="s">
        <v>9111</v>
      </c>
    </row>
    <row r="930" ht="14.25" customHeight="1">
      <c r="A930" s="55" t="s">
        <v>9097</v>
      </c>
      <c r="B930" s="55" t="s">
        <v>40</v>
      </c>
      <c r="C930" s="55" t="s">
        <v>11421</v>
      </c>
      <c r="D930" s="55" t="s">
        <v>9073</v>
      </c>
    </row>
    <row r="931" ht="14.25" customHeight="1">
      <c r="A931" s="55" t="s">
        <v>9097</v>
      </c>
      <c r="B931" s="55" t="s">
        <v>40</v>
      </c>
      <c r="C931" s="55" t="s">
        <v>10672</v>
      </c>
      <c r="D931" s="55" t="s">
        <v>9034</v>
      </c>
    </row>
    <row r="932" ht="14.25" customHeight="1">
      <c r="A932" s="55" t="s">
        <v>9097</v>
      </c>
      <c r="B932" s="55" t="s">
        <v>40</v>
      </c>
      <c r="C932" s="55" t="s">
        <v>10673</v>
      </c>
      <c r="D932" s="55" t="s">
        <v>9034</v>
      </c>
    </row>
    <row r="933" ht="14.25" customHeight="1">
      <c r="A933" s="55" t="s">
        <v>9097</v>
      </c>
      <c r="B933" s="55" t="s">
        <v>40</v>
      </c>
      <c r="C933" s="55" t="s">
        <v>10673</v>
      </c>
      <c r="D933" s="55" t="s">
        <v>13312</v>
      </c>
    </row>
    <row r="934" ht="14.25" customHeight="1">
      <c r="A934" s="55" t="s">
        <v>9097</v>
      </c>
      <c r="B934" s="55" t="s">
        <v>40</v>
      </c>
      <c r="C934" s="55" t="s">
        <v>10673</v>
      </c>
      <c r="D934" s="55" t="s">
        <v>9883</v>
      </c>
    </row>
    <row r="935" ht="14.25" customHeight="1">
      <c r="A935" s="55" t="s">
        <v>9097</v>
      </c>
      <c r="B935" s="55" t="s">
        <v>40</v>
      </c>
      <c r="C935" s="55" t="s">
        <v>11966</v>
      </c>
      <c r="D935" s="55" t="s">
        <v>9073</v>
      </c>
    </row>
    <row r="936" ht="14.25" customHeight="1">
      <c r="A936" s="55" t="s">
        <v>9097</v>
      </c>
      <c r="B936" s="55" t="s">
        <v>40</v>
      </c>
      <c r="C936" s="55" t="s">
        <v>3810</v>
      </c>
      <c r="D936" s="55" t="s">
        <v>9071</v>
      </c>
    </row>
    <row r="937" ht="14.25" customHeight="1">
      <c r="A937" s="55" t="s">
        <v>9097</v>
      </c>
      <c r="B937" s="55" t="s">
        <v>40</v>
      </c>
      <c r="C937" s="55" t="s">
        <v>3814</v>
      </c>
      <c r="D937" s="55" t="s">
        <v>9111</v>
      </c>
    </row>
    <row r="938" ht="14.25" customHeight="1">
      <c r="A938" s="55" t="s">
        <v>9097</v>
      </c>
      <c r="B938" s="55" t="s">
        <v>40</v>
      </c>
      <c r="C938" s="55" t="s">
        <v>3814</v>
      </c>
      <c r="D938" s="55" t="s">
        <v>9051</v>
      </c>
    </row>
    <row r="939" ht="14.25" customHeight="1">
      <c r="A939" s="55" t="s">
        <v>9097</v>
      </c>
      <c r="B939" s="55" t="s">
        <v>40</v>
      </c>
      <c r="C939" s="55" t="s">
        <v>3814</v>
      </c>
      <c r="D939" s="55" t="s">
        <v>9073</v>
      </c>
    </row>
    <row r="940" ht="14.25" customHeight="1">
      <c r="A940" s="55" t="s">
        <v>9097</v>
      </c>
      <c r="B940" s="55" t="s">
        <v>40</v>
      </c>
      <c r="C940" s="55" t="s">
        <v>3814</v>
      </c>
      <c r="D940" s="55" t="s">
        <v>9002</v>
      </c>
    </row>
    <row r="941" ht="14.25" customHeight="1">
      <c r="A941" s="55" t="s">
        <v>9097</v>
      </c>
      <c r="B941" s="55" t="s">
        <v>40</v>
      </c>
      <c r="C941" s="55" t="s">
        <v>3814</v>
      </c>
      <c r="D941" s="55" t="s">
        <v>9155</v>
      </c>
    </row>
    <row r="942" ht="14.25" customHeight="1">
      <c r="A942" s="55" t="s">
        <v>9097</v>
      </c>
      <c r="B942" s="55" t="s">
        <v>40</v>
      </c>
      <c r="C942" s="55" t="s">
        <v>3814</v>
      </c>
      <c r="D942" s="55" t="s">
        <v>9075</v>
      </c>
    </row>
    <row r="943" ht="14.25" customHeight="1">
      <c r="A943" s="55" t="s">
        <v>9097</v>
      </c>
      <c r="B943" s="55" t="s">
        <v>40</v>
      </c>
      <c r="C943" s="55" t="s">
        <v>3814</v>
      </c>
      <c r="D943" s="55" t="s">
        <v>9112</v>
      </c>
    </row>
    <row r="944" ht="14.25" customHeight="1">
      <c r="A944" s="55" t="s">
        <v>9097</v>
      </c>
      <c r="B944" s="55" t="s">
        <v>40</v>
      </c>
      <c r="C944" s="55" t="s">
        <v>3821</v>
      </c>
      <c r="D944" s="55" t="s">
        <v>11422</v>
      </c>
    </row>
    <row r="945" ht="14.25" customHeight="1">
      <c r="A945" s="55" t="s">
        <v>9097</v>
      </c>
      <c r="B945" s="55" t="s">
        <v>40</v>
      </c>
      <c r="C945" s="55" t="s">
        <v>3821</v>
      </c>
      <c r="D945" s="55" t="s">
        <v>9073</v>
      </c>
    </row>
    <row r="946" ht="14.25" customHeight="1">
      <c r="A946" s="55" t="s">
        <v>9097</v>
      </c>
      <c r="B946" s="55" t="s">
        <v>40</v>
      </c>
      <c r="C946" s="55" t="s">
        <v>220</v>
      </c>
      <c r="D946" s="55" t="s">
        <v>9034</v>
      </c>
    </row>
    <row r="947" ht="14.25" customHeight="1">
      <c r="A947" s="55" t="s">
        <v>9097</v>
      </c>
      <c r="B947" s="55" t="s">
        <v>40</v>
      </c>
      <c r="C947" s="55" t="s">
        <v>220</v>
      </c>
      <c r="D947" s="55" t="s">
        <v>11967</v>
      </c>
    </row>
    <row r="948" ht="14.25" customHeight="1">
      <c r="A948" s="55" t="s">
        <v>9097</v>
      </c>
      <c r="B948" s="55" t="s">
        <v>40</v>
      </c>
      <c r="C948" s="55" t="s">
        <v>220</v>
      </c>
      <c r="D948" s="55" t="s">
        <v>9962</v>
      </c>
    </row>
    <row r="949" ht="14.25" customHeight="1">
      <c r="A949" s="55" t="s">
        <v>9097</v>
      </c>
      <c r="B949" s="55" t="s">
        <v>40</v>
      </c>
      <c r="C949" s="55" t="s">
        <v>220</v>
      </c>
      <c r="D949" s="55" t="s">
        <v>9073</v>
      </c>
    </row>
    <row r="950" ht="14.25" customHeight="1">
      <c r="A950" s="55" t="s">
        <v>9097</v>
      </c>
      <c r="B950" s="55" t="s">
        <v>40</v>
      </c>
      <c r="C950" s="55" t="s">
        <v>220</v>
      </c>
      <c r="D950" s="55" t="s">
        <v>9141</v>
      </c>
    </row>
    <row r="951" ht="14.25" customHeight="1">
      <c r="A951" s="55" t="s">
        <v>9097</v>
      </c>
      <c r="B951" s="55" t="s">
        <v>40</v>
      </c>
      <c r="C951" s="55" t="s">
        <v>220</v>
      </c>
      <c r="D951" s="55" t="s">
        <v>9731</v>
      </c>
    </row>
    <row r="952" ht="14.25" customHeight="1">
      <c r="A952" s="55" t="s">
        <v>9097</v>
      </c>
      <c r="B952" s="55" t="s">
        <v>40</v>
      </c>
      <c r="C952" s="55" t="s">
        <v>220</v>
      </c>
      <c r="D952" s="55" t="s">
        <v>13569</v>
      </c>
    </row>
    <row r="953" ht="14.25" customHeight="1">
      <c r="A953" s="55" t="s">
        <v>9097</v>
      </c>
      <c r="B953" s="55" t="s">
        <v>40</v>
      </c>
      <c r="C953" s="55" t="s">
        <v>9283</v>
      </c>
      <c r="D953" s="55" t="s">
        <v>9141</v>
      </c>
    </row>
    <row r="954" ht="14.25" customHeight="1">
      <c r="A954" s="55" t="s">
        <v>9097</v>
      </c>
      <c r="B954" s="55" t="s">
        <v>40</v>
      </c>
      <c r="C954" s="55" t="s">
        <v>9283</v>
      </c>
      <c r="D954" s="55" t="s">
        <v>10430</v>
      </c>
    </row>
    <row r="955" ht="14.25" customHeight="1">
      <c r="A955" s="55" t="s">
        <v>9097</v>
      </c>
      <c r="B955" s="55" t="s">
        <v>40</v>
      </c>
      <c r="C955" s="55" t="s">
        <v>10674</v>
      </c>
      <c r="D955" s="55" t="s">
        <v>8968</v>
      </c>
    </row>
    <row r="956" ht="14.25" customHeight="1">
      <c r="A956" s="55" t="s">
        <v>9097</v>
      </c>
      <c r="B956" s="55" t="s">
        <v>40</v>
      </c>
      <c r="C956" s="55" t="s">
        <v>10990</v>
      </c>
      <c r="D956" s="55" t="s">
        <v>9073</v>
      </c>
    </row>
    <row r="957" ht="14.25" customHeight="1">
      <c r="A957" s="55" t="s">
        <v>9097</v>
      </c>
      <c r="B957" s="55" t="s">
        <v>40</v>
      </c>
      <c r="C957" s="55" t="s">
        <v>3900</v>
      </c>
      <c r="D957" s="55" t="s">
        <v>9055</v>
      </c>
    </row>
    <row r="958" ht="14.25" customHeight="1">
      <c r="A958" s="55" t="s">
        <v>9097</v>
      </c>
      <c r="B958" s="55" t="s">
        <v>40</v>
      </c>
      <c r="C958" s="55" t="s">
        <v>13570</v>
      </c>
      <c r="D958" s="55" t="s">
        <v>8968</v>
      </c>
    </row>
    <row r="959" ht="14.25" customHeight="1">
      <c r="A959" s="55" t="s">
        <v>9097</v>
      </c>
      <c r="B959" s="55" t="s">
        <v>40</v>
      </c>
      <c r="C959" s="55" t="s">
        <v>13570</v>
      </c>
      <c r="D959" s="55" t="s">
        <v>389</v>
      </c>
    </row>
    <row r="960" ht="14.25" customHeight="1">
      <c r="A960" s="55" t="s">
        <v>9097</v>
      </c>
      <c r="B960" s="55" t="s">
        <v>40</v>
      </c>
      <c r="C960" s="55" t="s">
        <v>9156</v>
      </c>
      <c r="D960" s="55" t="s">
        <v>10106</v>
      </c>
    </row>
    <row r="961" ht="14.25" customHeight="1">
      <c r="A961" s="55" t="s">
        <v>9097</v>
      </c>
      <c r="B961" s="55" t="s">
        <v>40</v>
      </c>
      <c r="C961" s="55" t="s">
        <v>9156</v>
      </c>
      <c r="D961" s="55" t="s">
        <v>9073</v>
      </c>
    </row>
    <row r="962" ht="14.25" customHeight="1">
      <c r="A962" s="55" t="s">
        <v>9097</v>
      </c>
      <c r="B962" s="55" t="s">
        <v>40</v>
      </c>
      <c r="C962" s="55" t="s">
        <v>9156</v>
      </c>
      <c r="D962" s="55" t="s">
        <v>9157</v>
      </c>
    </row>
    <row r="963" ht="14.25" customHeight="1">
      <c r="A963" s="55" t="s">
        <v>9097</v>
      </c>
      <c r="B963" s="55" t="s">
        <v>40</v>
      </c>
      <c r="C963" s="55" t="s">
        <v>9158</v>
      </c>
      <c r="D963" s="55" t="s">
        <v>9073</v>
      </c>
    </row>
    <row r="964" ht="14.25" customHeight="1">
      <c r="A964" s="55" t="s">
        <v>9097</v>
      </c>
      <c r="B964" s="55" t="s">
        <v>40</v>
      </c>
      <c r="C964" s="55" t="s">
        <v>10107</v>
      </c>
      <c r="D964" s="55" t="s">
        <v>10099</v>
      </c>
    </row>
    <row r="965" ht="14.25" customHeight="1">
      <c r="A965" s="55" t="s">
        <v>9097</v>
      </c>
      <c r="B965" s="55" t="s">
        <v>40</v>
      </c>
      <c r="C965" s="55" t="s">
        <v>10107</v>
      </c>
      <c r="D965" s="55" t="s">
        <v>10675</v>
      </c>
    </row>
    <row r="966" ht="14.25" customHeight="1">
      <c r="A966" s="55" t="s">
        <v>9097</v>
      </c>
      <c r="B966" s="55" t="s">
        <v>40</v>
      </c>
      <c r="C966" s="55" t="s">
        <v>13571</v>
      </c>
      <c r="D966" s="55" t="s">
        <v>13572</v>
      </c>
    </row>
    <row r="967" ht="14.25" customHeight="1">
      <c r="A967" s="55" t="s">
        <v>9097</v>
      </c>
      <c r="B967" s="55" t="s">
        <v>40</v>
      </c>
      <c r="C967" s="55" t="s">
        <v>9159</v>
      </c>
      <c r="D967" s="55" t="s">
        <v>9073</v>
      </c>
    </row>
    <row r="968" ht="14.25" customHeight="1">
      <c r="A968" s="55" t="s">
        <v>9097</v>
      </c>
      <c r="B968" s="55" t="s">
        <v>40</v>
      </c>
      <c r="C968" s="55" t="s">
        <v>12724</v>
      </c>
      <c r="D968" s="55" t="s">
        <v>9430</v>
      </c>
    </row>
    <row r="969" ht="14.25" customHeight="1">
      <c r="A969" s="55" t="s">
        <v>9097</v>
      </c>
      <c r="B969" s="55" t="s">
        <v>40</v>
      </c>
      <c r="C969" s="55" t="s">
        <v>11968</v>
      </c>
      <c r="D969" s="55" t="s">
        <v>9073</v>
      </c>
    </row>
    <row r="970" ht="14.25" customHeight="1">
      <c r="A970" s="55" t="s">
        <v>9097</v>
      </c>
      <c r="B970" s="55" t="s">
        <v>40</v>
      </c>
      <c r="C970" s="55" t="s">
        <v>4000</v>
      </c>
      <c r="D970" s="55" t="s">
        <v>9618</v>
      </c>
    </row>
    <row r="971" ht="14.25" customHeight="1">
      <c r="A971" s="55" t="s">
        <v>9097</v>
      </c>
      <c r="B971" s="55" t="s">
        <v>40</v>
      </c>
      <c r="C971" s="55" t="s">
        <v>230</v>
      </c>
      <c r="D971" s="55" t="s">
        <v>8976</v>
      </c>
    </row>
    <row r="972" ht="14.25" customHeight="1">
      <c r="A972" s="55" t="s">
        <v>9097</v>
      </c>
      <c r="B972" s="55" t="s">
        <v>40</v>
      </c>
      <c r="C972" s="55" t="s">
        <v>9515</v>
      </c>
      <c r="D972" s="55" t="s">
        <v>11969</v>
      </c>
    </row>
    <row r="973" ht="14.25" customHeight="1">
      <c r="A973" s="55" t="s">
        <v>9097</v>
      </c>
      <c r="B973" s="55" t="s">
        <v>40</v>
      </c>
      <c r="C973" s="55" t="s">
        <v>231</v>
      </c>
      <c r="D973" s="55" t="s">
        <v>11969</v>
      </c>
    </row>
    <row r="974" ht="14.25" customHeight="1">
      <c r="A974" s="55" t="s">
        <v>9097</v>
      </c>
      <c r="B974" s="55" t="s">
        <v>40</v>
      </c>
      <c r="C974" s="55" t="s">
        <v>10911</v>
      </c>
      <c r="D974" s="55" t="s">
        <v>12725</v>
      </c>
    </row>
    <row r="975" ht="14.25" customHeight="1">
      <c r="A975" s="55" t="s">
        <v>9097</v>
      </c>
      <c r="B975" s="55" t="s">
        <v>40</v>
      </c>
      <c r="C975" s="55" t="s">
        <v>4035</v>
      </c>
      <c r="D975" s="55" t="s">
        <v>12725</v>
      </c>
    </row>
    <row r="976" ht="14.25" customHeight="1">
      <c r="A976" s="55" t="s">
        <v>9097</v>
      </c>
      <c r="B976" s="55" t="s">
        <v>40</v>
      </c>
      <c r="C976" s="55" t="s">
        <v>4035</v>
      </c>
      <c r="D976" s="55" t="s">
        <v>11970</v>
      </c>
    </row>
    <row r="977" ht="14.25" customHeight="1">
      <c r="A977" s="55" t="s">
        <v>9097</v>
      </c>
      <c r="B977" s="55" t="s">
        <v>40</v>
      </c>
      <c r="C977" s="55" t="s">
        <v>4035</v>
      </c>
      <c r="D977" s="55" t="s">
        <v>12726</v>
      </c>
    </row>
    <row r="978" ht="14.25" customHeight="1">
      <c r="A978" s="55" t="s">
        <v>9097</v>
      </c>
      <c r="B978" s="55" t="s">
        <v>40</v>
      </c>
      <c r="C978" s="55" t="s">
        <v>4035</v>
      </c>
      <c r="D978" s="55" t="s">
        <v>10124</v>
      </c>
    </row>
    <row r="979" ht="14.25" customHeight="1">
      <c r="A979" s="55" t="s">
        <v>9097</v>
      </c>
      <c r="B979" s="55" t="s">
        <v>40</v>
      </c>
      <c r="C979" s="55" t="s">
        <v>4035</v>
      </c>
      <c r="D979" s="55" t="s">
        <v>9073</v>
      </c>
    </row>
    <row r="980" ht="14.25" customHeight="1">
      <c r="A980" s="55" t="s">
        <v>9097</v>
      </c>
      <c r="B980" s="55" t="s">
        <v>40</v>
      </c>
      <c r="C980" s="55" t="s">
        <v>318</v>
      </c>
      <c r="D980" s="55" t="s">
        <v>9026</v>
      </c>
    </row>
    <row r="981" ht="14.25" customHeight="1">
      <c r="A981" s="55" t="s">
        <v>9097</v>
      </c>
      <c r="B981" s="55" t="s">
        <v>40</v>
      </c>
      <c r="C981" s="55" t="s">
        <v>10290</v>
      </c>
      <c r="D981" s="55" t="s">
        <v>9151</v>
      </c>
    </row>
    <row r="982" ht="14.25" customHeight="1">
      <c r="A982" s="55" t="s">
        <v>9097</v>
      </c>
      <c r="B982" s="55" t="s">
        <v>40</v>
      </c>
      <c r="C982" s="55" t="s">
        <v>10252</v>
      </c>
      <c r="D982" s="55" t="s">
        <v>10676</v>
      </c>
    </row>
    <row r="983" ht="14.25" customHeight="1">
      <c r="A983" s="55" t="s">
        <v>9097</v>
      </c>
      <c r="B983" s="55" t="s">
        <v>40</v>
      </c>
      <c r="C983" s="55" t="s">
        <v>10252</v>
      </c>
      <c r="D983" s="55" t="s">
        <v>12727</v>
      </c>
    </row>
    <row r="984" ht="14.25" customHeight="1">
      <c r="A984" s="55" t="s">
        <v>9097</v>
      </c>
      <c r="B984" s="55" t="s">
        <v>40</v>
      </c>
      <c r="C984" s="55" t="s">
        <v>12728</v>
      </c>
      <c r="D984" s="55" t="s">
        <v>12729</v>
      </c>
    </row>
    <row r="985" ht="14.25" customHeight="1">
      <c r="A985" s="55" t="s">
        <v>9097</v>
      </c>
      <c r="B985" s="55" t="s">
        <v>40</v>
      </c>
      <c r="C985" s="55" t="s">
        <v>7022</v>
      </c>
      <c r="D985" s="55" t="s">
        <v>9002</v>
      </c>
    </row>
    <row r="986" ht="14.25" customHeight="1">
      <c r="A986" s="55" t="s">
        <v>9097</v>
      </c>
      <c r="B986" s="55" t="s">
        <v>40</v>
      </c>
      <c r="C986" s="55" t="s">
        <v>10640</v>
      </c>
      <c r="D986" s="55" t="s">
        <v>9034</v>
      </c>
    </row>
    <row r="987" ht="14.25" customHeight="1">
      <c r="A987" s="55" t="s">
        <v>9097</v>
      </c>
      <c r="B987" s="55" t="s">
        <v>40</v>
      </c>
      <c r="C987" s="55" t="s">
        <v>10640</v>
      </c>
      <c r="D987" s="55" t="s">
        <v>9073</v>
      </c>
    </row>
    <row r="988" ht="14.25" customHeight="1">
      <c r="A988" s="55" t="s">
        <v>9097</v>
      </c>
      <c r="B988" s="55" t="s">
        <v>40</v>
      </c>
      <c r="C988" s="55" t="s">
        <v>11423</v>
      </c>
      <c r="D988" s="55" t="s">
        <v>11424</v>
      </c>
    </row>
    <row r="989" ht="14.25" customHeight="1">
      <c r="A989" s="55" t="s">
        <v>9097</v>
      </c>
      <c r="B989" s="55" t="s">
        <v>40</v>
      </c>
      <c r="C989" s="55" t="s">
        <v>244</v>
      </c>
      <c r="D989" s="55" t="s">
        <v>9111</v>
      </c>
    </row>
    <row r="990" ht="14.25" customHeight="1">
      <c r="A990" s="55" t="s">
        <v>9097</v>
      </c>
      <c r="B990" s="55" t="s">
        <v>40</v>
      </c>
      <c r="C990" s="55" t="s">
        <v>244</v>
      </c>
      <c r="D990" s="55" t="s">
        <v>11425</v>
      </c>
    </row>
    <row r="991" ht="14.25" customHeight="1">
      <c r="A991" s="55" t="s">
        <v>9097</v>
      </c>
      <c r="B991" s="55" t="s">
        <v>40</v>
      </c>
      <c r="C991" s="55" t="s">
        <v>9215</v>
      </c>
      <c r="D991" s="55" t="s">
        <v>10594</v>
      </c>
    </row>
    <row r="992" ht="14.25" customHeight="1">
      <c r="A992" s="55" t="s">
        <v>9097</v>
      </c>
      <c r="B992" s="55" t="s">
        <v>40</v>
      </c>
      <c r="C992" s="55" t="s">
        <v>7070</v>
      </c>
      <c r="D992" s="55" t="s">
        <v>9073</v>
      </c>
    </row>
    <row r="993" ht="14.25" customHeight="1">
      <c r="A993" s="55" t="s">
        <v>9097</v>
      </c>
      <c r="B993" s="55" t="s">
        <v>40</v>
      </c>
      <c r="C993" s="55" t="s">
        <v>11971</v>
      </c>
      <c r="D993" s="55" t="s">
        <v>9073</v>
      </c>
    </row>
    <row r="994" ht="14.25" customHeight="1">
      <c r="A994" s="55" t="s">
        <v>9097</v>
      </c>
      <c r="B994" s="55" t="s">
        <v>40</v>
      </c>
      <c r="C994" s="55" t="s">
        <v>12730</v>
      </c>
      <c r="D994" s="55" t="s">
        <v>9075</v>
      </c>
    </row>
    <row r="995" ht="14.25" customHeight="1">
      <c r="A995" s="55" t="s">
        <v>9097</v>
      </c>
      <c r="B995" s="55" t="s">
        <v>40</v>
      </c>
      <c r="C995" s="55" t="s">
        <v>4195</v>
      </c>
      <c r="D995" s="55" t="s">
        <v>9034</v>
      </c>
    </row>
    <row r="996" ht="14.25" customHeight="1">
      <c r="A996" s="55" t="s">
        <v>9097</v>
      </c>
      <c r="B996" s="55" t="s">
        <v>40</v>
      </c>
      <c r="C996" s="55" t="s">
        <v>4225</v>
      </c>
      <c r="D996" s="55" t="s">
        <v>9073</v>
      </c>
    </row>
    <row r="997" ht="14.25" customHeight="1">
      <c r="A997" s="55" t="s">
        <v>9097</v>
      </c>
      <c r="B997" s="55" t="s">
        <v>40</v>
      </c>
      <c r="C997" s="55" t="s">
        <v>254</v>
      </c>
      <c r="D997" s="55" t="s">
        <v>9073</v>
      </c>
    </row>
    <row r="998" ht="14.25" customHeight="1">
      <c r="A998" s="55" t="s">
        <v>9097</v>
      </c>
      <c r="B998" s="55" t="s">
        <v>40</v>
      </c>
      <c r="C998" s="55" t="s">
        <v>254</v>
      </c>
      <c r="D998" s="55" t="s">
        <v>10317</v>
      </c>
    </row>
    <row r="999" ht="14.25" customHeight="1">
      <c r="A999" s="55" t="s">
        <v>9097</v>
      </c>
      <c r="B999" s="55" t="s">
        <v>40</v>
      </c>
      <c r="C999" s="55" t="s">
        <v>255</v>
      </c>
      <c r="D999" s="55" t="s">
        <v>9168</v>
      </c>
    </row>
    <row r="1000" ht="14.25" customHeight="1">
      <c r="A1000" s="55" t="s">
        <v>9097</v>
      </c>
      <c r="B1000" s="55" t="s">
        <v>40</v>
      </c>
      <c r="C1000" s="55" t="s">
        <v>12731</v>
      </c>
      <c r="D1000" s="55" t="s">
        <v>9073</v>
      </c>
    </row>
    <row r="1001" ht="14.25" customHeight="1">
      <c r="A1001" s="55" t="s">
        <v>9097</v>
      </c>
      <c r="B1001" s="55" t="s">
        <v>40</v>
      </c>
      <c r="C1001" s="55" t="s">
        <v>9090</v>
      </c>
      <c r="D1001" s="55" t="s">
        <v>9034</v>
      </c>
    </row>
    <row r="1002" ht="14.25" customHeight="1">
      <c r="A1002" s="55" t="s">
        <v>9097</v>
      </c>
      <c r="B1002" s="55" t="s">
        <v>40</v>
      </c>
      <c r="C1002" s="55" t="s">
        <v>9160</v>
      </c>
      <c r="D1002" s="55" t="s">
        <v>10108</v>
      </c>
    </row>
    <row r="1003" ht="14.25" customHeight="1">
      <c r="A1003" s="55" t="s">
        <v>9097</v>
      </c>
      <c r="B1003" s="55" t="s">
        <v>40</v>
      </c>
      <c r="C1003" s="55" t="s">
        <v>9160</v>
      </c>
      <c r="D1003" s="55" t="s">
        <v>9071</v>
      </c>
    </row>
    <row r="1004" ht="14.25" customHeight="1">
      <c r="A1004" s="55" t="s">
        <v>9097</v>
      </c>
      <c r="B1004" s="55" t="s">
        <v>40</v>
      </c>
      <c r="C1004" s="55" t="s">
        <v>9160</v>
      </c>
      <c r="D1004" s="55" t="s">
        <v>9073</v>
      </c>
    </row>
    <row r="1005" ht="14.25" customHeight="1">
      <c r="A1005" s="55" t="s">
        <v>9097</v>
      </c>
      <c r="B1005" s="55" t="s">
        <v>40</v>
      </c>
      <c r="C1005" s="55" t="s">
        <v>262</v>
      </c>
      <c r="D1005" s="55" t="s">
        <v>9034</v>
      </c>
    </row>
    <row r="1006" ht="14.25" customHeight="1">
      <c r="A1006" s="55" t="s">
        <v>9097</v>
      </c>
      <c r="B1006" s="55" t="s">
        <v>40</v>
      </c>
      <c r="C1006" s="55" t="s">
        <v>262</v>
      </c>
      <c r="D1006" s="55" t="s">
        <v>9051</v>
      </c>
    </row>
    <row r="1007" ht="14.25" customHeight="1">
      <c r="A1007" s="55" t="s">
        <v>9097</v>
      </c>
      <c r="B1007" s="55" t="s">
        <v>40</v>
      </c>
      <c r="C1007" s="55" t="s">
        <v>262</v>
      </c>
      <c r="D1007" s="55" t="s">
        <v>11746</v>
      </c>
    </row>
    <row r="1008" ht="14.25" customHeight="1">
      <c r="A1008" s="55" t="s">
        <v>9097</v>
      </c>
      <c r="B1008" s="55" t="s">
        <v>40</v>
      </c>
      <c r="C1008" s="55" t="s">
        <v>262</v>
      </c>
      <c r="D1008" s="55" t="s">
        <v>9071</v>
      </c>
    </row>
    <row r="1009" ht="14.25" customHeight="1">
      <c r="A1009" s="55" t="s">
        <v>9097</v>
      </c>
      <c r="B1009" s="55" t="s">
        <v>40</v>
      </c>
      <c r="C1009" s="55" t="s">
        <v>262</v>
      </c>
      <c r="D1009" s="55" t="s">
        <v>11089</v>
      </c>
    </row>
    <row r="1010" ht="14.25" customHeight="1">
      <c r="A1010" s="55" t="s">
        <v>9097</v>
      </c>
      <c r="B1010" s="55" t="s">
        <v>40</v>
      </c>
      <c r="C1010" s="55" t="s">
        <v>262</v>
      </c>
      <c r="D1010" s="55" t="s">
        <v>9073</v>
      </c>
    </row>
    <row r="1011" ht="14.25" customHeight="1">
      <c r="A1011" s="55" t="s">
        <v>9097</v>
      </c>
      <c r="B1011" s="55" t="s">
        <v>40</v>
      </c>
      <c r="C1011" s="55" t="s">
        <v>262</v>
      </c>
      <c r="D1011" s="55" t="s">
        <v>11972</v>
      </c>
    </row>
    <row r="1012" ht="14.25" customHeight="1">
      <c r="A1012" s="55" t="s">
        <v>9097</v>
      </c>
      <c r="B1012" s="55" t="s">
        <v>40</v>
      </c>
      <c r="C1012" s="55" t="s">
        <v>4281</v>
      </c>
      <c r="D1012" s="55" t="s">
        <v>9636</v>
      </c>
    </row>
    <row r="1013" ht="14.25" customHeight="1">
      <c r="A1013" s="55" t="s">
        <v>9097</v>
      </c>
      <c r="B1013" s="55" t="s">
        <v>40</v>
      </c>
      <c r="C1013" s="55" t="s">
        <v>11864</v>
      </c>
      <c r="D1013" s="55" t="s">
        <v>13573</v>
      </c>
    </row>
    <row r="1014" ht="14.25" customHeight="1">
      <c r="A1014" s="55" t="s">
        <v>9097</v>
      </c>
      <c r="B1014" s="55" t="s">
        <v>40</v>
      </c>
      <c r="C1014" s="55" t="s">
        <v>13574</v>
      </c>
      <c r="D1014" s="55" t="s">
        <v>13575</v>
      </c>
    </row>
    <row r="1015" ht="14.25" customHeight="1">
      <c r="A1015" s="55" t="s">
        <v>9097</v>
      </c>
      <c r="B1015" s="55" t="s">
        <v>40</v>
      </c>
      <c r="C1015" s="55" t="s">
        <v>11973</v>
      </c>
      <c r="D1015" s="55" t="s">
        <v>11974</v>
      </c>
    </row>
    <row r="1016" ht="14.25" customHeight="1">
      <c r="A1016" s="55" t="s">
        <v>9097</v>
      </c>
      <c r="B1016" s="55" t="s">
        <v>40</v>
      </c>
      <c r="C1016" s="55" t="s">
        <v>10109</v>
      </c>
      <c r="D1016" s="55" t="s">
        <v>9055</v>
      </c>
    </row>
    <row r="1017" ht="14.25" customHeight="1">
      <c r="A1017" s="55" t="s">
        <v>9097</v>
      </c>
      <c r="B1017" s="55" t="s">
        <v>40</v>
      </c>
      <c r="C1017" s="55" t="s">
        <v>10110</v>
      </c>
      <c r="D1017" s="55" t="s">
        <v>10111</v>
      </c>
    </row>
    <row r="1018" ht="14.25" customHeight="1">
      <c r="A1018" s="55" t="s">
        <v>9097</v>
      </c>
      <c r="B1018" s="55" t="s">
        <v>40</v>
      </c>
      <c r="C1018" s="55" t="s">
        <v>10112</v>
      </c>
      <c r="D1018" s="55" t="s">
        <v>9827</v>
      </c>
    </row>
    <row r="1019" ht="14.25" customHeight="1">
      <c r="A1019" s="55" t="s">
        <v>9097</v>
      </c>
      <c r="B1019" s="55" t="s">
        <v>40</v>
      </c>
      <c r="C1019" s="55" t="s">
        <v>4322</v>
      </c>
      <c r="D1019" s="55" t="s">
        <v>9073</v>
      </c>
    </row>
    <row r="1020" ht="14.25" customHeight="1">
      <c r="A1020" s="55" t="s">
        <v>9097</v>
      </c>
      <c r="B1020" s="55" t="s">
        <v>40</v>
      </c>
      <c r="C1020" s="55" t="s">
        <v>4322</v>
      </c>
      <c r="D1020" s="55" t="s">
        <v>9836</v>
      </c>
    </row>
    <row r="1021" ht="14.25" customHeight="1">
      <c r="A1021" s="55" t="s">
        <v>9097</v>
      </c>
      <c r="B1021" s="55" t="s">
        <v>40</v>
      </c>
      <c r="C1021" s="55" t="s">
        <v>4326</v>
      </c>
      <c r="D1021" s="55" t="s">
        <v>9073</v>
      </c>
    </row>
    <row r="1022" ht="14.25" customHeight="1">
      <c r="A1022" s="55" t="s">
        <v>9097</v>
      </c>
      <c r="B1022" s="55" t="s">
        <v>40</v>
      </c>
      <c r="C1022" s="55" t="s">
        <v>11244</v>
      </c>
      <c r="D1022" s="55" t="s">
        <v>9043</v>
      </c>
    </row>
    <row r="1023" ht="14.25" customHeight="1">
      <c r="A1023" s="55" t="s">
        <v>9097</v>
      </c>
      <c r="B1023" s="55" t="s">
        <v>40</v>
      </c>
      <c r="C1023" s="55" t="s">
        <v>4349</v>
      </c>
      <c r="D1023" s="55" t="s">
        <v>9354</v>
      </c>
    </row>
    <row r="1024" ht="14.25" customHeight="1">
      <c r="A1024" s="55" t="s">
        <v>9097</v>
      </c>
      <c r="B1024" s="55" t="s">
        <v>40</v>
      </c>
      <c r="C1024" s="55" t="s">
        <v>10677</v>
      </c>
      <c r="D1024" s="55" t="s">
        <v>10678</v>
      </c>
    </row>
    <row r="1025" ht="14.25" customHeight="1">
      <c r="A1025" s="55" t="s">
        <v>9097</v>
      </c>
      <c r="B1025" s="55" t="s">
        <v>40</v>
      </c>
      <c r="C1025" s="55" t="s">
        <v>12732</v>
      </c>
      <c r="D1025" s="55" t="s">
        <v>9073</v>
      </c>
    </row>
    <row r="1026" ht="14.25" customHeight="1">
      <c r="A1026" s="55" t="s">
        <v>9097</v>
      </c>
      <c r="B1026" s="55" t="s">
        <v>40</v>
      </c>
      <c r="C1026" s="55" t="s">
        <v>9005</v>
      </c>
      <c r="D1026" s="55" t="s">
        <v>9006</v>
      </c>
    </row>
    <row r="1027" ht="14.25" customHeight="1">
      <c r="A1027" s="55" t="s">
        <v>9097</v>
      </c>
      <c r="B1027" s="55" t="s">
        <v>40</v>
      </c>
      <c r="C1027" s="55" t="s">
        <v>2163</v>
      </c>
      <c r="D1027" s="55" t="s">
        <v>12733</v>
      </c>
    </row>
    <row r="1028" ht="14.25" customHeight="1">
      <c r="A1028" s="55" t="s">
        <v>9097</v>
      </c>
      <c r="B1028" s="55" t="s">
        <v>40</v>
      </c>
      <c r="C1028" s="55" t="s">
        <v>2163</v>
      </c>
      <c r="D1028" s="55" t="s">
        <v>12734</v>
      </c>
    </row>
    <row r="1029" ht="14.25" customHeight="1">
      <c r="A1029" s="55" t="s">
        <v>9097</v>
      </c>
      <c r="B1029" s="55" t="s">
        <v>40</v>
      </c>
      <c r="C1029" s="55" t="s">
        <v>10679</v>
      </c>
      <c r="D1029" s="55" t="s">
        <v>9034</v>
      </c>
    </row>
    <row r="1030" ht="14.25" customHeight="1">
      <c r="A1030" s="55" t="s">
        <v>9097</v>
      </c>
      <c r="B1030" s="55" t="s">
        <v>40</v>
      </c>
      <c r="C1030" s="55" t="s">
        <v>11975</v>
      </c>
      <c r="D1030" s="55" t="s">
        <v>11976</v>
      </c>
    </row>
    <row r="1031" ht="14.25" customHeight="1">
      <c r="A1031" s="55" t="s">
        <v>9097</v>
      </c>
      <c r="B1031" s="55" t="s">
        <v>40</v>
      </c>
      <c r="C1031" s="55" t="s">
        <v>324</v>
      </c>
      <c r="D1031" s="55" t="s">
        <v>9034</v>
      </c>
    </row>
    <row r="1032" ht="14.25" customHeight="1">
      <c r="A1032" s="55" t="s">
        <v>9097</v>
      </c>
      <c r="B1032" s="55" t="s">
        <v>40</v>
      </c>
      <c r="C1032" s="55" t="s">
        <v>324</v>
      </c>
      <c r="D1032" s="55" t="s">
        <v>9161</v>
      </c>
    </row>
    <row r="1033" ht="14.25" customHeight="1">
      <c r="A1033" s="55" t="s">
        <v>9097</v>
      </c>
      <c r="B1033" s="55" t="s">
        <v>40</v>
      </c>
      <c r="C1033" s="55" t="s">
        <v>324</v>
      </c>
      <c r="D1033" s="55" t="s">
        <v>12735</v>
      </c>
    </row>
    <row r="1034" ht="14.25" customHeight="1">
      <c r="A1034" s="55" t="s">
        <v>9097</v>
      </c>
      <c r="B1034" s="55" t="s">
        <v>40</v>
      </c>
      <c r="C1034" s="55" t="s">
        <v>324</v>
      </c>
      <c r="D1034" s="55" t="s">
        <v>9162</v>
      </c>
    </row>
    <row r="1035" ht="14.25" customHeight="1">
      <c r="A1035" s="55" t="s">
        <v>9097</v>
      </c>
      <c r="B1035" s="55" t="s">
        <v>40</v>
      </c>
      <c r="C1035" s="55" t="s">
        <v>324</v>
      </c>
      <c r="D1035" s="55" t="s">
        <v>9073</v>
      </c>
    </row>
    <row r="1036" ht="14.25" customHeight="1">
      <c r="A1036" s="55" t="s">
        <v>9097</v>
      </c>
      <c r="B1036" s="55" t="s">
        <v>40</v>
      </c>
      <c r="C1036" s="55" t="s">
        <v>14101</v>
      </c>
      <c r="D1036" s="55" t="s">
        <v>14102</v>
      </c>
    </row>
    <row r="1037" ht="14.25" customHeight="1">
      <c r="A1037" s="55" t="s">
        <v>9097</v>
      </c>
      <c r="B1037" s="55" t="s">
        <v>40</v>
      </c>
      <c r="C1037" s="55" t="s">
        <v>11977</v>
      </c>
      <c r="D1037" s="55" t="s">
        <v>9073</v>
      </c>
    </row>
    <row r="1038" ht="14.25" customHeight="1">
      <c r="A1038" s="55" t="s">
        <v>9097</v>
      </c>
      <c r="B1038" s="55" t="s">
        <v>40</v>
      </c>
      <c r="C1038" s="55" t="s">
        <v>4430</v>
      </c>
      <c r="D1038" s="55" t="s">
        <v>11426</v>
      </c>
    </row>
    <row r="1039" ht="14.25" customHeight="1">
      <c r="A1039" s="55" t="s">
        <v>9097</v>
      </c>
      <c r="B1039" s="55" t="s">
        <v>40</v>
      </c>
      <c r="C1039" s="55" t="s">
        <v>9163</v>
      </c>
      <c r="D1039" s="55" t="s">
        <v>9002</v>
      </c>
    </row>
    <row r="1040" ht="14.25" customHeight="1">
      <c r="A1040" s="55" t="s">
        <v>9097</v>
      </c>
      <c r="B1040" s="55" t="s">
        <v>40</v>
      </c>
      <c r="C1040" s="55" t="s">
        <v>9163</v>
      </c>
      <c r="D1040" s="55" t="s">
        <v>9075</v>
      </c>
    </row>
    <row r="1041" ht="14.25" customHeight="1">
      <c r="A1041" s="55" t="s">
        <v>9097</v>
      </c>
      <c r="B1041" s="55" t="s">
        <v>40</v>
      </c>
      <c r="C1041" s="55" t="s">
        <v>7351</v>
      </c>
      <c r="D1041" s="55" t="s">
        <v>9075</v>
      </c>
    </row>
    <row r="1042" ht="14.25" customHeight="1">
      <c r="A1042" s="55" t="s">
        <v>9097</v>
      </c>
      <c r="B1042" s="55" t="s">
        <v>40</v>
      </c>
      <c r="C1042" s="55" t="s">
        <v>10680</v>
      </c>
      <c r="D1042" s="55" t="s">
        <v>9034</v>
      </c>
    </row>
    <row r="1043" ht="14.25" customHeight="1">
      <c r="A1043" s="55" t="s">
        <v>9097</v>
      </c>
      <c r="B1043" s="55" t="s">
        <v>40</v>
      </c>
      <c r="C1043" s="55" t="s">
        <v>9164</v>
      </c>
      <c r="D1043" s="55" t="s">
        <v>8968</v>
      </c>
    </row>
    <row r="1044" ht="14.25" customHeight="1">
      <c r="A1044" s="55" t="s">
        <v>9097</v>
      </c>
      <c r="B1044" s="55" t="s">
        <v>40</v>
      </c>
      <c r="C1044" s="55" t="s">
        <v>12736</v>
      </c>
      <c r="D1044" s="55" t="s">
        <v>9255</v>
      </c>
    </row>
    <row r="1045" ht="14.25" customHeight="1">
      <c r="A1045" s="55" t="s">
        <v>9097</v>
      </c>
      <c r="B1045" s="55" t="s">
        <v>40</v>
      </c>
      <c r="C1045" s="55" t="s">
        <v>9165</v>
      </c>
      <c r="D1045" s="55" t="s">
        <v>8968</v>
      </c>
    </row>
    <row r="1046" ht="14.25" customHeight="1">
      <c r="A1046" s="55" t="s">
        <v>9097</v>
      </c>
      <c r="B1046" s="55" t="s">
        <v>40</v>
      </c>
      <c r="C1046" s="55" t="s">
        <v>9165</v>
      </c>
      <c r="D1046" s="55" t="s">
        <v>9073</v>
      </c>
    </row>
    <row r="1047" ht="14.25" customHeight="1">
      <c r="A1047" s="55" t="s">
        <v>9097</v>
      </c>
      <c r="B1047" s="55" t="s">
        <v>40</v>
      </c>
      <c r="C1047" s="55" t="s">
        <v>12737</v>
      </c>
      <c r="D1047" s="55" t="s">
        <v>9755</v>
      </c>
    </row>
    <row r="1048" ht="14.25" customHeight="1">
      <c r="A1048" s="55" t="s">
        <v>9097</v>
      </c>
      <c r="B1048" s="55" t="s">
        <v>40</v>
      </c>
      <c r="C1048" s="55" t="s">
        <v>285</v>
      </c>
      <c r="D1048" s="55" t="s">
        <v>9073</v>
      </c>
    </row>
    <row r="1049" ht="14.25" customHeight="1">
      <c r="A1049" s="55" t="s">
        <v>9097</v>
      </c>
      <c r="B1049" s="55" t="s">
        <v>40</v>
      </c>
      <c r="C1049" s="55" t="s">
        <v>285</v>
      </c>
      <c r="D1049" s="55" t="s">
        <v>9166</v>
      </c>
    </row>
    <row r="1050" ht="14.25" customHeight="1">
      <c r="A1050" s="55" t="s">
        <v>9097</v>
      </c>
      <c r="B1050" s="55" t="s">
        <v>40</v>
      </c>
      <c r="C1050" s="55" t="s">
        <v>9167</v>
      </c>
      <c r="D1050" s="55" t="s">
        <v>9168</v>
      </c>
    </row>
    <row r="1051" ht="14.25" customHeight="1">
      <c r="A1051" s="55" t="s">
        <v>9097</v>
      </c>
      <c r="B1051" s="55" t="s">
        <v>41</v>
      </c>
      <c r="C1051" s="55" t="s">
        <v>2408</v>
      </c>
      <c r="D1051" s="55" t="s">
        <v>9836</v>
      </c>
    </row>
    <row r="1052" ht="14.25" customHeight="1">
      <c r="A1052" s="55" t="s">
        <v>9097</v>
      </c>
      <c r="B1052" s="55" t="s">
        <v>41</v>
      </c>
      <c r="C1052" s="55" t="s">
        <v>9172</v>
      </c>
      <c r="D1052" s="55" t="s">
        <v>9836</v>
      </c>
    </row>
    <row r="1053" ht="14.25" customHeight="1">
      <c r="A1053" s="55" t="s">
        <v>9097</v>
      </c>
      <c r="B1053" s="55" t="s">
        <v>41</v>
      </c>
      <c r="C1053" s="55" t="s">
        <v>5828</v>
      </c>
      <c r="D1053" s="55" t="s">
        <v>12738</v>
      </c>
    </row>
    <row r="1054" ht="14.25" customHeight="1">
      <c r="A1054" s="55" t="s">
        <v>9097</v>
      </c>
      <c r="B1054" s="55" t="s">
        <v>41</v>
      </c>
      <c r="C1054" s="55" t="s">
        <v>10681</v>
      </c>
      <c r="D1054" s="55" t="s">
        <v>9073</v>
      </c>
    </row>
    <row r="1055" ht="14.25" customHeight="1">
      <c r="A1055" s="55" t="s">
        <v>9097</v>
      </c>
      <c r="B1055" s="55" t="s">
        <v>41</v>
      </c>
      <c r="C1055" s="55" t="s">
        <v>13576</v>
      </c>
      <c r="D1055" s="55" t="s">
        <v>9314</v>
      </c>
    </row>
    <row r="1056" ht="14.25" customHeight="1">
      <c r="A1056" s="55" t="s">
        <v>9097</v>
      </c>
      <c r="B1056" s="55" t="s">
        <v>41</v>
      </c>
      <c r="C1056" s="55" t="s">
        <v>2682</v>
      </c>
      <c r="D1056" s="55" t="s">
        <v>9354</v>
      </c>
    </row>
    <row r="1057" ht="14.25" customHeight="1">
      <c r="A1057" s="55" t="s">
        <v>9097</v>
      </c>
      <c r="B1057" s="55" t="s">
        <v>41</v>
      </c>
      <c r="C1057" s="55" t="s">
        <v>7742</v>
      </c>
      <c r="D1057" s="55" t="s">
        <v>9073</v>
      </c>
    </row>
    <row r="1058" ht="14.25" customHeight="1">
      <c r="A1058" s="55" t="s">
        <v>9097</v>
      </c>
      <c r="B1058" s="55" t="s">
        <v>41</v>
      </c>
      <c r="C1058" s="55" t="s">
        <v>2918</v>
      </c>
      <c r="D1058" s="55" t="s">
        <v>10682</v>
      </c>
    </row>
    <row r="1059" ht="14.25" customHeight="1">
      <c r="A1059" s="55" t="s">
        <v>9097</v>
      </c>
      <c r="B1059" s="55" t="s">
        <v>41</v>
      </c>
      <c r="C1059" s="55" t="s">
        <v>10113</v>
      </c>
      <c r="D1059" s="55" t="s">
        <v>9055</v>
      </c>
    </row>
    <row r="1060" ht="14.25" customHeight="1">
      <c r="A1060" s="55" t="s">
        <v>9097</v>
      </c>
      <c r="B1060" s="55" t="s">
        <v>41</v>
      </c>
      <c r="C1060" s="55" t="s">
        <v>2977</v>
      </c>
      <c r="D1060" s="55" t="s">
        <v>9075</v>
      </c>
    </row>
    <row r="1061" ht="14.25" customHeight="1">
      <c r="A1061" s="55" t="s">
        <v>9097</v>
      </c>
      <c r="B1061" s="55" t="s">
        <v>41</v>
      </c>
      <c r="C1061" s="55" t="s">
        <v>3059</v>
      </c>
      <c r="D1061" s="55" t="s">
        <v>9136</v>
      </c>
    </row>
    <row r="1062" ht="14.25" customHeight="1">
      <c r="A1062" s="55" t="s">
        <v>9097</v>
      </c>
      <c r="B1062" s="55" t="s">
        <v>41</v>
      </c>
      <c r="C1062" s="55" t="s">
        <v>307</v>
      </c>
      <c r="D1062" s="55" t="s">
        <v>13577</v>
      </c>
    </row>
    <row r="1063" ht="14.25" customHeight="1">
      <c r="A1063" s="55" t="s">
        <v>9097</v>
      </c>
      <c r="B1063" s="55" t="s">
        <v>41</v>
      </c>
      <c r="C1063" s="55" t="s">
        <v>9145</v>
      </c>
      <c r="D1063" s="55" t="s">
        <v>9168</v>
      </c>
    </row>
    <row r="1064" ht="14.25" customHeight="1">
      <c r="A1064" s="55" t="s">
        <v>9097</v>
      </c>
      <c r="B1064" s="55" t="s">
        <v>41</v>
      </c>
      <c r="C1064" s="55" t="s">
        <v>9329</v>
      </c>
      <c r="D1064" s="55" t="s">
        <v>9034</v>
      </c>
    </row>
    <row r="1065" ht="14.25" customHeight="1">
      <c r="A1065" s="55" t="s">
        <v>9097</v>
      </c>
      <c r="B1065" s="55" t="s">
        <v>41</v>
      </c>
      <c r="C1065" s="55" t="s">
        <v>9329</v>
      </c>
      <c r="D1065" s="55" t="s">
        <v>11978</v>
      </c>
    </row>
    <row r="1066" ht="14.25" customHeight="1">
      <c r="A1066" s="55" t="s">
        <v>9097</v>
      </c>
      <c r="B1066" s="55" t="s">
        <v>41</v>
      </c>
      <c r="C1066" s="55" t="s">
        <v>9329</v>
      </c>
      <c r="D1066" s="55" t="s">
        <v>9073</v>
      </c>
    </row>
    <row r="1067" ht="14.25" customHeight="1">
      <c r="A1067" s="55" t="s">
        <v>9097</v>
      </c>
      <c r="B1067" s="55" t="s">
        <v>41</v>
      </c>
      <c r="C1067" s="55" t="s">
        <v>9329</v>
      </c>
      <c r="D1067" s="55" t="s">
        <v>9337</v>
      </c>
    </row>
    <row r="1068" ht="14.25" customHeight="1">
      <c r="A1068" s="55" t="s">
        <v>9097</v>
      </c>
      <c r="B1068" s="55" t="s">
        <v>41</v>
      </c>
      <c r="C1068" s="55" t="s">
        <v>10683</v>
      </c>
      <c r="D1068" s="55" t="s">
        <v>10684</v>
      </c>
    </row>
    <row r="1069" ht="14.25" customHeight="1">
      <c r="A1069" s="55" t="s">
        <v>9097</v>
      </c>
      <c r="B1069" s="55" t="s">
        <v>41</v>
      </c>
      <c r="C1069" s="55" t="s">
        <v>14103</v>
      </c>
      <c r="D1069" s="55" t="s">
        <v>9073</v>
      </c>
    </row>
    <row r="1070" ht="14.25" customHeight="1">
      <c r="A1070" s="55" t="s">
        <v>9097</v>
      </c>
      <c r="B1070" s="55" t="s">
        <v>41</v>
      </c>
      <c r="C1070" s="55" t="s">
        <v>11963</v>
      </c>
      <c r="D1070" s="55" t="s">
        <v>9073</v>
      </c>
    </row>
    <row r="1071" ht="14.25" customHeight="1">
      <c r="A1071" s="55" t="s">
        <v>9097</v>
      </c>
      <c r="B1071" s="55" t="s">
        <v>41</v>
      </c>
      <c r="C1071" s="55" t="s">
        <v>14104</v>
      </c>
      <c r="D1071" s="55" t="s">
        <v>8968</v>
      </c>
    </row>
    <row r="1072" ht="14.25" customHeight="1">
      <c r="A1072" s="55" t="s">
        <v>9097</v>
      </c>
      <c r="B1072" s="55" t="s">
        <v>41</v>
      </c>
      <c r="C1072" s="55" t="s">
        <v>10114</v>
      </c>
      <c r="D1072" s="55" t="s">
        <v>9249</v>
      </c>
    </row>
    <row r="1073" ht="14.25" customHeight="1">
      <c r="A1073" s="55" t="s">
        <v>9097</v>
      </c>
      <c r="B1073" s="55" t="s">
        <v>41</v>
      </c>
      <c r="C1073" s="55" t="s">
        <v>315</v>
      </c>
      <c r="D1073" s="55" t="s">
        <v>8968</v>
      </c>
    </row>
    <row r="1074" ht="14.25" customHeight="1">
      <c r="A1074" s="55" t="s">
        <v>9097</v>
      </c>
      <c r="B1074" s="55" t="s">
        <v>41</v>
      </c>
      <c r="C1074" s="55" t="s">
        <v>11979</v>
      </c>
      <c r="D1074" s="55" t="s">
        <v>9073</v>
      </c>
    </row>
    <row r="1075" ht="14.25" customHeight="1">
      <c r="A1075" s="55" t="s">
        <v>9097</v>
      </c>
      <c r="B1075" s="55" t="s">
        <v>41</v>
      </c>
      <c r="C1075" s="55" t="s">
        <v>10673</v>
      </c>
      <c r="D1075" s="55" t="s">
        <v>13312</v>
      </c>
    </row>
    <row r="1076" ht="14.25" customHeight="1">
      <c r="A1076" s="55" t="s">
        <v>9097</v>
      </c>
      <c r="B1076" s="55" t="s">
        <v>41</v>
      </c>
      <c r="C1076" s="55" t="s">
        <v>4035</v>
      </c>
      <c r="D1076" s="55" t="s">
        <v>10124</v>
      </c>
    </row>
    <row r="1077" ht="14.25" customHeight="1">
      <c r="A1077" s="55" t="s">
        <v>9097</v>
      </c>
      <c r="B1077" s="55" t="s">
        <v>41</v>
      </c>
      <c r="C1077" s="55" t="s">
        <v>9169</v>
      </c>
      <c r="D1077" s="55" t="s">
        <v>9073</v>
      </c>
    </row>
    <row r="1078" ht="14.25" customHeight="1">
      <c r="A1078" s="55" t="s">
        <v>9097</v>
      </c>
      <c r="B1078" s="55" t="s">
        <v>41</v>
      </c>
      <c r="C1078" s="55" t="s">
        <v>254</v>
      </c>
      <c r="D1078" s="55" t="s">
        <v>11427</v>
      </c>
    </row>
    <row r="1079" ht="14.25" customHeight="1">
      <c r="A1079" s="55" t="s">
        <v>9097</v>
      </c>
      <c r="B1079" s="55" t="s">
        <v>41</v>
      </c>
      <c r="C1079" s="55" t="s">
        <v>254</v>
      </c>
      <c r="D1079" s="55" t="s">
        <v>9073</v>
      </c>
    </row>
    <row r="1080" ht="14.25" customHeight="1">
      <c r="A1080" s="55" t="s">
        <v>9097</v>
      </c>
      <c r="B1080" s="55" t="s">
        <v>41</v>
      </c>
      <c r="C1080" s="55" t="s">
        <v>9090</v>
      </c>
      <c r="D1080" s="55" t="s">
        <v>11117</v>
      </c>
    </row>
    <row r="1081" ht="14.25" customHeight="1">
      <c r="A1081" s="55" t="s">
        <v>9097</v>
      </c>
      <c r="B1081" s="55" t="s">
        <v>41</v>
      </c>
      <c r="C1081" s="55" t="s">
        <v>9165</v>
      </c>
      <c r="D1081" s="55" t="s">
        <v>11428</v>
      </c>
    </row>
    <row r="1082" ht="14.25" customHeight="1">
      <c r="A1082" s="55" t="s">
        <v>9097</v>
      </c>
      <c r="B1082" s="55" t="s">
        <v>41</v>
      </c>
      <c r="C1082" s="55" t="s">
        <v>285</v>
      </c>
      <c r="D1082" s="55" t="s">
        <v>9073</v>
      </c>
    </row>
    <row r="1083" ht="14.25" customHeight="1">
      <c r="A1083" s="55" t="s">
        <v>9097</v>
      </c>
      <c r="B1083" s="55" t="s">
        <v>13</v>
      </c>
      <c r="C1083" s="55" t="s">
        <v>9170</v>
      </c>
      <c r="D1083" s="55" t="s">
        <v>9171</v>
      </c>
    </row>
    <row r="1084" ht="14.25" customHeight="1">
      <c r="A1084" s="55" t="s">
        <v>9097</v>
      </c>
      <c r="B1084" s="55" t="s">
        <v>13</v>
      </c>
      <c r="C1084" s="55" t="s">
        <v>14105</v>
      </c>
      <c r="D1084" s="55" t="s">
        <v>9741</v>
      </c>
    </row>
    <row r="1085" ht="14.25" customHeight="1">
      <c r="A1085" s="55" t="s">
        <v>9097</v>
      </c>
      <c r="B1085" s="55" t="s">
        <v>13</v>
      </c>
      <c r="C1085" s="55" t="s">
        <v>5754</v>
      </c>
      <c r="D1085" s="55" t="s">
        <v>10080</v>
      </c>
    </row>
    <row r="1086" ht="14.25" customHeight="1">
      <c r="A1086" s="55" t="s">
        <v>9097</v>
      </c>
      <c r="B1086" s="55" t="s">
        <v>13</v>
      </c>
      <c r="C1086" s="55" t="s">
        <v>2408</v>
      </c>
      <c r="D1086" s="55" t="s">
        <v>9073</v>
      </c>
    </row>
    <row r="1087" ht="14.25" customHeight="1">
      <c r="A1087" s="55" t="s">
        <v>9097</v>
      </c>
      <c r="B1087" s="55" t="s">
        <v>13</v>
      </c>
      <c r="C1087" s="55" t="s">
        <v>9172</v>
      </c>
      <c r="D1087" s="55" t="s">
        <v>9073</v>
      </c>
    </row>
    <row r="1088" ht="14.25" customHeight="1">
      <c r="A1088" s="55" t="s">
        <v>9097</v>
      </c>
      <c r="B1088" s="55" t="s">
        <v>13</v>
      </c>
      <c r="C1088" s="55" t="s">
        <v>5828</v>
      </c>
      <c r="D1088" s="55" t="s">
        <v>10099</v>
      </c>
    </row>
    <row r="1089" ht="14.25" customHeight="1">
      <c r="A1089" s="55" t="s">
        <v>9097</v>
      </c>
      <c r="B1089" s="55" t="s">
        <v>13</v>
      </c>
      <c r="C1089" s="55" t="s">
        <v>10115</v>
      </c>
      <c r="D1089" s="55" t="s">
        <v>9326</v>
      </c>
    </row>
    <row r="1090" ht="14.25" customHeight="1">
      <c r="A1090" s="55" t="s">
        <v>9097</v>
      </c>
      <c r="B1090" s="55" t="s">
        <v>13</v>
      </c>
      <c r="C1090" s="55" t="s">
        <v>11980</v>
      </c>
      <c r="D1090" s="55" t="s">
        <v>11981</v>
      </c>
    </row>
    <row r="1091" ht="14.25" customHeight="1">
      <c r="A1091" s="55" t="s">
        <v>9097</v>
      </c>
      <c r="B1091" s="55" t="s">
        <v>13</v>
      </c>
      <c r="C1091" s="55" t="s">
        <v>2494</v>
      </c>
      <c r="D1091" s="55" t="s">
        <v>11982</v>
      </c>
    </row>
    <row r="1092" ht="14.25" customHeight="1">
      <c r="A1092" s="55" t="s">
        <v>9097</v>
      </c>
      <c r="B1092" s="55" t="s">
        <v>13</v>
      </c>
      <c r="C1092" s="55" t="s">
        <v>12701</v>
      </c>
      <c r="D1092" s="55" t="s">
        <v>9249</v>
      </c>
    </row>
    <row r="1093" ht="14.25" customHeight="1">
      <c r="A1093" s="55" t="s">
        <v>9097</v>
      </c>
      <c r="B1093" s="55" t="s">
        <v>13</v>
      </c>
      <c r="C1093" s="55" t="s">
        <v>12739</v>
      </c>
      <c r="D1093" s="55" t="s">
        <v>9838</v>
      </c>
    </row>
    <row r="1094" ht="14.25" customHeight="1">
      <c r="A1094" s="55" t="s">
        <v>9097</v>
      </c>
      <c r="B1094" s="55" t="s">
        <v>13</v>
      </c>
      <c r="C1094" s="55" t="s">
        <v>11983</v>
      </c>
      <c r="D1094" s="55" t="s">
        <v>11984</v>
      </c>
    </row>
    <row r="1095" ht="14.25" customHeight="1">
      <c r="A1095" s="55" t="s">
        <v>9097</v>
      </c>
      <c r="B1095" s="55" t="s">
        <v>13</v>
      </c>
      <c r="C1095" s="55" t="s">
        <v>10663</v>
      </c>
      <c r="D1095" s="55" t="s">
        <v>12420</v>
      </c>
    </row>
    <row r="1096" ht="14.25" customHeight="1">
      <c r="A1096" s="55" t="s">
        <v>9097</v>
      </c>
      <c r="B1096" s="55" t="s">
        <v>13</v>
      </c>
      <c r="C1096" s="55" t="s">
        <v>9329</v>
      </c>
      <c r="D1096" s="55" t="s">
        <v>13578</v>
      </c>
    </row>
    <row r="1097" ht="14.25" customHeight="1">
      <c r="A1097" s="55" t="s">
        <v>9097</v>
      </c>
      <c r="B1097" s="55" t="s">
        <v>13</v>
      </c>
      <c r="C1097" s="55" t="s">
        <v>9329</v>
      </c>
      <c r="D1097" s="55" t="s">
        <v>12740</v>
      </c>
    </row>
    <row r="1098" ht="14.25" customHeight="1">
      <c r="A1098" s="55" t="s">
        <v>9097</v>
      </c>
      <c r="B1098" s="55" t="s">
        <v>13</v>
      </c>
      <c r="C1098" s="55" t="s">
        <v>12721</v>
      </c>
      <c r="D1098" s="55" t="s">
        <v>9073</v>
      </c>
    </row>
    <row r="1099" ht="14.25" customHeight="1">
      <c r="A1099" s="55" t="s">
        <v>9097</v>
      </c>
      <c r="B1099" s="55" t="s">
        <v>13</v>
      </c>
      <c r="C1099" s="55" t="s">
        <v>12741</v>
      </c>
      <c r="D1099" s="55" t="s">
        <v>9174</v>
      </c>
    </row>
    <row r="1100" ht="14.25" customHeight="1">
      <c r="A1100" s="55" t="s">
        <v>9097</v>
      </c>
      <c r="B1100" s="55" t="s">
        <v>13</v>
      </c>
      <c r="C1100" s="55" t="s">
        <v>11429</v>
      </c>
      <c r="D1100" s="55" t="s">
        <v>11386</v>
      </c>
    </row>
    <row r="1101" ht="14.25" customHeight="1">
      <c r="A1101" s="55" t="s">
        <v>9097</v>
      </c>
      <c r="B1101" s="55" t="s">
        <v>13</v>
      </c>
      <c r="C1101" s="55" t="s">
        <v>13579</v>
      </c>
      <c r="D1101" s="55" t="s">
        <v>13580</v>
      </c>
    </row>
    <row r="1102" ht="14.25" customHeight="1">
      <c r="A1102" s="55" t="s">
        <v>9097</v>
      </c>
      <c r="B1102" s="55" t="s">
        <v>13</v>
      </c>
      <c r="C1102" s="55" t="s">
        <v>13581</v>
      </c>
      <c r="D1102" s="55" t="s">
        <v>9176</v>
      </c>
    </row>
    <row r="1103" ht="14.25" customHeight="1">
      <c r="A1103" s="55" t="s">
        <v>9097</v>
      </c>
      <c r="B1103" s="55" t="s">
        <v>13</v>
      </c>
      <c r="C1103" s="55" t="s">
        <v>12742</v>
      </c>
      <c r="D1103" s="55" t="s">
        <v>12743</v>
      </c>
    </row>
    <row r="1104" ht="14.25" customHeight="1">
      <c r="A1104" s="55" t="s">
        <v>9097</v>
      </c>
      <c r="B1104" s="55" t="s">
        <v>13</v>
      </c>
      <c r="C1104" s="55" t="s">
        <v>10640</v>
      </c>
      <c r="D1104" s="55" t="s">
        <v>9111</v>
      </c>
    </row>
    <row r="1105" ht="14.25" customHeight="1">
      <c r="A1105" s="55" t="s">
        <v>9097</v>
      </c>
      <c r="B1105" s="55" t="s">
        <v>13</v>
      </c>
      <c r="C1105" s="55" t="s">
        <v>9173</v>
      </c>
      <c r="D1105" s="55" t="s">
        <v>9174</v>
      </c>
    </row>
    <row r="1106" ht="14.25" customHeight="1">
      <c r="A1106" s="55" t="s">
        <v>9097</v>
      </c>
      <c r="B1106" s="55" t="s">
        <v>13</v>
      </c>
      <c r="C1106" s="55" t="s">
        <v>13582</v>
      </c>
      <c r="D1106" s="55" t="s">
        <v>10686</v>
      </c>
    </row>
    <row r="1107" ht="14.25" customHeight="1">
      <c r="A1107" s="55" t="s">
        <v>9097</v>
      </c>
      <c r="B1107" s="55" t="s">
        <v>13</v>
      </c>
      <c r="C1107" s="55" t="s">
        <v>13583</v>
      </c>
      <c r="D1107" s="55" t="s">
        <v>13528</v>
      </c>
    </row>
    <row r="1108" ht="14.25" customHeight="1">
      <c r="A1108" s="55" t="s">
        <v>9097</v>
      </c>
      <c r="B1108" s="55" t="s">
        <v>13</v>
      </c>
      <c r="C1108" s="55" t="s">
        <v>10116</v>
      </c>
      <c r="D1108" s="55" t="s">
        <v>9176</v>
      </c>
    </row>
    <row r="1109" ht="14.25" customHeight="1">
      <c r="A1109" s="55" t="s">
        <v>9097</v>
      </c>
      <c r="B1109" s="55" t="s">
        <v>13</v>
      </c>
      <c r="C1109" s="55" t="s">
        <v>11985</v>
      </c>
      <c r="D1109" s="55" t="s">
        <v>10608</v>
      </c>
    </row>
    <row r="1110" ht="14.25" customHeight="1">
      <c r="A1110" s="55" t="s">
        <v>9097</v>
      </c>
      <c r="B1110" s="55" t="s">
        <v>13</v>
      </c>
      <c r="C1110" s="55" t="s">
        <v>9175</v>
      </c>
      <c r="D1110" s="55" t="s">
        <v>9176</v>
      </c>
    </row>
    <row r="1111" ht="14.25" customHeight="1">
      <c r="A1111" s="55" t="s">
        <v>9097</v>
      </c>
      <c r="B1111" s="55" t="s">
        <v>13</v>
      </c>
      <c r="C1111" s="55" t="s">
        <v>10685</v>
      </c>
      <c r="D1111" s="55" t="s">
        <v>10686</v>
      </c>
    </row>
    <row r="1112" ht="14.25" customHeight="1">
      <c r="A1112" s="55" t="s">
        <v>9177</v>
      </c>
      <c r="B1112" s="55" t="s">
        <v>40</v>
      </c>
      <c r="C1112" s="55" t="s">
        <v>9034</v>
      </c>
      <c r="D1112" s="55" t="s">
        <v>8968</v>
      </c>
    </row>
    <row r="1113" ht="14.25" customHeight="1">
      <c r="A1113" s="55" t="s">
        <v>9177</v>
      </c>
      <c r="B1113" s="55" t="s">
        <v>40</v>
      </c>
      <c r="C1113" s="55" t="s">
        <v>9034</v>
      </c>
      <c r="D1113" s="55" t="s">
        <v>11986</v>
      </c>
    </row>
    <row r="1114" ht="14.25" customHeight="1">
      <c r="A1114" s="55" t="s">
        <v>9177</v>
      </c>
      <c r="B1114" s="55" t="s">
        <v>40</v>
      </c>
      <c r="C1114" s="55" t="s">
        <v>9034</v>
      </c>
      <c r="D1114" s="55" t="s">
        <v>9055</v>
      </c>
    </row>
    <row r="1115" ht="14.25" customHeight="1">
      <c r="A1115" s="55" t="s">
        <v>9177</v>
      </c>
      <c r="B1115" s="55" t="s">
        <v>40</v>
      </c>
      <c r="C1115" s="55" t="s">
        <v>9034</v>
      </c>
      <c r="D1115" s="55" t="s">
        <v>11987</v>
      </c>
    </row>
    <row r="1116" ht="14.25" customHeight="1">
      <c r="A1116" s="55" t="s">
        <v>9177</v>
      </c>
      <c r="B1116" s="55" t="s">
        <v>40</v>
      </c>
      <c r="C1116" s="55" t="s">
        <v>10117</v>
      </c>
      <c r="D1116" s="55" t="s">
        <v>8968</v>
      </c>
    </row>
    <row r="1117" ht="14.25" customHeight="1">
      <c r="A1117" s="55" t="s">
        <v>9177</v>
      </c>
      <c r="B1117" s="55" t="s">
        <v>40</v>
      </c>
      <c r="C1117" s="55" t="s">
        <v>12744</v>
      </c>
      <c r="D1117" s="55" t="s">
        <v>11596</v>
      </c>
    </row>
    <row r="1118" ht="14.25" customHeight="1">
      <c r="A1118" s="55" t="s">
        <v>9177</v>
      </c>
      <c r="B1118" s="55" t="s">
        <v>40</v>
      </c>
      <c r="C1118" s="55" t="s">
        <v>12745</v>
      </c>
      <c r="D1118" s="55" t="s">
        <v>9055</v>
      </c>
    </row>
    <row r="1119" ht="14.25" customHeight="1">
      <c r="A1119" s="55" t="s">
        <v>9177</v>
      </c>
      <c r="B1119" s="55" t="s">
        <v>40</v>
      </c>
      <c r="C1119" s="55" t="s">
        <v>5740</v>
      </c>
      <c r="D1119" s="55" t="s">
        <v>9180</v>
      </c>
    </row>
    <row r="1120" ht="14.25" customHeight="1">
      <c r="A1120" s="55" t="s">
        <v>9177</v>
      </c>
      <c r="B1120" s="55" t="s">
        <v>40</v>
      </c>
      <c r="C1120" s="55" t="s">
        <v>5740</v>
      </c>
      <c r="D1120" s="55" t="s">
        <v>11430</v>
      </c>
    </row>
    <row r="1121" ht="14.25" customHeight="1">
      <c r="A1121" s="55" t="s">
        <v>9177</v>
      </c>
      <c r="B1121" s="55" t="s">
        <v>40</v>
      </c>
      <c r="C1121" s="55" t="s">
        <v>10118</v>
      </c>
      <c r="D1121" s="55" t="s">
        <v>10119</v>
      </c>
    </row>
    <row r="1122" ht="14.25" customHeight="1">
      <c r="A1122" s="55" t="s">
        <v>9177</v>
      </c>
      <c r="B1122" s="55" t="s">
        <v>40</v>
      </c>
      <c r="C1122" s="55" t="s">
        <v>11431</v>
      </c>
      <c r="D1122" s="55" t="s">
        <v>9034</v>
      </c>
    </row>
    <row r="1123" ht="14.25" customHeight="1">
      <c r="A1123" s="55" t="s">
        <v>9177</v>
      </c>
      <c r="B1123" s="55" t="s">
        <v>40</v>
      </c>
      <c r="C1123" s="55" t="s">
        <v>56</v>
      </c>
      <c r="D1123" s="55" t="s">
        <v>9026</v>
      </c>
    </row>
    <row r="1124" ht="14.25" customHeight="1">
      <c r="A1124" s="55" t="s">
        <v>9177</v>
      </c>
      <c r="B1124" s="55" t="s">
        <v>40</v>
      </c>
      <c r="C1124" s="55" t="s">
        <v>5762</v>
      </c>
      <c r="D1124" s="55" t="s">
        <v>10124</v>
      </c>
    </row>
    <row r="1125" ht="14.25" customHeight="1">
      <c r="A1125" s="55" t="s">
        <v>9177</v>
      </c>
      <c r="B1125" s="55" t="s">
        <v>40</v>
      </c>
      <c r="C1125" s="55" t="s">
        <v>5762</v>
      </c>
      <c r="D1125" s="55" t="s">
        <v>12746</v>
      </c>
    </row>
    <row r="1126" ht="14.25" customHeight="1">
      <c r="A1126" s="55" t="s">
        <v>9177</v>
      </c>
      <c r="B1126" s="55" t="s">
        <v>40</v>
      </c>
      <c r="C1126" s="55" t="s">
        <v>5762</v>
      </c>
      <c r="D1126" s="55" t="s">
        <v>10687</v>
      </c>
    </row>
    <row r="1127" ht="14.25" customHeight="1">
      <c r="A1127" s="55" t="s">
        <v>9177</v>
      </c>
      <c r="B1127" s="55" t="s">
        <v>40</v>
      </c>
      <c r="C1127" s="55" t="s">
        <v>5762</v>
      </c>
      <c r="D1127" s="55" t="s">
        <v>10688</v>
      </c>
    </row>
    <row r="1128" ht="14.25" customHeight="1">
      <c r="A1128" s="55" t="s">
        <v>9177</v>
      </c>
      <c r="B1128" s="55" t="s">
        <v>40</v>
      </c>
      <c r="C1128" s="55" t="s">
        <v>12747</v>
      </c>
      <c r="D1128" s="55" t="s">
        <v>9831</v>
      </c>
    </row>
    <row r="1129" ht="14.25" customHeight="1">
      <c r="A1129" s="55" t="s">
        <v>9177</v>
      </c>
      <c r="B1129" s="55" t="s">
        <v>40</v>
      </c>
      <c r="C1129" s="55" t="s">
        <v>10120</v>
      </c>
      <c r="D1129" s="55" t="s">
        <v>9213</v>
      </c>
    </row>
    <row r="1130" ht="14.25" customHeight="1">
      <c r="A1130" s="55" t="s">
        <v>9177</v>
      </c>
      <c r="B1130" s="55" t="s">
        <v>40</v>
      </c>
      <c r="C1130" s="55" t="s">
        <v>13584</v>
      </c>
      <c r="D1130" s="55" t="s">
        <v>13585</v>
      </c>
    </row>
    <row r="1131" ht="14.25" customHeight="1">
      <c r="A1131" s="55" t="s">
        <v>9177</v>
      </c>
      <c r="B1131" s="55" t="s">
        <v>40</v>
      </c>
      <c r="C1131" s="55" t="s">
        <v>11988</v>
      </c>
      <c r="D1131" s="55" t="s">
        <v>9151</v>
      </c>
    </row>
    <row r="1132" ht="14.25" customHeight="1">
      <c r="A1132" s="55" t="s">
        <v>9177</v>
      </c>
      <c r="B1132" s="55" t="s">
        <v>40</v>
      </c>
      <c r="C1132" s="55" t="s">
        <v>11432</v>
      </c>
      <c r="D1132" s="55" t="s">
        <v>9189</v>
      </c>
    </row>
    <row r="1133" ht="14.25" customHeight="1">
      <c r="A1133" s="55" t="s">
        <v>9177</v>
      </c>
      <c r="B1133" s="55" t="s">
        <v>40</v>
      </c>
      <c r="C1133" s="55" t="s">
        <v>13586</v>
      </c>
      <c r="D1133" s="55" t="s">
        <v>13587</v>
      </c>
    </row>
    <row r="1134" ht="14.25" customHeight="1">
      <c r="A1134" s="55" t="s">
        <v>9177</v>
      </c>
      <c r="B1134" s="55" t="s">
        <v>40</v>
      </c>
      <c r="C1134" s="55" t="s">
        <v>69</v>
      </c>
      <c r="D1134" s="55" t="s">
        <v>8968</v>
      </c>
    </row>
    <row r="1135" ht="14.25" customHeight="1">
      <c r="A1135" s="55" t="s">
        <v>9177</v>
      </c>
      <c r="B1135" s="55" t="s">
        <v>40</v>
      </c>
      <c r="C1135" s="55" t="s">
        <v>69</v>
      </c>
      <c r="D1135" s="55" t="s">
        <v>11433</v>
      </c>
    </row>
    <row r="1136" ht="14.25" customHeight="1">
      <c r="A1136" s="55" t="s">
        <v>9177</v>
      </c>
      <c r="B1136" s="55" t="s">
        <v>40</v>
      </c>
      <c r="C1136" s="55" t="s">
        <v>12748</v>
      </c>
      <c r="D1136" s="55" t="s">
        <v>9034</v>
      </c>
    </row>
    <row r="1137" ht="14.25" customHeight="1">
      <c r="A1137" s="55" t="s">
        <v>9177</v>
      </c>
      <c r="B1137" s="55" t="s">
        <v>40</v>
      </c>
      <c r="C1137" s="55" t="s">
        <v>14106</v>
      </c>
      <c r="D1137" s="55" t="s">
        <v>13585</v>
      </c>
    </row>
    <row r="1138" ht="14.25" customHeight="1">
      <c r="A1138" s="55" t="s">
        <v>9177</v>
      </c>
      <c r="B1138" s="55" t="s">
        <v>40</v>
      </c>
      <c r="C1138" s="55" t="s">
        <v>13588</v>
      </c>
      <c r="D1138" s="55" t="s">
        <v>10122</v>
      </c>
    </row>
    <row r="1139" ht="14.25" customHeight="1">
      <c r="A1139" s="55" t="s">
        <v>9177</v>
      </c>
      <c r="B1139" s="55" t="s">
        <v>40</v>
      </c>
      <c r="C1139" s="55" t="s">
        <v>7493</v>
      </c>
      <c r="D1139" s="55" t="s">
        <v>9189</v>
      </c>
    </row>
    <row r="1140" ht="14.25" customHeight="1">
      <c r="A1140" s="55" t="s">
        <v>9177</v>
      </c>
      <c r="B1140" s="55" t="s">
        <v>40</v>
      </c>
      <c r="C1140" s="55" t="s">
        <v>11989</v>
      </c>
      <c r="D1140" s="55" t="s">
        <v>9026</v>
      </c>
    </row>
    <row r="1141" ht="14.25" customHeight="1">
      <c r="A1141" s="55" t="s">
        <v>9177</v>
      </c>
      <c r="B1141" s="55" t="s">
        <v>40</v>
      </c>
      <c r="C1141" s="55" t="s">
        <v>75</v>
      </c>
      <c r="D1141" s="55" t="s">
        <v>9219</v>
      </c>
    </row>
    <row r="1142" ht="14.25" customHeight="1">
      <c r="A1142" s="55" t="s">
        <v>9177</v>
      </c>
      <c r="B1142" s="55" t="s">
        <v>40</v>
      </c>
      <c r="C1142" s="55" t="s">
        <v>75</v>
      </c>
      <c r="D1142" s="55" t="s">
        <v>10610</v>
      </c>
    </row>
    <row r="1143" ht="14.25" customHeight="1">
      <c r="A1143" s="55" t="s">
        <v>9177</v>
      </c>
      <c r="B1143" s="55" t="s">
        <v>40</v>
      </c>
      <c r="C1143" s="55" t="s">
        <v>75</v>
      </c>
      <c r="D1143" s="55" t="s">
        <v>8994</v>
      </c>
    </row>
    <row r="1144" ht="14.25" customHeight="1">
      <c r="A1144" s="55" t="s">
        <v>9177</v>
      </c>
      <c r="B1144" s="55" t="s">
        <v>40</v>
      </c>
      <c r="C1144" s="55" t="s">
        <v>11049</v>
      </c>
      <c r="D1144" s="55" t="s">
        <v>12431</v>
      </c>
    </row>
    <row r="1145" ht="14.25" customHeight="1">
      <c r="A1145" s="55" t="s">
        <v>9177</v>
      </c>
      <c r="B1145" s="55" t="s">
        <v>40</v>
      </c>
      <c r="C1145" s="55" t="s">
        <v>2518</v>
      </c>
      <c r="D1145" s="55" t="s">
        <v>10131</v>
      </c>
    </row>
    <row r="1146" ht="14.25" customHeight="1">
      <c r="A1146" s="55" t="s">
        <v>9177</v>
      </c>
      <c r="B1146" s="55" t="s">
        <v>40</v>
      </c>
      <c r="C1146" s="55" t="s">
        <v>10656</v>
      </c>
      <c r="D1146" s="55" t="s">
        <v>10689</v>
      </c>
    </row>
    <row r="1147" ht="14.25" customHeight="1">
      <c r="A1147" s="55" t="s">
        <v>9177</v>
      </c>
      <c r="B1147" s="55" t="s">
        <v>40</v>
      </c>
      <c r="C1147" s="55" t="s">
        <v>13589</v>
      </c>
      <c r="D1147" s="55" t="s">
        <v>9055</v>
      </c>
    </row>
    <row r="1148" ht="14.25" customHeight="1">
      <c r="A1148" s="55" t="s">
        <v>9177</v>
      </c>
      <c r="B1148" s="55" t="s">
        <v>40</v>
      </c>
      <c r="C1148" s="55" t="s">
        <v>2539</v>
      </c>
      <c r="D1148" s="55" t="s">
        <v>9244</v>
      </c>
    </row>
    <row r="1149" ht="14.25" customHeight="1">
      <c r="A1149" s="55" t="s">
        <v>9177</v>
      </c>
      <c r="B1149" s="55" t="s">
        <v>40</v>
      </c>
      <c r="C1149" s="55" t="s">
        <v>9105</v>
      </c>
      <c r="D1149" s="55" t="s">
        <v>12749</v>
      </c>
    </row>
    <row r="1150" ht="14.25" customHeight="1">
      <c r="A1150" s="55" t="s">
        <v>9177</v>
      </c>
      <c r="B1150" s="55" t="s">
        <v>40</v>
      </c>
      <c r="C1150" s="55" t="s">
        <v>9105</v>
      </c>
      <c r="D1150" s="55" t="s">
        <v>9043</v>
      </c>
    </row>
    <row r="1151" ht="14.25" customHeight="1">
      <c r="A1151" s="55" t="s">
        <v>9177</v>
      </c>
      <c r="B1151" s="55" t="s">
        <v>40</v>
      </c>
      <c r="C1151" s="55" t="s">
        <v>9105</v>
      </c>
      <c r="D1151" s="55" t="s">
        <v>9178</v>
      </c>
    </row>
    <row r="1152" ht="14.25" customHeight="1">
      <c r="A1152" s="55" t="s">
        <v>9177</v>
      </c>
      <c r="B1152" s="55" t="s">
        <v>40</v>
      </c>
      <c r="C1152" s="55" t="s">
        <v>9105</v>
      </c>
      <c r="D1152" s="55" t="s">
        <v>12750</v>
      </c>
    </row>
    <row r="1153" ht="14.25" customHeight="1">
      <c r="A1153" s="55" t="s">
        <v>9177</v>
      </c>
      <c r="B1153" s="55" t="s">
        <v>40</v>
      </c>
      <c r="C1153" s="55" t="s">
        <v>80</v>
      </c>
      <c r="D1153" s="55" t="s">
        <v>9034</v>
      </c>
    </row>
    <row r="1154" ht="14.25" customHeight="1">
      <c r="A1154" s="55" t="s">
        <v>9177</v>
      </c>
      <c r="B1154" s="55" t="s">
        <v>40</v>
      </c>
      <c r="C1154" s="55" t="s">
        <v>80</v>
      </c>
      <c r="D1154" s="55" t="s">
        <v>9180</v>
      </c>
    </row>
    <row r="1155" ht="14.25" customHeight="1">
      <c r="A1155" s="55" t="s">
        <v>9177</v>
      </c>
      <c r="B1155" s="55" t="s">
        <v>40</v>
      </c>
      <c r="C1155" s="55" t="s">
        <v>80</v>
      </c>
      <c r="D1155" s="55" t="s">
        <v>10690</v>
      </c>
    </row>
    <row r="1156" ht="14.25" customHeight="1">
      <c r="A1156" s="55" t="s">
        <v>9177</v>
      </c>
      <c r="B1156" s="55" t="s">
        <v>40</v>
      </c>
      <c r="C1156" s="55" t="s">
        <v>80</v>
      </c>
      <c r="D1156" s="55" t="s">
        <v>8968</v>
      </c>
    </row>
    <row r="1157" ht="14.25" customHeight="1">
      <c r="A1157" s="55" t="s">
        <v>9177</v>
      </c>
      <c r="B1157" s="55" t="s">
        <v>40</v>
      </c>
      <c r="C1157" s="55" t="s">
        <v>80</v>
      </c>
      <c r="D1157" s="55" t="s">
        <v>9043</v>
      </c>
    </row>
    <row r="1158" ht="14.25" customHeight="1">
      <c r="A1158" s="55" t="s">
        <v>9177</v>
      </c>
      <c r="B1158" s="55" t="s">
        <v>40</v>
      </c>
      <c r="C1158" s="55" t="s">
        <v>80</v>
      </c>
      <c r="D1158" s="55" t="s">
        <v>9219</v>
      </c>
    </row>
    <row r="1159" ht="14.25" customHeight="1">
      <c r="A1159" s="55" t="s">
        <v>9177</v>
      </c>
      <c r="B1159" s="55" t="s">
        <v>40</v>
      </c>
      <c r="C1159" s="55" t="s">
        <v>80</v>
      </c>
      <c r="D1159" s="55" t="s">
        <v>9026</v>
      </c>
    </row>
    <row r="1160" ht="14.25" customHeight="1">
      <c r="A1160" s="55" t="s">
        <v>9177</v>
      </c>
      <c r="B1160" s="55" t="s">
        <v>40</v>
      </c>
      <c r="C1160" s="55" t="s">
        <v>80</v>
      </c>
      <c r="D1160" s="55" t="s">
        <v>11990</v>
      </c>
    </row>
    <row r="1161" ht="14.25" customHeight="1">
      <c r="A1161" s="55" t="s">
        <v>9177</v>
      </c>
      <c r="B1161" s="55" t="s">
        <v>40</v>
      </c>
      <c r="C1161" s="55" t="s">
        <v>80</v>
      </c>
      <c r="D1161" s="55" t="s">
        <v>10944</v>
      </c>
    </row>
    <row r="1162" ht="14.25" customHeight="1">
      <c r="A1162" s="55" t="s">
        <v>9177</v>
      </c>
      <c r="B1162" s="55" t="s">
        <v>40</v>
      </c>
      <c r="C1162" s="55" t="s">
        <v>80</v>
      </c>
      <c r="D1162" s="55" t="s">
        <v>9202</v>
      </c>
    </row>
    <row r="1163" ht="14.25" customHeight="1">
      <c r="A1163" s="55" t="s">
        <v>9177</v>
      </c>
      <c r="B1163" s="55" t="s">
        <v>40</v>
      </c>
      <c r="C1163" s="55" t="s">
        <v>5922</v>
      </c>
      <c r="D1163" s="55" t="s">
        <v>9131</v>
      </c>
    </row>
    <row r="1164" ht="14.25" customHeight="1">
      <c r="A1164" s="55" t="s">
        <v>9177</v>
      </c>
      <c r="B1164" s="55" t="s">
        <v>40</v>
      </c>
      <c r="C1164" s="55" t="s">
        <v>7547</v>
      </c>
      <c r="D1164" s="55" t="s">
        <v>9131</v>
      </c>
    </row>
    <row r="1165" ht="14.25" customHeight="1">
      <c r="A1165" s="55" t="s">
        <v>9177</v>
      </c>
      <c r="B1165" s="55" t="s">
        <v>40</v>
      </c>
      <c r="C1165" s="55" t="s">
        <v>12751</v>
      </c>
      <c r="D1165" s="55" t="s">
        <v>9131</v>
      </c>
    </row>
    <row r="1166" ht="14.25" customHeight="1">
      <c r="A1166" s="55" t="s">
        <v>9177</v>
      </c>
      <c r="B1166" s="55" t="s">
        <v>40</v>
      </c>
      <c r="C1166" s="55" t="s">
        <v>81</v>
      </c>
      <c r="D1166" s="55" t="s">
        <v>12752</v>
      </c>
    </row>
    <row r="1167" ht="14.25" customHeight="1">
      <c r="A1167" s="55" t="s">
        <v>9177</v>
      </c>
      <c r="B1167" s="55" t="s">
        <v>40</v>
      </c>
      <c r="C1167" s="55" t="s">
        <v>81</v>
      </c>
      <c r="D1167" s="55" t="s">
        <v>10124</v>
      </c>
    </row>
    <row r="1168" ht="14.25" customHeight="1">
      <c r="A1168" s="55" t="s">
        <v>9177</v>
      </c>
      <c r="B1168" s="55" t="s">
        <v>40</v>
      </c>
      <c r="C1168" s="55" t="s">
        <v>81</v>
      </c>
      <c r="D1168" s="55" t="s">
        <v>8994</v>
      </c>
    </row>
    <row r="1169" ht="14.25" customHeight="1">
      <c r="A1169" s="55" t="s">
        <v>9177</v>
      </c>
      <c r="B1169" s="55" t="s">
        <v>40</v>
      </c>
      <c r="C1169" s="55" t="s">
        <v>10691</v>
      </c>
      <c r="D1169" s="55" t="s">
        <v>8994</v>
      </c>
    </row>
    <row r="1170" ht="14.25" customHeight="1">
      <c r="A1170" s="55" t="s">
        <v>9177</v>
      </c>
      <c r="B1170" s="55" t="s">
        <v>40</v>
      </c>
      <c r="C1170" s="55" t="s">
        <v>4641</v>
      </c>
      <c r="D1170" s="55" t="s">
        <v>405</v>
      </c>
    </row>
    <row r="1171" ht="14.25" customHeight="1">
      <c r="A1171" s="55" t="s">
        <v>9177</v>
      </c>
      <c r="B1171" s="55" t="s">
        <v>40</v>
      </c>
      <c r="C1171" s="55" t="s">
        <v>7561</v>
      </c>
      <c r="D1171" s="55" t="s">
        <v>9213</v>
      </c>
    </row>
    <row r="1172" ht="14.25" customHeight="1">
      <c r="A1172" s="55" t="s">
        <v>9177</v>
      </c>
      <c r="B1172" s="55" t="s">
        <v>40</v>
      </c>
      <c r="C1172" s="55" t="s">
        <v>10121</v>
      </c>
      <c r="D1172" s="55" t="s">
        <v>10122</v>
      </c>
    </row>
    <row r="1173" ht="14.25" customHeight="1">
      <c r="A1173" s="55" t="s">
        <v>9177</v>
      </c>
      <c r="B1173" s="55" t="s">
        <v>40</v>
      </c>
      <c r="C1173" s="55" t="s">
        <v>10879</v>
      </c>
      <c r="D1173" s="55" t="s">
        <v>9180</v>
      </c>
    </row>
    <row r="1174" ht="14.25" customHeight="1">
      <c r="A1174" s="55" t="s">
        <v>9177</v>
      </c>
      <c r="B1174" s="55" t="s">
        <v>40</v>
      </c>
      <c r="C1174" s="55" t="s">
        <v>11991</v>
      </c>
      <c r="D1174" s="55" t="s">
        <v>9178</v>
      </c>
    </row>
    <row r="1175" ht="14.25" customHeight="1">
      <c r="A1175" s="55" t="s">
        <v>9177</v>
      </c>
      <c r="B1175" s="55" t="s">
        <v>40</v>
      </c>
      <c r="C1175" s="55" t="s">
        <v>85</v>
      </c>
      <c r="D1175" s="55" t="s">
        <v>9618</v>
      </c>
    </row>
    <row r="1176" ht="14.25" customHeight="1">
      <c r="A1176" s="55" t="s">
        <v>9177</v>
      </c>
      <c r="B1176" s="55" t="s">
        <v>40</v>
      </c>
      <c r="C1176" s="55" t="s">
        <v>11992</v>
      </c>
      <c r="D1176" s="55" t="s">
        <v>9055</v>
      </c>
    </row>
    <row r="1177" ht="14.25" customHeight="1">
      <c r="A1177" s="55" t="s">
        <v>9177</v>
      </c>
      <c r="B1177" s="55" t="s">
        <v>40</v>
      </c>
      <c r="C1177" s="55" t="s">
        <v>10692</v>
      </c>
      <c r="D1177" s="55" t="s">
        <v>9180</v>
      </c>
    </row>
    <row r="1178" ht="14.25" customHeight="1">
      <c r="A1178" s="55" t="s">
        <v>9177</v>
      </c>
      <c r="B1178" s="55" t="s">
        <v>40</v>
      </c>
      <c r="C1178" s="55" t="s">
        <v>9179</v>
      </c>
      <c r="D1178" s="55" t="s">
        <v>9180</v>
      </c>
    </row>
    <row r="1179" ht="14.25" customHeight="1">
      <c r="A1179" s="55" t="s">
        <v>9177</v>
      </c>
      <c r="B1179" s="55" t="s">
        <v>40</v>
      </c>
      <c r="C1179" s="55" t="s">
        <v>89</v>
      </c>
      <c r="D1179" s="55" t="s">
        <v>9181</v>
      </c>
    </row>
    <row r="1180" ht="14.25" customHeight="1">
      <c r="A1180" s="55" t="s">
        <v>9177</v>
      </c>
      <c r="B1180" s="55" t="s">
        <v>40</v>
      </c>
      <c r="C1180" s="55" t="s">
        <v>89</v>
      </c>
      <c r="D1180" s="55" t="s">
        <v>11434</v>
      </c>
    </row>
    <row r="1181" ht="14.25" customHeight="1">
      <c r="A1181" s="55" t="s">
        <v>9177</v>
      </c>
      <c r="B1181" s="55" t="s">
        <v>40</v>
      </c>
      <c r="C1181" s="55" t="s">
        <v>89</v>
      </c>
      <c r="D1181" s="55" t="s">
        <v>11993</v>
      </c>
    </row>
    <row r="1182" ht="14.25" customHeight="1">
      <c r="A1182" s="55" t="s">
        <v>9177</v>
      </c>
      <c r="B1182" s="55" t="s">
        <v>40</v>
      </c>
      <c r="C1182" s="55" t="s">
        <v>89</v>
      </c>
      <c r="D1182" s="55" t="s">
        <v>13590</v>
      </c>
    </row>
    <row r="1183" ht="14.25" customHeight="1">
      <c r="A1183" s="55" t="s">
        <v>9177</v>
      </c>
      <c r="B1183" s="55" t="s">
        <v>40</v>
      </c>
      <c r="C1183" s="55" t="s">
        <v>10693</v>
      </c>
      <c r="D1183" s="55" t="s">
        <v>9213</v>
      </c>
    </row>
    <row r="1184" ht="14.25" customHeight="1">
      <c r="A1184" s="55" t="s">
        <v>9177</v>
      </c>
      <c r="B1184" s="55" t="s">
        <v>40</v>
      </c>
      <c r="C1184" s="55" t="s">
        <v>10694</v>
      </c>
      <c r="D1184" s="55" t="s">
        <v>9043</v>
      </c>
    </row>
    <row r="1185" ht="14.25" customHeight="1">
      <c r="A1185" s="55" t="s">
        <v>9177</v>
      </c>
      <c r="B1185" s="55" t="s">
        <v>40</v>
      </c>
      <c r="C1185" s="55" t="s">
        <v>10694</v>
      </c>
      <c r="D1185" s="55" t="s">
        <v>9026</v>
      </c>
    </row>
    <row r="1186" ht="14.25" customHeight="1">
      <c r="A1186" s="55" t="s">
        <v>9177</v>
      </c>
      <c r="B1186" s="55" t="s">
        <v>40</v>
      </c>
      <c r="C1186" s="55" t="s">
        <v>9182</v>
      </c>
      <c r="D1186" s="55" t="s">
        <v>9055</v>
      </c>
    </row>
    <row r="1187" ht="14.25" customHeight="1">
      <c r="A1187" s="55" t="s">
        <v>9177</v>
      </c>
      <c r="B1187" s="55" t="s">
        <v>40</v>
      </c>
      <c r="C1187" s="55" t="s">
        <v>7652</v>
      </c>
      <c r="D1187" s="55" t="s">
        <v>9189</v>
      </c>
    </row>
    <row r="1188" ht="14.25" customHeight="1">
      <c r="A1188" s="55" t="s">
        <v>9177</v>
      </c>
      <c r="B1188" s="55" t="s">
        <v>40</v>
      </c>
      <c r="C1188" s="55" t="s">
        <v>9110</v>
      </c>
      <c r="D1188" s="55" t="s">
        <v>10695</v>
      </c>
    </row>
    <row r="1189" ht="14.25" customHeight="1">
      <c r="A1189" s="55" t="s">
        <v>9177</v>
      </c>
      <c r="B1189" s="55" t="s">
        <v>40</v>
      </c>
      <c r="C1189" s="55" t="s">
        <v>13591</v>
      </c>
      <c r="D1189" s="55" t="s">
        <v>13592</v>
      </c>
    </row>
    <row r="1190" ht="14.25" customHeight="1">
      <c r="A1190" s="55" t="s">
        <v>9177</v>
      </c>
      <c r="B1190" s="55" t="s">
        <v>40</v>
      </c>
      <c r="C1190" s="55" t="s">
        <v>10030</v>
      </c>
      <c r="D1190" s="55" t="s">
        <v>9026</v>
      </c>
    </row>
    <row r="1191" ht="14.25" customHeight="1">
      <c r="A1191" s="55" t="s">
        <v>9177</v>
      </c>
      <c r="B1191" s="55" t="s">
        <v>40</v>
      </c>
      <c r="C1191" s="55" t="s">
        <v>10696</v>
      </c>
      <c r="D1191" s="55" t="s">
        <v>9043</v>
      </c>
    </row>
    <row r="1192" ht="14.25" customHeight="1">
      <c r="A1192" s="55" t="s">
        <v>9177</v>
      </c>
      <c r="B1192" s="55" t="s">
        <v>40</v>
      </c>
      <c r="C1192" s="55" t="s">
        <v>11994</v>
      </c>
      <c r="D1192" s="55" t="s">
        <v>8968</v>
      </c>
    </row>
    <row r="1193" ht="14.25" customHeight="1">
      <c r="A1193" s="55" t="s">
        <v>9177</v>
      </c>
      <c r="B1193" s="55" t="s">
        <v>40</v>
      </c>
      <c r="C1193" s="55" t="s">
        <v>101</v>
      </c>
      <c r="D1193" s="55" t="s">
        <v>9043</v>
      </c>
    </row>
    <row r="1194" ht="14.25" customHeight="1">
      <c r="A1194" s="55" t="s">
        <v>9177</v>
      </c>
      <c r="B1194" s="55" t="s">
        <v>40</v>
      </c>
      <c r="C1194" s="55" t="s">
        <v>101</v>
      </c>
      <c r="D1194" s="55" t="s">
        <v>9219</v>
      </c>
    </row>
    <row r="1195" ht="14.25" customHeight="1">
      <c r="A1195" s="55" t="s">
        <v>9177</v>
      </c>
      <c r="B1195" s="55" t="s">
        <v>40</v>
      </c>
      <c r="C1195" s="55" t="s">
        <v>11435</v>
      </c>
      <c r="D1195" s="55" t="s">
        <v>9043</v>
      </c>
    </row>
    <row r="1196" ht="14.25" customHeight="1">
      <c r="A1196" s="55" t="s">
        <v>9177</v>
      </c>
      <c r="B1196" s="55" t="s">
        <v>40</v>
      </c>
      <c r="C1196" s="55" t="s">
        <v>11435</v>
      </c>
      <c r="D1196" s="55" t="s">
        <v>9055</v>
      </c>
    </row>
    <row r="1197" ht="14.25" customHeight="1">
      <c r="A1197" s="55" t="s">
        <v>9177</v>
      </c>
      <c r="B1197" s="55" t="s">
        <v>40</v>
      </c>
      <c r="C1197" s="55" t="s">
        <v>14107</v>
      </c>
      <c r="D1197" s="55" t="s">
        <v>11555</v>
      </c>
    </row>
    <row r="1198" ht="14.25" customHeight="1">
      <c r="A1198" s="55" t="s">
        <v>9177</v>
      </c>
      <c r="B1198" s="55" t="s">
        <v>40</v>
      </c>
      <c r="C1198" s="55" t="s">
        <v>102</v>
      </c>
      <c r="D1198" s="55" t="s">
        <v>8968</v>
      </c>
    </row>
    <row r="1199" ht="14.25" customHeight="1">
      <c r="A1199" s="55" t="s">
        <v>9177</v>
      </c>
      <c r="B1199" s="55" t="s">
        <v>40</v>
      </c>
      <c r="C1199" s="55" t="s">
        <v>102</v>
      </c>
      <c r="D1199" s="55" t="s">
        <v>9219</v>
      </c>
    </row>
    <row r="1200" ht="14.25" customHeight="1">
      <c r="A1200" s="55" t="s">
        <v>9177</v>
      </c>
      <c r="B1200" s="55" t="s">
        <v>40</v>
      </c>
      <c r="C1200" s="55" t="s">
        <v>12753</v>
      </c>
      <c r="D1200" s="55" t="s">
        <v>9202</v>
      </c>
    </row>
    <row r="1201" ht="14.25" customHeight="1">
      <c r="A1201" s="55" t="s">
        <v>9177</v>
      </c>
      <c r="B1201" s="55" t="s">
        <v>40</v>
      </c>
      <c r="C1201" s="55" t="s">
        <v>9183</v>
      </c>
      <c r="D1201" s="55" t="s">
        <v>9043</v>
      </c>
    </row>
    <row r="1202" ht="14.25" customHeight="1">
      <c r="A1202" s="55" t="s">
        <v>9177</v>
      </c>
      <c r="B1202" s="55" t="s">
        <v>40</v>
      </c>
      <c r="C1202" s="55" t="s">
        <v>13593</v>
      </c>
      <c r="D1202" s="55" t="s">
        <v>9219</v>
      </c>
    </row>
    <row r="1203" ht="14.25" customHeight="1">
      <c r="A1203" s="55" t="s">
        <v>9177</v>
      </c>
      <c r="B1203" s="55" t="s">
        <v>40</v>
      </c>
      <c r="C1203" s="55" t="s">
        <v>2804</v>
      </c>
      <c r="D1203" s="55" t="s">
        <v>9055</v>
      </c>
    </row>
    <row r="1204" ht="14.25" customHeight="1">
      <c r="A1204" s="55" t="s">
        <v>9177</v>
      </c>
      <c r="B1204" s="55" t="s">
        <v>40</v>
      </c>
      <c r="C1204" s="55" t="s">
        <v>10697</v>
      </c>
      <c r="D1204" s="55" t="s">
        <v>9055</v>
      </c>
    </row>
    <row r="1205" ht="14.25" customHeight="1">
      <c r="A1205" s="55" t="s">
        <v>9177</v>
      </c>
      <c r="B1205" s="55" t="s">
        <v>40</v>
      </c>
      <c r="C1205" s="55" t="s">
        <v>14108</v>
      </c>
      <c r="D1205" s="55" t="s">
        <v>9034</v>
      </c>
    </row>
    <row r="1206" ht="14.25" customHeight="1">
      <c r="A1206" s="55" t="s">
        <v>9177</v>
      </c>
      <c r="B1206" s="55" t="s">
        <v>40</v>
      </c>
      <c r="C1206" s="55" t="s">
        <v>10123</v>
      </c>
      <c r="D1206" s="55" t="s">
        <v>9618</v>
      </c>
    </row>
    <row r="1207" ht="14.25" customHeight="1">
      <c r="A1207" s="55" t="s">
        <v>9177</v>
      </c>
      <c r="B1207" s="55" t="s">
        <v>40</v>
      </c>
      <c r="C1207" s="55" t="s">
        <v>9184</v>
      </c>
      <c r="D1207" s="55" t="s">
        <v>9180</v>
      </c>
    </row>
    <row r="1208" ht="14.25" customHeight="1">
      <c r="A1208" s="55" t="s">
        <v>9177</v>
      </c>
      <c r="B1208" s="55" t="s">
        <v>40</v>
      </c>
      <c r="C1208" s="55" t="s">
        <v>11995</v>
      </c>
      <c r="D1208" s="55" t="s">
        <v>11996</v>
      </c>
    </row>
    <row r="1209" ht="14.25" customHeight="1">
      <c r="A1209" s="55" t="s">
        <v>9177</v>
      </c>
      <c r="B1209" s="55" t="s">
        <v>40</v>
      </c>
      <c r="C1209" s="55" t="s">
        <v>13594</v>
      </c>
      <c r="D1209" s="55" t="s">
        <v>13595</v>
      </c>
    </row>
    <row r="1210" ht="14.25" customHeight="1">
      <c r="A1210" s="55" t="s">
        <v>9177</v>
      </c>
      <c r="B1210" s="55" t="s">
        <v>40</v>
      </c>
      <c r="C1210" s="55" t="s">
        <v>9185</v>
      </c>
      <c r="D1210" s="55" t="s">
        <v>9180</v>
      </c>
    </row>
    <row r="1211" ht="14.25" customHeight="1">
      <c r="A1211" s="55" t="s">
        <v>9177</v>
      </c>
      <c r="B1211" s="55" t="s">
        <v>40</v>
      </c>
      <c r="C1211" s="55" t="s">
        <v>12754</v>
      </c>
      <c r="D1211" s="55" t="s">
        <v>9189</v>
      </c>
    </row>
    <row r="1212" ht="14.25" customHeight="1">
      <c r="A1212" s="55" t="s">
        <v>9177</v>
      </c>
      <c r="B1212" s="55" t="s">
        <v>40</v>
      </c>
      <c r="C1212" s="55" t="s">
        <v>11897</v>
      </c>
      <c r="D1212" s="55" t="s">
        <v>14109</v>
      </c>
    </row>
    <row r="1213" ht="14.25" customHeight="1">
      <c r="A1213" s="55" t="s">
        <v>9177</v>
      </c>
      <c r="B1213" s="55" t="s">
        <v>40</v>
      </c>
      <c r="C1213" s="55" t="s">
        <v>10151</v>
      </c>
      <c r="D1213" s="55" t="s">
        <v>9026</v>
      </c>
    </row>
    <row r="1214" ht="14.25" customHeight="1">
      <c r="A1214" s="55" t="s">
        <v>9177</v>
      </c>
      <c r="B1214" s="55" t="s">
        <v>40</v>
      </c>
      <c r="C1214" s="55" t="s">
        <v>111</v>
      </c>
      <c r="D1214" s="55" t="s">
        <v>9131</v>
      </c>
    </row>
    <row r="1215" ht="14.25" customHeight="1">
      <c r="A1215" s="55" t="s">
        <v>9177</v>
      </c>
      <c r="B1215" s="55" t="s">
        <v>40</v>
      </c>
      <c r="C1215" s="55" t="s">
        <v>9186</v>
      </c>
      <c r="D1215" s="55" t="s">
        <v>9043</v>
      </c>
    </row>
    <row r="1216" ht="14.25" customHeight="1">
      <c r="A1216" s="55" t="s">
        <v>9177</v>
      </c>
      <c r="B1216" s="55" t="s">
        <v>40</v>
      </c>
      <c r="C1216" s="55" t="s">
        <v>9186</v>
      </c>
      <c r="D1216" s="55" t="s">
        <v>9187</v>
      </c>
    </row>
    <row r="1217" ht="14.25" customHeight="1">
      <c r="A1217" s="55" t="s">
        <v>9177</v>
      </c>
      <c r="B1217" s="55" t="s">
        <v>40</v>
      </c>
      <c r="C1217" s="55" t="s">
        <v>14110</v>
      </c>
      <c r="D1217" s="55" t="s">
        <v>13614</v>
      </c>
    </row>
    <row r="1218" ht="14.25" customHeight="1">
      <c r="A1218" s="55" t="s">
        <v>9177</v>
      </c>
      <c r="B1218" s="55" t="s">
        <v>40</v>
      </c>
      <c r="C1218" s="55" t="s">
        <v>4837</v>
      </c>
      <c r="D1218" s="55" t="s">
        <v>9131</v>
      </c>
    </row>
    <row r="1219" ht="14.25" customHeight="1">
      <c r="A1219" s="55" t="s">
        <v>9177</v>
      </c>
      <c r="B1219" s="55" t="s">
        <v>40</v>
      </c>
      <c r="C1219" s="55" t="s">
        <v>117</v>
      </c>
      <c r="D1219" s="55" t="s">
        <v>11020</v>
      </c>
    </row>
    <row r="1220" ht="14.25" customHeight="1">
      <c r="A1220" s="55" t="s">
        <v>9177</v>
      </c>
      <c r="B1220" s="55" t="s">
        <v>40</v>
      </c>
      <c r="C1220" s="55" t="s">
        <v>117</v>
      </c>
      <c r="D1220" s="55" t="s">
        <v>9131</v>
      </c>
    </row>
    <row r="1221" ht="14.25" customHeight="1">
      <c r="A1221" s="55" t="s">
        <v>9177</v>
      </c>
      <c r="B1221" s="55" t="s">
        <v>40</v>
      </c>
      <c r="C1221" s="55" t="s">
        <v>118</v>
      </c>
      <c r="D1221" s="55" t="s">
        <v>9180</v>
      </c>
    </row>
    <row r="1222" ht="14.25" customHeight="1">
      <c r="A1222" s="55" t="s">
        <v>9177</v>
      </c>
      <c r="B1222" s="55" t="s">
        <v>40</v>
      </c>
      <c r="C1222" s="55" t="s">
        <v>13596</v>
      </c>
      <c r="D1222" s="55" t="s">
        <v>9244</v>
      </c>
    </row>
    <row r="1223" ht="14.25" customHeight="1">
      <c r="A1223" s="55" t="s">
        <v>9177</v>
      </c>
      <c r="B1223" s="55" t="s">
        <v>40</v>
      </c>
      <c r="C1223" s="55" t="s">
        <v>11997</v>
      </c>
      <c r="D1223" s="55" t="s">
        <v>11998</v>
      </c>
    </row>
    <row r="1224" ht="14.25" customHeight="1">
      <c r="A1224" s="55" t="s">
        <v>9177</v>
      </c>
      <c r="B1224" s="55" t="s">
        <v>40</v>
      </c>
      <c r="C1224" s="55" t="s">
        <v>9133</v>
      </c>
      <c r="D1224" s="55" t="s">
        <v>9188</v>
      </c>
    </row>
    <row r="1225" ht="14.25" customHeight="1">
      <c r="A1225" s="55" t="s">
        <v>9177</v>
      </c>
      <c r="B1225" s="55" t="s">
        <v>40</v>
      </c>
      <c r="C1225" s="55" t="s">
        <v>129</v>
      </c>
      <c r="D1225" s="55" t="s">
        <v>8994</v>
      </c>
    </row>
    <row r="1226" ht="14.25" customHeight="1">
      <c r="A1226" s="55" t="s">
        <v>9177</v>
      </c>
      <c r="B1226" s="55" t="s">
        <v>40</v>
      </c>
      <c r="C1226" s="55" t="s">
        <v>10698</v>
      </c>
      <c r="D1226" s="55" t="s">
        <v>8968</v>
      </c>
    </row>
    <row r="1227" ht="14.25" customHeight="1">
      <c r="A1227" s="55" t="s">
        <v>9177</v>
      </c>
      <c r="B1227" s="55" t="s">
        <v>40</v>
      </c>
      <c r="C1227" s="55" t="s">
        <v>14111</v>
      </c>
      <c r="D1227" s="55" t="s">
        <v>14112</v>
      </c>
    </row>
    <row r="1228" ht="14.25" customHeight="1">
      <c r="A1228" s="55" t="s">
        <v>9177</v>
      </c>
      <c r="B1228" s="55" t="s">
        <v>40</v>
      </c>
      <c r="C1228" s="55" t="s">
        <v>131</v>
      </c>
      <c r="D1228" s="55" t="s">
        <v>9034</v>
      </c>
    </row>
    <row r="1229" ht="14.25" customHeight="1">
      <c r="A1229" s="55" t="s">
        <v>9177</v>
      </c>
      <c r="B1229" s="55" t="s">
        <v>40</v>
      </c>
      <c r="C1229" s="55" t="s">
        <v>131</v>
      </c>
      <c r="D1229" s="55" t="s">
        <v>9026</v>
      </c>
    </row>
    <row r="1230" ht="14.25" customHeight="1">
      <c r="A1230" s="55" t="s">
        <v>9177</v>
      </c>
      <c r="B1230" s="55" t="s">
        <v>40</v>
      </c>
      <c r="C1230" s="55" t="s">
        <v>10699</v>
      </c>
      <c r="D1230" s="55" t="s">
        <v>9219</v>
      </c>
    </row>
    <row r="1231" ht="14.25" customHeight="1">
      <c r="A1231" s="55" t="s">
        <v>9177</v>
      </c>
      <c r="B1231" s="55" t="s">
        <v>40</v>
      </c>
      <c r="C1231" s="55" t="s">
        <v>10699</v>
      </c>
      <c r="D1231" s="55" t="s">
        <v>10700</v>
      </c>
    </row>
    <row r="1232" ht="14.25" customHeight="1">
      <c r="A1232" s="55" t="s">
        <v>9177</v>
      </c>
      <c r="B1232" s="55" t="s">
        <v>40</v>
      </c>
      <c r="C1232" s="55" t="s">
        <v>10699</v>
      </c>
      <c r="D1232" s="55" t="s">
        <v>9187</v>
      </c>
    </row>
    <row r="1233" ht="14.25" customHeight="1">
      <c r="A1233" s="55" t="s">
        <v>9177</v>
      </c>
      <c r="B1233" s="55" t="s">
        <v>40</v>
      </c>
      <c r="C1233" s="55" t="s">
        <v>10699</v>
      </c>
      <c r="D1233" s="55" t="s">
        <v>9189</v>
      </c>
    </row>
    <row r="1234" ht="14.25" customHeight="1">
      <c r="A1234" s="55" t="s">
        <v>9177</v>
      </c>
      <c r="B1234" s="55" t="s">
        <v>40</v>
      </c>
      <c r="C1234" s="55" t="s">
        <v>9589</v>
      </c>
      <c r="D1234" s="55" t="s">
        <v>10124</v>
      </c>
    </row>
    <row r="1235" ht="14.25" customHeight="1">
      <c r="A1235" s="55" t="s">
        <v>9177</v>
      </c>
      <c r="B1235" s="55" t="s">
        <v>40</v>
      </c>
      <c r="C1235" s="55" t="s">
        <v>11999</v>
      </c>
      <c r="D1235" s="55" t="s">
        <v>12000</v>
      </c>
    </row>
    <row r="1236" ht="14.25" customHeight="1">
      <c r="A1236" s="55" t="s">
        <v>9177</v>
      </c>
      <c r="B1236" s="55" t="s">
        <v>40</v>
      </c>
      <c r="C1236" s="55" t="s">
        <v>14113</v>
      </c>
      <c r="D1236" s="55" t="s">
        <v>11076</v>
      </c>
    </row>
    <row r="1237" ht="14.25" customHeight="1">
      <c r="A1237" s="55" t="s">
        <v>9177</v>
      </c>
      <c r="B1237" s="55" t="s">
        <v>40</v>
      </c>
      <c r="C1237" s="55" t="s">
        <v>6310</v>
      </c>
      <c r="D1237" s="55" t="s">
        <v>9055</v>
      </c>
    </row>
    <row r="1238" ht="14.25" customHeight="1">
      <c r="A1238" s="55" t="s">
        <v>9177</v>
      </c>
      <c r="B1238" s="55" t="s">
        <v>40</v>
      </c>
      <c r="C1238" s="55" t="s">
        <v>4911</v>
      </c>
      <c r="D1238" s="55" t="s">
        <v>10125</v>
      </c>
    </row>
    <row r="1239" ht="14.25" customHeight="1">
      <c r="A1239" s="55" t="s">
        <v>9177</v>
      </c>
      <c r="B1239" s="55" t="s">
        <v>40</v>
      </c>
      <c r="C1239" s="55" t="s">
        <v>4911</v>
      </c>
      <c r="D1239" s="55" t="s">
        <v>8968</v>
      </c>
    </row>
    <row r="1240" ht="14.25" customHeight="1">
      <c r="A1240" s="55" t="s">
        <v>9177</v>
      </c>
      <c r="B1240" s="55" t="s">
        <v>40</v>
      </c>
      <c r="C1240" s="55" t="s">
        <v>4911</v>
      </c>
      <c r="D1240" s="55" t="s">
        <v>9043</v>
      </c>
    </row>
    <row r="1241" ht="14.25" customHeight="1">
      <c r="A1241" s="55" t="s">
        <v>9177</v>
      </c>
      <c r="B1241" s="55" t="s">
        <v>40</v>
      </c>
      <c r="C1241" s="55" t="s">
        <v>4911</v>
      </c>
      <c r="D1241" s="55" t="s">
        <v>9055</v>
      </c>
    </row>
    <row r="1242" ht="14.25" customHeight="1">
      <c r="A1242" s="55" t="s">
        <v>9177</v>
      </c>
      <c r="B1242" s="55" t="s">
        <v>40</v>
      </c>
      <c r="C1242" s="55" t="s">
        <v>4911</v>
      </c>
      <c r="D1242" s="55" t="s">
        <v>9189</v>
      </c>
    </row>
    <row r="1243" ht="14.25" customHeight="1">
      <c r="A1243" s="55" t="s">
        <v>9177</v>
      </c>
      <c r="B1243" s="55" t="s">
        <v>40</v>
      </c>
      <c r="C1243" s="55" t="s">
        <v>4911</v>
      </c>
      <c r="D1243" s="55" t="s">
        <v>9190</v>
      </c>
    </row>
    <row r="1244" ht="14.25" customHeight="1">
      <c r="A1244" s="55" t="s">
        <v>9177</v>
      </c>
      <c r="B1244" s="55" t="s">
        <v>40</v>
      </c>
      <c r="C1244" s="55" t="s">
        <v>12755</v>
      </c>
      <c r="D1244" s="55" t="s">
        <v>9055</v>
      </c>
    </row>
    <row r="1245" ht="14.25" customHeight="1">
      <c r="A1245" s="55" t="s">
        <v>9177</v>
      </c>
      <c r="B1245" s="55" t="s">
        <v>40</v>
      </c>
      <c r="C1245" s="55" t="s">
        <v>1119</v>
      </c>
      <c r="D1245" s="55" t="s">
        <v>14114</v>
      </c>
    </row>
    <row r="1246" ht="14.25" customHeight="1">
      <c r="A1246" s="55" t="s">
        <v>9177</v>
      </c>
      <c r="B1246" s="55" t="s">
        <v>40</v>
      </c>
      <c r="C1246" s="55" t="s">
        <v>134</v>
      </c>
      <c r="D1246" s="55" t="s">
        <v>12001</v>
      </c>
    </row>
    <row r="1247" ht="14.25" customHeight="1">
      <c r="A1247" s="55" t="s">
        <v>9177</v>
      </c>
      <c r="B1247" s="55" t="s">
        <v>40</v>
      </c>
      <c r="C1247" s="55" t="s">
        <v>13597</v>
      </c>
      <c r="D1247" s="55" t="s">
        <v>8994</v>
      </c>
    </row>
    <row r="1248" ht="14.25" customHeight="1">
      <c r="A1248" s="55" t="s">
        <v>9177</v>
      </c>
      <c r="B1248" s="55" t="s">
        <v>40</v>
      </c>
      <c r="C1248" s="55" t="s">
        <v>9590</v>
      </c>
      <c r="D1248" s="55" t="s">
        <v>10701</v>
      </c>
    </row>
    <row r="1249" ht="14.25" customHeight="1">
      <c r="A1249" s="55" t="s">
        <v>9177</v>
      </c>
      <c r="B1249" s="55" t="s">
        <v>40</v>
      </c>
      <c r="C1249" s="55" t="s">
        <v>1144</v>
      </c>
      <c r="D1249" s="55" t="s">
        <v>9131</v>
      </c>
    </row>
    <row r="1250" ht="14.25" customHeight="1">
      <c r="A1250" s="55" t="s">
        <v>9177</v>
      </c>
      <c r="B1250" s="55" t="s">
        <v>40</v>
      </c>
      <c r="C1250" s="55" t="s">
        <v>1144</v>
      </c>
      <c r="D1250" s="55" t="s">
        <v>9026</v>
      </c>
    </row>
    <row r="1251" ht="14.25" customHeight="1">
      <c r="A1251" s="55" t="s">
        <v>9177</v>
      </c>
      <c r="B1251" s="55" t="s">
        <v>40</v>
      </c>
      <c r="C1251" s="55" t="s">
        <v>1144</v>
      </c>
      <c r="D1251" s="55" t="s">
        <v>11902</v>
      </c>
    </row>
    <row r="1252" ht="14.25" customHeight="1">
      <c r="A1252" s="55" t="s">
        <v>9177</v>
      </c>
      <c r="B1252" s="55" t="s">
        <v>40</v>
      </c>
      <c r="C1252" s="55" t="s">
        <v>10612</v>
      </c>
      <c r="D1252" s="55" t="s">
        <v>10150</v>
      </c>
    </row>
    <row r="1253" ht="14.25" customHeight="1">
      <c r="A1253" s="55" t="s">
        <v>9177</v>
      </c>
      <c r="B1253" s="55" t="s">
        <v>40</v>
      </c>
      <c r="C1253" s="55" t="s">
        <v>12002</v>
      </c>
      <c r="D1253" s="55" t="s">
        <v>12003</v>
      </c>
    </row>
    <row r="1254" ht="14.25" customHeight="1">
      <c r="A1254" s="55" t="s">
        <v>9177</v>
      </c>
      <c r="B1254" s="55" t="s">
        <v>40</v>
      </c>
      <c r="C1254" s="55" t="s">
        <v>10126</v>
      </c>
      <c r="D1254" s="55" t="s">
        <v>9043</v>
      </c>
    </row>
    <row r="1255" ht="14.25" customHeight="1">
      <c r="A1255" s="55" t="s">
        <v>9177</v>
      </c>
      <c r="B1255" s="55" t="s">
        <v>40</v>
      </c>
      <c r="C1255" s="55" t="s">
        <v>6348</v>
      </c>
      <c r="D1255" s="55" t="s">
        <v>9219</v>
      </c>
    </row>
    <row r="1256" ht="14.25" customHeight="1">
      <c r="A1256" s="55" t="s">
        <v>9177</v>
      </c>
      <c r="B1256" s="55" t="s">
        <v>40</v>
      </c>
      <c r="C1256" s="55" t="s">
        <v>9191</v>
      </c>
      <c r="D1256" s="55" t="s">
        <v>9026</v>
      </c>
    </row>
    <row r="1257" ht="14.25" customHeight="1">
      <c r="A1257" s="55" t="s">
        <v>9177</v>
      </c>
      <c r="B1257" s="55" t="s">
        <v>40</v>
      </c>
      <c r="C1257" s="55" t="s">
        <v>139</v>
      </c>
      <c r="D1257" s="55" t="s">
        <v>8994</v>
      </c>
    </row>
    <row r="1258" ht="14.25" customHeight="1">
      <c r="A1258" s="55" t="s">
        <v>9177</v>
      </c>
      <c r="B1258" s="55" t="s">
        <v>40</v>
      </c>
      <c r="C1258" s="55" t="s">
        <v>9192</v>
      </c>
      <c r="D1258" s="55" t="s">
        <v>9180</v>
      </c>
    </row>
    <row r="1259" ht="14.25" customHeight="1">
      <c r="A1259" s="55" t="s">
        <v>9177</v>
      </c>
      <c r="B1259" s="55" t="s">
        <v>40</v>
      </c>
      <c r="C1259" s="55" t="s">
        <v>9192</v>
      </c>
      <c r="D1259" s="55" t="s">
        <v>10186</v>
      </c>
    </row>
    <row r="1260" ht="14.25" customHeight="1">
      <c r="A1260" s="55" t="s">
        <v>9177</v>
      </c>
      <c r="B1260" s="55" t="s">
        <v>40</v>
      </c>
      <c r="C1260" s="55" t="s">
        <v>9192</v>
      </c>
      <c r="D1260" s="55" t="s">
        <v>9043</v>
      </c>
    </row>
    <row r="1261" ht="14.25" customHeight="1">
      <c r="A1261" s="55" t="s">
        <v>9177</v>
      </c>
      <c r="B1261" s="55" t="s">
        <v>40</v>
      </c>
      <c r="C1261" s="55" t="s">
        <v>9192</v>
      </c>
      <c r="D1261" s="55" t="s">
        <v>10141</v>
      </c>
    </row>
    <row r="1262" ht="14.25" customHeight="1">
      <c r="A1262" s="55" t="s">
        <v>9177</v>
      </c>
      <c r="B1262" s="55" t="s">
        <v>40</v>
      </c>
      <c r="C1262" s="55" t="s">
        <v>9192</v>
      </c>
      <c r="D1262" s="55" t="s">
        <v>9189</v>
      </c>
    </row>
    <row r="1263" ht="14.25" customHeight="1">
      <c r="A1263" s="55" t="s">
        <v>9177</v>
      </c>
      <c r="B1263" s="55" t="s">
        <v>40</v>
      </c>
      <c r="C1263" s="55" t="s">
        <v>9192</v>
      </c>
      <c r="D1263" s="55" t="s">
        <v>9193</v>
      </c>
    </row>
    <row r="1264" ht="14.25" customHeight="1">
      <c r="A1264" s="55" t="s">
        <v>9177</v>
      </c>
      <c r="B1264" s="55" t="s">
        <v>40</v>
      </c>
      <c r="C1264" s="55" t="s">
        <v>1196</v>
      </c>
      <c r="D1264" s="55" t="s">
        <v>9180</v>
      </c>
    </row>
    <row r="1265" ht="14.25" customHeight="1">
      <c r="A1265" s="55" t="s">
        <v>9177</v>
      </c>
      <c r="B1265" s="55" t="s">
        <v>40</v>
      </c>
      <c r="C1265" s="55" t="s">
        <v>1196</v>
      </c>
      <c r="D1265" s="55" t="s">
        <v>8968</v>
      </c>
    </row>
    <row r="1266" ht="14.25" customHeight="1">
      <c r="A1266" s="55" t="s">
        <v>9177</v>
      </c>
      <c r="B1266" s="55" t="s">
        <v>40</v>
      </c>
      <c r="C1266" s="55" t="s">
        <v>1196</v>
      </c>
      <c r="D1266" s="55" t="s">
        <v>9219</v>
      </c>
    </row>
    <row r="1267" ht="14.25" customHeight="1">
      <c r="A1267" s="55" t="s">
        <v>9177</v>
      </c>
      <c r="B1267" s="55" t="s">
        <v>40</v>
      </c>
      <c r="C1267" s="55" t="s">
        <v>1196</v>
      </c>
      <c r="D1267" s="55" t="s">
        <v>10141</v>
      </c>
    </row>
    <row r="1268" ht="14.25" customHeight="1">
      <c r="A1268" s="55" t="s">
        <v>9177</v>
      </c>
      <c r="B1268" s="55" t="s">
        <v>40</v>
      </c>
      <c r="C1268" s="55" t="s">
        <v>10702</v>
      </c>
      <c r="D1268" s="55" t="s">
        <v>11436</v>
      </c>
    </row>
    <row r="1269" ht="14.25" customHeight="1">
      <c r="A1269" s="55" t="s">
        <v>9177</v>
      </c>
      <c r="B1269" s="55" t="s">
        <v>40</v>
      </c>
      <c r="C1269" s="55" t="s">
        <v>10702</v>
      </c>
      <c r="D1269" s="55" t="s">
        <v>9189</v>
      </c>
    </row>
    <row r="1270" ht="14.25" customHeight="1">
      <c r="A1270" s="55" t="s">
        <v>9177</v>
      </c>
      <c r="B1270" s="55" t="s">
        <v>40</v>
      </c>
      <c r="C1270" s="55" t="s">
        <v>145</v>
      </c>
      <c r="D1270" s="55" t="s">
        <v>12756</v>
      </c>
    </row>
    <row r="1271" ht="14.25" customHeight="1">
      <c r="A1271" s="55" t="s">
        <v>9177</v>
      </c>
      <c r="B1271" s="55" t="s">
        <v>40</v>
      </c>
      <c r="C1271" s="55" t="s">
        <v>9035</v>
      </c>
      <c r="D1271" s="55" t="s">
        <v>9193</v>
      </c>
    </row>
    <row r="1272" ht="14.25" customHeight="1">
      <c r="A1272" s="55" t="s">
        <v>9177</v>
      </c>
      <c r="B1272" s="55" t="s">
        <v>40</v>
      </c>
      <c r="C1272" s="55" t="s">
        <v>10703</v>
      </c>
      <c r="D1272" s="55" t="s">
        <v>9151</v>
      </c>
    </row>
    <row r="1273" ht="14.25" customHeight="1">
      <c r="A1273" s="55" t="s">
        <v>9177</v>
      </c>
      <c r="B1273" s="55" t="s">
        <v>40</v>
      </c>
      <c r="C1273" s="55" t="s">
        <v>12757</v>
      </c>
      <c r="D1273" s="55" t="s">
        <v>12573</v>
      </c>
    </row>
    <row r="1274" ht="14.25" customHeight="1">
      <c r="A1274" s="55" t="s">
        <v>9177</v>
      </c>
      <c r="B1274" s="55" t="s">
        <v>40</v>
      </c>
      <c r="C1274" s="55" t="s">
        <v>147</v>
      </c>
      <c r="D1274" s="55" t="s">
        <v>9026</v>
      </c>
    </row>
    <row r="1275" ht="14.25" customHeight="1">
      <c r="A1275" s="55" t="s">
        <v>9177</v>
      </c>
      <c r="B1275" s="55" t="s">
        <v>40</v>
      </c>
      <c r="C1275" s="55" t="s">
        <v>147</v>
      </c>
      <c r="D1275" s="55" t="s">
        <v>14115</v>
      </c>
    </row>
    <row r="1276" ht="14.25" customHeight="1">
      <c r="A1276" s="55" t="s">
        <v>9177</v>
      </c>
      <c r="B1276" s="55" t="s">
        <v>40</v>
      </c>
      <c r="C1276" s="55" t="s">
        <v>148</v>
      </c>
      <c r="D1276" s="55" t="s">
        <v>9034</v>
      </c>
    </row>
    <row r="1277" ht="14.25" customHeight="1">
      <c r="A1277" s="55" t="s">
        <v>9177</v>
      </c>
      <c r="B1277" s="55" t="s">
        <v>40</v>
      </c>
      <c r="C1277" s="55" t="s">
        <v>148</v>
      </c>
      <c r="D1277" s="55" t="s">
        <v>10124</v>
      </c>
    </row>
    <row r="1278" ht="14.25" customHeight="1">
      <c r="A1278" s="55" t="s">
        <v>9177</v>
      </c>
      <c r="B1278" s="55" t="s">
        <v>40</v>
      </c>
      <c r="C1278" s="55" t="s">
        <v>148</v>
      </c>
      <c r="D1278" s="55" t="s">
        <v>11437</v>
      </c>
    </row>
    <row r="1279" ht="14.25" customHeight="1">
      <c r="A1279" s="55" t="s">
        <v>9177</v>
      </c>
      <c r="B1279" s="55" t="s">
        <v>40</v>
      </c>
      <c r="C1279" s="55" t="s">
        <v>148</v>
      </c>
      <c r="D1279" s="55" t="s">
        <v>9244</v>
      </c>
    </row>
    <row r="1280" ht="14.25" customHeight="1">
      <c r="A1280" s="55" t="s">
        <v>9177</v>
      </c>
      <c r="B1280" s="55" t="s">
        <v>40</v>
      </c>
      <c r="C1280" s="55" t="s">
        <v>148</v>
      </c>
      <c r="D1280" s="55" t="s">
        <v>8994</v>
      </c>
    </row>
    <row r="1281" ht="14.25" customHeight="1">
      <c r="A1281" s="55" t="s">
        <v>9177</v>
      </c>
      <c r="B1281" s="55" t="s">
        <v>40</v>
      </c>
      <c r="C1281" s="55" t="s">
        <v>148</v>
      </c>
      <c r="D1281" s="55" t="s">
        <v>9194</v>
      </c>
    </row>
    <row r="1282" ht="14.25" customHeight="1">
      <c r="A1282" s="55" t="s">
        <v>9177</v>
      </c>
      <c r="B1282" s="55" t="s">
        <v>40</v>
      </c>
      <c r="C1282" s="55" t="s">
        <v>148</v>
      </c>
      <c r="D1282" s="55" t="s">
        <v>9195</v>
      </c>
    </row>
    <row r="1283" ht="14.25" customHeight="1">
      <c r="A1283" s="55" t="s">
        <v>9177</v>
      </c>
      <c r="B1283" s="55" t="s">
        <v>40</v>
      </c>
      <c r="C1283" s="55" t="s">
        <v>150</v>
      </c>
      <c r="D1283" s="55" t="s">
        <v>8968</v>
      </c>
    </row>
    <row r="1284" ht="14.25" customHeight="1">
      <c r="A1284" s="55" t="s">
        <v>9177</v>
      </c>
      <c r="B1284" s="55" t="s">
        <v>40</v>
      </c>
      <c r="C1284" s="55" t="s">
        <v>12758</v>
      </c>
      <c r="D1284" s="55" t="s">
        <v>8994</v>
      </c>
    </row>
    <row r="1285" ht="14.25" customHeight="1">
      <c r="A1285" s="55" t="s">
        <v>9177</v>
      </c>
      <c r="B1285" s="55" t="s">
        <v>40</v>
      </c>
      <c r="C1285" s="55" t="s">
        <v>12758</v>
      </c>
      <c r="D1285" s="55" t="s">
        <v>9221</v>
      </c>
    </row>
    <row r="1286" ht="14.25" customHeight="1">
      <c r="A1286" s="55" t="s">
        <v>9177</v>
      </c>
      <c r="B1286" s="55" t="s">
        <v>40</v>
      </c>
      <c r="C1286" s="55" t="s">
        <v>152</v>
      </c>
      <c r="D1286" s="55" t="s">
        <v>9043</v>
      </c>
    </row>
    <row r="1287" ht="14.25" customHeight="1">
      <c r="A1287" s="55" t="s">
        <v>9177</v>
      </c>
      <c r="B1287" s="55" t="s">
        <v>40</v>
      </c>
      <c r="C1287" s="55" t="s">
        <v>9196</v>
      </c>
      <c r="D1287" s="55" t="s">
        <v>9197</v>
      </c>
    </row>
    <row r="1288" ht="14.25" customHeight="1">
      <c r="A1288" s="55" t="s">
        <v>9177</v>
      </c>
      <c r="B1288" s="55" t="s">
        <v>40</v>
      </c>
      <c r="C1288" s="55" t="s">
        <v>12004</v>
      </c>
      <c r="D1288" s="55" t="s">
        <v>12005</v>
      </c>
    </row>
    <row r="1289" ht="14.25" customHeight="1">
      <c r="A1289" s="55" t="s">
        <v>9177</v>
      </c>
      <c r="B1289" s="55" t="s">
        <v>40</v>
      </c>
      <c r="C1289" s="55" t="s">
        <v>8091</v>
      </c>
      <c r="D1289" s="55" t="s">
        <v>9109</v>
      </c>
    </row>
    <row r="1290" ht="14.25" customHeight="1">
      <c r="A1290" s="55" t="s">
        <v>9177</v>
      </c>
      <c r="B1290" s="55" t="s">
        <v>40</v>
      </c>
      <c r="C1290" s="55" t="s">
        <v>8091</v>
      </c>
      <c r="D1290" s="55" t="s">
        <v>9180</v>
      </c>
    </row>
    <row r="1291" ht="14.25" customHeight="1">
      <c r="A1291" s="55" t="s">
        <v>9177</v>
      </c>
      <c r="B1291" s="55" t="s">
        <v>40</v>
      </c>
      <c r="C1291" s="55" t="s">
        <v>12759</v>
      </c>
      <c r="D1291" s="55" t="s">
        <v>12760</v>
      </c>
    </row>
    <row r="1292" ht="14.25" customHeight="1">
      <c r="A1292" s="55" t="s">
        <v>9177</v>
      </c>
      <c r="B1292" s="55" t="s">
        <v>40</v>
      </c>
      <c r="C1292" s="55" t="s">
        <v>155</v>
      </c>
      <c r="D1292" s="55" t="s">
        <v>9034</v>
      </c>
    </row>
    <row r="1293" ht="14.25" customHeight="1">
      <c r="A1293" s="55" t="s">
        <v>9177</v>
      </c>
      <c r="B1293" s="55" t="s">
        <v>40</v>
      </c>
      <c r="C1293" s="55" t="s">
        <v>155</v>
      </c>
      <c r="D1293" s="55" t="s">
        <v>9131</v>
      </c>
    </row>
    <row r="1294" ht="14.25" customHeight="1">
      <c r="A1294" s="55" t="s">
        <v>9177</v>
      </c>
      <c r="B1294" s="55" t="s">
        <v>40</v>
      </c>
      <c r="C1294" s="55" t="s">
        <v>156</v>
      </c>
      <c r="D1294" s="55" t="s">
        <v>10704</v>
      </c>
    </row>
    <row r="1295" ht="14.25" customHeight="1">
      <c r="A1295" s="55" t="s">
        <v>9177</v>
      </c>
      <c r="B1295" s="55" t="s">
        <v>40</v>
      </c>
      <c r="C1295" s="55" t="s">
        <v>9198</v>
      </c>
      <c r="D1295" s="55" t="s">
        <v>9043</v>
      </c>
    </row>
    <row r="1296" ht="14.25" customHeight="1">
      <c r="A1296" s="55" t="s">
        <v>9177</v>
      </c>
      <c r="B1296" s="55" t="s">
        <v>40</v>
      </c>
      <c r="C1296" s="55" t="s">
        <v>9198</v>
      </c>
      <c r="D1296" s="55" t="s">
        <v>9026</v>
      </c>
    </row>
    <row r="1297" ht="14.25" customHeight="1">
      <c r="A1297" s="55" t="s">
        <v>9177</v>
      </c>
      <c r="B1297" s="55" t="s">
        <v>40</v>
      </c>
      <c r="C1297" s="55" t="s">
        <v>14116</v>
      </c>
      <c r="D1297" s="55" t="s">
        <v>9026</v>
      </c>
    </row>
    <row r="1298" ht="14.25" customHeight="1">
      <c r="A1298" s="55" t="s">
        <v>9177</v>
      </c>
      <c r="B1298" s="55" t="s">
        <v>40</v>
      </c>
      <c r="C1298" s="55" t="s">
        <v>9199</v>
      </c>
      <c r="D1298" s="55" t="s">
        <v>9043</v>
      </c>
    </row>
    <row r="1299" ht="14.25" customHeight="1">
      <c r="A1299" s="55" t="s">
        <v>9177</v>
      </c>
      <c r="B1299" s="55" t="s">
        <v>40</v>
      </c>
      <c r="C1299" s="55" t="s">
        <v>14117</v>
      </c>
      <c r="D1299" s="55" t="s">
        <v>9131</v>
      </c>
    </row>
    <row r="1300" ht="14.25" customHeight="1">
      <c r="A1300" s="55" t="s">
        <v>9177</v>
      </c>
      <c r="B1300" s="55" t="s">
        <v>40</v>
      </c>
      <c r="C1300" s="55" t="s">
        <v>12006</v>
      </c>
      <c r="D1300" s="55" t="s">
        <v>9180</v>
      </c>
    </row>
    <row r="1301" ht="14.25" customHeight="1">
      <c r="A1301" s="55" t="s">
        <v>9177</v>
      </c>
      <c r="B1301" s="55" t="s">
        <v>40</v>
      </c>
      <c r="C1301" s="55" t="s">
        <v>10127</v>
      </c>
      <c r="D1301" s="55" t="s">
        <v>9026</v>
      </c>
    </row>
    <row r="1302" ht="14.25" customHeight="1">
      <c r="A1302" s="55" t="s">
        <v>9177</v>
      </c>
      <c r="B1302" s="55" t="s">
        <v>40</v>
      </c>
      <c r="C1302" s="55" t="s">
        <v>9200</v>
      </c>
      <c r="D1302" s="55" t="s">
        <v>9197</v>
      </c>
    </row>
    <row r="1303" ht="14.25" customHeight="1">
      <c r="A1303" s="55" t="s">
        <v>9177</v>
      </c>
      <c r="B1303" s="55" t="s">
        <v>40</v>
      </c>
      <c r="C1303" s="55" t="s">
        <v>9201</v>
      </c>
      <c r="D1303" s="55" t="s">
        <v>9202</v>
      </c>
    </row>
    <row r="1304" ht="14.25" customHeight="1">
      <c r="A1304" s="55" t="s">
        <v>9177</v>
      </c>
      <c r="B1304" s="55" t="s">
        <v>40</v>
      </c>
      <c r="C1304" s="55" t="s">
        <v>10705</v>
      </c>
      <c r="D1304" s="55" t="s">
        <v>9219</v>
      </c>
    </row>
    <row r="1305" ht="14.25" customHeight="1">
      <c r="A1305" s="55" t="s">
        <v>9177</v>
      </c>
      <c r="B1305" s="55" t="s">
        <v>40</v>
      </c>
      <c r="C1305" s="55" t="s">
        <v>12761</v>
      </c>
      <c r="D1305" s="55" t="s">
        <v>9131</v>
      </c>
    </row>
    <row r="1306" ht="14.25" customHeight="1">
      <c r="A1306" s="55" t="s">
        <v>9177</v>
      </c>
      <c r="B1306" s="55" t="s">
        <v>40</v>
      </c>
      <c r="C1306" s="55" t="s">
        <v>12762</v>
      </c>
      <c r="D1306" s="55" t="s">
        <v>9180</v>
      </c>
    </row>
    <row r="1307" ht="14.25" customHeight="1">
      <c r="A1307" s="55" t="s">
        <v>9177</v>
      </c>
      <c r="B1307" s="55" t="s">
        <v>40</v>
      </c>
      <c r="C1307" s="55" t="s">
        <v>12762</v>
      </c>
      <c r="D1307" s="55" t="s">
        <v>9131</v>
      </c>
    </row>
    <row r="1308" ht="14.25" customHeight="1">
      <c r="A1308" s="55" t="s">
        <v>9177</v>
      </c>
      <c r="B1308" s="55" t="s">
        <v>40</v>
      </c>
      <c r="C1308" s="55" t="s">
        <v>12762</v>
      </c>
      <c r="D1308" s="55" t="s">
        <v>12760</v>
      </c>
    </row>
    <row r="1309" ht="14.25" customHeight="1">
      <c r="A1309" s="55" t="s">
        <v>9177</v>
      </c>
      <c r="B1309" s="55" t="s">
        <v>40</v>
      </c>
      <c r="C1309" s="55" t="s">
        <v>12762</v>
      </c>
      <c r="D1309" s="55" t="s">
        <v>8968</v>
      </c>
    </row>
    <row r="1310" ht="14.25" customHeight="1">
      <c r="A1310" s="55" t="s">
        <v>9177</v>
      </c>
      <c r="B1310" s="55" t="s">
        <v>40</v>
      </c>
      <c r="C1310" s="55" t="s">
        <v>8150</v>
      </c>
      <c r="D1310" s="55" t="s">
        <v>9055</v>
      </c>
    </row>
    <row r="1311" ht="14.25" customHeight="1">
      <c r="A1311" s="55" t="s">
        <v>9177</v>
      </c>
      <c r="B1311" s="55" t="s">
        <v>40</v>
      </c>
      <c r="C1311" s="55" t="s">
        <v>14118</v>
      </c>
      <c r="D1311" s="55" t="s">
        <v>9043</v>
      </c>
    </row>
    <row r="1312" ht="14.25" customHeight="1">
      <c r="A1312" s="55" t="s">
        <v>9177</v>
      </c>
      <c r="B1312" s="55" t="s">
        <v>40</v>
      </c>
      <c r="C1312" s="55" t="s">
        <v>12763</v>
      </c>
      <c r="D1312" s="55" t="s">
        <v>9043</v>
      </c>
    </row>
    <row r="1313" ht="14.25" customHeight="1">
      <c r="A1313" s="55" t="s">
        <v>9177</v>
      </c>
      <c r="B1313" s="55" t="s">
        <v>40</v>
      </c>
      <c r="C1313" s="55" t="s">
        <v>163</v>
      </c>
      <c r="D1313" s="55" t="s">
        <v>9043</v>
      </c>
    </row>
    <row r="1314" ht="14.25" customHeight="1">
      <c r="A1314" s="55" t="s">
        <v>9177</v>
      </c>
      <c r="B1314" s="55" t="s">
        <v>40</v>
      </c>
      <c r="C1314" s="55" t="s">
        <v>8175</v>
      </c>
      <c r="D1314" s="55" t="s">
        <v>9151</v>
      </c>
    </row>
    <row r="1315" ht="14.25" customHeight="1">
      <c r="A1315" s="55" t="s">
        <v>9177</v>
      </c>
      <c r="B1315" s="55" t="s">
        <v>40</v>
      </c>
      <c r="C1315" s="55" t="s">
        <v>12764</v>
      </c>
      <c r="D1315" s="55" t="s">
        <v>9151</v>
      </c>
    </row>
    <row r="1316" ht="14.25" customHeight="1">
      <c r="A1316" s="55" t="s">
        <v>9177</v>
      </c>
      <c r="B1316" s="55" t="s">
        <v>40</v>
      </c>
      <c r="C1316" s="55" t="s">
        <v>12007</v>
      </c>
      <c r="D1316" s="55" t="s">
        <v>9180</v>
      </c>
    </row>
    <row r="1317" ht="14.25" customHeight="1">
      <c r="A1317" s="55" t="s">
        <v>9177</v>
      </c>
      <c r="B1317" s="55" t="s">
        <v>40</v>
      </c>
      <c r="C1317" s="55" t="s">
        <v>10128</v>
      </c>
      <c r="D1317" s="55" t="s">
        <v>9043</v>
      </c>
    </row>
    <row r="1318" ht="14.25" customHeight="1">
      <c r="A1318" s="55" t="s">
        <v>9177</v>
      </c>
      <c r="B1318" s="55" t="s">
        <v>40</v>
      </c>
      <c r="C1318" s="55" t="s">
        <v>165</v>
      </c>
      <c r="D1318" s="55" t="s">
        <v>9043</v>
      </c>
    </row>
    <row r="1319" ht="14.25" customHeight="1">
      <c r="A1319" s="55" t="s">
        <v>9177</v>
      </c>
      <c r="B1319" s="55" t="s">
        <v>40</v>
      </c>
      <c r="C1319" s="55" t="s">
        <v>165</v>
      </c>
      <c r="D1319" s="55" t="s">
        <v>9219</v>
      </c>
    </row>
    <row r="1320" ht="14.25" customHeight="1">
      <c r="A1320" s="55" t="s">
        <v>9177</v>
      </c>
      <c r="B1320" s="55" t="s">
        <v>40</v>
      </c>
      <c r="C1320" s="55" t="s">
        <v>13598</v>
      </c>
      <c r="D1320" s="55" t="s">
        <v>8968</v>
      </c>
    </row>
    <row r="1321" ht="14.25" customHeight="1">
      <c r="A1321" s="55" t="s">
        <v>9177</v>
      </c>
      <c r="B1321" s="55" t="s">
        <v>40</v>
      </c>
      <c r="C1321" s="55" t="s">
        <v>166</v>
      </c>
      <c r="D1321" s="55" t="s">
        <v>11430</v>
      </c>
    </row>
    <row r="1322" ht="14.25" customHeight="1">
      <c r="A1322" s="55" t="s">
        <v>9177</v>
      </c>
      <c r="B1322" s="55" t="s">
        <v>40</v>
      </c>
      <c r="C1322" s="55" t="s">
        <v>166</v>
      </c>
      <c r="D1322" s="55" t="s">
        <v>12008</v>
      </c>
    </row>
    <row r="1323" ht="14.25" customHeight="1">
      <c r="A1323" s="55" t="s">
        <v>9177</v>
      </c>
      <c r="B1323" s="55" t="s">
        <v>40</v>
      </c>
      <c r="C1323" s="55" t="s">
        <v>166</v>
      </c>
      <c r="D1323" s="55" t="s">
        <v>9151</v>
      </c>
    </row>
    <row r="1324" ht="14.25" customHeight="1">
      <c r="A1324" s="55" t="s">
        <v>9177</v>
      </c>
      <c r="B1324" s="55" t="s">
        <v>40</v>
      </c>
      <c r="C1324" s="55" t="s">
        <v>166</v>
      </c>
      <c r="D1324" s="55" t="s">
        <v>9055</v>
      </c>
    </row>
    <row r="1325" ht="14.25" customHeight="1">
      <c r="A1325" s="55" t="s">
        <v>9177</v>
      </c>
      <c r="B1325" s="55" t="s">
        <v>40</v>
      </c>
      <c r="C1325" s="55" t="s">
        <v>166</v>
      </c>
      <c r="D1325" s="55" t="s">
        <v>12009</v>
      </c>
    </row>
    <row r="1326" ht="14.25" customHeight="1">
      <c r="A1326" s="55" t="s">
        <v>9177</v>
      </c>
      <c r="B1326" s="55" t="s">
        <v>40</v>
      </c>
      <c r="C1326" s="55" t="s">
        <v>14119</v>
      </c>
      <c r="D1326" s="55" t="s">
        <v>9204</v>
      </c>
    </row>
    <row r="1327" ht="14.25" customHeight="1">
      <c r="A1327" s="55" t="s">
        <v>9177</v>
      </c>
      <c r="B1327" s="55" t="s">
        <v>40</v>
      </c>
      <c r="C1327" s="55" t="s">
        <v>168</v>
      </c>
      <c r="D1327" s="55" t="s">
        <v>9034</v>
      </c>
    </row>
    <row r="1328" ht="14.25" customHeight="1">
      <c r="A1328" s="55" t="s">
        <v>9177</v>
      </c>
      <c r="B1328" s="55" t="s">
        <v>40</v>
      </c>
      <c r="C1328" s="55" t="s">
        <v>168</v>
      </c>
      <c r="D1328" s="55" t="s">
        <v>9204</v>
      </c>
    </row>
    <row r="1329" ht="14.25" customHeight="1">
      <c r="A1329" s="55" t="s">
        <v>9177</v>
      </c>
      <c r="B1329" s="55" t="s">
        <v>40</v>
      </c>
      <c r="C1329" s="55" t="s">
        <v>168</v>
      </c>
      <c r="D1329" s="55" t="s">
        <v>8968</v>
      </c>
    </row>
    <row r="1330" ht="14.25" customHeight="1">
      <c r="A1330" s="55" t="s">
        <v>9177</v>
      </c>
      <c r="B1330" s="55" t="s">
        <v>40</v>
      </c>
      <c r="C1330" s="55" t="s">
        <v>168</v>
      </c>
      <c r="D1330" s="55" t="s">
        <v>9043</v>
      </c>
    </row>
    <row r="1331" ht="14.25" customHeight="1">
      <c r="A1331" s="55" t="s">
        <v>9177</v>
      </c>
      <c r="B1331" s="55" t="s">
        <v>40</v>
      </c>
      <c r="C1331" s="55" t="s">
        <v>1417</v>
      </c>
      <c r="D1331" s="55" t="s">
        <v>9034</v>
      </c>
    </row>
    <row r="1332" ht="14.25" customHeight="1">
      <c r="A1332" s="55" t="s">
        <v>9177</v>
      </c>
      <c r="B1332" s="55" t="s">
        <v>40</v>
      </c>
      <c r="C1332" s="55" t="s">
        <v>1417</v>
      </c>
      <c r="D1332" s="55" t="s">
        <v>9236</v>
      </c>
    </row>
    <row r="1333" ht="14.25" customHeight="1">
      <c r="A1333" s="55" t="s">
        <v>9177</v>
      </c>
      <c r="B1333" s="55" t="s">
        <v>40</v>
      </c>
      <c r="C1333" s="55" t="s">
        <v>1417</v>
      </c>
      <c r="D1333" s="55" t="s">
        <v>9204</v>
      </c>
    </row>
    <row r="1334" ht="14.25" customHeight="1">
      <c r="A1334" s="55" t="s">
        <v>9177</v>
      </c>
      <c r="B1334" s="55" t="s">
        <v>40</v>
      </c>
      <c r="C1334" s="55" t="s">
        <v>1417</v>
      </c>
      <c r="D1334" s="55" t="s">
        <v>9180</v>
      </c>
    </row>
    <row r="1335" ht="14.25" customHeight="1">
      <c r="A1335" s="55" t="s">
        <v>9177</v>
      </c>
      <c r="B1335" s="55" t="s">
        <v>40</v>
      </c>
      <c r="C1335" s="55" t="s">
        <v>1417</v>
      </c>
      <c r="D1335" s="55" t="s">
        <v>11438</v>
      </c>
    </row>
    <row r="1336" ht="14.25" customHeight="1">
      <c r="A1336" s="55" t="s">
        <v>9177</v>
      </c>
      <c r="B1336" s="55" t="s">
        <v>40</v>
      </c>
      <c r="C1336" s="55" t="s">
        <v>1417</v>
      </c>
      <c r="D1336" s="55" t="s">
        <v>9880</v>
      </c>
    </row>
    <row r="1337" ht="14.25" customHeight="1">
      <c r="A1337" s="55" t="s">
        <v>9177</v>
      </c>
      <c r="B1337" s="55" t="s">
        <v>40</v>
      </c>
      <c r="C1337" s="55" t="s">
        <v>1417</v>
      </c>
      <c r="D1337" s="55" t="s">
        <v>9131</v>
      </c>
    </row>
    <row r="1338" ht="14.25" customHeight="1">
      <c r="A1338" s="55" t="s">
        <v>9177</v>
      </c>
      <c r="B1338" s="55" t="s">
        <v>40</v>
      </c>
      <c r="C1338" s="55" t="s">
        <v>1417</v>
      </c>
      <c r="D1338" s="55" t="s">
        <v>8968</v>
      </c>
    </row>
    <row r="1339" ht="14.25" customHeight="1">
      <c r="A1339" s="55" t="s">
        <v>9177</v>
      </c>
      <c r="B1339" s="55" t="s">
        <v>40</v>
      </c>
      <c r="C1339" s="55" t="s">
        <v>1417</v>
      </c>
      <c r="D1339" s="55" t="s">
        <v>9043</v>
      </c>
    </row>
    <row r="1340" ht="14.25" customHeight="1">
      <c r="A1340" s="55" t="s">
        <v>9177</v>
      </c>
      <c r="B1340" s="55" t="s">
        <v>40</v>
      </c>
      <c r="C1340" s="55" t="s">
        <v>1417</v>
      </c>
      <c r="D1340" s="55" t="s">
        <v>9219</v>
      </c>
    </row>
    <row r="1341" ht="14.25" customHeight="1">
      <c r="A1341" s="55" t="s">
        <v>9177</v>
      </c>
      <c r="B1341" s="55" t="s">
        <v>40</v>
      </c>
      <c r="C1341" s="55" t="s">
        <v>1417</v>
      </c>
      <c r="D1341" s="55" t="s">
        <v>13599</v>
      </c>
    </row>
    <row r="1342" ht="14.25" customHeight="1">
      <c r="A1342" s="55" t="s">
        <v>9177</v>
      </c>
      <c r="B1342" s="55" t="s">
        <v>40</v>
      </c>
      <c r="C1342" s="55" t="s">
        <v>1417</v>
      </c>
      <c r="D1342" s="55" t="s">
        <v>10130</v>
      </c>
    </row>
    <row r="1343" ht="14.25" customHeight="1">
      <c r="A1343" s="55" t="s">
        <v>9177</v>
      </c>
      <c r="B1343" s="55" t="s">
        <v>40</v>
      </c>
      <c r="C1343" s="55" t="s">
        <v>1417</v>
      </c>
      <c r="D1343" s="55" t="s">
        <v>10706</v>
      </c>
    </row>
    <row r="1344" ht="14.25" customHeight="1">
      <c r="A1344" s="55" t="s">
        <v>9177</v>
      </c>
      <c r="B1344" s="55" t="s">
        <v>40</v>
      </c>
      <c r="C1344" s="55" t="s">
        <v>1417</v>
      </c>
      <c r="D1344" s="55" t="s">
        <v>10707</v>
      </c>
    </row>
    <row r="1345" ht="14.25" customHeight="1">
      <c r="A1345" s="55" t="s">
        <v>9177</v>
      </c>
      <c r="B1345" s="55" t="s">
        <v>40</v>
      </c>
      <c r="C1345" s="55" t="s">
        <v>1417</v>
      </c>
      <c r="D1345" s="55" t="s">
        <v>9002</v>
      </c>
    </row>
    <row r="1346" ht="14.25" customHeight="1">
      <c r="A1346" s="55" t="s">
        <v>9177</v>
      </c>
      <c r="B1346" s="55" t="s">
        <v>40</v>
      </c>
      <c r="C1346" s="55" t="s">
        <v>1417</v>
      </c>
      <c r="D1346" s="55" t="s">
        <v>9244</v>
      </c>
    </row>
    <row r="1347" ht="14.25" customHeight="1">
      <c r="A1347" s="55" t="s">
        <v>9177</v>
      </c>
      <c r="B1347" s="55" t="s">
        <v>40</v>
      </c>
      <c r="C1347" s="55" t="s">
        <v>1417</v>
      </c>
      <c r="D1347" s="55" t="s">
        <v>8994</v>
      </c>
    </row>
    <row r="1348" ht="14.25" customHeight="1">
      <c r="A1348" s="55" t="s">
        <v>9177</v>
      </c>
      <c r="B1348" s="55" t="s">
        <v>40</v>
      </c>
      <c r="C1348" s="55" t="s">
        <v>1417</v>
      </c>
      <c r="D1348" s="55" t="s">
        <v>13600</v>
      </c>
    </row>
    <row r="1349" ht="14.25" customHeight="1">
      <c r="A1349" s="55" t="s">
        <v>9177</v>
      </c>
      <c r="B1349" s="55" t="s">
        <v>40</v>
      </c>
      <c r="C1349" s="55" t="s">
        <v>9203</v>
      </c>
      <c r="D1349" s="55" t="s">
        <v>9204</v>
      </c>
    </row>
    <row r="1350" ht="14.25" customHeight="1">
      <c r="A1350" s="55" t="s">
        <v>9177</v>
      </c>
      <c r="B1350" s="55" t="s">
        <v>40</v>
      </c>
      <c r="C1350" s="55" t="s">
        <v>9203</v>
      </c>
      <c r="D1350" s="55" t="s">
        <v>10129</v>
      </c>
    </row>
    <row r="1351" ht="14.25" customHeight="1">
      <c r="A1351" s="55" t="s">
        <v>9177</v>
      </c>
      <c r="B1351" s="55" t="s">
        <v>40</v>
      </c>
      <c r="C1351" s="55" t="s">
        <v>9203</v>
      </c>
      <c r="D1351" s="55" t="s">
        <v>9180</v>
      </c>
    </row>
    <row r="1352" ht="14.25" customHeight="1">
      <c r="A1352" s="55" t="s">
        <v>9177</v>
      </c>
      <c r="B1352" s="55" t="s">
        <v>40</v>
      </c>
      <c r="C1352" s="55" t="s">
        <v>9203</v>
      </c>
      <c r="D1352" s="55" t="s">
        <v>10124</v>
      </c>
    </row>
    <row r="1353" ht="14.25" customHeight="1">
      <c r="A1353" s="55" t="s">
        <v>9177</v>
      </c>
      <c r="B1353" s="55" t="s">
        <v>40</v>
      </c>
      <c r="C1353" s="55" t="s">
        <v>9203</v>
      </c>
      <c r="D1353" s="55" t="s">
        <v>9043</v>
      </c>
    </row>
    <row r="1354" ht="14.25" customHeight="1">
      <c r="A1354" s="55" t="s">
        <v>9177</v>
      </c>
      <c r="B1354" s="55" t="s">
        <v>40</v>
      </c>
      <c r="C1354" s="55" t="s">
        <v>9203</v>
      </c>
      <c r="D1354" s="55" t="s">
        <v>10130</v>
      </c>
    </row>
    <row r="1355" ht="14.25" customHeight="1">
      <c r="A1355" s="55" t="s">
        <v>9177</v>
      </c>
      <c r="B1355" s="55" t="s">
        <v>40</v>
      </c>
      <c r="C1355" s="55" t="s">
        <v>9203</v>
      </c>
      <c r="D1355" s="55" t="s">
        <v>9178</v>
      </c>
    </row>
    <row r="1356" ht="14.25" customHeight="1">
      <c r="A1356" s="55" t="s">
        <v>9177</v>
      </c>
      <c r="B1356" s="55" t="s">
        <v>40</v>
      </c>
      <c r="C1356" s="55" t="s">
        <v>12798</v>
      </c>
      <c r="D1356" s="55" t="s">
        <v>9219</v>
      </c>
    </row>
    <row r="1357" ht="14.25" customHeight="1">
      <c r="A1357" s="55" t="s">
        <v>9177</v>
      </c>
      <c r="B1357" s="55" t="s">
        <v>40</v>
      </c>
      <c r="C1357" s="55" t="s">
        <v>14120</v>
      </c>
      <c r="D1357" s="55" t="s">
        <v>9131</v>
      </c>
    </row>
    <row r="1358" ht="14.25" customHeight="1">
      <c r="A1358" s="55" t="s">
        <v>9177</v>
      </c>
      <c r="B1358" s="55" t="s">
        <v>40</v>
      </c>
      <c r="C1358" s="55" t="s">
        <v>6582</v>
      </c>
      <c r="D1358" s="55" t="s">
        <v>10708</v>
      </c>
    </row>
    <row r="1359" ht="14.25" customHeight="1">
      <c r="A1359" s="55" t="s">
        <v>9177</v>
      </c>
      <c r="B1359" s="55" t="s">
        <v>40</v>
      </c>
      <c r="C1359" s="55" t="s">
        <v>10709</v>
      </c>
      <c r="D1359" s="55" t="s">
        <v>8968</v>
      </c>
    </row>
    <row r="1360" ht="14.25" customHeight="1">
      <c r="A1360" s="55" t="s">
        <v>9177</v>
      </c>
      <c r="B1360" s="55" t="s">
        <v>40</v>
      </c>
      <c r="C1360" s="55" t="s">
        <v>14121</v>
      </c>
      <c r="D1360" s="55" t="s">
        <v>13614</v>
      </c>
    </row>
    <row r="1361" ht="14.25" customHeight="1">
      <c r="A1361" s="55" t="s">
        <v>9177</v>
      </c>
      <c r="B1361" s="55" t="s">
        <v>40</v>
      </c>
      <c r="C1361" s="55" t="s">
        <v>13601</v>
      </c>
      <c r="D1361" s="55" t="s">
        <v>13602</v>
      </c>
    </row>
    <row r="1362" ht="14.25" customHeight="1">
      <c r="A1362" s="55" t="s">
        <v>9177</v>
      </c>
      <c r="B1362" s="55" t="s">
        <v>40</v>
      </c>
      <c r="C1362" s="55" t="s">
        <v>12010</v>
      </c>
      <c r="D1362" s="55" t="s">
        <v>9055</v>
      </c>
    </row>
    <row r="1363" ht="14.25" customHeight="1">
      <c r="A1363" s="55" t="s">
        <v>9177</v>
      </c>
      <c r="B1363" s="55" t="s">
        <v>40</v>
      </c>
      <c r="C1363" s="55" t="s">
        <v>12011</v>
      </c>
      <c r="D1363" s="55" t="s">
        <v>9618</v>
      </c>
    </row>
    <row r="1364" ht="14.25" customHeight="1">
      <c r="A1364" s="55" t="s">
        <v>9177</v>
      </c>
      <c r="B1364" s="55" t="s">
        <v>40</v>
      </c>
      <c r="C1364" s="55" t="s">
        <v>14122</v>
      </c>
      <c r="D1364" s="55" t="s">
        <v>14123</v>
      </c>
    </row>
    <row r="1365" ht="14.25" customHeight="1">
      <c r="A1365" s="55" t="s">
        <v>9177</v>
      </c>
      <c r="B1365" s="55" t="s">
        <v>40</v>
      </c>
      <c r="C1365" s="55" t="s">
        <v>179</v>
      </c>
      <c r="D1365" s="55" t="s">
        <v>9205</v>
      </c>
    </row>
    <row r="1366" ht="14.25" customHeight="1">
      <c r="A1366" s="55" t="s">
        <v>9177</v>
      </c>
      <c r="B1366" s="55" t="s">
        <v>40</v>
      </c>
      <c r="C1366" s="55" t="s">
        <v>179</v>
      </c>
      <c r="D1366" s="55" t="s">
        <v>9131</v>
      </c>
    </row>
    <row r="1367" ht="14.25" customHeight="1">
      <c r="A1367" s="55" t="s">
        <v>9177</v>
      </c>
      <c r="B1367" s="55" t="s">
        <v>40</v>
      </c>
      <c r="C1367" s="55" t="s">
        <v>179</v>
      </c>
      <c r="D1367" s="55" t="s">
        <v>8968</v>
      </c>
    </row>
    <row r="1368" ht="14.25" customHeight="1">
      <c r="A1368" s="55" t="s">
        <v>9177</v>
      </c>
      <c r="B1368" s="55" t="s">
        <v>40</v>
      </c>
      <c r="C1368" s="55" t="s">
        <v>179</v>
      </c>
      <c r="D1368" s="55" t="s">
        <v>9043</v>
      </c>
    </row>
    <row r="1369" ht="14.25" customHeight="1">
      <c r="A1369" s="55" t="s">
        <v>9177</v>
      </c>
      <c r="B1369" s="55" t="s">
        <v>40</v>
      </c>
      <c r="C1369" s="55" t="s">
        <v>179</v>
      </c>
      <c r="D1369" s="55" t="s">
        <v>9219</v>
      </c>
    </row>
    <row r="1370" ht="14.25" customHeight="1">
      <c r="A1370" s="55" t="s">
        <v>9177</v>
      </c>
      <c r="B1370" s="55" t="s">
        <v>40</v>
      </c>
      <c r="C1370" s="55" t="s">
        <v>179</v>
      </c>
      <c r="D1370" s="55" t="s">
        <v>9026</v>
      </c>
    </row>
    <row r="1371" ht="14.25" customHeight="1">
      <c r="A1371" s="55" t="s">
        <v>9177</v>
      </c>
      <c r="B1371" s="55" t="s">
        <v>40</v>
      </c>
      <c r="C1371" s="55" t="s">
        <v>179</v>
      </c>
      <c r="D1371" s="55" t="s">
        <v>10131</v>
      </c>
    </row>
    <row r="1372" ht="14.25" customHeight="1">
      <c r="A1372" s="55" t="s">
        <v>9177</v>
      </c>
      <c r="B1372" s="55" t="s">
        <v>40</v>
      </c>
      <c r="C1372" s="55" t="s">
        <v>179</v>
      </c>
      <c r="D1372" s="55" t="s">
        <v>10710</v>
      </c>
    </row>
    <row r="1373" ht="14.25" customHeight="1">
      <c r="A1373" s="55" t="s">
        <v>9177</v>
      </c>
      <c r="B1373" s="55" t="s">
        <v>40</v>
      </c>
      <c r="C1373" s="55" t="s">
        <v>179</v>
      </c>
      <c r="D1373" s="55" t="s">
        <v>9206</v>
      </c>
    </row>
    <row r="1374" ht="14.25" customHeight="1">
      <c r="A1374" s="55" t="s">
        <v>9177</v>
      </c>
      <c r="B1374" s="55" t="s">
        <v>40</v>
      </c>
      <c r="C1374" s="55" t="s">
        <v>179</v>
      </c>
      <c r="D1374" s="55" t="s">
        <v>8994</v>
      </c>
    </row>
    <row r="1375" ht="14.25" customHeight="1">
      <c r="A1375" s="55" t="s">
        <v>9177</v>
      </c>
      <c r="B1375" s="55" t="s">
        <v>40</v>
      </c>
      <c r="C1375" s="55" t="s">
        <v>179</v>
      </c>
      <c r="D1375" s="55" t="s">
        <v>9189</v>
      </c>
    </row>
    <row r="1376" ht="14.25" customHeight="1">
      <c r="A1376" s="55" t="s">
        <v>9177</v>
      </c>
      <c r="B1376" s="55" t="s">
        <v>40</v>
      </c>
      <c r="C1376" s="55" t="s">
        <v>10711</v>
      </c>
      <c r="D1376" s="55" t="s">
        <v>9131</v>
      </c>
    </row>
    <row r="1377" ht="14.25" customHeight="1">
      <c r="A1377" s="55" t="s">
        <v>9177</v>
      </c>
      <c r="B1377" s="55" t="s">
        <v>40</v>
      </c>
      <c r="C1377" s="55" t="s">
        <v>10711</v>
      </c>
      <c r="D1377" s="55" t="s">
        <v>12012</v>
      </c>
    </row>
    <row r="1378" ht="14.25" customHeight="1">
      <c r="A1378" s="55" t="s">
        <v>9177</v>
      </c>
      <c r="B1378" s="55" t="s">
        <v>40</v>
      </c>
      <c r="C1378" s="55" t="s">
        <v>10711</v>
      </c>
      <c r="D1378" s="55" t="s">
        <v>9026</v>
      </c>
    </row>
    <row r="1379" ht="14.25" customHeight="1">
      <c r="A1379" s="55" t="s">
        <v>9177</v>
      </c>
      <c r="B1379" s="55" t="s">
        <v>40</v>
      </c>
      <c r="C1379" s="55" t="s">
        <v>10711</v>
      </c>
      <c r="D1379" s="55" t="s">
        <v>12013</v>
      </c>
    </row>
    <row r="1380" ht="14.25" customHeight="1">
      <c r="A1380" s="55" t="s">
        <v>9177</v>
      </c>
      <c r="B1380" s="55" t="s">
        <v>40</v>
      </c>
      <c r="C1380" s="55" t="s">
        <v>9207</v>
      </c>
      <c r="D1380" s="55" t="s">
        <v>9034</v>
      </c>
    </row>
    <row r="1381" ht="14.25" customHeight="1">
      <c r="A1381" s="55" t="s">
        <v>9177</v>
      </c>
      <c r="B1381" s="55" t="s">
        <v>40</v>
      </c>
      <c r="C1381" s="55" t="s">
        <v>13603</v>
      </c>
      <c r="D1381" s="55" t="s">
        <v>13604</v>
      </c>
    </row>
    <row r="1382" ht="14.25" customHeight="1">
      <c r="A1382" s="55" t="s">
        <v>9177</v>
      </c>
      <c r="B1382" s="55" t="s">
        <v>40</v>
      </c>
      <c r="C1382" s="55" t="s">
        <v>180</v>
      </c>
      <c r="D1382" s="55" t="s">
        <v>9043</v>
      </c>
    </row>
    <row r="1383" ht="14.25" customHeight="1">
      <c r="A1383" s="55" t="s">
        <v>9177</v>
      </c>
      <c r="B1383" s="55" t="s">
        <v>40</v>
      </c>
      <c r="C1383" s="55" t="s">
        <v>180</v>
      </c>
      <c r="D1383" s="55" t="s">
        <v>9219</v>
      </c>
    </row>
    <row r="1384" ht="14.25" customHeight="1">
      <c r="A1384" s="55" t="s">
        <v>9177</v>
      </c>
      <c r="B1384" s="55" t="s">
        <v>40</v>
      </c>
      <c r="C1384" s="55" t="s">
        <v>3596</v>
      </c>
      <c r="D1384" s="55" t="s">
        <v>11439</v>
      </c>
    </row>
    <row r="1385" ht="14.25" customHeight="1">
      <c r="A1385" s="55" t="s">
        <v>9177</v>
      </c>
      <c r="B1385" s="55" t="s">
        <v>40</v>
      </c>
      <c r="C1385" s="55" t="s">
        <v>12765</v>
      </c>
      <c r="D1385" s="55" t="s">
        <v>9131</v>
      </c>
    </row>
    <row r="1386" ht="14.25" customHeight="1">
      <c r="A1386" s="55" t="s">
        <v>9177</v>
      </c>
      <c r="B1386" s="55" t="s">
        <v>40</v>
      </c>
      <c r="C1386" s="55" t="s">
        <v>12014</v>
      </c>
      <c r="D1386" s="55" t="s">
        <v>9026</v>
      </c>
    </row>
    <row r="1387" ht="14.25" customHeight="1">
      <c r="A1387" s="55" t="s">
        <v>9177</v>
      </c>
      <c r="B1387" s="55" t="s">
        <v>40</v>
      </c>
      <c r="C1387" s="55" t="s">
        <v>12014</v>
      </c>
      <c r="D1387" s="55" t="s">
        <v>13605</v>
      </c>
    </row>
    <row r="1388" ht="14.25" customHeight="1">
      <c r="A1388" s="55" t="s">
        <v>9177</v>
      </c>
      <c r="B1388" s="55" t="s">
        <v>40</v>
      </c>
      <c r="C1388" s="55" t="s">
        <v>13606</v>
      </c>
      <c r="D1388" s="55" t="s">
        <v>9213</v>
      </c>
    </row>
    <row r="1389" ht="14.25" customHeight="1">
      <c r="A1389" s="55" t="s">
        <v>9177</v>
      </c>
      <c r="B1389" s="55" t="s">
        <v>40</v>
      </c>
      <c r="C1389" s="55" t="s">
        <v>188</v>
      </c>
      <c r="D1389" s="55" t="s">
        <v>8968</v>
      </c>
    </row>
    <row r="1390" ht="14.25" customHeight="1">
      <c r="A1390" s="55" t="s">
        <v>9177</v>
      </c>
      <c r="B1390" s="55" t="s">
        <v>40</v>
      </c>
      <c r="C1390" s="55" t="s">
        <v>188</v>
      </c>
      <c r="D1390" s="55" t="s">
        <v>9213</v>
      </c>
    </row>
    <row r="1391" ht="14.25" customHeight="1">
      <c r="A1391" s="55" t="s">
        <v>9177</v>
      </c>
      <c r="B1391" s="55" t="s">
        <v>40</v>
      </c>
      <c r="C1391" s="55" t="s">
        <v>10132</v>
      </c>
      <c r="D1391" s="55" t="s">
        <v>10133</v>
      </c>
    </row>
    <row r="1392" ht="14.25" customHeight="1">
      <c r="A1392" s="55" t="s">
        <v>9177</v>
      </c>
      <c r="B1392" s="55" t="s">
        <v>40</v>
      </c>
      <c r="C1392" s="55" t="s">
        <v>10132</v>
      </c>
      <c r="D1392" s="55" t="s">
        <v>12766</v>
      </c>
    </row>
    <row r="1393" ht="14.25" customHeight="1">
      <c r="A1393" s="55" t="s">
        <v>9177</v>
      </c>
      <c r="B1393" s="55" t="s">
        <v>40</v>
      </c>
      <c r="C1393" s="55" t="s">
        <v>9208</v>
      </c>
      <c r="D1393" s="55" t="s">
        <v>9055</v>
      </c>
    </row>
    <row r="1394" ht="14.25" customHeight="1">
      <c r="A1394" s="55" t="s">
        <v>9177</v>
      </c>
      <c r="B1394" s="55" t="s">
        <v>40</v>
      </c>
      <c r="C1394" s="55" t="s">
        <v>196</v>
      </c>
      <c r="D1394" s="55" t="s">
        <v>9055</v>
      </c>
    </row>
    <row r="1395" ht="14.25" customHeight="1">
      <c r="A1395" s="55" t="s">
        <v>9177</v>
      </c>
      <c r="B1395" s="55" t="s">
        <v>40</v>
      </c>
      <c r="C1395" s="55" t="s">
        <v>14124</v>
      </c>
      <c r="D1395" s="55" t="s">
        <v>9055</v>
      </c>
    </row>
    <row r="1396" ht="14.25" customHeight="1">
      <c r="A1396" s="55" t="s">
        <v>9177</v>
      </c>
      <c r="B1396" s="55" t="s">
        <v>40</v>
      </c>
      <c r="C1396" s="55" t="s">
        <v>11440</v>
      </c>
      <c r="D1396" s="55" t="s">
        <v>8968</v>
      </c>
    </row>
    <row r="1397" ht="14.25" customHeight="1">
      <c r="A1397" s="55" t="s">
        <v>9177</v>
      </c>
      <c r="B1397" s="55" t="s">
        <v>40</v>
      </c>
      <c r="C1397" s="55" t="s">
        <v>14125</v>
      </c>
      <c r="D1397" s="55" t="s">
        <v>8968</v>
      </c>
    </row>
    <row r="1398" ht="14.25" customHeight="1">
      <c r="A1398" s="55" t="s">
        <v>9177</v>
      </c>
      <c r="B1398" s="55" t="s">
        <v>40</v>
      </c>
      <c r="C1398" s="55" t="s">
        <v>12015</v>
      </c>
      <c r="D1398" s="55" t="s">
        <v>9034</v>
      </c>
    </row>
    <row r="1399" ht="14.25" customHeight="1">
      <c r="A1399" s="55" t="s">
        <v>9177</v>
      </c>
      <c r="B1399" s="55" t="s">
        <v>40</v>
      </c>
      <c r="C1399" s="55" t="s">
        <v>9209</v>
      </c>
      <c r="D1399" s="55" t="s">
        <v>9055</v>
      </c>
    </row>
    <row r="1400" ht="14.25" customHeight="1">
      <c r="A1400" s="55" t="s">
        <v>9177</v>
      </c>
      <c r="B1400" s="55" t="s">
        <v>40</v>
      </c>
      <c r="C1400" s="55" t="s">
        <v>12016</v>
      </c>
      <c r="D1400" s="55" t="s">
        <v>12017</v>
      </c>
    </row>
    <row r="1401" ht="14.25" customHeight="1">
      <c r="A1401" s="55" t="s">
        <v>9177</v>
      </c>
      <c r="B1401" s="55" t="s">
        <v>40</v>
      </c>
      <c r="C1401" s="55" t="s">
        <v>10134</v>
      </c>
      <c r="D1401" s="55" t="s">
        <v>9043</v>
      </c>
    </row>
    <row r="1402" ht="14.25" customHeight="1">
      <c r="A1402" s="55" t="s">
        <v>9177</v>
      </c>
      <c r="B1402" s="55" t="s">
        <v>40</v>
      </c>
      <c r="C1402" s="55" t="s">
        <v>9210</v>
      </c>
      <c r="D1402" s="55" t="s">
        <v>9197</v>
      </c>
    </row>
    <row r="1403" ht="14.25" customHeight="1">
      <c r="A1403" s="55" t="s">
        <v>9177</v>
      </c>
      <c r="B1403" s="55" t="s">
        <v>40</v>
      </c>
      <c r="C1403" s="55" t="s">
        <v>11441</v>
      </c>
      <c r="D1403" s="55" t="s">
        <v>9043</v>
      </c>
    </row>
    <row r="1404" ht="14.25" customHeight="1">
      <c r="A1404" s="55" t="s">
        <v>9177</v>
      </c>
      <c r="B1404" s="55" t="s">
        <v>40</v>
      </c>
      <c r="C1404" s="55" t="s">
        <v>1615</v>
      </c>
      <c r="D1404" s="55" t="s">
        <v>10712</v>
      </c>
    </row>
    <row r="1405" ht="14.25" customHeight="1">
      <c r="A1405" s="55" t="s">
        <v>9177</v>
      </c>
      <c r="B1405" s="55" t="s">
        <v>40</v>
      </c>
      <c r="C1405" s="55" t="s">
        <v>332</v>
      </c>
      <c r="D1405" s="55" t="s">
        <v>9131</v>
      </c>
    </row>
    <row r="1406" ht="14.25" customHeight="1">
      <c r="A1406" s="55" t="s">
        <v>9177</v>
      </c>
      <c r="B1406" s="55" t="s">
        <v>40</v>
      </c>
      <c r="C1406" s="55" t="s">
        <v>211</v>
      </c>
      <c r="D1406" s="55" t="s">
        <v>13607</v>
      </c>
    </row>
    <row r="1407" ht="14.25" customHeight="1">
      <c r="A1407" s="55" t="s">
        <v>9177</v>
      </c>
      <c r="B1407" s="55" t="s">
        <v>40</v>
      </c>
      <c r="C1407" s="55" t="s">
        <v>214</v>
      </c>
      <c r="D1407" s="55" t="s">
        <v>9181</v>
      </c>
    </row>
    <row r="1408" ht="14.25" customHeight="1">
      <c r="A1408" s="55" t="s">
        <v>9177</v>
      </c>
      <c r="B1408" s="55" t="s">
        <v>40</v>
      </c>
      <c r="C1408" s="55" t="s">
        <v>215</v>
      </c>
      <c r="D1408" s="55" t="s">
        <v>9109</v>
      </c>
    </row>
    <row r="1409" ht="14.25" customHeight="1">
      <c r="A1409" s="55" t="s">
        <v>9177</v>
      </c>
      <c r="B1409" s="55" t="s">
        <v>40</v>
      </c>
      <c r="C1409" s="55" t="s">
        <v>14126</v>
      </c>
      <c r="D1409" s="55" t="s">
        <v>14127</v>
      </c>
    </row>
    <row r="1410" ht="14.25" customHeight="1">
      <c r="A1410" s="55" t="s">
        <v>9177</v>
      </c>
      <c r="B1410" s="55" t="s">
        <v>40</v>
      </c>
      <c r="C1410" s="55" t="s">
        <v>12767</v>
      </c>
      <c r="D1410" s="55" t="s">
        <v>9055</v>
      </c>
    </row>
    <row r="1411" ht="14.25" customHeight="1">
      <c r="A1411" s="55" t="s">
        <v>9177</v>
      </c>
      <c r="B1411" s="55" t="s">
        <v>40</v>
      </c>
      <c r="C1411" s="55" t="s">
        <v>10713</v>
      </c>
      <c r="D1411" s="55" t="s">
        <v>9180</v>
      </c>
    </row>
    <row r="1412" ht="14.25" customHeight="1">
      <c r="A1412" s="55" t="s">
        <v>9177</v>
      </c>
      <c r="B1412" s="55" t="s">
        <v>40</v>
      </c>
      <c r="C1412" s="55" t="s">
        <v>12768</v>
      </c>
      <c r="D1412" s="55" t="s">
        <v>10124</v>
      </c>
    </row>
    <row r="1413" ht="14.25" customHeight="1">
      <c r="A1413" s="55" t="s">
        <v>9177</v>
      </c>
      <c r="B1413" s="55" t="s">
        <v>40</v>
      </c>
      <c r="C1413" s="55" t="s">
        <v>9211</v>
      </c>
      <c r="D1413" s="55" t="s">
        <v>9034</v>
      </c>
    </row>
    <row r="1414" ht="14.25" customHeight="1">
      <c r="A1414" s="55" t="s">
        <v>9177</v>
      </c>
      <c r="B1414" s="55" t="s">
        <v>40</v>
      </c>
      <c r="C1414" s="55" t="s">
        <v>9211</v>
      </c>
      <c r="D1414" s="55" t="s">
        <v>12769</v>
      </c>
    </row>
    <row r="1415" ht="14.25" customHeight="1">
      <c r="A1415" s="55" t="s">
        <v>9177</v>
      </c>
      <c r="B1415" s="55" t="s">
        <v>40</v>
      </c>
      <c r="C1415" s="55" t="s">
        <v>9211</v>
      </c>
      <c r="D1415" s="55" t="s">
        <v>12770</v>
      </c>
    </row>
    <row r="1416" ht="14.25" customHeight="1">
      <c r="A1416" s="55" t="s">
        <v>9177</v>
      </c>
      <c r="B1416" s="55" t="s">
        <v>40</v>
      </c>
      <c r="C1416" s="55" t="s">
        <v>9211</v>
      </c>
      <c r="D1416" s="55" t="s">
        <v>8968</v>
      </c>
    </row>
    <row r="1417" ht="14.25" customHeight="1">
      <c r="A1417" s="55" t="s">
        <v>9177</v>
      </c>
      <c r="B1417" s="55" t="s">
        <v>40</v>
      </c>
      <c r="C1417" s="55" t="s">
        <v>9211</v>
      </c>
      <c r="D1417" s="55" t="s">
        <v>10124</v>
      </c>
    </row>
    <row r="1418" ht="14.25" customHeight="1">
      <c r="A1418" s="55" t="s">
        <v>9177</v>
      </c>
      <c r="B1418" s="55" t="s">
        <v>40</v>
      </c>
      <c r="C1418" s="55" t="s">
        <v>9211</v>
      </c>
      <c r="D1418" s="55" t="s">
        <v>9195</v>
      </c>
    </row>
    <row r="1419" ht="14.25" customHeight="1">
      <c r="A1419" s="55" t="s">
        <v>9177</v>
      </c>
      <c r="B1419" s="55" t="s">
        <v>40</v>
      </c>
      <c r="C1419" s="55" t="s">
        <v>217</v>
      </c>
      <c r="D1419" s="55" t="s">
        <v>9180</v>
      </c>
    </row>
    <row r="1420" ht="14.25" customHeight="1">
      <c r="A1420" s="55" t="s">
        <v>9177</v>
      </c>
      <c r="B1420" s="55" t="s">
        <v>40</v>
      </c>
      <c r="C1420" s="55" t="s">
        <v>217</v>
      </c>
      <c r="D1420" s="55" t="s">
        <v>8968</v>
      </c>
    </row>
    <row r="1421" ht="14.25" customHeight="1">
      <c r="A1421" s="55" t="s">
        <v>9177</v>
      </c>
      <c r="B1421" s="55" t="s">
        <v>40</v>
      </c>
      <c r="C1421" s="55" t="s">
        <v>217</v>
      </c>
      <c r="D1421" s="55" t="s">
        <v>10124</v>
      </c>
    </row>
    <row r="1422" ht="14.25" customHeight="1">
      <c r="A1422" s="55" t="s">
        <v>9177</v>
      </c>
      <c r="B1422" s="55" t="s">
        <v>40</v>
      </c>
      <c r="C1422" s="55" t="s">
        <v>217</v>
      </c>
      <c r="D1422" s="55" t="s">
        <v>9043</v>
      </c>
    </row>
    <row r="1423" ht="14.25" customHeight="1">
      <c r="A1423" s="55" t="s">
        <v>9177</v>
      </c>
      <c r="B1423" s="55" t="s">
        <v>40</v>
      </c>
      <c r="C1423" s="55" t="s">
        <v>217</v>
      </c>
      <c r="D1423" s="55" t="s">
        <v>9178</v>
      </c>
    </row>
    <row r="1424" ht="14.25" customHeight="1">
      <c r="A1424" s="55" t="s">
        <v>9177</v>
      </c>
      <c r="B1424" s="55" t="s">
        <v>40</v>
      </c>
      <c r="C1424" s="55" t="s">
        <v>6849</v>
      </c>
      <c r="D1424" s="55" t="s">
        <v>9034</v>
      </c>
    </row>
    <row r="1425" ht="14.25" customHeight="1">
      <c r="A1425" s="55" t="s">
        <v>9177</v>
      </c>
      <c r="B1425" s="55" t="s">
        <v>40</v>
      </c>
      <c r="C1425" s="55" t="s">
        <v>6849</v>
      </c>
      <c r="D1425" s="55" t="s">
        <v>9180</v>
      </c>
    </row>
    <row r="1426" ht="14.25" customHeight="1">
      <c r="A1426" s="55" t="s">
        <v>9177</v>
      </c>
      <c r="B1426" s="55" t="s">
        <v>40</v>
      </c>
      <c r="C1426" s="55" t="s">
        <v>6849</v>
      </c>
      <c r="D1426" s="55" t="s">
        <v>9043</v>
      </c>
    </row>
    <row r="1427" ht="14.25" customHeight="1">
      <c r="A1427" s="55" t="s">
        <v>9177</v>
      </c>
      <c r="B1427" s="55" t="s">
        <v>40</v>
      </c>
      <c r="C1427" s="55" t="s">
        <v>6849</v>
      </c>
      <c r="D1427" s="55" t="s">
        <v>9219</v>
      </c>
    </row>
    <row r="1428" ht="14.25" customHeight="1">
      <c r="A1428" s="55" t="s">
        <v>9177</v>
      </c>
      <c r="B1428" s="55" t="s">
        <v>40</v>
      </c>
      <c r="C1428" s="55" t="s">
        <v>10135</v>
      </c>
      <c r="D1428" s="55" t="s">
        <v>9055</v>
      </c>
    </row>
    <row r="1429" ht="14.25" customHeight="1">
      <c r="A1429" s="55" t="s">
        <v>9177</v>
      </c>
      <c r="B1429" s="55" t="s">
        <v>40</v>
      </c>
      <c r="C1429" s="55" t="s">
        <v>14128</v>
      </c>
      <c r="D1429" s="55" t="s">
        <v>9026</v>
      </c>
    </row>
    <row r="1430" ht="14.25" customHeight="1">
      <c r="A1430" s="55" t="s">
        <v>9177</v>
      </c>
      <c r="B1430" s="55" t="s">
        <v>40</v>
      </c>
      <c r="C1430" s="55" t="s">
        <v>12018</v>
      </c>
      <c r="D1430" s="55" t="s">
        <v>9043</v>
      </c>
    </row>
    <row r="1431" ht="14.25" customHeight="1">
      <c r="A1431" s="55" t="s">
        <v>9177</v>
      </c>
      <c r="B1431" s="55" t="s">
        <v>40</v>
      </c>
      <c r="C1431" s="55" t="s">
        <v>3900</v>
      </c>
      <c r="D1431" s="55" t="s">
        <v>8968</v>
      </c>
    </row>
    <row r="1432" ht="14.25" customHeight="1">
      <c r="A1432" s="55" t="s">
        <v>9177</v>
      </c>
      <c r="B1432" s="55" t="s">
        <v>40</v>
      </c>
      <c r="C1432" s="55" t="s">
        <v>10714</v>
      </c>
      <c r="D1432" s="55" t="s">
        <v>9109</v>
      </c>
    </row>
    <row r="1433" ht="14.25" customHeight="1">
      <c r="A1433" s="55" t="s">
        <v>9177</v>
      </c>
      <c r="B1433" s="55" t="s">
        <v>40</v>
      </c>
      <c r="C1433" s="55" t="s">
        <v>9212</v>
      </c>
      <c r="D1433" s="55" t="s">
        <v>9213</v>
      </c>
    </row>
    <row r="1434" ht="14.25" customHeight="1">
      <c r="A1434" s="55" t="s">
        <v>9177</v>
      </c>
      <c r="B1434" s="55" t="s">
        <v>40</v>
      </c>
      <c r="C1434" s="55" t="s">
        <v>8525</v>
      </c>
      <c r="D1434" s="55" t="s">
        <v>9131</v>
      </c>
    </row>
    <row r="1435" ht="14.25" customHeight="1">
      <c r="A1435" s="55" t="s">
        <v>9177</v>
      </c>
      <c r="B1435" s="55" t="s">
        <v>40</v>
      </c>
      <c r="C1435" s="55" t="s">
        <v>3910</v>
      </c>
      <c r="D1435" s="55" t="s">
        <v>13608</v>
      </c>
    </row>
    <row r="1436" ht="14.25" customHeight="1">
      <c r="A1436" s="55" t="s">
        <v>9177</v>
      </c>
      <c r="B1436" s="55" t="s">
        <v>40</v>
      </c>
      <c r="C1436" s="55" t="s">
        <v>6904</v>
      </c>
      <c r="D1436" s="55" t="s">
        <v>10715</v>
      </c>
    </row>
    <row r="1437" ht="14.25" customHeight="1">
      <c r="A1437" s="55" t="s">
        <v>9177</v>
      </c>
      <c r="B1437" s="55" t="s">
        <v>40</v>
      </c>
      <c r="C1437" s="55" t="s">
        <v>12019</v>
      </c>
      <c r="D1437" s="55" t="s">
        <v>9050</v>
      </c>
    </row>
    <row r="1438" ht="14.25" customHeight="1">
      <c r="A1438" s="55" t="s">
        <v>9177</v>
      </c>
      <c r="B1438" s="55" t="s">
        <v>40</v>
      </c>
      <c r="C1438" s="55" t="s">
        <v>13609</v>
      </c>
      <c r="D1438" s="55" t="s">
        <v>9131</v>
      </c>
    </row>
    <row r="1439" ht="14.25" customHeight="1">
      <c r="A1439" s="55" t="s">
        <v>9177</v>
      </c>
      <c r="B1439" s="55" t="s">
        <v>40</v>
      </c>
      <c r="C1439" s="55" t="s">
        <v>10136</v>
      </c>
      <c r="D1439" s="55" t="s">
        <v>9180</v>
      </c>
    </row>
    <row r="1440" ht="14.25" customHeight="1">
      <c r="A1440" s="55" t="s">
        <v>9177</v>
      </c>
      <c r="B1440" s="55" t="s">
        <v>40</v>
      </c>
      <c r="C1440" s="55" t="s">
        <v>10136</v>
      </c>
      <c r="D1440" s="55" t="s">
        <v>9131</v>
      </c>
    </row>
    <row r="1441" ht="14.25" customHeight="1">
      <c r="A1441" s="55" t="s">
        <v>9177</v>
      </c>
      <c r="B1441" s="55" t="s">
        <v>40</v>
      </c>
      <c r="C1441" s="55" t="s">
        <v>10136</v>
      </c>
      <c r="D1441" s="55" t="s">
        <v>9043</v>
      </c>
    </row>
    <row r="1442" ht="14.25" customHeight="1">
      <c r="A1442" s="55" t="s">
        <v>9177</v>
      </c>
      <c r="B1442" s="55" t="s">
        <v>40</v>
      </c>
      <c r="C1442" s="55" t="s">
        <v>225</v>
      </c>
      <c r="D1442" s="55" t="s">
        <v>9034</v>
      </c>
    </row>
    <row r="1443" ht="14.25" customHeight="1">
      <c r="A1443" s="55" t="s">
        <v>9177</v>
      </c>
      <c r="B1443" s="55" t="s">
        <v>40</v>
      </c>
      <c r="C1443" s="55" t="s">
        <v>225</v>
      </c>
      <c r="D1443" s="55" t="s">
        <v>9131</v>
      </c>
    </row>
    <row r="1444" ht="14.25" customHeight="1">
      <c r="A1444" s="55" t="s">
        <v>9177</v>
      </c>
      <c r="B1444" s="55" t="s">
        <v>40</v>
      </c>
      <c r="C1444" s="55" t="s">
        <v>225</v>
      </c>
      <c r="D1444" s="55" t="s">
        <v>12012</v>
      </c>
    </row>
    <row r="1445" ht="14.25" customHeight="1">
      <c r="A1445" s="55" t="s">
        <v>9177</v>
      </c>
      <c r="B1445" s="55" t="s">
        <v>40</v>
      </c>
      <c r="C1445" s="55" t="s">
        <v>225</v>
      </c>
      <c r="D1445" s="55" t="s">
        <v>12760</v>
      </c>
    </row>
    <row r="1446" ht="14.25" customHeight="1">
      <c r="A1446" s="55" t="s">
        <v>9177</v>
      </c>
      <c r="B1446" s="55" t="s">
        <v>40</v>
      </c>
      <c r="C1446" s="55" t="s">
        <v>225</v>
      </c>
      <c r="D1446" s="55" t="s">
        <v>8968</v>
      </c>
    </row>
    <row r="1447" ht="14.25" customHeight="1">
      <c r="A1447" s="55" t="s">
        <v>9177</v>
      </c>
      <c r="B1447" s="55" t="s">
        <v>40</v>
      </c>
      <c r="C1447" s="55" t="s">
        <v>225</v>
      </c>
      <c r="D1447" s="55" t="s">
        <v>10124</v>
      </c>
    </row>
    <row r="1448" ht="14.25" customHeight="1">
      <c r="A1448" s="55" t="s">
        <v>9177</v>
      </c>
      <c r="B1448" s="55" t="s">
        <v>40</v>
      </c>
      <c r="C1448" s="55" t="s">
        <v>225</v>
      </c>
      <c r="D1448" s="55" t="s">
        <v>9043</v>
      </c>
    </row>
    <row r="1449" ht="14.25" customHeight="1">
      <c r="A1449" s="55" t="s">
        <v>9177</v>
      </c>
      <c r="B1449" s="55" t="s">
        <v>40</v>
      </c>
      <c r="C1449" s="55" t="s">
        <v>225</v>
      </c>
      <c r="D1449" s="55" t="s">
        <v>9219</v>
      </c>
    </row>
    <row r="1450" ht="14.25" customHeight="1">
      <c r="A1450" s="55" t="s">
        <v>9177</v>
      </c>
      <c r="B1450" s="55" t="s">
        <v>40</v>
      </c>
      <c r="C1450" s="55" t="s">
        <v>225</v>
      </c>
      <c r="D1450" s="55" t="s">
        <v>12600</v>
      </c>
    </row>
    <row r="1451" ht="14.25" customHeight="1">
      <c r="A1451" s="55" t="s">
        <v>9177</v>
      </c>
      <c r="B1451" s="55" t="s">
        <v>40</v>
      </c>
      <c r="C1451" s="55" t="s">
        <v>225</v>
      </c>
      <c r="D1451" s="55" t="s">
        <v>9194</v>
      </c>
    </row>
    <row r="1452" ht="14.25" customHeight="1">
      <c r="A1452" s="55" t="s">
        <v>9177</v>
      </c>
      <c r="B1452" s="55" t="s">
        <v>40</v>
      </c>
      <c r="C1452" s="55" t="s">
        <v>225</v>
      </c>
      <c r="D1452" s="55" t="s">
        <v>9189</v>
      </c>
    </row>
    <row r="1453" ht="14.25" customHeight="1">
      <c r="A1453" s="55" t="s">
        <v>9177</v>
      </c>
      <c r="B1453" s="55" t="s">
        <v>40</v>
      </c>
      <c r="C1453" s="55" t="s">
        <v>12771</v>
      </c>
      <c r="D1453" s="55" t="s">
        <v>9034</v>
      </c>
    </row>
    <row r="1454" ht="14.25" customHeight="1">
      <c r="A1454" s="55" t="s">
        <v>9177</v>
      </c>
      <c r="B1454" s="55" t="s">
        <v>40</v>
      </c>
      <c r="C1454" s="55" t="s">
        <v>12772</v>
      </c>
      <c r="D1454" s="55" t="s">
        <v>9055</v>
      </c>
    </row>
    <row r="1455" ht="14.25" customHeight="1">
      <c r="A1455" s="55" t="s">
        <v>9177</v>
      </c>
      <c r="B1455" s="55" t="s">
        <v>40</v>
      </c>
      <c r="C1455" s="55" t="s">
        <v>14129</v>
      </c>
      <c r="D1455" s="55" t="s">
        <v>9055</v>
      </c>
    </row>
    <row r="1456" ht="14.25" customHeight="1">
      <c r="A1456" s="55" t="s">
        <v>9177</v>
      </c>
      <c r="B1456" s="55" t="s">
        <v>40</v>
      </c>
      <c r="C1456" s="55" t="s">
        <v>13610</v>
      </c>
      <c r="D1456" s="55" t="s">
        <v>405</v>
      </c>
    </row>
    <row r="1457" ht="14.25" customHeight="1">
      <c r="A1457" s="55" t="s">
        <v>9177</v>
      </c>
      <c r="B1457" s="55" t="s">
        <v>40</v>
      </c>
      <c r="C1457" s="55" t="s">
        <v>9214</v>
      </c>
      <c r="D1457" s="55" t="s">
        <v>9131</v>
      </c>
    </row>
    <row r="1458" ht="14.25" customHeight="1">
      <c r="A1458" s="55" t="s">
        <v>9177</v>
      </c>
      <c r="B1458" s="55" t="s">
        <v>40</v>
      </c>
      <c r="C1458" s="55" t="s">
        <v>14130</v>
      </c>
      <c r="D1458" s="55" t="s">
        <v>9043</v>
      </c>
    </row>
    <row r="1459" ht="14.25" customHeight="1">
      <c r="A1459" s="55" t="s">
        <v>9177</v>
      </c>
      <c r="B1459" s="55" t="s">
        <v>40</v>
      </c>
      <c r="C1459" s="55" t="s">
        <v>10137</v>
      </c>
      <c r="D1459" s="55" t="s">
        <v>9055</v>
      </c>
    </row>
    <row r="1460" ht="14.25" customHeight="1">
      <c r="A1460" s="55" t="s">
        <v>9177</v>
      </c>
      <c r="B1460" s="55" t="s">
        <v>40</v>
      </c>
      <c r="C1460" s="55" t="s">
        <v>10249</v>
      </c>
      <c r="D1460" s="55" t="s">
        <v>13611</v>
      </c>
    </row>
    <row r="1461" ht="14.25" customHeight="1">
      <c r="A1461" s="55" t="s">
        <v>9177</v>
      </c>
      <c r="B1461" s="55" t="s">
        <v>40</v>
      </c>
      <c r="C1461" s="55" t="s">
        <v>14131</v>
      </c>
      <c r="D1461" s="55" t="s">
        <v>8968</v>
      </c>
    </row>
    <row r="1462" ht="14.25" customHeight="1">
      <c r="A1462" s="55" t="s">
        <v>9177</v>
      </c>
      <c r="B1462" s="55" t="s">
        <v>40</v>
      </c>
      <c r="C1462" s="55" t="s">
        <v>14132</v>
      </c>
      <c r="D1462" s="55" t="s">
        <v>9180</v>
      </c>
    </row>
    <row r="1463" ht="14.25" customHeight="1">
      <c r="A1463" s="55" t="s">
        <v>9177</v>
      </c>
      <c r="B1463" s="55" t="s">
        <v>40</v>
      </c>
      <c r="C1463" s="55" t="s">
        <v>12773</v>
      </c>
      <c r="D1463" s="55" t="s">
        <v>9055</v>
      </c>
    </row>
    <row r="1464" ht="14.25" customHeight="1">
      <c r="A1464" s="55" t="s">
        <v>9177</v>
      </c>
      <c r="B1464" s="55" t="s">
        <v>40</v>
      </c>
      <c r="C1464" s="55" t="s">
        <v>10252</v>
      </c>
      <c r="D1464" s="55" t="s">
        <v>10716</v>
      </c>
    </row>
    <row r="1465" ht="14.25" customHeight="1">
      <c r="A1465" s="55" t="s">
        <v>9177</v>
      </c>
      <c r="B1465" s="55" t="s">
        <v>40</v>
      </c>
      <c r="C1465" s="55" t="s">
        <v>12774</v>
      </c>
      <c r="D1465" s="55" t="s">
        <v>9151</v>
      </c>
    </row>
    <row r="1466" ht="14.25" customHeight="1">
      <c r="A1466" s="55" t="s">
        <v>9177</v>
      </c>
      <c r="B1466" s="55" t="s">
        <v>40</v>
      </c>
      <c r="C1466" s="55" t="s">
        <v>10717</v>
      </c>
      <c r="D1466" s="55" t="s">
        <v>9151</v>
      </c>
    </row>
    <row r="1467" ht="14.25" customHeight="1">
      <c r="A1467" s="55" t="s">
        <v>9177</v>
      </c>
      <c r="B1467" s="55" t="s">
        <v>40</v>
      </c>
      <c r="C1467" s="55" t="s">
        <v>13612</v>
      </c>
      <c r="D1467" s="55" t="s">
        <v>13613</v>
      </c>
    </row>
    <row r="1468" ht="14.25" customHeight="1">
      <c r="A1468" s="55" t="s">
        <v>9177</v>
      </c>
      <c r="B1468" s="55" t="s">
        <v>40</v>
      </c>
      <c r="C1468" s="55" t="s">
        <v>10718</v>
      </c>
      <c r="D1468" s="55" t="s">
        <v>8978</v>
      </c>
    </row>
    <row r="1469" ht="14.25" customHeight="1">
      <c r="A1469" s="55" t="s">
        <v>9177</v>
      </c>
      <c r="B1469" s="55" t="s">
        <v>40</v>
      </c>
      <c r="C1469" s="55" t="s">
        <v>9215</v>
      </c>
      <c r="D1469" s="55" t="s">
        <v>14133</v>
      </c>
    </row>
    <row r="1470" ht="14.25" customHeight="1">
      <c r="A1470" s="55" t="s">
        <v>9177</v>
      </c>
      <c r="B1470" s="55" t="s">
        <v>40</v>
      </c>
      <c r="C1470" s="55" t="s">
        <v>9215</v>
      </c>
      <c r="D1470" s="55" t="s">
        <v>9055</v>
      </c>
    </row>
    <row r="1471" ht="14.25" customHeight="1">
      <c r="A1471" s="55" t="s">
        <v>9177</v>
      </c>
      <c r="B1471" s="55" t="s">
        <v>40</v>
      </c>
      <c r="C1471" s="55" t="s">
        <v>9215</v>
      </c>
      <c r="D1471" s="55" t="s">
        <v>9216</v>
      </c>
    </row>
    <row r="1472" ht="14.25" customHeight="1">
      <c r="A1472" s="55" t="s">
        <v>9177</v>
      </c>
      <c r="B1472" s="55" t="s">
        <v>40</v>
      </c>
      <c r="C1472" s="55" t="s">
        <v>12020</v>
      </c>
      <c r="D1472" s="55" t="s">
        <v>9043</v>
      </c>
    </row>
    <row r="1473" ht="14.25" customHeight="1">
      <c r="A1473" s="55" t="s">
        <v>9177</v>
      </c>
      <c r="B1473" s="55" t="s">
        <v>40</v>
      </c>
      <c r="C1473" s="55" t="s">
        <v>12775</v>
      </c>
      <c r="D1473" s="55" t="s">
        <v>12776</v>
      </c>
    </row>
    <row r="1474" ht="14.25" customHeight="1">
      <c r="A1474" s="55" t="s">
        <v>9177</v>
      </c>
      <c r="B1474" s="55" t="s">
        <v>40</v>
      </c>
      <c r="C1474" s="55" t="s">
        <v>245</v>
      </c>
      <c r="D1474" s="55" t="s">
        <v>13614</v>
      </c>
    </row>
    <row r="1475" ht="14.25" customHeight="1">
      <c r="A1475" s="55" t="s">
        <v>9177</v>
      </c>
      <c r="B1475" s="55" t="s">
        <v>40</v>
      </c>
      <c r="C1475" s="55" t="s">
        <v>245</v>
      </c>
      <c r="D1475" s="55" t="s">
        <v>8968</v>
      </c>
    </row>
    <row r="1476" ht="14.25" customHeight="1">
      <c r="A1476" s="55" t="s">
        <v>9177</v>
      </c>
      <c r="B1476" s="55" t="s">
        <v>40</v>
      </c>
      <c r="C1476" s="55" t="s">
        <v>245</v>
      </c>
      <c r="D1476" s="55" t="s">
        <v>9043</v>
      </c>
    </row>
    <row r="1477" ht="14.25" customHeight="1">
      <c r="A1477" s="55" t="s">
        <v>9177</v>
      </c>
      <c r="B1477" s="55" t="s">
        <v>40</v>
      </c>
      <c r="C1477" s="55" t="s">
        <v>245</v>
      </c>
      <c r="D1477" s="55" t="s">
        <v>9219</v>
      </c>
    </row>
    <row r="1478" ht="14.25" customHeight="1">
      <c r="A1478" s="55" t="s">
        <v>9177</v>
      </c>
      <c r="B1478" s="55" t="s">
        <v>40</v>
      </c>
      <c r="C1478" s="55" t="s">
        <v>14134</v>
      </c>
      <c r="D1478" s="55" t="s">
        <v>13614</v>
      </c>
    </row>
    <row r="1479" ht="14.25" customHeight="1">
      <c r="A1479" s="55" t="s">
        <v>9177</v>
      </c>
      <c r="B1479" s="55" t="s">
        <v>40</v>
      </c>
      <c r="C1479" s="55" t="s">
        <v>14134</v>
      </c>
      <c r="D1479" s="55" t="s">
        <v>9043</v>
      </c>
    </row>
    <row r="1480" ht="14.25" customHeight="1">
      <c r="A1480" s="55" t="s">
        <v>9177</v>
      </c>
      <c r="B1480" s="55" t="s">
        <v>40</v>
      </c>
      <c r="C1480" s="55" t="s">
        <v>12777</v>
      </c>
      <c r="D1480" s="55" t="s">
        <v>9216</v>
      </c>
    </row>
    <row r="1481" ht="14.25" customHeight="1">
      <c r="A1481" s="55" t="s">
        <v>9177</v>
      </c>
      <c r="B1481" s="55" t="s">
        <v>40</v>
      </c>
      <c r="C1481" s="55" t="s">
        <v>9593</v>
      </c>
      <c r="D1481" s="55" t="s">
        <v>12760</v>
      </c>
    </row>
    <row r="1482" ht="14.25" customHeight="1">
      <c r="A1482" s="55" t="s">
        <v>9177</v>
      </c>
      <c r="B1482" s="55" t="s">
        <v>40</v>
      </c>
      <c r="C1482" s="55" t="s">
        <v>9593</v>
      </c>
      <c r="D1482" s="55" t="s">
        <v>9043</v>
      </c>
    </row>
    <row r="1483" ht="14.25" customHeight="1">
      <c r="A1483" s="55" t="s">
        <v>9177</v>
      </c>
      <c r="B1483" s="55" t="s">
        <v>40</v>
      </c>
      <c r="C1483" s="55" t="s">
        <v>9593</v>
      </c>
      <c r="D1483" s="55" t="s">
        <v>9595</v>
      </c>
    </row>
    <row r="1484" ht="14.25" customHeight="1">
      <c r="A1484" s="55" t="s">
        <v>9177</v>
      </c>
      <c r="B1484" s="55" t="s">
        <v>40</v>
      </c>
      <c r="C1484" s="55" t="s">
        <v>10719</v>
      </c>
      <c r="D1484" s="55" t="s">
        <v>9180</v>
      </c>
    </row>
    <row r="1485" ht="14.25" customHeight="1">
      <c r="A1485" s="55" t="s">
        <v>9177</v>
      </c>
      <c r="B1485" s="55" t="s">
        <v>40</v>
      </c>
      <c r="C1485" s="55" t="s">
        <v>10719</v>
      </c>
      <c r="D1485" s="55" t="s">
        <v>8968</v>
      </c>
    </row>
    <row r="1486" ht="14.25" customHeight="1">
      <c r="A1486" s="55" t="s">
        <v>9177</v>
      </c>
      <c r="B1486" s="55" t="s">
        <v>40</v>
      </c>
      <c r="C1486" s="55" t="s">
        <v>12021</v>
      </c>
      <c r="D1486" s="55" t="s">
        <v>9043</v>
      </c>
    </row>
    <row r="1487" ht="14.25" customHeight="1">
      <c r="A1487" s="55" t="s">
        <v>9177</v>
      </c>
      <c r="B1487" s="55" t="s">
        <v>40</v>
      </c>
      <c r="C1487" s="55" t="s">
        <v>9243</v>
      </c>
      <c r="D1487" s="55" t="s">
        <v>9202</v>
      </c>
    </row>
    <row r="1488" ht="14.25" customHeight="1">
      <c r="A1488" s="55" t="s">
        <v>9177</v>
      </c>
      <c r="B1488" s="55" t="s">
        <v>40</v>
      </c>
      <c r="C1488" s="55" t="s">
        <v>250</v>
      </c>
      <c r="D1488" s="55" t="s">
        <v>10720</v>
      </c>
    </row>
    <row r="1489" ht="14.25" customHeight="1">
      <c r="A1489" s="55" t="s">
        <v>9177</v>
      </c>
      <c r="B1489" s="55" t="s">
        <v>40</v>
      </c>
      <c r="C1489" s="55" t="s">
        <v>4187</v>
      </c>
      <c r="D1489" s="55" t="s">
        <v>9026</v>
      </c>
    </row>
    <row r="1490" ht="14.25" customHeight="1">
      <c r="A1490" s="55" t="s">
        <v>9177</v>
      </c>
      <c r="B1490" s="55" t="s">
        <v>40</v>
      </c>
      <c r="C1490" s="55" t="s">
        <v>4225</v>
      </c>
      <c r="D1490" s="55" t="s">
        <v>12778</v>
      </c>
    </row>
    <row r="1491" ht="14.25" customHeight="1">
      <c r="A1491" s="55" t="s">
        <v>9177</v>
      </c>
      <c r="B1491" s="55" t="s">
        <v>40</v>
      </c>
      <c r="C1491" s="55" t="s">
        <v>10721</v>
      </c>
      <c r="D1491" s="55" t="s">
        <v>9026</v>
      </c>
    </row>
    <row r="1492" ht="14.25" customHeight="1">
      <c r="A1492" s="55" t="s">
        <v>9177</v>
      </c>
      <c r="B1492" s="55" t="s">
        <v>40</v>
      </c>
      <c r="C1492" s="55" t="s">
        <v>12779</v>
      </c>
      <c r="D1492" s="55" t="s">
        <v>8968</v>
      </c>
    </row>
    <row r="1493" ht="14.25" customHeight="1">
      <c r="A1493" s="55" t="s">
        <v>9177</v>
      </c>
      <c r="B1493" s="55" t="s">
        <v>40</v>
      </c>
      <c r="C1493" s="55" t="s">
        <v>12779</v>
      </c>
      <c r="D1493" s="55" t="s">
        <v>9043</v>
      </c>
    </row>
    <row r="1494" ht="14.25" customHeight="1">
      <c r="A1494" s="55" t="s">
        <v>9177</v>
      </c>
      <c r="B1494" s="55" t="s">
        <v>40</v>
      </c>
      <c r="C1494" s="55" t="s">
        <v>12780</v>
      </c>
      <c r="D1494" s="55" t="s">
        <v>12781</v>
      </c>
    </row>
    <row r="1495" ht="14.25" customHeight="1">
      <c r="A1495" s="55" t="s">
        <v>9177</v>
      </c>
      <c r="B1495" s="55" t="s">
        <v>40</v>
      </c>
      <c r="C1495" s="55" t="s">
        <v>9217</v>
      </c>
      <c r="D1495" s="55" t="s">
        <v>9043</v>
      </c>
    </row>
    <row r="1496" ht="14.25" customHeight="1">
      <c r="A1496" s="55" t="s">
        <v>9177</v>
      </c>
      <c r="B1496" s="55" t="s">
        <v>40</v>
      </c>
      <c r="C1496" s="55" t="s">
        <v>10138</v>
      </c>
      <c r="D1496" s="55" t="s">
        <v>10119</v>
      </c>
    </row>
    <row r="1497" ht="14.25" customHeight="1">
      <c r="A1497" s="55" t="s">
        <v>9177</v>
      </c>
      <c r="B1497" s="55" t="s">
        <v>40</v>
      </c>
      <c r="C1497" s="55" t="s">
        <v>13615</v>
      </c>
      <c r="D1497" s="55" t="s">
        <v>9055</v>
      </c>
    </row>
    <row r="1498" ht="14.25" customHeight="1">
      <c r="A1498" s="55" t="s">
        <v>9177</v>
      </c>
      <c r="B1498" s="55" t="s">
        <v>40</v>
      </c>
      <c r="C1498" s="55" t="s">
        <v>4260</v>
      </c>
      <c r="D1498" s="55" t="s">
        <v>9216</v>
      </c>
    </row>
    <row r="1499" ht="14.25" customHeight="1">
      <c r="A1499" s="55" t="s">
        <v>9177</v>
      </c>
      <c r="B1499" s="55" t="s">
        <v>40</v>
      </c>
      <c r="C1499" s="55" t="s">
        <v>14135</v>
      </c>
      <c r="D1499" s="55" t="s">
        <v>12009</v>
      </c>
    </row>
    <row r="1500" ht="14.25" customHeight="1">
      <c r="A1500" s="55" t="s">
        <v>9177</v>
      </c>
      <c r="B1500" s="55" t="s">
        <v>40</v>
      </c>
      <c r="C1500" s="55" t="s">
        <v>9218</v>
      </c>
      <c r="D1500" s="55" t="s">
        <v>9034</v>
      </c>
    </row>
    <row r="1501" ht="14.25" customHeight="1">
      <c r="A1501" s="55" t="s">
        <v>9177</v>
      </c>
      <c r="B1501" s="55" t="s">
        <v>40</v>
      </c>
      <c r="C1501" s="55" t="s">
        <v>9290</v>
      </c>
      <c r="D1501" s="55" t="s">
        <v>14136</v>
      </c>
    </row>
    <row r="1502" ht="14.25" customHeight="1">
      <c r="A1502" s="55" t="s">
        <v>9177</v>
      </c>
      <c r="B1502" s="55" t="s">
        <v>40</v>
      </c>
      <c r="C1502" s="55" t="s">
        <v>12782</v>
      </c>
      <c r="D1502" s="55" t="s">
        <v>11076</v>
      </c>
    </row>
    <row r="1503" ht="14.25" customHeight="1">
      <c r="A1503" s="55" t="s">
        <v>9177</v>
      </c>
      <c r="B1503" s="55" t="s">
        <v>40</v>
      </c>
      <c r="C1503" s="55" t="s">
        <v>261</v>
      </c>
      <c r="D1503" s="55" t="s">
        <v>9034</v>
      </c>
    </row>
    <row r="1504" ht="14.25" customHeight="1">
      <c r="A1504" s="55" t="s">
        <v>9177</v>
      </c>
      <c r="B1504" s="55" t="s">
        <v>40</v>
      </c>
      <c r="C1504" s="55" t="s">
        <v>261</v>
      </c>
      <c r="D1504" s="55" t="s">
        <v>9219</v>
      </c>
    </row>
    <row r="1505" ht="14.25" customHeight="1">
      <c r="A1505" s="55" t="s">
        <v>9177</v>
      </c>
      <c r="B1505" s="55" t="s">
        <v>40</v>
      </c>
      <c r="C1505" s="55" t="s">
        <v>261</v>
      </c>
      <c r="D1505" s="55" t="s">
        <v>11076</v>
      </c>
    </row>
    <row r="1506" ht="14.25" customHeight="1">
      <c r="A1506" s="55" t="s">
        <v>9177</v>
      </c>
      <c r="B1506" s="55" t="s">
        <v>40</v>
      </c>
      <c r="C1506" s="55" t="s">
        <v>261</v>
      </c>
      <c r="D1506" s="55" t="s">
        <v>11442</v>
      </c>
    </row>
    <row r="1507" ht="14.25" customHeight="1">
      <c r="A1507" s="55" t="s">
        <v>9177</v>
      </c>
      <c r="B1507" s="55" t="s">
        <v>40</v>
      </c>
      <c r="C1507" s="55" t="s">
        <v>8820</v>
      </c>
      <c r="D1507" s="55" t="s">
        <v>9043</v>
      </c>
    </row>
    <row r="1508" ht="14.25" customHeight="1">
      <c r="A1508" s="55" t="s">
        <v>9177</v>
      </c>
      <c r="B1508" s="55" t="s">
        <v>40</v>
      </c>
      <c r="C1508" s="55" t="s">
        <v>8820</v>
      </c>
      <c r="D1508" s="55" t="s">
        <v>9219</v>
      </c>
    </row>
    <row r="1509" ht="14.25" customHeight="1">
      <c r="A1509" s="55" t="s">
        <v>9177</v>
      </c>
      <c r="B1509" s="55" t="s">
        <v>40</v>
      </c>
      <c r="C1509" s="55" t="s">
        <v>12022</v>
      </c>
      <c r="D1509" s="55" t="s">
        <v>9055</v>
      </c>
    </row>
    <row r="1510" ht="14.25" customHeight="1">
      <c r="A1510" s="55" t="s">
        <v>9177</v>
      </c>
      <c r="B1510" s="55" t="s">
        <v>40</v>
      </c>
      <c r="C1510" s="55" t="s">
        <v>12783</v>
      </c>
      <c r="D1510" s="55" t="s">
        <v>10124</v>
      </c>
    </row>
    <row r="1511" ht="14.25" customHeight="1">
      <c r="A1511" s="55" t="s">
        <v>9177</v>
      </c>
      <c r="B1511" s="55" t="s">
        <v>40</v>
      </c>
      <c r="C1511" s="55" t="s">
        <v>267</v>
      </c>
      <c r="D1511" s="55" t="s">
        <v>9180</v>
      </c>
    </row>
    <row r="1512" ht="14.25" customHeight="1">
      <c r="A1512" s="55" t="s">
        <v>9177</v>
      </c>
      <c r="B1512" s="55" t="s">
        <v>40</v>
      </c>
      <c r="C1512" s="55" t="s">
        <v>267</v>
      </c>
      <c r="D1512" s="55" t="s">
        <v>11430</v>
      </c>
    </row>
    <row r="1513" ht="14.25" customHeight="1">
      <c r="A1513" s="55" t="s">
        <v>9177</v>
      </c>
      <c r="B1513" s="55" t="s">
        <v>40</v>
      </c>
      <c r="C1513" s="55" t="s">
        <v>7222</v>
      </c>
      <c r="D1513" s="55" t="s">
        <v>9043</v>
      </c>
    </row>
    <row r="1514" ht="14.25" customHeight="1">
      <c r="A1514" s="55" t="s">
        <v>9177</v>
      </c>
      <c r="B1514" s="55" t="s">
        <v>40</v>
      </c>
      <c r="C1514" s="55" t="s">
        <v>11443</v>
      </c>
      <c r="D1514" s="55" t="s">
        <v>11444</v>
      </c>
    </row>
    <row r="1515" ht="14.25" customHeight="1">
      <c r="A1515" s="55" t="s">
        <v>9177</v>
      </c>
      <c r="B1515" s="55" t="s">
        <v>40</v>
      </c>
      <c r="C1515" s="55" t="s">
        <v>9220</v>
      </c>
      <c r="D1515" s="55" t="s">
        <v>9221</v>
      </c>
    </row>
    <row r="1516" ht="14.25" customHeight="1">
      <c r="A1516" s="55" t="s">
        <v>9177</v>
      </c>
      <c r="B1516" s="55" t="s">
        <v>40</v>
      </c>
      <c r="C1516" s="55" t="s">
        <v>11445</v>
      </c>
      <c r="D1516" s="55" t="s">
        <v>9151</v>
      </c>
    </row>
    <row r="1517" ht="14.25" customHeight="1">
      <c r="A1517" s="55" t="s">
        <v>9177</v>
      </c>
      <c r="B1517" s="55" t="s">
        <v>40</v>
      </c>
      <c r="C1517" s="55" t="s">
        <v>270</v>
      </c>
      <c r="D1517" s="55" t="s">
        <v>13616</v>
      </c>
    </row>
    <row r="1518" ht="14.25" customHeight="1">
      <c r="A1518" s="55" t="s">
        <v>9177</v>
      </c>
      <c r="B1518" s="55" t="s">
        <v>40</v>
      </c>
      <c r="C1518" s="55" t="s">
        <v>14137</v>
      </c>
      <c r="D1518" s="55" t="s">
        <v>9055</v>
      </c>
    </row>
    <row r="1519" ht="14.25" customHeight="1">
      <c r="A1519" s="55" t="s">
        <v>9177</v>
      </c>
      <c r="B1519" s="55" t="s">
        <v>40</v>
      </c>
      <c r="C1519" s="55" t="s">
        <v>10139</v>
      </c>
      <c r="D1519" s="55" t="s">
        <v>10140</v>
      </c>
    </row>
    <row r="1520" ht="14.25" customHeight="1">
      <c r="A1520" s="55" t="s">
        <v>9177</v>
      </c>
      <c r="B1520" s="55" t="s">
        <v>40</v>
      </c>
      <c r="C1520" s="55" t="s">
        <v>12784</v>
      </c>
      <c r="D1520" s="55" t="s">
        <v>12760</v>
      </c>
    </row>
    <row r="1521" ht="14.25" customHeight="1">
      <c r="A1521" s="55" t="s">
        <v>9177</v>
      </c>
      <c r="B1521" s="55" t="s">
        <v>40</v>
      </c>
      <c r="C1521" s="55" t="s">
        <v>12785</v>
      </c>
      <c r="D1521" s="55" t="s">
        <v>9180</v>
      </c>
    </row>
    <row r="1522" ht="14.25" customHeight="1">
      <c r="A1522" s="55" t="s">
        <v>9177</v>
      </c>
      <c r="B1522" s="55" t="s">
        <v>40</v>
      </c>
      <c r="C1522" s="55" t="s">
        <v>9005</v>
      </c>
      <c r="D1522" s="55" t="s">
        <v>9006</v>
      </c>
    </row>
    <row r="1523" ht="14.25" customHeight="1">
      <c r="A1523" s="55" t="s">
        <v>9177</v>
      </c>
      <c r="B1523" s="55" t="s">
        <v>40</v>
      </c>
      <c r="C1523" s="55" t="s">
        <v>9005</v>
      </c>
      <c r="D1523" s="55" t="s">
        <v>12786</v>
      </c>
    </row>
    <row r="1524" ht="14.25" customHeight="1">
      <c r="A1524" s="55" t="s">
        <v>9177</v>
      </c>
      <c r="B1524" s="55" t="s">
        <v>40</v>
      </c>
      <c r="C1524" s="55" t="s">
        <v>9005</v>
      </c>
      <c r="D1524" s="55" t="s">
        <v>10062</v>
      </c>
    </row>
    <row r="1525" ht="14.25" customHeight="1">
      <c r="A1525" s="55" t="s">
        <v>9177</v>
      </c>
      <c r="B1525" s="55" t="s">
        <v>40</v>
      </c>
      <c r="C1525" s="55" t="s">
        <v>12787</v>
      </c>
      <c r="D1525" s="55" t="s">
        <v>9216</v>
      </c>
    </row>
    <row r="1526" ht="14.25" customHeight="1">
      <c r="A1526" s="55" t="s">
        <v>9177</v>
      </c>
      <c r="B1526" s="55" t="s">
        <v>40</v>
      </c>
      <c r="C1526" s="55" t="s">
        <v>9007</v>
      </c>
      <c r="D1526" s="55" t="s">
        <v>9006</v>
      </c>
    </row>
    <row r="1527" ht="14.25" customHeight="1">
      <c r="A1527" s="55" t="s">
        <v>9177</v>
      </c>
      <c r="B1527" s="55" t="s">
        <v>40</v>
      </c>
      <c r="C1527" s="55" t="s">
        <v>2163</v>
      </c>
      <c r="D1527" s="55" t="s">
        <v>14138</v>
      </c>
    </row>
    <row r="1528" ht="14.25" customHeight="1">
      <c r="A1528" s="55" t="s">
        <v>9177</v>
      </c>
      <c r="B1528" s="55" t="s">
        <v>40</v>
      </c>
      <c r="C1528" s="55" t="s">
        <v>2163</v>
      </c>
      <c r="D1528" s="55" t="s">
        <v>8968</v>
      </c>
    </row>
    <row r="1529" ht="14.25" customHeight="1">
      <c r="A1529" s="55" t="s">
        <v>9177</v>
      </c>
      <c r="B1529" s="55" t="s">
        <v>40</v>
      </c>
      <c r="C1529" s="55" t="s">
        <v>278</v>
      </c>
      <c r="D1529" s="55" t="s">
        <v>11998</v>
      </c>
    </row>
    <row r="1530" ht="14.25" customHeight="1">
      <c r="A1530" s="55" t="s">
        <v>9177</v>
      </c>
      <c r="B1530" s="55" t="s">
        <v>40</v>
      </c>
      <c r="C1530" s="55" t="s">
        <v>278</v>
      </c>
      <c r="D1530" s="55" t="s">
        <v>9043</v>
      </c>
    </row>
    <row r="1531" ht="14.25" customHeight="1">
      <c r="A1531" s="55" t="s">
        <v>9177</v>
      </c>
      <c r="B1531" s="55" t="s">
        <v>40</v>
      </c>
      <c r="C1531" s="55" t="s">
        <v>10166</v>
      </c>
      <c r="D1531" s="55" t="s">
        <v>9043</v>
      </c>
    </row>
    <row r="1532" ht="14.25" customHeight="1">
      <c r="A1532" s="55" t="s">
        <v>9177</v>
      </c>
      <c r="B1532" s="55" t="s">
        <v>40</v>
      </c>
      <c r="C1532" s="55" t="s">
        <v>14139</v>
      </c>
      <c r="D1532" s="55" t="s">
        <v>14140</v>
      </c>
    </row>
    <row r="1533" ht="14.25" customHeight="1">
      <c r="A1533" s="55" t="s">
        <v>9177</v>
      </c>
      <c r="B1533" s="55" t="s">
        <v>40</v>
      </c>
      <c r="C1533" s="55" t="s">
        <v>9222</v>
      </c>
      <c r="D1533" s="55" t="s">
        <v>9131</v>
      </c>
    </row>
    <row r="1534" ht="14.25" customHeight="1">
      <c r="A1534" s="55" t="s">
        <v>9177</v>
      </c>
      <c r="B1534" s="55" t="s">
        <v>40</v>
      </c>
      <c r="C1534" s="55" t="s">
        <v>13617</v>
      </c>
      <c r="D1534" s="55" t="s">
        <v>9034</v>
      </c>
    </row>
    <row r="1535" ht="14.25" customHeight="1">
      <c r="A1535" s="55" t="s">
        <v>9177</v>
      </c>
      <c r="B1535" s="55" t="s">
        <v>40</v>
      </c>
      <c r="C1535" s="55" t="s">
        <v>12788</v>
      </c>
      <c r="D1535" s="55" t="s">
        <v>8994</v>
      </c>
    </row>
    <row r="1536" ht="14.25" customHeight="1">
      <c r="A1536" s="55" t="s">
        <v>9177</v>
      </c>
      <c r="B1536" s="55" t="s">
        <v>40</v>
      </c>
      <c r="C1536" s="55" t="s">
        <v>5671</v>
      </c>
      <c r="D1536" s="55" t="s">
        <v>9151</v>
      </c>
    </row>
    <row r="1537" ht="14.25" customHeight="1">
      <c r="A1537" s="55" t="s">
        <v>9177</v>
      </c>
      <c r="B1537" s="55" t="s">
        <v>40</v>
      </c>
      <c r="C1537" s="55" t="s">
        <v>280</v>
      </c>
      <c r="D1537" s="55" t="s">
        <v>9151</v>
      </c>
    </row>
    <row r="1538" ht="14.25" customHeight="1">
      <c r="A1538" s="55" t="s">
        <v>9177</v>
      </c>
      <c r="B1538" s="55" t="s">
        <v>40</v>
      </c>
      <c r="C1538" s="55" t="s">
        <v>11808</v>
      </c>
      <c r="D1538" s="55" t="s">
        <v>9213</v>
      </c>
    </row>
    <row r="1539" ht="14.25" customHeight="1">
      <c r="A1539" s="55" t="s">
        <v>9177</v>
      </c>
      <c r="B1539" s="55" t="s">
        <v>40</v>
      </c>
      <c r="C1539" s="55" t="s">
        <v>7338</v>
      </c>
      <c r="D1539" s="55" t="s">
        <v>9026</v>
      </c>
    </row>
    <row r="1540" ht="14.25" customHeight="1">
      <c r="A1540" s="55" t="s">
        <v>9177</v>
      </c>
      <c r="B1540" s="55" t="s">
        <v>40</v>
      </c>
      <c r="C1540" s="55" t="s">
        <v>12789</v>
      </c>
      <c r="D1540" s="55" t="s">
        <v>9026</v>
      </c>
    </row>
    <row r="1541" ht="14.25" customHeight="1">
      <c r="A1541" s="55" t="s">
        <v>9177</v>
      </c>
      <c r="B1541" s="55" t="s">
        <v>40</v>
      </c>
      <c r="C1541" s="55" t="s">
        <v>281</v>
      </c>
      <c r="D1541" s="55" t="s">
        <v>9180</v>
      </c>
    </row>
    <row r="1542" ht="14.25" customHeight="1">
      <c r="A1542" s="55" t="s">
        <v>9177</v>
      </c>
      <c r="B1542" s="55" t="s">
        <v>40</v>
      </c>
      <c r="C1542" s="55" t="s">
        <v>281</v>
      </c>
      <c r="D1542" s="55" t="s">
        <v>9131</v>
      </c>
    </row>
    <row r="1543" ht="14.25" customHeight="1">
      <c r="A1543" s="55" t="s">
        <v>9177</v>
      </c>
      <c r="B1543" s="55" t="s">
        <v>40</v>
      </c>
      <c r="C1543" s="55" t="s">
        <v>281</v>
      </c>
      <c r="D1543" s="55" t="s">
        <v>9043</v>
      </c>
    </row>
    <row r="1544" ht="14.25" customHeight="1">
      <c r="A1544" s="55" t="s">
        <v>9177</v>
      </c>
      <c r="B1544" s="55" t="s">
        <v>40</v>
      </c>
      <c r="C1544" s="55" t="s">
        <v>281</v>
      </c>
      <c r="D1544" s="55" t="s">
        <v>10141</v>
      </c>
    </row>
    <row r="1545" ht="14.25" customHeight="1">
      <c r="A1545" s="55" t="s">
        <v>9177</v>
      </c>
      <c r="B1545" s="55" t="s">
        <v>40</v>
      </c>
      <c r="C1545" s="55" t="s">
        <v>281</v>
      </c>
      <c r="D1545" s="55" t="s">
        <v>9026</v>
      </c>
    </row>
    <row r="1546" ht="14.25" customHeight="1">
      <c r="A1546" s="55" t="s">
        <v>9177</v>
      </c>
      <c r="B1546" s="55" t="s">
        <v>40</v>
      </c>
      <c r="C1546" s="55" t="s">
        <v>281</v>
      </c>
      <c r="D1546" s="55" t="s">
        <v>9223</v>
      </c>
    </row>
    <row r="1547" ht="14.25" customHeight="1">
      <c r="A1547" s="55" t="s">
        <v>9177</v>
      </c>
      <c r="B1547" s="55" t="s">
        <v>40</v>
      </c>
      <c r="C1547" s="55" t="s">
        <v>281</v>
      </c>
      <c r="D1547" s="55" t="s">
        <v>9224</v>
      </c>
    </row>
    <row r="1548" ht="14.25" customHeight="1">
      <c r="A1548" s="55" t="s">
        <v>9177</v>
      </c>
      <c r="B1548" s="55" t="s">
        <v>40</v>
      </c>
      <c r="C1548" s="55" t="s">
        <v>281</v>
      </c>
      <c r="D1548" s="55" t="s">
        <v>10142</v>
      </c>
    </row>
    <row r="1549" ht="14.25" customHeight="1">
      <c r="A1549" s="55" t="s">
        <v>9177</v>
      </c>
      <c r="B1549" s="55" t="s">
        <v>40</v>
      </c>
      <c r="C1549" s="55" t="s">
        <v>2230</v>
      </c>
      <c r="D1549" s="55" t="s">
        <v>9034</v>
      </c>
    </row>
    <row r="1550" ht="14.25" customHeight="1">
      <c r="A1550" s="55" t="s">
        <v>9177</v>
      </c>
      <c r="B1550" s="55" t="s">
        <v>40</v>
      </c>
      <c r="C1550" s="55" t="s">
        <v>2230</v>
      </c>
      <c r="D1550" s="55" t="s">
        <v>9180</v>
      </c>
    </row>
    <row r="1551" ht="14.25" customHeight="1">
      <c r="A1551" s="55" t="s">
        <v>9177</v>
      </c>
      <c r="B1551" s="55" t="s">
        <v>40</v>
      </c>
      <c r="C1551" s="55" t="s">
        <v>2230</v>
      </c>
      <c r="D1551" s="55" t="s">
        <v>11430</v>
      </c>
    </row>
    <row r="1552" ht="14.25" customHeight="1">
      <c r="A1552" s="55" t="s">
        <v>9177</v>
      </c>
      <c r="B1552" s="55" t="s">
        <v>40</v>
      </c>
      <c r="C1552" s="55" t="s">
        <v>2230</v>
      </c>
      <c r="D1552" s="55" t="s">
        <v>9219</v>
      </c>
    </row>
    <row r="1553" ht="14.25" customHeight="1">
      <c r="A1553" s="55" t="s">
        <v>9177</v>
      </c>
      <c r="B1553" s="55" t="s">
        <v>40</v>
      </c>
      <c r="C1553" s="55" t="s">
        <v>2230</v>
      </c>
      <c r="D1553" s="55" t="s">
        <v>10141</v>
      </c>
    </row>
    <row r="1554" ht="14.25" customHeight="1">
      <c r="A1554" s="55" t="s">
        <v>9177</v>
      </c>
      <c r="B1554" s="55" t="s">
        <v>40</v>
      </c>
      <c r="C1554" s="55" t="s">
        <v>2230</v>
      </c>
      <c r="D1554" s="55" t="s">
        <v>9026</v>
      </c>
    </row>
    <row r="1555" ht="14.25" customHeight="1">
      <c r="A1555" s="55" t="s">
        <v>9177</v>
      </c>
      <c r="B1555" s="55" t="s">
        <v>40</v>
      </c>
      <c r="C1555" s="55" t="s">
        <v>2230</v>
      </c>
      <c r="D1555" s="55" t="s">
        <v>10131</v>
      </c>
    </row>
    <row r="1556" ht="14.25" customHeight="1">
      <c r="A1556" s="55" t="s">
        <v>9177</v>
      </c>
      <c r="B1556" s="55" t="s">
        <v>40</v>
      </c>
      <c r="C1556" s="55" t="s">
        <v>282</v>
      </c>
      <c r="D1556" s="55" t="s">
        <v>9026</v>
      </c>
    </row>
    <row r="1557" ht="14.25" customHeight="1">
      <c r="A1557" s="55" t="s">
        <v>9177</v>
      </c>
      <c r="B1557" s="55" t="s">
        <v>40</v>
      </c>
      <c r="C1557" s="55" t="s">
        <v>9225</v>
      </c>
      <c r="D1557" s="55" t="s">
        <v>9026</v>
      </c>
    </row>
    <row r="1558" ht="14.25" customHeight="1">
      <c r="A1558" s="55" t="s">
        <v>9177</v>
      </c>
      <c r="B1558" s="55" t="s">
        <v>40</v>
      </c>
      <c r="C1558" s="55" t="s">
        <v>9225</v>
      </c>
      <c r="D1558" s="55" t="s">
        <v>9178</v>
      </c>
    </row>
    <row r="1559" ht="14.25" customHeight="1">
      <c r="A1559" s="55" t="s">
        <v>9177</v>
      </c>
      <c r="B1559" s="55" t="s">
        <v>40</v>
      </c>
      <c r="C1559" s="55" t="s">
        <v>12023</v>
      </c>
      <c r="D1559" s="55" t="s">
        <v>9026</v>
      </c>
    </row>
    <row r="1560" ht="14.25" customHeight="1">
      <c r="A1560" s="55" t="s">
        <v>9177</v>
      </c>
      <c r="B1560" s="55" t="s">
        <v>40</v>
      </c>
      <c r="C1560" s="55" t="s">
        <v>9226</v>
      </c>
      <c r="D1560" s="55" t="s">
        <v>9131</v>
      </c>
    </row>
    <row r="1561" ht="14.25" customHeight="1">
      <c r="A1561" s="55" t="s">
        <v>9177</v>
      </c>
      <c r="B1561" s="55" t="s">
        <v>40</v>
      </c>
      <c r="C1561" s="55" t="s">
        <v>14141</v>
      </c>
      <c r="D1561" s="55" t="s">
        <v>14142</v>
      </c>
    </row>
    <row r="1562" ht="14.25" customHeight="1">
      <c r="A1562" s="55" t="s">
        <v>9177</v>
      </c>
      <c r="B1562" s="55" t="s">
        <v>40</v>
      </c>
      <c r="C1562" s="55" t="s">
        <v>9929</v>
      </c>
      <c r="D1562" s="55" t="s">
        <v>9180</v>
      </c>
    </row>
    <row r="1563" ht="14.25" customHeight="1">
      <c r="A1563" s="55" t="s">
        <v>9177</v>
      </c>
      <c r="B1563" s="55" t="s">
        <v>40</v>
      </c>
      <c r="C1563" s="55" t="s">
        <v>10143</v>
      </c>
      <c r="D1563" s="55" t="s">
        <v>9026</v>
      </c>
    </row>
    <row r="1564" ht="14.25" customHeight="1">
      <c r="A1564" s="55" t="s">
        <v>9177</v>
      </c>
      <c r="B1564" s="55" t="s">
        <v>40</v>
      </c>
      <c r="C1564" s="55" t="s">
        <v>286</v>
      </c>
      <c r="D1564" s="55" t="s">
        <v>9194</v>
      </c>
    </row>
    <row r="1565" ht="14.25" customHeight="1">
      <c r="A1565" s="55" t="s">
        <v>9177</v>
      </c>
      <c r="B1565" s="55" t="s">
        <v>40</v>
      </c>
      <c r="C1565" s="55" t="s">
        <v>288</v>
      </c>
      <c r="D1565" s="55" t="s">
        <v>9043</v>
      </c>
    </row>
    <row r="1566" ht="14.25" customHeight="1">
      <c r="A1566" s="55" t="s">
        <v>9177</v>
      </c>
      <c r="B1566" s="55" t="s">
        <v>40</v>
      </c>
      <c r="C1566" s="55" t="s">
        <v>10144</v>
      </c>
      <c r="D1566" s="55" t="s">
        <v>9151</v>
      </c>
    </row>
    <row r="1567" ht="14.25" customHeight="1">
      <c r="A1567" s="55" t="s">
        <v>9177</v>
      </c>
      <c r="B1567" s="55" t="s">
        <v>40</v>
      </c>
      <c r="C1567" s="55" t="s">
        <v>4487</v>
      </c>
      <c r="D1567" s="55" t="s">
        <v>9151</v>
      </c>
    </row>
    <row r="1568" ht="14.25" customHeight="1">
      <c r="A1568" s="55" t="s">
        <v>9177</v>
      </c>
      <c r="B1568" s="55" t="s">
        <v>41</v>
      </c>
      <c r="C1568" s="55" t="s">
        <v>9034</v>
      </c>
      <c r="D1568" s="55" t="s">
        <v>9618</v>
      </c>
    </row>
    <row r="1569" ht="14.25" customHeight="1">
      <c r="A1569" s="55" t="s">
        <v>9177</v>
      </c>
      <c r="B1569" s="55" t="s">
        <v>41</v>
      </c>
      <c r="C1569" s="55" t="s">
        <v>9034</v>
      </c>
      <c r="D1569" s="55" t="s">
        <v>11446</v>
      </c>
    </row>
    <row r="1570" ht="14.25" customHeight="1">
      <c r="A1570" s="55" t="s">
        <v>9177</v>
      </c>
      <c r="B1570" s="55" t="s">
        <v>41</v>
      </c>
      <c r="C1570" s="55" t="s">
        <v>9034</v>
      </c>
      <c r="D1570" s="55" t="s">
        <v>10131</v>
      </c>
    </row>
    <row r="1571" ht="14.25" customHeight="1">
      <c r="A1571" s="55" t="s">
        <v>9177</v>
      </c>
      <c r="B1571" s="55" t="s">
        <v>41</v>
      </c>
      <c r="C1571" s="55" t="s">
        <v>9034</v>
      </c>
      <c r="D1571" s="55" t="s">
        <v>8994</v>
      </c>
    </row>
    <row r="1572" ht="14.25" customHeight="1">
      <c r="A1572" s="55" t="s">
        <v>9177</v>
      </c>
      <c r="B1572" s="55" t="s">
        <v>41</v>
      </c>
      <c r="C1572" s="55" t="s">
        <v>5740</v>
      </c>
      <c r="D1572" s="55" t="s">
        <v>9034</v>
      </c>
    </row>
    <row r="1573" ht="14.25" customHeight="1">
      <c r="A1573" s="55" t="s">
        <v>9177</v>
      </c>
      <c r="B1573" s="55" t="s">
        <v>41</v>
      </c>
      <c r="C1573" s="55" t="s">
        <v>5740</v>
      </c>
      <c r="D1573" s="55" t="s">
        <v>12024</v>
      </c>
    </row>
    <row r="1574" ht="14.25" customHeight="1">
      <c r="A1574" s="55" t="s">
        <v>9177</v>
      </c>
      <c r="B1574" s="55" t="s">
        <v>41</v>
      </c>
      <c r="C1574" s="55" t="s">
        <v>5740</v>
      </c>
      <c r="D1574" s="55" t="s">
        <v>12025</v>
      </c>
    </row>
    <row r="1575" ht="14.25" customHeight="1">
      <c r="A1575" s="55" t="s">
        <v>9177</v>
      </c>
      <c r="B1575" s="55" t="s">
        <v>41</v>
      </c>
      <c r="C1575" s="55" t="s">
        <v>5740</v>
      </c>
      <c r="D1575" s="55" t="s">
        <v>8994</v>
      </c>
    </row>
    <row r="1576" ht="14.25" customHeight="1">
      <c r="A1576" s="55" t="s">
        <v>9177</v>
      </c>
      <c r="B1576" s="55" t="s">
        <v>41</v>
      </c>
      <c r="C1576" s="55" t="s">
        <v>5740</v>
      </c>
      <c r="D1576" s="55" t="s">
        <v>9194</v>
      </c>
    </row>
    <row r="1577" ht="14.25" customHeight="1">
      <c r="A1577" s="55" t="s">
        <v>9177</v>
      </c>
      <c r="B1577" s="55" t="s">
        <v>41</v>
      </c>
      <c r="C1577" s="55" t="s">
        <v>14143</v>
      </c>
      <c r="D1577" s="55" t="s">
        <v>9221</v>
      </c>
    </row>
    <row r="1578" ht="14.25" customHeight="1">
      <c r="A1578" s="55" t="s">
        <v>9177</v>
      </c>
      <c r="B1578" s="55" t="s">
        <v>41</v>
      </c>
      <c r="C1578" s="55" t="s">
        <v>11447</v>
      </c>
      <c r="D1578" s="55" t="s">
        <v>9026</v>
      </c>
    </row>
    <row r="1579" ht="14.25" customHeight="1">
      <c r="A1579" s="55" t="s">
        <v>9177</v>
      </c>
      <c r="B1579" s="55" t="s">
        <v>41</v>
      </c>
      <c r="C1579" s="55" t="s">
        <v>10145</v>
      </c>
      <c r="D1579" s="55" t="s">
        <v>9026</v>
      </c>
    </row>
    <row r="1580" ht="14.25" customHeight="1">
      <c r="A1580" s="55" t="s">
        <v>9177</v>
      </c>
      <c r="B1580" s="55" t="s">
        <v>41</v>
      </c>
      <c r="C1580" s="55" t="s">
        <v>12026</v>
      </c>
      <c r="D1580" s="55" t="s">
        <v>9189</v>
      </c>
    </row>
    <row r="1581" ht="14.25" customHeight="1">
      <c r="A1581" s="55" t="s">
        <v>9177</v>
      </c>
      <c r="B1581" s="55" t="s">
        <v>41</v>
      </c>
      <c r="C1581" s="55" t="s">
        <v>10146</v>
      </c>
      <c r="D1581" s="55" t="s">
        <v>12790</v>
      </c>
    </row>
    <row r="1582" ht="14.25" customHeight="1">
      <c r="A1582" s="55" t="s">
        <v>9177</v>
      </c>
      <c r="B1582" s="55" t="s">
        <v>41</v>
      </c>
      <c r="C1582" s="55" t="s">
        <v>10146</v>
      </c>
      <c r="D1582" s="55" t="s">
        <v>9151</v>
      </c>
    </row>
    <row r="1583" ht="14.25" customHeight="1">
      <c r="A1583" s="55" t="s">
        <v>9177</v>
      </c>
      <c r="B1583" s="55" t="s">
        <v>41</v>
      </c>
      <c r="C1583" s="55" t="s">
        <v>10147</v>
      </c>
      <c r="D1583" s="55" t="s">
        <v>9109</v>
      </c>
    </row>
    <row r="1584" ht="14.25" customHeight="1">
      <c r="A1584" s="55" t="s">
        <v>9177</v>
      </c>
      <c r="B1584" s="55" t="s">
        <v>41</v>
      </c>
      <c r="C1584" s="55" t="s">
        <v>10147</v>
      </c>
      <c r="D1584" s="55" t="s">
        <v>8968</v>
      </c>
    </row>
    <row r="1585" ht="14.25" customHeight="1">
      <c r="A1585" s="55" t="s">
        <v>9177</v>
      </c>
      <c r="B1585" s="55" t="s">
        <v>41</v>
      </c>
      <c r="C1585" s="55" t="s">
        <v>14144</v>
      </c>
      <c r="D1585" s="55" t="s">
        <v>10689</v>
      </c>
    </row>
    <row r="1586" ht="14.25" customHeight="1">
      <c r="A1586" s="55" t="s">
        <v>9177</v>
      </c>
      <c r="B1586" s="55" t="s">
        <v>41</v>
      </c>
      <c r="C1586" s="55" t="s">
        <v>10148</v>
      </c>
      <c r="D1586" s="55" t="s">
        <v>9213</v>
      </c>
    </row>
    <row r="1587" ht="14.25" customHeight="1">
      <c r="A1587" s="55" t="s">
        <v>9177</v>
      </c>
      <c r="B1587" s="55" t="s">
        <v>41</v>
      </c>
      <c r="C1587" s="55" t="s">
        <v>10149</v>
      </c>
      <c r="D1587" s="55" t="s">
        <v>10150</v>
      </c>
    </row>
    <row r="1588" ht="14.25" customHeight="1">
      <c r="A1588" s="55" t="s">
        <v>9177</v>
      </c>
      <c r="B1588" s="55" t="s">
        <v>41</v>
      </c>
      <c r="C1588" s="55" t="s">
        <v>12027</v>
      </c>
      <c r="D1588" s="55" t="s">
        <v>12028</v>
      </c>
    </row>
    <row r="1589" ht="14.25" customHeight="1">
      <c r="A1589" s="55" t="s">
        <v>9177</v>
      </c>
      <c r="B1589" s="55" t="s">
        <v>41</v>
      </c>
      <c r="C1589" s="55" t="s">
        <v>76</v>
      </c>
      <c r="D1589" s="55" t="s">
        <v>9055</v>
      </c>
    </row>
    <row r="1590" ht="14.25" customHeight="1">
      <c r="A1590" s="55" t="s">
        <v>9177</v>
      </c>
      <c r="B1590" s="55" t="s">
        <v>41</v>
      </c>
      <c r="C1590" s="55" t="s">
        <v>12791</v>
      </c>
      <c r="D1590" s="55" t="s">
        <v>12792</v>
      </c>
    </row>
    <row r="1591" ht="14.25" customHeight="1">
      <c r="A1591" s="55" t="s">
        <v>9177</v>
      </c>
      <c r="B1591" s="55" t="s">
        <v>41</v>
      </c>
      <c r="C1591" s="55" t="s">
        <v>13618</v>
      </c>
      <c r="D1591" s="55" t="s">
        <v>9151</v>
      </c>
    </row>
    <row r="1592" ht="14.25" customHeight="1">
      <c r="A1592" s="55" t="s">
        <v>9177</v>
      </c>
      <c r="B1592" s="55" t="s">
        <v>41</v>
      </c>
      <c r="C1592" s="55" t="s">
        <v>10656</v>
      </c>
      <c r="D1592" s="55" t="s">
        <v>13619</v>
      </c>
    </row>
    <row r="1593" ht="14.25" customHeight="1">
      <c r="A1593" s="55" t="s">
        <v>9177</v>
      </c>
      <c r="B1593" s="55" t="s">
        <v>41</v>
      </c>
      <c r="C1593" s="55" t="s">
        <v>10656</v>
      </c>
      <c r="D1593" s="55" t="s">
        <v>8994</v>
      </c>
    </row>
    <row r="1594" ht="14.25" customHeight="1">
      <c r="A1594" s="55" t="s">
        <v>9177</v>
      </c>
      <c r="B1594" s="55" t="s">
        <v>41</v>
      </c>
      <c r="C1594" s="55" t="s">
        <v>80</v>
      </c>
      <c r="D1594" s="55" t="s">
        <v>8968</v>
      </c>
    </row>
    <row r="1595" ht="14.25" customHeight="1">
      <c r="A1595" s="55" t="s">
        <v>9177</v>
      </c>
      <c r="B1595" s="55" t="s">
        <v>41</v>
      </c>
      <c r="C1595" s="55" t="s">
        <v>7547</v>
      </c>
      <c r="D1595" s="55" t="s">
        <v>9131</v>
      </c>
    </row>
    <row r="1596" ht="14.25" customHeight="1">
      <c r="A1596" s="55" t="s">
        <v>9177</v>
      </c>
      <c r="B1596" s="55" t="s">
        <v>41</v>
      </c>
      <c r="C1596" s="55" t="s">
        <v>81</v>
      </c>
      <c r="D1596" s="55" t="s">
        <v>13620</v>
      </c>
    </row>
    <row r="1597" ht="14.25" customHeight="1">
      <c r="A1597" s="55" t="s">
        <v>9177</v>
      </c>
      <c r="B1597" s="55" t="s">
        <v>41</v>
      </c>
      <c r="C1597" s="55" t="s">
        <v>81</v>
      </c>
      <c r="D1597" s="55" t="s">
        <v>8994</v>
      </c>
    </row>
    <row r="1598" ht="14.25" customHeight="1">
      <c r="A1598" s="55" t="s">
        <v>9177</v>
      </c>
      <c r="B1598" s="55" t="s">
        <v>41</v>
      </c>
      <c r="C1598" s="55" t="s">
        <v>12793</v>
      </c>
      <c r="D1598" s="55" t="s">
        <v>8994</v>
      </c>
    </row>
    <row r="1599" ht="14.25" customHeight="1">
      <c r="A1599" s="55" t="s">
        <v>9177</v>
      </c>
      <c r="B1599" s="55" t="s">
        <v>41</v>
      </c>
      <c r="C1599" s="55" t="s">
        <v>9227</v>
      </c>
      <c r="D1599" s="55" t="s">
        <v>9228</v>
      </c>
    </row>
    <row r="1600" ht="14.25" customHeight="1">
      <c r="A1600" s="55" t="s">
        <v>9177</v>
      </c>
      <c r="B1600" s="55" t="s">
        <v>41</v>
      </c>
      <c r="C1600" s="55" t="s">
        <v>89</v>
      </c>
      <c r="D1600" s="55" t="s">
        <v>11436</v>
      </c>
    </row>
    <row r="1601" ht="14.25" customHeight="1">
      <c r="A1601" s="55" t="s">
        <v>9177</v>
      </c>
      <c r="B1601" s="55" t="s">
        <v>41</v>
      </c>
      <c r="C1601" s="55" t="s">
        <v>11448</v>
      </c>
      <c r="D1601" s="55" t="s">
        <v>11449</v>
      </c>
    </row>
    <row r="1602" ht="14.25" customHeight="1">
      <c r="A1602" s="55" t="s">
        <v>9177</v>
      </c>
      <c r="B1602" s="55" t="s">
        <v>41</v>
      </c>
      <c r="C1602" s="55" t="s">
        <v>12029</v>
      </c>
      <c r="D1602" s="55" t="s">
        <v>11451</v>
      </c>
    </row>
    <row r="1603" ht="14.25" customHeight="1">
      <c r="A1603" s="55" t="s">
        <v>9177</v>
      </c>
      <c r="B1603" s="55" t="s">
        <v>41</v>
      </c>
      <c r="C1603" s="55" t="s">
        <v>11450</v>
      </c>
      <c r="D1603" s="55" t="s">
        <v>11451</v>
      </c>
    </row>
    <row r="1604" ht="14.25" customHeight="1">
      <c r="A1604" s="55" t="s">
        <v>9177</v>
      </c>
      <c r="B1604" s="55" t="s">
        <v>41</v>
      </c>
      <c r="C1604" s="55" t="s">
        <v>12794</v>
      </c>
      <c r="D1604" s="55" t="s">
        <v>9055</v>
      </c>
    </row>
    <row r="1605" ht="14.25" customHeight="1">
      <c r="A1605" s="55" t="s">
        <v>9177</v>
      </c>
      <c r="B1605" s="55" t="s">
        <v>41</v>
      </c>
      <c r="C1605" s="55" t="s">
        <v>12030</v>
      </c>
      <c r="D1605" s="55" t="s">
        <v>12031</v>
      </c>
    </row>
    <row r="1606" ht="14.25" customHeight="1">
      <c r="A1606" s="55" t="s">
        <v>9177</v>
      </c>
      <c r="B1606" s="55" t="s">
        <v>41</v>
      </c>
      <c r="C1606" s="55" t="s">
        <v>7652</v>
      </c>
      <c r="D1606" s="55" t="s">
        <v>8968</v>
      </c>
    </row>
    <row r="1607" ht="14.25" customHeight="1">
      <c r="A1607" s="55" t="s">
        <v>9177</v>
      </c>
      <c r="B1607" s="55" t="s">
        <v>41</v>
      </c>
      <c r="C1607" s="55" t="s">
        <v>7652</v>
      </c>
      <c r="D1607" s="55" t="s">
        <v>9587</v>
      </c>
    </row>
    <row r="1608" ht="14.25" customHeight="1">
      <c r="A1608" s="55" t="s">
        <v>9177</v>
      </c>
      <c r="B1608" s="55" t="s">
        <v>41</v>
      </c>
      <c r="C1608" s="55" t="s">
        <v>7652</v>
      </c>
      <c r="D1608" s="55" t="s">
        <v>8994</v>
      </c>
    </row>
    <row r="1609" ht="14.25" customHeight="1">
      <c r="A1609" s="55" t="s">
        <v>9177</v>
      </c>
      <c r="B1609" s="55" t="s">
        <v>41</v>
      </c>
      <c r="C1609" s="55" t="s">
        <v>7652</v>
      </c>
      <c r="D1609" s="55" t="s">
        <v>9189</v>
      </c>
    </row>
    <row r="1610" ht="14.25" customHeight="1">
      <c r="A1610" s="55" t="s">
        <v>9177</v>
      </c>
      <c r="B1610" s="55" t="s">
        <v>41</v>
      </c>
      <c r="C1610" s="55" t="s">
        <v>7652</v>
      </c>
      <c r="D1610" s="55" t="s">
        <v>12032</v>
      </c>
    </row>
    <row r="1611" ht="14.25" customHeight="1">
      <c r="A1611" s="55" t="s">
        <v>9177</v>
      </c>
      <c r="B1611" s="55" t="s">
        <v>41</v>
      </c>
      <c r="C1611" s="55" t="s">
        <v>10660</v>
      </c>
      <c r="D1611" s="55" t="s">
        <v>13621</v>
      </c>
    </row>
    <row r="1612" ht="14.25" customHeight="1">
      <c r="A1612" s="55" t="s">
        <v>9177</v>
      </c>
      <c r="B1612" s="55" t="s">
        <v>41</v>
      </c>
      <c r="C1612" s="55" t="s">
        <v>9229</v>
      </c>
      <c r="D1612" s="55" t="s">
        <v>9230</v>
      </c>
    </row>
    <row r="1613" ht="14.25" customHeight="1">
      <c r="A1613" s="55" t="s">
        <v>9177</v>
      </c>
      <c r="B1613" s="55" t="s">
        <v>41</v>
      </c>
      <c r="C1613" s="55" t="s">
        <v>14145</v>
      </c>
      <c r="D1613" s="55" t="s">
        <v>9216</v>
      </c>
    </row>
    <row r="1614" ht="14.25" customHeight="1">
      <c r="A1614" s="55" t="s">
        <v>9177</v>
      </c>
      <c r="B1614" s="55" t="s">
        <v>41</v>
      </c>
      <c r="C1614" s="55" t="s">
        <v>9231</v>
      </c>
      <c r="D1614" s="55" t="s">
        <v>9232</v>
      </c>
    </row>
    <row r="1615" ht="14.25" customHeight="1">
      <c r="A1615" s="55" t="s">
        <v>9177</v>
      </c>
      <c r="B1615" s="55" t="s">
        <v>41</v>
      </c>
      <c r="C1615" s="55" t="s">
        <v>9233</v>
      </c>
      <c r="D1615" s="55" t="s">
        <v>9043</v>
      </c>
    </row>
    <row r="1616" ht="14.25" customHeight="1">
      <c r="A1616" s="55" t="s">
        <v>9177</v>
      </c>
      <c r="B1616" s="55" t="s">
        <v>41</v>
      </c>
      <c r="C1616" s="55" t="s">
        <v>859</v>
      </c>
      <c r="D1616" s="55" t="s">
        <v>9034</v>
      </c>
    </row>
    <row r="1617" ht="14.25" customHeight="1">
      <c r="A1617" s="55" t="s">
        <v>9177</v>
      </c>
      <c r="B1617" s="55" t="s">
        <v>41</v>
      </c>
      <c r="C1617" s="55" t="s">
        <v>859</v>
      </c>
      <c r="D1617" s="55" t="s">
        <v>9043</v>
      </c>
    </row>
    <row r="1618" ht="14.25" customHeight="1">
      <c r="A1618" s="55" t="s">
        <v>9177</v>
      </c>
      <c r="B1618" s="55" t="s">
        <v>41</v>
      </c>
      <c r="C1618" s="55" t="s">
        <v>859</v>
      </c>
      <c r="D1618" s="55" t="s">
        <v>9219</v>
      </c>
    </row>
    <row r="1619" ht="14.25" customHeight="1">
      <c r="A1619" s="55" t="s">
        <v>9177</v>
      </c>
      <c r="B1619" s="55" t="s">
        <v>41</v>
      </c>
      <c r="C1619" s="55" t="s">
        <v>859</v>
      </c>
      <c r="D1619" s="55" t="s">
        <v>9194</v>
      </c>
    </row>
    <row r="1620" ht="14.25" customHeight="1">
      <c r="A1620" s="55" t="s">
        <v>9177</v>
      </c>
      <c r="B1620" s="55" t="s">
        <v>41</v>
      </c>
      <c r="C1620" s="55" t="s">
        <v>859</v>
      </c>
      <c r="D1620" s="55" t="s">
        <v>10142</v>
      </c>
    </row>
    <row r="1621" ht="14.25" customHeight="1">
      <c r="A1621" s="55" t="s">
        <v>9177</v>
      </c>
      <c r="B1621" s="55" t="s">
        <v>41</v>
      </c>
      <c r="C1621" s="55" t="s">
        <v>13622</v>
      </c>
      <c r="D1621" s="55" t="s">
        <v>9034</v>
      </c>
    </row>
    <row r="1622" ht="14.25" customHeight="1">
      <c r="A1622" s="55" t="s">
        <v>9177</v>
      </c>
      <c r="B1622" s="55" t="s">
        <v>41</v>
      </c>
      <c r="C1622" s="55" t="s">
        <v>10722</v>
      </c>
      <c r="D1622" s="55" t="s">
        <v>8994</v>
      </c>
    </row>
    <row r="1623" ht="14.25" customHeight="1">
      <c r="A1623" s="55" t="s">
        <v>9177</v>
      </c>
      <c r="B1623" s="55" t="s">
        <v>41</v>
      </c>
      <c r="C1623" s="55" t="s">
        <v>6119</v>
      </c>
      <c r="D1623" s="55" t="s">
        <v>9026</v>
      </c>
    </row>
    <row r="1624" ht="14.25" customHeight="1">
      <c r="A1624" s="55" t="s">
        <v>9177</v>
      </c>
      <c r="B1624" s="55" t="s">
        <v>41</v>
      </c>
      <c r="C1624" s="55" t="s">
        <v>6119</v>
      </c>
      <c r="D1624" s="55" t="s">
        <v>9055</v>
      </c>
    </row>
    <row r="1625" ht="14.25" customHeight="1">
      <c r="A1625" s="55" t="s">
        <v>9177</v>
      </c>
      <c r="B1625" s="55" t="s">
        <v>41</v>
      </c>
      <c r="C1625" s="55" t="s">
        <v>11452</v>
      </c>
      <c r="D1625" s="55" t="s">
        <v>9043</v>
      </c>
    </row>
    <row r="1626" ht="14.25" customHeight="1">
      <c r="A1626" s="55" t="s">
        <v>9177</v>
      </c>
      <c r="B1626" s="55" t="s">
        <v>41</v>
      </c>
      <c r="C1626" s="55" t="s">
        <v>10723</v>
      </c>
      <c r="D1626" s="55" t="s">
        <v>9034</v>
      </c>
    </row>
    <row r="1627" ht="14.25" customHeight="1">
      <c r="A1627" s="55" t="s">
        <v>9177</v>
      </c>
      <c r="B1627" s="55" t="s">
        <v>41</v>
      </c>
      <c r="C1627" s="55" t="s">
        <v>10723</v>
      </c>
      <c r="D1627" s="55" t="s">
        <v>9055</v>
      </c>
    </row>
    <row r="1628" ht="14.25" customHeight="1">
      <c r="A1628" s="55" t="s">
        <v>9177</v>
      </c>
      <c r="B1628" s="55" t="s">
        <v>41</v>
      </c>
      <c r="C1628" s="55" t="s">
        <v>10723</v>
      </c>
      <c r="D1628" s="55" t="s">
        <v>13623</v>
      </c>
    </row>
    <row r="1629" ht="14.25" customHeight="1">
      <c r="A1629" s="55" t="s">
        <v>9177</v>
      </c>
      <c r="B1629" s="55" t="s">
        <v>41</v>
      </c>
      <c r="C1629" s="55" t="s">
        <v>13624</v>
      </c>
      <c r="D1629" s="55" t="s">
        <v>9055</v>
      </c>
    </row>
    <row r="1630" ht="14.25" customHeight="1">
      <c r="A1630" s="55" t="s">
        <v>9177</v>
      </c>
      <c r="B1630" s="55" t="s">
        <v>41</v>
      </c>
      <c r="C1630" s="55" t="s">
        <v>11897</v>
      </c>
      <c r="D1630" s="55" t="s">
        <v>12033</v>
      </c>
    </row>
    <row r="1631" ht="14.25" customHeight="1">
      <c r="A1631" s="55" t="s">
        <v>9177</v>
      </c>
      <c r="B1631" s="55" t="s">
        <v>41</v>
      </c>
      <c r="C1631" s="55" t="s">
        <v>11897</v>
      </c>
      <c r="D1631" s="55" t="s">
        <v>10610</v>
      </c>
    </row>
    <row r="1632" ht="14.25" customHeight="1">
      <c r="A1632" s="55" t="s">
        <v>9177</v>
      </c>
      <c r="B1632" s="55" t="s">
        <v>41</v>
      </c>
      <c r="C1632" s="55" t="s">
        <v>11453</v>
      </c>
      <c r="D1632" s="55" t="s">
        <v>9026</v>
      </c>
    </row>
    <row r="1633" ht="14.25" customHeight="1">
      <c r="A1633" s="55" t="s">
        <v>9177</v>
      </c>
      <c r="B1633" s="55" t="s">
        <v>41</v>
      </c>
      <c r="C1633" s="55" t="s">
        <v>11453</v>
      </c>
      <c r="D1633" s="55" t="s">
        <v>10610</v>
      </c>
    </row>
    <row r="1634" ht="14.25" customHeight="1">
      <c r="A1634" s="55" t="s">
        <v>9177</v>
      </c>
      <c r="B1634" s="55" t="s">
        <v>41</v>
      </c>
      <c r="C1634" s="55" t="s">
        <v>11453</v>
      </c>
      <c r="D1634" s="55" t="s">
        <v>8994</v>
      </c>
    </row>
    <row r="1635" ht="14.25" customHeight="1">
      <c r="A1635" s="55" t="s">
        <v>9177</v>
      </c>
      <c r="B1635" s="55" t="s">
        <v>41</v>
      </c>
      <c r="C1635" s="55" t="s">
        <v>10151</v>
      </c>
      <c r="D1635" s="55" t="s">
        <v>9026</v>
      </c>
    </row>
    <row r="1636" ht="14.25" customHeight="1">
      <c r="A1636" s="55" t="s">
        <v>9177</v>
      </c>
      <c r="B1636" s="55" t="s">
        <v>41</v>
      </c>
      <c r="C1636" s="55" t="s">
        <v>13625</v>
      </c>
      <c r="D1636" s="55" t="s">
        <v>9026</v>
      </c>
    </row>
    <row r="1637" ht="14.25" customHeight="1">
      <c r="A1637" s="55" t="s">
        <v>9177</v>
      </c>
      <c r="B1637" s="55" t="s">
        <v>41</v>
      </c>
      <c r="C1637" s="55" t="s">
        <v>13626</v>
      </c>
      <c r="D1637" s="55" t="s">
        <v>13627</v>
      </c>
    </row>
    <row r="1638" ht="14.25" customHeight="1">
      <c r="A1638" s="55" t="s">
        <v>9177</v>
      </c>
      <c r="B1638" s="55" t="s">
        <v>41</v>
      </c>
      <c r="C1638" s="55" t="s">
        <v>9234</v>
      </c>
      <c r="D1638" s="55" t="s">
        <v>9216</v>
      </c>
    </row>
    <row r="1639" ht="14.25" customHeight="1">
      <c r="A1639" s="55" t="s">
        <v>9177</v>
      </c>
      <c r="B1639" s="55" t="s">
        <v>41</v>
      </c>
      <c r="C1639" s="55" t="s">
        <v>11454</v>
      </c>
      <c r="D1639" s="55" t="s">
        <v>9221</v>
      </c>
    </row>
    <row r="1640" ht="14.25" customHeight="1">
      <c r="A1640" s="55" t="s">
        <v>9177</v>
      </c>
      <c r="B1640" s="55" t="s">
        <v>41</v>
      </c>
      <c r="C1640" s="55" t="s">
        <v>14146</v>
      </c>
      <c r="D1640" s="55" t="s">
        <v>8968</v>
      </c>
    </row>
    <row r="1641" ht="14.25" customHeight="1">
      <c r="A1641" s="55" t="s">
        <v>9177</v>
      </c>
      <c r="B1641" s="55" t="s">
        <v>41</v>
      </c>
      <c r="C1641" s="55" t="s">
        <v>9235</v>
      </c>
      <c r="D1641" s="55" t="s">
        <v>9180</v>
      </c>
    </row>
    <row r="1642" ht="14.25" customHeight="1">
      <c r="A1642" s="55" t="s">
        <v>9177</v>
      </c>
      <c r="B1642" s="55" t="s">
        <v>41</v>
      </c>
      <c r="C1642" s="55" t="s">
        <v>13628</v>
      </c>
      <c r="D1642" s="55" t="s">
        <v>9189</v>
      </c>
    </row>
    <row r="1643" ht="14.25" customHeight="1">
      <c r="A1643" s="55" t="s">
        <v>9177</v>
      </c>
      <c r="B1643" s="55" t="s">
        <v>41</v>
      </c>
      <c r="C1643" s="55" t="s">
        <v>9138</v>
      </c>
      <c r="D1643" s="55" t="s">
        <v>9236</v>
      </c>
    </row>
    <row r="1644" ht="14.25" customHeight="1">
      <c r="A1644" s="55" t="s">
        <v>9177</v>
      </c>
      <c r="B1644" s="55" t="s">
        <v>41</v>
      </c>
      <c r="C1644" s="55" t="s">
        <v>129</v>
      </c>
      <c r="D1644" s="55" t="s">
        <v>13629</v>
      </c>
    </row>
    <row r="1645" ht="14.25" customHeight="1">
      <c r="A1645" s="55" t="s">
        <v>9177</v>
      </c>
      <c r="B1645" s="55" t="s">
        <v>41</v>
      </c>
      <c r="C1645" s="55" t="s">
        <v>9237</v>
      </c>
      <c r="D1645" s="55" t="s">
        <v>9238</v>
      </c>
    </row>
    <row r="1646" ht="14.25" customHeight="1">
      <c r="A1646" s="55" t="s">
        <v>9177</v>
      </c>
      <c r="B1646" s="55" t="s">
        <v>41</v>
      </c>
      <c r="C1646" s="55" t="s">
        <v>131</v>
      </c>
      <c r="D1646" s="55" t="s">
        <v>9187</v>
      </c>
    </row>
    <row r="1647" ht="14.25" customHeight="1">
      <c r="A1647" s="55" t="s">
        <v>9177</v>
      </c>
      <c r="B1647" s="55" t="s">
        <v>41</v>
      </c>
      <c r="C1647" s="55" t="s">
        <v>1097</v>
      </c>
      <c r="D1647" s="55" t="s">
        <v>10732</v>
      </c>
    </row>
    <row r="1648" ht="14.25" customHeight="1">
      <c r="A1648" s="55" t="s">
        <v>9177</v>
      </c>
      <c r="B1648" s="55" t="s">
        <v>41</v>
      </c>
      <c r="C1648" s="55" t="s">
        <v>12034</v>
      </c>
      <c r="D1648" s="55" t="s">
        <v>12035</v>
      </c>
    </row>
    <row r="1649" ht="14.25" customHeight="1">
      <c r="A1649" s="55" t="s">
        <v>9177</v>
      </c>
      <c r="B1649" s="55" t="s">
        <v>41</v>
      </c>
      <c r="C1649" s="55" t="s">
        <v>4911</v>
      </c>
      <c r="D1649" s="55" t="s">
        <v>9073</v>
      </c>
    </row>
    <row r="1650" ht="14.25" customHeight="1">
      <c r="A1650" s="55" t="s">
        <v>9177</v>
      </c>
      <c r="B1650" s="55" t="s">
        <v>41</v>
      </c>
      <c r="C1650" s="55" t="s">
        <v>4911</v>
      </c>
      <c r="D1650" s="55" t="s">
        <v>9055</v>
      </c>
    </row>
    <row r="1651" ht="14.25" customHeight="1">
      <c r="A1651" s="55" t="s">
        <v>9177</v>
      </c>
      <c r="B1651" s="55" t="s">
        <v>41</v>
      </c>
      <c r="C1651" s="55" t="s">
        <v>4911</v>
      </c>
      <c r="D1651" s="55" t="s">
        <v>8994</v>
      </c>
    </row>
    <row r="1652" ht="14.25" customHeight="1">
      <c r="A1652" s="55" t="s">
        <v>9177</v>
      </c>
      <c r="B1652" s="55" t="s">
        <v>41</v>
      </c>
      <c r="C1652" s="55" t="s">
        <v>12755</v>
      </c>
      <c r="D1652" s="55" t="s">
        <v>9180</v>
      </c>
    </row>
    <row r="1653" ht="14.25" customHeight="1">
      <c r="A1653" s="55" t="s">
        <v>9177</v>
      </c>
      <c r="B1653" s="55" t="s">
        <v>41</v>
      </c>
      <c r="C1653" s="55" t="s">
        <v>10152</v>
      </c>
      <c r="D1653" s="55" t="s">
        <v>9055</v>
      </c>
    </row>
    <row r="1654" ht="14.25" customHeight="1">
      <c r="A1654" s="55" t="s">
        <v>9177</v>
      </c>
      <c r="B1654" s="55" t="s">
        <v>41</v>
      </c>
      <c r="C1654" s="55" t="s">
        <v>134</v>
      </c>
      <c r="D1654" s="55" t="s">
        <v>9213</v>
      </c>
    </row>
    <row r="1655" ht="14.25" customHeight="1">
      <c r="A1655" s="55" t="s">
        <v>9177</v>
      </c>
      <c r="B1655" s="55" t="s">
        <v>41</v>
      </c>
      <c r="C1655" s="55" t="s">
        <v>11473</v>
      </c>
      <c r="D1655" s="55" t="s">
        <v>10731</v>
      </c>
    </row>
    <row r="1656" ht="14.25" customHeight="1">
      <c r="A1656" s="55" t="s">
        <v>9177</v>
      </c>
      <c r="B1656" s="55" t="s">
        <v>41</v>
      </c>
      <c r="C1656" s="55" t="s">
        <v>10724</v>
      </c>
      <c r="D1656" s="55" t="s">
        <v>10725</v>
      </c>
    </row>
    <row r="1657" ht="14.25" customHeight="1">
      <c r="A1657" s="55" t="s">
        <v>9177</v>
      </c>
      <c r="B1657" s="55" t="s">
        <v>41</v>
      </c>
      <c r="C1657" s="55" t="s">
        <v>139</v>
      </c>
      <c r="D1657" s="55" t="s">
        <v>10610</v>
      </c>
    </row>
    <row r="1658" ht="14.25" customHeight="1">
      <c r="A1658" s="55" t="s">
        <v>9177</v>
      </c>
      <c r="B1658" s="55" t="s">
        <v>41</v>
      </c>
      <c r="C1658" s="55" t="s">
        <v>9192</v>
      </c>
      <c r="D1658" s="55" t="s">
        <v>9026</v>
      </c>
    </row>
    <row r="1659" ht="14.25" customHeight="1">
      <c r="A1659" s="55" t="s">
        <v>9177</v>
      </c>
      <c r="B1659" s="55" t="s">
        <v>41</v>
      </c>
      <c r="C1659" s="55" t="s">
        <v>1196</v>
      </c>
      <c r="D1659" s="55" t="s">
        <v>10610</v>
      </c>
    </row>
    <row r="1660" ht="14.25" customHeight="1">
      <c r="A1660" s="55" t="s">
        <v>9177</v>
      </c>
      <c r="B1660" s="55" t="s">
        <v>41</v>
      </c>
      <c r="C1660" s="55" t="s">
        <v>1196</v>
      </c>
      <c r="D1660" s="55" t="s">
        <v>8994</v>
      </c>
    </row>
    <row r="1661" ht="14.25" customHeight="1">
      <c r="A1661" s="55" t="s">
        <v>9177</v>
      </c>
      <c r="B1661" s="55" t="s">
        <v>41</v>
      </c>
      <c r="C1661" s="55" t="s">
        <v>9239</v>
      </c>
      <c r="D1661" s="55" t="s">
        <v>9055</v>
      </c>
    </row>
    <row r="1662" ht="14.25" customHeight="1">
      <c r="A1662" s="55" t="s">
        <v>9177</v>
      </c>
      <c r="B1662" s="55" t="s">
        <v>41</v>
      </c>
      <c r="C1662" s="55" t="s">
        <v>9240</v>
      </c>
      <c r="D1662" s="55" t="s">
        <v>9055</v>
      </c>
    </row>
    <row r="1663" ht="14.25" customHeight="1">
      <c r="A1663" s="55" t="s">
        <v>9177</v>
      </c>
      <c r="B1663" s="55" t="s">
        <v>41</v>
      </c>
      <c r="C1663" s="55" t="s">
        <v>143</v>
      </c>
      <c r="D1663" s="55" t="s">
        <v>9043</v>
      </c>
    </row>
    <row r="1664" ht="14.25" customHeight="1">
      <c r="A1664" s="55" t="s">
        <v>9177</v>
      </c>
      <c r="B1664" s="55" t="s">
        <v>41</v>
      </c>
      <c r="C1664" s="55" t="s">
        <v>10702</v>
      </c>
      <c r="D1664" s="55" t="s">
        <v>11455</v>
      </c>
    </row>
    <row r="1665" ht="14.25" customHeight="1">
      <c r="A1665" s="55" t="s">
        <v>9177</v>
      </c>
      <c r="B1665" s="55" t="s">
        <v>41</v>
      </c>
      <c r="C1665" s="55" t="s">
        <v>10702</v>
      </c>
      <c r="D1665" s="55" t="s">
        <v>11456</v>
      </c>
    </row>
    <row r="1666" ht="14.25" customHeight="1">
      <c r="A1666" s="55" t="s">
        <v>9177</v>
      </c>
      <c r="B1666" s="55" t="s">
        <v>41</v>
      </c>
      <c r="C1666" s="55" t="s">
        <v>10702</v>
      </c>
      <c r="D1666" s="55" t="s">
        <v>9219</v>
      </c>
    </row>
    <row r="1667" ht="14.25" customHeight="1">
      <c r="A1667" s="55" t="s">
        <v>9177</v>
      </c>
      <c r="B1667" s="55" t="s">
        <v>41</v>
      </c>
      <c r="C1667" s="55" t="s">
        <v>10702</v>
      </c>
      <c r="D1667" s="55" t="s">
        <v>12803</v>
      </c>
    </row>
    <row r="1668" ht="14.25" customHeight="1">
      <c r="A1668" s="55" t="s">
        <v>9177</v>
      </c>
      <c r="B1668" s="55" t="s">
        <v>41</v>
      </c>
      <c r="C1668" s="55" t="s">
        <v>10702</v>
      </c>
      <c r="D1668" s="55" t="s">
        <v>11457</v>
      </c>
    </row>
    <row r="1669" ht="14.25" customHeight="1">
      <c r="A1669" s="55" t="s">
        <v>9177</v>
      </c>
      <c r="B1669" s="55" t="s">
        <v>41</v>
      </c>
      <c r="C1669" s="55" t="s">
        <v>10702</v>
      </c>
      <c r="D1669" s="55" t="s">
        <v>9194</v>
      </c>
    </row>
    <row r="1670" ht="14.25" customHeight="1">
      <c r="A1670" s="55" t="s">
        <v>9177</v>
      </c>
      <c r="B1670" s="55" t="s">
        <v>41</v>
      </c>
      <c r="C1670" s="55" t="s">
        <v>10702</v>
      </c>
      <c r="D1670" s="55" t="s">
        <v>13600</v>
      </c>
    </row>
    <row r="1671" ht="14.25" customHeight="1">
      <c r="A1671" s="55" t="s">
        <v>9177</v>
      </c>
      <c r="B1671" s="55" t="s">
        <v>41</v>
      </c>
      <c r="C1671" s="55" t="s">
        <v>10702</v>
      </c>
      <c r="D1671" s="55" t="s">
        <v>13630</v>
      </c>
    </row>
    <row r="1672" ht="14.25" customHeight="1">
      <c r="A1672" s="55" t="s">
        <v>9177</v>
      </c>
      <c r="B1672" s="55" t="s">
        <v>41</v>
      </c>
      <c r="C1672" s="55" t="s">
        <v>10702</v>
      </c>
      <c r="D1672" s="55" t="s">
        <v>12036</v>
      </c>
    </row>
    <row r="1673" ht="14.25" customHeight="1">
      <c r="A1673" s="55" t="s">
        <v>9177</v>
      </c>
      <c r="B1673" s="55" t="s">
        <v>41</v>
      </c>
      <c r="C1673" s="55" t="s">
        <v>145</v>
      </c>
      <c r="D1673" s="55" t="s">
        <v>10153</v>
      </c>
    </row>
    <row r="1674" ht="14.25" customHeight="1">
      <c r="A1674" s="55" t="s">
        <v>9177</v>
      </c>
      <c r="B1674" s="55" t="s">
        <v>41</v>
      </c>
      <c r="C1674" s="55" t="s">
        <v>145</v>
      </c>
      <c r="D1674" s="55" t="s">
        <v>12795</v>
      </c>
    </row>
    <row r="1675" ht="14.25" customHeight="1">
      <c r="A1675" s="55" t="s">
        <v>9177</v>
      </c>
      <c r="B1675" s="55" t="s">
        <v>41</v>
      </c>
      <c r="C1675" s="55" t="s">
        <v>145</v>
      </c>
      <c r="D1675" s="55" t="s">
        <v>11458</v>
      </c>
    </row>
    <row r="1676" ht="14.25" customHeight="1">
      <c r="A1676" s="55" t="s">
        <v>9177</v>
      </c>
      <c r="B1676" s="55" t="s">
        <v>41</v>
      </c>
      <c r="C1676" s="55" t="s">
        <v>145</v>
      </c>
      <c r="D1676" s="55" t="s">
        <v>9221</v>
      </c>
    </row>
    <row r="1677" ht="14.25" customHeight="1">
      <c r="A1677" s="55" t="s">
        <v>9177</v>
      </c>
      <c r="B1677" s="55" t="s">
        <v>41</v>
      </c>
      <c r="C1677" s="55" t="s">
        <v>146</v>
      </c>
      <c r="D1677" s="55" t="s">
        <v>8968</v>
      </c>
    </row>
    <row r="1678" ht="14.25" customHeight="1">
      <c r="A1678" s="55" t="s">
        <v>9177</v>
      </c>
      <c r="B1678" s="55" t="s">
        <v>41</v>
      </c>
      <c r="C1678" s="55" t="s">
        <v>13631</v>
      </c>
      <c r="D1678" s="55" t="s">
        <v>9219</v>
      </c>
    </row>
    <row r="1679" ht="14.25" customHeight="1">
      <c r="A1679" s="55" t="s">
        <v>9177</v>
      </c>
      <c r="B1679" s="55" t="s">
        <v>41</v>
      </c>
      <c r="C1679" s="55" t="s">
        <v>14147</v>
      </c>
      <c r="D1679" s="55" t="s">
        <v>9043</v>
      </c>
    </row>
    <row r="1680" ht="14.25" customHeight="1">
      <c r="A1680" s="55" t="s">
        <v>9177</v>
      </c>
      <c r="B1680" s="55" t="s">
        <v>41</v>
      </c>
      <c r="C1680" s="55" t="s">
        <v>148</v>
      </c>
      <c r="D1680" s="55" t="s">
        <v>10124</v>
      </c>
    </row>
    <row r="1681" ht="14.25" customHeight="1">
      <c r="A1681" s="55" t="s">
        <v>9177</v>
      </c>
      <c r="B1681" s="55" t="s">
        <v>41</v>
      </c>
      <c r="C1681" s="55" t="s">
        <v>9241</v>
      </c>
      <c r="D1681" s="55" t="s">
        <v>9030</v>
      </c>
    </row>
    <row r="1682" ht="14.25" customHeight="1">
      <c r="A1682" s="55" t="s">
        <v>9177</v>
      </c>
      <c r="B1682" s="55" t="s">
        <v>41</v>
      </c>
      <c r="C1682" s="55" t="s">
        <v>14148</v>
      </c>
      <c r="D1682" s="55" t="s">
        <v>9055</v>
      </c>
    </row>
    <row r="1683" ht="14.25" customHeight="1">
      <c r="A1683" s="55" t="s">
        <v>9177</v>
      </c>
      <c r="B1683" s="55" t="s">
        <v>41</v>
      </c>
      <c r="C1683" s="55" t="s">
        <v>150</v>
      </c>
      <c r="D1683" s="55" t="s">
        <v>9190</v>
      </c>
    </row>
    <row r="1684" ht="14.25" customHeight="1">
      <c r="A1684" s="55" t="s">
        <v>9177</v>
      </c>
      <c r="B1684" s="55" t="s">
        <v>41</v>
      </c>
      <c r="C1684" s="55" t="s">
        <v>152</v>
      </c>
      <c r="D1684" s="55" t="s">
        <v>9219</v>
      </c>
    </row>
    <row r="1685" ht="14.25" customHeight="1">
      <c r="A1685" s="55" t="s">
        <v>9177</v>
      </c>
      <c r="B1685" s="55" t="s">
        <v>41</v>
      </c>
      <c r="C1685" s="55" t="s">
        <v>1283</v>
      </c>
      <c r="D1685" s="55" t="s">
        <v>9131</v>
      </c>
    </row>
    <row r="1686" ht="14.25" customHeight="1">
      <c r="A1686" s="55" t="s">
        <v>9177</v>
      </c>
      <c r="B1686" s="55" t="s">
        <v>41</v>
      </c>
      <c r="C1686" s="55" t="s">
        <v>10154</v>
      </c>
      <c r="D1686" s="55" t="s">
        <v>10155</v>
      </c>
    </row>
    <row r="1687" ht="14.25" customHeight="1">
      <c r="A1687" s="55" t="s">
        <v>9177</v>
      </c>
      <c r="B1687" s="55" t="s">
        <v>41</v>
      </c>
      <c r="C1687" s="55" t="s">
        <v>3359</v>
      </c>
      <c r="D1687" s="55" t="s">
        <v>9055</v>
      </c>
    </row>
    <row r="1688" ht="14.25" customHeight="1">
      <c r="A1688" s="55" t="s">
        <v>9177</v>
      </c>
      <c r="B1688" s="55" t="s">
        <v>41</v>
      </c>
      <c r="C1688" s="55" t="s">
        <v>12796</v>
      </c>
      <c r="D1688" s="55" t="s">
        <v>9045</v>
      </c>
    </row>
    <row r="1689" ht="14.25" customHeight="1">
      <c r="A1689" s="55" t="s">
        <v>9177</v>
      </c>
      <c r="B1689" s="55" t="s">
        <v>41</v>
      </c>
      <c r="C1689" s="55" t="s">
        <v>12797</v>
      </c>
      <c r="D1689" s="55" t="s">
        <v>9587</v>
      </c>
    </row>
    <row r="1690" ht="14.25" customHeight="1">
      <c r="A1690" s="55" t="s">
        <v>9177</v>
      </c>
      <c r="B1690" s="55" t="s">
        <v>41</v>
      </c>
      <c r="C1690" s="55" t="s">
        <v>159</v>
      </c>
      <c r="D1690" s="55" t="s">
        <v>9180</v>
      </c>
    </row>
    <row r="1691" ht="14.25" customHeight="1">
      <c r="A1691" s="55" t="s">
        <v>9177</v>
      </c>
      <c r="B1691" s="55" t="s">
        <v>41</v>
      </c>
      <c r="C1691" s="55" t="s">
        <v>159</v>
      </c>
      <c r="D1691" s="55" t="s">
        <v>10610</v>
      </c>
    </row>
    <row r="1692" ht="14.25" customHeight="1">
      <c r="A1692" s="55" t="s">
        <v>9177</v>
      </c>
      <c r="B1692" s="55" t="s">
        <v>41</v>
      </c>
      <c r="C1692" s="55" t="s">
        <v>159</v>
      </c>
      <c r="D1692" s="55" t="s">
        <v>12419</v>
      </c>
    </row>
    <row r="1693" ht="14.25" customHeight="1">
      <c r="A1693" s="55" t="s">
        <v>9177</v>
      </c>
      <c r="B1693" s="55" t="s">
        <v>41</v>
      </c>
      <c r="C1693" s="55" t="s">
        <v>159</v>
      </c>
      <c r="D1693" s="55" t="s">
        <v>8994</v>
      </c>
    </row>
    <row r="1694" ht="14.25" customHeight="1">
      <c r="A1694" s="55" t="s">
        <v>9177</v>
      </c>
      <c r="B1694" s="55" t="s">
        <v>41</v>
      </c>
      <c r="C1694" s="55" t="s">
        <v>159</v>
      </c>
      <c r="D1694" s="55" t="s">
        <v>13632</v>
      </c>
    </row>
    <row r="1695" ht="14.25" customHeight="1">
      <c r="A1695" s="55" t="s">
        <v>9177</v>
      </c>
      <c r="B1695" s="55" t="s">
        <v>41</v>
      </c>
      <c r="C1695" s="55" t="s">
        <v>159</v>
      </c>
      <c r="D1695" s="55" t="s">
        <v>11458</v>
      </c>
    </row>
    <row r="1696" ht="14.25" customHeight="1">
      <c r="A1696" s="55" t="s">
        <v>9177</v>
      </c>
      <c r="B1696" s="55" t="s">
        <v>41</v>
      </c>
      <c r="C1696" s="55" t="s">
        <v>159</v>
      </c>
      <c r="D1696" s="55" t="s">
        <v>9194</v>
      </c>
    </row>
    <row r="1697" ht="14.25" customHeight="1">
      <c r="A1697" s="55" t="s">
        <v>9177</v>
      </c>
      <c r="B1697" s="55" t="s">
        <v>41</v>
      </c>
      <c r="C1697" s="55" t="s">
        <v>9201</v>
      </c>
      <c r="D1697" s="55" t="s">
        <v>9181</v>
      </c>
    </row>
    <row r="1698" ht="14.25" customHeight="1">
      <c r="A1698" s="55" t="s">
        <v>9177</v>
      </c>
      <c r="B1698" s="55" t="s">
        <v>41</v>
      </c>
      <c r="C1698" s="55" t="s">
        <v>9201</v>
      </c>
      <c r="D1698" s="55" t="s">
        <v>11459</v>
      </c>
    </row>
    <row r="1699" ht="14.25" customHeight="1">
      <c r="A1699" s="55" t="s">
        <v>9177</v>
      </c>
      <c r="B1699" s="55" t="s">
        <v>41</v>
      </c>
      <c r="C1699" s="55" t="s">
        <v>9201</v>
      </c>
      <c r="D1699" s="55" t="s">
        <v>11460</v>
      </c>
    </row>
    <row r="1700" ht="14.25" customHeight="1">
      <c r="A1700" s="55" t="s">
        <v>9177</v>
      </c>
      <c r="B1700" s="55" t="s">
        <v>41</v>
      </c>
      <c r="C1700" s="55" t="s">
        <v>9201</v>
      </c>
      <c r="D1700" s="55" t="s">
        <v>12037</v>
      </c>
    </row>
    <row r="1701" ht="14.25" customHeight="1">
      <c r="A1701" s="55" t="s">
        <v>9177</v>
      </c>
      <c r="B1701" s="55" t="s">
        <v>41</v>
      </c>
      <c r="C1701" s="55" t="s">
        <v>9201</v>
      </c>
      <c r="D1701" s="55" t="s">
        <v>8994</v>
      </c>
    </row>
    <row r="1702" ht="14.25" customHeight="1">
      <c r="A1702" s="55" t="s">
        <v>9177</v>
      </c>
      <c r="B1702" s="55" t="s">
        <v>41</v>
      </c>
      <c r="C1702" s="55" t="s">
        <v>12762</v>
      </c>
      <c r="D1702" s="55" t="s">
        <v>9131</v>
      </c>
    </row>
    <row r="1703" ht="14.25" customHeight="1">
      <c r="A1703" s="55" t="s">
        <v>9177</v>
      </c>
      <c r="B1703" s="55" t="s">
        <v>41</v>
      </c>
      <c r="C1703" s="55" t="s">
        <v>8150</v>
      </c>
      <c r="D1703" s="55" t="s">
        <v>9026</v>
      </c>
    </row>
    <row r="1704" ht="14.25" customHeight="1">
      <c r="A1704" s="55" t="s">
        <v>9177</v>
      </c>
      <c r="B1704" s="55" t="s">
        <v>41</v>
      </c>
      <c r="C1704" s="55" t="s">
        <v>8150</v>
      </c>
      <c r="D1704" s="55" t="s">
        <v>9055</v>
      </c>
    </row>
    <row r="1705" ht="14.25" customHeight="1">
      <c r="A1705" s="55" t="s">
        <v>9177</v>
      </c>
      <c r="B1705" s="55" t="s">
        <v>41</v>
      </c>
      <c r="C1705" s="55" t="s">
        <v>166</v>
      </c>
      <c r="D1705" s="55" t="s">
        <v>9242</v>
      </c>
    </row>
    <row r="1706" ht="14.25" customHeight="1">
      <c r="A1706" s="55" t="s">
        <v>9177</v>
      </c>
      <c r="B1706" s="55" t="s">
        <v>41</v>
      </c>
      <c r="C1706" s="55" t="s">
        <v>166</v>
      </c>
      <c r="D1706" s="55" t="s">
        <v>8994</v>
      </c>
    </row>
    <row r="1707" ht="14.25" customHeight="1">
      <c r="A1707" s="55" t="s">
        <v>9177</v>
      </c>
      <c r="B1707" s="55" t="s">
        <v>41</v>
      </c>
      <c r="C1707" s="55" t="s">
        <v>166</v>
      </c>
      <c r="D1707" s="55" t="s">
        <v>9194</v>
      </c>
    </row>
    <row r="1708" ht="14.25" customHeight="1">
      <c r="A1708" s="55" t="s">
        <v>9177</v>
      </c>
      <c r="B1708" s="55" t="s">
        <v>41</v>
      </c>
      <c r="C1708" s="55" t="s">
        <v>1417</v>
      </c>
      <c r="D1708" s="55" t="s">
        <v>9204</v>
      </c>
    </row>
    <row r="1709" ht="14.25" customHeight="1">
      <c r="A1709" s="55" t="s">
        <v>9177</v>
      </c>
      <c r="B1709" s="55" t="s">
        <v>41</v>
      </c>
      <c r="C1709" s="55" t="s">
        <v>1417</v>
      </c>
      <c r="D1709" s="55" t="s">
        <v>9880</v>
      </c>
    </row>
    <row r="1710" ht="14.25" customHeight="1">
      <c r="A1710" s="55" t="s">
        <v>9177</v>
      </c>
      <c r="B1710" s="55" t="s">
        <v>41</v>
      </c>
      <c r="C1710" s="55" t="s">
        <v>9203</v>
      </c>
      <c r="D1710" s="55" t="s">
        <v>9204</v>
      </c>
    </row>
    <row r="1711" ht="14.25" customHeight="1">
      <c r="A1711" s="55" t="s">
        <v>9177</v>
      </c>
      <c r="B1711" s="55" t="s">
        <v>41</v>
      </c>
      <c r="C1711" s="55" t="s">
        <v>12232</v>
      </c>
      <c r="D1711" s="55" t="s">
        <v>13633</v>
      </c>
    </row>
    <row r="1712" ht="14.25" customHeight="1">
      <c r="A1712" s="55" t="s">
        <v>9177</v>
      </c>
      <c r="B1712" s="55" t="s">
        <v>41</v>
      </c>
      <c r="C1712" s="55" t="s">
        <v>12798</v>
      </c>
      <c r="D1712" s="55" t="s">
        <v>9043</v>
      </c>
    </row>
    <row r="1713" ht="14.25" customHeight="1">
      <c r="A1713" s="55" t="s">
        <v>9177</v>
      </c>
      <c r="B1713" s="55" t="s">
        <v>41</v>
      </c>
      <c r="C1713" s="55" t="s">
        <v>12038</v>
      </c>
      <c r="D1713" s="55" t="s">
        <v>9026</v>
      </c>
    </row>
    <row r="1714" ht="14.25" customHeight="1">
      <c r="A1714" s="55" t="s">
        <v>9177</v>
      </c>
      <c r="B1714" s="55" t="s">
        <v>41</v>
      </c>
      <c r="C1714" s="55" t="s">
        <v>12038</v>
      </c>
      <c r="D1714" s="55" t="s">
        <v>8994</v>
      </c>
    </row>
    <row r="1715" ht="14.25" customHeight="1">
      <c r="A1715" s="55" t="s">
        <v>9177</v>
      </c>
      <c r="B1715" s="55" t="s">
        <v>41</v>
      </c>
      <c r="C1715" s="55" t="s">
        <v>12799</v>
      </c>
      <c r="D1715" s="55" t="s">
        <v>8994</v>
      </c>
    </row>
    <row r="1716" ht="14.25" customHeight="1">
      <c r="A1716" s="55" t="s">
        <v>9177</v>
      </c>
      <c r="B1716" s="55" t="s">
        <v>41</v>
      </c>
      <c r="C1716" s="55" t="s">
        <v>11461</v>
      </c>
      <c r="D1716" s="55" t="s">
        <v>9026</v>
      </c>
    </row>
    <row r="1717" ht="14.25" customHeight="1">
      <c r="A1717" s="55" t="s">
        <v>9177</v>
      </c>
      <c r="B1717" s="55" t="s">
        <v>41</v>
      </c>
      <c r="C1717" s="55" t="s">
        <v>11461</v>
      </c>
      <c r="D1717" s="55" t="s">
        <v>9045</v>
      </c>
    </row>
    <row r="1718" ht="14.25" customHeight="1">
      <c r="A1718" s="55" t="s">
        <v>9177</v>
      </c>
      <c r="B1718" s="55" t="s">
        <v>41</v>
      </c>
      <c r="C1718" s="55" t="s">
        <v>11901</v>
      </c>
      <c r="D1718" s="55" t="s">
        <v>9043</v>
      </c>
    </row>
    <row r="1719" ht="14.25" customHeight="1">
      <c r="A1719" s="55" t="s">
        <v>9177</v>
      </c>
      <c r="B1719" s="55" t="s">
        <v>41</v>
      </c>
      <c r="C1719" s="55" t="s">
        <v>10726</v>
      </c>
      <c r="D1719" s="55" t="s">
        <v>8968</v>
      </c>
    </row>
    <row r="1720" ht="14.25" customHeight="1">
      <c r="A1720" s="55" t="s">
        <v>9177</v>
      </c>
      <c r="B1720" s="55" t="s">
        <v>41</v>
      </c>
      <c r="C1720" s="55" t="s">
        <v>12800</v>
      </c>
      <c r="D1720" s="55" t="s">
        <v>9587</v>
      </c>
    </row>
    <row r="1721" ht="14.25" customHeight="1">
      <c r="A1721" s="55" t="s">
        <v>9177</v>
      </c>
      <c r="B1721" s="55" t="s">
        <v>41</v>
      </c>
      <c r="C1721" s="55" t="s">
        <v>14149</v>
      </c>
      <c r="D1721" s="55" t="s">
        <v>13621</v>
      </c>
    </row>
    <row r="1722" ht="14.25" customHeight="1">
      <c r="A1722" s="55" t="s">
        <v>9177</v>
      </c>
      <c r="B1722" s="55" t="s">
        <v>41</v>
      </c>
      <c r="C1722" s="55" t="s">
        <v>188</v>
      </c>
      <c r="D1722" s="55" t="s">
        <v>9180</v>
      </c>
    </row>
    <row r="1723" ht="14.25" customHeight="1">
      <c r="A1723" s="55" t="s">
        <v>9177</v>
      </c>
      <c r="B1723" s="55" t="s">
        <v>41</v>
      </c>
      <c r="C1723" s="55" t="s">
        <v>14150</v>
      </c>
      <c r="D1723" s="55" t="s">
        <v>9180</v>
      </c>
    </row>
    <row r="1724" ht="14.25" customHeight="1">
      <c r="A1724" s="55" t="s">
        <v>9177</v>
      </c>
      <c r="B1724" s="55" t="s">
        <v>41</v>
      </c>
      <c r="C1724" s="55" t="s">
        <v>11462</v>
      </c>
      <c r="D1724" s="55" t="s">
        <v>11463</v>
      </c>
    </row>
    <row r="1725" ht="14.25" customHeight="1">
      <c r="A1725" s="55" t="s">
        <v>9177</v>
      </c>
      <c r="B1725" s="55" t="s">
        <v>41</v>
      </c>
      <c r="C1725" s="55" t="s">
        <v>196</v>
      </c>
      <c r="D1725" s="55" t="s">
        <v>9831</v>
      </c>
    </row>
    <row r="1726" ht="14.25" customHeight="1">
      <c r="A1726" s="55" t="s">
        <v>9177</v>
      </c>
      <c r="B1726" s="55" t="s">
        <v>41</v>
      </c>
      <c r="C1726" s="55" t="s">
        <v>6703</v>
      </c>
      <c r="D1726" s="55" t="s">
        <v>14151</v>
      </c>
    </row>
    <row r="1727" ht="14.25" customHeight="1">
      <c r="A1727" s="55" t="s">
        <v>9177</v>
      </c>
      <c r="B1727" s="55" t="s">
        <v>41</v>
      </c>
      <c r="C1727" s="55" t="s">
        <v>10156</v>
      </c>
      <c r="D1727" s="55" t="s">
        <v>8968</v>
      </c>
    </row>
    <row r="1728" ht="14.25" customHeight="1">
      <c r="A1728" s="55" t="s">
        <v>9177</v>
      </c>
      <c r="B1728" s="55" t="s">
        <v>41</v>
      </c>
      <c r="C1728" s="55" t="s">
        <v>13634</v>
      </c>
      <c r="D1728" s="55" t="s">
        <v>13635</v>
      </c>
    </row>
    <row r="1729" ht="14.25" customHeight="1">
      <c r="A1729" s="55" t="s">
        <v>9177</v>
      </c>
      <c r="B1729" s="55" t="s">
        <v>41</v>
      </c>
      <c r="C1729" s="55" t="s">
        <v>14152</v>
      </c>
      <c r="D1729" s="55" t="s">
        <v>8978</v>
      </c>
    </row>
    <row r="1730" ht="14.25" customHeight="1">
      <c r="A1730" s="55" t="s">
        <v>9177</v>
      </c>
      <c r="B1730" s="55" t="s">
        <v>41</v>
      </c>
      <c r="C1730" s="55" t="s">
        <v>200</v>
      </c>
      <c r="D1730" s="55" t="s">
        <v>9151</v>
      </c>
    </row>
    <row r="1731" ht="14.25" customHeight="1">
      <c r="A1731" s="55" t="s">
        <v>9177</v>
      </c>
      <c r="B1731" s="55" t="s">
        <v>41</v>
      </c>
      <c r="C1731" s="55" t="s">
        <v>10727</v>
      </c>
      <c r="D1731" s="55" t="s">
        <v>9034</v>
      </c>
    </row>
    <row r="1732" ht="14.25" customHeight="1">
      <c r="A1732" s="55" t="s">
        <v>9177</v>
      </c>
      <c r="B1732" s="55" t="s">
        <v>41</v>
      </c>
      <c r="C1732" s="55" t="s">
        <v>10727</v>
      </c>
      <c r="D1732" s="55" t="s">
        <v>9055</v>
      </c>
    </row>
    <row r="1733" ht="14.25" customHeight="1">
      <c r="A1733" s="55" t="s">
        <v>9177</v>
      </c>
      <c r="B1733" s="55" t="s">
        <v>41</v>
      </c>
      <c r="C1733" s="55" t="s">
        <v>10157</v>
      </c>
      <c r="D1733" s="55" t="s">
        <v>9055</v>
      </c>
    </row>
    <row r="1734" ht="14.25" customHeight="1">
      <c r="A1734" s="55" t="s">
        <v>9177</v>
      </c>
      <c r="B1734" s="55" t="s">
        <v>41</v>
      </c>
      <c r="C1734" s="55" t="s">
        <v>13636</v>
      </c>
      <c r="D1734" s="55" t="s">
        <v>9055</v>
      </c>
    </row>
    <row r="1735" ht="14.25" customHeight="1">
      <c r="A1735" s="55" t="s">
        <v>9177</v>
      </c>
      <c r="B1735" s="55" t="s">
        <v>41</v>
      </c>
      <c r="C1735" s="55" t="s">
        <v>13636</v>
      </c>
      <c r="D1735" s="55" t="s">
        <v>13637</v>
      </c>
    </row>
    <row r="1736" ht="14.25" customHeight="1">
      <c r="A1736" s="55" t="s">
        <v>9177</v>
      </c>
      <c r="B1736" s="55" t="s">
        <v>41</v>
      </c>
      <c r="C1736" s="55" t="s">
        <v>12801</v>
      </c>
      <c r="D1736" s="55" t="s">
        <v>9195</v>
      </c>
    </row>
    <row r="1737" ht="14.25" customHeight="1">
      <c r="A1737" s="55" t="s">
        <v>9177</v>
      </c>
      <c r="B1737" s="55" t="s">
        <v>41</v>
      </c>
      <c r="C1737" s="55" t="s">
        <v>10158</v>
      </c>
      <c r="D1737" s="55" t="s">
        <v>10159</v>
      </c>
    </row>
    <row r="1738" ht="14.25" customHeight="1">
      <c r="A1738" s="55" t="s">
        <v>9177</v>
      </c>
      <c r="B1738" s="55" t="s">
        <v>41</v>
      </c>
      <c r="C1738" s="55" t="s">
        <v>214</v>
      </c>
      <c r="D1738" s="55" t="s">
        <v>9181</v>
      </c>
    </row>
    <row r="1739" ht="14.25" customHeight="1">
      <c r="A1739" s="55" t="s">
        <v>9177</v>
      </c>
      <c r="B1739" s="55" t="s">
        <v>41</v>
      </c>
      <c r="C1739" s="55" t="s">
        <v>9211</v>
      </c>
      <c r="D1739" s="55" t="s">
        <v>9190</v>
      </c>
    </row>
    <row r="1740" ht="14.25" customHeight="1">
      <c r="A1740" s="55" t="s">
        <v>9177</v>
      </c>
      <c r="B1740" s="55" t="s">
        <v>41</v>
      </c>
      <c r="C1740" s="55" t="s">
        <v>10623</v>
      </c>
      <c r="D1740" s="55" t="s">
        <v>8994</v>
      </c>
    </row>
    <row r="1741" ht="14.25" customHeight="1">
      <c r="A1741" s="55" t="s">
        <v>9177</v>
      </c>
      <c r="B1741" s="55" t="s">
        <v>41</v>
      </c>
      <c r="C1741" s="55" t="s">
        <v>12039</v>
      </c>
      <c r="D1741" s="55" t="s">
        <v>12040</v>
      </c>
    </row>
    <row r="1742" ht="14.25" customHeight="1">
      <c r="A1742" s="55" t="s">
        <v>9177</v>
      </c>
      <c r="B1742" s="55" t="s">
        <v>41</v>
      </c>
      <c r="C1742" s="55" t="s">
        <v>6859</v>
      </c>
      <c r="D1742" s="55" t="s">
        <v>9151</v>
      </c>
    </row>
    <row r="1743" ht="14.25" customHeight="1">
      <c r="A1743" s="55" t="s">
        <v>9177</v>
      </c>
      <c r="B1743" s="55" t="s">
        <v>41</v>
      </c>
      <c r="C1743" s="55" t="s">
        <v>11464</v>
      </c>
      <c r="D1743" s="55" t="s">
        <v>9026</v>
      </c>
    </row>
    <row r="1744" ht="14.25" customHeight="1">
      <c r="A1744" s="55" t="s">
        <v>9177</v>
      </c>
      <c r="B1744" s="55" t="s">
        <v>41</v>
      </c>
      <c r="C1744" s="55" t="s">
        <v>5436</v>
      </c>
      <c r="D1744" s="55" t="s">
        <v>10732</v>
      </c>
    </row>
    <row r="1745" ht="14.25" customHeight="1">
      <c r="A1745" s="55" t="s">
        <v>9177</v>
      </c>
      <c r="B1745" s="55" t="s">
        <v>41</v>
      </c>
      <c r="C1745" s="55" t="s">
        <v>13638</v>
      </c>
      <c r="D1745" s="55" t="s">
        <v>13639</v>
      </c>
    </row>
    <row r="1746" ht="14.25" customHeight="1">
      <c r="A1746" s="55" t="s">
        <v>9177</v>
      </c>
      <c r="B1746" s="55" t="s">
        <v>41</v>
      </c>
      <c r="C1746" s="55" t="s">
        <v>12041</v>
      </c>
      <c r="D1746" s="55" t="s">
        <v>12042</v>
      </c>
    </row>
    <row r="1747" ht="14.25" customHeight="1">
      <c r="A1747" s="55" t="s">
        <v>9177</v>
      </c>
      <c r="B1747" s="55" t="s">
        <v>41</v>
      </c>
      <c r="C1747" s="55" t="s">
        <v>12043</v>
      </c>
      <c r="D1747" s="55" t="s">
        <v>10155</v>
      </c>
    </row>
    <row r="1748" ht="14.25" customHeight="1">
      <c r="A1748" s="55" t="s">
        <v>9177</v>
      </c>
      <c r="B1748" s="55" t="s">
        <v>41</v>
      </c>
      <c r="C1748" s="55" t="s">
        <v>12044</v>
      </c>
      <c r="D1748" s="55" t="s">
        <v>9034</v>
      </c>
    </row>
    <row r="1749" ht="14.25" customHeight="1">
      <c r="A1749" s="55" t="s">
        <v>9177</v>
      </c>
      <c r="B1749" s="55" t="s">
        <v>41</v>
      </c>
      <c r="C1749" s="55" t="s">
        <v>246</v>
      </c>
      <c r="D1749" s="55" t="s">
        <v>9044</v>
      </c>
    </row>
    <row r="1750" ht="14.25" customHeight="1">
      <c r="A1750" s="55" t="s">
        <v>9177</v>
      </c>
      <c r="B1750" s="55" t="s">
        <v>41</v>
      </c>
      <c r="C1750" s="55" t="s">
        <v>246</v>
      </c>
      <c r="D1750" s="55" t="s">
        <v>8994</v>
      </c>
    </row>
    <row r="1751" ht="14.25" customHeight="1">
      <c r="A1751" s="55" t="s">
        <v>9177</v>
      </c>
      <c r="B1751" s="55" t="s">
        <v>41</v>
      </c>
      <c r="C1751" s="55" t="s">
        <v>10160</v>
      </c>
      <c r="D1751" s="55" t="s">
        <v>10142</v>
      </c>
    </row>
    <row r="1752" ht="14.25" customHeight="1">
      <c r="A1752" s="55" t="s">
        <v>9177</v>
      </c>
      <c r="B1752" s="55" t="s">
        <v>41</v>
      </c>
      <c r="C1752" s="55" t="s">
        <v>9169</v>
      </c>
      <c r="D1752" s="55" t="s">
        <v>9043</v>
      </c>
    </row>
    <row r="1753" ht="14.25" customHeight="1">
      <c r="A1753" s="55" t="s">
        <v>9177</v>
      </c>
      <c r="B1753" s="55" t="s">
        <v>41</v>
      </c>
      <c r="C1753" s="55" t="s">
        <v>9169</v>
      </c>
      <c r="D1753" s="55" t="s">
        <v>10161</v>
      </c>
    </row>
    <row r="1754" ht="14.25" customHeight="1">
      <c r="A1754" s="55" t="s">
        <v>9177</v>
      </c>
      <c r="B1754" s="55" t="s">
        <v>41</v>
      </c>
      <c r="C1754" s="55" t="s">
        <v>9169</v>
      </c>
      <c r="D1754" s="55" t="s">
        <v>9189</v>
      </c>
    </row>
    <row r="1755" ht="14.25" customHeight="1">
      <c r="A1755" s="55" t="s">
        <v>9177</v>
      </c>
      <c r="B1755" s="55" t="s">
        <v>41</v>
      </c>
      <c r="C1755" s="55" t="s">
        <v>12802</v>
      </c>
      <c r="D1755" s="55" t="s">
        <v>12803</v>
      </c>
    </row>
    <row r="1756" ht="14.25" customHeight="1">
      <c r="A1756" s="55" t="s">
        <v>9177</v>
      </c>
      <c r="B1756" s="55" t="s">
        <v>41</v>
      </c>
      <c r="C1756" s="55" t="s">
        <v>9243</v>
      </c>
      <c r="D1756" s="55" t="s">
        <v>9244</v>
      </c>
    </row>
    <row r="1757" ht="14.25" customHeight="1">
      <c r="A1757" s="55" t="s">
        <v>9177</v>
      </c>
      <c r="B1757" s="55" t="s">
        <v>41</v>
      </c>
      <c r="C1757" s="55" t="s">
        <v>250</v>
      </c>
      <c r="D1757" s="55" t="s">
        <v>10728</v>
      </c>
    </row>
    <row r="1758" ht="14.25" customHeight="1">
      <c r="A1758" s="55" t="s">
        <v>9177</v>
      </c>
      <c r="B1758" s="55" t="s">
        <v>41</v>
      </c>
      <c r="C1758" s="55" t="s">
        <v>250</v>
      </c>
      <c r="D1758" s="55" t="s">
        <v>9245</v>
      </c>
    </row>
    <row r="1759" ht="14.25" customHeight="1">
      <c r="A1759" s="55" t="s">
        <v>9177</v>
      </c>
      <c r="B1759" s="55" t="s">
        <v>41</v>
      </c>
      <c r="C1759" s="55" t="s">
        <v>10162</v>
      </c>
      <c r="D1759" s="55" t="s">
        <v>9202</v>
      </c>
    </row>
    <row r="1760" ht="14.25" customHeight="1">
      <c r="A1760" s="55" t="s">
        <v>9177</v>
      </c>
      <c r="B1760" s="55" t="s">
        <v>41</v>
      </c>
      <c r="C1760" s="55" t="s">
        <v>12045</v>
      </c>
      <c r="D1760" s="55" t="s">
        <v>9055</v>
      </c>
    </row>
    <row r="1761" ht="14.25" customHeight="1">
      <c r="A1761" s="55" t="s">
        <v>9177</v>
      </c>
      <c r="B1761" s="55" t="s">
        <v>41</v>
      </c>
      <c r="C1761" s="55" t="s">
        <v>12045</v>
      </c>
      <c r="D1761" s="55" t="s">
        <v>9238</v>
      </c>
    </row>
    <row r="1762" ht="14.25" customHeight="1">
      <c r="A1762" s="55" t="s">
        <v>9177</v>
      </c>
      <c r="B1762" s="55" t="s">
        <v>41</v>
      </c>
      <c r="C1762" s="55" t="s">
        <v>13640</v>
      </c>
      <c r="D1762" s="55" t="s">
        <v>9189</v>
      </c>
    </row>
    <row r="1763" ht="14.25" customHeight="1">
      <c r="A1763" s="55" t="s">
        <v>9177</v>
      </c>
      <c r="B1763" s="55" t="s">
        <v>41</v>
      </c>
      <c r="C1763" s="55" t="s">
        <v>12804</v>
      </c>
      <c r="D1763" s="55" t="s">
        <v>9055</v>
      </c>
    </row>
    <row r="1764" ht="14.25" customHeight="1">
      <c r="A1764" s="55" t="s">
        <v>9177</v>
      </c>
      <c r="B1764" s="55" t="s">
        <v>41</v>
      </c>
      <c r="C1764" s="55" t="s">
        <v>13615</v>
      </c>
      <c r="D1764" s="55" t="s">
        <v>13641</v>
      </c>
    </row>
    <row r="1765" ht="14.25" customHeight="1">
      <c r="A1765" s="55" t="s">
        <v>9177</v>
      </c>
      <c r="B1765" s="55" t="s">
        <v>41</v>
      </c>
      <c r="C1765" s="55" t="s">
        <v>13615</v>
      </c>
      <c r="D1765" s="55" t="s">
        <v>10731</v>
      </c>
    </row>
    <row r="1766" ht="14.25" customHeight="1">
      <c r="A1766" s="55" t="s">
        <v>9177</v>
      </c>
      <c r="B1766" s="55" t="s">
        <v>41</v>
      </c>
      <c r="C1766" s="55" t="s">
        <v>4260</v>
      </c>
      <c r="D1766" s="55" t="s">
        <v>9242</v>
      </c>
    </row>
    <row r="1767" ht="14.25" customHeight="1">
      <c r="A1767" s="55" t="s">
        <v>9177</v>
      </c>
      <c r="B1767" s="55" t="s">
        <v>41</v>
      </c>
      <c r="C1767" s="55" t="s">
        <v>9434</v>
      </c>
      <c r="D1767" s="55" t="s">
        <v>9180</v>
      </c>
    </row>
    <row r="1768" ht="14.25" customHeight="1">
      <c r="A1768" s="55" t="s">
        <v>9177</v>
      </c>
      <c r="B1768" s="55" t="s">
        <v>41</v>
      </c>
      <c r="C1768" s="55" t="s">
        <v>9434</v>
      </c>
      <c r="D1768" s="55" t="s">
        <v>12046</v>
      </c>
    </row>
    <row r="1769" ht="14.25" customHeight="1">
      <c r="A1769" s="55" t="s">
        <v>9177</v>
      </c>
      <c r="B1769" s="55" t="s">
        <v>41</v>
      </c>
      <c r="C1769" s="55" t="s">
        <v>12731</v>
      </c>
      <c r="D1769" s="55" t="s">
        <v>13642</v>
      </c>
    </row>
    <row r="1770" ht="14.25" customHeight="1">
      <c r="A1770" s="55" t="s">
        <v>9177</v>
      </c>
      <c r="B1770" s="55" t="s">
        <v>41</v>
      </c>
      <c r="C1770" s="55" t="s">
        <v>12731</v>
      </c>
      <c r="D1770" s="55" t="s">
        <v>12805</v>
      </c>
    </row>
    <row r="1771" ht="14.25" customHeight="1">
      <c r="A1771" s="55" t="s">
        <v>9177</v>
      </c>
      <c r="B1771" s="55" t="s">
        <v>41</v>
      </c>
      <c r="C1771" s="55" t="s">
        <v>12731</v>
      </c>
      <c r="D1771" s="55" t="s">
        <v>12571</v>
      </c>
    </row>
    <row r="1772" ht="14.25" customHeight="1">
      <c r="A1772" s="55" t="s">
        <v>9177</v>
      </c>
      <c r="B1772" s="55" t="s">
        <v>41</v>
      </c>
      <c r="C1772" s="55" t="s">
        <v>10163</v>
      </c>
      <c r="D1772" s="55" t="s">
        <v>10729</v>
      </c>
    </row>
    <row r="1773" ht="14.25" customHeight="1">
      <c r="A1773" s="55" t="s">
        <v>9177</v>
      </c>
      <c r="B1773" s="55" t="s">
        <v>41</v>
      </c>
      <c r="C1773" s="55" t="s">
        <v>10163</v>
      </c>
      <c r="D1773" s="55" t="s">
        <v>10164</v>
      </c>
    </row>
    <row r="1774" ht="14.25" customHeight="1">
      <c r="A1774" s="55" t="s">
        <v>9177</v>
      </c>
      <c r="B1774" s="55" t="s">
        <v>41</v>
      </c>
      <c r="C1774" s="55" t="s">
        <v>12782</v>
      </c>
      <c r="D1774" s="55" t="s">
        <v>11442</v>
      </c>
    </row>
    <row r="1775" ht="14.25" customHeight="1">
      <c r="A1775" s="55" t="s">
        <v>9177</v>
      </c>
      <c r="B1775" s="55" t="s">
        <v>41</v>
      </c>
      <c r="C1775" s="55" t="s">
        <v>12782</v>
      </c>
      <c r="D1775" s="55" t="s">
        <v>12806</v>
      </c>
    </row>
    <row r="1776" ht="14.25" customHeight="1">
      <c r="A1776" s="55" t="s">
        <v>9177</v>
      </c>
      <c r="B1776" s="55" t="s">
        <v>41</v>
      </c>
      <c r="C1776" s="55" t="s">
        <v>12782</v>
      </c>
      <c r="D1776" s="55" t="s">
        <v>9189</v>
      </c>
    </row>
    <row r="1777" ht="14.25" customHeight="1">
      <c r="A1777" s="55" t="s">
        <v>9177</v>
      </c>
      <c r="B1777" s="55" t="s">
        <v>41</v>
      </c>
      <c r="C1777" s="55" t="s">
        <v>261</v>
      </c>
      <c r="D1777" s="55" t="s">
        <v>11076</v>
      </c>
    </row>
    <row r="1778" ht="14.25" customHeight="1">
      <c r="A1778" s="55" t="s">
        <v>9177</v>
      </c>
      <c r="B1778" s="55" t="s">
        <v>41</v>
      </c>
      <c r="C1778" s="55" t="s">
        <v>13643</v>
      </c>
      <c r="D1778" s="55" t="s">
        <v>13644</v>
      </c>
    </row>
    <row r="1779" ht="14.25" customHeight="1">
      <c r="A1779" s="55" t="s">
        <v>9177</v>
      </c>
      <c r="B1779" s="55" t="s">
        <v>41</v>
      </c>
      <c r="C1779" s="55" t="s">
        <v>5570</v>
      </c>
      <c r="D1779" s="55" t="s">
        <v>9055</v>
      </c>
    </row>
    <row r="1780" ht="14.25" customHeight="1">
      <c r="A1780" s="55" t="s">
        <v>9177</v>
      </c>
      <c r="B1780" s="55" t="s">
        <v>41</v>
      </c>
      <c r="C1780" s="55" t="s">
        <v>12807</v>
      </c>
      <c r="D1780" s="55" t="s">
        <v>8994</v>
      </c>
    </row>
    <row r="1781" ht="14.25" customHeight="1">
      <c r="A1781" s="55" t="s">
        <v>9177</v>
      </c>
      <c r="B1781" s="55" t="s">
        <v>41</v>
      </c>
      <c r="C1781" s="55" t="s">
        <v>11465</v>
      </c>
      <c r="D1781" s="55" t="s">
        <v>9026</v>
      </c>
    </row>
    <row r="1782" ht="14.25" customHeight="1">
      <c r="A1782" s="55" t="s">
        <v>9177</v>
      </c>
      <c r="B1782" s="55" t="s">
        <v>41</v>
      </c>
      <c r="C1782" s="55" t="s">
        <v>11465</v>
      </c>
      <c r="D1782" s="55" t="s">
        <v>8994</v>
      </c>
    </row>
    <row r="1783" ht="14.25" customHeight="1">
      <c r="A1783" s="55" t="s">
        <v>9177</v>
      </c>
      <c r="B1783" s="55" t="s">
        <v>41</v>
      </c>
      <c r="C1783" s="55" t="s">
        <v>11466</v>
      </c>
      <c r="D1783" s="55" t="s">
        <v>8994</v>
      </c>
    </row>
    <row r="1784" ht="14.25" customHeight="1">
      <c r="A1784" s="55" t="s">
        <v>9177</v>
      </c>
      <c r="B1784" s="55" t="s">
        <v>41</v>
      </c>
      <c r="C1784" s="55" t="s">
        <v>13645</v>
      </c>
      <c r="D1784" s="55" t="s">
        <v>9216</v>
      </c>
    </row>
    <row r="1785" ht="14.25" customHeight="1">
      <c r="A1785" s="55" t="s">
        <v>9177</v>
      </c>
      <c r="B1785" s="55" t="s">
        <v>41</v>
      </c>
      <c r="C1785" s="55" t="s">
        <v>10730</v>
      </c>
      <c r="D1785" s="55" t="s">
        <v>8968</v>
      </c>
    </row>
    <row r="1786" ht="14.25" customHeight="1">
      <c r="A1786" s="55" t="s">
        <v>9177</v>
      </c>
      <c r="B1786" s="55" t="s">
        <v>41</v>
      </c>
      <c r="C1786" s="55" t="s">
        <v>14153</v>
      </c>
      <c r="D1786" s="55" t="s">
        <v>8994</v>
      </c>
    </row>
    <row r="1787" ht="14.25" customHeight="1">
      <c r="A1787" s="55" t="s">
        <v>9177</v>
      </c>
      <c r="B1787" s="55" t="s">
        <v>41</v>
      </c>
      <c r="C1787" s="55" t="s">
        <v>9529</v>
      </c>
      <c r="D1787" s="55" t="s">
        <v>14154</v>
      </c>
    </row>
    <row r="1788" ht="14.25" customHeight="1">
      <c r="A1788" s="55" t="s">
        <v>9177</v>
      </c>
      <c r="B1788" s="55" t="s">
        <v>41</v>
      </c>
      <c r="C1788" s="55" t="s">
        <v>10063</v>
      </c>
      <c r="D1788" s="55" t="s">
        <v>8968</v>
      </c>
    </row>
    <row r="1789" ht="14.25" customHeight="1">
      <c r="A1789" s="55" t="s">
        <v>9177</v>
      </c>
      <c r="B1789" s="55" t="s">
        <v>41</v>
      </c>
      <c r="C1789" s="55" t="s">
        <v>2163</v>
      </c>
      <c r="D1789" s="55" t="s">
        <v>12808</v>
      </c>
    </row>
    <row r="1790" ht="14.25" customHeight="1">
      <c r="A1790" s="55" t="s">
        <v>9177</v>
      </c>
      <c r="B1790" s="55" t="s">
        <v>41</v>
      </c>
      <c r="C1790" s="55" t="s">
        <v>14155</v>
      </c>
      <c r="D1790" s="55" t="s">
        <v>10610</v>
      </c>
    </row>
    <row r="1791" ht="14.25" customHeight="1">
      <c r="A1791" s="55" t="s">
        <v>9177</v>
      </c>
      <c r="B1791" s="55" t="s">
        <v>41</v>
      </c>
      <c r="C1791" s="55" t="s">
        <v>14156</v>
      </c>
      <c r="D1791" s="55" t="s">
        <v>13196</v>
      </c>
    </row>
    <row r="1792" ht="14.25" customHeight="1">
      <c r="A1792" s="55" t="s">
        <v>9177</v>
      </c>
      <c r="B1792" s="55" t="s">
        <v>41</v>
      </c>
      <c r="C1792" s="55" t="s">
        <v>12047</v>
      </c>
      <c r="D1792" s="55" t="s">
        <v>9131</v>
      </c>
    </row>
    <row r="1793" ht="14.25" customHeight="1">
      <c r="A1793" s="55" t="s">
        <v>9177</v>
      </c>
      <c r="B1793" s="55" t="s">
        <v>41</v>
      </c>
      <c r="C1793" s="55" t="s">
        <v>10165</v>
      </c>
      <c r="D1793" s="55" t="s">
        <v>9034</v>
      </c>
    </row>
    <row r="1794" ht="14.25" customHeight="1">
      <c r="A1794" s="55" t="s">
        <v>9177</v>
      </c>
      <c r="B1794" s="55" t="s">
        <v>41</v>
      </c>
      <c r="C1794" s="55" t="s">
        <v>12809</v>
      </c>
      <c r="D1794" s="55" t="s">
        <v>9055</v>
      </c>
    </row>
    <row r="1795" ht="14.25" customHeight="1">
      <c r="A1795" s="55" t="s">
        <v>9177</v>
      </c>
      <c r="B1795" s="55" t="s">
        <v>41</v>
      </c>
      <c r="C1795" s="55" t="s">
        <v>11467</v>
      </c>
      <c r="D1795" s="55" t="s">
        <v>8994</v>
      </c>
    </row>
    <row r="1796" ht="14.25" customHeight="1">
      <c r="A1796" s="55" t="s">
        <v>9177</v>
      </c>
      <c r="B1796" s="55" t="s">
        <v>41</v>
      </c>
      <c r="C1796" s="55" t="s">
        <v>11468</v>
      </c>
      <c r="D1796" s="55" t="s">
        <v>9034</v>
      </c>
    </row>
    <row r="1797" ht="14.25" customHeight="1">
      <c r="A1797" s="55" t="s">
        <v>9177</v>
      </c>
      <c r="B1797" s="55" t="s">
        <v>41</v>
      </c>
      <c r="C1797" s="55" t="s">
        <v>11468</v>
      </c>
      <c r="D1797" s="55" t="s">
        <v>10610</v>
      </c>
    </row>
    <row r="1798" ht="14.25" customHeight="1">
      <c r="A1798" s="55" t="s">
        <v>9177</v>
      </c>
      <c r="B1798" s="55" t="s">
        <v>41</v>
      </c>
      <c r="C1798" s="55" t="s">
        <v>10166</v>
      </c>
      <c r="D1798" s="55" t="s">
        <v>9026</v>
      </c>
    </row>
    <row r="1799" ht="14.25" customHeight="1">
      <c r="A1799" s="55" t="s">
        <v>9177</v>
      </c>
      <c r="B1799" s="55" t="s">
        <v>41</v>
      </c>
      <c r="C1799" s="55" t="s">
        <v>280</v>
      </c>
      <c r="D1799" s="55" t="s">
        <v>9131</v>
      </c>
    </row>
    <row r="1800" ht="14.25" customHeight="1">
      <c r="A1800" s="55" t="s">
        <v>9177</v>
      </c>
      <c r="B1800" s="55" t="s">
        <v>41</v>
      </c>
      <c r="C1800" s="55" t="s">
        <v>280</v>
      </c>
      <c r="D1800" s="55" t="s">
        <v>9151</v>
      </c>
    </row>
    <row r="1801" ht="14.25" customHeight="1">
      <c r="A1801" s="55" t="s">
        <v>9177</v>
      </c>
      <c r="B1801" s="55" t="s">
        <v>41</v>
      </c>
      <c r="C1801" s="55" t="s">
        <v>14157</v>
      </c>
      <c r="D1801" s="55" t="s">
        <v>11444</v>
      </c>
    </row>
    <row r="1802" ht="14.25" customHeight="1">
      <c r="A1802" s="55" t="s">
        <v>9177</v>
      </c>
      <c r="B1802" s="55" t="s">
        <v>41</v>
      </c>
      <c r="C1802" s="55" t="s">
        <v>13646</v>
      </c>
      <c r="D1802" s="55" t="s">
        <v>13647</v>
      </c>
    </row>
    <row r="1803" ht="14.25" customHeight="1">
      <c r="A1803" s="55" t="s">
        <v>9177</v>
      </c>
      <c r="B1803" s="55" t="s">
        <v>41</v>
      </c>
      <c r="C1803" s="55" t="s">
        <v>14158</v>
      </c>
      <c r="D1803" s="55" t="s">
        <v>11382</v>
      </c>
    </row>
    <row r="1804" ht="14.25" customHeight="1">
      <c r="A1804" s="55" t="s">
        <v>9177</v>
      </c>
      <c r="B1804" s="55" t="s">
        <v>41</v>
      </c>
      <c r="C1804" s="55" t="s">
        <v>286</v>
      </c>
      <c r="D1804" s="55" t="s">
        <v>11469</v>
      </c>
    </row>
    <row r="1805" ht="14.25" customHeight="1">
      <c r="A1805" s="55" t="s">
        <v>9177</v>
      </c>
      <c r="B1805" s="55" t="s">
        <v>41</v>
      </c>
      <c r="C1805" s="55" t="s">
        <v>286</v>
      </c>
      <c r="D1805" s="55" t="s">
        <v>11470</v>
      </c>
    </row>
    <row r="1806" ht="14.25" customHeight="1">
      <c r="A1806" s="55" t="s">
        <v>9177</v>
      </c>
      <c r="B1806" s="55" t="s">
        <v>41</v>
      </c>
      <c r="C1806" s="55" t="s">
        <v>286</v>
      </c>
      <c r="D1806" s="55" t="s">
        <v>9221</v>
      </c>
    </row>
    <row r="1807" ht="14.25" customHeight="1">
      <c r="A1807" s="55" t="s">
        <v>9177</v>
      </c>
      <c r="B1807" s="55" t="s">
        <v>41</v>
      </c>
      <c r="C1807" s="55" t="s">
        <v>4475</v>
      </c>
      <c r="D1807" s="55" t="s">
        <v>9354</v>
      </c>
    </row>
    <row r="1808" ht="14.25" customHeight="1">
      <c r="A1808" s="55" t="s">
        <v>9177</v>
      </c>
      <c r="B1808" s="55" t="s">
        <v>41</v>
      </c>
      <c r="C1808" s="55" t="s">
        <v>9246</v>
      </c>
      <c r="D1808" s="55" t="s">
        <v>10167</v>
      </c>
    </row>
    <row r="1809" ht="14.25" customHeight="1">
      <c r="A1809" s="55" t="s">
        <v>9177</v>
      </c>
      <c r="B1809" s="55" t="s">
        <v>41</v>
      </c>
      <c r="C1809" s="55" t="s">
        <v>9246</v>
      </c>
      <c r="D1809" s="55" t="s">
        <v>9043</v>
      </c>
    </row>
    <row r="1810" ht="14.25" customHeight="1">
      <c r="A1810" s="55" t="s">
        <v>9177</v>
      </c>
      <c r="B1810" s="55" t="s">
        <v>41</v>
      </c>
      <c r="C1810" s="55" t="s">
        <v>13648</v>
      </c>
      <c r="D1810" s="55" t="s">
        <v>13649</v>
      </c>
    </row>
    <row r="1811" ht="14.25" customHeight="1">
      <c r="A1811" s="55" t="s">
        <v>9177</v>
      </c>
      <c r="B1811" s="55" t="s">
        <v>41</v>
      </c>
      <c r="C1811" s="55" t="s">
        <v>12048</v>
      </c>
      <c r="D1811" s="55" t="s">
        <v>9055</v>
      </c>
    </row>
    <row r="1812" ht="14.25" customHeight="1">
      <c r="A1812" s="55" t="s">
        <v>9177</v>
      </c>
      <c r="B1812" s="55" t="s">
        <v>41</v>
      </c>
      <c r="C1812" s="55" t="s">
        <v>13650</v>
      </c>
      <c r="D1812" s="55" t="s">
        <v>9055</v>
      </c>
    </row>
    <row r="1813" ht="14.25" customHeight="1">
      <c r="A1813" s="55" t="s">
        <v>9177</v>
      </c>
      <c r="B1813" s="55" t="s">
        <v>13</v>
      </c>
      <c r="C1813" s="55" t="s">
        <v>9034</v>
      </c>
      <c r="D1813" s="55" t="s">
        <v>9174</v>
      </c>
    </row>
    <row r="1814" ht="14.25" customHeight="1">
      <c r="A1814" s="55" t="s">
        <v>9177</v>
      </c>
      <c r="B1814" s="55" t="s">
        <v>13</v>
      </c>
      <c r="C1814" s="55" t="s">
        <v>9034</v>
      </c>
      <c r="D1814" s="55" t="s">
        <v>10610</v>
      </c>
    </row>
    <row r="1815" ht="14.25" customHeight="1">
      <c r="A1815" s="55" t="s">
        <v>9177</v>
      </c>
      <c r="B1815" s="55" t="s">
        <v>13</v>
      </c>
      <c r="C1815" s="55" t="s">
        <v>11471</v>
      </c>
      <c r="D1815" s="55" t="s">
        <v>9180</v>
      </c>
    </row>
    <row r="1816" ht="14.25" customHeight="1">
      <c r="A1816" s="55" t="s">
        <v>9177</v>
      </c>
      <c r="B1816" s="55" t="s">
        <v>13</v>
      </c>
      <c r="C1816" s="55" t="s">
        <v>5740</v>
      </c>
      <c r="D1816" s="55" t="s">
        <v>13651</v>
      </c>
    </row>
    <row r="1817" ht="14.25" customHeight="1">
      <c r="A1817" s="55" t="s">
        <v>9177</v>
      </c>
      <c r="B1817" s="55" t="s">
        <v>13</v>
      </c>
      <c r="C1817" s="55" t="s">
        <v>10118</v>
      </c>
      <c r="D1817" s="55" t="s">
        <v>9242</v>
      </c>
    </row>
    <row r="1818" ht="14.25" customHeight="1">
      <c r="A1818" s="55" t="s">
        <v>9177</v>
      </c>
      <c r="B1818" s="55" t="s">
        <v>13</v>
      </c>
      <c r="C1818" s="55" t="s">
        <v>10168</v>
      </c>
      <c r="D1818" s="55" t="s">
        <v>9244</v>
      </c>
    </row>
    <row r="1819" ht="14.25" customHeight="1">
      <c r="A1819" s="55" t="s">
        <v>9177</v>
      </c>
      <c r="B1819" s="55" t="s">
        <v>13</v>
      </c>
      <c r="C1819" s="55" t="s">
        <v>9247</v>
      </c>
      <c r="D1819" s="55" t="s">
        <v>8968</v>
      </c>
    </row>
    <row r="1820" ht="14.25" customHeight="1">
      <c r="A1820" s="55" t="s">
        <v>9177</v>
      </c>
      <c r="B1820" s="55" t="s">
        <v>13</v>
      </c>
      <c r="C1820" s="55" t="s">
        <v>10169</v>
      </c>
      <c r="D1820" s="55" t="s">
        <v>9249</v>
      </c>
    </row>
    <row r="1821" ht="14.25" customHeight="1">
      <c r="A1821" s="55" t="s">
        <v>9177</v>
      </c>
      <c r="B1821" s="55" t="s">
        <v>13</v>
      </c>
      <c r="C1821" s="55" t="s">
        <v>11472</v>
      </c>
      <c r="D1821" s="55" t="s">
        <v>8994</v>
      </c>
    </row>
    <row r="1822" ht="14.25" customHeight="1">
      <c r="A1822" s="55" t="s">
        <v>9177</v>
      </c>
      <c r="B1822" s="55" t="s">
        <v>13</v>
      </c>
      <c r="C1822" s="55" t="s">
        <v>10075</v>
      </c>
      <c r="D1822" s="55" t="s">
        <v>10731</v>
      </c>
    </row>
    <row r="1823" ht="14.25" customHeight="1">
      <c r="A1823" s="55" t="s">
        <v>9177</v>
      </c>
      <c r="B1823" s="55" t="s">
        <v>13</v>
      </c>
      <c r="C1823" s="55" t="s">
        <v>14159</v>
      </c>
      <c r="D1823" s="55" t="s">
        <v>9380</v>
      </c>
    </row>
    <row r="1824" ht="14.25" customHeight="1">
      <c r="A1824" s="55" t="s">
        <v>9177</v>
      </c>
      <c r="B1824" s="55" t="s">
        <v>13</v>
      </c>
      <c r="C1824" s="55" t="s">
        <v>9248</v>
      </c>
      <c r="D1824" s="55" t="s">
        <v>9249</v>
      </c>
    </row>
    <row r="1825" ht="14.25" customHeight="1">
      <c r="A1825" s="55" t="s">
        <v>9177</v>
      </c>
      <c r="B1825" s="55" t="s">
        <v>13</v>
      </c>
      <c r="C1825" s="55" t="s">
        <v>13652</v>
      </c>
      <c r="D1825" s="55" t="s">
        <v>9176</v>
      </c>
    </row>
    <row r="1826" ht="14.25" customHeight="1">
      <c r="A1826" s="55" t="s">
        <v>9177</v>
      </c>
      <c r="B1826" s="55" t="s">
        <v>13</v>
      </c>
      <c r="C1826" s="55" t="s">
        <v>12810</v>
      </c>
      <c r="D1826" s="55" t="s">
        <v>9176</v>
      </c>
    </row>
    <row r="1827" ht="14.25" customHeight="1">
      <c r="A1827" s="55" t="s">
        <v>9177</v>
      </c>
      <c r="B1827" s="55" t="s">
        <v>13</v>
      </c>
      <c r="C1827" s="55" t="s">
        <v>11473</v>
      </c>
      <c r="D1827" s="55" t="s">
        <v>11474</v>
      </c>
    </row>
    <row r="1828" ht="14.25" customHeight="1">
      <c r="A1828" s="55" t="s">
        <v>9177</v>
      </c>
      <c r="B1828" s="55" t="s">
        <v>13</v>
      </c>
      <c r="C1828" s="55" t="s">
        <v>12049</v>
      </c>
      <c r="D1828" s="55" t="s">
        <v>9213</v>
      </c>
    </row>
    <row r="1829" ht="14.25" customHeight="1">
      <c r="A1829" s="55" t="s">
        <v>9177</v>
      </c>
      <c r="B1829" s="55" t="s">
        <v>13</v>
      </c>
      <c r="C1829" s="55" t="s">
        <v>9577</v>
      </c>
      <c r="D1829" s="55" t="s">
        <v>9354</v>
      </c>
    </row>
    <row r="1830" ht="14.25" customHeight="1">
      <c r="A1830" s="55" t="s">
        <v>9177</v>
      </c>
      <c r="B1830" s="55" t="s">
        <v>13</v>
      </c>
      <c r="C1830" s="55" t="s">
        <v>10905</v>
      </c>
      <c r="D1830" s="55" t="s">
        <v>12811</v>
      </c>
    </row>
    <row r="1831" ht="14.25" customHeight="1">
      <c r="A1831" s="55" t="s">
        <v>9177</v>
      </c>
      <c r="B1831" s="55" t="s">
        <v>13</v>
      </c>
      <c r="C1831" s="55" t="s">
        <v>12812</v>
      </c>
      <c r="D1831" s="55" t="s">
        <v>9771</v>
      </c>
    </row>
    <row r="1832" ht="14.25" customHeight="1">
      <c r="A1832" s="55" t="s">
        <v>9177</v>
      </c>
      <c r="B1832" s="55" t="s">
        <v>13</v>
      </c>
      <c r="C1832" s="55" t="s">
        <v>9250</v>
      </c>
      <c r="D1832" s="55" t="s">
        <v>9174</v>
      </c>
    </row>
    <row r="1833" ht="14.25" customHeight="1">
      <c r="A1833" s="55" t="s">
        <v>9177</v>
      </c>
      <c r="B1833" s="55" t="s">
        <v>13</v>
      </c>
      <c r="C1833" s="55" t="s">
        <v>13570</v>
      </c>
      <c r="D1833" s="55" t="s">
        <v>9380</v>
      </c>
    </row>
    <row r="1834" ht="14.25" customHeight="1">
      <c r="A1834" s="55" t="s">
        <v>9177</v>
      </c>
      <c r="B1834" s="55" t="s">
        <v>13</v>
      </c>
      <c r="C1834" s="55" t="s">
        <v>9169</v>
      </c>
      <c r="D1834" s="55" t="s">
        <v>9045</v>
      </c>
    </row>
    <row r="1835" ht="14.25" customHeight="1">
      <c r="A1835" s="55" t="s">
        <v>9177</v>
      </c>
      <c r="B1835" s="55" t="s">
        <v>13</v>
      </c>
      <c r="C1835" s="55" t="s">
        <v>13653</v>
      </c>
      <c r="D1835" s="55" t="s">
        <v>13654</v>
      </c>
    </row>
    <row r="1836" ht="14.25" customHeight="1">
      <c r="A1836" s="55" t="s">
        <v>9177</v>
      </c>
      <c r="B1836" s="55" t="s">
        <v>13</v>
      </c>
      <c r="C1836" s="55" t="s">
        <v>12813</v>
      </c>
      <c r="D1836" s="55" t="s">
        <v>9176</v>
      </c>
    </row>
    <row r="1837" ht="14.25" customHeight="1">
      <c r="A1837" s="55" t="s">
        <v>9177</v>
      </c>
      <c r="B1837" s="55" t="s">
        <v>13</v>
      </c>
      <c r="C1837" s="55" t="s">
        <v>257</v>
      </c>
      <c r="D1837" s="55" t="s">
        <v>12050</v>
      </c>
    </row>
    <row r="1838" ht="14.25" customHeight="1">
      <c r="A1838" s="55" t="s">
        <v>9177</v>
      </c>
      <c r="B1838" s="55" t="s">
        <v>13</v>
      </c>
      <c r="C1838" s="55" t="s">
        <v>257</v>
      </c>
      <c r="D1838" s="55" t="s">
        <v>10732</v>
      </c>
    </row>
    <row r="1839" ht="14.25" customHeight="1">
      <c r="A1839" s="55" t="s">
        <v>9177</v>
      </c>
      <c r="B1839" s="55" t="s">
        <v>13</v>
      </c>
      <c r="C1839" s="55" t="s">
        <v>9251</v>
      </c>
      <c r="D1839" s="55" t="s">
        <v>9213</v>
      </c>
    </row>
    <row r="1840" ht="14.25" customHeight="1">
      <c r="A1840" s="55" t="s">
        <v>9177</v>
      </c>
      <c r="B1840" s="55" t="s">
        <v>13</v>
      </c>
      <c r="C1840" s="55" t="s">
        <v>10508</v>
      </c>
      <c r="D1840" s="55" t="s">
        <v>10608</v>
      </c>
    </row>
    <row r="1841" ht="14.25" customHeight="1">
      <c r="A1841" s="55" t="s">
        <v>9177</v>
      </c>
      <c r="B1841" s="55" t="s">
        <v>13</v>
      </c>
      <c r="C1841" s="55" t="s">
        <v>10163</v>
      </c>
      <c r="D1841" s="55" t="s">
        <v>9109</v>
      </c>
    </row>
    <row r="1842" ht="14.25" customHeight="1">
      <c r="A1842" s="55" t="s">
        <v>9177</v>
      </c>
      <c r="B1842" s="55" t="s">
        <v>13</v>
      </c>
      <c r="C1842" s="55" t="s">
        <v>9090</v>
      </c>
      <c r="D1842" s="55" t="s">
        <v>9034</v>
      </c>
    </row>
    <row r="1843" ht="14.25" customHeight="1">
      <c r="A1843" s="55" t="s">
        <v>9177</v>
      </c>
      <c r="B1843" s="55" t="s">
        <v>13</v>
      </c>
      <c r="C1843" s="55" t="s">
        <v>9090</v>
      </c>
      <c r="D1843" s="55" t="s">
        <v>13555</v>
      </c>
    </row>
    <row r="1844" ht="14.25" customHeight="1">
      <c r="A1844" s="55" t="s">
        <v>9177</v>
      </c>
      <c r="B1844" s="55" t="s">
        <v>13</v>
      </c>
      <c r="C1844" s="55" t="s">
        <v>9090</v>
      </c>
      <c r="D1844" s="55" t="s">
        <v>9176</v>
      </c>
    </row>
    <row r="1845" ht="14.25" customHeight="1">
      <c r="A1845" s="55" t="s">
        <v>9177</v>
      </c>
      <c r="B1845" s="55" t="s">
        <v>13</v>
      </c>
      <c r="C1845" s="55" t="s">
        <v>9090</v>
      </c>
      <c r="D1845" s="55" t="s">
        <v>11386</v>
      </c>
    </row>
    <row r="1846" ht="14.25" customHeight="1">
      <c r="A1846" s="55" t="s">
        <v>9177</v>
      </c>
      <c r="B1846" s="55" t="s">
        <v>13</v>
      </c>
      <c r="C1846" s="55" t="s">
        <v>9090</v>
      </c>
      <c r="D1846" s="55" t="s">
        <v>13655</v>
      </c>
    </row>
    <row r="1847" ht="14.25" customHeight="1">
      <c r="A1847" s="55" t="s">
        <v>9177</v>
      </c>
      <c r="B1847" s="55" t="s">
        <v>13</v>
      </c>
      <c r="C1847" s="55" t="s">
        <v>9090</v>
      </c>
      <c r="D1847" s="55" t="s">
        <v>10608</v>
      </c>
    </row>
    <row r="1848" ht="14.25" customHeight="1">
      <c r="A1848" s="55" t="s">
        <v>9177</v>
      </c>
      <c r="B1848" s="55" t="s">
        <v>13</v>
      </c>
      <c r="C1848" s="55" t="s">
        <v>261</v>
      </c>
      <c r="D1848" s="55" t="s">
        <v>11442</v>
      </c>
    </row>
    <row r="1849" ht="14.25" customHeight="1">
      <c r="A1849" s="55" t="s">
        <v>9177</v>
      </c>
      <c r="B1849" s="55" t="s">
        <v>13</v>
      </c>
      <c r="C1849" s="55" t="s">
        <v>13656</v>
      </c>
      <c r="D1849" s="55" t="s">
        <v>11850</v>
      </c>
    </row>
    <row r="1850" ht="14.25" customHeight="1">
      <c r="A1850" s="55" t="s">
        <v>9177</v>
      </c>
      <c r="B1850" s="55" t="s">
        <v>13</v>
      </c>
      <c r="C1850" s="55" t="s">
        <v>9437</v>
      </c>
      <c r="D1850" s="55" t="s">
        <v>10446</v>
      </c>
    </row>
    <row r="1851" ht="14.25" customHeight="1">
      <c r="A1851" s="55" t="s">
        <v>9177</v>
      </c>
      <c r="B1851" s="55" t="s">
        <v>13</v>
      </c>
      <c r="C1851" s="55" t="s">
        <v>12051</v>
      </c>
      <c r="D1851" s="55" t="s">
        <v>12052</v>
      </c>
    </row>
    <row r="1852" ht="14.25" customHeight="1">
      <c r="A1852" s="55" t="s">
        <v>9177</v>
      </c>
      <c r="B1852" s="55" t="s">
        <v>13</v>
      </c>
      <c r="C1852" s="55" t="s">
        <v>13657</v>
      </c>
      <c r="D1852" s="55" t="s">
        <v>9174</v>
      </c>
    </row>
    <row r="1853" ht="14.25" customHeight="1">
      <c r="A1853" s="55" t="s">
        <v>9177</v>
      </c>
      <c r="B1853" s="55" t="s">
        <v>13</v>
      </c>
      <c r="C1853" s="55" t="s">
        <v>9252</v>
      </c>
      <c r="D1853" s="55" t="s">
        <v>9176</v>
      </c>
    </row>
    <row r="1854" ht="14.25" customHeight="1">
      <c r="A1854" s="55" t="s">
        <v>9177</v>
      </c>
      <c r="B1854" s="55" t="s">
        <v>13</v>
      </c>
      <c r="C1854" s="55" t="s">
        <v>12814</v>
      </c>
      <c r="D1854" s="55" t="s">
        <v>9176</v>
      </c>
    </row>
    <row r="1855" ht="14.25" customHeight="1">
      <c r="A1855" s="55" t="s">
        <v>9177</v>
      </c>
      <c r="B1855" s="55" t="s">
        <v>13</v>
      </c>
      <c r="C1855" s="55" t="s">
        <v>11468</v>
      </c>
      <c r="D1855" s="55" t="s">
        <v>9026</v>
      </c>
    </row>
    <row r="1856" ht="14.25" customHeight="1">
      <c r="A1856" s="55" t="s">
        <v>9177</v>
      </c>
      <c r="B1856" s="55" t="s">
        <v>13</v>
      </c>
      <c r="C1856" s="55" t="s">
        <v>2230</v>
      </c>
      <c r="D1856" s="55" t="s">
        <v>9034</v>
      </c>
    </row>
    <row r="1857" ht="14.25" customHeight="1">
      <c r="A1857" s="55" t="s">
        <v>9177</v>
      </c>
      <c r="B1857" s="55" t="s">
        <v>13</v>
      </c>
      <c r="C1857" s="55" t="s">
        <v>9253</v>
      </c>
      <c r="D1857" s="55" t="s">
        <v>9050</v>
      </c>
    </row>
    <row r="1858" ht="14.25" customHeight="1">
      <c r="A1858" s="55" t="s">
        <v>9177</v>
      </c>
      <c r="B1858" s="55" t="s">
        <v>13</v>
      </c>
      <c r="C1858" s="55" t="s">
        <v>9929</v>
      </c>
      <c r="D1858" s="55" t="s">
        <v>9026</v>
      </c>
    </row>
    <row r="1859" ht="14.25" customHeight="1">
      <c r="A1859" s="55" t="s">
        <v>9177</v>
      </c>
      <c r="B1859" s="55" t="s">
        <v>13</v>
      </c>
      <c r="C1859" s="55" t="s">
        <v>286</v>
      </c>
      <c r="D1859" s="55" t="s">
        <v>13658</v>
      </c>
    </row>
    <row r="1860" ht="14.25" customHeight="1">
      <c r="A1860" s="55" t="s">
        <v>9177</v>
      </c>
      <c r="B1860" s="55" t="s">
        <v>13</v>
      </c>
      <c r="C1860" s="55" t="s">
        <v>9246</v>
      </c>
      <c r="D1860" s="55" t="s">
        <v>9221</v>
      </c>
    </row>
    <row r="1861" ht="14.25" customHeight="1">
      <c r="A1861" s="55" t="s">
        <v>9254</v>
      </c>
      <c r="B1861" s="55" t="s">
        <v>40</v>
      </c>
      <c r="C1861" s="55" t="s">
        <v>9034</v>
      </c>
      <c r="D1861" s="55" t="s">
        <v>9255</v>
      </c>
    </row>
    <row r="1862" ht="14.25" customHeight="1">
      <c r="A1862" s="55" t="s">
        <v>9254</v>
      </c>
      <c r="B1862" s="55" t="s">
        <v>40</v>
      </c>
      <c r="C1862" s="55" t="s">
        <v>9034</v>
      </c>
      <c r="D1862" s="55" t="s">
        <v>8978</v>
      </c>
    </row>
    <row r="1863" ht="14.25" customHeight="1">
      <c r="A1863" s="55" t="s">
        <v>9254</v>
      </c>
      <c r="B1863" s="55" t="s">
        <v>40</v>
      </c>
      <c r="C1863" s="55" t="s">
        <v>10733</v>
      </c>
      <c r="D1863" s="55" t="s">
        <v>8978</v>
      </c>
    </row>
    <row r="1864" ht="14.25" customHeight="1">
      <c r="A1864" s="55" t="s">
        <v>9254</v>
      </c>
      <c r="B1864" s="55" t="s">
        <v>40</v>
      </c>
      <c r="C1864" s="55" t="s">
        <v>8969</v>
      </c>
      <c r="D1864" s="55" t="s">
        <v>9256</v>
      </c>
    </row>
    <row r="1865" ht="14.25" customHeight="1">
      <c r="A1865" s="55" t="s">
        <v>9254</v>
      </c>
      <c r="B1865" s="55" t="s">
        <v>40</v>
      </c>
      <c r="C1865" s="55" t="s">
        <v>8969</v>
      </c>
      <c r="D1865" s="55" t="s">
        <v>8978</v>
      </c>
    </row>
    <row r="1866" ht="14.25" customHeight="1">
      <c r="A1866" s="55" t="s">
        <v>9254</v>
      </c>
      <c r="B1866" s="55" t="s">
        <v>40</v>
      </c>
      <c r="C1866" s="55" t="s">
        <v>9257</v>
      </c>
      <c r="D1866" s="55" t="s">
        <v>10734</v>
      </c>
    </row>
    <row r="1867" ht="14.25" customHeight="1">
      <c r="A1867" s="55" t="s">
        <v>9254</v>
      </c>
      <c r="B1867" s="55" t="s">
        <v>40</v>
      </c>
      <c r="C1867" s="55" t="s">
        <v>9257</v>
      </c>
      <c r="D1867" s="55" t="s">
        <v>9258</v>
      </c>
    </row>
    <row r="1868" ht="14.25" customHeight="1">
      <c r="A1868" s="55" t="s">
        <v>9254</v>
      </c>
      <c r="B1868" s="55" t="s">
        <v>40</v>
      </c>
      <c r="C1868" s="55" t="s">
        <v>2379</v>
      </c>
      <c r="D1868" s="55" t="s">
        <v>9258</v>
      </c>
    </row>
    <row r="1869" ht="14.25" customHeight="1">
      <c r="A1869" s="55" t="s">
        <v>9254</v>
      </c>
      <c r="B1869" s="55" t="s">
        <v>40</v>
      </c>
      <c r="C1869" s="55" t="s">
        <v>2444</v>
      </c>
      <c r="D1869" s="55" t="s">
        <v>9867</v>
      </c>
    </row>
    <row r="1870" ht="14.25" customHeight="1">
      <c r="A1870" s="55" t="s">
        <v>9254</v>
      </c>
      <c r="B1870" s="55" t="s">
        <v>40</v>
      </c>
      <c r="C1870" s="55" t="s">
        <v>10170</v>
      </c>
      <c r="D1870" s="55" t="s">
        <v>8978</v>
      </c>
    </row>
    <row r="1871" ht="14.25" customHeight="1">
      <c r="A1871" s="55" t="s">
        <v>9254</v>
      </c>
      <c r="B1871" s="55" t="s">
        <v>40</v>
      </c>
      <c r="C1871" s="55" t="s">
        <v>10735</v>
      </c>
      <c r="D1871" s="55" t="s">
        <v>10736</v>
      </c>
    </row>
    <row r="1872" ht="14.25" customHeight="1">
      <c r="A1872" s="55" t="s">
        <v>9254</v>
      </c>
      <c r="B1872" s="55" t="s">
        <v>40</v>
      </c>
      <c r="C1872" s="55" t="s">
        <v>9259</v>
      </c>
      <c r="D1872" s="55" t="s">
        <v>8978</v>
      </c>
    </row>
    <row r="1873" ht="14.25" customHeight="1">
      <c r="A1873" s="55" t="s">
        <v>9254</v>
      </c>
      <c r="B1873" s="55" t="s">
        <v>40</v>
      </c>
      <c r="C1873" s="55" t="s">
        <v>1889</v>
      </c>
      <c r="D1873" s="55" t="s">
        <v>8978</v>
      </c>
    </row>
    <row r="1874" ht="14.25" customHeight="1">
      <c r="A1874" s="55" t="s">
        <v>9254</v>
      </c>
      <c r="B1874" s="55" t="s">
        <v>40</v>
      </c>
      <c r="C1874" s="55" t="s">
        <v>89</v>
      </c>
      <c r="D1874" s="55" t="s">
        <v>9260</v>
      </c>
    </row>
    <row r="1875" ht="14.25" customHeight="1">
      <c r="A1875" s="55" t="s">
        <v>9254</v>
      </c>
      <c r="B1875" s="55" t="s">
        <v>40</v>
      </c>
      <c r="C1875" s="55" t="s">
        <v>9261</v>
      </c>
      <c r="D1875" s="55" t="s">
        <v>9262</v>
      </c>
    </row>
    <row r="1876" ht="14.25" customHeight="1">
      <c r="A1876" s="55" t="s">
        <v>9254</v>
      </c>
      <c r="B1876" s="55" t="s">
        <v>40</v>
      </c>
      <c r="C1876" s="55" t="s">
        <v>9263</v>
      </c>
      <c r="D1876" s="55" t="s">
        <v>9050</v>
      </c>
    </row>
    <row r="1877" ht="14.25" customHeight="1">
      <c r="A1877" s="55" t="s">
        <v>9254</v>
      </c>
      <c r="B1877" s="55" t="s">
        <v>40</v>
      </c>
      <c r="C1877" s="55" t="s">
        <v>2669</v>
      </c>
      <c r="D1877" s="55" t="s">
        <v>9383</v>
      </c>
    </row>
    <row r="1878" ht="14.25" customHeight="1">
      <c r="A1878" s="55" t="s">
        <v>9254</v>
      </c>
      <c r="B1878" s="55" t="s">
        <v>40</v>
      </c>
      <c r="C1878" s="55" t="s">
        <v>93</v>
      </c>
      <c r="D1878" s="55" t="s">
        <v>8978</v>
      </c>
    </row>
    <row r="1879" ht="14.25" customHeight="1">
      <c r="A1879" s="55" t="s">
        <v>9254</v>
      </c>
      <c r="B1879" s="55" t="s">
        <v>40</v>
      </c>
      <c r="C1879" s="55" t="s">
        <v>9264</v>
      </c>
      <c r="D1879" s="55" t="s">
        <v>9265</v>
      </c>
    </row>
    <row r="1880" ht="14.25" customHeight="1">
      <c r="A1880" s="55" t="s">
        <v>9254</v>
      </c>
      <c r="B1880" s="55" t="s">
        <v>40</v>
      </c>
      <c r="C1880" s="55" t="s">
        <v>96</v>
      </c>
      <c r="D1880" s="55" t="s">
        <v>9508</v>
      </c>
    </row>
    <row r="1881" ht="14.25" customHeight="1">
      <c r="A1881" s="55" t="s">
        <v>9254</v>
      </c>
      <c r="B1881" s="55" t="s">
        <v>40</v>
      </c>
      <c r="C1881" s="55" t="s">
        <v>97</v>
      </c>
      <c r="D1881" s="55" t="s">
        <v>9755</v>
      </c>
    </row>
    <row r="1882" ht="14.25" customHeight="1">
      <c r="A1882" s="55" t="s">
        <v>9254</v>
      </c>
      <c r="B1882" s="55" t="s">
        <v>40</v>
      </c>
      <c r="C1882" s="55" t="s">
        <v>10171</v>
      </c>
      <c r="D1882" s="55" t="s">
        <v>10172</v>
      </c>
    </row>
    <row r="1883" ht="14.25" customHeight="1">
      <c r="A1883" s="55" t="s">
        <v>9254</v>
      </c>
      <c r="B1883" s="55" t="s">
        <v>40</v>
      </c>
      <c r="C1883" s="55" t="s">
        <v>10737</v>
      </c>
      <c r="D1883" s="55" t="s">
        <v>10738</v>
      </c>
    </row>
    <row r="1884" ht="14.25" customHeight="1">
      <c r="A1884" s="55" t="s">
        <v>9254</v>
      </c>
      <c r="B1884" s="55" t="s">
        <v>40</v>
      </c>
      <c r="C1884" s="55" t="s">
        <v>10173</v>
      </c>
      <c r="D1884" s="55" t="s">
        <v>8978</v>
      </c>
    </row>
    <row r="1885" ht="14.25" customHeight="1">
      <c r="A1885" s="55" t="s">
        <v>9254</v>
      </c>
      <c r="B1885" s="55" t="s">
        <v>40</v>
      </c>
      <c r="C1885" s="55" t="s">
        <v>916</v>
      </c>
      <c r="D1885" s="55" t="s">
        <v>10739</v>
      </c>
    </row>
    <row r="1886" ht="14.25" customHeight="1">
      <c r="A1886" s="55" t="s">
        <v>9254</v>
      </c>
      <c r="B1886" s="55" t="s">
        <v>40</v>
      </c>
      <c r="C1886" s="55" t="s">
        <v>916</v>
      </c>
      <c r="D1886" s="55" t="s">
        <v>8978</v>
      </c>
    </row>
    <row r="1887" ht="14.25" customHeight="1">
      <c r="A1887" s="55" t="s">
        <v>9254</v>
      </c>
      <c r="B1887" s="55" t="s">
        <v>40</v>
      </c>
      <c r="C1887" s="55" t="s">
        <v>9630</v>
      </c>
      <c r="D1887" s="55" t="s">
        <v>10740</v>
      </c>
    </row>
    <row r="1888" ht="14.25" customHeight="1">
      <c r="A1888" s="55" t="s">
        <v>9254</v>
      </c>
      <c r="B1888" s="55" t="s">
        <v>40</v>
      </c>
      <c r="C1888" s="55" t="s">
        <v>9630</v>
      </c>
      <c r="D1888" s="55" t="s">
        <v>8978</v>
      </c>
    </row>
    <row r="1889" ht="14.25" customHeight="1">
      <c r="A1889" s="55" t="s">
        <v>9254</v>
      </c>
      <c r="B1889" s="55" t="s">
        <v>40</v>
      </c>
      <c r="C1889" s="55" t="s">
        <v>6182</v>
      </c>
      <c r="D1889" s="55" t="s">
        <v>9266</v>
      </c>
    </row>
    <row r="1890" ht="14.25" customHeight="1">
      <c r="A1890" s="55" t="s">
        <v>9254</v>
      </c>
      <c r="B1890" s="55" t="s">
        <v>40</v>
      </c>
      <c r="C1890" s="55" t="s">
        <v>6182</v>
      </c>
      <c r="D1890" s="55" t="s">
        <v>9289</v>
      </c>
    </row>
    <row r="1891" ht="14.25" customHeight="1">
      <c r="A1891" s="55" t="s">
        <v>9254</v>
      </c>
      <c r="B1891" s="55" t="s">
        <v>40</v>
      </c>
      <c r="C1891" s="55" t="s">
        <v>10741</v>
      </c>
      <c r="D1891" s="55" t="s">
        <v>10742</v>
      </c>
    </row>
    <row r="1892" ht="14.25" customHeight="1">
      <c r="A1892" s="55" t="s">
        <v>9254</v>
      </c>
      <c r="B1892" s="55" t="s">
        <v>40</v>
      </c>
      <c r="C1892" s="55" t="s">
        <v>2928</v>
      </c>
      <c r="D1892" s="55" t="s">
        <v>9258</v>
      </c>
    </row>
    <row r="1893" ht="14.25" customHeight="1">
      <c r="A1893" s="55" t="s">
        <v>9254</v>
      </c>
      <c r="B1893" s="55" t="s">
        <v>40</v>
      </c>
      <c r="C1893" s="55" t="s">
        <v>10743</v>
      </c>
      <c r="D1893" s="55" t="s">
        <v>8978</v>
      </c>
    </row>
    <row r="1894" ht="14.25" customHeight="1">
      <c r="A1894" s="55" t="s">
        <v>9254</v>
      </c>
      <c r="B1894" s="55" t="s">
        <v>40</v>
      </c>
      <c r="C1894" s="55" t="s">
        <v>8981</v>
      </c>
      <c r="D1894" s="55" t="s">
        <v>9267</v>
      </c>
    </row>
    <row r="1895" ht="14.25" customHeight="1">
      <c r="A1895" s="55" t="s">
        <v>9254</v>
      </c>
      <c r="B1895" s="55" t="s">
        <v>40</v>
      </c>
      <c r="C1895" s="55" t="s">
        <v>9268</v>
      </c>
      <c r="D1895" s="55" t="s">
        <v>9269</v>
      </c>
    </row>
    <row r="1896" ht="14.25" customHeight="1">
      <c r="A1896" s="55" t="s">
        <v>9254</v>
      </c>
      <c r="B1896" s="55" t="s">
        <v>40</v>
      </c>
      <c r="C1896" s="55" t="s">
        <v>10744</v>
      </c>
      <c r="D1896" s="55" t="s">
        <v>10633</v>
      </c>
    </row>
    <row r="1897" ht="14.25" customHeight="1">
      <c r="A1897" s="55" t="s">
        <v>9254</v>
      </c>
      <c r="B1897" s="55" t="s">
        <v>40</v>
      </c>
      <c r="C1897" s="55" t="s">
        <v>9270</v>
      </c>
      <c r="D1897" s="55" t="s">
        <v>9271</v>
      </c>
    </row>
    <row r="1898" ht="14.25" customHeight="1">
      <c r="A1898" s="55" t="s">
        <v>9254</v>
      </c>
      <c r="B1898" s="55" t="s">
        <v>40</v>
      </c>
      <c r="C1898" s="55" t="s">
        <v>6298</v>
      </c>
      <c r="D1898" s="55" t="s">
        <v>8978</v>
      </c>
    </row>
    <row r="1899" ht="14.25" customHeight="1">
      <c r="A1899" s="55" t="s">
        <v>9254</v>
      </c>
      <c r="B1899" s="55" t="s">
        <v>40</v>
      </c>
      <c r="C1899" s="55" t="s">
        <v>9426</v>
      </c>
      <c r="D1899" s="55" t="s">
        <v>9258</v>
      </c>
    </row>
    <row r="1900" ht="14.25" customHeight="1">
      <c r="A1900" s="55" t="s">
        <v>9254</v>
      </c>
      <c r="B1900" s="55" t="s">
        <v>40</v>
      </c>
      <c r="C1900" s="55" t="s">
        <v>3138</v>
      </c>
      <c r="D1900" s="55" t="s">
        <v>11475</v>
      </c>
    </row>
    <row r="1901" ht="14.25" customHeight="1">
      <c r="A1901" s="55" t="s">
        <v>9254</v>
      </c>
      <c r="B1901" s="55" t="s">
        <v>40</v>
      </c>
      <c r="C1901" s="55" t="s">
        <v>7967</v>
      </c>
      <c r="D1901" s="55" t="s">
        <v>8978</v>
      </c>
    </row>
    <row r="1902" ht="14.25" customHeight="1">
      <c r="A1902" s="55" t="s">
        <v>9254</v>
      </c>
      <c r="B1902" s="55" t="s">
        <v>40</v>
      </c>
      <c r="C1902" s="55" t="s">
        <v>14160</v>
      </c>
      <c r="D1902" s="55" t="s">
        <v>8976</v>
      </c>
    </row>
    <row r="1903" ht="14.25" customHeight="1">
      <c r="A1903" s="55" t="s">
        <v>9254</v>
      </c>
      <c r="B1903" s="55" t="s">
        <v>40</v>
      </c>
      <c r="C1903" s="55" t="s">
        <v>10745</v>
      </c>
      <c r="D1903" s="55" t="s">
        <v>10746</v>
      </c>
    </row>
    <row r="1904" ht="14.25" customHeight="1">
      <c r="A1904" s="55" t="s">
        <v>9254</v>
      </c>
      <c r="B1904" s="55" t="s">
        <v>40</v>
      </c>
      <c r="C1904" s="55" t="s">
        <v>9272</v>
      </c>
      <c r="D1904" s="55" t="s">
        <v>9273</v>
      </c>
    </row>
    <row r="1905" ht="14.25" customHeight="1">
      <c r="A1905" s="55" t="s">
        <v>9254</v>
      </c>
      <c r="B1905" s="55" t="s">
        <v>40</v>
      </c>
      <c r="C1905" s="55" t="s">
        <v>9272</v>
      </c>
      <c r="D1905" s="55" t="s">
        <v>8968</v>
      </c>
    </row>
    <row r="1906" ht="14.25" customHeight="1">
      <c r="A1906" s="55" t="s">
        <v>9254</v>
      </c>
      <c r="B1906" s="55" t="s">
        <v>40</v>
      </c>
      <c r="C1906" s="55" t="s">
        <v>3313</v>
      </c>
      <c r="D1906" s="55" t="s">
        <v>9368</v>
      </c>
    </row>
    <row r="1907" ht="14.25" customHeight="1">
      <c r="A1907" s="55" t="s">
        <v>9254</v>
      </c>
      <c r="B1907" s="55" t="s">
        <v>40</v>
      </c>
      <c r="C1907" s="55" t="s">
        <v>3313</v>
      </c>
      <c r="D1907" s="55" t="s">
        <v>8978</v>
      </c>
    </row>
    <row r="1908" ht="14.25" customHeight="1">
      <c r="A1908" s="55" t="s">
        <v>9254</v>
      </c>
      <c r="B1908" s="55" t="s">
        <v>40</v>
      </c>
      <c r="C1908" s="55" t="s">
        <v>153</v>
      </c>
      <c r="D1908" s="55" t="s">
        <v>9274</v>
      </c>
    </row>
    <row r="1909" ht="14.25" customHeight="1">
      <c r="A1909" s="55" t="s">
        <v>9254</v>
      </c>
      <c r="B1909" s="55" t="s">
        <v>40</v>
      </c>
      <c r="C1909" s="55" t="s">
        <v>10747</v>
      </c>
      <c r="D1909" s="55" t="s">
        <v>9034</v>
      </c>
    </row>
    <row r="1910" ht="14.25" customHeight="1">
      <c r="A1910" s="55" t="s">
        <v>9254</v>
      </c>
      <c r="B1910" s="55" t="s">
        <v>40</v>
      </c>
      <c r="C1910" s="55" t="s">
        <v>10748</v>
      </c>
      <c r="D1910" s="55" t="s">
        <v>8978</v>
      </c>
    </row>
    <row r="1911" ht="14.25" customHeight="1">
      <c r="A1911" s="55" t="s">
        <v>9254</v>
      </c>
      <c r="B1911" s="55" t="s">
        <v>40</v>
      </c>
      <c r="C1911" s="55" t="s">
        <v>9275</v>
      </c>
      <c r="D1911" s="55" t="s">
        <v>9276</v>
      </c>
    </row>
    <row r="1912" ht="14.25" customHeight="1">
      <c r="A1912" s="55" t="s">
        <v>9254</v>
      </c>
      <c r="B1912" s="55" t="s">
        <v>40</v>
      </c>
      <c r="C1912" s="55" t="s">
        <v>10749</v>
      </c>
      <c r="D1912" s="55" t="s">
        <v>722</v>
      </c>
    </row>
    <row r="1913" ht="14.25" customHeight="1">
      <c r="A1913" s="55" t="s">
        <v>9254</v>
      </c>
      <c r="B1913" s="55" t="s">
        <v>40</v>
      </c>
      <c r="C1913" s="55" t="s">
        <v>173</v>
      </c>
      <c r="D1913" s="55" t="s">
        <v>8978</v>
      </c>
    </row>
    <row r="1914" ht="14.25" customHeight="1">
      <c r="A1914" s="55" t="s">
        <v>9254</v>
      </c>
      <c r="B1914" s="55" t="s">
        <v>40</v>
      </c>
      <c r="C1914" s="55" t="s">
        <v>3566</v>
      </c>
      <c r="D1914" s="55" t="s">
        <v>10174</v>
      </c>
    </row>
    <row r="1915" ht="14.25" customHeight="1">
      <c r="A1915" s="55" t="s">
        <v>9254</v>
      </c>
      <c r="B1915" s="55" t="s">
        <v>40</v>
      </c>
      <c r="C1915" s="55" t="s">
        <v>3566</v>
      </c>
      <c r="D1915" s="55" t="s">
        <v>8978</v>
      </c>
    </row>
    <row r="1916" ht="14.25" customHeight="1">
      <c r="A1916" s="55" t="s">
        <v>9254</v>
      </c>
      <c r="B1916" s="55" t="s">
        <v>40</v>
      </c>
      <c r="C1916" s="55" t="s">
        <v>3566</v>
      </c>
      <c r="D1916" s="55" t="s">
        <v>8976</v>
      </c>
    </row>
    <row r="1917" ht="14.25" customHeight="1">
      <c r="A1917" s="55" t="s">
        <v>9254</v>
      </c>
      <c r="B1917" s="55" t="s">
        <v>40</v>
      </c>
      <c r="C1917" s="55" t="s">
        <v>9277</v>
      </c>
      <c r="D1917" s="55" t="s">
        <v>8978</v>
      </c>
    </row>
    <row r="1918" ht="14.25" customHeight="1">
      <c r="A1918" s="55" t="s">
        <v>9254</v>
      </c>
      <c r="B1918" s="55" t="s">
        <v>40</v>
      </c>
      <c r="C1918" s="55" t="s">
        <v>9278</v>
      </c>
      <c r="D1918" s="55" t="s">
        <v>9279</v>
      </c>
    </row>
    <row r="1919" ht="14.25" customHeight="1">
      <c r="A1919" s="55" t="s">
        <v>9254</v>
      </c>
      <c r="B1919" s="55" t="s">
        <v>40</v>
      </c>
      <c r="C1919" s="55" t="s">
        <v>10750</v>
      </c>
      <c r="D1919" s="55" t="s">
        <v>10751</v>
      </c>
    </row>
    <row r="1920" ht="14.25" customHeight="1">
      <c r="A1920" s="55" t="s">
        <v>9254</v>
      </c>
      <c r="B1920" s="55" t="s">
        <v>40</v>
      </c>
      <c r="C1920" s="55" t="s">
        <v>8996</v>
      </c>
      <c r="D1920" s="55" t="s">
        <v>8978</v>
      </c>
    </row>
    <row r="1921" ht="14.25" customHeight="1">
      <c r="A1921" s="55" t="s">
        <v>9254</v>
      </c>
      <c r="B1921" s="55" t="s">
        <v>40</v>
      </c>
      <c r="C1921" s="55" t="s">
        <v>208</v>
      </c>
      <c r="D1921" s="55" t="s">
        <v>8978</v>
      </c>
    </row>
    <row r="1922" ht="14.25" customHeight="1">
      <c r="A1922" s="55" t="s">
        <v>9254</v>
      </c>
      <c r="B1922" s="55" t="s">
        <v>40</v>
      </c>
      <c r="C1922" s="55" t="s">
        <v>9280</v>
      </c>
      <c r="D1922" s="55" t="s">
        <v>9281</v>
      </c>
    </row>
    <row r="1923" ht="14.25" customHeight="1">
      <c r="A1923" s="55" t="s">
        <v>9254</v>
      </c>
      <c r="B1923" s="55" t="s">
        <v>40</v>
      </c>
      <c r="C1923" s="55" t="s">
        <v>9282</v>
      </c>
      <c r="D1923" s="55" t="s">
        <v>8978</v>
      </c>
    </row>
    <row r="1924" ht="14.25" customHeight="1">
      <c r="A1924" s="55" t="s">
        <v>9254</v>
      </c>
      <c r="B1924" s="55" t="s">
        <v>40</v>
      </c>
      <c r="C1924" s="55" t="s">
        <v>149</v>
      </c>
      <c r="D1924" s="55" t="s">
        <v>10175</v>
      </c>
    </row>
    <row r="1925" ht="14.25" customHeight="1">
      <c r="A1925" s="55" t="s">
        <v>9254</v>
      </c>
      <c r="B1925" s="55" t="s">
        <v>40</v>
      </c>
      <c r="C1925" s="55" t="s">
        <v>218</v>
      </c>
      <c r="D1925" s="55" t="s">
        <v>9258</v>
      </c>
    </row>
    <row r="1926" ht="14.25" customHeight="1">
      <c r="A1926" s="55" t="s">
        <v>9254</v>
      </c>
      <c r="B1926" s="55" t="s">
        <v>40</v>
      </c>
      <c r="C1926" s="55" t="s">
        <v>218</v>
      </c>
      <c r="D1926" s="55" t="s">
        <v>8978</v>
      </c>
    </row>
    <row r="1927" ht="14.25" customHeight="1">
      <c r="A1927" s="55" t="s">
        <v>9254</v>
      </c>
      <c r="B1927" s="55" t="s">
        <v>40</v>
      </c>
      <c r="C1927" s="55" t="s">
        <v>9283</v>
      </c>
      <c r="D1927" s="55" t="s">
        <v>9284</v>
      </c>
    </row>
    <row r="1928" ht="14.25" customHeight="1">
      <c r="A1928" s="55" t="s">
        <v>9254</v>
      </c>
      <c r="B1928" s="55" t="s">
        <v>40</v>
      </c>
      <c r="C1928" s="55" t="s">
        <v>9285</v>
      </c>
      <c r="D1928" s="55" t="s">
        <v>9258</v>
      </c>
    </row>
    <row r="1929" ht="14.25" customHeight="1">
      <c r="A1929" s="55" t="s">
        <v>9254</v>
      </c>
      <c r="B1929" s="55" t="s">
        <v>40</v>
      </c>
      <c r="C1929" s="55" t="s">
        <v>9286</v>
      </c>
      <c r="D1929" s="55" t="s">
        <v>9050</v>
      </c>
    </row>
    <row r="1930" ht="14.25" customHeight="1">
      <c r="A1930" s="55" t="s">
        <v>9254</v>
      </c>
      <c r="B1930" s="55" t="s">
        <v>40</v>
      </c>
      <c r="C1930" s="55" t="s">
        <v>9287</v>
      </c>
      <c r="D1930" s="55" t="s">
        <v>8978</v>
      </c>
    </row>
    <row r="1931" ht="14.25" customHeight="1">
      <c r="A1931" s="55" t="s">
        <v>9254</v>
      </c>
      <c r="B1931" s="55" t="s">
        <v>40</v>
      </c>
      <c r="C1931" s="55" t="s">
        <v>11476</v>
      </c>
      <c r="D1931" s="55" t="s">
        <v>11477</v>
      </c>
    </row>
    <row r="1932" ht="14.25" customHeight="1">
      <c r="A1932" s="55" t="s">
        <v>9254</v>
      </c>
      <c r="B1932" s="55" t="s">
        <v>40</v>
      </c>
      <c r="C1932" s="55" t="s">
        <v>233</v>
      </c>
      <c r="D1932" s="55" t="s">
        <v>9034</v>
      </c>
    </row>
    <row r="1933" ht="14.25" customHeight="1">
      <c r="A1933" s="55" t="s">
        <v>9254</v>
      </c>
      <c r="B1933" s="55" t="s">
        <v>40</v>
      </c>
      <c r="C1933" s="55" t="s">
        <v>4109</v>
      </c>
      <c r="D1933" s="55" t="s">
        <v>9291</v>
      </c>
    </row>
    <row r="1934" ht="14.25" customHeight="1">
      <c r="A1934" s="55" t="s">
        <v>9254</v>
      </c>
      <c r="B1934" s="55" t="s">
        <v>40</v>
      </c>
      <c r="C1934" s="55" t="s">
        <v>10752</v>
      </c>
      <c r="D1934" s="55" t="s">
        <v>9258</v>
      </c>
    </row>
    <row r="1935" ht="14.25" customHeight="1">
      <c r="A1935" s="55" t="s">
        <v>9254</v>
      </c>
      <c r="B1935" s="55" t="s">
        <v>40</v>
      </c>
      <c r="C1935" s="55" t="s">
        <v>8978</v>
      </c>
      <c r="D1935" s="55" t="s">
        <v>9034</v>
      </c>
    </row>
    <row r="1936" ht="14.25" customHeight="1">
      <c r="A1936" s="55" t="s">
        <v>9254</v>
      </c>
      <c r="B1936" s="55" t="s">
        <v>40</v>
      </c>
      <c r="C1936" s="55" t="s">
        <v>9215</v>
      </c>
      <c r="D1936" s="55" t="s">
        <v>10176</v>
      </c>
    </row>
    <row r="1937" ht="14.25" customHeight="1">
      <c r="A1937" s="55" t="s">
        <v>9254</v>
      </c>
      <c r="B1937" s="55" t="s">
        <v>40</v>
      </c>
      <c r="C1937" s="55" t="s">
        <v>4165</v>
      </c>
      <c r="D1937" s="55" t="s">
        <v>9265</v>
      </c>
    </row>
    <row r="1938" ht="14.25" customHeight="1">
      <c r="A1938" s="55" t="s">
        <v>9254</v>
      </c>
      <c r="B1938" s="55" t="s">
        <v>40</v>
      </c>
      <c r="C1938" s="55" t="s">
        <v>10753</v>
      </c>
      <c r="D1938" s="55" t="s">
        <v>9034</v>
      </c>
    </row>
    <row r="1939" ht="14.25" customHeight="1">
      <c r="A1939" s="55" t="s">
        <v>9254</v>
      </c>
      <c r="B1939" s="55" t="s">
        <v>40</v>
      </c>
      <c r="C1939" s="55" t="s">
        <v>4171</v>
      </c>
      <c r="D1939" s="55" t="s">
        <v>8978</v>
      </c>
    </row>
    <row r="1940" ht="14.25" customHeight="1">
      <c r="A1940" s="55" t="s">
        <v>9254</v>
      </c>
      <c r="B1940" s="55" t="s">
        <v>40</v>
      </c>
      <c r="C1940" s="55" t="s">
        <v>9288</v>
      </c>
      <c r="D1940" s="55" t="s">
        <v>9289</v>
      </c>
    </row>
    <row r="1941" ht="14.25" customHeight="1">
      <c r="A1941" s="55" t="s">
        <v>9254</v>
      </c>
      <c r="B1941" s="55" t="s">
        <v>40</v>
      </c>
      <c r="C1941" s="55" t="s">
        <v>10754</v>
      </c>
      <c r="D1941" s="55" t="s">
        <v>9034</v>
      </c>
    </row>
    <row r="1942" ht="14.25" customHeight="1">
      <c r="A1942" s="55" t="s">
        <v>9254</v>
      </c>
      <c r="B1942" s="55" t="s">
        <v>40</v>
      </c>
      <c r="C1942" s="55" t="s">
        <v>9290</v>
      </c>
      <c r="D1942" s="55" t="s">
        <v>8968</v>
      </c>
    </row>
    <row r="1943" ht="14.25" customHeight="1">
      <c r="A1943" s="55" t="s">
        <v>9254</v>
      </c>
      <c r="B1943" s="55" t="s">
        <v>40</v>
      </c>
      <c r="C1943" s="55" t="s">
        <v>9160</v>
      </c>
      <c r="D1943" s="55" t="s">
        <v>9291</v>
      </c>
    </row>
    <row r="1944" ht="14.25" customHeight="1">
      <c r="A1944" s="55" t="s">
        <v>9254</v>
      </c>
      <c r="B1944" s="55" t="s">
        <v>40</v>
      </c>
      <c r="C1944" s="55" t="s">
        <v>9160</v>
      </c>
      <c r="D1944" s="55" t="s">
        <v>9292</v>
      </c>
    </row>
    <row r="1945" ht="14.25" customHeight="1">
      <c r="A1945" s="55" t="s">
        <v>9254</v>
      </c>
      <c r="B1945" s="55" t="s">
        <v>40</v>
      </c>
      <c r="C1945" s="55" t="s">
        <v>262</v>
      </c>
      <c r="D1945" s="55" t="s">
        <v>9755</v>
      </c>
    </row>
    <row r="1946" ht="14.25" customHeight="1">
      <c r="A1946" s="55" t="s">
        <v>9254</v>
      </c>
      <c r="B1946" s="55" t="s">
        <v>40</v>
      </c>
      <c r="C1946" s="55" t="s">
        <v>262</v>
      </c>
      <c r="D1946" s="55" t="s">
        <v>10755</v>
      </c>
    </row>
    <row r="1947" ht="14.25" customHeight="1">
      <c r="A1947" s="55" t="s">
        <v>9254</v>
      </c>
      <c r="B1947" s="55" t="s">
        <v>40</v>
      </c>
      <c r="C1947" s="55" t="s">
        <v>10597</v>
      </c>
      <c r="D1947" s="55" t="s">
        <v>8976</v>
      </c>
    </row>
    <row r="1948" ht="14.25" customHeight="1">
      <c r="A1948" s="55" t="s">
        <v>9254</v>
      </c>
      <c r="B1948" s="55" t="s">
        <v>40</v>
      </c>
      <c r="C1948" s="55" t="s">
        <v>4294</v>
      </c>
      <c r="D1948" s="55" t="s">
        <v>8978</v>
      </c>
    </row>
    <row r="1949" ht="14.25" customHeight="1">
      <c r="A1949" s="55" t="s">
        <v>9254</v>
      </c>
      <c r="B1949" s="55" t="s">
        <v>40</v>
      </c>
      <c r="C1949" s="55" t="s">
        <v>10756</v>
      </c>
      <c r="D1949" s="55" t="s">
        <v>9034</v>
      </c>
    </row>
    <row r="1950" ht="14.25" customHeight="1">
      <c r="A1950" s="55" t="s">
        <v>9254</v>
      </c>
      <c r="B1950" s="55" t="s">
        <v>40</v>
      </c>
      <c r="C1950" s="55" t="s">
        <v>9293</v>
      </c>
      <c r="D1950" s="55" t="s">
        <v>9109</v>
      </c>
    </row>
    <row r="1951" ht="14.25" customHeight="1">
      <c r="A1951" s="55" t="s">
        <v>9254</v>
      </c>
      <c r="B1951" s="55" t="s">
        <v>40</v>
      </c>
      <c r="C1951" s="55" t="s">
        <v>2163</v>
      </c>
      <c r="D1951" s="55" t="s">
        <v>9294</v>
      </c>
    </row>
    <row r="1952" ht="14.25" customHeight="1">
      <c r="A1952" s="55" t="s">
        <v>9254</v>
      </c>
      <c r="B1952" s="55" t="s">
        <v>40</v>
      </c>
      <c r="C1952" s="55" t="s">
        <v>274</v>
      </c>
      <c r="D1952" s="55" t="s">
        <v>10177</v>
      </c>
    </row>
    <row r="1953" ht="14.25" customHeight="1">
      <c r="A1953" s="55" t="s">
        <v>9254</v>
      </c>
      <c r="B1953" s="55" t="s">
        <v>40</v>
      </c>
      <c r="C1953" s="55" t="s">
        <v>274</v>
      </c>
      <c r="D1953" s="55" t="s">
        <v>8978</v>
      </c>
    </row>
    <row r="1954" ht="14.25" customHeight="1">
      <c r="A1954" s="55" t="s">
        <v>9254</v>
      </c>
      <c r="B1954" s="55" t="s">
        <v>40</v>
      </c>
      <c r="C1954" s="55" t="s">
        <v>9295</v>
      </c>
      <c r="D1954" s="55" t="s">
        <v>8978</v>
      </c>
    </row>
    <row r="1955" ht="14.25" customHeight="1">
      <c r="A1955" s="55" t="s">
        <v>9254</v>
      </c>
      <c r="B1955" s="55" t="s">
        <v>40</v>
      </c>
      <c r="C1955" s="55" t="s">
        <v>10757</v>
      </c>
      <c r="D1955" s="55" t="s">
        <v>8978</v>
      </c>
    </row>
    <row r="1956" ht="14.25" customHeight="1">
      <c r="A1956" s="55" t="s">
        <v>9254</v>
      </c>
      <c r="B1956" s="55" t="s">
        <v>40</v>
      </c>
      <c r="C1956" s="55" t="s">
        <v>9296</v>
      </c>
      <c r="D1956" s="55" t="s">
        <v>8978</v>
      </c>
    </row>
    <row r="1957" ht="14.25" customHeight="1">
      <c r="A1957" s="55" t="s">
        <v>9254</v>
      </c>
      <c r="B1957" s="55" t="s">
        <v>40</v>
      </c>
      <c r="C1957" s="55" t="s">
        <v>10758</v>
      </c>
      <c r="D1957" s="55" t="s">
        <v>10759</v>
      </c>
    </row>
    <row r="1958" ht="14.25" customHeight="1">
      <c r="A1958" s="55" t="s">
        <v>9254</v>
      </c>
      <c r="B1958" s="55" t="s">
        <v>40</v>
      </c>
      <c r="C1958" s="55" t="s">
        <v>10758</v>
      </c>
      <c r="D1958" s="55" t="s">
        <v>9266</v>
      </c>
    </row>
    <row r="1959" ht="14.25" customHeight="1">
      <c r="A1959" s="55" t="s">
        <v>9254</v>
      </c>
      <c r="B1959" s="55" t="s">
        <v>40</v>
      </c>
      <c r="C1959" s="55" t="s">
        <v>10760</v>
      </c>
      <c r="D1959" s="55" t="s">
        <v>8978</v>
      </c>
    </row>
    <row r="1960" ht="14.25" customHeight="1">
      <c r="A1960" s="55" t="s">
        <v>9254</v>
      </c>
      <c r="B1960" s="55" t="s">
        <v>40</v>
      </c>
      <c r="C1960" s="55" t="s">
        <v>9297</v>
      </c>
      <c r="D1960" s="55" t="s">
        <v>9298</v>
      </c>
    </row>
    <row r="1961" ht="14.25" customHeight="1">
      <c r="A1961" s="55" t="s">
        <v>9299</v>
      </c>
      <c r="B1961" s="55" t="s">
        <v>40</v>
      </c>
      <c r="C1961" s="55" t="s">
        <v>9034</v>
      </c>
      <c r="D1961" s="55" t="s">
        <v>13659</v>
      </c>
    </row>
    <row r="1962" ht="14.25" customHeight="1">
      <c r="A1962" s="55" t="s">
        <v>9299</v>
      </c>
      <c r="B1962" s="55" t="s">
        <v>40</v>
      </c>
      <c r="C1962" s="55" t="s">
        <v>10767</v>
      </c>
      <c r="D1962" s="55" t="s">
        <v>10219</v>
      </c>
    </row>
    <row r="1963" ht="14.25" customHeight="1">
      <c r="A1963" s="55" t="s">
        <v>9299</v>
      </c>
      <c r="B1963" s="55" t="s">
        <v>40</v>
      </c>
      <c r="C1963" s="55" t="s">
        <v>10767</v>
      </c>
      <c r="D1963" s="55" t="s">
        <v>12053</v>
      </c>
    </row>
    <row r="1964" ht="14.25" customHeight="1">
      <c r="A1964" s="55" t="s">
        <v>9299</v>
      </c>
      <c r="B1964" s="55" t="s">
        <v>40</v>
      </c>
      <c r="C1964" s="55" t="s">
        <v>8969</v>
      </c>
      <c r="D1964" s="55" t="s">
        <v>11478</v>
      </c>
    </row>
    <row r="1965" ht="14.25" customHeight="1">
      <c r="A1965" s="55" t="s">
        <v>9299</v>
      </c>
      <c r="B1965" s="55" t="s">
        <v>40</v>
      </c>
      <c r="C1965" s="55" t="s">
        <v>8969</v>
      </c>
      <c r="D1965" s="55" t="s">
        <v>8978</v>
      </c>
    </row>
    <row r="1966" ht="14.25" customHeight="1">
      <c r="A1966" s="55" t="s">
        <v>9299</v>
      </c>
      <c r="B1966" s="55" t="s">
        <v>40</v>
      </c>
      <c r="C1966" s="55" t="s">
        <v>9310</v>
      </c>
      <c r="D1966" s="55" t="s">
        <v>10199</v>
      </c>
    </row>
    <row r="1967" ht="14.25" customHeight="1">
      <c r="A1967" s="55" t="s">
        <v>9299</v>
      </c>
      <c r="B1967" s="55" t="s">
        <v>40</v>
      </c>
      <c r="C1967" s="55" t="s">
        <v>11684</v>
      </c>
      <c r="D1967" s="55" t="s">
        <v>10150</v>
      </c>
    </row>
    <row r="1968" ht="14.25" customHeight="1">
      <c r="A1968" s="55" t="s">
        <v>9299</v>
      </c>
      <c r="B1968" s="55" t="s">
        <v>40</v>
      </c>
      <c r="C1968" s="55" t="s">
        <v>9313</v>
      </c>
      <c r="D1968" s="55" t="s">
        <v>8978</v>
      </c>
    </row>
    <row r="1969" ht="14.25" customHeight="1">
      <c r="A1969" s="55" t="s">
        <v>9299</v>
      </c>
      <c r="B1969" s="55" t="s">
        <v>40</v>
      </c>
      <c r="C1969" s="55" t="s">
        <v>9416</v>
      </c>
      <c r="D1969" s="55" t="s">
        <v>8978</v>
      </c>
    </row>
    <row r="1970" ht="14.25" customHeight="1">
      <c r="A1970" s="55" t="s">
        <v>9299</v>
      </c>
      <c r="B1970" s="55" t="s">
        <v>40</v>
      </c>
      <c r="C1970" s="55" t="s">
        <v>2444</v>
      </c>
      <c r="D1970" s="55" t="s">
        <v>12610</v>
      </c>
    </row>
    <row r="1971" ht="14.25" customHeight="1">
      <c r="A1971" s="55" t="s">
        <v>9299</v>
      </c>
      <c r="B1971" s="55" t="s">
        <v>40</v>
      </c>
      <c r="C1971" s="55" t="s">
        <v>12815</v>
      </c>
      <c r="D1971" s="55" t="s">
        <v>9265</v>
      </c>
    </row>
    <row r="1972" ht="14.25" customHeight="1">
      <c r="A1972" s="55" t="s">
        <v>9299</v>
      </c>
      <c r="B1972" s="55" t="s">
        <v>40</v>
      </c>
      <c r="C1972" s="55" t="s">
        <v>12054</v>
      </c>
      <c r="D1972" s="55" t="s">
        <v>10734</v>
      </c>
    </row>
    <row r="1973" ht="14.25" customHeight="1">
      <c r="A1973" s="55" t="s">
        <v>9299</v>
      </c>
      <c r="B1973" s="55" t="s">
        <v>40</v>
      </c>
      <c r="C1973" s="55" t="s">
        <v>14161</v>
      </c>
      <c r="D1973" s="55" t="s">
        <v>8978</v>
      </c>
    </row>
    <row r="1974" ht="14.25" customHeight="1">
      <c r="A1974" s="55" t="s">
        <v>9299</v>
      </c>
      <c r="B1974" s="55" t="s">
        <v>40</v>
      </c>
      <c r="C1974" s="55" t="s">
        <v>82</v>
      </c>
      <c r="D1974" s="55" t="s">
        <v>9645</v>
      </c>
    </row>
    <row r="1975" ht="14.25" customHeight="1">
      <c r="A1975" s="55" t="s">
        <v>9299</v>
      </c>
      <c r="B1975" s="55" t="s">
        <v>40</v>
      </c>
      <c r="C1975" s="55" t="s">
        <v>1889</v>
      </c>
      <c r="D1975" s="55" t="s">
        <v>12816</v>
      </c>
    </row>
    <row r="1976" ht="14.25" customHeight="1">
      <c r="A1976" s="55" t="s">
        <v>9299</v>
      </c>
      <c r="B1976" s="55" t="s">
        <v>40</v>
      </c>
      <c r="C1976" s="55" t="s">
        <v>2669</v>
      </c>
      <c r="D1976" s="55" t="s">
        <v>12817</v>
      </c>
    </row>
    <row r="1977" ht="14.25" customHeight="1">
      <c r="A1977" s="55" t="s">
        <v>9299</v>
      </c>
      <c r="B1977" s="55" t="s">
        <v>40</v>
      </c>
      <c r="C1977" s="55" t="s">
        <v>2669</v>
      </c>
      <c r="D1977" s="55" t="s">
        <v>11479</v>
      </c>
    </row>
    <row r="1978" ht="14.25" customHeight="1">
      <c r="A1978" s="55" t="s">
        <v>9299</v>
      </c>
      <c r="B1978" s="55" t="s">
        <v>40</v>
      </c>
      <c r="C1978" s="55" t="s">
        <v>2669</v>
      </c>
      <c r="D1978" s="55" t="s">
        <v>8978</v>
      </c>
    </row>
    <row r="1979" ht="14.25" customHeight="1">
      <c r="A1979" s="55" t="s">
        <v>9299</v>
      </c>
      <c r="B1979" s="55" t="s">
        <v>40</v>
      </c>
      <c r="C1979" s="55" t="s">
        <v>9110</v>
      </c>
      <c r="D1979" s="55" t="s">
        <v>12055</v>
      </c>
    </row>
    <row r="1980" ht="14.25" customHeight="1">
      <c r="A1980" s="55" t="s">
        <v>9299</v>
      </c>
      <c r="B1980" s="55" t="s">
        <v>40</v>
      </c>
      <c r="C1980" s="55" t="s">
        <v>9323</v>
      </c>
      <c r="D1980" s="55" t="s">
        <v>8978</v>
      </c>
    </row>
    <row r="1981" ht="14.25" customHeight="1">
      <c r="A1981" s="55" t="s">
        <v>9299</v>
      </c>
      <c r="B1981" s="55" t="s">
        <v>40</v>
      </c>
      <c r="C1981" s="55" t="s">
        <v>9362</v>
      </c>
      <c r="D1981" s="55" t="s">
        <v>8978</v>
      </c>
    </row>
    <row r="1982" ht="14.25" customHeight="1">
      <c r="A1982" s="55" t="s">
        <v>9299</v>
      </c>
      <c r="B1982" s="55" t="s">
        <v>40</v>
      </c>
      <c r="C1982" s="55" t="s">
        <v>12818</v>
      </c>
      <c r="D1982" s="55" t="s">
        <v>12819</v>
      </c>
    </row>
    <row r="1983" ht="14.25" customHeight="1">
      <c r="A1983" s="55" t="s">
        <v>9299</v>
      </c>
      <c r="B1983" s="55" t="s">
        <v>40</v>
      </c>
      <c r="C1983" s="55" t="s">
        <v>2798</v>
      </c>
      <c r="D1983" s="55" t="s">
        <v>10197</v>
      </c>
    </row>
    <row r="1984" ht="14.25" customHeight="1">
      <c r="A1984" s="55" t="s">
        <v>9299</v>
      </c>
      <c r="B1984" s="55" t="s">
        <v>40</v>
      </c>
      <c r="C1984" s="55" t="s">
        <v>2812</v>
      </c>
      <c r="D1984" s="55" t="s">
        <v>13660</v>
      </c>
    </row>
    <row r="1985" ht="14.25" customHeight="1">
      <c r="A1985" s="55" t="s">
        <v>9299</v>
      </c>
      <c r="B1985" s="55" t="s">
        <v>40</v>
      </c>
      <c r="C1985" s="55" t="s">
        <v>916</v>
      </c>
      <c r="D1985" s="55" t="s">
        <v>14162</v>
      </c>
    </row>
    <row r="1986" ht="14.25" customHeight="1">
      <c r="A1986" s="55" t="s">
        <v>9299</v>
      </c>
      <c r="B1986" s="55" t="s">
        <v>40</v>
      </c>
      <c r="C1986" s="55" t="s">
        <v>916</v>
      </c>
      <c r="D1986" s="55" t="s">
        <v>8978</v>
      </c>
    </row>
    <row r="1987" ht="14.25" customHeight="1">
      <c r="A1987" s="55" t="s">
        <v>9299</v>
      </c>
      <c r="B1987" s="55" t="s">
        <v>40</v>
      </c>
      <c r="C1987" s="55" t="s">
        <v>11480</v>
      </c>
      <c r="D1987" s="55" t="s">
        <v>8978</v>
      </c>
    </row>
    <row r="1988" ht="14.25" customHeight="1">
      <c r="A1988" s="55" t="s">
        <v>9299</v>
      </c>
      <c r="B1988" s="55" t="s">
        <v>40</v>
      </c>
      <c r="C1988" s="55" t="s">
        <v>9121</v>
      </c>
      <c r="D1988" s="55" t="s">
        <v>10222</v>
      </c>
    </row>
    <row r="1989" ht="14.25" customHeight="1">
      <c r="A1989" s="55" t="s">
        <v>9299</v>
      </c>
      <c r="B1989" s="55" t="s">
        <v>40</v>
      </c>
      <c r="C1989" s="55" t="s">
        <v>6182</v>
      </c>
      <c r="D1989" s="55" t="s">
        <v>9430</v>
      </c>
    </row>
    <row r="1990" ht="14.25" customHeight="1">
      <c r="A1990" s="55" t="s">
        <v>9299</v>
      </c>
      <c r="B1990" s="55" t="s">
        <v>40</v>
      </c>
      <c r="C1990" s="55" t="s">
        <v>6182</v>
      </c>
      <c r="D1990" s="55" t="s">
        <v>9266</v>
      </c>
    </row>
    <row r="1991" ht="14.25" customHeight="1">
      <c r="A1991" s="55" t="s">
        <v>9299</v>
      </c>
      <c r="B1991" s="55" t="s">
        <v>40</v>
      </c>
      <c r="C1991" s="55" t="s">
        <v>12820</v>
      </c>
      <c r="D1991" s="55" t="s">
        <v>9289</v>
      </c>
    </row>
    <row r="1992" ht="14.25" customHeight="1">
      <c r="A1992" s="55" t="s">
        <v>9299</v>
      </c>
      <c r="B1992" s="55" t="s">
        <v>40</v>
      </c>
      <c r="C1992" s="55" t="s">
        <v>124</v>
      </c>
      <c r="D1992" s="55" t="s">
        <v>12056</v>
      </c>
    </row>
    <row r="1993" ht="14.25" customHeight="1">
      <c r="A1993" s="55" t="s">
        <v>9299</v>
      </c>
      <c r="B1993" s="55" t="s">
        <v>40</v>
      </c>
      <c r="C1993" s="55" t="s">
        <v>12821</v>
      </c>
      <c r="D1993" s="55" t="s">
        <v>10223</v>
      </c>
    </row>
    <row r="1994" ht="14.25" customHeight="1">
      <c r="A1994" s="55" t="s">
        <v>9299</v>
      </c>
      <c r="B1994" s="55" t="s">
        <v>40</v>
      </c>
      <c r="C1994" s="55" t="s">
        <v>12057</v>
      </c>
      <c r="D1994" s="55" t="s">
        <v>8978</v>
      </c>
    </row>
    <row r="1995" ht="14.25" customHeight="1">
      <c r="A1995" s="55" t="s">
        <v>9299</v>
      </c>
      <c r="B1995" s="55" t="s">
        <v>40</v>
      </c>
      <c r="C1995" s="55" t="s">
        <v>12058</v>
      </c>
      <c r="D1995" s="55" t="s">
        <v>12059</v>
      </c>
    </row>
    <row r="1996" ht="14.25" customHeight="1">
      <c r="A1996" s="55" t="s">
        <v>9299</v>
      </c>
      <c r="B1996" s="55" t="s">
        <v>40</v>
      </c>
      <c r="C1996" s="55" t="s">
        <v>1051</v>
      </c>
      <c r="D1996" s="55" t="s">
        <v>9383</v>
      </c>
    </row>
    <row r="1997" ht="14.25" customHeight="1">
      <c r="A1997" s="55" t="s">
        <v>9299</v>
      </c>
      <c r="B1997" s="55" t="s">
        <v>40</v>
      </c>
      <c r="C1997" s="55" t="s">
        <v>11121</v>
      </c>
      <c r="D1997" s="55" t="s">
        <v>8978</v>
      </c>
    </row>
    <row r="1998" ht="14.25" customHeight="1">
      <c r="A1998" s="55" t="s">
        <v>9299</v>
      </c>
      <c r="B1998" s="55" t="s">
        <v>40</v>
      </c>
      <c r="C1998" s="55" t="s">
        <v>6298</v>
      </c>
      <c r="D1998" s="55" t="s">
        <v>8978</v>
      </c>
    </row>
    <row r="1999" ht="14.25" customHeight="1">
      <c r="A1999" s="55" t="s">
        <v>9299</v>
      </c>
      <c r="B1999" s="55" t="s">
        <v>40</v>
      </c>
      <c r="C1999" s="55" t="s">
        <v>13661</v>
      </c>
      <c r="D1999" s="55" t="s">
        <v>8978</v>
      </c>
    </row>
    <row r="2000" ht="14.25" customHeight="1">
      <c r="A2000" s="55" t="s">
        <v>9299</v>
      </c>
      <c r="B2000" s="55" t="s">
        <v>40</v>
      </c>
      <c r="C2000" s="55" t="s">
        <v>9426</v>
      </c>
      <c r="D2000" s="55" t="s">
        <v>8978</v>
      </c>
    </row>
    <row r="2001" ht="14.25" customHeight="1">
      <c r="A2001" s="55" t="s">
        <v>9299</v>
      </c>
      <c r="B2001" s="55" t="s">
        <v>40</v>
      </c>
      <c r="C2001" s="55" t="s">
        <v>12822</v>
      </c>
      <c r="D2001" s="55" t="s">
        <v>8978</v>
      </c>
    </row>
    <row r="2002" ht="14.25" customHeight="1">
      <c r="A2002" s="55" t="s">
        <v>9299</v>
      </c>
      <c r="B2002" s="55" t="s">
        <v>40</v>
      </c>
      <c r="C2002" s="55" t="s">
        <v>3138</v>
      </c>
      <c r="D2002" s="55" t="s">
        <v>8978</v>
      </c>
    </row>
    <row r="2003" ht="14.25" customHeight="1">
      <c r="A2003" s="55" t="s">
        <v>9299</v>
      </c>
      <c r="B2003" s="55" t="s">
        <v>40</v>
      </c>
      <c r="C2003" s="55" t="s">
        <v>3138</v>
      </c>
      <c r="D2003" s="55" t="s">
        <v>10841</v>
      </c>
    </row>
    <row r="2004" ht="14.25" customHeight="1">
      <c r="A2004" s="55" t="s">
        <v>9299</v>
      </c>
      <c r="B2004" s="55" t="s">
        <v>40</v>
      </c>
      <c r="C2004" s="55" t="s">
        <v>9303</v>
      </c>
      <c r="D2004" s="55" t="s">
        <v>12823</v>
      </c>
    </row>
    <row r="2005" ht="14.25" customHeight="1">
      <c r="A2005" s="55" t="s">
        <v>9299</v>
      </c>
      <c r="B2005" s="55" t="s">
        <v>40</v>
      </c>
      <c r="C2005" s="55" t="s">
        <v>9374</v>
      </c>
      <c r="D2005" s="55" t="s">
        <v>8978</v>
      </c>
    </row>
    <row r="2006" ht="14.25" customHeight="1">
      <c r="A2006" s="55" t="s">
        <v>9299</v>
      </c>
      <c r="B2006" s="55" t="s">
        <v>40</v>
      </c>
      <c r="C2006" s="55" t="s">
        <v>307</v>
      </c>
      <c r="D2006" s="55" t="s">
        <v>10763</v>
      </c>
    </row>
    <row r="2007" ht="14.25" customHeight="1">
      <c r="A2007" s="55" t="s">
        <v>9299</v>
      </c>
      <c r="B2007" s="55" t="s">
        <v>40</v>
      </c>
      <c r="C2007" s="55" t="s">
        <v>153</v>
      </c>
      <c r="D2007" s="55" t="s">
        <v>9289</v>
      </c>
    </row>
    <row r="2008" ht="14.25" customHeight="1">
      <c r="A2008" s="55" t="s">
        <v>9299</v>
      </c>
      <c r="B2008" s="55" t="s">
        <v>40</v>
      </c>
      <c r="C2008" s="55" t="s">
        <v>12824</v>
      </c>
      <c r="D2008" s="55" t="s">
        <v>8978</v>
      </c>
    </row>
    <row r="2009" ht="14.25" customHeight="1">
      <c r="A2009" s="55" t="s">
        <v>9299</v>
      </c>
      <c r="B2009" s="55" t="s">
        <v>40</v>
      </c>
      <c r="C2009" s="55" t="s">
        <v>9329</v>
      </c>
      <c r="D2009" s="55" t="s">
        <v>9867</v>
      </c>
    </row>
    <row r="2010" ht="14.25" customHeight="1">
      <c r="A2010" s="55" t="s">
        <v>9299</v>
      </c>
      <c r="B2010" s="55" t="s">
        <v>40</v>
      </c>
      <c r="C2010" s="55" t="s">
        <v>9329</v>
      </c>
      <c r="D2010" s="55" t="s">
        <v>12060</v>
      </c>
    </row>
    <row r="2011" ht="14.25" customHeight="1">
      <c r="A2011" s="55" t="s">
        <v>9299</v>
      </c>
      <c r="B2011" s="55" t="s">
        <v>40</v>
      </c>
      <c r="C2011" s="55" t="s">
        <v>12825</v>
      </c>
      <c r="D2011" s="55" t="s">
        <v>8978</v>
      </c>
    </row>
    <row r="2012" ht="14.25" customHeight="1">
      <c r="A2012" s="55" t="s">
        <v>9299</v>
      </c>
      <c r="B2012" s="55" t="s">
        <v>40</v>
      </c>
      <c r="C2012" s="55" t="s">
        <v>12826</v>
      </c>
      <c r="D2012" s="55" t="s">
        <v>8978</v>
      </c>
    </row>
    <row r="2013" ht="14.25" customHeight="1">
      <c r="A2013" s="55" t="s">
        <v>9299</v>
      </c>
      <c r="B2013" s="55" t="s">
        <v>40</v>
      </c>
      <c r="C2013" s="55" t="s">
        <v>12061</v>
      </c>
      <c r="D2013" s="55" t="s">
        <v>13662</v>
      </c>
    </row>
    <row r="2014" ht="14.25" customHeight="1">
      <c r="A2014" s="55" t="s">
        <v>9299</v>
      </c>
      <c r="B2014" s="55" t="s">
        <v>40</v>
      </c>
      <c r="C2014" s="55" t="s">
        <v>12061</v>
      </c>
      <c r="D2014" s="55" t="s">
        <v>8978</v>
      </c>
    </row>
    <row r="2015" ht="14.25" customHeight="1">
      <c r="A2015" s="55" t="s">
        <v>9299</v>
      </c>
      <c r="B2015" s="55" t="s">
        <v>40</v>
      </c>
      <c r="C2015" s="55" t="s">
        <v>10818</v>
      </c>
      <c r="D2015" s="55" t="s">
        <v>8978</v>
      </c>
    </row>
    <row r="2016" ht="14.25" customHeight="1">
      <c r="A2016" s="55" t="s">
        <v>9299</v>
      </c>
      <c r="B2016" s="55" t="s">
        <v>40</v>
      </c>
      <c r="C2016" s="55" t="s">
        <v>312</v>
      </c>
      <c r="D2016" s="55" t="s">
        <v>8978</v>
      </c>
    </row>
    <row r="2017" ht="14.25" customHeight="1">
      <c r="A2017" s="55" t="s">
        <v>9299</v>
      </c>
      <c r="B2017" s="55" t="s">
        <v>40</v>
      </c>
      <c r="C2017" s="55" t="s">
        <v>312</v>
      </c>
      <c r="D2017" s="55" t="s">
        <v>9304</v>
      </c>
    </row>
    <row r="2018" ht="14.25" customHeight="1">
      <c r="A2018" s="55" t="s">
        <v>9299</v>
      </c>
      <c r="B2018" s="55" t="s">
        <v>40</v>
      </c>
      <c r="C2018" s="55" t="s">
        <v>312</v>
      </c>
      <c r="D2018" s="55" t="s">
        <v>13663</v>
      </c>
    </row>
    <row r="2019" ht="14.25" customHeight="1">
      <c r="A2019" s="55" t="s">
        <v>9299</v>
      </c>
      <c r="B2019" s="55" t="s">
        <v>40</v>
      </c>
      <c r="C2019" s="55" t="s">
        <v>312</v>
      </c>
      <c r="D2019" s="55" t="s">
        <v>10761</v>
      </c>
    </row>
    <row r="2020" ht="14.25" customHeight="1">
      <c r="A2020" s="55" t="s">
        <v>9299</v>
      </c>
      <c r="B2020" s="55" t="s">
        <v>40</v>
      </c>
      <c r="C2020" s="55" t="s">
        <v>8249</v>
      </c>
      <c r="D2020" s="55" t="s">
        <v>12062</v>
      </c>
    </row>
    <row r="2021" ht="14.25" customHeight="1">
      <c r="A2021" s="55" t="s">
        <v>9299</v>
      </c>
      <c r="B2021" s="55" t="s">
        <v>40</v>
      </c>
      <c r="C2021" s="55" t="s">
        <v>12827</v>
      </c>
      <c r="D2021" s="55" t="s">
        <v>9256</v>
      </c>
    </row>
    <row r="2022" ht="14.25" customHeight="1">
      <c r="A2022" s="55" t="s">
        <v>9299</v>
      </c>
      <c r="B2022" s="55" t="s">
        <v>40</v>
      </c>
      <c r="C2022" s="55" t="s">
        <v>3566</v>
      </c>
      <c r="D2022" s="55" t="s">
        <v>8978</v>
      </c>
    </row>
    <row r="2023" ht="14.25" customHeight="1">
      <c r="A2023" s="55" t="s">
        <v>9299</v>
      </c>
      <c r="B2023" s="55" t="s">
        <v>40</v>
      </c>
      <c r="C2023" s="55" t="s">
        <v>9390</v>
      </c>
      <c r="D2023" s="55" t="s">
        <v>9002</v>
      </c>
    </row>
    <row r="2024" ht="14.25" customHeight="1">
      <c r="A2024" s="55" t="s">
        <v>9299</v>
      </c>
      <c r="B2024" s="55" t="s">
        <v>40</v>
      </c>
      <c r="C2024" s="55" t="s">
        <v>9390</v>
      </c>
      <c r="D2024" s="55" t="s">
        <v>8978</v>
      </c>
    </row>
    <row r="2025" ht="14.25" customHeight="1">
      <c r="A2025" s="55" t="s">
        <v>9299</v>
      </c>
      <c r="B2025" s="55" t="s">
        <v>40</v>
      </c>
      <c r="C2025" s="55" t="s">
        <v>12828</v>
      </c>
      <c r="D2025" s="55" t="s">
        <v>8978</v>
      </c>
    </row>
    <row r="2026" ht="14.25" customHeight="1">
      <c r="A2026" s="55" t="s">
        <v>9299</v>
      </c>
      <c r="B2026" s="55" t="s">
        <v>40</v>
      </c>
      <c r="C2026" s="55" t="s">
        <v>9277</v>
      </c>
      <c r="D2026" s="55" t="s">
        <v>8978</v>
      </c>
    </row>
    <row r="2027" ht="14.25" customHeight="1">
      <c r="A2027" s="55" t="s">
        <v>9299</v>
      </c>
      <c r="B2027" s="55" t="s">
        <v>40</v>
      </c>
      <c r="C2027" s="55" t="s">
        <v>10905</v>
      </c>
      <c r="D2027" s="55" t="s">
        <v>9034</v>
      </c>
    </row>
    <row r="2028" ht="14.25" customHeight="1">
      <c r="A2028" s="55" t="s">
        <v>9299</v>
      </c>
      <c r="B2028" s="55" t="s">
        <v>40</v>
      </c>
      <c r="C2028" s="55" t="s">
        <v>10184</v>
      </c>
      <c r="D2028" s="55" t="s">
        <v>8978</v>
      </c>
    </row>
    <row r="2029" ht="14.25" customHeight="1">
      <c r="A2029" s="55" t="s">
        <v>9299</v>
      </c>
      <c r="B2029" s="55" t="s">
        <v>40</v>
      </c>
      <c r="C2029" s="55" t="s">
        <v>210</v>
      </c>
      <c r="D2029" s="55" t="s">
        <v>12829</v>
      </c>
    </row>
    <row r="2030" ht="14.25" customHeight="1">
      <c r="A2030" s="55" t="s">
        <v>9299</v>
      </c>
      <c r="B2030" s="55" t="s">
        <v>40</v>
      </c>
      <c r="C2030" s="55" t="s">
        <v>218</v>
      </c>
      <c r="D2030" s="55" t="s">
        <v>9258</v>
      </c>
    </row>
    <row r="2031" ht="14.25" customHeight="1">
      <c r="A2031" s="55" t="s">
        <v>9299</v>
      </c>
      <c r="B2031" s="55" t="s">
        <v>40</v>
      </c>
      <c r="C2031" s="55" t="s">
        <v>12830</v>
      </c>
      <c r="D2031" s="55" t="s">
        <v>11596</v>
      </c>
    </row>
    <row r="2032" ht="14.25" customHeight="1">
      <c r="A2032" s="55" t="s">
        <v>9299</v>
      </c>
      <c r="B2032" s="55" t="s">
        <v>40</v>
      </c>
      <c r="C2032" s="55" t="s">
        <v>9286</v>
      </c>
      <c r="D2032" s="55" t="s">
        <v>10197</v>
      </c>
    </row>
    <row r="2033" ht="14.25" customHeight="1">
      <c r="A2033" s="55" t="s">
        <v>9299</v>
      </c>
      <c r="B2033" s="55" t="s">
        <v>40</v>
      </c>
      <c r="C2033" s="55" t="s">
        <v>9333</v>
      </c>
      <c r="D2033" s="55" t="s">
        <v>12831</v>
      </c>
    </row>
    <row r="2034" ht="14.25" customHeight="1">
      <c r="A2034" s="55" t="s">
        <v>9299</v>
      </c>
      <c r="B2034" s="55" t="s">
        <v>40</v>
      </c>
      <c r="C2034" s="55" t="s">
        <v>8997</v>
      </c>
      <c r="D2034" s="55" t="s">
        <v>8976</v>
      </c>
    </row>
    <row r="2035" ht="14.25" customHeight="1">
      <c r="A2035" s="55" t="s">
        <v>9299</v>
      </c>
      <c r="B2035" s="55" t="s">
        <v>40</v>
      </c>
      <c r="C2035" s="55" t="s">
        <v>12063</v>
      </c>
      <c r="D2035" s="55" t="s">
        <v>12064</v>
      </c>
    </row>
    <row r="2036" ht="14.25" customHeight="1">
      <c r="A2036" s="55" t="s">
        <v>9299</v>
      </c>
      <c r="B2036" s="55" t="s">
        <v>40</v>
      </c>
      <c r="C2036" s="55" t="s">
        <v>9090</v>
      </c>
      <c r="D2036" s="55" t="s">
        <v>11481</v>
      </c>
    </row>
    <row r="2037" ht="14.25" customHeight="1">
      <c r="A2037" s="55" t="s">
        <v>9299</v>
      </c>
      <c r="B2037" s="55" t="s">
        <v>40</v>
      </c>
      <c r="C2037" s="55" t="s">
        <v>262</v>
      </c>
      <c r="D2037" s="55" t="s">
        <v>8978</v>
      </c>
    </row>
    <row r="2038" ht="14.25" customHeight="1">
      <c r="A2038" s="55" t="s">
        <v>9299</v>
      </c>
      <c r="B2038" s="55" t="s">
        <v>40</v>
      </c>
      <c r="C2038" s="55" t="s">
        <v>262</v>
      </c>
      <c r="D2038" s="55" t="s">
        <v>9086</v>
      </c>
    </row>
    <row r="2039" ht="14.25" customHeight="1">
      <c r="A2039" s="55" t="s">
        <v>9299</v>
      </c>
      <c r="B2039" s="55" t="s">
        <v>40</v>
      </c>
      <c r="C2039" s="55" t="s">
        <v>11080</v>
      </c>
      <c r="D2039" s="55" t="s">
        <v>9258</v>
      </c>
    </row>
    <row r="2040" ht="14.25" customHeight="1">
      <c r="A2040" s="55" t="s">
        <v>9299</v>
      </c>
      <c r="B2040" s="55" t="s">
        <v>40</v>
      </c>
      <c r="C2040" s="55" t="s">
        <v>11482</v>
      </c>
      <c r="D2040" s="55" t="s">
        <v>9034</v>
      </c>
    </row>
    <row r="2041" ht="14.25" customHeight="1">
      <c r="A2041" s="55" t="s">
        <v>9299</v>
      </c>
      <c r="B2041" s="55" t="s">
        <v>40</v>
      </c>
      <c r="C2041" s="55" t="s">
        <v>9005</v>
      </c>
      <c r="D2041" s="55" t="s">
        <v>12832</v>
      </c>
    </row>
    <row r="2042" ht="14.25" customHeight="1">
      <c r="A2042" s="55" t="s">
        <v>9299</v>
      </c>
      <c r="B2042" s="55" t="s">
        <v>40</v>
      </c>
      <c r="C2042" s="55" t="s">
        <v>2163</v>
      </c>
      <c r="D2042" s="55" t="s">
        <v>9021</v>
      </c>
    </row>
    <row r="2043" ht="14.25" customHeight="1">
      <c r="A2043" s="55" t="s">
        <v>9299</v>
      </c>
      <c r="B2043" s="55" t="s">
        <v>41</v>
      </c>
      <c r="C2043" s="55" t="s">
        <v>8969</v>
      </c>
      <c r="D2043" s="55" t="s">
        <v>9256</v>
      </c>
    </row>
    <row r="2044" ht="14.25" customHeight="1">
      <c r="A2044" s="55" t="s">
        <v>9299</v>
      </c>
      <c r="B2044" s="55" t="s">
        <v>41</v>
      </c>
      <c r="C2044" s="55" t="s">
        <v>9313</v>
      </c>
      <c r="D2044" s="55" t="s">
        <v>9867</v>
      </c>
    </row>
    <row r="2045" ht="14.25" customHeight="1">
      <c r="A2045" s="55" t="s">
        <v>9299</v>
      </c>
      <c r="B2045" s="55" t="s">
        <v>41</v>
      </c>
      <c r="C2045" s="55" t="s">
        <v>9300</v>
      </c>
      <c r="D2045" s="55" t="s">
        <v>9301</v>
      </c>
    </row>
    <row r="2046" ht="14.25" customHeight="1">
      <c r="A2046" s="55" t="s">
        <v>9299</v>
      </c>
      <c r="B2046" s="55" t="s">
        <v>41</v>
      </c>
      <c r="C2046" s="55" t="s">
        <v>9302</v>
      </c>
      <c r="D2046" s="55" t="s">
        <v>8968</v>
      </c>
    </row>
    <row r="2047" ht="14.25" customHeight="1">
      <c r="A2047" s="55" t="s">
        <v>9299</v>
      </c>
      <c r="B2047" s="55" t="s">
        <v>41</v>
      </c>
      <c r="C2047" s="55" t="s">
        <v>9426</v>
      </c>
      <c r="D2047" s="55" t="s">
        <v>9256</v>
      </c>
    </row>
    <row r="2048" ht="14.25" customHeight="1">
      <c r="A2048" s="55" t="s">
        <v>9299</v>
      </c>
      <c r="B2048" s="55" t="s">
        <v>41</v>
      </c>
      <c r="C2048" s="55" t="s">
        <v>3138</v>
      </c>
      <c r="D2048" s="55" t="s">
        <v>8978</v>
      </c>
    </row>
    <row r="2049" ht="14.25" customHeight="1">
      <c r="A2049" s="55" t="s">
        <v>9299</v>
      </c>
      <c r="B2049" s="55" t="s">
        <v>41</v>
      </c>
      <c r="C2049" s="55" t="s">
        <v>9303</v>
      </c>
      <c r="D2049" s="55" t="s">
        <v>9304</v>
      </c>
    </row>
    <row r="2050" ht="14.25" customHeight="1">
      <c r="A2050" s="55" t="s">
        <v>9299</v>
      </c>
      <c r="B2050" s="55" t="s">
        <v>41</v>
      </c>
      <c r="C2050" s="55" t="s">
        <v>10762</v>
      </c>
      <c r="D2050" s="55" t="s">
        <v>8968</v>
      </c>
    </row>
    <row r="2051" ht="14.25" customHeight="1">
      <c r="A2051" s="55" t="s">
        <v>9299</v>
      </c>
      <c r="B2051" s="55" t="s">
        <v>41</v>
      </c>
      <c r="C2051" s="55" t="s">
        <v>9333</v>
      </c>
      <c r="D2051" s="55" t="s">
        <v>10763</v>
      </c>
    </row>
    <row r="2052" ht="14.25" customHeight="1">
      <c r="A2052" s="55" t="s">
        <v>9299</v>
      </c>
      <c r="B2052" s="55" t="s">
        <v>41</v>
      </c>
      <c r="C2052" s="55" t="s">
        <v>9160</v>
      </c>
      <c r="D2052" s="55" t="s">
        <v>9305</v>
      </c>
    </row>
    <row r="2053" ht="14.25" customHeight="1">
      <c r="A2053" s="55" t="s">
        <v>9299</v>
      </c>
      <c r="B2053" s="55" t="s">
        <v>13</v>
      </c>
      <c r="C2053" s="55" t="s">
        <v>9034</v>
      </c>
      <c r="D2053" s="55" t="s">
        <v>10764</v>
      </c>
    </row>
    <row r="2054" ht="14.25" customHeight="1">
      <c r="A2054" s="55" t="s">
        <v>9299</v>
      </c>
      <c r="B2054" s="55" t="s">
        <v>13</v>
      </c>
      <c r="C2054" s="55" t="s">
        <v>8969</v>
      </c>
      <c r="D2054" s="55" t="s">
        <v>9306</v>
      </c>
    </row>
    <row r="2055" ht="14.25" customHeight="1">
      <c r="A2055" s="55" t="s">
        <v>9299</v>
      </c>
      <c r="B2055" s="55" t="s">
        <v>13</v>
      </c>
      <c r="C2055" s="55" t="s">
        <v>10178</v>
      </c>
      <c r="D2055" s="55" t="s">
        <v>10179</v>
      </c>
    </row>
    <row r="2056" ht="14.25" customHeight="1">
      <c r="A2056" s="55" t="s">
        <v>9299</v>
      </c>
      <c r="B2056" s="55" t="s">
        <v>13</v>
      </c>
      <c r="C2056" s="55" t="s">
        <v>90</v>
      </c>
      <c r="D2056" s="55" t="s">
        <v>10605</v>
      </c>
    </row>
    <row r="2057" ht="14.25" customHeight="1">
      <c r="A2057" s="55" t="s">
        <v>9299</v>
      </c>
      <c r="B2057" s="55" t="s">
        <v>13</v>
      </c>
      <c r="C2057" s="55" t="s">
        <v>12833</v>
      </c>
      <c r="D2057" s="55" t="s">
        <v>10794</v>
      </c>
    </row>
    <row r="2058" ht="14.25" customHeight="1">
      <c r="A2058" s="55" t="s">
        <v>9299</v>
      </c>
      <c r="B2058" s="55" t="s">
        <v>13</v>
      </c>
      <c r="C2058" s="55" t="s">
        <v>9374</v>
      </c>
      <c r="D2058" s="55" t="s">
        <v>8978</v>
      </c>
    </row>
    <row r="2059" ht="14.25" customHeight="1">
      <c r="A2059" s="55" t="s">
        <v>9299</v>
      </c>
      <c r="B2059" s="55" t="s">
        <v>13</v>
      </c>
      <c r="C2059" s="55" t="s">
        <v>9329</v>
      </c>
      <c r="D2059" s="55" t="s">
        <v>9034</v>
      </c>
    </row>
    <row r="2060" ht="14.25" customHeight="1">
      <c r="A2060" s="55" t="s">
        <v>9299</v>
      </c>
      <c r="B2060" s="55" t="s">
        <v>13</v>
      </c>
      <c r="C2060" s="55" t="s">
        <v>9329</v>
      </c>
      <c r="D2060" s="55" t="s">
        <v>12834</v>
      </c>
    </row>
    <row r="2061" ht="14.25" customHeight="1">
      <c r="A2061" s="55" t="s">
        <v>9299</v>
      </c>
      <c r="B2061" s="55" t="s">
        <v>13</v>
      </c>
      <c r="C2061" s="55" t="s">
        <v>10683</v>
      </c>
      <c r="D2061" s="55" t="s">
        <v>10765</v>
      </c>
    </row>
    <row r="2062" ht="14.25" customHeight="1">
      <c r="A2062" s="55" t="s">
        <v>9299</v>
      </c>
      <c r="B2062" s="55" t="s">
        <v>13</v>
      </c>
      <c r="C2062" s="55" t="s">
        <v>10766</v>
      </c>
      <c r="D2062" s="55" t="s">
        <v>9440</v>
      </c>
    </row>
    <row r="2063" ht="14.25" customHeight="1">
      <c r="A2063" s="55" t="s">
        <v>9299</v>
      </c>
      <c r="B2063" s="55" t="s">
        <v>13</v>
      </c>
      <c r="C2063" s="55" t="s">
        <v>9307</v>
      </c>
      <c r="D2063" s="55" t="s">
        <v>9308</v>
      </c>
    </row>
    <row r="2064" ht="14.25" customHeight="1">
      <c r="A2064" s="55" t="s">
        <v>9299</v>
      </c>
      <c r="B2064" s="55" t="s">
        <v>13</v>
      </c>
      <c r="C2064" s="55" t="s">
        <v>9333</v>
      </c>
      <c r="D2064" s="55" t="s">
        <v>10180</v>
      </c>
    </row>
    <row r="2065" ht="14.25" customHeight="1">
      <c r="A2065" s="55" t="s">
        <v>9299</v>
      </c>
      <c r="B2065" s="55" t="s">
        <v>13</v>
      </c>
      <c r="C2065" s="55" t="s">
        <v>9090</v>
      </c>
      <c r="D2065" s="55" t="s">
        <v>10608</v>
      </c>
    </row>
    <row r="2066" ht="14.25" customHeight="1">
      <c r="A2066" s="55" t="s">
        <v>9309</v>
      </c>
      <c r="B2066" s="55" t="s">
        <v>40</v>
      </c>
      <c r="C2066" s="55" t="s">
        <v>8969</v>
      </c>
      <c r="D2066" s="55" t="s">
        <v>8978</v>
      </c>
    </row>
    <row r="2067" ht="14.25" customHeight="1">
      <c r="A2067" s="55" t="s">
        <v>9309</v>
      </c>
      <c r="B2067" s="55" t="s">
        <v>40</v>
      </c>
      <c r="C2067" s="55" t="s">
        <v>12835</v>
      </c>
      <c r="D2067" s="55" t="s">
        <v>8978</v>
      </c>
    </row>
    <row r="2068" ht="14.25" customHeight="1">
      <c r="A2068" s="55" t="s">
        <v>9309</v>
      </c>
      <c r="B2068" s="55" t="s">
        <v>40</v>
      </c>
      <c r="C2068" s="55" t="s">
        <v>9257</v>
      </c>
      <c r="D2068" s="55" t="s">
        <v>8978</v>
      </c>
    </row>
    <row r="2069" ht="14.25" customHeight="1">
      <c r="A2069" s="55" t="s">
        <v>9309</v>
      </c>
      <c r="B2069" s="55" t="s">
        <v>40</v>
      </c>
      <c r="C2069" s="55" t="s">
        <v>9310</v>
      </c>
      <c r="D2069" s="55" t="s">
        <v>10763</v>
      </c>
    </row>
    <row r="2070" ht="14.25" customHeight="1">
      <c r="A2070" s="55" t="s">
        <v>9309</v>
      </c>
      <c r="B2070" s="55" t="s">
        <v>40</v>
      </c>
      <c r="C2070" s="55" t="s">
        <v>9310</v>
      </c>
      <c r="D2070" s="55" t="s">
        <v>10219</v>
      </c>
    </row>
    <row r="2071" ht="14.25" customHeight="1">
      <c r="A2071" s="55" t="s">
        <v>9309</v>
      </c>
      <c r="B2071" s="55" t="s">
        <v>40</v>
      </c>
      <c r="C2071" s="55" t="s">
        <v>9310</v>
      </c>
      <c r="D2071" s="55" t="s">
        <v>9311</v>
      </c>
    </row>
    <row r="2072" ht="14.25" customHeight="1">
      <c r="A2072" s="55" t="s">
        <v>9309</v>
      </c>
      <c r="B2072" s="55" t="s">
        <v>40</v>
      </c>
      <c r="C2072" s="55" t="s">
        <v>11684</v>
      </c>
      <c r="D2072" s="55" t="s">
        <v>8978</v>
      </c>
    </row>
    <row r="2073" ht="14.25" customHeight="1">
      <c r="A2073" s="55" t="s">
        <v>9309</v>
      </c>
      <c r="B2073" s="55" t="s">
        <v>40</v>
      </c>
      <c r="C2073" s="55" t="s">
        <v>9416</v>
      </c>
      <c r="D2073" s="55" t="s">
        <v>8978</v>
      </c>
    </row>
    <row r="2074" ht="14.25" customHeight="1">
      <c r="A2074" s="55" t="s">
        <v>9309</v>
      </c>
      <c r="B2074" s="55" t="s">
        <v>40</v>
      </c>
      <c r="C2074" s="55" t="s">
        <v>2444</v>
      </c>
      <c r="D2074" s="55" t="s">
        <v>13664</v>
      </c>
    </row>
    <row r="2075" ht="14.25" customHeight="1">
      <c r="A2075" s="55" t="s">
        <v>9309</v>
      </c>
      <c r="B2075" s="55" t="s">
        <v>40</v>
      </c>
      <c r="C2075" s="55" t="s">
        <v>9351</v>
      </c>
      <c r="D2075" s="55" t="s">
        <v>13665</v>
      </c>
    </row>
    <row r="2076" ht="14.25" customHeight="1">
      <c r="A2076" s="55" t="s">
        <v>9309</v>
      </c>
      <c r="B2076" s="55" t="s">
        <v>40</v>
      </c>
      <c r="C2076" s="55" t="s">
        <v>12836</v>
      </c>
      <c r="D2076" s="55" t="s">
        <v>9168</v>
      </c>
    </row>
    <row r="2077" ht="14.25" customHeight="1">
      <c r="A2077" s="55" t="s">
        <v>9309</v>
      </c>
      <c r="B2077" s="55" t="s">
        <v>40</v>
      </c>
      <c r="C2077" s="55" t="s">
        <v>9810</v>
      </c>
      <c r="D2077" s="55" t="s">
        <v>12065</v>
      </c>
    </row>
    <row r="2078" ht="14.25" customHeight="1">
      <c r="A2078" s="55" t="s">
        <v>9309</v>
      </c>
      <c r="B2078" s="55" t="s">
        <v>40</v>
      </c>
      <c r="C2078" s="55" t="s">
        <v>9015</v>
      </c>
      <c r="D2078" s="55" t="s">
        <v>10199</v>
      </c>
    </row>
    <row r="2079" ht="14.25" customHeight="1">
      <c r="A2079" s="55" t="s">
        <v>9309</v>
      </c>
      <c r="B2079" s="55" t="s">
        <v>40</v>
      </c>
      <c r="C2079" s="55" t="s">
        <v>14163</v>
      </c>
      <c r="D2079" s="55" t="s">
        <v>8978</v>
      </c>
    </row>
    <row r="2080" ht="14.25" customHeight="1">
      <c r="A2080" s="55" t="s">
        <v>9309</v>
      </c>
      <c r="B2080" s="55" t="s">
        <v>40</v>
      </c>
      <c r="C2080" s="55" t="s">
        <v>9357</v>
      </c>
      <c r="D2080" s="55" t="s">
        <v>8978</v>
      </c>
    </row>
    <row r="2081" ht="14.25" customHeight="1">
      <c r="A2081" s="55" t="s">
        <v>9309</v>
      </c>
      <c r="B2081" s="55" t="s">
        <v>40</v>
      </c>
      <c r="C2081" s="55" t="s">
        <v>1889</v>
      </c>
      <c r="D2081" s="55" t="s">
        <v>8978</v>
      </c>
    </row>
    <row r="2082" ht="14.25" customHeight="1">
      <c r="A2082" s="55" t="s">
        <v>9309</v>
      </c>
      <c r="B2082" s="55" t="s">
        <v>40</v>
      </c>
      <c r="C2082" s="55" t="s">
        <v>9261</v>
      </c>
      <c r="D2082" s="55" t="s">
        <v>14164</v>
      </c>
    </row>
    <row r="2083" ht="14.25" customHeight="1">
      <c r="A2083" s="55" t="s">
        <v>9309</v>
      </c>
      <c r="B2083" s="55" t="s">
        <v>40</v>
      </c>
      <c r="C2083" s="55" t="s">
        <v>9320</v>
      </c>
      <c r="D2083" s="55" t="s">
        <v>12837</v>
      </c>
    </row>
    <row r="2084" ht="14.25" customHeight="1">
      <c r="A2084" s="55" t="s">
        <v>9309</v>
      </c>
      <c r="B2084" s="55" t="s">
        <v>40</v>
      </c>
      <c r="C2084" s="55" t="s">
        <v>2669</v>
      </c>
      <c r="D2084" s="55" t="s">
        <v>8978</v>
      </c>
    </row>
    <row r="2085" ht="14.25" customHeight="1">
      <c r="A2085" s="55" t="s">
        <v>9309</v>
      </c>
      <c r="B2085" s="55" t="s">
        <v>40</v>
      </c>
      <c r="C2085" s="55" t="s">
        <v>9302</v>
      </c>
      <c r="D2085" s="55" t="s">
        <v>8978</v>
      </c>
    </row>
    <row r="2086" ht="14.25" customHeight="1">
      <c r="A2086" s="55" t="s">
        <v>9309</v>
      </c>
      <c r="B2086" s="55" t="s">
        <v>40</v>
      </c>
      <c r="C2086" s="55" t="s">
        <v>9361</v>
      </c>
      <c r="D2086" s="55" t="s">
        <v>8978</v>
      </c>
    </row>
    <row r="2087" ht="14.25" customHeight="1">
      <c r="A2087" s="55" t="s">
        <v>9309</v>
      </c>
      <c r="B2087" s="55" t="s">
        <v>40</v>
      </c>
      <c r="C2087" s="55" t="s">
        <v>9469</v>
      </c>
      <c r="D2087" s="55" t="s">
        <v>12838</v>
      </c>
    </row>
    <row r="2088" ht="14.25" customHeight="1">
      <c r="A2088" s="55" t="s">
        <v>9309</v>
      </c>
      <c r="B2088" s="55" t="s">
        <v>40</v>
      </c>
      <c r="C2088" s="55" t="s">
        <v>10660</v>
      </c>
      <c r="D2088" s="55" t="s">
        <v>8978</v>
      </c>
    </row>
    <row r="2089" ht="14.25" customHeight="1">
      <c r="A2089" s="55" t="s">
        <v>9309</v>
      </c>
      <c r="B2089" s="55" t="s">
        <v>40</v>
      </c>
      <c r="C2089" s="55" t="s">
        <v>9322</v>
      </c>
      <c r="D2089" s="55" t="s">
        <v>9086</v>
      </c>
    </row>
    <row r="2090" ht="14.25" customHeight="1">
      <c r="A2090" s="55" t="s">
        <v>9309</v>
      </c>
      <c r="B2090" s="55" t="s">
        <v>40</v>
      </c>
      <c r="C2090" s="55" t="s">
        <v>10804</v>
      </c>
      <c r="D2090" s="55" t="s">
        <v>9258</v>
      </c>
    </row>
    <row r="2091" ht="14.25" customHeight="1">
      <c r="A2091" s="55" t="s">
        <v>9309</v>
      </c>
      <c r="B2091" s="55" t="s">
        <v>40</v>
      </c>
      <c r="C2091" s="55" t="s">
        <v>2798</v>
      </c>
      <c r="D2091" s="55" t="s">
        <v>8978</v>
      </c>
    </row>
    <row r="2092" ht="14.25" customHeight="1">
      <c r="A2092" s="55" t="s">
        <v>9309</v>
      </c>
      <c r="B2092" s="55" t="s">
        <v>40</v>
      </c>
      <c r="C2092" s="55" t="s">
        <v>2798</v>
      </c>
      <c r="D2092" s="55" t="s">
        <v>9637</v>
      </c>
    </row>
    <row r="2093" ht="14.25" customHeight="1">
      <c r="A2093" s="55" t="s">
        <v>9309</v>
      </c>
      <c r="B2093" s="55" t="s">
        <v>40</v>
      </c>
      <c r="C2093" s="55" t="s">
        <v>10962</v>
      </c>
      <c r="D2093" s="55" t="s">
        <v>9131</v>
      </c>
    </row>
    <row r="2094" ht="14.25" customHeight="1">
      <c r="A2094" s="55" t="s">
        <v>9309</v>
      </c>
      <c r="B2094" s="55" t="s">
        <v>40</v>
      </c>
      <c r="C2094" s="55" t="s">
        <v>916</v>
      </c>
      <c r="D2094" s="55" t="s">
        <v>9867</v>
      </c>
    </row>
    <row r="2095" ht="14.25" customHeight="1">
      <c r="A2095" s="55" t="s">
        <v>9309</v>
      </c>
      <c r="B2095" s="55" t="s">
        <v>40</v>
      </c>
      <c r="C2095" s="55" t="s">
        <v>916</v>
      </c>
      <c r="D2095" s="55" t="s">
        <v>8978</v>
      </c>
    </row>
    <row r="2096" ht="14.25" customHeight="1">
      <c r="A2096" s="55" t="s">
        <v>9309</v>
      </c>
      <c r="B2096" s="55" t="s">
        <v>40</v>
      </c>
      <c r="C2096" s="55" t="s">
        <v>10387</v>
      </c>
      <c r="D2096" s="55" t="s">
        <v>13666</v>
      </c>
    </row>
    <row r="2097" ht="14.25" customHeight="1">
      <c r="A2097" s="55" t="s">
        <v>9309</v>
      </c>
      <c r="B2097" s="55" t="s">
        <v>40</v>
      </c>
      <c r="C2097" s="55" t="s">
        <v>13667</v>
      </c>
      <c r="D2097" s="55" t="s">
        <v>13668</v>
      </c>
    </row>
    <row r="2098" ht="14.25" customHeight="1">
      <c r="A2098" s="55" t="s">
        <v>9309</v>
      </c>
      <c r="B2098" s="55" t="s">
        <v>40</v>
      </c>
      <c r="C2098" s="55" t="s">
        <v>6182</v>
      </c>
      <c r="D2098" s="55" t="s">
        <v>9430</v>
      </c>
    </row>
    <row r="2099" ht="14.25" customHeight="1">
      <c r="A2099" s="55" t="s">
        <v>9309</v>
      </c>
      <c r="B2099" s="55" t="s">
        <v>40</v>
      </c>
      <c r="C2099" s="55" t="s">
        <v>124</v>
      </c>
      <c r="D2099" s="55" t="s">
        <v>9258</v>
      </c>
    </row>
    <row r="2100" ht="14.25" customHeight="1">
      <c r="A2100" s="55" t="s">
        <v>9309</v>
      </c>
      <c r="B2100" s="55" t="s">
        <v>40</v>
      </c>
      <c r="C2100" s="55" t="s">
        <v>9133</v>
      </c>
      <c r="D2100" s="55" t="s">
        <v>9485</v>
      </c>
    </row>
    <row r="2101" ht="14.25" customHeight="1">
      <c r="A2101" s="55" t="s">
        <v>9309</v>
      </c>
      <c r="B2101" s="55" t="s">
        <v>40</v>
      </c>
      <c r="C2101" s="55" t="s">
        <v>6246</v>
      </c>
      <c r="D2101" s="55" t="s">
        <v>12066</v>
      </c>
    </row>
    <row r="2102" ht="14.25" customHeight="1">
      <c r="A2102" s="55" t="s">
        <v>9309</v>
      </c>
      <c r="B2102" s="55" t="s">
        <v>40</v>
      </c>
      <c r="C2102" s="55" t="s">
        <v>3138</v>
      </c>
      <c r="D2102" s="55" t="s">
        <v>9258</v>
      </c>
    </row>
    <row r="2103" ht="14.25" customHeight="1">
      <c r="A2103" s="55" t="s">
        <v>9309</v>
      </c>
      <c r="B2103" s="55" t="s">
        <v>40</v>
      </c>
      <c r="C2103" s="55" t="s">
        <v>3138</v>
      </c>
      <c r="D2103" s="55" t="s">
        <v>8978</v>
      </c>
    </row>
    <row r="2104" ht="14.25" customHeight="1">
      <c r="A2104" s="55" t="s">
        <v>9309</v>
      </c>
      <c r="B2104" s="55" t="s">
        <v>40</v>
      </c>
      <c r="C2104" s="55" t="s">
        <v>11483</v>
      </c>
      <c r="D2104" s="55" t="s">
        <v>11484</v>
      </c>
    </row>
    <row r="2105" ht="14.25" customHeight="1">
      <c r="A2105" s="55" t="s">
        <v>9309</v>
      </c>
      <c r="B2105" s="55" t="s">
        <v>40</v>
      </c>
      <c r="C2105" s="55" t="s">
        <v>9303</v>
      </c>
      <c r="D2105" s="55" t="s">
        <v>8978</v>
      </c>
    </row>
    <row r="2106" ht="14.25" customHeight="1">
      <c r="A2106" s="55" t="s">
        <v>9309</v>
      </c>
      <c r="B2106" s="55" t="s">
        <v>40</v>
      </c>
      <c r="C2106" s="55" t="s">
        <v>6405</v>
      </c>
      <c r="D2106" s="55" t="s">
        <v>8978</v>
      </c>
    </row>
    <row r="2107" ht="14.25" customHeight="1">
      <c r="A2107" s="55" t="s">
        <v>9309</v>
      </c>
      <c r="B2107" s="55" t="s">
        <v>40</v>
      </c>
      <c r="C2107" s="55" t="s">
        <v>6405</v>
      </c>
      <c r="D2107" s="55" t="s">
        <v>11485</v>
      </c>
    </row>
    <row r="2108" ht="14.25" customHeight="1">
      <c r="A2108" s="55" t="s">
        <v>9309</v>
      </c>
      <c r="B2108" s="55" t="s">
        <v>40</v>
      </c>
      <c r="C2108" s="55" t="s">
        <v>153</v>
      </c>
      <c r="D2108" s="55" t="s">
        <v>9867</v>
      </c>
    </row>
    <row r="2109" ht="14.25" customHeight="1">
      <c r="A2109" s="55" t="s">
        <v>9309</v>
      </c>
      <c r="B2109" s="55" t="s">
        <v>40</v>
      </c>
      <c r="C2109" s="55" t="s">
        <v>153</v>
      </c>
      <c r="D2109" s="55" t="s">
        <v>12839</v>
      </c>
    </row>
    <row r="2110" ht="14.25" customHeight="1">
      <c r="A2110" s="55" t="s">
        <v>9309</v>
      </c>
      <c r="B2110" s="55" t="s">
        <v>40</v>
      </c>
      <c r="C2110" s="55" t="s">
        <v>153</v>
      </c>
      <c r="D2110" s="55" t="s">
        <v>9341</v>
      </c>
    </row>
    <row r="2111" ht="14.25" customHeight="1">
      <c r="A2111" s="55" t="s">
        <v>9309</v>
      </c>
      <c r="B2111" s="55" t="s">
        <v>40</v>
      </c>
      <c r="C2111" s="55" t="s">
        <v>9329</v>
      </c>
      <c r="D2111" s="55" t="s">
        <v>9258</v>
      </c>
    </row>
    <row r="2112" ht="14.25" customHeight="1">
      <c r="A2112" s="55" t="s">
        <v>9309</v>
      </c>
      <c r="B2112" s="55" t="s">
        <v>40</v>
      </c>
      <c r="C2112" s="55" t="s">
        <v>9329</v>
      </c>
      <c r="D2112" s="55" t="s">
        <v>9256</v>
      </c>
    </row>
    <row r="2113" ht="14.25" customHeight="1">
      <c r="A2113" s="55" t="s">
        <v>9309</v>
      </c>
      <c r="B2113" s="55" t="s">
        <v>40</v>
      </c>
      <c r="C2113" s="55" t="s">
        <v>9329</v>
      </c>
      <c r="D2113" s="55" t="s">
        <v>9086</v>
      </c>
    </row>
    <row r="2114" ht="14.25" customHeight="1">
      <c r="A2114" s="55" t="s">
        <v>9309</v>
      </c>
      <c r="B2114" s="55" t="s">
        <v>40</v>
      </c>
      <c r="C2114" s="55" t="s">
        <v>12067</v>
      </c>
      <c r="D2114" s="55" t="s">
        <v>12068</v>
      </c>
    </row>
    <row r="2115" ht="14.25" customHeight="1">
      <c r="A2115" s="55" t="s">
        <v>9309</v>
      </c>
      <c r="B2115" s="55" t="s">
        <v>40</v>
      </c>
      <c r="C2115" s="55" t="s">
        <v>12840</v>
      </c>
      <c r="D2115" s="55" t="s">
        <v>12841</v>
      </c>
    </row>
    <row r="2116" ht="14.25" customHeight="1">
      <c r="A2116" s="55" t="s">
        <v>9309</v>
      </c>
      <c r="B2116" s="55" t="s">
        <v>40</v>
      </c>
      <c r="C2116" s="55" t="s">
        <v>12826</v>
      </c>
      <c r="D2116" s="55" t="s">
        <v>12118</v>
      </c>
    </row>
    <row r="2117" ht="14.25" customHeight="1">
      <c r="A2117" s="55" t="s">
        <v>9309</v>
      </c>
      <c r="B2117" s="55" t="s">
        <v>40</v>
      </c>
      <c r="C2117" s="55" t="s">
        <v>12826</v>
      </c>
      <c r="D2117" s="55" t="s">
        <v>12842</v>
      </c>
    </row>
    <row r="2118" ht="14.25" customHeight="1">
      <c r="A2118" s="55" t="s">
        <v>9309</v>
      </c>
      <c r="B2118" s="55" t="s">
        <v>40</v>
      </c>
      <c r="C2118" s="55" t="s">
        <v>12826</v>
      </c>
      <c r="D2118" s="55" t="s">
        <v>8978</v>
      </c>
    </row>
    <row r="2119" ht="14.25" customHeight="1">
      <c r="A2119" s="55" t="s">
        <v>9309</v>
      </c>
      <c r="B2119" s="55" t="s">
        <v>40</v>
      </c>
      <c r="C2119" s="55" t="s">
        <v>10818</v>
      </c>
      <c r="D2119" s="55" t="s">
        <v>12069</v>
      </c>
    </row>
    <row r="2120" ht="14.25" customHeight="1">
      <c r="A2120" s="55" t="s">
        <v>9309</v>
      </c>
      <c r="B2120" s="55" t="s">
        <v>40</v>
      </c>
      <c r="C2120" s="55" t="s">
        <v>10818</v>
      </c>
      <c r="D2120" s="55" t="s">
        <v>8978</v>
      </c>
    </row>
    <row r="2121" ht="14.25" customHeight="1">
      <c r="A2121" s="55" t="s">
        <v>9309</v>
      </c>
      <c r="B2121" s="55" t="s">
        <v>40</v>
      </c>
      <c r="C2121" s="55" t="s">
        <v>10515</v>
      </c>
      <c r="D2121" s="55" t="s">
        <v>11921</v>
      </c>
    </row>
    <row r="2122" ht="14.25" customHeight="1">
      <c r="A2122" s="55" t="s">
        <v>9309</v>
      </c>
      <c r="B2122" s="55" t="s">
        <v>40</v>
      </c>
      <c r="C2122" s="55" t="s">
        <v>13669</v>
      </c>
      <c r="D2122" s="55" t="s">
        <v>8978</v>
      </c>
    </row>
    <row r="2123" ht="14.25" customHeight="1">
      <c r="A2123" s="55" t="s">
        <v>9309</v>
      </c>
      <c r="B2123" s="55" t="s">
        <v>40</v>
      </c>
      <c r="C2123" s="55" t="s">
        <v>312</v>
      </c>
      <c r="D2123" s="55" t="s">
        <v>8978</v>
      </c>
    </row>
    <row r="2124" ht="14.25" customHeight="1">
      <c r="A2124" s="55" t="s">
        <v>9309</v>
      </c>
      <c r="B2124" s="55" t="s">
        <v>40</v>
      </c>
      <c r="C2124" s="55" t="s">
        <v>12843</v>
      </c>
      <c r="D2124" s="55" t="s">
        <v>9258</v>
      </c>
    </row>
    <row r="2125" ht="14.25" customHeight="1">
      <c r="A2125" s="55" t="s">
        <v>9309</v>
      </c>
      <c r="B2125" s="55" t="s">
        <v>40</v>
      </c>
      <c r="C2125" s="55" t="s">
        <v>14165</v>
      </c>
      <c r="D2125" s="55" t="s">
        <v>8978</v>
      </c>
    </row>
    <row r="2126" ht="14.25" customHeight="1">
      <c r="A2126" s="55" t="s">
        <v>9309</v>
      </c>
      <c r="B2126" s="55" t="s">
        <v>40</v>
      </c>
      <c r="C2126" s="55" t="s">
        <v>3566</v>
      </c>
      <c r="D2126" s="55" t="s">
        <v>8968</v>
      </c>
    </row>
    <row r="2127" ht="14.25" customHeight="1">
      <c r="A2127" s="55" t="s">
        <v>9309</v>
      </c>
      <c r="B2127" s="55" t="s">
        <v>40</v>
      </c>
      <c r="C2127" s="55" t="s">
        <v>3566</v>
      </c>
      <c r="D2127" s="55" t="s">
        <v>8978</v>
      </c>
    </row>
    <row r="2128" ht="14.25" customHeight="1">
      <c r="A2128" s="55" t="s">
        <v>9309</v>
      </c>
      <c r="B2128" s="55" t="s">
        <v>40</v>
      </c>
      <c r="C2128" s="55" t="s">
        <v>3566</v>
      </c>
      <c r="D2128" s="55" t="s">
        <v>14166</v>
      </c>
    </row>
    <row r="2129" ht="14.25" customHeight="1">
      <c r="A2129" s="55" t="s">
        <v>9309</v>
      </c>
      <c r="B2129" s="55" t="s">
        <v>40</v>
      </c>
      <c r="C2129" s="55" t="s">
        <v>3566</v>
      </c>
      <c r="D2129" s="55" t="s">
        <v>12070</v>
      </c>
    </row>
    <row r="2130" ht="14.25" customHeight="1">
      <c r="A2130" s="55" t="s">
        <v>9309</v>
      </c>
      <c r="B2130" s="55" t="s">
        <v>40</v>
      </c>
      <c r="C2130" s="55" t="s">
        <v>11486</v>
      </c>
      <c r="D2130" s="55" t="s">
        <v>9867</v>
      </c>
    </row>
    <row r="2131" ht="14.25" customHeight="1">
      <c r="A2131" s="55" t="s">
        <v>9309</v>
      </c>
      <c r="B2131" s="55" t="s">
        <v>40</v>
      </c>
      <c r="C2131" s="55" t="s">
        <v>3596</v>
      </c>
      <c r="D2131" s="55" t="s">
        <v>11487</v>
      </c>
    </row>
    <row r="2132" ht="14.25" customHeight="1">
      <c r="A2132" s="55" t="s">
        <v>9309</v>
      </c>
      <c r="B2132" s="55" t="s">
        <v>40</v>
      </c>
      <c r="C2132" s="55" t="s">
        <v>184</v>
      </c>
      <c r="D2132" s="55" t="s">
        <v>12071</v>
      </c>
    </row>
    <row r="2133" ht="14.25" customHeight="1">
      <c r="A2133" s="55" t="s">
        <v>9309</v>
      </c>
      <c r="B2133" s="55" t="s">
        <v>40</v>
      </c>
      <c r="C2133" s="55" t="s">
        <v>12844</v>
      </c>
      <c r="D2133" s="55" t="s">
        <v>12845</v>
      </c>
    </row>
    <row r="2134" ht="14.25" customHeight="1">
      <c r="A2134" s="55" t="s">
        <v>9309</v>
      </c>
      <c r="B2134" s="55" t="s">
        <v>40</v>
      </c>
      <c r="C2134" s="55" t="s">
        <v>12846</v>
      </c>
      <c r="D2134" s="55" t="s">
        <v>12847</v>
      </c>
    </row>
    <row r="2135" ht="14.25" customHeight="1">
      <c r="A2135" s="55" t="s">
        <v>9309</v>
      </c>
      <c r="B2135" s="55" t="s">
        <v>40</v>
      </c>
      <c r="C2135" s="55" t="s">
        <v>9277</v>
      </c>
      <c r="D2135" s="55" t="s">
        <v>9867</v>
      </c>
    </row>
    <row r="2136" ht="14.25" customHeight="1">
      <c r="A2136" s="55" t="s">
        <v>9309</v>
      </c>
      <c r="B2136" s="55" t="s">
        <v>40</v>
      </c>
      <c r="C2136" s="55" t="s">
        <v>9277</v>
      </c>
      <c r="D2136" s="55" t="s">
        <v>9574</v>
      </c>
    </row>
    <row r="2137" ht="14.25" customHeight="1">
      <c r="A2137" s="55" t="s">
        <v>9309</v>
      </c>
      <c r="B2137" s="55" t="s">
        <v>40</v>
      </c>
      <c r="C2137" s="55" t="s">
        <v>9277</v>
      </c>
      <c r="D2137" s="55" t="s">
        <v>8978</v>
      </c>
    </row>
    <row r="2138" ht="14.25" customHeight="1">
      <c r="A2138" s="55" t="s">
        <v>9309</v>
      </c>
      <c r="B2138" s="55" t="s">
        <v>40</v>
      </c>
      <c r="C2138" s="55" t="s">
        <v>9277</v>
      </c>
      <c r="D2138" s="55" t="s">
        <v>9637</v>
      </c>
    </row>
    <row r="2139" ht="14.25" customHeight="1">
      <c r="A2139" s="55" t="s">
        <v>9309</v>
      </c>
      <c r="B2139" s="55" t="s">
        <v>40</v>
      </c>
      <c r="C2139" s="55" t="s">
        <v>13670</v>
      </c>
      <c r="D2139" s="55" t="s">
        <v>8978</v>
      </c>
    </row>
    <row r="2140" ht="14.25" customHeight="1">
      <c r="A2140" s="55" t="s">
        <v>9309</v>
      </c>
      <c r="B2140" s="55" t="s">
        <v>40</v>
      </c>
      <c r="C2140" s="55" t="s">
        <v>8398</v>
      </c>
      <c r="D2140" s="55" t="s">
        <v>10199</v>
      </c>
    </row>
    <row r="2141" ht="14.25" customHeight="1">
      <c r="A2141" s="55" t="s">
        <v>9309</v>
      </c>
      <c r="B2141" s="55" t="s">
        <v>40</v>
      </c>
      <c r="C2141" s="55" t="s">
        <v>9791</v>
      </c>
      <c r="D2141" s="55" t="s">
        <v>10222</v>
      </c>
    </row>
    <row r="2142" ht="14.25" customHeight="1">
      <c r="A2142" s="55" t="s">
        <v>9309</v>
      </c>
      <c r="B2142" s="55" t="s">
        <v>40</v>
      </c>
      <c r="C2142" s="55" t="s">
        <v>9791</v>
      </c>
      <c r="D2142" s="55" t="s">
        <v>14167</v>
      </c>
    </row>
    <row r="2143" ht="14.25" customHeight="1">
      <c r="A2143" s="55" t="s">
        <v>9309</v>
      </c>
      <c r="B2143" s="55" t="s">
        <v>40</v>
      </c>
      <c r="C2143" s="55" t="s">
        <v>14168</v>
      </c>
      <c r="D2143" s="55" t="s">
        <v>14169</v>
      </c>
    </row>
    <row r="2144" ht="14.25" customHeight="1">
      <c r="A2144" s="55" t="s">
        <v>9309</v>
      </c>
      <c r="B2144" s="55" t="s">
        <v>40</v>
      </c>
      <c r="C2144" s="55" t="s">
        <v>11488</v>
      </c>
      <c r="D2144" s="55" t="s">
        <v>9755</v>
      </c>
    </row>
    <row r="2145" ht="14.25" customHeight="1">
      <c r="A2145" s="55" t="s">
        <v>9309</v>
      </c>
      <c r="B2145" s="55" t="s">
        <v>40</v>
      </c>
      <c r="C2145" s="55" t="s">
        <v>11421</v>
      </c>
      <c r="D2145" s="55" t="s">
        <v>9368</v>
      </c>
    </row>
    <row r="2146" ht="14.25" customHeight="1">
      <c r="A2146" s="55" t="s">
        <v>9309</v>
      </c>
      <c r="B2146" s="55" t="s">
        <v>40</v>
      </c>
      <c r="C2146" s="55" t="s">
        <v>9282</v>
      </c>
      <c r="D2146" s="55" t="s">
        <v>9291</v>
      </c>
    </row>
    <row r="2147" ht="14.25" customHeight="1">
      <c r="A2147" s="55" t="s">
        <v>9309</v>
      </c>
      <c r="B2147" s="55" t="s">
        <v>40</v>
      </c>
      <c r="C2147" s="55" t="s">
        <v>9282</v>
      </c>
      <c r="D2147" s="55" t="s">
        <v>9273</v>
      </c>
    </row>
    <row r="2148" ht="14.25" customHeight="1">
      <c r="A2148" s="55" t="s">
        <v>9309</v>
      </c>
      <c r="B2148" s="55" t="s">
        <v>40</v>
      </c>
      <c r="C2148" s="55" t="s">
        <v>9282</v>
      </c>
      <c r="D2148" s="55" t="s">
        <v>8978</v>
      </c>
    </row>
    <row r="2149" ht="14.25" customHeight="1">
      <c r="A2149" s="55" t="s">
        <v>9309</v>
      </c>
      <c r="B2149" s="55" t="s">
        <v>40</v>
      </c>
      <c r="C2149" s="55" t="s">
        <v>13671</v>
      </c>
      <c r="D2149" s="55" t="s">
        <v>11610</v>
      </c>
    </row>
    <row r="2150" ht="14.25" customHeight="1">
      <c r="A2150" s="55" t="s">
        <v>9309</v>
      </c>
      <c r="B2150" s="55" t="s">
        <v>40</v>
      </c>
      <c r="C2150" s="55" t="s">
        <v>218</v>
      </c>
      <c r="D2150" s="55" t="s">
        <v>9258</v>
      </c>
    </row>
    <row r="2151" ht="14.25" customHeight="1">
      <c r="A2151" s="55" t="s">
        <v>9309</v>
      </c>
      <c r="B2151" s="55" t="s">
        <v>40</v>
      </c>
      <c r="C2151" s="55" t="s">
        <v>220</v>
      </c>
      <c r="D2151" s="55" t="s">
        <v>9368</v>
      </c>
    </row>
    <row r="2152" ht="14.25" customHeight="1">
      <c r="A2152" s="55" t="s">
        <v>9309</v>
      </c>
      <c r="B2152" s="55" t="s">
        <v>40</v>
      </c>
      <c r="C2152" s="55" t="s">
        <v>10990</v>
      </c>
      <c r="D2152" s="55" t="s">
        <v>9034</v>
      </c>
    </row>
    <row r="2153" ht="14.25" customHeight="1">
      <c r="A2153" s="55" t="s">
        <v>9309</v>
      </c>
      <c r="B2153" s="55" t="s">
        <v>40</v>
      </c>
      <c r="C2153" s="55" t="s">
        <v>12129</v>
      </c>
      <c r="D2153" s="55" t="s">
        <v>8978</v>
      </c>
    </row>
    <row r="2154" ht="14.25" customHeight="1">
      <c r="A2154" s="55" t="s">
        <v>9309</v>
      </c>
      <c r="B2154" s="55" t="s">
        <v>40</v>
      </c>
      <c r="C2154" s="55" t="s">
        <v>14170</v>
      </c>
      <c r="D2154" s="55" t="s">
        <v>8978</v>
      </c>
    </row>
    <row r="2155" ht="14.25" customHeight="1">
      <c r="A2155" s="55" t="s">
        <v>9309</v>
      </c>
      <c r="B2155" s="55" t="s">
        <v>40</v>
      </c>
      <c r="C2155" s="55" t="s">
        <v>8576</v>
      </c>
      <c r="D2155" s="55" t="s">
        <v>11367</v>
      </c>
    </row>
    <row r="2156" ht="14.25" customHeight="1">
      <c r="A2156" s="55" t="s">
        <v>9309</v>
      </c>
      <c r="B2156" s="55" t="s">
        <v>40</v>
      </c>
      <c r="C2156" s="55" t="s">
        <v>12132</v>
      </c>
      <c r="D2156" s="55" t="s">
        <v>8978</v>
      </c>
    </row>
    <row r="2157" ht="14.25" customHeight="1">
      <c r="A2157" s="55" t="s">
        <v>9309</v>
      </c>
      <c r="B2157" s="55" t="s">
        <v>40</v>
      </c>
      <c r="C2157" s="55" t="s">
        <v>11489</v>
      </c>
      <c r="D2157" s="55" t="s">
        <v>11490</v>
      </c>
    </row>
    <row r="2158" ht="14.25" customHeight="1">
      <c r="A2158" s="55" t="s">
        <v>9309</v>
      </c>
      <c r="B2158" s="55" t="s">
        <v>40</v>
      </c>
      <c r="C2158" s="55" t="s">
        <v>14171</v>
      </c>
      <c r="D2158" s="55" t="s">
        <v>9258</v>
      </c>
    </row>
    <row r="2159" ht="14.25" customHeight="1">
      <c r="A2159" s="55" t="s">
        <v>9309</v>
      </c>
      <c r="B2159" s="55" t="s">
        <v>40</v>
      </c>
      <c r="C2159" s="55" t="s">
        <v>13672</v>
      </c>
      <c r="D2159" s="55" t="s">
        <v>13673</v>
      </c>
    </row>
    <row r="2160" ht="14.25" customHeight="1">
      <c r="A2160" s="55" t="s">
        <v>9309</v>
      </c>
      <c r="B2160" s="55" t="s">
        <v>40</v>
      </c>
      <c r="C2160" s="55" t="s">
        <v>12848</v>
      </c>
      <c r="D2160" s="55" t="s">
        <v>9258</v>
      </c>
    </row>
    <row r="2161" ht="14.25" customHeight="1">
      <c r="A2161" s="55" t="s">
        <v>9309</v>
      </c>
      <c r="B2161" s="55" t="s">
        <v>40</v>
      </c>
      <c r="C2161" s="55" t="s">
        <v>12849</v>
      </c>
      <c r="D2161" s="55" t="s">
        <v>10124</v>
      </c>
    </row>
    <row r="2162" ht="14.25" customHeight="1">
      <c r="A2162" s="55" t="s">
        <v>9309</v>
      </c>
      <c r="B2162" s="55" t="s">
        <v>40</v>
      </c>
      <c r="C2162" s="55" t="s">
        <v>244</v>
      </c>
      <c r="D2162" s="55" t="s">
        <v>9406</v>
      </c>
    </row>
    <row r="2163" ht="14.25" customHeight="1">
      <c r="A2163" s="55" t="s">
        <v>9309</v>
      </c>
      <c r="B2163" s="55" t="s">
        <v>40</v>
      </c>
      <c r="C2163" s="55" t="s">
        <v>7066</v>
      </c>
      <c r="D2163" s="55" t="s">
        <v>11176</v>
      </c>
    </row>
    <row r="2164" ht="14.25" customHeight="1">
      <c r="A2164" s="55" t="s">
        <v>9309</v>
      </c>
      <c r="B2164" s="55" t="s">
        <v>40</v>
      </c>
      <c r="C2164" s="55" t="s">
        <v>10874</v>
      </c>
      <c r="D2164" s="55" t="s">
        <v>10185</v>
      </c>
    </row>
    <row r="2165" ht="14.25" customHeight="1">
      <c r="A2165" s="55" t="s">
        <v>9309</v>
      </c>
      <c r="B2165" s="55" t="s">
        <v>40</v>
      </c>
      <c r="C2165" s="55" t="s">
        <v>262</v>
      </c>
      <c r="D2165" s="55" t="s">
        <v>12072</v>
      </c>
    </row>
    <row r="2166" ht="14.25" customHeight="1">
      <c r="A2166" s="55" t="s">
        <v>9309</v>
      </c>
      <c r="B2166" s="55" t="s">
        <v>40</v>
      </c>
      <c r="C2166" s="55" t="s">
        <v>262</v>
      </c>
      <c r="D2166" s="55" t="s">
        <v>9525</v>
      </c>
    </row>
    <row r="2167" ht="14.25" customHeight="1">
      <c r="A2167" s="55" t="s">
        <v>9309</v>
      </c>
      <c r="B2167" s="55" t="s">
        <v>40</v>
      </c>
      <c r="C2167" s="55" t="s">
        <v>262</v>
      </c>
      <c r="D2167" s="55" t="s">
        <v>9292</v>
      </c>
    </row>
    <row r="2168" ht="14.25" customHeight="1">
      <c r="A2168" s="55" t="s">
        <v>9309</v>
      </c>
      <c r="B2168" s="55" t="s">
        <v>40</v>
      </c>
      <c r="C2168" s="55" t="s">
        <v>262</v>
      </c>
      <c r="D2168" s="55" t="s">
        <v>12073</v>
      </c>
    </row>
    <row r="2169" ht="14.25" customHeight="1">
      <c r="A2169" s="55" t="s">
        <v>9309</v>
      </c>
      <c r="B2169" s="55" t="s">
        <v>40</v>
      </c>
      <c r="C2169" s="55" t="s">
        <v>262</v>
      </c>
      <c r="D2169" s="55" t="s">
        <v>8978</v>
      </c>
    </row>
    <row r="2170" ht="14.25" customHeight="1">
      <c r="A2170" s="55" t="s">
        <v>9309</v>
      </c>
      <c r="B2170" s="55" t="s">
        <v>40</v>
      </c>
      <c r="C2170" s="55" t="s">
        <v>11080</v>
      </c>
      <c r="D2170" s="55" t="s">
        <v>13674</v>
      </c>
    </row>
    <row r="2171" ht="14.25" customHeight="1">
      <c r="A2171" s="55" t="s">
        <v>9309</v>
      </c>
      <c r="B2171" s="55" t="s">
        <v>40</v>
      </c>
      <c r="C2171" s="55" t="s">
        <v>11443</v>
      </c>
      <c r="D2171" s="55" t="s">
        <v>9026</v>
      </c>
    </row>
    <row r="2172" ht="14.25" customHeight="1">
      <c r="A2172" s="55" t="s">
        <v>9309</v>
      </c>
      <c r="B2172" s="55" t="s">
        <v>40</v>
      </c>
      <c r="C2172" s="55" t="s">
        <v>271</v>
      </c>
      <c r="D2172" s="55" t="s">
        <v>9131</v>
      </c>
    </row>
    <row r="2173" ht="14.25" customHeight="1">
      <c r="A2173" s="55" t="s">
        <v>9309</v>
      </c>
      <c r="B2173" s="55" t="s">
        <v>40</v>
      </c>
      <c r="C2173" s="55" t="s">
        <v>13675</v>
      </c>
      <c r="D2173" s="55" t="s">
        <v>8978</v>
      </c>
    </row>
    <row r="2174" ht="14.25" customHeight="1">
      <c r="A2174" s="55" t="s">
        <v>9309</v>
      </c>
      <c r="B2174" s="55" t="s">
        <v>40</v>
      </c>
      <c r="C2174" s="55" t="s">
        <v>11715</v>
      </c>
      <c r="D2174" s="55" t="s">
        <v>8978</v>
      </c>
    </row>
    <row r="2175" ht="14.25" customHeight="1">
      <c r="A2175" s="55" t="s">
        <v>9309</v>
      </c>
      <c r="B2175" s="55" t="s">
        <v>40</v>
      </c>
      <c r="C2175" s="55" t="s">
        <v>9005</v>
      </c>
      <c r="D2175" s="55" t="s">
        <v>9004</v>
      </c>
    </row>
    <row r="2176" ht="14.25" customHeight="1">
      <c r="A2176" s="55" t="s">
        <v>9309</v>
      </c>
      <c r="B2176" s="55" t="s">
        <v>40</v>
      </c>
      <c r="C2176" s="55" t="s">
        <v>12850</v>
      </c>
      <c r="D2176" s="55" t="s">
        <v>12851</v>
      </c>
    </row>
    <row r="2177" ht="14.25" customHeight="1">
      <c r="A2177" s="55" t="s">
        <v>9309</v>
      </c>
      <c r="B2177" s="55" t="s">
        <v>40</v>
      </c>
      <c r="C2177" s="55" t="s">
        <v>10851</v>
      </c>
      <c r="D2177" s="55" t="s">
        <v>8978</v>
      </c>
    </row>
    <row r="2178" ht="14.25" customHeight="1">
      <c r="A2178" s="55" t="s">
        <v>9309</v>
      </c>
      <c r="B2178" s="55" t="s">
        <v>40</v>
      </c>
      <c r="C2178" s="55" t="s">
        <v>12074</v>
      </c>
      <c r="D2178" s="55" t="s">
        <v>9265</v>
      </c>
    </row>
    <row r="2179" ht="14.25" customHeight="1">
      <c r="A2179" s="55" t="s">
        <v>9309</v>
      </c>
      <c r="B2179" s="55" t="s">
        <v>40</v>
      </c>
      <c r="C2179" s="55" t="s">
        <v>12736</v>
      </c>
      <c r="D2179" s="55" t="s">
        <v>8978</v>
      </c>
    </row>
    <row r="2180" ht="14.25" customHeight="1">
      <c r="A2180" s="55" t="s">
        <v>9309</v>
      </c>
      <c r="B2180" s="55" t="s">
        <v>40</v>
      </c>
      <c r="C2180" s="55" t="s">
        <v>12852</v>
      </c>
      <c r="D2180" s="55" t="s">
        <v>12853</v>
      </c>
    </row>
    <row r="2181" ht="14.25" customHeight="1">
      <c r="A2181" s="55" t="s">
        <v>9309</v>
      </c>
      <c r="B2181" s="55" t="s">
        <v>41</v>
      </c>
      <c r="C2181" s="55" t="s">
        <v>9034</v>
      </c>
      <c r="D2181" s="55" t="s">
        <v>11491</v>
      </c>
    </row>
    <row r="2182" ht="14.25" customHeight="1">
      <c r="A2182" s="55" t="s">
        <v>9309</v>
      </c>
      <c r="B2182" s="55" t="s">
        <v>41</v>
      </c>
      <c r="C2182" s="55" t="s">
        <v>9034</v>
      </c>
      <c r="D2182" s="55" t="s">
        <v>8978</v>
      </c>
    </row>
    <row r="2183" ht="14.25" customHeight="1">
      <c r="A2183" s="55" t="s">
        <v>9309</v>
      </c>
      <c r="B2183" s="55" t="s">
        <v>41</v>
      </c>
      <c r="C2183" s="55" t="s">
        <v>10767</v>
      </c>
      <c r="D2183" s="55" t="s">
        <v>9034</v>
      </c>
    </row>
    <row r="2184" ht="14.25" customHeight="1">
      <c r="A2184" s="55" t="s">
        <v>9309</v>
      </c>
      <c r="B2184" s="55" t="s">
        <v>41</v>
      </c>
      <c r="C2184" s="55" t="s">
        <v>10767</v>
      </c>
      <c r="D2184" s="55" t="s">
        <v>10768</v>
      </c>
    </row>
    <row r="2185" ht="14.25" customHeight="1">
      <c r="A2185" s="55" t="s">
        <v>9309</v>
      </c>
      <c r="B2185" s="55" t="s">
        <v>41</v>
      </c>
      <c r="C2185" s="55" t="s">
        <v>10767</v>
      </c>
      <c r="D2185" s="55" t="s">
        <v>9131</v>
      </c>
    </row>
    <row r="2186" ht="14.25" customHeight="1">
      <c r="A2186" s="55" t="s">
        <v>9309</v>
      </c>
      <c r="B2186" s="55" t="s">
        <v>41</v>
      </c>
      <c r="C2186" s="55" t="s">
        <v>10767</v>
      </c>
      <c r="D2186" s="55" t="s">
        <v>10223</v>
      </c>
    </row>
    <row r="2187" ht="14.25" customHeight="1">
      <c r="A2187" s="55" t="s">
        <v>9309</v>
      </c>
      <c r="B2187" s="55" t="s">
        <v>41</v>
      </c>
      <c r="C2187" s="55" t="s">
        <v>10767</v>
      </c>
      <c r="D2187" s="55" t="s">
        <v>10219</v>
      </c>
    </row>
    <row r="2188" ht="14.25" customHeight="1">
      <c r="A2188" s="55" t="s">
        <v>9309</v>
      </c>
      <c r="B2188" s="55" t="s">
        <v>41</v>
      </c>
      <c r="C2188" s="55" t="s">
        <v>10767</v>
      </c>
      <c r="D2188" s="55" t="s">
        <v>10769</v>
      </c>
    </row>
    <row r="2189" ht="14.25" customHeight="1">
      <c r="A2189" s="55" t="s">
        <v>9309</v>
      </c>
      <c r="B2189" s="55" t="s">
        <v>41</v>
      </c>
      <c r="C2189" s="55" t="s">
        <v>10767</v>
      </c>
      <c r="D2189" s="55" t="s">
        <v>9311</v>
      </c>
    </row>
    <row r="2190" ht="14.25" customHeight="1">
      <c r="A2190" s="55" t="s">
        <v>9309</v>
      </c>
      <c r="B2190" s="55" t="s">
        <v>41</v>
      </c>
      <c r="C2190" s="55" t="s">
        <v>10767</v>
      </c>
      <c r="D2190" s="55" t="s">
        <v>12075</v>
      </c>
    </row>
    <row r="2191" ht="14.25" customHeight="1">
      <c r="A2191" s="55" t="s">
        <v>9309</v>
      </c>
      <c r="B2191" s="55" t="s">
        <v>41</v>
      </c>
      <c r="C2191" s="55" t="s">
        <v>10767</v>
      </c>
      <c r="D2191" s="55" t="s">
        <v>11492</v>
      </c>
    </row>
    <row r="2192" ht="14.25" customHeight="1">
      <c r="A2192" s="55" t="s">
        <v>9309</v>
      </c>
      <c r="B2192" s="55" t="s">
        <v>41</v>
      </c>
      <c r="C2192" s="55" t="s">
        <v>10767</v>
      </c>
      <c r="D2192" s="55" t="s">
        <v>10770</v>
      </c>
    </row>
    <row r="2193" ht="14.25" customHeight="1">
      <c r="A2193" s="55" t="s">
        <v>9309</v>
      </c>
      <c r="B2193" s="55" t="s">
        <v>41</v>
      </c>
      <c r="C2193" s="55" t="s">
        <v>8969</v>
      </c>
      <c r="D2193" s="55" t="s">
        <v>12854</v>
      </c>
    </row>
    <row r="2194" ht="14.25" customHeight="1">
      <c r="A2194" s="55" t="s">
        <v>9309</v>
      </c>
      <c r="B2194" s="55" t="s">
        <v>41</v>
      </c>
      <c r="C2194" s="55" t="s">
        <v>8969</v>
      </c>
      <c r="D2194" s="55" t="s">
        <v>9256</v>
      </c>
    </row>
    <row r="2195" ht="14.25" customHeight="1">
      <c r="A2195" s="55" t="s">
        <v>9309</v>
      </c>
      <c r="B2195" s="55" t="s">
        <v>41</v>
      </c>
      <c r="C2195" s="55" t="s">
        <v>8969</v>
      </c>
      <c r="D2195" s="55" t="s">
        <v>11478</v>
      </c>
    </row>
    <row r="2196" ht="14.25" customHeight="1">
      <c r="A2196" s="55" t="s">
        <v>9309</v>
      </c>
      <c r="B2196" s="55" t="s">
        <v>41</v>
      </c>
      <c r="C2196" s="55" t="s">
        <v>8969</v>
      </c>
      <c r="D2196" s="55" t="s">
        <v>8978</v>
      </c>
    </row>
    <row r="2197" ht="14.25" customHeight="1">
      <c r="A2197" s="55" t="s">
        <v>9309</v>
      </c>
      <c r="B2197" s="55" t="s">
        <v>41</v>
      </c>
      <c r="C2197" s="55" t="s">
        <v>9310</v>
      </c>
      <c r="D2197" s="55" t="s">
        <v>9034</v>
      </c>
    </row>
    <row r="2198" ht="14.25" customHeight="1">
      <c r="A2198" s="55" t="s">
        <v>9309</v>
      </c>
      <c r="B2198" s="55" t="s">
        <v>41</v>
      </c>
      <c r="C2198" s="55" t="s">
        <v>9310</v>
      </c>
      <c r="D2198" s="55" t="s">
        <v>9281</v>
      </c>
    </row>
    <row r="2199" ht="14.25" customHeight="1">
      <c r="A2199" s="55" t="s">
        <v>9309</v>
      </c>
      <c r="B2199" s="55" t="s">
        <v>41</v>
      </c>
      <c r="C2199" s="55" t="s">
        <v>9310</v>
      </c>
      <c r="D2199" s="55" t="s">
        <v>9311</v>
      </c>
    </row>
    <row r="2200" ht="14.25" customHeight="1">
      <c r="A2200" s="55" t="s">
        <v>9309</v>
      </c>
      <c r="B2200" s="55" t="s">
        <v>41</v>
      </c>
      <c r="C2200" s="55" t="s">
        <v>9310</v>
      </c>
      <c r="D2200" s="55" t="s">
        <v>9086</v>
      </c>
    </row>
    <row r="2201" ht="14.25" customHeight="1">
      <c r="A2201" s="55" t="s">
        <v>9309</v>
      </c>
      <c r="B2201" s="55" t="s">
        <v>41</v>
      </c>
      <c r="C2201" s="55" t="s">
        <v>12076</v>
      </c>
      <c r="D2201" s="55" t="s">
        <v>10768</v>
      </c>
    </row>
    <row r="2202" ht="14.25" customHeight="1">
      <c r="A2202" s="55" t="s">
        <v>9309</v>
      </c>
      <c r="B2202" s="55" t="s">
        <v>41</v>
      </c>
      <c r="C2202" s="55" t="s">
        <v>12076</v>
      </c>
      <c r="D2202" s="55" t="s">
        <v>9281</v>
      </c>
    </row>
    <row r="2203" ht="14.25" customHeight="1">
      <c r="A2203" s="55" t="s">
        <v>9309</v>
      </c>
      <c r="B2203" s="55" t="s">
        <v>41</v>
      </c>
      <c r="C2203" s="55" t="s">
        <v>12076</v>
      </c>
      <c r="D2203" s="55" t="s">
        <v>10181</v>
      </c>
    </row>
    <row r="2204" ht="14.25" customHeight="1">
      <c r="A2204" s="55" t="s">
        <v>9309</v>
      </c>
      <c r="B2204" s="55" t="s">
        <v>41</v>
      </c>
      <c r="C2204" s="55" t="s">
        <v>9312</v>
      </c>
      <c r="D2204" s="55" t="s">
        <v>9281</v>
      </c>
    </row>
    <row r="2205" ht="14.25" customHeight="1">
      <c r="A2205" s="55" t="s">
        <v>9309</v>
      </c>
      <c r="B2205" s="55" t="s">
        <v>41</v>
      </c>
      <c r="C2205" s="55" t="s">
        <v>5785</v>
      </c>
      <c r="D2205" s="55" t="s">
        <v>10771</v>
      </c>
    </row>
    <row r="2206" ht="14.25" customHeight="1">
      <c r="A2206" s="55" t="s">
        <v>9309</v>
      </c>
      <c r="B2206" s="55" t="s">
        <v>41</v>
      </c>
      <c r="C2206" s="55" t="s">
        <v>5785</v>
      </c>
      <c r="D2206" s="55" t="s">
        <v>9281</v>
      </c>
    </row>
    <row r="2207" ht="14.25" customHeight="1">
      <c r="A2207" s="55" t="s">
        <v>9309</v>
      </c>
      <c r="B2207" s="55" t="s">
        <v>41</v>
      </c>
      <c r="C2207" s="55" t="s">
        <v>9313</v>
      </c>
      <c r="D2207" s="55" t="s">
        <v>9034</v>
      </c>
    </row>
    <row r="2208" ht="14.25" customHeight="1">
      <c r="A2208" s="55" t="s">
        <v>9309</v>
      </c>
      <c r="B2208" s="55" t="s">
        <v>41</v>
      </c>
      <c r="C2208" s="55" t="s">
        <v>9313</v>
      </c>
      <c r="D2208" s="55" t="s">
        <v>10772</v>
      </c>
    </row>
    <row r="2209" ht="14.25" customHeight="1">
      <c r="A2209" s="55" t="s">
        <v>9309</v>
      </c>
      <c r="B2209" s="55" t="s">
        <v>41</v>
      </c>
      <c r="C2209" s="55" t="s">
        <v>9313</v>
      </c>
      <c r="D2209" s="55" t="s">
        <v>14172</v>
      </c>
    </row>
    <row r="2210" ht="14.25" customHeight="1">
      <c r="A2210" s="55" t="s">
        <v>9309</v>
      </c>
      <c r="B2210" s="55" t="s">
        <v>41</v>
      </c>
      <c r="C2210" s="55" t="s">
        <v>9313</v>
      </c>
      <c r="D2210" s="55" t="s">
        <v>13676</v>
      </c>
    </row>
    <row r="2211" ht="14.25" customHeight="1">
      <c r="A2211" s="55" t="s">
        <v>9309</v>
      </c>
      <c r="B2211" s="55" t="s">
        <v>41</v>
      </c>
      <c r="C2211" s="55" t="s">
        <v>9313</v>
      </c>
      <c r="D2211" s="55" t="s">
        <v>9131</v>
      </c>
    </row>
    <row r="2212" ht="14.25" customHeight="1">
      <c r="A2212" s="55" t="s">
        <v>9309</v>
      </c>
      <c r="B2212" s="55" t="s">
        <v>41</v>
      </c>
      <c r="C2212" s="55" t="s">
        <v>9313</v>
      </c>
      <c r="D2212" s="55" t="s">
        <v>9281</v>
      </c>
    </row>
    <row r="2213" ht="14.25" customHeight="1">
      <c r="A2213" s="55" t="s">
        <v>9309</v>
      </c>
      <c r="B2213" s="55" t="s">
        <v>41</v>
      </c>
      <c r="C2213" s="55" t="s">
        <v>9313</v>
      </c>
      <c r="D2213" s="55" t="s">
        <v>9314</v>
      </c>
    </row>
    <row r="2214" ht="14.25" customHeight="1">
      <c r="A2214" s="55" t="s">
        <v>9309</v>
      </c>
      <c r="B2214" s="55" t="s">
        <v>41</v>
      </c>
      <c r="C2214" s="55" t="s">
        <v>9313</v>
      </c>
      <c r="D2214" s="55" t="s">
        <v>8968</v>
      </c>
    </row>
    <row r="2215" ht="14.25" customHeight="1">
      <c r="A2215" s="55" t="s">
        <v>9309</v>
      </c>
      <c r="B2215" s="55" t="s">
        <v>41</v>
      </c>
      <c r="C2215" s="55" t="s">
        <v>9313</v>
      </c>
      <c r="D2215" s="55" t="s">
        <v>11493</v>
      </c>
    </row>
    <row r="2216" ht="14.25" customHeight="1">
      <c r="A2216" s="55" t="s">
        <v>9309</v>
      </c>
      <c r="B2216" s="55" t="s">
        <v>41</v>
      </c>
      <c r="C2216" s="55" t="s">
        <v>9313</v>
      </c>
      <c r="D2216" s="55" t="s">
        <v>10223</v>
      </c>
    </row>
    <row r="2217" ht="14.25" customHeight="1">
      <c r="A2217" s="55" t="s">
        <v>9309</v>
      </c>
      <c r="B2217" s="55" t="s">
        <v>41</v>
      </c>
      <c r="C2217" s="55" t="s">
        <v>9313</v>
      </c>
      <c r="D2217" s="55" t="s">
        <v>9315</v>
      </c>
    </row>
    <row r="2218" ht="14.25" customHeight="1">
      <c r="A2218" s="55" t="s">
        <v>9309</v>
      </c>
      <c r="B2218" s="55" t="s">
        <v>41</v>
      </c>
      <c r="C2218" s="55" t="s">
        <v>9172</v>
      </c>
      <c r="D2218" s="55" t="s">
        <v>8978</v>
      </c>
    </row>
    <row r="2219" ht="14.25" customHeight="1">
      <c r="A2219" s="55" t="s">
        <v>9309</v>
      </c>
      <c r="B2219" s="55" t="s">
        <v>41</v>
      </c>
      <c r="C2219" s="55" t="s">
        <v>9316</v>
      </c>
      <c r="D2219" s="55" t="s">
        <v>9317</v>
      </c>
    </row>
    <row r="2220" ht="14.25" customHeight="1">
      <c r="A2220" s="55" t="s">
        <v>9309</v>
      </c>
      <c r="B2220" s="55" t="s">
        <v>41</v>
      </c>
      <c r="C2220" s="55" t="s">
        <v>14173</v>
      </c>
      <c r="D2220" s="55" t="s">
        <v>9026</v>
      </c>
    </row>
    <row r="2221" ht="14.25" customHeight="1">
      <c r="A2221" s="55" t="s">
        <v>9309</v>
      </c>
      <c r="B2221" s="55" t="s">
        <v>41</v>
      </c>
      <c r="C2221" s="55" t="s">
        <v>2444</v>
      </c>
      <c r="D2221" s="55" t="s">
        <v>9281</v>
      </c>
    </row>
    <row r="2222" ht="14.25" customHeight="1">
      <c r="A2222" s="55" t="s">
        <v>9309</v>
      </c>
      <c r="B2222" s="55" t="s">
        <v>41</v>
      </c>
      <c r="C2222" s="55" t="s">
        <v>2444</v>
      </c>
      <c r="D2222" s="55" t="s">
        <v>9867</v>
      </c>
    </row>
    <row r="2223" ht="14.25" customHeight="1">
      <c r="A2223" s="55" t="s">
        <v>9309</v>
      </c>
      <c r="B2223" s="55" t="s">
        <v>41</v>
      </c>
      <c r="C2223" s="55" t="s">
        <v>2444</v>
      </c>
      <c r="D2223" s="55" t="s">
        <v>10773</v>
      </c>
    </row>
    <row r="2224" ht="14.25" customHeight="1">
      <c r="A2224" s="55" t="s">
        <v>9309</v>
      </c>
      <c r="B2224" s="55" t="s">
        <v>41</v>
      </c>
      <c r="C2224" s="55" t="s">
        <v>2444</v>
      </c>
      <c r="D2224" s="55" t="s">
        <v>11176</v>
      </c>
    </row>
    <row r="2225" ht="14.25" customHeight="1">
      <c r="A2225" s="55" t="s">
        <v>9309</v>
      </c>
      <c r="B2225" s="55" t="s">
        <v>41</v>
      </c>
      <c r="C2225" s="55" t="s">
        <v>12054</v>
      </c>
      <c r="D2225" s="55" t="s">
        <v>12393</v>
      </c>
    </row>
    <row r="2226" ht="14.25" customHeight="1">
      <c r="A2226" s="55" t="s">
        <v>9309</v>
      </c>
      <c r="B2226" s="55" t="s">
        <v>41</v>
      </c>
      <c r="C2226" s="55" t="s">
        <v>10628</v>
      </c>
      <c r="D2226" s="55" t="s">
        <v>9354</v>
      </c>
    </row>
    <row r="2227" ht="14.25" customHeight="1">
      <c r="A2227" s="55" t="s">
        <v>9309</v>
      </c>
      <c r="B2227" s="55" t="s">
        <v>41</v>
      </c>
      <c r="C2227" s="55" t="s">
        <v>12077</v>
      </c>
      <c r="D2227" s="55" t="s">
        <v>12078</v>
      </c>
    </row>
    <row r="2228" ht="14.25" customHeight="1">
      <c r="A2228" s="55" t="s">
        <v>9309</v>
      </c>
      <c r="B2228" s="55" t="s">
        <v>41</v>
      </c>
      <c r="C2228" s="55" t="s">
        <v>9318</v>
      </c>
      <c r="D2228" s="55" t="s">
        <v>9319</v>
      </c>
    </row>
    <row r="2229" ht="14.25" customHeight="1">
      <c r="A2229" s="55" t="s">
        <v>9309</v>
      </c>
      <c r="B2229" s="55" t="s">
        <v>41</v>
      </c>
      <c r="C2229" s="55" t="s">
        <v>11494</v>
      </c>
      <c r="D2229" s="55" t="s">
        <v>8978</v>
      </c>
    </row>
    <row r="2230" ht="14.25" customHeight="1">
      <c r="A2230" s="55" t="s">
        <v>9309</v>
      </c>
      <c r="B2230" s="55" t="s">
        <v>41</v>
      </c>
      <c r="C2230" s="55" t="s">
        <v>10774</v>
      </c>
      <c r="D2230" s="55" t="s">
        <v>9131</v>
      </c>
    </row>
    <row r="2231" ht="14.25" customHeight="1">
      <c r="A2231" s="55" t="s">
        <v>9309</v>
      </c>
      <c r="B2231" s="55" t="s">
        <v>41</v>
      </c>
      <c r="C2231" s="55" t="s">
        <v>9320</v>
      </c>
      <c r="D2231" s="55" t="s">
        <v>9131</v>
      </c>
    </row>
    <row r="2232" ht="14.25" customHeight="1">
      <c r="A2232" s="55" t="s">
        <v>9309</v>
      </c>
      <c r="B2232" s="55" t="s">
        <v>41</v>
      </c>
      <c r="C2232" s="55" t="s">
        <v>9320</v>
      </c>
      <c r="D2232" s="55" t="s">
        <v>9321</v>
      </c>
    </row>
    <row r="2233" ht="14.25" customHeight="1">
      <c r="A2233" s="55" t="s">
        <v>9309</v>
      </c>
      <c r="B2233" s="55" t="s">
        <v>41</v>
      </c>
      <c r="C2233" s="55" t="s">
        <v>12079</v>
      </c>
      <c r="D2233" s="55" t="s">
        <v>9380</v>
      </c>
    </row>
    <row r="2234" ht="14.25" customHeight="1">
      <c r="A2234" s="55" t="s">
        <v>9309</v>
      </c>
      <c r="B2234" s="55" t="s">
        <v>41</v>
      </c>
      <c r="C2234" s="55" t="s">
        <v>9322</v>
      </c>
      <c r="D2234" s="55" t="s">
        <v>9281</v>
      </c>
    </row>
    <row r="2235" ht="14.25" customHeight="1">
      <c r="A2235" s="55" t="s">
        <v>9309</v>
      </c>
      <c r="B2235" s="55" t="s">
        <v>41</v>
      </c>
      <c r="C2235" s="55" t="s">
        <v>6031</v>
      </c>
      <c r="D2235" s="55" t="s">
        <v>9281</v>
      </c>
    </row>
    <row r="2236" ht="14.25" customHeight="1">
      <c r="A2236" s="55" t="s">
        <v>9309</v>
      </c>
      <c r="B2236" s="55" t="s">
        <v>41</v>
      </c>
      <c r="C2236" s="55" t="s">
        <v>6031</v>
      </c>
      <c r="D2236" s="55" t="s">
        <v>10270</v>
      </c>
    </row>
    <row r="2237" ht="14.25" customHeight="1">
      <c r="A2237" s="55" t="s">
        <v>9309</v>
      </c>
      <c r="B2237" s="55" t="s">
        <v>41</v>
      </c>
      <c r="C2237" s="55" t="s">
        <v>9323</v>
      </c>
      <c r="D2237" s="55" t="s">
        <v>9324</v>
      </c>
    </row>
    <row r="2238" ht="14.25" customHeight="1">
      <c r="A2238" s="55" t="s">
        <v>9309</v>
      </c>
      <c r="B2238" s="55" t="s">
        <v>41</v>
      </c>
      <c r="C2238" s="55" t="s">
        <v>9323</v>
      </c>
      <c r="D2238" s="55" t="s">
        <v>8968</v>
      </c>
    </row>
    <row r="2239" ht="14.25" customHeight="1">
      <c r="A2239" s="55" t="s">
        <v>9309</v>
      </c>
      <c r="B2239" s="55" t="s">
        <v>41</v>
      </c>
      <c r="C2239" s="55" t="s">
        <v>9323</v>
      </c>
      <c r="D2239" s="55" t="s">
        <v>8978</v>
      </c>
    </row>
    <row r="2240" ht="14.25" customHeight="1">
      <c r="A2240" s="55" t="s">
        <v>9309</v>
      </c>
      <c r="B2240" s="55" t="s">
        <v>41</v>
      </c>
      <c r="C2240" s="55" t="s">
        <v>9325</v>
      </c>
      <c r="D2240" s="55" t="s">
        <v>9326</v>
      </c>
    </row>
    <row r="2241" ht="14.25" customHeight="1">
      <c r="A2241" s="55" t="s">
        <v>9309</v>
      </c>
      <c r="B2241" s="55" t="s">
        <v>41</v>
      </c>
      <c r="C2241" s="55" t="s">
        <v>916</v>
      </c>
      <c r="D2241" s="55" t="s">
        <v>9867</v>
      </c>
    </row>
    <row r="2242" ht="14.25" customHeight="1">
      <c r="A2242" s="55" t="s">
        <v>9309</v>
      </c>
      <c r="B2242" s="55" t="s">
        <v>41</v>
      </c>
      <c r="C2242" s="55" t="s">
        <v>10807</v>
      </c>
      <c r="D2242" s="55" t="s">
        <v>13677</v>
      </c>
    </row>
    <row r="2243" ht="14.25" customHeight="1">
      <c r="A2243" s="55" t="s">
        <v>9309</v>
      </c>
      <c r="B2243" s="55" t="s">
        <v>41</v>
      </c>
      <c r="C2243" s="55" t="s">
        <v>13678</v>
      </c>
      <c r="D2243" s="55" t="s">
        <v>9326</v>
      </c>
    </row>
    <row r="2244" ht="14.25" customHeight="1">
      <c r="A2244" s="55" t="s">
        <v>9309</v>
      </c>
      <c r="B2244" s="55" t="s">
        <v>41</v>
      </c>
      <c r="C2244" s="55" t="s">
        <v>10744</v>
      </c>
      <c r="D2244" s="55" t="s">
        <v>8968</v>
      </c>
    </row>
    <row r="2245" ht="14.25" customHeight="1">
      <c r="A2245" s="55" t="s">
        <v>9309</v>
      </c>
      <c r="B2245" s="55" t="s">
        <v>41</v>
      </c>
      <c r="C2245" s="55" t="s">
        <v>11495</v>
      </c>
      <c r="D2245" s="55" t="s">
        <v>9258</v>
      </c>
    </row>
    <row r="2246" ht="14.25" customHeight="1">
      <c r="A2246" s="55" t="s">
        <v>9309</v>
      </c>
      <c r="B2246" s="55" t="s">
        <v>41</v>
      </c>
      <c r="C2246" s="55" t="s">
        <v>6298</v>
      </c>
      <c r="D2246" s="55" t="s">
        <v>8978</v>
      </c>
    </row>
    <row r="2247" ht="14.25" customHeight="1">
      <c r="A2247" s="55" t="s">
        <v>9309</v>
      </c>
      <c r="B2247" s="55" t="s">
        <v>41</v>
      </c>
      <c r="C2247" s="55" t="s">
        <v>9374</v>
      </c>
      <c r="D2247" s="55" t="s">
        <v>10775</v>
      </c>
    </row>
    <row r="2248" ht="14.25" customHeight="1">
      <c r="A2248" s="55" t="s">
        <v>9309</v>
      </c>
      <c r="B2248" s="55" t="s">
        <v>41</v>
      </c>
      <c r="C2248" s="55" t="s">
        <v>9374</v>
      </c>
      <c r="D2248" s="55" t="s">
        <v>9256</v>
      </c>
    </row>
    <row r="2249" ht="14.25" customHeight="1">
      <c r="A2249" s="55" t="s">
        <v>9309</v>
      </c>
      <c r="B2249" s="55" t="s">
        <v>41</v>
      </c>
      <c r="C2249" s="55" t="s">
        <v>9374</v>
      </c>
      <c r="D2249" s="55" t="s">
        <v>8978</v>
      </c>
    </row>
    <row r="2250" ht="14.25" customHeight="1">
      <c r="A2250" s="55" t="s">
        <v>9309</v>
      </c>
      <c r="B2250" s="55" t="s">
        <v>41</v>
      </c>
      <c r="C2250" s="55" t="s">
        <v>307</v>
      </c>
      <c r="D2250" s="55" t="s">
        <v>10763</v>
      </c>
    </row>
    <row r="2251" ht="14.25" customHeight="1">
      <c r="A2251" s="55" t="s">
        <v>9309</v>
      </c>
      <c r="B2251" s="55" t="s">
        <v>41</v>
      </c>
      <c r="C2251" s="55" t="s">
        <v>9327</v>
      </c>
      <c r="D2251" s="55" t="s">
        <v>9328</v>
      </c>
    </row>
    <row r="2252" ht="14.25" customHeight="1">
      <c r="A2252" s="55" t="s">
        <v>9309</v>
      </c>
      <c r="B2252" s="55" t="s">
        <v>41</v>
      </c>
      <c r="C2252" s="55" t="s">
        <v>9329</v>
      </c>
      <c r="D2252" s="55" t="s">
        <v>12080</v>
      </c>
    </row>
    <row r="2253" ht="14.25" customHeight="1">
      <c r="A2253" s="55" t="s">
        <v>9309</v>
      </c>
      <c r="B2253" s="55" t="s">
        <v>41</v>
      </c>
      <c r="C2253" s="55" t="s">
        <v>9329</v>
      </c>
      <c r="D2253" s="55" t="s">
        <v>11496</v>
      </c>
    </row>
    <row r="2254" ht="14.25" customHeight="1">
      <c r="A2254" s="55" t="s">
        <v>9309</v>
      </c>
      <c r="B2254" s="55" t="s">
        <v>41</v>
      </c>
      <c r="C2254" s="55" t="s">
        <v>9329</v>
      </c>
      <c r="D2254" s="55" t="s">
        <v>12081</v>
      </c>
    </row>
    <row r="2255" ht="14.25" customHeight="1">
      <c r="A2255" s="55" t="s">
        <v>9309</v>
      </c>
      <c r="B2255" s="55" t="s">
        <v>41</v>
      </c>
      <c r="C2255" s="55" t="s">
        <v>9329</v>
      </c>
      <c r="D2255" s="55" t="s">
        <v>9131</v>
      </c>
    </row>
    <row r="2256" ht="14.25" customHeight="1">
      <c r="A2256" s="55" t="s">
        <v>9309</v>
      </c>
      <c r="B2256" s="55" t="s">
        <v>41</v>
      </c>
      <c r="C2256" s="55" t="s">
        <v>9329</v>
      </c>
      <c r="D2256" s="55" t="s">
        <v>12082</v>
      </c>
    </row>
    <row r="2257" ht="14.25" customHeight="1">
      <c r="A2257" s="55" t="s">
        <v>9309</v>
      </c>
      <c r="B2257" s="55" t="s">
        <v>41</v>
      </c>
      <c r="C2257" s="55" t="s">
        <v>9329</v>
      </c>
      <c r="D2257" s="55" t="s">
        <v>12083</v>
      </c>
    </row>
    <row r="2258" ht="14.25" customHeight="1">
      <c r="A2258" s="55" t="s">
        <v>9309</v>
      </c>
      <c r="B2258" s="55" t="s">
        <v>41</v>
      </c>
      <c r="C2258" s="55" t="s">
        <v>9329</v>
      </c>
      <c r="D2258" s="55" t="s">
        <v>9867</v>
      </c>
    </row>
    <row r="2259" ht="14.25" customHeight="1">
      <c r="A2259" s="55" t="s">
        <v>9309</v>
      </c>
      <c r="B2259" s="55" t="s">
        <v>41</v>
      </c>
      <c r="C2259" s="55" t="s">
        <v>9329</v>
      </c>
      <c r="D2259" s="55" t="s">
        <v>10181</v>
      </c>
    </row>
    <row r="2260" ht="14.25" customHeight="1">
      <c r="A2260" s="55" t="s">
        <v>9309</v>
      </c>
      <c r="B2260" s="55" t="s">
        <v>41</v>
      </c>
      <c r="C2260" s="55" t="s">
        <v>9329</v>
      </c>
      <c r="D2260" s="55" t="s">
        <v>14174</v>
      </c>
    </row>
    <row r="2261" ht="14.25" customHeight="1">
      <c r="A2261" s="55" t="s">
        <v>9309</v>
      </c>
      <c r="B2261" s="55" t="s">
        <v>41</v>
      </c>
      <c r="C2261" s="55" t="s">
        <v>9329</v>
      </c>
      <c r="D2261" s="55" t="s">
        <v>12193</v>
      </c>
    </row>
    <row r="2262" ht="14.25" customHeight="1">
      <c r="A2262" s="55" t="s">
        <v>9309</v>
      </c>
      <c r="B2262" s="55" t="s">
        <v>41</v>
      </c>
      <c r="C2262" s="55" t="s">
        <v>10683</v>
      </c>
      <c r="D2262" s="55" t="s">
        <v>10776</v>
      </c>
    </row>
    <row r="2263" ht="14.25" customHeight="1">
      <c r="A2263" s="55" t="s">
        <v>9309</v>
      </c>
      <c r="B2263" s="55" t="s">
        <v>41</v>
      </c>
      <c r="C2263" s="55" t="s">
        <v>10683</v>
      </c>
      <c r="D2263" s="55" t="s">
        <v>10768</v>
      </c>
    </row>
    <row r="2264" ht="14.25" customHeight="1">
      <c r="A2264" s="55" t="s">
        <v>9309</v>
      </c>
      <c r="B2264" s="55" t="s">
        <v>41</v>
      </c>
      <c r="C2264" s="55" t="s">
        <v>10683</v>
      </c>
      <c r="D2264" s="55" t="s">
        <v>10777</v>
      </c>
    </row>
    <row r="2265" ht="14.25" customHeight="1">
      <c r="A2265" s="55" t="s">
        <v>9309</v>
      </c>
      <c r="B2265" s="55" t="s">
        <v>41</v>
      </c>
      <c r="C2265" s="55" t="s">
        <v>10683</v>
      </c>
      <c r="D2265" s="55" t="s">
        <v>10778</v>
      </c>
    </row>
    <row r="2266" ht="14.25" customHeight="1">
      <c r="A2266" s="55" t="s">
        <v>9309</v>
      </c>
      <c r="B2266" s="55" t="s">
        <v>41</v>
      </c>
      <c r="C2266" s="55" t="s">
        <v>14175</v>
      </c>
      <c r="D2266" s="55" t="s">
        <v>9067</v>
      </c>
    </row>
    <row r="2267" ht="14.25" customHeight="1">
      <c r="A2267" s="55" t="s">
        <v>9309</v>
      </c>
      <c r="B2267" s="55" t="s">
        <v>41</v>
      </c>
      <c r="C2267" s="55" t="s">
        <v>9330</v>
      </c>
      <c r="D2267" s="55" t="s">
        <v>9281</v>
      </c>
    </row>
    <row r="2268" ht="14.25" customHeight="1">
      <c r="A2268" s="55" t="s">
        <v>9309</v>
      </c>
      <c r="B2268" s="55" t="s">
        <v>41</v>
      </c>
      <c r="C2268" s="55" t="s">
        <v>12855</v>
      </c>
      <c r="D2268" s="55" t="s">
        <v>9274</v>
      </c>
    </row>
    <row r="2269" ht="14.25" customHeight="1">
      <c r="A2269" s="55" t="s">
        <v>9309</v>
      </c>
      <c r="B2269" s="55" t="s">
        <v>41</v>
      </c>
      <c r="C2269" s="55" t="s">
        <v>10779</v>
      </c>
      <c r="D2269" s="55" t="s">
        <v>9050</v>
      </c>
    </row>
    <row r="2270" ht="14.25" customHeight="1">
      <c r="A2270" s="55" t="s">
        <v>9309</v>
      </c>
      <c r="B2270" s="55" t="s">
        <v>41</v>
      </c>
      <c r="C2270" s="55" t="s">
        <v>3566</v>
      </c>
      <c r="D2270" s="55" t="s">
        <v>8978</v>
      </c>
    </row>
    <row r="2271" ht="14.25" customHeight="1">
      <c r="A2271" s="55" t="s">
        <v>9309</v>
      </c>
      <c r="B2271" s="55" t="s">
        <v>41</v>
      </c>
      <c r="C2271" s="55" t="s">
        <v>13679</v>
      </c>
      <c r="D2271" s="55" t="s">
        <v>8978</v>
      </c>
    </row>
    <row r="2272" ht="14.25" customHeight="1">
      <c r="A2272" s="55" t="s">
        <v>9309</v>
      </c>
      <c r="B2272" s="55" t="s">
        <v>41</v>
      </c>
      <c r="C2272" s="55" t="s">
        <v>11497</v>
      </c>
      <c r="D2272" s="55" t="s">
        <v>11498</v>
      </c>
    </row>
    <row r="2273" ht="14.25" customHeight="1">
      <c r="A2273" s="55" t="s">
        <v>9309</v>
      </c>
      <c r="B2273" s="55" t="s">
        <v>41</v>
      </c>
      <c r="C2273" s="55" t="s">
        <v>12084</v>
      </c>
      <c r="D2273" s="55" t="s">
        <v>12085</v>
      </c>
    </row>
    <row r="2274" ht="14.25" customHeight="1">
      <c r="A2274" s="55" t="s">
        <v>9309</v>
      </c>
      <c r="B2274" s="55" t="s">
        <v>41</v>
      </c>
      <c r="C2274" s="55" t="s">
        <v>10780</v>
      </c>
      <c r="D2274" s="55" t="s">
        <v>10781</v>
      </c>
    </row>
    <row r="2275" ht="14.25" customHeight="1">
      <c r="A2275" s="55" t="s">
        <v>9309</v>
      </c>
      <c r="B2275" s="55" t="s">
        <v>41</v>
      </c>
      <c r="C2275" s="55" t="s">
        <v>10780</v>
      </c>
      <c r="D2275" s="55" t="s">
        <v>8968</v>
      </c>
    </row>
    <row r="2276" ht="14.25" customHeight="1">
      <c r="A2276" s="55" t="s">
        <v>9309</v>
      </c>
      <c r="B2276" s="55" t="s">
        <v>41</v>
      </c>
      <c r="C2276" s="55" t="s">
        <v>13680</v>
      </c>
      <c r="D2276" s="55" t="s">
        <v>8968</v>
      </c>
    </row>
    <row r="2277" ht="14.25" customHeight="1">
      <c r="A2277" s="55" t="s">
        <v>9309</v>
      </c>
      <c r="B2277" s="55" t="s">
        <v>41</v>
      </c>
      <c r="C2277" s="55" t="s">
        <v>9390</v>
      </c>
      <c r="D2277" s="55" t="s">
        <v>8978</v>
      </c>
    </row>
    <row r="2278" ht="14.25" customHeight="1">
      <c r="A2278" s="55" t="s">
        <v>9309</v>
      </c>
      <c r="B2278" s="55" t="s">
        <v>41</v>
      </c>
      <c r="C2278" s="55" t="s">
        <v>10766</v>
      </c>
      <c r="D2278" s="55" t="s">
        <v>9281</v>
      </c>
    </row>
    <row r="2279" ht="14.25" customHeight="1">
      <c r="A2279" s="55" t="s">
        <v>9309</v>
      </c>
      <c r="B2279" s="55" t="s">
        <v>41</v>
      </c>
      <c r="C2279" s="55" t="s">
        <v>10766</v>
      </c>
      <c r="D2279" s="55" t="s">
        <v>8968</v>
      </c>
    </row>
    <row r="2280" ht="14.25" customHeight="1">
      <c r="A2280" s="55" t="s">
        <v>9309</v>
      </c>
      <c r="B2280" s="55" t="s">
        <v>41</v>
      </c>
      <c r="C2280" s="55" t="s">
        <v>10782</v>
      </c>
      <c r="D2280" s="55" t="s">
        <v>9291</v>
      </c>
    </row>
    <row r="2281" ht="14.25" customHeight="1">
      <c r="A2281" s="55" t="s">
        <v>9309</v>
      </c>
      <c r="B2281" s="55" t="s">
        <v>41</v>
      </c>
      <c r="C2281" s="55" t="s">
        <v>10182</v>
      </c>
      <c r="D2281" s="55" t="s">
        <v>9131</v>
      </c>
    </row>
    <row r="2282" ht="14.25" customHeight="1">
      <c r="A2282" s="55" t="s">
        <v>9309</v>
      </c>
      <c r="B2282" s="55" t="s">
        <v>41</v>
      </c>
      <c r="C2282" s="55" t="s">
        <v>314</v>
      </c>
      <c r="D2282" s="55" t="s">
        <v>9525</v>
      </c>
    </row>
    <row r="2283" ht="14.25" customHeight="1">
      <c r="A2283" s="55" t="s">
        <v>9309</v>
      </c>
      <c r="B2283" s="55" t="s">
        <v>41</v>
      </c>
      <c r="C2283" s="55" t="s">
        <v>9277</v>
      </c>
      <c r="D2283" s="55" t="s">
        <v>9311</v>
      </c>
    </row>
    <row r="2284" ht="14.25" customHeight="1">
      <c r="A2284" s="55" t="s">
        <v>9309</v>
      </c>
      <c r="B2284" s="55" t="s">
        <v>41</v>
      </c>
      <c r="C2284" s="55" t="s">
        <v>10183</v>
      </c>
      <c r="D2284" s="55" t="s">
        <v>9281</v>
      </c>
    </row>
    <row r="2285" ht="14.25" customHeight="1">
      <c r="A2285" s="55" t="s">
        <v>9309</v>
      </c>
      <c r="B2285" s="55" t="s">
        <v>41</v>
      </c>
      <c r="C2285" s="55" t="s">
        <v>9331</v>
      </c>
      <c r="D2285" s="55" t="s">
        <v>8978</v>
      </c>
    </row>
    <row r="2286" ht="14.25" customHeight="1">
      <c r="A2286" s="55" t="s">
        <v>9309</v>
      </c>
      <c r="B2286" s="55" t="s">
        <v>41</v>
      </c>
      <c r="C2286" s="55" t="s">
        <v>10184</v>
      </c>
      <c r="D2286" s="55" t="s">
        <v>9332</v>
      </c>
    </row>
    <row r="2287" ht="14.25" customHeight="1">
      <c r="A2287" s="55" t="s">
        <v>9309</v>
      </c>
      <c r="B2287" s="55" t="s">
        <v>41</v>
      </c>
      <c r="C2287" s="55" t="s">
        <v>9280</v>
      </c>
      <c r="D2287" s="55" t="s">
        <v>9324</v>
      </c>
    </row>
    <row r="2288" ht="14.25" customHeight="1">
      <c r="A2288" s="55" t="s">
        <v>9309</v>
      </c>
      <c r="B2288" s="55" t="s">
        <v>41</v>
      </c>
      <c r="C2288" s="55" t="s">
        <v>9280</v>
      </c>
      <c r="D2288" s="55" t="s">
        <v>8968</v>
      </c>
    </row>
    <row r="2289" ht="14.25" customHeight="1">
      <c r="A2289" s="55" t="s">
        <v>9309</v>
      </c>
      <c r="B2289" s="55" t="s">
        <v>41</v>
      </c>
      <c r="C2289" s="55" t="s">
        <v>9280</v>
      </c>
      <c r="D2289" s="55" t="s">
        <v>9332</v>
      </c>
    </row>
    <row r="2290" ht="14.25" customHeight="1">
      <c r="A2290" s="55" t="s">
        <v>9309</v>
      </c>
      <c r="B2290" s="55" t="s">
        <v>41</v>
      </c>
      <c r="C2290" s="55" t="s">
        <v>10762</v>
      </c>
      <c r="D2290" s="55" t="s">
        <v>9034</v>
      </c>
    </row>
    <row r="2291" ht="14.25" customHeight="1">
      <c r="A2291" s="55" t="s">
        <v>9309</v>
      </c>
      <c r="B2291" s="55" t="s">
        <v>41</v>
      </c>
      <c r="C2291" s="55" t="s">
        <v>10762</v>
      </c>
      <c r="D2291" s="55" t="s">
        <v>11498</v>
      </c>
    </row>
    <row r="2292" ht="14.25" customHeight="1">
      <c r="A2292" s="55" t="s">
        <v>9309</v>
      </c>
      <c r="B2292" s="55" t="s">
        <v>41</v>
      </c>
      <c r="C2292" s="55" t="s">
        <v>10762</v>
      </c>
      <c r="D2292" s="55" t="s">
        <v>9131</v>
      </c>
    </row>
    <row r="2293" ht="14.25" customHeight="1">
      <c r="A2293" s="55" t="s">
        <v>9309</v>
      </c>
      <c r="B2293" s="55" t="s">
        <v>41</v>
      </c>
      <c r="C2293" s="55" t="s">
        <v>10762</v>
      </c>
      <c r="D2293" s="55" t="s">
        <v>12086</v>
      </c>
    </row>
    <row r="2294" ht="14.25" customHeight="1">
      <c r="A2294" s="55" t="s">
        <v>9309</v>
      </c>
      <c r="B2294" s="55" t="s">
        <v>41</v>
      </c>
      <c r="C2294" s="55" t="s">
        <v>10762</v>
      </c>
      <c r="D2294" s="55" t="s">
        <v>10783</v>
      </c>
    </row>
    <row r="2295" ht="14.25" customHeight="1">
      <c r="A2295" s="55" t="s">
        <v>9309</v>
      </c>
      <c r="B2295" s="55" t="s">
        <v>41</v>
      </c>
      <c r="C2295" s="55" t="s">
        <v>10762</v>
      </c>
      <c r="D2295" s="55" t="s">
        <v>10784</v>
      </c>
    </row>
    <row r="2296" ht="14.25" customHeight="1">
      <c r="A2296" s="55" t="s">
        <v>9309</v>
      </c>
      <c r="B2296" s="55" t="s">
        <v>41</v>
      </c>
      <c r="C2296" s="55" t="s">
        <v>10762</v>
      </c>
      <c r="D2296" s="55" t="s">
        <v>11499</v>
      </c>
    </row>
    <row r="2297" ht="14.25" customHeight="1">
      <c r="A2297" s="55" t="s">
        <v>9309</v>
      </c>
      <c r="B2297" s="55" t="s">
        <v>41</v>
      </c>
      <c r="C2297" s="55" t="s">
        <v>10762</v>
      </c>
      <c r="D2297" s="55" t="s">
        <v>10785</v>
      </c>
    </row>
    <row r="2298" ht="14.25" customHeight="1">
      <c r="A2298" s="55" t="s">
        <v>9309</v>
      </c>
      <c r="B2298" s="55" t="s">
        <v>41</v>
      </c>
      <c r="C2298" s="55" t="s">
        <v>10762</v>
      </c>
      <c r="D2298" s="55" t="s">
        <v>9332</v>
      </c>
    </row>
    <row r="2299" ht="14.25" customHeight="1">
      <c r="A2299" s="55" t="s">
        <v>9309</v>
      </c>
      <c r="B2299" s="55" t="s">
        <v>41</v>
      </c>
      <c r="C2299" s="55" t="s">
        <v>10762</v>
      </c>
      <c r="D2299" s="55" t="s">
        <v>12087</v>
      </c>
    </row>
    <row r="2300" ht="14.25" customHeight="1">
      <c r="A2300" s="55" t="s">
        <v>9309</v>
      </c>
      <c r="B2300" s="55" t="s">
        <v>41</v>
      </c>
      <c r="C2300" s="55" t="s">
        <v>10762</v>
      </c>
      <c r="D2300" s="55" t="s">
        <v>9315</v>
      </c>
    </row>
    <row r="2301" ht="14.25" customHeight="1">
      <c r="A2301" s="55" t="s">
        <v>9309</v>
      </c>
      <c r="B2301" s="55" t="s">
        <v>41</v>
      </c>
      <c r="C2301" s="55" t="s">
        <v>210</v>
      </c>
      <c r="D2301" s="55" t="s">
        <v>9034</v>
      </c>
    </row>
    <row r="2302" ht="14.25" customHeight="1">
      <c r="A2302" s="55" t="s">
        <v>9309</v>
      </c>
      <c r="B2302" s="55" t="s">
        <v>41</v>
      </c>
      <c r="C2302" s="55" t="s">
        <v>210</v>
      </c>
      <c r="D2302" s="55" t="s">
        <v>12088</v>
      </c>
    </row>
    <row r="2303" ht="14.25" customHeight="1">
      <c r="A2303" s="55" t="s">
        <v>9309</v>
      </c>
      <c r="B2303" s="55" t="s">
        <v>41</v>
      </c>
      <c r="C2303" s="55" t="s">
        <v>210</v>
      </c>
      <c r="D2303" s="55" t="s">
        <v>12089</v>
      </c>
    </row>
    <row r="2304" ht="14.25" customHeight="1">
      <c r="A2304" s="55" t="s">
        <v>9309</v>
      </c>
      <c r="B2304" s="55" t="s">
        <v>41</v>
      </c>
      <c r="C2304" s="55" t="s">
        <v>210</v>
      </c>
      <c r="D2304" s="55" t="s">
        <v>12090</v>
      </c>
    </row>
    <row r="2305" ht="14.25" customHeight="1">
      <c r="A2305" s="55" t="s">
        <v>9309</v>
      </c>
      <c r="B2305" s="55" t="s">
        <v>41</v>
      </c>
      <c r="C2305" s="55" t="s">
        <v>9333</v>
      </c>
      <c r="D2305" s="55" t="s">
        <v>9034</v>
      </c>
    </row>
    <row r="2306" ht="14.25" customHeight="1">
      <c r="A2306" s="55" t="s">
        <v>9309</v>
      </c>
      <c r="B2306" s="55" t="s">
        <v>41</v>
      </c>
      <c r="C2306" s="55" t="s">
        <v>9333</v>
      </c>
      <c r="D2306" s="55" t="s">
        <v>9131</v>
      </c>
    </row>
    <row r="2307" ht="14.25" customHeight="1">
      <c r="A2307" s="55" t="s">
        <v>9309</v>
      </c>
      <c r="B2307" s="55" t="s">
        <v>41</v>
      </c>
      <c r="C2307" s="55" t="s">
        <v>9333</v>
      </c>
      <c r="D2307" s="55" t="s">
        <v>9281</v>
      </c>
    </row>
    <row r="2308" ht="14.25" customHeight="1">
      <c r="A2308" s="55" t="s">
        <v>9309</v>
      </c>
      <c r="B2308" s="55" t="s">
        <v>41</v>
      </c>
      <c r="C2308" s="55" t="s">
        <v>9333</v>
      </c>
      <c r="D2308" s="55" t="s">
        <v>12210</v>
      </c>
    </row>
    <row r="2309" ht="14.25" customHeight="1">
      <c r="A2309" s="55" t="s">
        <v>9309</v>
      </c>
      <c r="B2309" s="55" t="s">
        <v>41</v>
      </c>
      <c r="C2309" s="55" t="s">
        <v>9333</v>
      </c>
      <c r="D2309" s="55" t="s">
        <v>8968</v>
      </c>
    </row>
    <row r="2310" ht="14.25" customHeight="1">
      <c r="A2310" s="55" t="s">
        <v>9309</v>
      </c>
      <c r="B2310" s="55" t="s">
        <v>41</v>
      </c>
      <c r="C2310" s="55" t="s">
        <v>9333</v>
      </c>
      <c r="D2310" s="55" t="s">
        <v>10786</v>
      </c>
    </row>
    <row r="2311" ht="14.25" customHeight="1">
      <c r="A2311" s="55" t="s">
        <v>9309</v>
      </c>
      <c r="B2311" s="55" t="s">
        <v>41</v>
      </c>
      <c r="C2311" s="55" t="s">
        <v>9333</v>
      </c>
      <c r="D2311" s="55" t="s">
        <v>12091</v>
      </c>
    </row>
    <row r="2312" ht="14.25" customHeight="1">
      <c r="A2312" s="55" t="s">
        <v>9309</v>
      </c>
      <c r="B2312" s="55" t="s">
        <v>41</v>
      </c>
      <c r="C2312" s="55" t="s">
        <v>9333</v>
      </c>
      <c r="D2312" s="55" t="s">
        <v>10787</v>
      </c>
    </row>
    <row r="2313" ht="14.25" customHeight="1">
      <c r="A2313" s="55" t="s">
        <v>9309</v>
      </c>
      <c r="B2313" s="55" t="s">
        <v>41</v>
      </c>
      <c r="C2313" s="55" t="s">
        <v>3962</v>
      </c>
      <c r="D2313" s="55" t="s">
        <v>8978</v>
      </c>
    </row>
    <row r="2314" ht="14.25" customHeight="1">
      <c r="A2314" s="55" t="s">
        <v>9309</v>
      </c>
      <c r="B2314" s="55" t="s">
        <v>41</v>
      </c>
      <c r="C2314" s="55" t="s">
        <v>9926</v>
      </c>
      <c r="D2314" s="55" t="s">
        <v>10204</v>
      </c>
    </row>
    <row r="2315" ht="14.25" customHeight="1">
      <c r="A2315" s="55" t="s">
        <v>9309</v>
      </c>
      <c r="B2315" s="55" t="s">
        <v>41</v>
      </c>
      <c r="C2315" s="55" t="s">
        <v>9334</v>
      </c>
      <c r="D2315" s="55" t="s">
        <v>9335</v>
      </c>
    </row>
    <row r="2316" ht="14.25" customHeight="1">
      <c r="A2316" s="55" t="s">
        <v>9309</v>
      </c>
      <c r="B2316" s="55" t="s">
        <v>41</v>
      </c>
      <c r="C2316" s="55" t="s">
        <v>4035</v>
      </c>
      <c r="D2316" s="55" t="s">
        <v>9281</v>
      </c>
    </row>
    <row r="2317" ht="14.25" customHeight="1">
      <c r="A2317" s="55" t="s">
        <v>9309</v>
      </c>
      <c r="B2317" s="55" t="s">
        <v>41</v>
      </c>
      <c r="C2317" s="55" t="s">
        <v>14176</v>
      </c>
      <c r="D2317" s="55" t="s">
        <v>10763</v>
      </c>
    </row>
    <row r="2318" ht="14.25" customHeight="1">
      <c r="A2318" s="55" t="s">
        <v>9309</v>
      </c>
      <c r="B2318" s="55" t="s">
        <v>41</v>
      </c>
      <c r="C2318" s="55" t="s">
        <v>14177</v>
      </c>
      <c r="D2318" s="55" t="s">
        <v>9131</v>
      </c>
    </row>
    <row r="2319" ht="14.25" customHeight="1">
      <c r="A2319" s="55" t="s">
        <v>9309</v>
      </c>
      <c r="B2319" s="55" t="s">
        <v>41</v>
      </c>
      <c r="C2319" s="55" t="s">
        <v>7038</v>
      </c>
      <c r="D2319" s="55" t="s">
        <v>12092</v>
      </c>
    </row>
    <row r="2320" ht="14.25" customHeight="1">
      <c r="A2320" s="55" t="s">
        <v>9309</v>
      </c>
      <c r="B2320" s="55" t="s">
        <v>41</v>
      </c>
      <c r="C2320" s="55" t="s">
        <v>4131</v>
      </c>
      <c r="D2320" s="55" t="s">
        <v>10788</v>
      </c>
    </row>
    <row r="2321" ht="14.25" customHeight="1">
      <c r="A2321" s="55" t="s">
        <v>9309</v>
      </c>
      <c r="B2321" s="55" t="s">
        <v>41</v>
      </c>
      <c r="C2321" s="55" t="s">
        <v>9336</v>
      </c>
      <c r="D2321" s="55" t="s">
        <v>9337</v>
      </c>
    </row>
    <row r="2322" ht="14.25" customHeight="1">
      <c r="A2322" s="55" t="s">
        <v>9309</v>
      </c>
      <c r="B2322" s="55" t="s">
        <v>41</v>
      </c>
      <c r="C2322" s="55" t="s">
        <v>10789</v>
      </c>
      <c r="D2322" s="55" t="s">
        <v>10204</v>
      </c>
    </row>
    <row r="2323" ht="14.25" customHeight="1">
      <c r="A2323" s="55" t="s">
        <v>9309</v>
      </c>
      <c r="B2323" s="55" t="s">
        <v>41</v>
      </c>
      <c r="C2323" s="55" t="s">
        <v>9090</v>
      </c>
      <c r="D2323" s="55" t="s">
        <v>10185</v>
      </c>
    </row>
    <row r="2324" ht="14.25" customHeight="1">
      <c r="A2324" s="55" t="s">
        <v>9309</v>
      </c>
      <c r="B2324" s="55" t="s">
        <v>41</v>
      </c>
      <c r="C2324" s="55" t="s">
        <v>9160</v>
      </c>
      <c r="D2324" s="55" t="s">
        <v>9319</v>
      </c>
    </row>
    <row r="2325" ht="14.25" customHeight="1">
      <c r="A2325" s="55" t="s">
        <v>9309</v>
      </c>
      <c r="B2325" s="55" t="s">
        <v>41</v>
      </c>
      <c r="C2325" s="55" t="s">
        <v>262</v>
      </c>
      <c r="D2325" s="55" t="s">
        <v>9034</v>
      </c>
    </row>
    <row r="2326" ht="14.25" customHeight="1">
      <c r="A2326" s="55" t="s">
        <v>9309</v>
      </c>
      <c r="B2326" s="55" t="s">
        <v>41</v>
      </c>
      <c r="C2326" s="55" t="s">
        <v>10790</v>
      </c>
      <c r="D2326" s="55" t="s">
        <v>10791</v>
      </c>
    </row>
    <row r="2327" ht="14.25" customHeight="1">
      <c r="A2327" s="55" t="s">
        <v>9309</v>
      </c>
      <c r="B2327" s="55" t="s">
        <v>41</v>
      </c>
      <c r="C2327" s="55" t="s">
        <v>10792</v>
      </c>
      <c r="D2327" s="55" t="s">
        <v>8968</v>
      </c>
    </row>
    <row r="2328" ht="14.25" customHeight="1">
      <c r="A2328" s="55" t="s">
        <v>9309</v>
      </c>
      <c r="B2328" s="55" t="s">
        <v>41</v>
      </c>
      <c r="C2328" s="55" t="s">
        <v>9338</v>
      </c>
      <c r="D2328" s="55" t="s">
        <v>8978</v>
      </c>
    </row>
    <row r="2329" ht="14.25" customHeight="1">
      <c r="A2329" s="55" t="s">
        <v>9309</v>
      </c>
      <c r="B2329" s="55" t="s">
        <v>41</v>
      </c>
      <c r="C2329" s="55" t="s">
        <v>14178</v>
      </c>
      <c r="D2329" s="55" t="s">
        <v>10204</v>
      </c>
    </row>
    <row r="2330" ht="14.25" customHeight="1">
      <c r="A2330" s="55" t="s">
        <v>9309</v>
      </c>
      <c r="B2330" s="55" t="s">
        <v>13</v>
      </c>
      <c r="C2330" s="55" t="s">
        <v>9313</v>
      </c>
      <c r="D2330" s="55" t="s">
        <v>13681</v>
      </c>
    </row>
    <row r="2331" ht="14.25" customHeight="1">
      <c r="A2331" s="55" t="s">
        <v>9309</v>
      </c>
      <c r="B2331" s="55" t="s">
        <v>13</v>
      </c>
      <c r="C2331" s="55" t="s">
        <v>9313</v>
      </c>
      <c r="D2331" s="55" t="s">
        <v>9326</v>
      </c>
    </row>
    <row r="2332" ht="14.25" customHeight="1">
      <c r="A2332" s="55" t="s">
        <v>9309</v>
      </c>
      <c r="B2332" s="55" t="s">
        <v>13</v>
      </c>
      <c r="C2332" s="55" t="s">
        <v>9303</v>
      </c>
      <c r="D2332" s="55" t="s">
        <v>10186</v>
      </c>
    </row>
    <row r="2333" ht="14.25" customHeight="1">
      <c r="A2333" s="55" t="s">
        <v>9309</v>
      </c>
      <c r="B2333" s="55" t="s">
        <v>13</v>
      </c>
      <c r="C2333" s="55" t="s">
        <v>9489</v>
      </c>
      <c r="D2333" s="55" t="s">
        <v>9176</v>
      </c>
    </row>
    <row r="2334" ht="14.25" customHeight="1">
      <c r="A2334" s="55" t="s">
        <v>9309</v>
      </c>
      <c r="B2334" s="55" t="s">
        <v>13</v>
      </c>
      <c r="C2334" s="55" t="s">
        <v>9541</v>
      </c>
      <c r="D2334" s="55" t="s">
        <v>10793</v>
      </c>
    </row>
    <row r="2335" ht="14.25" customHeight="1">
      <c r="A2335" s="55" t="s">
        <v>9309</v>
      </c>
      <c r="B2335" s="55" t="s">
        <v>13</v>
      </c>
      <c r="C2335" s="55" t="s">
        <v>3344</v>
      </c>
      <c r="D2335" s="55" t="s">
        <v>10794</v>
      </c>
    </row>
    <row r="2336" ht="14.25" customHeight="1">
      <c r="A2336" s="55" t="s">
        <v>9309</v>
      </c>
      <c r="B2336" s="55" t="s">
        <v>13</v>
      </c>
      <c r="C2336" s="55" t="s">
        <v>10184</v>
      </c>
      <c r="D2336" s="55" t="s">
        <v>10187</v>
      </c>
    </row>
    <row r="2337" ht="14.25" customHeight="1">
      <c r="A2337" s="55" t="s">
        <v>9309</v>
      </c>
      <c r="B2337" s="55" t="s">
        <v>13</v>
      </c>
      <c r="C2337" s="55" t="s">
        <v>10184</v>
      </c>
      <c r="D2337" s="55" t="s">
        <v>13682</v>
      </c>
    </row>
    <row r="2338" ht="14.25" customHeight="1">
      <c r="A2338" s="55" t="s">
        <v>9309</v>
      </c>
      <c r="B2338" s="55" t="s">
        <v>13</v>
      </c>
      <c r="C2338" s="55" t="s">
        <v>9090</v>
      </c>
      <c r="D2338" s="55" t="s">
        <v>10608</v>
      </c>
    </row>
    <row r="2339" ht="14.25" customHeight="1">
      <c r="A2339" s="55" t="s">
        <v>9309</v>
      </c>
      <c r="B2339" s="55" t="s">
        <v>13</v>
      </c>
      <c r="C2339" s="55" t="s">
        <v>13683</v>
      </c>
      <c r="D2339" s="55" t="s">
        <v>12210</v>
      </c>
    </row>
    <row r="2340" ht="14.25" customHeight="1">
      <c r="A2340" s="55" t="s">
        <v>9339</v>
      </c>
      <c r="B2340" s="55" t="s">
        <v>40</v>
      </c>
      <c r="C2340" s="55" t="s">
        <v>9034</v>
      </c>
      <c r="D2340" s="55" t="s">
        <v>9258</v>
      </c>
    </row>
    <row r="2341" ht="14.25" customHeight="1">
      <c r="A2341" s="55" t="s">
        <v>9339</v>
      </c>
      <c r="B2341" s="55" t="s">
        <v>40</v>
      </c>
      <c r="C2341" s="55" t="s">
        <v>9034</v>
      </c>
      <c r="D2341" s="55" t="s">
        <v>8978</v>
      </c>
    </row>
    <row r="2342" ht="14.25" customHeight="1">
      <c r="A2342" s="55" t="s">
        <v>9339</v>
      </c>
      <c r="B2342" s="55" t="s">
        <v>40</v>
      </c>
      <c r="C2342" s="55" t="s">
        <v>9034</v>
      </c>
      <c r="D2342" s="55" t="s">
        <v>14179</v>
      </c>
    </row>
    <row r="2343" ht="14.25" customHeight="1">
      <c r="A2343" s="55" t="s">
        <v>9339</v>
      </c>
      <c r="B2343" s="55" t="s">
        <v>40</v>
      </c>
      <c r="C2343" s="55" t="s">
        <v>9340</v>
      </c>
      <c r="D2343" s="55" t="s">
        <v>14180</v>
      </c>
    </row>
    <row r="2344" ht="14.25" customHeight="1">
      <c r="A2344" s="55" t="s">
        <v>9339</v>
      </c>
      <c r="B2344" s="55" t="s">
        <v>40</v>
      </c>
      <c r="C2344" s="55" t="s">
        <v>9340</v>
      </c>
      <c r="D2344" s="55" t="s">
        <v>9341</v>
      </c>
    </row>
    <row r="2345" ht="14.25" customHeight="1">
      <c r="A2345" s="55" t="s">
        <v>9339</v>
      </c>
      <c r="B2345" s="55" t="s">
        <v>40</v>
      </c>
      <c r="C2345" s="55" t="s">
        <v>9342</v>
      </c>
      <c r="D2345" s="55" t="s">
        <v>8978</v>
      </c>
    </row>
    <row r="2346" ht="14.25" customHeight="1">
      <c r="A2346" s="55" t="s">
        <v>9339</v>
      </c>
      <c r="B2346" s="55" t="s">
        <v>40</v>
      </c>
      <c r="C2346" s="55" t="s">
        <v>10767</v>
      </c>
      <c r="D2346" s="55" t="s">
        <v>11500</v>
      </c>
    </row>
    <row r="2347" ht="14.25" customHeight="1">
      <c r="A2347" s="55" t="s">
        <v>9339</v>
      </c>
      <c r="B2347" s="55" t="s">
        <v>40</v>
      </c>
      <c r="C2347" s="55" t="s">
        <v>10767</v>
      </c>
      <c r="D2347" s="55" t="s">
        <v>10763</v>
      </c>
    </row>
    <row r="2348" ht="14.25" customHeight="1">
      <c r="A2348" s="55" t="s">
        <v>9339</v>
      </c>
      <c r="B2348" s="55" t="s">
        <v>40</v>
      </c>
      <c r="C2348" s="55" t="s">
        <v>12093</v>
      </c>
      <c r="D2348" s="55" t="s">
        <v>12094</v>
      </c>
    </row>
    <row r="2349" ht="14.25" customHeight="1">
      <c r="A2349" s="55" t="s">
        <v>9339</v>
      </c>
      <c r="B2349" s="55" t="s">
        <v>40</v>
      </c>
      <c r="C2349" s="55" t="s">
        <v>10795</v>
      </c>
      <c r="D2349" s="55" t="s">
        <v>8978</v>
      </c>
    </row>
    <row r="2350" ht="14.25" customHeight="1">
      <c r="A2350" s="55" t="s">
        <v>9339</v>
      </c>
      <c r="B2350" s="55" t="s">
        <v>40</v>
      </c>
      <c r="C2350" s="55" t="s">
        <v>13684</v>
      </c>
      <c r="D2350" s="55" t="s">
        <v>8978</v>
      </c>
    </row>
    <row r="2351" ht="14.25" customHeight="1">
      <c r="A2351" s="55" t="s">
        <v>9339</v>
      </c>
      <c r="B2351" s="55" t="s">
        <v>40</v>
      </c>
      <c r="C2351" s="55" t="s">
        <v>8969</v>
      </c>
      <c r="D2351" s="55" t="s">
        <v>9034</v>
      </c>
    </row>
    <row r="2352" ht="14.25" customHeight="1">
      <c r="A2352" s="55" t="s">
        <v>9339</v>
      </c>
      <c r="B2352" s="55" t="s">
        <v>40</v>
      </c>
      <c r="C2352" s="55" t="s">
        <v>8969</v>
      </c>
      <c r="D2352" s="55" t="s">
        <v>8968</v>
      </c>
    </row>
    <row r="2353" ht="14.25" customHeight="1">
      <c r="A2353" s="55" t="s">
        <v>9339</v>
      </c>
      <c r="B2353" s="55" t="s">
        <v>40</v>
      </c>
      <c r="C2353" s="55" t="s">
        <v>8969</v>
      </c>
      <c r="D2353" s="55" t="s">
        <v>10189</v>
      </c>
    </row>
    <row r="2354" ht="14.25" customHeight="1">
      <c r="A2354" s="55" t="s">
        <v>9339</v>
      </c>
      <c r="B2354" s="55" t="s">
        <v>40</v>
      </c>
      <c r="C2354" s="55" t="s">
        <v>8969</v>
      </c>
      <c r="D2354" s="55" t="s">
        <v>9258</v>
      </c>
    </row>
    <row r="2355" ht="14.25" customHeight="1">
      <c r="A2355" s="55" t="s">
        <v>9339</v>
      </c>
      <c r="B2355" s="55" t="s">
        <v>40</v>
      </c>
      <c r="C2355" s="55" t="s">
        <v>8969</v>
      </c>
      <c r="D2355" s="55" t="s">
        <v>12062</v>
      </c>
    </row>
    <row r="2356" ht="14.25" customHeight="1">
      <c r="A2356" s="55" t="s">
        <v>9339</v>
      </c>
      <c r="B2356" s="55" t="s">
        <v>40</v>
      </c>
      <c r="C2356" s="55" t="s">
        <v>8969</v>
      </c>
      <c r="D2356" s="55" t="s">
        <v>9256</v>
      </c>
    </row>
    <row r="2357" ht="14.25" customHeight="1">
      <c r="A2357" s="55" t="s">
        <v>9339</v>
      </c>
      <c r="B2357" s="55" t="s">
        <v>40</v>
      </c>
      <c r="C2357" s="55" t="s">
        <v>8969</v>
      </c>
      <c r="D2357" s="55" t="s">
        <v>11478</v>
      </c>
    </row>
    <row r="2358" ht="14.25" customHeight="1">
      <c r="A2358" s="55" t="s">
        <v>9339</v>
      </c>
      <c r="B2358" s="55" t="s">
        <v>40</v>
      </c>
      <c r="C2358" s="55" t="s">
        <v>8969</v>
      </c>
      <c r="D2358" s="55" t="s">
        <v>8978</v>
      </c>
    </row>
    <row r="2359" ht="14.25" customHeight="1">
      <c r="A2359" s="55" t="s">
        <v>9339</v>
      </c>
      <c r="B2359" s="55" t="s">
        <v>40</v>
      </c>
      <c r="C2359" s="55" t="s">
        <v>8969</v>
      </c>
      <c r="D2359" s="55" t="s">
        <v>12092</v>
      </c>
    </row>
    <row r="2360" ht="14.25" customHeight="1">
      <c r="A2360" s="55" t="s">
        <v>9339</v>
      </c>
      <c r="B2360" s="55" t="s">
        <v>40</v>
      </c>
      <c r="C2360" s="55" t="s">
        <v>9257</v>
      </c>
      <c r="D2360" s="55" t="s">
        <v>9256</v>
      </c>
    </row>
    <row r="2361" ht="14.25" customHeight="1">
      <c r="A2361" s="55" t="s">
        <v>9339</v>
      </c>
      <c r="B2361" s="55" t="s">
        <v>40</v>
      </c>
      <c r="C2361" s="55" t="s">
        <v>9257</v>
      </c>
      <c r="D2361" s="55" t="s">
        <v>10036</v>
      </c>
    </row>
    <row r="2362" ht="14.25" customHeight="1">
      <c r="A2362" s="55" t="s">
        <v>9339</v>
      </c>
      <c r="B2362" s="55" t="s">
        <v>40</v>
      </c>
      <c r="C2362" s="55" t="s">
        <v>2379</v>
      </c>
      <c r="D2362" s="55" t="s">
        <v>9344</v>
      </c>
    </row>
    <row r="2363" ht="14.25" customHeight="1">
      <c r="A2363" s="55" t="s">
        <v>9339</v>
      </c>
      <c r="B2363" s="55" t="s">
        <v>40</v>
      </c>
      <c r="C2363" s="55" t="s">
        <v>2379</v>
      </c>
      <c r="D2363" s="55" t="s">
        <v>9343</v>
      </c>
    </row>
    <row r="2364" ht="14.25" customHeight="1">
      <c r="A2364" s="55" t="s">
        <v>9339</v>
      </c>
      <c r="B2364" s="55" t="s">
        <v>40</v>
      </c>
      <c r="C2364" s="55" t="s">
        <v>2379</v>
      </c>
      <c r="D2364" s="55" t="s">
        <v>10815</v>
      </c>
    </row>
    <row r="2365" ht="14.25" customHeight="1">
      <c r="A2365" s="55" t="s">
        <v>9339</v>
      </c>
      <c r="B2365" s="55" t="s">
        <v>40</v>
      </c>
      <c r="C2365" s="55" t="s">
        <v>2379</v>
      </c>
      <c r="D2365" s="55" t="s">
        <v>10796</v>
      </c>
    </row>
    <row r="2366" ht="14.25" customHeight="1">
      <c r="A2366" s="55" t="s">
        <v>9339</v>
      </c>
      <c r="B2366" s="55" t="s">
        <v>40</v>
      </c>
      <c r="C2366" s="55" t="s">
        <v>2379</v>
      </c>
      <c r="D2366" s="55" t="s">
        <v>9345</v>
      </c>
    </row>
    <row r="2367" ht="14.25" customHeight="1">
      <c r="A2367" s="55" t="s">
        <v>9339</v>
      </c>
      <c r="B2367" s="55" t="s">
        <v>40</v>
      </c>
      <c r="C2367" s="55" t="s">
        <v>2379</v>
      </c>
      <c r="D2367" s="55" t="s">
        <v>13685</v>
      </c>
    </row>
    <row r="2368" ht="14.25" customHeight="1">
      <c r="A2368" s="55" t="s">
        <v>9339</v>
      </c>
      <c r="B2368" s="55" t="s">
        <v>40</v>
      </c>
      <c r="C2368" s="55" t="s">
        <v>2379</v>
      </c>
      <c r="D2368" s="55" t="s">
        <v>9258</v>
      </c>
    </row>
    <row r="2369" ht="14.25" customHeight="1">
      <c r="A2369" s="55" t="s">
        <v>9339</v>
      </c>
      <c r="B2369" s="55" t="s">
        <v>40</v>
      </c>
      <c r="C2369" s="55" t="s">
        <v>2379</v>
      </c>
      <c r="D2369" s="55" t="s">
        <v>8978</v>
      </c>
    </row>
    <row r="2370" ht="14.25" customHeight="1">
      <c r="A2370" s="55" t="s">
        <v>9339</v>
      </c>
      <c r="B2370" s="55" t="s">
        <v>40</v>
      </c>
      <c r="C2370" s="55" t="s">
        <v>11684</v>
      </c>
      <c r="D2370" s="55" t="s">
        <v>8978</v>
      </c>
    </row>
    <row r="2371" ht="14.25" customHeight="1">
      <c r="A2371" s="55" t="s">
        <v>9339</v>
      </c>
      <c r="B2371" s="55" t="s">
        <v>40</v>
      </c>
      <c r="C2371" s="55" t="s">
        <v>9346</v>
      </c>
      <c r="D2371" s="55" t="s">
        <v>8978</v>
      </c>
    </row>
    <row r="2372" ht="14.25" customHeight="1">
      <c r="A2372" s="55" t="s">
        <v>9339</v>
      </c>
      <c r="B2372" s="55" t="s">
        <v>40</v>
      </c>
      <c r="C2372" s="55" t="s">
        <v>9347</v>
      </c>
      <c r="D2372" s="55" t="s">
        <v>9348</v>
      </c>
    </row>
    <row r="2373" ht="14.25" customHeight="1">
      <c r="A2373" s="55" t="s">
        <v>9339</v>
      </c>
      <c r="B2373" s="55" t="s">
        <v>40</v>
      </c>
      <c r="C2373" s="55" t="s">
        <v>9313</v>
      </c>
      <c r="D2373" s="55" t="s">
        <v>8978</v>
      </c>
    </row>
    <row r="2374" ht="14.25" customHeight="1">
      <c r="A2374" s="55" t="s">
        <v>9339</v>
      </c>
      <c r="B2374" s="55" t="s">
        <v>40</v>
      </c>
      <c r="C2374" s="55" t="s">
        <v>9349</v>
      </c>
      <c r="D2374" s="55" t="s">
        <v>8978</v>
      </c>
    </row>
    <row r="2375" ht="14.25" customHeight="1">
      <c r="A2375" s="55" t="s">
        <v>9339</v>
      </c>
      <c r="B2375" s="55" t="s">
        <v>40</v>
      </c>
      <c r="C2375" s="55" t="s">
        <v>9416</v>
      </c>
      <c r="D2375" s="55" t="s">
        <v>8978</v>
      </c>
    </row>
    <row r="2376" ht="14.25" customHeight="1">
      <c r="A2376" s="55" t="s">
        <v>9339</v>
      </c>
      <c r="B2376" s="55" t="s">
        <v>40</v>
      </c>
      <c r="C2376" s="55" t="s">
        <v>12095</v>
      </c>
      <c r="D2376" s="55" t="s">
        <v>8978</v>
      </c>
    </row>
    <row r="2377" ht="14.25" customHeight="1">
      <c r="A2377" s="55" t="s">
        <v>9339</v>
      </c>
      <c r="B2377" s="55" t="s">
        <v>40</v>
      </c>
      <c r="C2377" s="55" t="s">
        <v>10188</v>
      </c>
      <c r="D2377" s="55" t="s">
        <v>8978</v>
      </c>
    </row>
    <row r="2378" ht="14.25" customHeight="1">
      <c r="A2378" s="55" t="s">
        <v>9339</v>
      </c>
      <c r="B2378" s="55" t="s">
        <v>40</v>
      </c>
      <c r="C2378" s="55" t="s">
        <v>10797</v>
      </c>
      <c r="D2378" s="55" t="s">
        <v>8978</v>
      </c>
    </row>
    <row r="2379" ht="14.25" customHeight="1">
      <c r="A2379" s="55" t="s">
        <v>9339</v>
      </c>
      <c r="B2379" s="55" t="s">
        <v>40</v>
      </c>
      <c r="C2379" s="55" t="s">
        <v>9350</v>
      </c>
      <c r="D2379" s="55" t="s">
        <v>8978</v>
      </c>
    </row>
    <row r="2380" ht="14.25" customHeight="1">
      <c r="A2380" s="55" t="s">
        <v>9339</v>
      </c>
      <c r="B2380" s="55" t="s">
        <v>40</v>
      </c>
      <c r="C2380" s="55" t="s">
        <v>9351</v>
      </c>
      <c r="D2380" s="55" t="s">
        <v>9266</v>
      </c>
    </row>
    <row r="2381" ht="14.25" customHeight="1">
      <c r="A2381" s="55" t="s">
        <v>9339</v>
      </c>
      <c r="B2381" s="55" t="s">
        <v>40</v>
      </c>
      <c r="C2381" s="55" t="s">
        <v>9351</v>
      </c>
      <c r="D2381" s="55" t="s">
        <v>9352</v>
      </c>
    </row>
    <row r="2382" ht="14.25" customHeight="1">
      <c r="A2382" s="55" t="s">
        <v>9339</v>
      </c>
      <c r="B2382" s="55" t="s">
        <v>40</v>
      </c>
      <c r="C2382" s="55" t="s">
        <v>12096</v>
      </c>
      <c r="D2382" s="55" t="s">
        <v>9771</v>
      </c>
    </row>
    <row r="2383" ht="14.25" customHeight="1">
      <c r="A2383" s="55" t="s">
        <v>9339</v>
      </c>
      <c r="B2383" s="55" t="s">
        <v>40</v>
      </c>
      <c r="C2383" s="55" t="s">
        <v>10170</v>
      </c>
      <c r="D2383" s="55" t="s">
        <v>10189</v>
      </c>
    </row>
    <row r="2384" ht="14.25" customHeight="1">
      <c r="A2384" s="55" t="s">
        <v>9339</v>
      </c>
      <c r="B2384" s="55" t="s">
        <v>40</v>
      </c>
      <c r="C2384" s="55" t="s">
        <v>10170</v>
      </c>
      <c r="D2384" s="55" t="s">
        <v>11501</v>
      </c>
    </row>
    <row r="2385" ht="14.25" customHeight="1">
      <c r="A2385" s="55" t="s">
        <v>9339</v>
      </c>
      <c r="B2385" s="55" t="s">
        <v>40</v>
      </c>
      <c r="C2385" s="55" t="s">
        <v>10798</v>
      </c>
      <c r="D2385" s="55" t="s">
        <v>9034</v>
      </c>
    </row>
    <row r="2386" ht="14.25" customHeight="1">
      <c r="A2386" s="55" t="s">
        <v>9339</v>
      </c>
      <c r="B2386" s="55" t="s">
        <v>40</v>
      </c>
      <c r="C2386" s="55" t="s">
        <v>12097</v>
      </c>
      <c r="D2386" s="55" t="s">
        <v>10859</v>
      </c>
    </row>
    <row r="2387" ht="14.25" customHeight="1">
      <c r="A2387" s="55" t="s">
        <v>9339</v>
      </c>
      <c r="B2387" s="55" t="s">
        <v>40</v>
      </c>
      <c r="C2387" s="55" t="s">
        <v>11502</v>
      </c>
      <c r="D2387" s="55" t="s">
        <v>9258</v>
      </c>
    </row>
    <row r="2388" ht="14.25" customHeight="1">
      <c r="A2388" s="55" t="s">
        <v>9339</v>
      </c>
      <c r="B2388" s="55" t="s">
        <v>40</v>
      </c>
      <c r="C2388" s="55" t="s">
        <v>10799</v>
      </c>
      <c r="D2388" s="55" t="s">
        <v>9354</v>
      </c>
    </row>
    <row r="2389" ht="14.25" customHeight="1">
      <c r="A2389" s="55" t="s">
        <v>9339</v>
      </c>
      <c r="B2389" s="55" t="s">
        <v>40</v>
      </c>
      <c r="C2389" s="55" t="s">
        <v>9353</v>
      </c>
      <c r="D2389" s="55" t="s">
        <v>9354</v>
      </c>
    </row>
    <row r="2390" ht="14.25" customHeight="1">
      <c r="A2390" s="55" t="s">
        <v>9339</v>
      </c>
      <c r="B2390" s="55" t="s">
        <v>40</v>
      </c>
      <c r="C2390" s="55" t="s">
        <v>9355</v>
      </c>
      <c r="D2390" s="55" t="s">
        <v>12856</v>
      </c>
    </row>
    <row r="2391" ht="14.25" customHeight="1">
      <c r="A2391" s="55" t="s">
        <v>9339</v>
      </c>
      <c r="B2391" s="55" t="s">
        <v>40</v>
      </c>
      <c r="C2391" s="55" t="s">
        <v>9355</v>
      </c>
      <c r="D2391" s="55" t="s">
        <v>10800</v>
      </c>
    </row>
    <row r="2392" ht="14.25" customHeight="1">
      <c r="A2392" s="55" t="s">
        <v>9339</v>
      </c>
      <c r="B2392" s="55" t="s">
        <v>40</v>
      </c>
      <c r="C2392" s="55" t="s">
        <v>9355</v>
      </c>
      <c r="D2392" s="55" t="s">
        <v>8978</v>
      </c>
    </row>
    <row r="2393" ht="14.25" customHeight="1">
      <c r="A2393" s="55" t="s">
        <v>9339</v>
      </c>
      <c r="B2393" s="55" t="s">
        <v>40</v>
      </c>
      <c r="C2393" s="55" t="s">
        <v>13686</v>
      </c>
      <c r="D2393" s="55" t="s">
        <v>9034</v>
      </c>
    </row>
    <row r="2394" ht="14.25" customHeight="1">
      <c r="A2394" s="55" t="s">
        <v>9339</v>
      </c>
      <c r="B2394" s="55" t="s">
        <v>40</v>
      </c>
      <c r="C2394" s="55" t="s">
        <v>9015</v>
      </c>
      <c r="D2394" s="55" t="s">
        <v>9356</v>
      </c>
    </row>
    <row r="2395" ht="14.25" customHeight="1">
      <c r="A2395" s="55" t="s">
        <v>9339</v>
      </c>
      <c r="B2395" s="55" t="s">
        <v>40</v>
      </c>
      <c r="C2395" s="55" t="s">
        <v>12098</v>
      </c>
      <c r="D2395" s="55" t="s">
        <v>9383</v>
      </c>
    </row>
    <row r="2396" ht="14.25" customHeight="1">
      <c r="A2396" s="55" t="s">
        <v>9339</v>
      </c>
      <c r="B2396" s="55" t="s">
        <v>40</v>
      </c>
      <c r="C2396" s="55" t="s">
        <v>12099</v>
      </c>
      <c r="D2396" s="55" t="s">
        <v>12100</v>
      </c>
    </row>
    <row r="2397" ht="14.25" customHeight="1">
      <c r="A2397" s="55" t="s">
        <v>9339</v>
      </c>
      <c r="B2397" s="55" t="s">
        <v>40</v>
      </c>
      <c r="C2397" s="55" t="s">
        <v>9357</v>
      </c>
      <c r="D2397" s="55" t="s">
        <v>8968</v>
      </c>
    </row>
    <row r="2398" ht="14.25" customHeight="1">
      <c r="A2398" s="55" t="s">
        <v>9339</v>
      </c>
      <c r="B2398" s="55" t="s">
        <v>40</v>
      </c>
      <c r="C2398" s="55" t="s">
        <v>9357</v>
      </c>
      <c r="D2398" s="55" t="s">
        <v>8978</v>
      </c>
    </row>
    <row r="2399" ht="14.25" customHeight="1">
      <c r="A2399" s="55" t="s">
        <v>9339</v>
      </c>
      <c r="B2399" s="55" t="s">
        <v>40</v>
      </c>
      <c r="C2399" s="55" t="s">
        <v>13687</v>
      </c>
      <c r="D2399" s="55" t="s">
        <v>9258</v>
      </c>
    </row>
    <row r="2400" ht="14.25" customHeight="1">
      <c r="A2400" s="55" t="s">
        <v>9339</v>
      </c>
      <c r="B2400" s="55" t="s">
        <v>40</v>
      </c>
      <c r="C2400" s="55" t="s">
        <v>82</v>
      </c>
      <c r="D2400" s="55" t="s">
        <v>9645</v>
      </c>
    </row>
    <row r="2401" ht="14.25" customHeight="1">
      <c r="A2401" s="55" t="s">
        <v>9339</v>
      </c>
      <c r="B2401" s="55" t="s">
        <v>40</v>
      </c>
      <c r="C2401" s="55" t="s">
        <v>9358</v>
      </c>
      <c r="D2401" s="55" t="s">
        <v>9258</v>
      </c>
    </row>
    <row r="2402" ht="14.25" customHeight="1">
      <c r="A2402" s="55" t="s">
        <v>9339</v>
      </c>
      <c r="B2402" s="55" t="s">
        <v>40</v>
      </c>
      <c r="C2402" s="55" t="s">
        <v>9300</v>
      </c>
      <c r="D2402" s="55" t="s">
        <v>12857</v>
      </c>
    </row>
    <row r="2403" ht="14.25" customHeight="1">
      <c r="A2403" s="55" t="s">
        <v>9339</v>
      </c>
      <c r="B2403" s="55" t="s">
        <v>40</v>
      </c>
      <c r="C2403" s="55" t="s">
        <v>10657</v>
      </c>
      <c r="D2403" s="55" t="s">
        <v>10801</v>
      </c>
    </row>
    <row r="2404" ht="14.25" customHeight="1">
      <c r="A2404" s="55" t="s">
        <v>9339</v>
      </c>
      <c r="B2404" s="55" t="s">
        <v>40</v>
      </c>
      <c r="C2404" s="55" t="s">
        <v>88</v>
      </c>
      <c r="D2404" s="55" t="s">
        <v>8978</v>
      </c>
    </row>
    <row r="2405" ht="14.25" customHeight="1">
      <c r="A2405" s="55" t="s">
        <v>9339</v>
      </c>
      <c r="B2405" s="55" t="s">
        <v>40</v>
      </c>
      <c r="C2405" s="55" t="s">
        <v>14181</v>
      </c>
      <c r="D2405" s="55" t="s">
        <v>9258</v>
      </c>
    </row>
    <row r="2406" ht="14.25" customHeight="1">
      <c r="A2406" s="55" t="s">
        <v>9339</v>
      </c>
      <c r="B2406" s="55" t="s">
        <v>40</v>
      </c>
      <c r="C2406" s="55" t="s">
        <v>9261</v>
      </c>
      <c r="D2406" s="55" t="s">
        <v>8978</v>
      </c>
    </row>
    <row r="2407" ht="14.25" customHeight="1">
      <c r="A2407" s="55" t="s">
        <v>9339</v>
      </c>
      <c r="B2407" s="55" t="s">
        <v>40</v>
      </c>
      <c r="C2407" s="55" t="s">
        <v>9320</v>
      </c>
      <c r="D2407" s="55" t="s">
        <v>8978</v>
      </c>
    </row>
    <row r="2408" ht="14.25" customHeight="1">
      <c r="A2408" s="55" t="s">
        <v>9339</v>
      </c>
      <c r="B2408" s="55" t="s">
        <v>40</v>
      </c>
      <c r="C2408" s="55" t="s">
        <v>92</v>
      </c>
      <c r="D2408" s="55" t="s">
        <v>9050</v>
      </c>
    </row>
    <row r="2409" ht="14.25" customHeight="1">
      <c r="A2409" s="55" t="s">
        <v>9339</v>
      </c>
      <c r="B2409" s="55" t="s">
        <v>40</v>
      </c>
      <c r="C2409" s="55" t="s">
        <v>92</v>
      </c>
      <c r="D2409" s="55" t="s">
        <v>9354</v>
      </c>
    </row>
    <row r="2410" ht="14.25" customHeight="1">
      <c r="A2410" s="55" t="s">
        <v>9339</v>
      </c>
      <c r="B2410" s="55" t="s">
        <v>40</v>
      </c>
      <c r="C2410" s="55" t="s">
        <v>92</v>
      </c>
      <c r="D2410" s="55" t="s">
        <v>9430</v>
      </c>
    </row>
    <row r="2411" ht="14.25" customHeight="1">
      <c r="A2411" s="55" t="s">
        <v>9339</v>
      </c>
      <c r="B2411" s="55" t="s">
        <v>40</v>
      </c>
      <c r="C2411" s="55" t="s">
        <v>2669</v>
      </c>
      <c r="D2411" s="55" t="s">
        <v>9034</v>
      </c>
    </row>
    <row r="2412" ht="14.25" customHeight="1">
      <c r="A2412" s="55" t="s">
        <v>9339</v>
      </c>
      <c r="B2412" s="55" t="s">
        <v>40</v>
      </c>
      <c r="C2412" s="55" t="s">
        <v>2669</v>
      </c>
      <c r="D2412" s="55" t="s">
        <v>9383</v>
      </c>
    </row>
    <row r="2413" ht="14.25" customHeight="1">
      <c r="A2413" s="55" t="s">
        <v>9339</v>
      </c>
      <c r="B2413" s="55" t="s">
        <v>40</v>
      </c>
      <c r="C2413" s="55" t="s">
        <v>2669</v>
      </c>
      <c r="D2413" s="55" t="s">
        <v>9345</v>
      </c>
    </row>
    <row r="2414" ht="14.25" customHeight="1">
      <c r="A2414" s="55" t="s">
        <v>9339</v>
      </c>
      <c r="B2414" s="55" t="s">
        <v>40</v>
      </c>
      <c r="C2414" s="55" t="s">
        <v>2669</v>
      </c>
      <c r="D2414" s="55" t="s">
        <v>9574</v>
      </c>
    </row>
    <row r="2415" ht="14.25" customHeight="1">
      <c r="A2415" s="55" t="s">
        <v>9339</v>
      </c>
      <c r="B2415" s="55" t="s">
        <v>40</v>
      </c>
      <c r="C2415" s="55" t="s">
        <v>2669</v>
      </c>
      <c r="D2415" s="55" t="s">
        <v>9359</v>
      </c>
    </row>
    <row r="2416" ht="14.25" customHeight="1">
      <c r="A2416" s="55" t="s">
        <v>9339</v>
      </c>
      <c r="B2416" s="55" t="s">
        <v>40</v>
      </c>
      <c r="C2416" s="55" t="s">
        <v>2669</v>
      </c>
      <c r="D2416" s="55" t="s">
        <v>8978</v>
      </c>
    </row>
    <row r="2417" ht="14.25" customHeight="1">
      <c r="A2417" s="55" t="s">
        <v>9339</v>
      </c>
      <c r="B2417" s="55" t="s">
        <v>40</v>
      </c>
      <c r="C2417" s="55" t="s">
        <v>2669</v>
      </c>
      <c r="D2417" s="55" t="s">
        <v>9304</v>
      </c>
    </row>
    <row r="2418" ht="14.25" customHeight="1">
      <c r="A2418" s="55" t="s">
        <v>9339</v>
      </c>
      <c r="B2418" s="55" t="s">
        <v>40</v>
      </c>
      <c r="C2418" s="55" t="s">
        <v>2669</v>
      </c>
      <c r="D2418" s="55" t="s">
        <v>12858</v>
      </c>
    </row>
    <row r="2419" ht="14.25" customHeight="1">
      <c r="A2419" s="55" t="s">
        <v>9339</v>
      </c>
      <c r="B2419" s="55" t="s">
        <v>40</v>
      </c>
      <c r="C2419" s="55" t="s">
        <v>2669</v>
      </c>
      <c r="D2419" s="55" t="s">
        <v>11867</v>
      </c>
    </row>
    <row r="2420" ht="14.25" customHeight="1">
      <c r="A2420" s="55" t="s">
        <v>9339</v>
      </c>
      <c r="B2420" s="55" t="s">
        <v>40</v>
      </c>
      <c r="C2420" s="55" t="s">
        <v>2669</v>
      </c>
      <c r="D2420" s="55" t="s">
        <v>12859</v>
      </c>
    </row>
    <row r="2421" ht="14.25" customHeight="1">
      <c r="A2421" s="55" t="s">
        <v>9339</v>
      </c>
      <c r="B2421" s="55" t="s">
        <v>40</v>
      </c>
      <c r="C2421" s="55" t="s">
        <v>2669</v>
      </c>
      <c r="D2421" s="55" t="s">
        <v>12860</v>
      </c>
    </row>
    <row r="2422" ht="14.25" customHeight="1">
      <c r="A2422" s="55" t="s">
        <v>9339</v>
      </c>
      <c r="B2422" s="55" t="s">
        <v>40</v>
      </c>
      <c r="C2422" s="55" t="s">
        <v>2669</v>
      </c>
      <c r="D2422" s="55" t="s">
        <v>12861</v>
      </c>
    </row>
    <row r="2423" ht="14.25" customHeight="1">
      <c r="A2423" s="55" t="s">
        <v>9339</v>
      </c>
      <c r="B2423" s="55" t="s">
        <v>40</v>
      </c>
      <c r="C2423" s="55" t="s">
        <v>2669</v>
      </c>
      <c r="D2423" s="55" t="s">
        <v>12862</v>
      </c>
    </row>
    <row r="2424" ht="14.25" customHeight="1">
      <c r="A2424" s="55" t="s">
        <v>9339</v>
      </c>
      <c r="B2424" s="55" t="s">
        <v>40</v>
      </c>
      <c r="C2424" s="55" t="s">
        <v>2669</v>
      </c>
      <c r="D2424" s="55" t="s">
        <v>12101</v>
      </c>
    </row>
    <row r="2425" ht="14.25" customHeight="1">
      <c r="A2425" s="55" t="s">
        <v>9339</v>
      </c>
      <c r="B2425" s="55" t="s">
        <v>40</v>
      </c>
      <c r="C2425" s="55" t="s">
        <v>2669</v>
      </c>
      <c r="D2425" s="55" t="s">
        <v>13688</v>
      </c>
    </row>
    <row r="2426" ht="14.25" customHeight="1">
      <c r="A2426" s="55" t="s">
        <v>9339</v>
      </c>
      <c r="B2426" s="55" t="s">
        <v>40</v>
      </c>
      <c r="C2426" s="55" t="s">
        <v>2669</v>
      </c>
      <c r="D2426" s="55" t="s">
        <v>9360</v>
      </c>
    </row>
    <row r="2427" ht="14.25" customHeight="1">
      <c r="A2427" s="55" t="s">
        <v>9339</v>
      </c>
      <c r="B2427" s="55" t="s">
        <v>40</v>
      </c>
      <c r="C2427" s="55" t="s">
        <v>12102</v>
      </c>
      <c r="D2427" s="55" t="s">
        <v>9383</v>
      </c>
    </row>
    <row r="2428" ht="14.25" customHeight="1">
      <c r="A2428" s="55" t="s">
        <v>9339</v>
      </c>
      <c r="B2428" s="55" t="s">
        <v>40</v>
      </c>
      <c r="C2428" s="55" t="s">
        <v>9419</v>
      </c>
      <c r="D2428" s="55" t="s">
        <v>8978</v>
      </c>
    </row>
    <row r="2429" ht="14.25" customHeight="1">
      <c r="A2429" s="55" t="s">
        <v>9339</v>
      </c>
      <c r="B2429" s="55" t="s">
        <v>40</v>
      </c>
      <c r="C2429" s="55" t="s">
        <v>93</v>
      </c>
      <c r="D2429" s="55" t="s">
        <v>9258</v>
      </c>
    </row>
    <row r="2430" ht="14.25" customHeight="1">
      <c r="A2430" s="55" t="s">
        <v>9339</v>
      </c>
      <c r="B2430" s="55" t="s">
        <v>40</v>
      </c>
      <c r="C2430" s="55" t="s">
        <v>93</v>
      </c>
      <c r="D2430" s="55" t="s">
        <v>8978</v>
      </c>
    </row>
    <row r="2431" ht="14.25" customHeight="1">
      <c r="A2431" s="55" t="s">
        <v>9339</v>
      </c>
      <c r="B2431" s="55" t="s">
        <v>40</v>
      </c>
      <c r="C2431" s="55" t="s">
        <v>13689</v>
      </c>
      <c r="D2431" s="55" t="s">
        <v>8978</v>
      </c>
    </row>
    <row r="2432" ht="14.25" customHeight="1">
      <c r="A2432" s="55" t="s">
        <v>9339</v>
      </c>
      <c r="B2432" s="55" t="s">
        <v>40</v>
      </c>
      <c r="C2432" s="55" t="s">
        <v>12863</v>
      </c>
      <c r="D2432" s="55" t="s">
        <v>8978</v>
      </c>
    </row>
    <row r="2433" ht="14.25" customHeight="1">
      <c r="A2433" s="55" t="s">
        <v>9339</v>
      </c>
      <c r="B2433" s="55" t="s">
        <v>40</v>
      </c>
      <c r="C2433" s="55" t="s">
        <v>9302</v>
      </c>
      <c r="D2433" s="55" t="s">
        <v>9256</v>
      </c>
    </row>
    <row r="2434" ht="14.25" customHeight="1">
      <c r="A2434" s="55" t="s">
        <v>9339</v>
      </c>
      <c r="B2434" s="55" t="s">
        <v>40</v>
      </c>
      <c r="C2434" s="55" t="s">
        <v>6011</v>
      </c>
      <c r="D2434" s="55" t="s">
        <v>10802</v>
      </c>
    </row>
    <row r="2435" ht="14.25" customHeight="1">
      <c r="A2435" s="55" t="s">
        <v>9339</v>
      </c>
      <c r="B2435" s="55" t="s">
        <v>40</v>
      </c>
      <c r="C2435" s="55" t="s">
        <v>9361</v>
      </c>
      <c r="D2435" s="55" t="s">
        <v>9034</v>
      </c>
    </row>
    <row r="2436" ht="14.25" customHeight="1">
      <c r="A2436" s="55" t="s">
        <v>9339</v>
      </c>
      <c r="B2436" s="55" t="s">
        <v>40</v>
      </c>
      <c r="C2436" s="55" t="s">
        <v>9361</v>
      </c>
      <c r="D2436" s="55" t="s">
        <v>9383</v>
      </c>
    </row>
    <row r="2437" ht="14.25" customHeight="1">
      <c r="A2437" s="55" t="s">
        <v>9339</v>
      </c>
      <c r="B2437" s="55" t="s">
        <v>40</v>
      </c>
      <c r="C2437" s="55" t="s">
        <v>9361</v>
      </c>
      <c r="D2437" s="55" t="s">
        <v>8968</v>
      </c>
    </row>
    <row r="2438" ht="14.25" customHeight="1">
      <c r="A2438" s="55" t="s">
        <v>9339</v>
      </c>
      <c r="B2438" s="55" t="s">
        <v>40</v>
      </c>
      <c r="C2438" s="55" t="s">
        <v>9361</v>
      </c>
      <c r="D2438" s="55" t="s">
        <v>11503</v>
      </c>
    </row>
    <row r="2439" ht="14.25" customHeight="1">
      <c r="A2439" s="55" t="s">
        <v>9339</v>
      </c>
      <c r="B2439" s="55" t="s">
        <v>40</v>
      </c>
      <c r="C2439" s="55" t="s">
        <v>9361</v>
      </c>
      <c r="D2439" s="55" t="s">
        <v>9258</v>
      </c>
    </row>
    <row r="2440" ht="14.25" customHeight="1">
      <c r="A2440" s="55" t="s">
        <v>9339</v>
      </c>
      <c r="B2440" s="55" t="s">
        <v>40</v>
      </c>
      <c r="C2440" s="55" t="s">
        <v>9361</v>
      </c>
      <c r="D2440" s="55" t="s">
        <v>8978</v>
      </c>
    </row>
    <row r="2441" ht="14.25" customHeight="1">
      <c r="A2441" s="55" t="s">
        <v>9339</v>
      </c>
      <c r="B2441" s="55" t="s">
        <v>40</v>
      </c>
      <c r="C2441" s="55" t="s">
        <v>9361</v>
      </c>
      <c r="D2441" s="55" t="s">
        <v>12092</v>
      </c>
    </row>
    <row r="2442" ht="14.25" customHeight="1">
      <c r="A2442" s="55" t="s">
        <v>9339</v>
      </c>
      <c r="B2442" s="55" t="s">
        <v>40</v>
      </c>
      <c r="C2442" s="55" t="s">
        <v>9469</v>
      </c>
      <c r="D2442" s="55" t="s">
        <v>8978</v>
      </c>
    </row>
    <row r="2443" ht="14.25" customHeight="1">
      <c r="A2443" s="55" t="s">
        <v>9339</v>
      </c>
      <c r="B2443" s="55" t="s">
        <v>40</v>
      </c>
      <c r="C2443" s="55" t="s">
        <v>12864</v>
      </c>
      <c r="D2443" s="55" t="s">
        <v>9273</v>
      </c>
    </row>
    <row r="2444" ht="14.25" customHeight="1">
      <c r="A2444" s="55" t="s">
        <v>9339</v>
      </c>
      <c r="B2444" s="55" t="s">
        <v>40</v>
      </c>
      <c r="C2444" s="55" t="s">
        <v>14182</v>
      </c>
      <c r="D2444" s="55" t="s">
        <v>9258</v>
      </c>
    </row>
    <row r="2445" ht="14.25" customHeight="1">
      <c r="A2445" s="55" t="s">
        <v>9339</v>
      </c>
      <c r="B2445" s="55" t="s">
        <v>40</v>
      </c>
      <c r="C2445" s="55" t="s">
        <v>9323</v>
      </c>
      <c r="D2445" s="55" t="s">
        <v>8978</v>
      </c>
    </row>
    <row r="2446" ht="14.25" customHeight="1">
      <c r="A2446" s="55" t="s">
        <v>9339</v>
      </c>
      <c r="B2446" s="55" t="s">
        <v>40</v>
      </c>
      <c r="C2446" s="55" t="s">
        <v>10803</v>
      </c>
      <c r="D2446" s="55" t="s">
        <v>9258</v>
      </c>
    </row>
    <row r="2447" ht="14.25" customHeight="1">
      <c r="A2447" s="55" t="s">
        <v>9339</v>
      </c>
      <c r="B2447" s="55" t="s">
        <v>40</v>
      </c>
      <c r="C2447" s="55" t="s">
        <v>9362</v>
      </c>
      <c r="D2447" s="55" t="s">
        <v>9345</v>
      </c>
    </row>
    <row r="2448" ht="14.25" customHeight="1">
      <c r="A2448" s="55" t="s">
        <v>9339</v>
      </c>
      <c r="B2448" s="55" t="s">
        <v>40</v>
      </c>
      <c r="C2448" s="55" t="s">
        <v>9362</v>
      </c>
      <c r="D2448" s="55" t="s">
        <v>12865</v>
      </c>
    </row>
    <row r="2449" ht="14.25" customHeight="1">
      <c r="A2449" s="55" t="s">
        <v>9339</v>
      </c>
      <c r="B2449" s="55" t="s">
        <v>40</v>
      </c>
      <c r="C2449" s="55" t="s">
        <v>10804</v>
      </c>
      <c r="D2449" s="55" t="s">
        <v>9319</v>
      </c>
    </row>
    <row r="2450" ht="14.25" customHeight="1">
      <c r="A2450" s="55" t="s">
        <v>9339</v>
      </c>
      <c r="B2450" s="55" t="s">
        <v>40</v>
      </c>
      <c r="C2450" s="55" t="s">
        <v>10804</v>
      </c>
      <c r="D2450" s="55" t="s">
        <v>10805</v>
      </c>
    </row>
    <row r="2451" ht="14.25" customHeight="1">
      <c r="A2451" s="55" t="s">
        <v>9339</v>
      </c>
      <c r="B2451" s="55" t="s">
        <v>40</v>
      </c>
      <c r="C2451" s="55" t="s">
        <v>13690</v>
      </c>
      <c r="D2451" s="55" t="s">
        <v>8978</v>
      </c>
    </row>
    <row r="2452" ht="14.25" customHeight="1">
      <c r="A2452" s="55" t="s">
        <v>9339</v>
      </c>
      <c r="B2452" s="55" t="s">
        <v>40</v>
      </c>
      <c r="C2452" s="55" t="s">
        <v>4739</v>
      </c>
      <c r="D2452" s="55" t="s">
        <v>8978</v>
      </c>
    </row>
    <row r="2453" ht="14.25" customHeight="1">
      <c r="A2453" s="55" t="s">
        <v>9339</v>
      </c>
      <c r="B2453" s="55" t="s">
        <v>40</v>
      </c>
      <c r="C2453" s="55" t="s">
        <v>12866</v>
      </c>
      <c r="D2453" s="55" t="s">
        <v>9319</v>
      </c>
    </row>
    <row r="2454" ht="14.25" customHeight="1">
      <c r="A2454" s="55" t="s">
        <v>9339</v>
      </c>
      <c r="B2454" s="55" t="s">
        <v>40</v>
      </c>
      <c r="C2454" s="55" t="s">
        <v>12103</v>
      </c>
      <c r="D2454" s="55" t="s">
        <v>12867</v>
      </c>
    </row>
    <row r="2455" ht="14.25" customHeight="1">
      <c r="A2455" s="55" t="s">
        <v>9339</v>
      </c>
      <c r="B2455" s="55" t="s">
        <v>40</v>
      </c>
      <c r="C2455" s="55" t="s">
        <v>12103</v>
      </c>
      <c r="D2455" s="55" t="s">
        <v>9258</v>
      </c>
    </row>
    <row r="2456" ht="14.25" customHeight="1">
      <c r="A2456" s="55" t="s">
        <v>9339</v>
      </c>
      <c r="B2456" s="55" t="s">
        <v>40</v>
      </c>
      <c r="C2456" s="55" t="s">
        <v>12103</v>
      </c>
      <c r="D2456" s="55" t="s">
        <v>8978</v>
      </c>
    </row>
    <row r="2457" ht="14.25" customHeight="1">
      <c r="A2457" s="55" t="s">
        <v>9339</v>
      </c>
      <c r="B2457" s="55" t="s">
        <v>40</v>
      </c>
      <c r="C2457" s="55" t="s">
        <v>6057</v>
      </c>
      <c r="D2457" s="55" t="s">
        <v>8978</v>
      </c>
    </row>
    <row r="2458" ht="14.25" customHeight="1">
      <c r="A2458" s="55" t="s">
        <v>9339</v>
      </c>
      <c r="B2458" s="55" t="s">
        <v>40</v>
      </c>
      <c r="C2458" s="55" t="s">
        <v>12104</v>
      </c>
      <c r="D2458" s="55" t="s">
        <v>8978</v>
      </c>
    </row>
    <row r="2459" ht="14.25" customHeight="1">
      <c r="A2459" s="55" t="s">
        <v>9339</v>
      </c>
      <c r="B2459" s="55" t="s">
        <v>40</v>
      </c>
      <c r="C2459" s="55" t="s">
        <v>9113</v>
      </c>
      <c r="D2459" s="55" t="s">
        <v>9677</v>
      </c>
    </row>
    <row r="2460" ht="14.25" customHeight="1">
      <c r="A2460" s="55" t="s">
        <v>9339</v>
      </c>
      <c r="B2460" s="55" t="s">
        <v>40</v>
      </c>
      <c r="C2460" s="55" t="s">
        <v>9113</v>
      </c>
      <c r="D2460" s="55" t="s">
        <v>12868</v>
      </c>
    </row>
    <row r="2461" ht="14.25" customHeight="1">
      <c r="A2461" s="55" t="s">
        <v>9339</v>
      </c>
      <c r="B2461" s="55" t="s">
        <v>40</v>
      </c>
      <c r="C2461" s="55" t="s">
        <v>10737</v>
      </c>
      <c r="D2461" s="55" t="s">
        <v>9168</v>
      </c>
    </row>
    <row r="2462" ht="14.25" customHeight="1">
      <c r="A2462" s="55" t="s">
        <v>9339</v>
      </c>
      <c r="B2462" s="55" t="s">
        <v>40</v>
      </c>
      <c r="C2462" s="55" t="s">
        <v>12869</v>
      </c>
      <c r="D2462" s="55" t="s">
        <v>9258</v>
      </c>
    </row>
    <row r="2463" ht="14.25" customHeight="1">
      <c r="A2463" s="55" t="s">
        <v>9339</v>
      </c>
      <c r="B2463" s="55" t="s">
        <v>40</v>
      </c>
      <c r="C2463" s="55" t="s">
        <v>9363</v>
      </c>
      <c r="D2463" s="55" t="s">
        <v>8978</v>
      </c>
    </row>
    <row r="2464" ht="14.25" customHeight="1">
      <c r="A2464" s="55" t="s">
        <v>9339</v>
      </c>
      <c r="B2464" s="55" t="s">
        <v>40</v>
      </c>
      <c r="C2464" s="55" t="s">
        <v>2798</v>
      </c>
      <c r="D2464" s="55" t="s">
        <v>9034</v>
      </c>
    </row>
    <row r="2465" ht="14.25" customHeight="1">
      <c r="A2465" s="55" t="s">
        <v>9339</v>
      </c>
      <c r="B2465" s="55" t="s">
        <v>40</v>
      </c>
      <c r="C2465" s="55" t="s">
        <v>2798</v>
      </c>
      <c r="D2465" s="55" t="s">
        <v>9430</v>
      </c>
    </row>
    <row r="2466" ht="14.25" customHeight="1">
      <c r="A2466" s="55" t="s">
        <v>9339</v>
      </c>
      <c r="B2466" s="55" t="s">
        <v>40</v>
      </c>
      <c r="C2466" s="55" t="s">
        <v>2798</v>
      </c>
      <c r="D2466" s="55" t="s">
        <v>8978</v>
      </c>
    </row>
    <row r="2467" ht="14.25" customHeight="1">
      <c r="A2467" s="55" t="s">
        <v>9339</v>
      </c>
      <c r="B2467" s="55" t="s">
        <v>40</v>
      </c>
      <c r="C2467" s="55" t="s">
        <v>2798</v>
      </c>
      <c r="D2467" s="55" t="s">
        <v>9637</v>
      </c>
    </row>
    <row r="2468" ht="14.25" customHeight="1">
      <c r="A2468" s="55" t="s">
        <v>9339</v>
      </c>
      <c r="B2468" s="55" t="s">
        <v>40</v>
      </c>
      <c r="C2468" s="55" t="s">
        <v>2798</v>
      </c>
      <c r="D2468" s="55" t="s">
        <v>10197</v>
      </c>
    </row>
    <row r="2469" ht="14.25" customHeight="1">
      <c r="A2469" s="55" t="s">
        <v>9339</v>
      </c>
      <c r="B2469" s="55" t="s">
        <v>40</v>
      </c>
      <c r="C2469" s="55" t="s">
        <v>2798</v>
      </c>
      <c r="D2469" s="55" t="s">
        <v>12105</v>
      </c>
    </row>
    <row r="2470" ht="14.25" customHeight="1">
      <c r="A2470" s="55" t="s">
        <v>9339</v>
      </c>
      <c r="B2470" s="55" t="s">
        <v>40</v>
      </c>
      <c r="C2470" s="55" t="s">
        <v>9364</v>
      </c>
      <c r="D2470" s="55" t="s">
        <v>8978</v>
      </c>
    </row>
    <row r="2471" ht="14.25" customHeight="1">
      <c r="A2471" s="55" t="s">
        <v>9339</v>
      </c>
      <c r="B2471" s="55" t="s">
        <v>40</v>
      </c>
      <c r="C2471" s="55" t="s">
        <v>11504</v>
      </c>
      <c r="D2471" s="55" t="s">
        <v>11505</v>
      </c>
    </row>
    <row r="2472" ht="14.25" customHeight="1">
      <c r="A2472" s="55" t="s">
        <v>9339</v>
      </c>
      <c r="B2472" s="55" t="s">
        <v>40</v>
      </c>
      <c r="C2472" s="55" t="s">
        <v>9365</v>
      </c>
      <c r="D2472" s="55" t="s">
        <v>9366</v>
      </c>
    </row>
    <row r="2473" ht="14.25" customHeight="1">
      <c r="A2473" s="55" t="s">
        <v>9339</v>
      </c>
      <c r="B2473" s="55" t="s">
        <v>40</v>
      </c>
      <c r="C2473" s="55" t="s">
        <v>11506</v>
      </c>
      <c r="D2473" s="55" t="s">
        <v>8978</v>
      </c>
    </row>
    <row r="2474" ht="14.25" customHeight="1">
      <c r="A2474" s="55" t="s">
        <v>9339</v>
      </c>
      <c r="B2474" s="55" t="s">
        <v>40</v>
      </c>
      <c r="C2474" s="55" t="s">
        <v>12106</v>
      </c>
      <c r="D2474" s="55" t="s">
        <v>8978</v>
      </c>
    </row>
    <row r="2475" ht="14.25" customHeight="1">
      <c r="A2475" s="55" t="s">
        <v>9339</v>
      </c>
      <c r="B2475" s="55" t="s">
        <v>40</v>
      </c>
      <c r="C2475" s="55" t="s">
        <v>13691</v>
      </c>
      <c r="D2475" s="55" t="s">
        <v>9258</v>
      </c>
    </row>
    <row r="2476" ht="14.25" customHeight="1">
      <c r="A2476" s="55" t="s">
        <v>9339</v>
      </c>
      <c r="B2476" s="55" t="s">
        <v>40</v>
      </c>
      <c r="C2476" s="55" t="s">
        <v>10173</v>
      </c>
      <c r="D2476" s="55" t="s">
        <v>8978</v>
      </c>
    </row>
    <row r="2477" ht="14.25" customHeight="1">
      <c r="A2477" s="55" t="s">
        <v>9339</v>
      </c>
      <c r="B2477" s="55" t="s">
        <v>40</v>
      </c>
      <c r="C2477" s="55" t="s">
        <v>916</v>
      </c>
      <c r="D2477" s="55" t="s">
        <v>11507</v>
      </c>
    </row>
    <row r="2478" ht="14.25" customHeight="1">
      <c r="A2478" s="55" t="s">
        <v>9339</v>
      </c>
      <c r="B2478" s="55" t="s">
        <v>40</v>
      </c>
      <c r="C2478" s="55" t="s">
        <v>916</v>
      </c>
      <c r="D2478" s="55" t="s">
        <v>9380</v>
      </c>
    </row>
    <row r="2479" ht="14.25" customHeight="1">
      <c r="A2479" s="55" t="s">
        <v>9339</v>
      </c>
      <c r="B2479" s="55" t="s">
        <v>40</v>
      </c>
      <c r="C2479" s="55" t="s">
        <v>916</v>
      </c>
      <c r="D2479" s="55" t="s">
        <v>8968</v>
      </c>
    </row>
    <row r="2480" ht="14.25" customHeight="1">
      <c r="A2480" s="55" t="s">
        <v>9339</v>
      </c>
      <c r="B2480" s="55" t="s">
        <v>40</v>
      </c>
      <c r="C2480" s="55" t="s">
        <v>916</v>
      </c>
      <c r="D2480" s="55" t="s">
        <v>9258</v>
      </c>
    </row>
    <row r="2481" ht="14.25" customHeight="1">
      <c r="A2481" s="55" t="s">
        <v>9339</v>
      </c>
      <c r="B2481" s="55" t="s">
        <v>40</v>
      </c>
      <c r="C2481" s="55" t="s">
        <v>916</v>
      </c>
      <c r="D2481" s="55" t="s">
        <v>8978</v>
      </c>
    </row>
    <row r="2482" ht="14.25" customHeight="1">
      <c r="A2482" s="55" t="s">
        <v>9339</v>
      </c>
      <c r="B2482" s="55" t="s">
        <v>40</v>
      </c>
      <c r="C2482" s="55" t="s">
        <v>916</v>
      </c>
      <c r="D2482" s="55" t="s">
        <v>12092</v>
      </c>
    </row>
    <row r="2483" ht="14.25" customHeight="1">
      <c r="A2483" s="55" t="s">
        <v>9339</v>
      </c>
      <c r="B2483" s="55" t="s">
        <v>40</v>
      </c>
      <c r="C2483" s="55" t="s">
        <v>916</v>
      </c>
      <c r="D2483" s="55" t="s">
        <v>8976</v>
      </c>
    </row>
    <row r="2484" ht="14.25" customHeight="1">
      <c r="A2484" s="55" t="s">
        <v>9339</v>
      </c>
      <c r="B2484" s="55" t="s">
        <v>40</v>
      </c>
      <c r="C2484" s="55" t="s">
        <v>9630</v>
      </c>
      <c r="D2484" s="55" t="s">
        <v>14183</v>
      </c>
    </row>
    <row r="2485" ht="14.25" customHeight="1">
      <c r="A2485" s="55" t="s">
        <v>9339</v>
      </c>
      <c r="B2485" s="55" t="s">
        <v>40</v>
      </c>
      <c r="C2485" s="55" t="s">
        <v>9630</v>
      </c>
      <c r="D2485" s="55" t="s">
        <v>9354</v>
      </c>
    </row>
    <row r="2486" ht="14.25" customHeight="1">
      <c r="A2486" s="55" t="s">
        <v>9339</v>
      </c>
      <c r="B2486" s="55" t="s">
        <v>40</v>
      </c>
      <c r="C2486" s="55" t="s">
        <v>9630</v>
      </c>
      <c r="D2486" s="55" t="s">
        <v>12252</v>
      </c>
    </row>
    <row r="2487" ht="14.25" customHeight="1">
      <c r="A2487" s="55" t="s">
        <v>9339</v>
      </c>
      <c r="B2487" s="55" t="s">
        <v>40</v>
      </c>
      <c r="C2487" s="55" t="s">
        <v>9630</v>
      </c>
      <c r="D2487" s="55" t="s">
        <v>10806</v>
      </c>
    </row>
    <row r="2488" ht="14.25" customHeight="1">
      <c r="A2488" s="55" t="s">
        <v>9339</v>
      </c>
      <c r="B2488" s="55" t="s">
        <v>40</v>
      </c>
      <c r="C2488" s="55" t="s">
        <v>9630</v>
      </c>
      <c r="D2488" s="55" t="s">
        <v>8978</v>
      </c>
    </row>
    <row r="2489" ht="14.25" customHeight="1">
      <c r="A2489" s="55" t="s">
        <v>9339</v>
      </c>
      <c r="B2489" s="55" t="s">
        <v>40</v>
      </c>
      <c r="C2489" s="55" t="s">
        <v>9630</v>
      </c>
      <c r="D2489" s="55" t="s">
        <v>12870</v>
      </c>
    </row>
    <row r="2490" ht="14.25" customHeight="1">
      <c r="A2490" s="55" t="s">
        <v>9339</v>
      </c>
      <c r="B2490" s="55" t="s">
        <v>40</v>
      </c>
      <c r="C2490" s="55" t="s">
        <v>9630</v>
      </c>
      <c r="D2490" s="55" t="s">
        <v>12107</v>
      </c>
    </row>
    <row r="2491" ht="14.25" customHeight="1">
      <c r="A2491" s="55" t="s">
        <v>9339</v>
      </c>
      <c r="B2491" s="55" t="s">
        <v>40</v>
      </c>
      <c r="C2491" s="55" t="s">
        <v>10387</v>
      </c>
      <c r="D2491" s="55" t="s">
        <v>12107</v>
      </c>
    </row>
    <row r="2492" ht="14.25" customHeight="1">
      <c r="A2492" s="55" t="s">
        <v>9339</v>
      </c>
      <c r="B2492" s="55" t="s">
        <v>40</v>
      </c>
      <c r="C2492" s="55" t="s">
        <v>12108</v>
      </c>
      <c r="D2492" s="55" t="s">
        <v>12109</v>
      </c>
    </row>
    <row r="2493" ht="14.25" customHeight="1">
      <c r="A2493" s="55" t="s">
        <v>9339</v>
      </c>
      <c r="B2493" s="55" t="s">
        <v>40</v>
      </c>
      <c r="C2493" s="55" t="s">
        <v>10807</v>
      </c>
      <c r="D2493" s="55" t="s">
        <v>9034</v>
      </c>
    </row>
    <row r="2494" ht="14.25" customHeight="1">
      <c r="A2494" s="55" t="s">
        <v>9339</v>
      </c>
      <c r="B2494" s="55" t="s">
        <v>40</v>
      </c>
      <c r="C2494" s="55" t="s">
        <v>12110</v>
      </c>
      <c r="D2494" s="55" t="s">
        <v>10796</v>
      </c>
    </row>
    <row r="2495" ht="14.25" customHeight="1">
      <c r="A2495" s="55" t="s">
        <v>9339</v>
      </c>
      <c r="B2495" s="55" t="s">
        <v>40</v>
      </c>
      <c r="C2495" s="55" t="s">
        <v>10808</v>
      </c>
      <c r="D2495" s="55" t="s">
        <v>9034</v>
      </c>
    </row>
    <row r="2496" ht="14.25" customHeight="1">
      <c r="A2496" s="55" t="s">
        <v>9339</v>
      </c>
      <c r="B2496" s="55" t="s">
        <v>40</v>
      </c>
      <c r="C2496" s="55" t="s">
        <v>14184</v>
      </c>
      <c r="D2496" s="55" t="s">
        <v>8978</v>
      </c>
    </row>
    <row r="2497" ht="14.25" customHeight="1">
      <c r="A2497" s="55" t="s">
        <v>9339</v>
      </c>
      <c r="B2497" s="55" t="s">
        <v>40</v>
      </c>
      <c r="C2497" s="55" t="s">
        <v>9367</v>
      </c>
      <c r="D2497" s="55" t="s">
        <v>9368</v>
      </c>
    </row>
    <row r="2498" ht="14.25" customHeight="1">
      <c r="A2498" s="55" t="s">
        <v>9339</v>
      </c>
      <c r="B2498" s="55" t="s">
        <v>40</v>
      </c>
      <c r="C2498" s="55" t="s">
        <v>6182</v>
      </c>
      <c r="D2498" s="55" t="s">
        <v>9430</v>
      </c>
    </row>
    <row r="2499" ht="14.25" customHeight="1">
      <c r="A2499" s="55" t="s">
        <v>9339</v>
      </c>
      <c r="B2499" s="55" t="s">
        <v>40</v>
      </c>
      <c r="C2499" s="55" t="s">
        <v>6182</v>
      </c>
      <c r="D2499" s="55" t="s">
        <v>10806</v>
      </c>
    </row>
    <row r="2500" ht="14.25" customHeight="1">
      <c r="A2500" s="55" t="s">
        <v>9339</v>
      </c>
      <c r="B2500" s="55" t="s">
        <v>40</v>
      </c>
      <c r="C2500" s="55" t="s">
        <v>6182</v>
      </c>
      <c r="D2500" s="55" t="s">
        <v>9266</v>
      </c>
    </row>
    <row r="2501" ht="14.25" customHeight="1">
      <c r="A2501" s="55" t="s">
        <v>9339</v>
      </c>
      <c r="B2501" s="55" t="s">
        <v>40</v>
      </c>
      <c r="C2501" s="55" t="s">
        <v>6182</v>
      </c>
      <c r="D2501" s="55" t="s">
        <v>9637</v>
      </c>
    </row>
    <row r="2502" ht="14.25" customHeight="1">
      <c r="A2502" s="55" t="s">
        <v>9339</v>
      </c>
      <c r="B2502" s="55" t="s">
        <v>40</v>
      </c>
      <c r="C2502" s="55" t="s">
        <v>14185</v>
      </c>
      <c r="D2502" s="55" t="s">
        <v>8978</v>
      </c>
    </row>
    <row r="2503" ht="14.25" customHeight="1">
      <c r="A2503" s="55" t="s">
        <v>9339</v>
      </c>
      <c r="B2503" s="55" t="s">
        <v>40</v>
      </c>
      <c r="C2503" s="55" t="s">
        <v>12871</v>
      </c>
      <c r="D2503" s="55" t="s">
        <v>8978</v>
      </c>
    </row>
    <row r="2504" ht="14.25" customHeight="1">
      <c r="A2504" s="55" t="s">
        <v>9339</v>
      </c>
      <c r="B2504" s="55" t="s">
        <v>40</v>
      </c>
      <c r="C2504" s="55" t="s">
        <v>124</v>
      </c>
      <c r="D2504" s="55" t="s">
        <v>9258</v>
      </c>
    </row>
    <row r="2505" ht="14.25" customHeight="1">
      <c r="A2505" s="55" t="s">
        <v>9339</v>
      </c>
      <c r="B2505" s="55" t="s">
        <v>40</v>
      </c>
      <c r="C2505" s="55" t="s">
        <v>8981</v>
      </c>
      <c r="D2505" s="55" t="s">
        <v>9034</v>
      </c>
    </row>
    <row r="2506" ht="14.25" customHeight="1">
      <c r="A2506" s="55" t="s">
        <v>9339</v>
      </c>
      <c r="B2506" s="55" t="s">
        <v>40</v>
      </c>
      <c r="C2506" s="55" t="s">
        <v>8981</v>
      </c>
      <c r="D2506" s="55" t="s">
        <v>9258</v>
      </c>
    </row>
    <row r="2507" ht="14.25" customHeight="1">
      <c r="A2507" s="55" t="s">
        <v>9339</v>
      </c>
      <c r="B2507" s="55" t="s">
        <v>40</v>
      </c>
      <c r="C2507" s="55" t="s">
        <v>8981</v>
      </c>
      <c r="D2507" s="55" t="s">
        <v>8978</v>
      </c>
    </row>
    <row r="2508" ht="14.25" customHeight="1">
      <c r="A2508" s="55" t="s">
        <v>9339</v>
      </c>
      <c r="B2508" s="55" t="s">
        <v>40</v>
      </c>
      <c r="C2508" s="55" t="s">
        <v>2972</v>
      </c>
      <c r="D2508" s="55" t="s">
        <v>8978</v>
      </c>
    </row>
    <row r="2509" ht="14.25" customHeight="1">
      <c r="A2509" s="55" t="s">
        <v>9339</v>
      </c>
      <c r="B2509" s="55" t="s">
        <v>40</v>
      </c>
      <c r="C2509" s="55" t="s">
        <v>9268</v>
      </c>
      <c r="D2509" s="55" t="s">
        <v>12872</v>
      </c>
    </row>
    <row r="2510" ht="14.25" customHeight="1">
      <c r="A2510" s="55" t="s">
        <v>9339</v>
      </c>
      <c r="B2510" s="55" t="s">
        <v>40</v>
      </c>
      <c r="C2510" s="55" t="s">
        <v>7873</v>
      </c>
      <c r="D2510" s="55" t="s">
        <v>8978</v>
      </c>
    </row>
    <row r="2511" ht="14.25" customHeight="1">
      <c r="A2511" s="55" t="s">
        <v>9339</v>
      </c>
      <c r="B2511" s="55" t="s">
        <v>40</v>
      </c>
      <c r="C2511" s="55" t="s">
        <v>13692</v>
      </c>
      <c r="D2511" s="55" t="s">
        <v>9258</v>
      </c>
    </row>
    <row r="2512" ht="14.25" customHeight="1">
      <c r="A2512" s="55" t="s">
        <v>9339</v>
      </c>
      <c r="B2512" s="55" t="s">
        <v>40</v>
      </c>
      <c r="C2512" s="55" t="s">
        <v>9133</v>
      </c>
      <c r="D2512" s="55" t="s">
        <v>13693</v>
      </c>
    </row>
    <row r="2513" ht="14.25" customHeight="1">
      <c r="A2513" s="55" t="s">
        <v>9339</v>
      </c>
      <c r="B2513" s="55" t="s">
        <v>40</v>
      </c>
      <c r="C2513" s="55" t="s">
        <v>9133</v>
      </c>
      <c r="D2513" s="55" t="s">
        <v>9258</v>
      </c>
    </row>
    <row r="2514" ht="14.25" customHeight="1">
      <c r="A2514" s="55" t="s">
        <v>9339</v>
      </c>
      <c r="B2514" s="55" t="s">
        <v>40</v>
      </c>
      <c r="C2514" s="55" t="s">
        <v>9133</v>
      </c>
      <c r="D2514" s="55" t="s">
        <v>12111</v>
      </c>
    </row>
    <row r="2515" ht="14.25" customHeight="1">
      <c r="A2515" s="55" t="s">
        <v>9339</v>
      </c>
      <c r="B2515" s="55" t="s">
        <v>40</v>
      </c>
      <c r="C2515" s="55" t="s">
        <v>12058</v>
      </c>
      <c r="D2515" s="55" t="s">
        <v>13694</v>
      </c>
    </row>
    <row r="2516" ht="14.25" customHeight="1">
      <c r="A2516" s="55" t="s">
        <v>9339</v>
      </c>
      <c r="B2516" s="55" t="s">
        <v>40</v>
      </c>
      <c r="C2516" s="55" t="s">
        <v>12873</v>
      </c>
      <c r="D2516" s="55" t="s">
        <v>8978</v>
      </c>
    </row>
    <row r="2517" ht="14.25" customHeight="1">
      <c r="A2517" s="55" t="s">
        <v>9339</v>
      </c>
      <c r="B2517" s="55" t="s">
        <v>40</v>
      </c>
      <c r="C2517" s="55" t="s">
        <v>12112</v>
      </c>
      <c r="D2517" s="55" t="s">
        <v>8978</v>
      </c>
    </row>
    <row r="2518" ht="14.25" customHeight="1">
      <c r="A2518" s="55" t="s">
        <v>9339</v>
      </c>
      <c r="B2518" s="55" t="s">
        <v>40</v>
      </c>
      <c r="C2518" s="55" t="s">
        <v>12874</v>
      </c>
      <c r="D2518" s="55" t="s">
        <v>12875</v>
      </c>
    </row>
    <row r="2519" ht="14.25" customHeight="1">
      <c r="A2519" s="55" t="s">
        <v>9339</v>
      </c>
      <c r="B2519" s="55" t="s">
        <v>40</v>
      </c>
      <c r="C2519" s="55" t="s">
        <v>12876</v>
      </c>
      <c r="D2519" s="55" t="s">
        <v>8978</v>
      </c>
    </row>
    <row r="2520" ht="14.25" customHeight="1">
      <c r="A2520" s="55" t="s">
        <v>9339</v>
      </c>
      <c r="B2520" s="55" t="s">
        <v>40</v>
      </c>
      <c r="C2520" s="55" t="s">
        <v>10809</v>
      </c>
      <c r="D2520" s="55" t="s">
        <v>9380</v>
      </c>
    </row>
    <row r="2521" ht="14.25" customHeight="1">
      <c r="A2521" s="55" t="s">
        <v>9339</v>
      </c>
      <c r="B2521" s="55" t="s">
        <v>40</v>
      </c>
      <c r="C2521" s="55" t="s">
        <v>11508</v>
      </c>
      <c r="D2521" s="55" t="s">
        <v>9034</v>
      </c>
    </row>
    <row r="2522" ht="14.25" customHeight="1">
      <c r="A2522" s="55" t="s">
        <v>9339</v>
      </c>
      <c r="B2522" s="55" t="s">
        <v>40</v>
      </c>
      <c r="C2522" s="55" t="s">
        <v>11508</v>
      </c>
      <c r="D2522" s="55" t="s">
        <v>11503</v>
      </c>
    </row>
    <row r="2523" ht="14.25" customHeight="1">
      <c r="A2523" s="55" t="s">
        <v>9339</v>
      </c>
      <c r="B2523" s="55" t="s">
        <v>40</v>
      </c>
      <c r="C2523" s="55" t="s">
        <v>1051</v>
      </c>
      <c r="D2523" s="55" t="s">
        <v>9034</v>
      </c>
    </row>
    <row r="2524" ht="14.25" customHeight="1">
      <c r="A2524" s="55" t="s">
        <v>9339</v>
      </c>
      <c r="B2524" s="55" t="s">
        <v>40</v>
      </c>
      <c r="C2524" s="55" t="s">
        <v>1051</v>
      </c>
      <c r="D2524" s="55" t="s">
        <v>9383</v>
      </c>
    </row>
    <row r="2525" ht="14.25" customHeight="1">
      <c r="A2525" s="55" t="s">
        <v>9339</v>
      </c>
      <c r="B2525" s="55" t="s">
        <v>40</v>
      </c>
      <c r="C2525" s="55" t="s">
        <v>1051</v>
      </c>
      <c r="D2525" s="55" t="s">
        <v>9369</v>
      </c>
    </row>
    <row r="2526" ht="14.25" customHeight="1">
      <c r="A2526" s="55" t="s">
        <v>9339</v>
      </c>
      <c r="B2526" s="55" t="s">
        <v>40</v>
      </c>
      <c r="C2526" s="55" t="s">
        <v>1051</v>
      </c>
      <c r="D2526" s="55" t="s">
        <v>10810</v>
      </c>
    </row>
    <row r="2527" ht="14.25" customHeight="1">
      <c r="A2527" s="55" t="s">
        <v>9339</v>
      </c>
      <c r="B2527" s="55" t="s">
        <v>40</v>
      </c>
      <c r="C2527" s="55" t="s">
        <v>1051</v>
      </c>
      <c r="D2527" s="55" t="s">
        <v>8978</v>
      </c>
    </row>
    <row r="2528" ht="14.25" customHeight="1">
      <c r="A2528" s="55" t="s">
        <v>9339</v>
      </c>
      <c r="B2528" s="55" t="s">
        <v>40</v>
      </c>
      <c r="C2528" s="55" t="s">
        <v>12113</v>
      </c>
      <c r="D2528" s="55" t="s">
        <v>12114</v>
      </c>
    </row>
    <row r="2529" ht="14.25" customHeight="1">
      <c r="A2529" s="55" t="s">
        <v>9339</v>
      </c>
      <c r="B2529" s="55" t="s">
        <v>40</v>
      </c>
      <c r="C2529" s="55" t="s">
        <v>128</v>
      </c>
      <c r="D2529" s="55" t="s">
        <v>10811</v>
      </c>
    </row>
    <row r="2530" ht="14.25" customHeight="1">
      <c r="A2530" s="55" t="s">
        <v>9339</v>
      </c>
      <c r="B2530" s="55" t="s">
        <v>40</v>
      </c>
      <c r="C2530" s="55" t="s">
        <v>10812</v>
      </c>
      <c r="D2530" s="55" t="s">
        <v>10813</v>
      </c>
    </row>
    <row r="2531" ht="14.25" customHeight="1">
      <c r="A2531" s="55" t="s">
        <v>9339</v>
      </c>
      <c r="B2531" s="55" t="s">
        <v>40</v>
      </c>
      <c r="C2531" s="55" t="s">
        <v>10814</v>
      </c>
      <c r="D2531" s="55" t="s">
        <v>10815</v>
      </c>
    </row>
    <row r="2532" ht="14.25" customHeight="1">
      <c r="A2532" s="55" t="s">
        <v>9339</v>
      </c>
      <c r="B2532" s="55" t="s">
        <v>40</v>
      </c>
      <c r="C2532" s="55" t="s">
        <v>9426</v>
      </c>
      <c r="D2532" s="55" t="s">
        <v>9258</v>
      </c>
    </row>
    <row r="2533" ht="14.25" customHeight="1">
      <c r="A2533" s="55" t="s">
        <v>9339</v>
      </c>
      <c r="B2533" s="55" t="s">
        <v>40</v>
      </c>
      <c r="C2533" s="55" t="s">
        <v>9370</v>
      </c>
      <c r="D2533" s="55" t="s">
        <v>8968</v>
      </c>
    </row>
    <row r="2534" ht="14.25" customHeight="1">
      <c r="A2534" s="55" t="s">
        <v>9339</v>
      </c>
      <c r="B2534" s="55" t="s">
        <v>40</v>
      </c>
      <c r="C2534" s="55" t="s">
        <v>9370</v>
      </c>
      <c r="D2534" s="55" t="s">
        <v>8978</v>
      </c>
    </row>
    <row r="2535" ht="14.25" customHeight="1">
      <c r="A2535" s="55" t="s">
        <v>9339</v>
      </c>
      <c r="B2535" s="55" t="s">
        <v>40</v>
      </c>
      <c r="C2535" s="55" t="s">
        <v>12877</v>
      </c>
      <c r="D2535" s="55" t="s">
        <v>8978</v>
      </c>
    </row>
    <row r="2536" ht="14.25" customHeight="1">
      <c r="A2536" s="55" t="s">
        <v>9339</v>
      </c>
      <c r="B2536" s="55" t="s">
        <v>40</v>
      </c>
      <c r="C2536" s="55" t="s">
        <v>12878</v>
      </c>
      <c r="D2536" s="55" t="s">
        <v>12879</v>
      </c>
    </row>
    <row r="2537" ht="14.25" customHeight="1">
      <c r="A2537" s="55" t="s">
        <v>9339</v>
      </c>
      <c r="B2537" s="55" t="s">
        <v>40</v>
      </c>
      <c r="C2537" s="55" t="s">
        <v>10816</v>
      </c>
      <c r="D2537" s="55" t="s">
        <v>8978</v>
      </c>
    </row>
    <row r="2538" ht="14.25" customHeight="1">
      <c r="A2538" s="55" t="s">
        <v>9339</v>
      </c>
      <c r="B2538" s="55" t="s">
        <v>40</v>
      </c>
      <c r="C2538" s="55" t="s">
        <v>3138</v>
      </c>
      <c r="D2538" s="55" t="s">
        <v>9771</v>
      </c>
    </row>
    <row r="2539" ht="14.25" customHeight="1">
      <c r="A2539" s="55" t="s">
        <v>9339</v>
      </c>
      <c r="B2539" s="55" t="s">
        <v>40</v>
      </c>
      <c r="C2539" s="55" t="s">
        <v>3138</v>
      </c>
      <c r="D2539" s="55" t="s">
        <v>12880</v>
      </c>
    </row>
    <row r="2540" ht="14.25" customHeight="1">
      <c r="A2540" s="55" t="s">
        <v>9339</v>
      </c>
      <c r="B2540" s="55" t="s">
        <v>40</v>
      </c>
      <c r="C2540" s="55" t="s">
        <v>3138</v>
      </c>
      <c r="D2540" s="55" t="s">
        <v>9258</v>
      </c>
    </row>
    <row r="2541" ht="14.25" customHeight="1">
      <c r="A2541" s="55" t="s">
        <v>9339</v>
      </c>
      <c r="B2541" s="55" t="s">
        <v>40</v>
      </c>
      <c r="C2541" s="55" t="s">
        <v>3138</v>
      </c>
      <c r="D2541" s="55" t="s">
        <v>8978</v>
      </c>
    </row>
    <row r="2542" ht="14.25" customHeight="1">
      <c r="A2542" s="55" t="s">
        <v>9339</v>
      </c>
      <c r="B2542" s="55" t="s">
        <v>40</v>
      </c>
      <c r="C2542" s="55" t="s">
        <v>11509</v>
      </c>
      <c r="D2542" s="55" t="s">
        <v>9345</v>
      </c>
    </row>
    <row r="2543" ht="14.25" customHeight="1">
      <c r="A2543" s="55" t="s">
        <v>9339</v>
      </c>
      <c r="B2543" s="55" t="s">
        <v>40</v>
      </c>
      <c r="C2543" s="55" t="s">
        <v>9303</v>
      </c>
      <c r="D2543" s="55" t="s">
        <v>9236</v>
      </c>
    </row>
    <row r="2544" ht="14.25" customHeight="1">
      <c r="A2544" s="55" t="s">
        <v>9339</v>
      </c>
      <c r="B2544" s="55" t="s">
        <v>40</v>
      </c>
      <c r="C2544" s="55" t="s">
        <v>9303</v>
      </c>
      <c r="D2544" s="55" t="s">
        <v>10806</v>
      </c>
    </row>
    <row r="2545" ht="14.25" customHeight="1">
      <c r="A2545" s="55" t="s">
        <v>9339</v>
      </c>
      <c r="B2545" s="55" t="s">
        <v>40</v>
      </c>
      <c r="C2545" s="55" t="s">
        <v>9303</v>
      </c>
      <c r="D2545" s="55" t="s">
        <v>9371</v>
      </c>
    </row>
    <row r="2546" ht="14.25" customHeight="1">
      <c r="A2546" s="55" t="s">
        <v>9339</v>
      </c>
      <c r="B2546" s="55" t="s">
        <v>40</v>
      </c>
      <c r="C2546" s="55" t="s">
        <v>9303</v>
      </c>
      <c r="D2546" s="55" t="s">
        <v>9154</v>
      </c>
    </row>
    <row r="2547" ht="14.25" customHeight="1">
      <c r="A2547" s="55" t="s">
        <v>9339</v>
      </c>
      <c r="B2547" s="55" t="s">
        <v>40</v>
      </c>
      <c r="C2547" s="55" t="s">
        <v>9372</v>
      </c>
      <c r="D2547" s="55" t="s">
        <v>9373</v>
      </c>
    </row>
    <row r="2548" ht="14.25" customHeight="1">
      <c r="A2548" s="55" t="s">
        <v>9339</v>
      </c>
      <c r="B2548" s="55" t="s">
        <v>40</v>
      </c>
      <c r="C2548" s="55" t="s">
        <v>9374</v>
      </c>
      <c r="D2548" s="55" t="s">
        <v>9034</v>
      </c>
    </row>
    <row r="2549" ht="14.25" customHeight="1">
      <c r="A2549" s="55" t="s">
        <v>9339</v>
      </c>
      <c r="B2549" s="55" t="s">
        <v>40</v>
      </c>
      <c r="C2549" s="55" t="s">
        <v>9374</v>
      </c>
      <c r="D2549" s="55" t="s">
        <v>8968</v>
      </c>
    </row>
    <row r="2550" ht="14.25" customHeight="1">
      <c r="A2550" s="55" t="s">
        <v>9339</v>
      </c>
      <c r="B2550" s="55" t="s">
        <v>40</v>
      </c>
      <c r="C2550" s="55" t="s">
        <v>9374</v>
      </c>
      <c r="D2550" s="55" t="s">
        <v>10189</v>
      </c>
    </row>
    <row r="2551" ht="14.25" customHeight="1">
      <c r="A2551" s="55" t="s">
        <v>9339</v>
      </c>
      <c r="B2551" s="55" t="s">
        <v>40</v>
      </c>
      <c r="C2551" s="55" t="s">
        <v>9374</v>
      </c>
      <c r="D2551" s="55" t="s">
        <v>8978</v>
      </c>
    </row>
    <row r="2552" ht="14.25" customHeight="1">
      <c r="A2552" s="55" t="s">
        <v>9339</v>
      </c>
      <c r="B2552" s="55" t="s">
        <v>40</v>
      </c>
      <c r="C2552" s="55" t="s">
        <v>9375</v>
      </c>
      <c r="D2552" s="55" t="s">
        <v>8968</v>
      </c>
    </row>
    <row r="2553" ht="14.25" customHeight="1">
      <c r="A2553" s="55" t="s">
        <v>9339</v>
      </c>
      <c r="B2553" s="55" t="s">
        <v>40</v>
      </c>
      <c r="C2553" s="55" t="s">
        <v>11510</v>
      </c>
      <c r="D2553" s="55" t="s">
        <v>9034</v>
      </c>
    </row>
    <row r="2554" ht="14.25" customHeight="1">
      <c r="A2554" s="55" t="s">
        <v>9339</v>
      </c>
      <c r="B2554" s="55" t="s">
        <v>40</v>
      </c>
      <c r="C2554" s="55" t="s">
        <v>9376</v>
      </c>
      <c r="D2554" s="55" t="s">
        <v>8978</v>
      </c>
    </row>
    <row r="2555" ht="14.25" customHeight="1">
      <c r="A2555" s="55" t="s">
        <v>9339</v>
      </c>
      <c r="B2555" s="55" t="s">
        <v>40</v>
      </c>
      <c r="C2555" s="55" t="s">
        <v>12115</v>
      </c>
      <c r="D2555" s="55" t="s">
        <v>8978</v>
      </c>
    </row>
    <row r="2556" ht="14.25" customHeight="1">
      <c r="A2556" s="55" t="s">
        <v>9339</v>
      </c>
      <c r="B2556" s="55" t="s">
        <v>40</v>
      </c>
      <c r="C2556" s="55" t="s">
        <v>9377</v>
      </c>
      <c r="D2556" s="55" t="s">
        <v>9118</v>
      </c>
    </row>
    <row r="2557" ht="14.25" customHeight="1">
      <c r="A2557" s="55" t="s">
        <v>9339</v>
      </c>
      <c r="B2557" s="55" t="s">
        <v>40</v>
      </c>
      <c r="C2557" s="55" t="s">
        <v>6405</v>
      </c>
      <c r="D2557" s="55" t="s">
        <v>9352</v>
      </c>
    </row>
    <row r="2558" ht="14.25" customHeight="1">
      <c r="A2558" s="55" t="s">
        <v>9339</v>
      </c>
      <c r="B2558" s="55" t="s">
        <v>40</v>
      </c>
      <c r="C2558" s="55" t="s">
        <v>6405</v>
      </c>
      <c r="D2558" s="55" t="s">
        <v>9258</v>
      </c>
    </row>
    <row r="2559" ht="14.25" customHeight="1">
      <c r="A2559" s="55" t="s">
        <v>9339</v>
      </c>
      <c r="B2559" s="55" t="s">
        <v>40</v>
      </c>
      <c r="C2559" s="55" t="s">
        <v>6405</v>
      </c>
      <c r="D2559" s="55" t="s">
        <v>8978</v>
      </c>
    </row>
    <row r="2560" ht="14.25" customHeight="1">
      <c r="A2560" s="55" t="s">
        <v>9339</v>
      </c>
      <c r="B2560" s="55" t="s">
        <v>40</v>
      </c>
      <c r="C2560" s="55" t="s">
        <v>6405</v>
      </c>
      <c r="D2560" s="55" t="s">
        <v>12092</v>
      </c>
    </row>
    <row r="2561" ht="14.25" customHeight="1">
      <c r="A2561" s="55" t="s">
        <v>9339</v>
      </c>
      <c r="B2561" s="55" t="s">
        <v>40</v>
      </c>
      <c r="C2561" s="55" t="s">
        <v>10745</v>
      </c>
      <c r="D2561" s="55" t="s">
        <v>9034</v>
      </c>
    </row>
    <row r="2562" ht="14.25" customHeight="1">
      <c r="A2562" s="55" t="s">
        <v>9339</v>
      </c>
      <c r="B2562" s="55" t="s">
        <v>40</v>
      </c>
      <c r="C2562" s="55" t="s">
        <v>10745</v>
      </c>
      <c r="D2562" s="55" t="s">
        <v>10204</v>
      </c>
    </row>
    <row r="2563" ht="14.25" customHeight="1">
      <c r="A2563" s="55" t="s">
        <v>9339</v>
      </c>
      <c r="B2563" s="55" t="s">
        <v>40</v>
      </c>
      <c r="C2563" s="55" t="s">
        <v>9272</v>
      </c>
      <c r="D2563" s="55" t="s">
        <v>14186</v>
      </c>
    </row>
    <row r="2564" ht="14.25" customHeight="1">
      <c r="A2564" s="55" t="s">
        <v>9339</v>
      </c>
      <c r="B2564" s="55" t="s">
        <v>40</v>
      </c>
      <c r="C2564" s="55" t="s">
        <v>9272</v>
      </c>
      <c r="D2564" s="55" t="s">
        <v>8978</v>
      </c>
    </row>
    <row r="2565" ht="14.25" customHeight="1">
      <c r="A2565" s="55" t="s">
        <v>9339</v>
      </c>
      <c r="B2565" s="55" t="s">
        <v>40</v>
      </c>
      <c r="C2565" s="55" t="s">
        <v>307</v>
      </c>
      <c r="D2565" s="55" t="s">
        <v>11511</v>
      </c>
    </row>
    <row r="2566" ht="14.25" customHeight="1">
      <c r="A2566" s="55" t="s">
        <v>9339</v>
      </c>
      <c r="B2566" s="55" t="s">
        <v>40</v>
      </c>
      <c r="C2566" s="55" t="s">
        <v>307</v>
      </c>
      <c r="D2566" s="55" t="s">
        <v>9273</v>
      </c>
    </row>
    <row r="2567" ht="14.25" customHeight="1">
      <c r="A2567" s="55" t="s">
        <v>9339</v>
      </c>
      <c r="B2567" s="55" t="s">
        <v>40</v>
      </c>
      <c r="C2567" s="55" t="s">
        <v>307</v>
      </c>
      <c r="D2567" s="55" t="s">
        <v>8978</v>
      </c>
    </row>
    <row r="2568" ht="14.25" customHeight="1">
      <c r="A2568" s="55" t="s">
        <v>9339</v>
      </c>
      <c r="B2568" s="55" t="s">
        <v>40</v>
      </c>
      <c r="C2568" s="55" t="s">
        <v>12881</v>
      </c>
      <c r="D2568" s="55" t="s">
        <v>8976</v>
      </c>
    </row>
    <row r="2569" ht="14.25" customHeight="1">
      <c r="A2569" s="55" t="s">
        <v>9339</v>
      </c>
      <c r="B2569" s="55" t="s">
        <v>40</v>
      </c>
      <c r="C2569" s="55" t="s">
        <v>12116</v>
      </c>
      <c r="D2569" s="55" t="s">
        <v>10130</v>
      </c>
    </row>
    <row r="2570" ht="14.25" customHeight="1">
      <c r="A2570" s="55" t="s">
        <v>9339</v>
      </c>
      <c r="B2570" s="55" t="s">
        <v>40</v>
      </c>
      <c r="C2570" s="55" t="s">
        <v>12882</v>
      </c>
      <c r="D2570" s="55" t="s">
        <v>9034</v>
      </c>
    </row>
    <row r="2571" ht="14.25" customHeight="1">
      <c r="A2571" s="55" t="s">
        <v>9339</v>
      </c>
      <c r="B2571" s="55" t="s">
        <v>40</v>
      </c>
      <c r="C2571" s="55" t="s">
        <v>12883</v>
      </c>
      <c r="D2571" s="55" t="s">
        <v>9216</v>
      </c>
    </row>
    <row r="2572" ht="14.25" customHeight="1">
      <c r="A2572" s="55" t="s">
        <v>9339</v>
      </c>
      <c r="B2572" s="55" t="s">
        <v>40</v>
      </c>
      <c r="C2572" s="55" t="s">
        <v>153</v>
      </c>
      <c r="D2572" s="55" t="s">
        <v>12117</v>
      </c>
    </row>
    <row r="2573" ht="14.25" customHeight="1">
      <c r="A2573" s="55" t="s">
        <v>9339</v>
      </c>
      <c r="B2573" s="55" t="s">
        <v>40</v>
      </c>
      <c r="C2573" s="55" t="s">
        <v>153</v>
      </c>
      <c r="D2573" s="55" t="s">
        <v>10796</v>
      </c>
    </row>
    <row r="2574" ht="14.25" customHeight="1">
      <c r="A2574" s="55" t="s">
        <v>9339</v>
      </c>
      <c r="B2574" s="55" t="s">
        <v>40</v>
      </c>
      <c r="C2574" s="55" t="s">
        <v>153</v>
      </c>
      <c r="D2574" s="55" t="s">
        <v>8978</v>
      </c>
    </row>
    <row r="2575" ht="14.25" customHeight="1">
      <c r="A2575" s="55" t="s">
        <v>9339</v>
      </c>
      <c r="B2575" s="55" t="s">
        <v>40</v>
      </c>
      <c r="C2575" s="55" t="s">
        <v>13695</v>
      </c>
      <c r="D2575" s="55" t="s">
        <v>9034</v>
      </c>
    </row>
    <row r="2576" ht="14.25" customHeight="1">
      <c r="A2576" s="55" t="s">
        <v>9339</v>
      </c>
      <c r="B2576" s="55" t="s">
        <v>40</v>
      </c>
      <c r="C2576" s="55" t="s">
        <v>10190</v>
      </c>
      <c r="D2576" s="55" t="s">
        <v>8978</v>
      </c>
    </row>
    <row r="2577" ht="14.25" customHeight="1">
      <c r="A2577" s="55" t="s">
        <v>9339</v>
      </c>
      <c r="B2577" s="55" t="s">
        <v>40</v>
      </c>
      <c r="C2577" s="55" t="s">
        <v>9329</v>
      </c>
      <c r="D2577" s="55" t="s">
        <v>13696</v>
      </c>
    </row>
    <row r="2578" ht="14.25" customHeight="1">
      <c r="A2578" s="55" t="s">
        <v>9339</v>
      </c>
      <c r="B2578" s="55" t="s">
        <v>40</v>
      </c>
      <c r="C2578" s="55" t="s">
        <v>10817</v>
      </c>
      <c r="D2578" s="55" t="s">
        <v>559</v>
      </c>
    </row>
    <row r="2579" ht="14.25" customHeight="1">
      <c r="A2579" s="55" t="s">
        <v>9339</v>
      </c>
      <c r="B2579" s="55" t="s">
        <v>40</v>
      </c>
      <c r="C2579" s="55" t="s">
        <v>12884</v>
      </c>
      <c r="D2579" s="55" t="s">
        <v>12885</v>
      </c>
    </row>
    <row r="2580" ht="14.25" customHeight="1">
      <c r="A2580" s="55" t="s">
        <v>9339</v>
      </c>
      <c r="B2580" s="55" t="s">
        <v>40</v>
      </c>
      <c r="C2580" s="55" t="s">
        <v>9378</v>
      </c>
      <c r="D2580" s="55" t="s">
        <v>8978</v>
      </c>
    </row>
    <row r="2581" ht="14.25" customHeight="1">
      <c r="A2581" s="55" t="s">
        <v>9339</v>
      </c>
      <c r="B2581" s="55" t="s">
        <v>40</v>
      </c>
      <c r="C2581" s="55" t="s">
        <v>12886</v>
      </c>
      <c r="D2581" s="55" t="s">
        <v>12315</v>
      </c>
    </row>
    <row r="2582" ht="14.25" customHeight="1">
      <c r="A2582" s="55" t="s">
        <v>9339</v>
      </c>
      <c r="B2582" s="55" t="s">
        <v>40</v>
      </c>
      <c r="C2582" s="55" t="s">
        <v>9379</v>
      </c>
      <c r="D2582" s="55" t="s">
        <v>9380</v>
      </c>
    </row>
    <row r="2583" ht="14.25" customHeight="1">
      <c r="A2583" s="55" t="s">
        <v>9339</v>
      </c>
      <c r="B2583" s="55" t="s">
        <v>40</v>
      </c>
      <c r="C2583" s="55" t="s">
        <v>10191</v>
      </c>
      <c r="D2583" s="55" t="s">
        <v>8978</v>
      </c>
    </row>
    <row r="2584" ht="14.25" customHeight="1">
      <c r="A2584" s="55" t="s">
        <v>9339</v>
      </c>
      <c r="B2584" s="55" t="s">
        <v>40</v>
      </c>
      <c r="C2584" s="55" t="s">
        <v>9275</v>
      </c>
      <c r="D2584" s="55" t="s">
        <v>8968</v>
      </c>
    </row>
    <row r="2585" ht="14.25" customHeight="1">
      <c r="A2585" s="55" t="s">
        <v>9339</v>
      </c>
      <c r="B2585" s="55" t="s">
        <v>40</v>
      </c>
      <c r="C2585" s="55" t="s">
        <v>9275</v>
      </c>
      <c r="D2585" s="55" t="s">
        <v>8978</v>
      </c>
    </row>
    <row r="2586" ht="14.25" customHeight="1">
      <c r="A2586" s="55" t="s">
        <v>9339</v>
      </c>
      <c r="B2586" s="55" t="s">
        <v>40</v>
      </c>
      <c r="C2586" s="55" t="s">
        <v>9275</v>
      </c>
      <c r="D2586" s="55" t="s">
        <v>9381</v>
      </c>
    </row>
    <row r="2587" ht="14.25" customHeight="1">
      <c r="A2587" s="55" t="s">
        <v>9339</v>
      </c>
      <c r="B2587" s="55" t="s">
        <v>40</v>
      </c>
      <c r="C2587" s="55" t="s">
        <v>12826</v>
      </c>
      <c r="D2587" s="55" t="s">
        <v>8978</v>
      </c>
    </row>
    <row r="2588" ht="14.25" customHeight="1">
      <c r="A2588" s="55" t="s">
        <v>9339</v>
      </c>
      <c r="B2588" s="55" t="s">
        <v>40</v>
      </c>
      <c r="C2588" s="55" t="s">
        <v>12061</v>
      </c>
      <c r="D2588" s="55" t="s">
        <v>9034</v>
      </c>
    </row>
    <row r="2589" ht="14.25" customHeight="1">
      <c r="A2589" s="55" t="s">
        <v>9339</v>
      </c>
      <c r="B2589" s="55" t="s">
        <v>40</v>
      </c>
      <c r="C2589" s="55" t="s">
        <v>12061</v>
      </c>
      <c r="D2589" s="55" t="s">
        <v>12118</v>
      </c>
    </row>
    <row r="2590" ht="14.25" customHeight="1">
      <c r="A2590" s="55" t="s">
        <v>9339</v>
      </c>
      <c r="B2590" s="55" t="s">
        <v>40</v>
      </c>
      <c r="C2590" s="55" t="s">
        <v>12061</v>
      </c>
      <c r="D2590" s="55" t="s">
        <v>8978</v>
      </c>
    </row>
    <row r="2591" ht="14.25" customHeight="1">
      <c r="A2591" s="55" t="s">
        <v>9339</v>
      </c>
      <c r="B2591" s="55" t="s">
        <v>40</v>
      </c>
      <c r="C2591" s="55" t="s">
        <v>10818</v>
      </c>
      <c r="D2591" s="55" t="s">
        <v>8978</v>
      </c>
    </row>
    <row r="2592" ht="14.25" customHeight="1">
      <c r="A2592" s="55" t="s">
        <v>9339</v>
      </c>
      <c r="B2592" s="55" t="s">
        <v>40</v>
      </c>
      <c r="C2592" s="55" t="s">
        <v>10818</v>
      </c>
      <c r="D2592" s="55" t="s">
        <v>11512</v>
      </c>
    </row>
    <row r="2593" ht="14.25" customHeight="1">
      <c r="A2593" s="55" t="s">
        <v>9339</v>
      </c>
      <c r="B2593" s="55" t="s">
        <v>40</v>
      </c>
      <c r="C2593" s="55" t="s">
        <v>6538</v>
      </c>
      <c r="D2593" s="55" t="s">
        <v>8976</v>
      </c>
    </row>
    <row r="2594" ht="14.25" customHeight="1">
      <c r="A2594" s="55" t="s">
        <v>9339</v>
      </c>
      <c r="B2594" s="55" t="s">
        <v>40</v>
      </c>
      <c r="C2594" s="55" t="s">
        <v>13697</v>
      </c>
      <c r="D2594" s="55" t="s">
        <v>8978</v>
      </c>
    </row>
    <row r="2595" ht="14.25" customHeight="1">
      <c r="A2595" s="55" t="s">
        <v>9339</v>
      </c>
      <c r="B2595" s="55" t="s">
        <v>40</v>
      </c>
      <c r="C2595" s="55" t="s">
        <v>3517</v>
      </c>
      <c r="D2595" s="55" t="s">
        <v>9319</v>
      </c>
    </row>
    <row r="2596" ht="14.25" customHeight="1">
      <c r="A2596" s="55" t="s">
        <v>9339</v>
      </c>
      <c r="B2596" s="55" t="s">
        <v>40</v>
      </c>
      <c r="C2596" s="55" t="s">
        <v>10192</v>
      </c>
      <c r="D2596" s="55" t="s">
        <v>8978</v>
      </c>
    </row>
    <row r="2597" ht="14.25" customHeight="1">
      <c r="A2597" s="55" t="s">
        <v>9339</v>
      </c>
      <c r="B2597" s="55" t="s">
        <v>40</v>
      </c>
      <c r="C2597" s="55" t="s">
        <v>10193</v>
      </c>
      <c r="D2597" s="55" t="s">
        <v>8978</v>
      </c>
    </row>
    <row r="2598" ht="14.25" customHeight="1">
      <c r="A2598" s="55" t="s">
        <v>9339</v>
      </c>
      <c r="B2598" s="55" t="s">
        <v>40</v>
      </c>
      <c r="C2598" s="55" t="s">
        <v>10862</v>
      </c>
      <c r="D2598" s="55" t="s">
        <v>12119</v>
      </c>
    </row>
    <row r="2599" ht="14.25" customHeight="1">
      <c r="A2599" s="55" t="s">
        <v>9339</v>
      </c>
      <c r="B2599" s="55" t="s">
        <v>40</v>
      </c>
      <c r="C2599" s="55" t="s">
        <v>9382</v>
      </c>
      <c r="D2599" s="55" t="s">
        <v>9383</v>
      </c>
    </row>
    <row r="2600" ht="14.25" customHeight="1">
      <c r="A2600" s="55" t="s">
        <v>9339</v>
      </c>
      <c r="B2600" s="55" t="s">
        <v>40</v>
      </c>
      <c r="C2600" s="55" t="s">
        <v>9382</v>
      </c>
      <c r="D2600" s="55" t="s">
        <v>9384</v>
      </c>
    </row>
    <row r="2601" ht="14.25" customHeight="1">
      <c r="A2601" s="55" t="s">
        <v>9339</v>
      </c>
      <c r="B2601" s="55" t="s">
        <v>40</v>
      </c>
      <c r="C2601" s="55" t="s">
        <v>9382</v>
      </c>
      <c r="D2601" s="55" t="s">
        <v>8978</v>
      </c>
    </row>
    <row r="2602" ht="14.25" customHeight="1">
      <c r="A2602" s="55" t="s">
        <v>9339</v>
      </c>
      <c r="B2602" s="55" t="s">
        <v>40</v>
      </c>
      <c r="C2602" s="55" t="s">
        <v>10194</v>
      </c>
      <c r="D2602" s="55" t="s">
        <v>8978</v>
      </c>
    </row>
    <row r="2603" ht="14.25" customHeight="1">
      <c r="A2603" s="55" t="s">
        <v>9339</v>
      </c>
      <c r="B2603" s="55" t="s">
        <v>40</v>
      </c>
      <c r="C2603" s="55" t="s">
        <v>9385</v>
      </c>
      <c r="D2603" s="55" t="s">
        <v>12887</v>
      </c>
    </row>
    <row r="2604" ht="14.25" customHeight="1">
      <c r="A2604" s="55" t="s">
        <v>9339</v>
      </c>
      <c r="B2604" s="55" t="s">
        <v>40</v>
      </c>
      <c r="C2604" s="55" t="s">
        <v>9385</v>
      </c>
      <c r="D2604" s="55" t="s">
        <v>8978</v>
      </c>
    </row>
    <row r="2605" ht="14.25" customHeight="1">
      <c r="A2605" s="55" t="s">
        <v>9339</v>
      </c>
      <c r="B2605" s="55" t="s">
        <v>40</v>
      </c>
      <c r="C2605" s="55" t="s">
        <v>312</v>
      </c>
      <c r="D2605" s="55" t="s">
        <v>9034</v>
      </c>
    </row>
    <row r="2606" ht="14.25" customHeight="1">
      <c r="A2606" s="55" t="s">
        <v>9339</v>
      </c>
      <c r="B2606" s="55" t="s">
        <v>40</v>
      </c>
      <c r="C2606" s="55" t="s">
        <v>312</v>
      </c>
      <c r="D2606" s="55" t="s">
        <v>10819</v>
      </c>
    </row>
    <row r="2607" ht="14.25" customHeight="1">
      <c r="A2607" s="55" t="s">
        <v>9339</v>
      </c>
      <c r="B2607" s="55" t="s">
        <v>40</v>
      </c>
      <c r="C2607" s="55" t="s">
        <v>312</v>
      </c>
      <c r="D2607" s="55" t="s">
        <v>8978</v>
      </c>
    </row>
    <row r="2608" ht="14.25" customHeight="1">
      <c r="A2608" s="55" t="s">
        <v>9339</v>
      </c>
      <c r="B2608" s="55" t="s">
        <v>40</v>
      </c>
      <c r="C2608" s="55" t="s">
        <v>173</v>
      </c>
      <c r="D2608" s="55" t="s">
        <v>9258</v>
      </c>
    </row>
    <row r="2609" ht="14.25" customHeight="1">
      <c r="A2609" s="55" t="s">
        <v>9339</v>
      </c>
      <c r="B2609" s="55" t="s">
        <v>40</v>
      </c>
      <c r="C2609" s="55" t="s">
        <v>173</v>
      </c>
      <c r="D2609" s="55" t="s">
        <v>8978</v>
      </c>
    </row>
    <row r="2610" ht="14.25" customHeight="1">
      <c r="A2610" s="55" t="s">
        <v>9339</v>
      </c>
      <c r="B2610" s="55" t="s">
        <v>40</v>
      </c>
      <c r="C2610" s="55" t="s">
        <v>10820</v>
      </c>
      <c r="D2610" s="55" t="s">
        <v>9258</v>
      </c>
    </row>
    <row r="2611" ht="14.25" customHeight="1">
      <c r="A2611" s="55" t="s">
        <v>9339</v>
      </c>
      <c r="B2611" s="55" t="s">
        <v>40</v>
      </c>
      <c r="C2611" s="55" t="s">
        <v>9386</v>
      </c>
      <c r="D2611" s="55" t="s">
        <v>9345</v>
      </c>
    </row>
    <row r="2612" ht="14.25" customHeight="1">
      <c r="A2612" s="55" t="s">
        <v>9339</v>
      </c>
      <c r="B2612" s="55" t="s">
        <v>40</v>
      </c>
      <c r="C2612" s="55" t="s">
        <v>12120</v>
      </c>
      <c r="D2612" s="55" t="s">
        <v>9258</v>
      </c>
    </row>
    <row r="2613" ht="14.25" customHeight="1">
      <c r="A2613" s="55" t="s">
        <v>9339</v>
      </c>
      <c r="B2613" s="55" t="s">
        <v>40</v>
      </c>
      <c r="C2613" s="55" t="s">
        <v>11513</v>
      </c>
      <c r="D2613" s="55" t="s">
        <v>11514</v>
      </c>
    </row>
    <row r="2614" ht="14.25" customHeight="1">
      <c r="A2614" s="55" t="s">
        <v>9339</v>
      </c>
      <c r="B2614" s="55" t="s">
        <v>40</v>
      </c>
      <c r="C2614" s="55" t="s">
        <v>12888</v>
      </c>
      <c r="D2614" s="55" t="s">
        <v>8978</v>
      </c>
    </row>
    <row r="2615" ht="14.25" customHeight="1">
      <c r="A2615" s="55" t="s">
        <v>9339</v>
      </c>
      <c r="B2615" s="55" t="s">
        <v>40</v>
      </c>
      <c r="C2615" s="55" t="s">
        <v>10821</v>
      </c>
      <c r="D2615" s="55" t="s">
        <v>10576</v>
      </c>
    </row>
    <row r="2616" ht="14.25" customHeight="1">
      <c r="A2616" s="55" t="s">
        <v>9339</v>
      </c>
      <c r="B2616" s="55" t="s">
        <v>40</v>
      </c>
      <c r="C2616" s="55" t="s">
        <v>9427</v>
      </c>
      <c r="D2616" s="55" t="s">
        <v>8978</v>
      </c>
    </row>
    <row r="2617" ht="14.25" customHeight="1">
      <c r="A2617" s="55" t="s">
        <v>9339</v>
      </c>
      <c r="B2617" s="55" t="s">
        <v>40</v>
      </c>
      <c r="C2617" s="55" t="s">
        <v>9387</v>
      </c>
      <c r="D2617" s="55" t="s">
        <v>8978</v>
      </c>
    </row>
    <row r="2618" ht="14.25" customHeight="1">
      <c r="A2618" s="55" t="s">
        <v>9339</v>
      </c>
      <c r="B2618" s="55" t="s">
        <v>40</v>
      </c>
      <c r="C2618" s="55" t="s">
        <v>3566</v>
      </c>
      <c r="D2618" s="55" t="s">
        <v>9034</v>
      </c>
    </row>
    <row r="2619" ht="14.25" customHeight="1">
      <c r="A2619" s="55" t="s">
        <v>9339</v>
      </c>
      <c r="B2619" s="55" t="s">
        <v>40</v>
      </c>
      <c r="C2619" s="55" t="s">
        <v>3566</v>
      </c>
      <c r="D2619" s="55" t="s">
        <v>9388</v>
      </c>
    </row>
    <row r="2620" ht="14.25" customHeight="1">
      <c r="A2620" s="55" t="s">
        <v>9339</v>
      </c>
      <c r="B2620" s="55" t="s">
        <v>40</v>
      </c>
      <c r="C2620" s="55" t="s">
        <v>3566</v>
      </c>
      <c r="D2620" s="55" t="s">
        <v>10174</v>
      </c>
    </row>
    <row r="2621" ht="14.25" customHeight="1">
      <c r="A2621" s="55" t="s">
        <v>9339</v>
      </c>
      <c r="B2621" s="55" t="s">
        <v>40</v>
      </c>
      <c r="C2621" s="55" t="s">
        <v>3566</v>
      </c>
      <c r="D2621" s="55" t="s">
        <v>9345</v>
      </c>
    </row>
    <row r="2622" ht="14.25" customHeight="1">
      <c r="A2622" s="55" t="s">
        <v>9339</v>
      </c>
      <c r="B2622" s="55" t="s">
        <v>40</v>
      </c>
      <c r="C2622" s="55" t="s">
        <v>3566</v>
      </c>
      <c r="D2622" s="55" t="s">
        <v>8968</v>
      </c>
    </row>
    <row r="2623" ht="14.25" customHeight="1">
      <c r="A2623" s="55" t="s">
        <v>9339</v>
      </c>
      <c r="B2623" s="55" t="s">
        <v>40</v>
      </c>
      <c r="C2623" s="55" t="s">
        <v>3566</v>
      </c>
      <c r="D2623" s="55" t="s">
        <v>9404</v>
      </c>
    </row>
    <row r="2624" ht="14.25" customHeight="1">
      <c r="A2624" s="55" t="s">
        <v>9339</v>
      </c>
      <c r="B2624" s="55" t="s">
        <v>40</v>
      </c>
      <c r="C2624" s="55" t="s">
        <v>3566</v>
      </c>
      <c r="D2624" s="55" t="s">
        <v>8978</v>
      </c>
    </row>
    <row r="2625" ht="14.25" customHeight="1">
      <c r="A2625" s="55" t="s">
        <v>9339</v>
      </c>
      <c r="B2625" s="55" t="s">
        <v>40</v>
      </c>
      <c r="C2625" s="55" t="s">
        <v>3566</v>
      </c>
      <c r="D2625" s="55" t="s">
        <v>8976</v>
      </c>
    </row>
    <row r="2626" ht="14.25" customHeight="1">
      <c r="A2626" s="55" t="s">
        <v>9339</v>
      </c>
      <c r="B2626" s="55" t="s">
        <v>40</v>
      </c>
      <c r="C2626" s="55" t="s">
        <v>14187</v>
      </c>
      <c r="D2626" s="55" t="s">
        <v>9383</v>
      </c>
    </row>
    <row r="2627" ht="14.25" customHeight="1">
      <c r="A2627" s="55" t="s">
        <v>9339</v>
      </c>
      <c r="B2627" s="55" t="s">
        <v>40</v>
      </c>
      <c r="C2627" s="55" t="s">
        <v>1513</v>
      </c>
      <c r="D2627" s="55" t="s">
        <v>8978</v>
      </c>
    </row>
    <row r="2628" ht="14.25" customHeight="1">
      <c r="A2628" s="55" t="s">
        <v>9339</v>
      </c>
      <c r="B2628" s="55" t="s">
        <v>40</v>
      </c>
      <c r="C2628" s="55" t="s">
        <v>14188</v>
      </c>
      <c r="D2628" s="55" t="s">
        <v>8978</v>
      </c>
    </row>
    <row r="2629" ht="14.25" customHeight="1">
      <c r="A2629" s="55" t="s">
        <v>9339</v>
      </c>
      <c r="B2629" s="55" t="s">
        <v>40</v>
      </c>
      <c r="C2629" s="55" t="s">
        <v>9389</v>
      </c>
      <c r="D2629" s="55" t="s">
        <v>8968</v>
      </c>
    </row>
    <row r="2630" ht="14.25" customHeight="1">
      <c r="A2630" s="55" t="s">
        <v>9339</v>
      </c>
      <c r="B2630" s="55" t="s">
        <v>40</v>
      </c>
      <c r="C2630" s="55" t="s">
        <v>13698</v>
      </c>
      <c r="D2630" s="55" t="s">
        <v>8978</v>
      </c>
    </row>
    <row r="2631" ht="14.25" customHeight="1">
      <c r="A2631" s="55" t="s">
        <v>9339</v>
      </c>
      <c r="B2631" s="55" t="s">
        <v>40</v>
      </c>
      <c r="C2631" s="55" t="s">
        <v>6654</v>
      </c>
      <c r="D2631" s="55" t="s">
        <v>9258</v>
      </c>
    </row>
    <row r="2632" ht="14.25" customHeight="1">
      <c r="A2632" s="55" t="s">
        <v>9339</v>
      </c>
      <c r="B2632" s="55" t="s">
        <v>40</v>
      </c>
      <c r="C2632" s="55" t="s">
        <v>10822</v>
      </c>
      <c r="D2632" s="55" t="s">
        <v>8978</v>
      </c>
    </row>
    <row r="2633" ht="14.25" customHeight="1">
      <c r="A2633" s="55" t="s">
        <v>9339</v>
      </c>
      <c r="B2633" s="55" t="s">
        <v>40</v>
      </c>
      <c r="C2633" s="55" t="s">
        <v>12889</v>
      </c>
      <c r="D2633" s="55" t="s">
        <v>12890</v>
      </c>
    </row>
    <row r="2634" ht="14.25" customHeight="1">
      <c r="A2634" s="55" t="s">
        <v>9339</v>
      </c>
      <c r="B2634" s="55" t="s">
        <v>40</v>
      </c>
      <c r="C2634" s="55" t="s">
        <v>10823</v>
      </c>
      <c r="D2634" s="55" t="s">
        <v>8978</v>
      </c>
    </row>
    <row r="2635" ht="14.25" customHeight="1">
      <c r="A2635" s="55" t="s">
        <v>9339</v>
      </c>
      <c r="B2635" s="55" t="s">
        <v>40</v>
      </c>
      <c r="C2635" s="55" t="s">
        <v>12891</v>
      </c>
      <c r="D2635" s="55" t="s">
        <v>12892</v>
      </c>
    </row>
    <row r="2636" ht="14.25" customHeight="1">
      <c r="A2636" s="55" t="s">
        <v>9339</v>
      </c>
      <c r="B2636" s="55" t="s">
        <v>40</v>
      </c>
      <c r="C2636" s="55" t="s">
        <v>9577</v>
      </c>
      <c r="D2636" s="55" t="s">
        <v>9578</v>
      </c>
    </row>
    <row r="2637" ht="14.25" customHeight="1">
      <c r="A2637" s="55" t="s">
        <v>9339</v>
      </c>
      <c r="B2637" s="55" t="s">
        <v>40</v>
      </c>
      <c r="C2637" s="55" t="s">
        <v>11515</v>
      </c>
      <c r="D2637" s="55" t="s">
        <v>11516</v>
      </c>
    </row>
    <row r="2638" ht="14.25" customHeight="1">
      <c r="A2638" s="55" t="s">
        <v>9339</v>
      </c>
      <c r="B2638" s="55" t="s">
        <v>40</v>
      </c>
      <c r="C2638" s="55" t="s">
        <v>9390</v>
      </c>
      <c r="D2638" s="55" t="s">
        <v>9034</v>
      </c>
    </row>
    <row r="2639" ht="14.25" customHeight="1">
      <c r="A2639" s="55" t="s">
        <v>9339</v>
      </c>
      <c r="B2639" s="55" t="s">
        <v>40</v>
      </c>
      <c r="C2639" s="55" t="s">
        <v>9390</v>
      </c>
      <c r="D2639" s="55" t="s">
        <v>9002</v>
      </c>
    </row>
    <row r="2640" ht="14.25" customHeight="1">
      <c r="A2640" s="55" t="s">
        <v>9339</v>
      </c>
      <c r="B2640" s="55" t="s">
        <v>40</v>
      </c>
      <c r="C2640" s="55" t="s">
        <v>9390</v>
      </c>
      <c r="D2640" s="55" t="s">
        <v>8978</v>
      </c>
    </row>
    <row r="2641" ht="14.25" customHeight="1">
      <c r="A2641" s="55" t="s">
        <v>9339</v>
      </c>
      <c r="B2641" s="55" t="s">
        <v>40</v>
      </c>
      <c r="C2641" s="55" t="s">
        <v>10824</v>
      </c>
      <c r="D2641" s="55" t="s">
        <v>10189</v>
      </c>
    </row>
    <row r="2642" ht="14.25" customHeight="1">
      <c r="A2642" s="55" t="s">
        <v>9339</v>
      </c>
      <c r="B2642" s="55" t="s">
        <v>40</v>
      </c>
      <c r="C2642" s="55" t="s">
        <v>9277</v>
      </c>
      <c r="D2642" s="55" t="s">
        <v>9574</v>
      </c>
    </row>
    <row r="2643" ht="14.25" customHeight="1">
      <c r="A2643" s="55" t="s">
        <v>9339</v>
      </c>
      <c r="B2643" s="55" t="s">
        <v>40</v>
      </c>
      <c r="C2643" s="55" t="s">
        <v>9277</v>
      </c>
      <c r="D2643" s="55" t="s">
        <v>9526</v>
      </c>
    </row>
    <row r="2644" ht="14.25" customHeight="1">
      <c r="A2644" s="55" t="s">
        <v>9339</v>
      </c>
      <c r="B2644" s="55" t="s">
        <v>40</v>
      </c>
      <c r="C2644" s="55" t="s">
        <v>9277</v>
      </c>
      <c r="D2644" s="55" t="s">
        <v>9391</v>
      </c>
    </row>
    <row r="2645" ht="14.25" customHeight="1">
      <c r="A2645" s="55" t="s">
        <v>9339</v>
      </c>
      <c r="B2645" s="55" t="s">
        <v>40</v>
      </c>
      <c r="C2645" s="55" t="s">
        <v>9277</v>
      </c>
      <c r="D2645" s="55" t="s">
        <v>10825</v>
      </c>
    </row>
    <row r="2646" ht="14.25" customHeight="1">
      <c r="A2646" s="55" t="s">
        <v>9339</v>
      </c>
      <c r="B2646" s="55" t="s">
        <v>40</v>
      </c>
      <c r="C2646" s="55" t="s">
        <v>9277</v>
      </c>
      <c r="D2646" s="55" t="s">
        <v>8978</v>
      </c>
    </row>
    <row r="2647" ht="14.25" customHeight="1">
      <c r="A2647" s="55" t="s">
        <v>9339</v>
      </c>
      <c r="B2647" s="55" t="s">
        <v>40</v>
      </c>
      <c r="C2647" s="55" t="s">
        <v>12121</v>
      </c>
      <c r="D2647" s="55" t="s">
        <v>9345</v>
      </c>
    </row>
    <row r="2648" ht="14.25" customHeight="1">
      <c r="A2648" s="55" t="s">
        <v>9339</v>
      </c>
      <c r="B2648" s="55" t="s">
        <v>40</v>
      </c>
      <c r="C2648" s="55" t="s">
        <v>12893</v>
      </c>
      <c r="D2648" s="55" t="s">
        <v>12894</v>
      </c>
    </row>
    <row r="2649" ht="14.25" customHeight="1">
      <c r="A2649" s="55" t="s">
        <v>9339</v>
      </c>
      <c r="B2649" s="55" t="s">
        <v>40</v>
      </c>
      <c r="C2649" s="55" t="s">
        <v>202</v>
      </c>
      <c r="D2649" s="55" t="s">
        <v>9258</v>
      </c>
    </row>
    <row r="2650" ht="14.25" customHeight="1">
      <c r="A2650" s="55" t="s">
        <v>9339</v>
      </c>
      <c r="B2650" s="55" t="s">
        <v>40</v>
      </c>
      <c r="C2650" s="55" t="s">
        <v>203</v>
      </c>
      <c r="D2650" s="55" t="s">
        <v>10826</v>
      </c>
    </row>
    <row r="2651" ht="14.25" customHeight="1">
      <c r="A2651" s="55" t="s">
        <v>9339</v>
      </c>
      <c r="B2651" s="55" t="s">
        <v>40</v>
      </c>
      <c r="C2651" s="55" t="s">
        <v>203</v>
      </c>
      <c r="D2651" s="55" t="s">
        <v>8978</v>
      </c>
    </row>
    <row r="2652" ht="14.25" customHeight="1">
      <c r="A2652" s="55" t="s">
        <v>9339</v>
      </c>
      <c r="B2652" s="55" t="s">
        <v>40</v>
      </c>
      <c r="C2652" s="55" t="s">
        <v>10827</v>
      </c>
      <c r="D2652" s="55" t="s">
        <v>8978</v>
      </c>
    </row>
    <row r="2653" ht="14.25" customHeight="1">
      <c r="A2653" s="55" t="s">
        <v>9339</v>
      </c>
      <c r="B2653" s="55" t="s">
        <v>40</v>
      </c>
      <c r="C2653" s="55" t="s">
        <v>10195</v>
      </c>
      <c r="D2653" s="55" t="s">
        <v>8978</v>
      </c>
    </row>
    <row r="2654" ht="14.25" customHeight="1">
      <c r="A2654" s="55" t="s">
        <v>9339</v>
      </c>
      <c r="B2654" s="55" t="s">
        <v>40</v>
      </c>
      <c r="C2654" s="55" t="s">
        <v>9392</v>
      </c>
      <c r="D2654" s="55" t="s">
        <v>8978</v>
      </c>
    </row>
    <row r="2655" ht="14.25" customHeight="1">
      <c r="A2655" s="55" t="s">
        <v>9339</v>
      </c>
      <c r="B2655" s="55" t="s">
        <v>40</v>
      </c>
      <c r="C2655" s="55" t="s">
        <v>9331</v>
      </c>
      <c r="D2655" s="55" t="s">
        <v>10828</v>
      </c>
    </row>
    <row r="2656" ht="14.25" customHeight="1">
      <c r="A2656" s="55" t="s">
        <v>9339</v>
      </c>
      <c r="B2656" s="55" t="s">
        <v>40</v>
      </c>
      <c r="C2656" s="55" t="s">
        <v>10829</v>
      </c>
      <c r="D2656" s="55" t="s">
        <v>10830</v>
      </c>
    </row>
    <row r="2657" ht="14.25" customHeight="1">
      <c r="A2657" s="55" t="s">
        <v>9339</v>
      </c>
      <c r="B2657" s="55" t="s">
        <v>40</v>
      </c>
      <c r="C2657" s="55" t="s">
        <v>13699</v>
      </c>
      <c r="D2657" s="55" t="s">
        <v>8978</v>
      </c>
    </row>
    <row r="2658" ht="14.25" customHeight="1">
      <c r="A2658" s="55" t="s">
        <v>9339</v>
      </c>
      <c r="B2658" s="55" t="s">
        <v>40</v>
      </c>
      <c r="C2658" s="55" t="s">
        <v>11609</v>
      </c>
      <c r="D2658" s="55" t="s">
        <v>9430</v>
      </c>
    </row>
    <row r="2659" ht="14.25" customHeight="1">
      <c r="A2659" s="55" t="s">
        <v>9339</v>
      </c>
      <c r="B2659" s="55" t="s">
        <v>40</v>
      </c>
      <c r="C2659" s="55" t="s">
        <v>12895</v>
      </c>
      <c r="D2659" s="55" t="s">
        <v>8978</v>
      </c>
    </row>
    <row r="2660" ht="14.25" customHeight="1">
      <c r="A2660" s="55" t="s">
        <v>9339</v>
      </c>
      <c r="B2660" s="55" t="s">
        <v>40</v>
      </c>
      <c r="C2660" s="55" t="s">
        <v>10184</v>
      </c>
      <c r="D2660" s="55" t="s">
        <v>10259</v>
      </c>
    </row>
    <row r="2661" ht="14.25" customHeight="1">
      <c r="A2661" s="55" t="s">
        <v>9339</v>
      </c>
      <c r="B2661" s="55" t="s">
        <v>40</v>
      </c>
      <c r="C2661" s="55" t="s">
        <v>9280</v>
      </c>
      <c r="D2661" s="55" t="s">
        <v>9034</v>
      </c>
    </row>
    <row r="2662" ht="14.25" customHeight="1">
      <c r="A2662" s="55" t="s">
        <v>9339</v>
      </c>
      <c r="B2662" s="55" t="s">
        <v>40</v>
      </c>
      <c r="C2662" s="55" t="s">
        <v>9280</v>
      </c>
      <c r="D2662" s="55" t="s">
        <v>8978</v>
      </c>
    </row>
    <row r="2663" ht="14.25" customHeight="1">
      <c r="A2663" s="55" t="s">
        <v>9339</v>
      </c>
      <c r="B2663" s="55" t="s">
        <v>40</v>
      </c>
      <c r="C2663" s="55" t="s">
        <v>12122</v>
      </c>
      <c r="D2663" s="55" t="s">
        <v>12123</v>
      </c>
    </row>
    <row r="2664" ht="14.25" customHeight="1">
      <c r="A2664" s="55" t="s">
        <v>9339</v>
      </c>
      <c r="B2664" s="55" t="s">
        <v>40</v>
      </c>
      <c r="C2664" s="55" t="s">
        <v>10831</v>
      </c>
      <c r="D2664" s="55" t="s">
        <v>9291</v>
      </c>
    </row>
    <row r="2665" ht="14.25" customHeight="1">
      <c r="A2665" s="55" t="s">
        <v>9339</v>
      </c>
      <c r="B2665" s="55" t="s">
        <v>40</v>
      </c>
      <c r="C2665" s="55" t="s">
        <v>10831</v>
      </c>
      <c r="D2665" s="55" t="s">
        <v>8978</v>
      </c>
    </row>
    <row r="2666" ht="14.25" customHeight="1">
      <c r="A2666" s="55" t="s">
        <v>9339</v>
      </c>
      <c r="B2666" s="55" t="s">
        <v>40</v>
      </c>
      <c r="C2666" s="55" t="s">
        <v>9282</v>
      </c>
      <c r="D2666" s="55" t="s">
        <v>8978</v>
      </c>
    </row>
    <row r="2667" ht="14.25" customHeight="1">
      <c r="A2667" s="55" t="s">
        <v>9339</v>
      </c>
      <c r="B2667" s="55" t="s">
        <v>40</v>
      </c>
      <c r="C2667" s="55" t="s">
        <v>9393</v>
      </c>
      <c r="D2667" s="55" t="s">
        <v>9394</v>
      </c>
    </row>
    <row r="2668" ht="14.25" customHeight="1">
      <c r="A2668" s="55" t="s">
        <v>9339</v>
      </c>
      <c r="B2668" s="55" t="s">
        <v>40</v>
      </c>
      <c r="C2668" s="55" t="s">
        <v>9393</v>
      </c>
      <c r="D2668" s="55" t="s">
        <v>8978</v>
      </c>
    </row>
    <row r="2669" ht="14.25" customHeight="1">
      <c r="A2669" s="55" t="s">
        <v>9339</v>
      </c>
      <c r="B2669" s="55" t="s">
        <v>40</v>
      </c>
      <c r="C2669" s="55" t="s">
        <v>9395</v>
      </c>
      <c r="D2669" s="55" t="s">
        <v>8978</v>
      </c>
    </row>
    <row r="2670" ht="14.25" customHeight="1">
      <c r="A2670" s="55" t="s">
        <v>9339</v>
      </c>
      <c r="B2670" s="55" t="s">
        <v>40</v>
      </c>
      <c r="C2670" s="55" t="s">
        <v>6841</v>
      </c>
      <c r="D2670" s="55" t="s">
        <v>9430</v>
      </c>
    </row>
    <row r="2671" ht="14.25" customHeight="1">
      <c r="A2671" s="55" t="s">
        <v>9339</v>
      </c>
      <c r="B2671" s="55" t="s">
        <v>40</v>
      </c>
      <c r="C2671" s="55" t="s">
        <v>14189</v>
      </c>
      <c r="D2671" s="55" t="s">
        <v>9637</v>
      </c>
    </row>
    <row r="2672" ht="14.25" customHeight="1">
      <c r="A2672" s="55" t="s">
        <v>9339</v>
      </c>
      <c r="B2672" s="55" t="s">
        <v>40</v>
      </c>
      <c r="C2672" s="55" t="s">
        <v>218</v>
      </c>
      <c r="D2672" s="55" t="s">
        <v>9034</v>
      </c>
    </row>
    <row r="2673" ht="14.25" customHeight="1">
      <c r="A2673" s="55" t="s">
        <v>9339</v>
      </c>
      <c r="B2673" s="55" t="s">
        <v>40</v>
      </c>
      <c r="C2673" s="55" t="s">
        <v>218</v>
      </c>
      <c r="D2673" s="55" t="s">
        <v>12896</v>
      </c>
    </row>
    <row r="2674" ht="14.25" customHeight="1">
      <c r="A2674" s="55" t="s">
        <v>9339</v>
      </c>
      <c r="B2674" s="55" t="s">
        <v>40</v>
      </c>
      <c r="C2674" s="55" t="s">
        <v>218</v>
      </c>
      <c r="D2674" s="55" t="s">
        <v>9258</v>
      </c>
    </row>
    <row r="2675" ht="14.25" customHeight="1">
      <c r="A2675" s="55" t="s">
        <v>9339</v>
      </c>
      <c r="B2675" s="55" t="s">
        <v>40</v>
      </c>
      <c r="C2675" s="55" t="s">
        <v>218</v>
      </c>
      <c r="D2675" s="55" t="s">
        <v>9256</v>
      </c>
    </row>
    <row r="2676" ht="14.25" customHeight="1">
      <c r="A2676" s="55" t="s">
        <v>9339</v>
      </c>
      <c r="B2676" s="55" t="s">
        <v>40</v>
      </c>
      <c r="C2676" s="55" t="s">
        <v>218</v>
      </c>
      <c r="D2676" s="55" t="s">
        <v>8978</v>
      </c>
    </row>
    <row r="2677" ht="14.25" customHeight="1">
      <c r="A2677" s="55" t="s">
        <v>9339</v>
      </c>
      <c r="B2677" s="55" t="s">
        <v>40</v>
      </c>
      <c r="C2677" s="55" t="s">
        <v>12124</v>
      </c>
      <c r="D2677" s="55" t="s">
        <v>8978</v>
      </c>
    </row>
    <row r="2678" ht="14.25" customHeight="1">
      <c r="A2678" s="55" t="s">
        <v>9339</v>
      </c>
      <c r="B2678" s="55" t="s">
        <v>40</v>
      </c>
      <c r="C2678" s="55" t="s">
        <v>10832</v>
      </c>
      <c r="D2678" s="55" t="s">
        <v>8978</v>
      </c>
    </row>
    <row r="2679" ht="14.25" customHeight="1">
      <c r="A2679" s="55" t="s">
        <v>9339</v>
      </c>
      <c r="B2679" s="55" t="s">
        <v>40</v>
      </c>
      <c r="C2679" s="55" t="s">
        <v>9396</v>
      </c>
      <c r="D2679" s="55" t="s">
        <v>8978</v>
      </c>
    </row>
    <row r="2680" ht="14.25" customHeight="1">
      <c r="A2680" s="55" t="s">
        <v>9339</v>
      </c>
      <c r="B2680" s="55" t="s">
        <v>40</v>
      </c>
      <c r="C2680" s="55" t="s">
        <v>13700</v>
      </c>
      <c r="D2680" s="55" t="s">
        <v>9034</v>
      </c>
    </row>
    <row r="2681" ht="14.25" customHeight="1">
      <c r="A2681" s="55" t="s">
        <v>9339</v>
      </c>
      <c r="B2681" s="55" t="s">
        <v>40</v>
      </c>
      <c r="C2681" s="55" t="s">
        <v>220</v>
      </c>
      <c r="D2681" s="55" t="s">
        <v>9109</v>
      </c>
    </row>
    <row r="2682" ht="14.25" customHeight="1">
      <c r="A2682" s="55" t="s">
        <v>9339</v>
      </c>
      <c r="B2682" s="55" t="s">
        <v>40</v>
      </c>
      <c r="C2682" s="55" t="s">
        <v>220</v>
      </c>
      <c r="D2682" s="55" t="s">
        <v>9319</v>
      </c>
    </row>
    <row r="2683" ht="14.25" customHeight="1">
      <c r="A2683" s="55" t="s">
        <v>9339</v>
      </c>
      <c r="B2683" s="55" t="s">
        <v>40</v>
      </c>
      <c r="C2683" s="55" t="s">
        <v>10990</v>
      </c>
      <c r="D2683" s="55" t="s">
        <v>10861</v>
      </c>
    </row>
    <row r="2684" ht="14.25" customHeight="1">
      <c r="A2684" s="55" t="s">
        <v>9339</v>
      </c>
      <c r="B2684" s="55" t="s">
        <v>40</v>
      </c>
      <c r="C2684" s="55" t="s">
        <v>10196</v>
      </c>
      <c r="D2684" s="55" t="s">
        <v>8978</v>
      </c>
    </row>
    <row r="2685" ht="14.25" customHeight="1">
      <c r="A2685" s="55" t="s">
        <v>9339</v>
      </c>
      <c r="B2685" s="55" t="s">
        <v>40</v>
      </c>
      <c r="C2685" s="55" t="s">
        <v>12125</v>
      </c>
      <c r="D2685" s="55" t="s">
        <v>8978</v>
      </c>
    </row>
    <row r="2686" ht="14.25" customHeight="1">
      <c r="A2686" s="55" t="s">
        <v>9339</v>
      </c>
      <c r="B2686" s="55" t="s">
        <v>40</v>
      </c>
      <c r="C2686" s="55" t="s">
        <v>12125</v>
      </c>
      <c r="D2686" s="55" t="s">
        <v>9154</v>
      </c>
    </row>
    <row r="2687" ht="14.25" customHeight="1">
      <c r="A2687" s="55" t="s">
        <v>9339</v>
      </c>
      <c r="B2687" s="55" t="s">
        <v>40</v>
      </c>
      <c r="C2687" s="55" t="s">
        <v>12126</v>
      </c>
      <c r="D2687" s="55" t="s">
        <v>8978</v>
      </c>
    </row>
    <row r="2688" ht="14.25" customHeight="1">
      <c r="A2688" s="55" t="s">
        <v>9339</v>
      </c>
      <c r="B2688" s="55" t="s">
        <v>40</v>
      </c>
      <c r="C2688" s="55" t="s">
        <v>10833</v>
      </c>
      <c r="D2688" s="55" t="s">
        <v>8978</v>
      </c>
    </row>
    <row r="2689" ht="14.25" customHeight="1">
      <c r="A2689" s="55" t="s">
        <v>9339</v>
      </c>
      <c r="B2689" s="55" t="s">
        <v>40</v>
      </c>
      <c r="C2689" s="55" t="s">
        <v>9397</v>
      </c>
      <c r="D2689" s="55" t="s">
        <v>8978</v>
      </c>
    </row>
    <row r="2690" ht="14.25" customHeight="1">
      <c r="A2690" s="55" t="s">
        <v>9339</v>
      </c>
      <c r="B2690" s="55" t="s">
        <v>40</v>
      </c>
      <c r="C2690" s="55" t="s">
        <v>9286</v>
      </c>
      <c r="D2690" s="55" t="s">
        <v>12897</v>
      </c>
    </row>
    <row r="2691" ht="14.25" customHeight="1">
      <c r="A2691" s="55" t="s">
        <v>9339</v>
      </c>
      <c r="B2691" s="55" t="s">
        <v>40</v>
      </c>
      <c r="C2691" s="55" t="s">
        <v>9286</v>
      </c>
      <c r="D2691" s="55" t="s">
        <v>8968</v>
      </c>
    </row>
    <row r="2692" ht="14.25" customHeight="1">
      <c r="A2692" s="55" t="s">
        <v>9339</v>
      </c>
      <c r="B2692" s="55" t="s">
        <v>40</v>
      </c>
      <c r="C2692" s="55" t="s">
        <v>9286</v>
      </c>
      <c r="D2692" s="55" t="s">
        <v>9258</v>
      </c>
    </row>
    <row r="2693" ht="14.25" customHeight="1">
      <c r="A2693" s="55" t="s">
        <v>9339</v>
      </c>
      <c r="B2693" s="55" t="s">
        <v>40</v>
      </c>
      <c r="C2693" s="55" t="s">
        <v>9286</v>
      </c>
      <c r="D2693" s="55" t="s">
        <v>12898</v>
      </c>
    </row>
    <row r="2694" ht="14.25" customHeight="1">
      <c r="A2694" s="55" t="s">
        <v>9339</v>
      </c>
      <c r="B2694" s="55" t="s">
        <v>40</v>
      </c>
      <c r="C2694" s="55" t="s">
        <v>12019</v>
      </c>
      <c r="D2694" s="55" t="s">
        <v>12127</v>
      </c>
    </row>
    <row r="2695" ht="14.25" customHeight="1">
      <c r="A2695" s="55" t="s">
        <v>9339</v>
      </c>
      <c r="B2695" s="55" t="s">
        <v>40</v>
      </c>
      <c r="C2695" s="55" t="s">
        <v>12019</v>
      </c>
      <c r="D2695" s="55" t="s">
        <v>12059</v>
      </c>
    </row>
    <row r="2696" ht="14.25" customHeight="1">
      <c r="A2696" s="55" t="s">
        <v>9339</v>
      </c>
      <c r="B2696" s="55" t="s">
        <v>40</v>
      </c>
      <c r="C2696" s="55" t="s">
        <v>13701</v>
      </c>
      <c r="D2696" s="55" t="s">
        <v>13702</v>
      </c>
    </row>
    <row r="2697" ht="14.25" customHeight="1">
      <c r="A2697" s="55" t="s">
        <v>9339</v>
      </c>
      <c r="B2697" s="55" t="s">
        <v>40</v>
      </c>
      <c r="C2697" s="55" t="s">
        <v>10431</v>
      </c>
      <c r="D2697" s="55" t="s">
        <v>9034</v>
      </c>
    </row>
    <row r="2698" ht="14.25" customHeight="1">
      <c r="A2698" s="55" t="s">
        <v>9339</v>
      </c>
      <c r="B2698" s="55" t="s">
        <v>40</v>
      </c>
      <c r="C2698" s="55" t="s">
        <v>9398</v>
      </c>
      <c r="D2698" s="55" t="s">
        <v>9034</v>
      </c>
    </row>
    <row r="2699" ht="14.25" customHeight="1">
      <c r="A2699" s="55" t="s">
        <v>9339</v>
      </c>
      <c r="B2699" s="55" t="s">
        <v>40</v>
      </c>
      <c r="C2699" s="55" t="s">
        <v>14190</v>
      </c>
      <c r="D2699" s="55" t="s">
        <v>8978</v>
      </c>
    </row>
    <row r="2700" ht="14.25" customHeight="1">
      <c r="A2700" s="55" t="s">
        <v>9339</v>
      </c>
      <c r="B2700" s="55" t="s">
        <v>40</v>
      </c>
      <c r="C2700" s="55" t="s">
        <v>9770</v>
      </c>
      <c r="D2700" s="55" t="s">
        <v>10197</v>
      </c>
    </row>
    <row r="2701" ht="14.25" customHeight="1">
      <c r="A2701" s="55" t="s">
        <v>9339</v>
      </c>
      <c r="B2701" s="55" t="s">
        <v>40</v>
      </c>
      <c r="C2701" s="55" t="s">
        <v>12128</v>
      </c>
      <c r="D2701" s="55" t="s">
        <v>9258</v>
      </c>
    </row>
    <row r="2702" ht="14.25" customHeight="1">
      <c r="A2702" s="55" t="s">
        <v>9339</v>
      </c>
      <c r="B2702" s="55" t="s">
        <v>40</v>
      </c>
      <c r="C2702" s="55" t="s">
        <v>12129</v>
      </c>
      <c r="D2702" s="55" t="s">
        <v>10813</v>
      </c>
    </row>
    <row r="2703" ht="14.25" customHeight="1">
      <c r="A2703" s="55" t="s">
        <v>9339</v>
      </c>
      <c r="B2703" s="55" t="s">
        <v>40</v>
      </c>
      <c r="C2703" s="55" t="s">
        <v>12129</v>
      </c>
      <c r="D2703" s="55" t="s">
        <v>9256</v>
      </c>
    </row>
    <row r="2704" ht="14.25" customHeight="1">
      <c r="A2704" s="55" t="s">
        <v>9339</v>
      </c>
      <c r="B2704" s="55" t="s">
        <v>40</v>
      </c>
      <c r="C2704" s="55" t="s">
        <v>12129</v>
      </c>
      <c r="D2704" s="55" t="s">
        <v>12899</v>
      </c>
    </row>
    <row r="2705" ht="14.25" customHeight="1">
      <c r="A2705" s="55" t="s">
        <v>9339</v>
      </c>
      <c r="B2705" s="55" t="s">
        <v>40</v>
      </c>
      <c r="C2705" s="55" t="s">
        <v>12129</v>
      </c>
      <c r="D2705" s="55" t="s">
        <v>12130</v>
      </c>
    </row>
    <row r="2706" ht="14.25" customHeight="1">
      <c r="A2706" s="55" t="s">
        <v>9339</v>
      </c>
      <c r="B2706" s="55" t="s">
        <v>40</v>
      </c>
      <c r="C2706" s="55" t="s">
        <v>9333</v>
      </c>
      <c r="D2706" s="55" t="s">
        <v>9391</v>
      </c>
    </row>
    <row r="2707" ht="14.25" customHeight="1">
      <c r="A2707" s="55" t="s">
        <v>9339</v>
      </c>
      <c r="B2707" s="55" t="s">
        <v>40</v>
      </c>
      <c r="C2707" s="55" t="s">
        <v>12131</v>
      </c>
      <c r="D2707" s="55" t="s">
        <v>9258</v>
      </c>
    </row>
    <row r="2708" ht="14.25" customHeight="1">
      <c r="A2708" s="55" t="s">
        <v>9339</v>
      </c>
      <c r="B2708" s="55" t="s">
        <v>40</v>
      </c>
      <c r="C2708" s="55" t="s">
        <v>12900</v>
      </c>
      <c r="D2708" s="55" t="s">
        <v>12901</v>
      </c>
    </row>
    <row r="2709" ht="14.25" customHeight="1">
      <c r="A2709" s="55" t="s">
        <v>9339</v>
      </c>
      <c r="B2709" s="55" t="s">
        <v>40</v>
      </c>
      <c r="C2709" s="55" t="s">
        <v>8997</v>
      </c>
      <c r="D2709" s="55" t="s">
        <v>9258</v>
      </c>
    </row>
    <row r="2710" ht="14.25" customHeight="1">
      <c r="A2710" s="55" t="s">
        <v>9339</v>
      </c>
      <c r="B2710" s="55" t="s">
        <v>40</v>
      </c>
      <c r="C2710" s="55" t="s">
        <v>8997</v>
      </c>
      <c r="D2710" s="55" t="s">
        <v>8978</v>
      </c>
    </row>
    <row r="2711" ht="14.25" customHeight="1">
      <c r="A2711" s="55" t="s">
        <v>9339</v>
      </c>
      <c r="B2711" s="55" t="s">
        <v>40</v>
      </c>
      <c r="C2711" s="55" t="s">
        <v>10834</v>
      </c>
      <c r="D2711" s="55" t="s">
        <v>8978</v>
      </c>
    </row>
    <row r="2712" ht="14.25" customHeight="1">
      <c r="A2712" s="55" t="s">
        <v>9339</v>
      </c>
      <c r="B2712" s="55" t="s">
        <v>40</v>
      </c>
      <c r="C2712" s="55" t="s">
        <v>12132</v>
      </c>
      <c r="D2712" s="55" t="s">
        <v>9383</v>
      </c>
    </row>
    <row r="2713" ht="14.25" customHeight="1">
      <c r="A2713" s="55" t="s">
        <v>9339</v>
      </c>
      <c r="B2713" s="55" t="s">
        <v>40</v>
      </c>
      <c r="C2713" s="55" t="s">
        <v>9399</v>
      </c>
      <c r="D2713" s="55" t="s">
        <v>9258</v>
      </c>
    </row>
    <row r="2714" ht="14.25" customHeight="1">
      <c r="A2714" s="55" t="s">
        <v>9339</v>
      </c>
      <c r="B2714" s="55" t="s">
        <v>40</v>
      </c>
      <c r="C2714" s="55" t="s">
        <v>9400</v>
      </c>
      <c r="D2714" s="55" t="s">
        <v>9258</v>
      </c>
    </row>
    <row r="2715" ht="14.25" customHeight="1">
      <c r="A2715" s="55" t="s">
        <v>9339</v>
      </c>
      <c r="B2715" s="55" t="s">
        <v>40</v>
      </c>
      <c r="C2715" s="55" t="s">
        <v>9401</v>
      </c>
      <c r="D2715" s="55" t="s">
        <v>9391</v>
      </c>
    </row>
    <row r="2716" ht="14.25" customHeight="1">
      <c r="A2716" s="55" t="s">
        <v>9339</v>
      </c>
      <c r="B2716" s="55" t="s">
        <v>40</v>
      </c>
      <c r="C2716" s="55" t="s">
        <v>9401</v>
      </c>
      <c r="D2716" s="55" t="s">
        <v>8978</v>
      </c>
    </row>
    <row r="2717" ht="14.25" customHeight="1">
      <c r="A2717" s="55" t="s">
        <v>9339</v>
      </c>
      <c r="B2717" s="55" t="s">
        <v>40</v>
      </c>
      <c r="C2717" s="55" t="s">
        <v>14191</v>
      </c>
      <c r="D2717" s="55" t="s">
        <v>8978</v>
      </c>
    </row>
    <row r="2718" ht="14.25" customHeight="1">
      <c r="A2718" s="55" t="s">
        <v>9339</v>
      </c>
      <c r="B2718" s="55" t="s">
        <v>40</v>
      </c>
      <c r="C2718" s="55" t="s">
        <v>14192</v>
      </c>
      <c r="D2718" s="55" t="s">
        <v>8978</v>
      </c>
    </row>
    <row r="2719" ht="14.25" customHeight="1">
      <c r="A2719" s="55" t="s">
        <v>9339</v>
      </c>
      <c r="B2719" s="55" t="s">
        <v>40</v>
      </c>
      <c r="C2719" s="55" t="s">
        <v>10835</v>
      </c>
      <c r="D2719" s="55" t="s">
        <v>8978</v>
      </c>
    </row>
    <row r="2720" ht="14.25" customHeight="1">
      <c r="A2720" s="55" t="s">
        <v>9339</v>
      </c>
      <c r="B2720" s="55" t="s">
        <v>40</v>
      </c>
      <c r="C2720" s="55" t="s">
        <v>12902</v>
      </c>
      <c r="D2720" s="55" t="s">
        <v>12903</v>
      </c>
    </row>
    <row r="2721" ht="14.25" customHeight="1">
      <c r="A2721" s="55" t="s">
        <v>9339</v>
      </c>
      <c r="B2721" s="55" t="s">
        <v>40</v>
      </c>
      <c r="C2721" s="55" t="s">
        <v>12904</v>
      </c>
      <c r="D2721" s="55" t="s">
        <v>12905</v>
      </c>
    </row>
    <row r="2722" ht="14.25" customHeight="1">
      <c r="A2722" s="55" t="s">
        <v>9339</v>
      </c>
      <c r="B2722" s="55" t="s">
        <v>40</v>
      </c>
      <c r="C2722" s="55" t="s">
        <v>12904</v>
      </c>
      <c r="D2722" s="55" t="s">
        <v>8978</v>
      </c>
    </row>
    <row r="2723" ht="14.25" customHeight="1">
      <c r="A2723" s="55" t="s">
        <v>9339</v>
      </c>
      <c r="B2723" s="55" t="s">
        <v>40</v>
      </c>
      <c r="C2723" s="55" t="s">
        <v>10836</v>
      </c>
      <c r="D2723" s="55" t="s">
        <v>12133</v>
      </c>
    </row>
    <row r="2724" ht="14.25" customHeight="1">
      <c r="A2724" s="55" t="s">
        <v>9339</v>
      </c>
      <c r="B2724" s="55" t="s">
        <v>40</v>
      </c>
      <c r="C2724" s="55" t="s">
        <v>10836</v>
      </c>
      <c r="D2724" s="55" t="s">
        <v>9383</v>
      </c>
    </row>
    <row r="2725" ht="14.25" customHeight="1">
      <c r="A2725" s="55" t="s">
        <v>9339</v>
      </c>
      <c r="B2725" s="55" t="s">
        <v>40</v>
      </c>
      <c r="C2725" s="55" t="s">
        <v>4035</v>
      </c>
      <c r="D2725" s="55" t="s">
        <v>12385</v>
      </c>
    </row>
    <row r="2726" ht="14.25" customHeight="1">
      <c r="A2726" s="55" t="s">
        <v>9339</v>
      </c>
      <c r="B2726" s="55" t="s">
        <v>40</v>
      </c>
      <c r="C2726" s="55" t="s">
        <v>13703</v>
      </c>
      <c r="D2726" s="55" t="s">
        <v>9258</v>
      </c>
    </row>
    <row r="2727" ht="14.25" customHeight="1">
      <c r="A2727" s="55" t="s">
        <v>9339</v>
      </c>
      <c r="B2727" s="55" t="s">
        <v>40</v>
      </c>
      <c r="C2727" s="55" t="s">
        <v>11517</v>
      </c>
      <c r="D2727" s="55" t="s">
        <v>10202</v>
      </c>
    </row>
    <row r="2728" ht="14.25" customHeight="1">
      <c r="A2728" s="55" t="s">
        <v>9339</v>
      </c>
      <c r="B2728" s="55" t="s">
        <v>40</v>
      </c>
      <c r="C2728" s="55" t="s">
        <v>9402</v>
      </c>
      <c r="D2728" s="55" t="s">
        <v>8978</v>
      </c>
    </row>
    <row r="2729" ht="14.25" customHeight="1">
      <c r="A2729" s="55" t="s">
        <v>9339</v>
      </c>
      <c r="B2729" s="55" t="s">
        <v>40</v>
      </c>
      <c r="C2729" s="55" t="s">
        <v>10837</v>
      </c>
      <c r="D2729" s="55" t="s">
        <v>8978</v>
      </c>
    </row>
    <row r="2730" ht="14.25" customHeight="1">
      <c r="A2730" s="55" t="s">
        <v>9339</v>
      </c>
      <c r="B2730" s="55" t="s">
        <v>40</v>
      </c>
      <c r="C2730" s="55" t="s">
        <v>12134</v>
      </c>
      <c r="D2730" s="55" t="s">
        <v>12135</v>
      </c>
    </row>
    <row r="2731" ht="14.25" customHeight="1">
      <c r="A2731" s="55" t="s">
        <v>9339</v>
      </c>
      <c r="B2731" s="55" t="s">
        <v>40</v>
      </c>
      <c r="C2731" s="55" t="s">
        <v>10838</v>
      </c>
      <c r="D2731" s="55" t="s">
        <v>10839</v>
      </c>
    </row>
    <row r="2732" ht="14.25" customHeight="1">
      <c r="A2732" s="55" t="s">
        <v>9339</v>
      </c>
      <c r="B2732" s="55" t="s">
        <v>40</v>
      </c>
      <c r="C2732" s="55" t="s">
        <v>11518</v>
      </c>
      <c r="D2732" s="55" t="s">
        <v>11519</v>
      </c>
    </row>
    <row r="2733" ht="14.25" customHeight="1">
      <c r="A2733" s="55" t="s">
        <v>9339</v>
      </c>
      <c r="B2733" s="55" t="s">
        <v>40</v>
      </c>
      <c r="C2733" s="55" t="s">
        <v>12136</v>
      </c>
      <c r="D2733" s="55" t="s">
        <v>12137</v>
      </c>
    </row>
    <row r="2734" ht="14.25" customHeight="1">
      <c r="A2734" s="55" t="s">
        <v>9339</v>
      </c>
      <c r="B2734" s="55" t="s">
        <v>40</v>
      </c>
      <c r="C2734" s="55" t="s">
        <v>9403</v>
      </c>
      <c r="D2734" s="55" t="s">
        <v>9404</v>
      </c>
    </row>
    <row r="2735" ht="14.25" customHeight="1">
      <c r="A2735" s="55" t="s">
        <v>9339</v>
      </c>
      <c r="B2735" s="55" t="s">
        <v>40</v>
      </c>
      <c r="C2735" s="55" t="s">
        <v>9405</v>
      </c>
      <c r="D2735" s="55" t="s">
        <v>8978</v>
      </c>
    </row>
    <row r="2736" ht="14.25" customHeight="1">
      <c r="A2736" s="55" t="s">
        <v>9339</v>
      </c>
      <c r="B2736" s="55" t="s">
        <v>40</v>
      </c>
      <c r="C2736" s="55" t="s">
        <v>244</v>
      </c>
      <c r="D2736" s="55" t="s">
        <v>9406</v>
      </c>
    </row>
    <row r="2737" ht="14.25" customHeight="1">
      <c r="A2737" s="55" t="s">
        <v>9339</v>
      </c>
      <c r="B2737" s="55" t="s">
        <v>40</v>
      </c>
      <c r="C2737" s="55" t="s">
        <v>244</v>
      </c>
      <c r="D2737" s="55" t="s">
        <v>9368</v>
      </c>
    </row>
    <row r="2738" ht="14.25" customHeight="1">
      <c r="A2738" s="55" t="s">
        <v>9339</v>
      </c>
      <c r="B2738" s="55" t="s">
        <v>40</v>
      </c>
      <c r="C2738" s="55" t="s">
        <v>10840</v>
      </c>
      <c r="D2738" s="55" t="s">
        <v>10841</v>
      </c>
    </row>
    <row r="2739" ht="14.25" customHeight="1">
      <c r="A2739" s="55" t="s">
        <v>9339</v>
      </c>
      <c r="B2739" s="55" t="s">
        <v>40</v>
      </c>
      <c r="C2739" s="55" t="s">
        <v>10842</v>
      </c>
      <c r="D2739" s="55" t="s">
        <v>8978</v>
      </c>
    </row>
    <row r="2740" ht="14.25" customHeight="1">
      <c r="A2740" s="55" t="s">
        <v>9339</v>
      </c>
      <c r="B2740" s="55" t="s">
        <v>40</v>
      </c>
      <c r="C2740" s="55" t="s">
        <v>11520</v>
      </c>
      <c r="D2740" s="55" t="s">
        <v>9276</v>
      </c>
    </row>
    <row r="2741" ht="14.25" customHeight="1">
      <c r="A2741" s="55" t="s">
        <v>9339</v>
      </c>
      <c r="B2741" s="55" t="s">
        <v>40</v>
      </c>
      <c r="C2741" s="55" t="s">
        <v>4171</v>
      </c>
      <c r="D2741" s="55" t="s">
        <v>8978</v>
      </c>
    </row>
    <row r="2742" ht="14.25" customHeight="1">
      <c r="A2742" s="55" t="s">
        <v>9339</v>
      </c>
      <c r="B2742" s="55" t="s">
        <v>40</v>
      </c>
      <c r="C2742" s="55" t="s">
        <v>11521</v>
      </c>
      <c r="D2742" s="55" t="s">
        <v>11522</v>
      </c>
    </row>
    <row r="2743" ht="14.25" customHeight="1">
      <c r="A2743" s="55" t="s">
        <v>9339</v>
      </c>
      <c r="B2743" s="55" t="s">
        <v>40</v>
      </c>
      <c r="C2743" s="55" t="s">
        <v>9407</v>
      </c>
      <c r="D2743" s="55" t="s">
        <v>8968</v>
      </c>
    </row>
    <row r="2744" ht="14.25" customHeight="1">
      <c r="A2744" s="55" t="s">
        <v>9339</v>
      </c>
      <c r="B2744" s="55" t="s">
        <v>40</v>
      </c>
      <c r="C2744" s="55" t="s">
        <v>10843</v>
      </c>
      <c r="D2744" s="55" t="s">
        <v>10844</v>
      </c>
    </row>
    <row r="2745" ht="14.25" customHeight="1">
      <c r="A2745" s="55" t="s">
        <v>9339</v>
      </c>
      <c r="B2745" s="55" t="s">
        <v>40</v>
      </c>
      <c r="C2745" s="55" t="s">
        <v>12906</v>
      </c>
      <c r="D2745" s="55" t="s">
        <v>12907</v>
      </c>
    </row>
    <row r="2746" ht="14.25" customHeight="1">
      <c r="A2746" s="55" t="s">
        <v>9339</v>
      </c>
      <c r="B2746" s="55" t="s">
        <v>40</v>
      </c>
      <c r="C2746" s="55" t="s">
        <v>9408</v>
      </c>
      <c r="D2746" s="55" t="s">
        <v>9383</v>
      </c>
    </row>
    <row r="2747" ht="14.25" customHeight="1">
      <c r="A2747" s="55" t="s">
        <v>9339</v>
      </c>
      <c r="B2747" s="55" t="s">
        <v>40</v>
      </c>
      <c r="C2747" s="55" t="s">
        <v>9408</v>
      </c>
      <c r="D2747" s="55" t="s">
        <v>11523</v>
      </c>
    </row>
    <row r="2748" ht="14.25" customHeight="1">
      <c r="A2748" s="55" t="s">
        <v>9339</v>
      </c>
      <c r="B2748" s="55" t="s">
        <v>40</v>
      </c>
      <c r="C2748" s="55" t="s">
        <v>9409</v>
      </c>
      <c r="D2748" s="55" t="s">
        <v>9345</v>
      </c>
    </row>
    <row r="2749" ht="14.25" customHeight="1">
      <c r="A2749" s="55" t="s">
        <v>9339</v>
      </c>
      <c r="B2749" s="55" t="s">
        <v>40</v>
      </c>
      <c r="C2749" s="55" t="s">
        <v>8763</v>
      </c>
      <c r="D2749" s="55" t="s">
        <v>12138</v>
      </c>
    </row>
    <row r="2750" ht="14.25" customHeight="1">
      <c r="A2750" s="55" t="s">
        <v>9339</v>
      </c>
      <c r="B2750" s="55" t="s">
        <v>40</v>
      </c>
      <c r="C2750" s="55" t="s">
        <v>10198</v>
      </c>
      <c r="D2750" s="55" t="s">
        <v>9771</v>
      </c>
    </row>
    <row r="2751" ht="14.25" customHeight="1">
      <c r="A2751" s="55" t="s">
        <v>9339</v>
      </c>
      <c r="B2751" s="55" t="s">
        <v>40</v>
      </c>
      <c r="C2751" s="55" t="s">
        <v>9090</v>
      </c>
      <c r="D2751" s="55" t="s">
        <v>10736</v>
      </c>
    </row>
    <row r="2752" ht="14.25" customHeight="1">
      <c r="A2752" s="55" t="s">
        <v>9339</v>
      </c>
      <c r="B2752" s="55" t="s">
        <v>40</v>
      </c>
      <c r="C2752" s="55" t="s">
        <v>9090</v>
      </c>
      <c r="D2752" s="55" t="s">
        <v>10845</v>
      </c>
    </row>
    <row r="2753" ht="14.25" customHeight="1">
      <c r="A2753" s="55" t="s">
        <v>9339</v>
      </c>
      <c r="B2753" s="55" t="s">
        <v>40</v>
      </c>
      <c r="C2753" s="55" t="s">
        <v>9090</v>
      </c>
      <c r="D2753" s="55" t="s">
        <v>10846</v>
      </c>
    </row>
    <row r="2754" ht="14.25" customHeight="1">
      <c r="A2754" s="55" t="s">
        <v>9339</v>
      </c>
      <c r="B2754" s="55" t="s">
        <v>40</v>
      </c>
      <c r="C2754" s="55" t="s">
        <v>9090</v>
      </c>
      <c r="D2754" s="55" t="s">
        <v>8976</v>
      </c>
    </row>
    <row r="2755" ht="14.25" customHeight="1">
      <c r="A2755" s="55" t="s">
        <v>9339</v>
      </c>
      <c r="B2755" s="55" t="s">
        <v>40</v>
      </c>
      <c r="C2755" s="55" t="s">
        <v>12139</v>
      </c>
      <c r="D2755" s="55" t="s">
        <v>9095</v>
      </c>
    </row>
    <row r="2756" ht="14.25" customHeight="1">
      <c r="A2756" s="55" t="s">
        <v>9339</v>
      </c>
      <c r="B2756" s="55" t="s">
        <v>40</v>
      </c>
      <c r="C2756" s="55" t="s">
        <v>9160</v>
      </c>
      <c r="D2756" s="55" t="s">
        <v>9291</v>
      </c>
    </row>
    <row r="2757" ht="14.25" customHeight="1">
      <c r="A2757" s="55" t="s">
        <v>9339</v>
      </c>
      <c r="B2757" s="55" t="s">
        <v>40</v>
      </c>
      <c r="C2757" s="55" t="s">
        <v>9160</v>
      </c>
      <c r="D2757" s="55" t="s">
        <v>10199</v>
      </c>
    </row>
    <row r="2758" ht="14.25" customHeight="1">
      <c r="A2758" s="55" t="s">
        <v>9339</v>
      </c>
      <c r="B2758" s="55" t="s">
        <v>40</v>
      </c>
      <c r="C2758" s="55" t="s">
        <v>9160</v>
      </c>
      <c r="D2758" s="55" t="s">
        <v>12908</v>
      </c>
    </row>
    <row r="2759" ht="14.25" customHeight="1">
      <c r="A2759" s="55" t="s">
        <v>9339</v>
      </c>
      <c r="B2759" s="55" t="s">
        <v>40</v>
      </c>
      <c r="C2759" s="55" t="s">
        <v>9160</v>
      </c>
      <c r="D2759" s="55" t="s">
        <v>9292</v>
      </c>
    </row>
    <row r="2760" ht="14.25" customHeight="1">
      <c r="A2760" s="55" t="s">
        <v>9339</v>
      </c>
      <c r="B2760" s="55" t="s">
        <v>40</v>
      </c>
      <c r="C2760" s="55" t="s">
        <v>9160</v>
      </c>
      <c r="D2760" s="55" t="s">
        <v>8978</v>
      </c>
    </row>
    <row r="2761" ht="14.25" customHeight="1">
      <c r="A2761" s="55" t="s">
        <v>9339</v>
      </c>
      <c r="B2761" s="55" t="s">
        <v>40</v>
      </c>
      <c r="C2761" s="55" t="s">
        <v>262</v>
      </c>
      <c r="D2761" s="55" t="s">
        <v>9034</v>
      </c>
    </row>
    <row r="2762" ht="14.25" customHeight="1">
      <c r="A2762" s="55" t="s">
        <v>9339</v>
      </c>
      <c r="B2762" s="55" t="s">
        <v>40</v>
      </c>
      <c r="C2762" s="55" t="s">
        <v>262</v>
      </c>
      <c r="D2762" s="55" t="s">
        <v>11524</v>
      </c>
    </row>
    <row r="2763" ht="14.25" customHeight="1">
      <c r="A2763" s="55" t="s">
        <v>9339</v>
      </c>
      <c r="B2763" s="55" t="s">
        <v>40</v>
      </c>
      <c r="C2763" s="55" t="s">
        <v>14193</v>
      </c>
      <c r="D2763" s="55" t="s">
        <v>14194</v>
      </c>
    </row>
    <row r="2764" ht="14.25" customHeight="1">
      <c r="A2764" s="55" t="s">
        <v>9339</v>
      </c>
      <c r="B2764" s="55" t="s">
        <v>40</v>
      </c>
      <c r="C2764" s="55" t="s">
        <v>11525</v>
      </c>
      <c r="D2764" s="55" t="s">
        <v>11526</v>
      </c>
    </row>
    <row r="2765" ht="14.25" customHeight="1">
      <c r="A2765" s="55" t="s">
        <v>9339</v>
      </c>
      <c r="B2765" s="55" t="s">
        <v>40</v>
      </c>
      <c r="C2765" s="55" t="s">
        <v>11525</v>
      </c>
      <c r="D2765" s="55" t="s">
        <v>8978</v>
      </c>
    </row>
    <row r="2766" ht="14.25" customHeight="1">
      <c r="A2766" s="55" t="s">
        <v>9339</v>
      </c>
      <c r="B2766" s="55" t="s">
        <v>40</v>
      </c>
      <c r="C2766" s="55" t="s">
        <v>4281</v>
      </c>
      <c r="D2766" s="55" t="s">
        <v>9410</v>
      </c>
    </row>
    <row r="2767" ht="14.25" customHeight="1">
      <c r="A2767" s="55" t="s">
        <v>9339</v>
      </c>
      <c r="B2767" s="55" t="s">
        <v>40</v>
      </c>
      <c r="C2767" s="55" t="s">
        <v>4281</v>
      </c>
      <c r="D2767" s="55" t="s">
        <v>8978</v>
      </c>
    </row>
    <row r="2768" ht="14.25" customHeight="1">
      <c r="A2768" s="55" t="s">
        <v>9339</v>
      </c>
      <c r="B2768" s="55" t="s">
        <v>40</v>
      </c>
      <c r="C2768" s="55" t="s">
        <v>11527</v>
      </c>
      <c r="D2768" s="55" t="s">
        <v>11528</v>
      </c>
    </row>
    <row r="2769" ht="14.25" customHeight="1">
      <c r="A2769" s="55" t="s">
        <v>9339</v>
      </c>
      <c r="B2769" s="55" t="s">
        <v>40</v>
      </c>
      <c r="C2769" s="55" t="s">
        <v>12909</v>
      </c>
      <c r="D2769" s="55" t="s">
        <v>9319</v>
      </c>
    </row>
    <row r="2770" ht="14.25" customHeight="1">
      <c r="A2770" s="55" t="s">
        <v>9339</v>
      </c>
      <c r="B2770" s="55" t="s">
        <v>40</v>
      </c>
      <c r="C2770" s="55" t="s">
        <v>10756</v>
      </c>
      <c r="D2770" s="55" t="s">
        <v>12140</v>
      </c>
    </row>
    <row r="2771" ht="14.25" customHeight="1">
      <c r="A2771" s="55" t="s">
        <v>9339</v>
      </c>
      <c r="B2771" s="55" t="s">
        <v>40</v>
      </c>
      <c r="C2771" s="55" t="s">
        <v>11529</v>
      </c>
      <c r="D2771" s="55" t="s">
        <v>11530</v>
      </c>
    </row>
    <row r="2772" ht="14.25" customHeight="1">
      <c r="A2772" s="55" t="s">
        <v>9339</v>
      </c>
      <c r="B2772" s="55" t="s">
        <v>40</v>
      </c>
      <c r="C2772" s="55" t="s">
        <v>10847</v>
      </c>
      <c r="D2772" s="55" t="s">
        <v>9319</v>
      </c>
    </row>
    <row r="2773" ht="14.25" customHeight="1">
      <c r="A2773" s="55" t="s">
        <v>9339</v>
      </c>
      <c r="B2773" s="55" t="s">
        <v>40</v>
      </c>
      <c r="C2773" s="55" t="s">
        <v>11080</v>
      </c>
      <c r="D2773" s="55" t="s">
        <v>9274</v>
      </c>
    </row>
    <row r="2774" ht="14.25" customHeight="1">
      <c r="A2774" s="55" t="s">
        <v>9339</v>
      </c>
      <c r="B2774" s="55" t="s">
        <v>40</v>
      </c>
      <c r="C2774" s="55" t="s">
        <v>11864</v>
      </c>
      <c r="D2774" s="55" t="s">
        <v>9319</v>
      </c>
    </row>
    <row r="2775" ht="14.25" customHeight="1">
      <c r="A2775" s="55" t="s">
        <v>9339</v>
      </c>
      <c r="B2775" s="55" t="s">
        <v>40</v>
      </c>
      <c r="C2775" s="55" t="s">
        <v>13704</v>
      </c>
      <c r="D2775" s="55" t="s">
        <v>8978</v>
      </c>
    </row>
    <row r="2776" ht="14.25" customHeight="1">
      <c r="A2776" s="55" t="s">
        <v>9339</v>
      </c>
      <c r="B2776" s="55" t="s">
        <v>40</v>
      </c>
      <c r="C2776" s="55" t="s">
        <v>10848</v>
      </c>
      <c r="D2776" s="55" t="s">
        <v>8978</v>
      </c>
    </row>
    <row r="2777" ht="14.25" customHeight="1">
      <c r="A2777" s="55" t="s">
        <v>9339</v>
      </c>
      <c r="B2777" s="55" t="s">
        <v>40</v>
      </c>
      <c r="C2777" s="55" t="s">
        <v>12141</v>
      </c>
      <c r="D2777" s="55" t="s">
        <v>12142</v>
      </c>
    </row>
    <row r="2778" ht="14.25" customHeight="1">
      <c r="A2778" s="55" t="s">
        <v>9339</v>
      </c>
      <c r="B2778" s="55" t="s">
        <v>40</v>
      </c>
      <c r="C2778" s="55" t="s">
        <v>2089</v>
      </c>
      <c r="D2778" s="55" t="s">
        <v>9345</v>
      </c>
    </row>
    <row r="2779" ht="14.25" customHeight="1">
      <c r="A2779" s="55" t="s">
        <v>9339</v>
      </c>
      <c r="B2779" s="55" t="s">
        <v>40</v>
      </c>
      <c r="C2779" s="55" t="s">
        <v>4326</v>
      </c>
      <c r="D2779" s="55" t="s">
        <v>10204</v>
      </c>
    </row>
    <row r="2780" ht="14.25" customHeight="1">
      <c r="A2780" s="55" t="s">
        <v>9339</v>
      </c>
      <c r="B2780" s="55" t="s">
        <v>40</v>
      </c>
      <c r="C2780" s="55" t="s">
        <v>9411</v>
      </c>
      <c r="D2780" s="55" t="s">
        <v>9258</v>
      </c>
    </row>
    <row r="2781" ht="14.25" customHeight="1">
      <c r="A2781" s="55" t="s">
        <v>9339</v>
      </c>
      <c r="B2781" s="55" t="s">
        <v>40</v>
      </c>
      <c r="C2781" s="55" t="s">
        <v>12143</v>
      </c>
      <c r="D2781" s="55" t="s">
        <v>12144</v>
      </c>
    </row>
    <row r="2782" ht="14.25" customHeight="1">
      <c r="A2782" s="55" t="s">
        <v>9339</v>
      </c>
      <c r="B2782" s="55" t="s">
        <v>40</v>
      </c>
      <c r="C2782" s="55" t="s">
        <v>10849</v>
      </c>
      <c r="D2782" s="55" t="s">
        <v>8978</v>
      </c>
    </row>
    <row r="2783" ht="14.25" customHeight="1">
      <c r="A2783" s="55" t="s">
        <v>9339</v>
      </c>
      <c r="B2783" s="55" t="s">
        <v>40</v>
      </c>
      <c r="C2783" s="55" t="s">
        <v>12910</v>
      </c>
      <c r="D2783" s="55" t="s">
        <v>8978</v>
      </c>
    </row>
    <row r="2784" ht="14.25" customHeight="1">
      <c r="A2784" s="55" t="s">
        <v>9339</v>
      </c>
      <c r="B2784" s="55" t="s">
        <v>40</v>
      </c>
      <c r="C2784" s="55" t="s">
        <v>9412</v>
      </c>
      <c r="D2784" s="55" t="s">
        <v>8968</v>
      </c>
    </row>
    <row r="2785" ht="14.25" customHeight="1">
      <c r="A2785" s="55" t="s">
        <v>9339</v>
      </c>
      <c r="B2785" s="55" t="s">
        <v>40</v>
      </c>
      <c r="C2785" s="55" t="s">
        <v>9412</v>
      </c>
      <c r="D2785" s="55" t="s">
        <v>8978</v>
      </c>
    </row>
    <row r="2786" ht="14.25" customHeight="1">
      <c r="A2786" s="55" t="s">
        <v>9339</v>
      </c>
      <c r="B2786" s="55" t="s">
        <v>40</v>
      </c>
      <c r="C2786" s="55" t="s">
        <v>12145</v>
      </c>
      <c r="D2786" s="55" t="s">
        <v>12146</v>
      </c>
    </row>
    <row r="2787" ht="14.25" customHeight="1">
      <c r="A2787" s="55" t="s">
        <v>9339</v>
      </c>
      <c r="B2787" s="55" t="s">
        <v>40</v>
      </c>
      <c r="C2787" s="55" t="s">
        <v>11531</v>
      </c>
      <c r="D2787" s="55" t="s">
        <v>8978</v>
      </c>
    </row>
    <row r="2788" ht="14.25" customHeight="1">
      <c r="A2788" s="55" t="s">
        <v>9339</v>
      </c>
      <c r="B2788" s="55" t="s">
        <v>40</v>
      </c>
      <c r="C2788" s="55" t="s">
        <v>14195</v>
      </c>
      <c r="D2788" s="55" t="s">
        <v>13008</v>
      </c>
    </row>
    <row r="2789" ht="14.25" customHeight="1">
      <c r="A2789" s="55" t="s">
        <v>9339</v>
      </c>
      <c r="B2789" s="55" t="s">
        <v>40</v>
      </c>
      <c r="C2789" s="55" t="s">
        <v>13705</v>
      </c>
      <c r="D2789" s="55" t="s">
        <v>9380</v>
      </c>
    </row>
    <row r="2790" ht="14.25" customHeight="1">
      <c r="A2790" s="55" t="s">
        <v>9339</v>
      </c>
      <c r="B2790" s="55" t="s">
        <v>40</v>
      </c>
      <c r="C2790" s="55" t="s">
        <v>9005</v>
      </c>
      <c r="D2790" s="55" t="s">
        <v>9006</v>
      </c>
    </row>
    <row r="2791" ht="14.25" customHeight="1">
      <c r="A2791" s="55" t="s">
        <v>9339</v>
      </c>
      <c r="B2791" s="55" t="s">
        <v>40</v>
      </c>
      <c r="C2791" s="55" t="s">
        <v>9005</v>
      </c>
      <c r="D2791" s="55" t="s">
        <v>14196</v>
      </c>
    </row>
    <row r="2792" ht="14.25" customHeight="1">
      <c r="A2792" s="55" t="s">
        <v>9339</v>
      </c>
      <c r="B2792" s="55" t="s">
        <v>40</v>
      </c>
      <c r="C2792" s="55" t="s">
        <v>9005</v>
      </c>
      <c r="D2792" s="55" t="s">
        <v>10806</v>
      </c>
    </row>
    <row r="2793" ht="14.25" customHeight="1">
      <c r="A2793" s="55" t="s">
        <v>9339</v>
      </c>
      <c r="B2793" s="55" t="s">
        <v>40</v>
      </c>
      <c r="C2793" s="55" t="s">
        <v>9005</v>
      </c>
      <c r="D2793" s="55" t="s">
        <v>9380</v>
      </c>
    </row>
    <row r="2794" ht="14.25" customHeight="1">
      <c r="A2794" s="55" t="s">
        <v>9339</v>
      </c>
      <c r="B2794" s="55" t="s">
        <v>40</v>
      </c>
      <c r="C2794" s="55" t="s">
        <v>9005</v>
      </c>
      <c r="D2794" s="55" t="s">
        <v>12911</v>
      </c>
    </row>
    <row r="2795" ht="14.25" customHeight="1">
      <c r="A2795" s="55" t="s">
        <v>9339</v>
      </c>
      <c r="B2795" s="55" t="s">
        <v>40</v>
      </c>
      <c r="C2795" s="55" t="s">
        <v>9007</v>
      </c>
      <c r="D2795" s="55" t="s">
        <v>9006</v>
      </c>
    </row>
    <row r="2796" ht="14.25" customHeight="1">
      <c r="A2796" s="55" t="s">
        <v>9339</v>
      </c>
      <c r="B2796" s="55" t="s">
        <v>40</v>
      </c>
      <c r="C2796" s="55" t="s">
        <v>9007</v>
      </c>
      <c r="D2796" s="55" t="s">
        <v>9970</v>
      </c>
    </row>
    <row r="2797" ht="14.25" customHeight="1">
      <c r="A2797" s="55" t="s">
        <v>9339</v>
      </c>
      <c r="B2797" s="55" t="s">
        <v>40</v>
      </c>
      <c r="C2797" s="55" t="s">
        <v>12850</v>
      </c>
      <c r="D2797" s="55" t="s">
        <v>12912</v>
      </c>
    </row>
    <row r="2798" ht="14.25" customHeight="1">
      <c r="A2798" s="55" t="s">
        <v>9339</v>
      </c>
      <c r="B2798" s="55" t="s">
        <v>40</v>
      </c>
      <c r="C2798" s="55" t="s">
        <v>274</v>
      </c>
      <c r="D2798" s="55" t="s">
        <v>9319</v>
      </c>
    </row>
    <row r="2799" ht="14.25" customHeight="1">
      <c r="A2799" s="55" t="s">
        <v>9339</v>
      </c>
      <c r="B2799" s="55" t="s">
        <v>40</v>
      </c>
      <c r="C2799" s="55" t="s">
        <v>274</v>
      </c>
      <c r="D2799" s="55" t="s">
        <v>8968</v>
      </c>
    </row>
    <row r="2800" ht="14.25" customHeight="1">
      <c r="A2800" s="55" t="s">
        <v>9339</v>
      </c>
      <c r="B2800" s="55" t="s">
        <v>40</v>
      </c>
      <c r="C2800" s="55" t="s">
        <v>274</v>
      </c>
      <c r="D2800" s="55" t="s">
        <v>8978</v>
      </c>
    </row>
    <row r="2801" ht="14.25" customHeight="1">
      <c r="A2801" s="55" t="s">
        <v>9339</v>
      </c>
      <c r="B2801" s="55" t="s">
        <v>40</v>
      </c>
      <c r="C2801" s="55" t="s">
        <v>274</v>
      </c>
      <c r="D2801" s="55" t="s">
        <v>13706</v>
      </c>
    </row>
    <row r="2802" ht="14.25" customHeight="1">
      <c r="A2802" s="55" t="s">
        <v>9339</v>
      </c>
      <c r="B2802" s="55" t="s">
        <v>40</v>
      </c>
      <c r="C2802" s="55" t="s">
        <v>274</v>
      </c>
      <c r="D2802" s="55" t="s">
        <v>10202</v>
      </c>
    </row>
    <row r="2803" ht="14.25" customHeight="1">
      <c r="A2803" s="55" t="s">
        <v>9339</v>
      </c>
      <c r="B2803" s="55" t="s">
        <v>40</v>
      </c>
      <c r="C2803" s="55" t="s">
        <v>274</v>
      </c>
      <c r="D2803" s="55" t="s">
        <v>12147</v>
      </c>
    </row>
    <row r="2804" ht="14.25" customHeight="1">
      <c r="A2804" s="55" t="s">
        <v>9339</v>
      </c>
      <c r="B2804" s="55" t="s">
        <v>40</v>
      </c>
      <c r="C2804" s="55" t="s">
        <v>12148</v>
      </c>
      <c r="D2804" s="55" t="s">
        <v>12149</v>
      </c>
    </row>
    <row r="2805" ht="14.25" customHeight="1">
      <c r="A2805" s="55" t="s">
        <v>9339</v>
      </c>
      <c r="B2805" s="55" t="s">
        <v>40</v>
      </c>
      <c r="C2805" s="55" t="s">
        <v>275</v>
      </c>
      <c r="D2805" s="55" t="s">
        <v>12150</v>
      </c>
    </row>
    <row r="2806" ht="14.25" customHeight="1">
      <c r="A2806" s="55" t="s">
        <v>9339</v>
      </c>
      <c r="B2806" s="55" t="s">
        <v>40</v>
      </c>
      <c r="C2806" s="55" t="s">
        <v>275</v>
      </c>
      <c r="D2806" s="55" t="s">
        <v>10200</v>
      </c>
    </row>
    <row r="2807" ht="14.25" customHeight="1">
      <c r="A2807" s="55" t="s">
        <v>9339</v>
      </c>
      <c r="B2807" s="55" t="s">
        <v>40</v>
      </c>
      <c r="C2807" s="55" t="s">
        <v>324</v>
      </c>
      <c r="D2807" s="55" t="s">
        <v>12151</v>
      </c>
    </row>
    <row r="2808" ht="14.25" customHeight="1">
      <c r="A2808" s="55" t="s">
        <v>9339</v>
      </c>
      <c r="B2808" s="55" t="s">
        <v>40</v>
      </c>
      <c r="C2808" s="55" t="s">
        <v>324</v>
      </c>
      <c r="D2808" s="55" t="s">
        <v>10850</v>
      </c>
    </row>
    <row r="2809" ht="14.25" customHeight="1">
      <c r="A2809" s="55" t="s">
        <v>9339</v>
      </c>
      <c r="B2809" s="55" t="s">
        <v>40</v>
      </c>
      <c r="C2809" s="55" t="s">
        <v>14197</v>
      </c>
      <c r="D2809" s="55" t="s">
        <v>8978</v>
      </c>
    </row>
    <row r="2810" ht="14.25" customHeight="1">
      <c r="A2810" s="55" t="s">
        <v>9339</v>
      </c>
      <c r="B2810" s="55" t="s">
        <v>40</v>
      </c>
      <c r="C2810" s="55" t="s">
        <v>10851</v>
      </c>
      <c r="D2810" s="55" t="s">
        <v>11514</v>
      </c>
    </row>
    <row r="2811" ht="14.25" customHeight="1">
      <c r="A2811" s="55" t="s">
        <v>9339</v>
      </c>
      <c r="B2811" s="55" t="s">
        <v>40</v>
      </c>
      <c r="C2811" s="55" t="s">
        <v>10851</v>
      </c>
      <c r="D2811" s="55" t="s">
        <v>8978</v>
      </c>
    </row>
    <row r="2812" ht="14.25" customHeight="1">
      <c r="A2812" s="55" t="s">
        <v>9339</v>
      </c>
      <c r="B2812" s="55" t="s">
        <v>40</v>
      </c>
      <c r="C2812" s="55" t="s">
        <v>9295</v>
      </c>
      <c r="D2812" s="55" t="s">
        <v>8978</v>
      </c>
    </row>
    <row r="2813" ht="14.25" customHeight="1">
      <c r="A2813" s="55" t="s">
        <v>9339</v>
      </c>
      <c r="B2813" s="55" t="s">
        <v>40</v>
      </c>
      <c r="C2813" s="55" t="s">
        <v>9295</v>
      </c>
      <c r="D2813" s="55" t="s">
        <v>12152</v>
      </c>
    </row>
    <row r="2814" ht="14.25" customHeight="1">
      <c r="A2814" s="55" t="s">
        <v>9339</v>
      </c>
      <c r="B2814" s="55" t="s">
        <v>40</v>
      </c>
      <c r="C2814" s="55" t="s">
        <v>9295</v>
      </c>
      <c r="D2814" s="55" t="s">
        <v>8976</v>
      </c>
    </row>
    <row r="2815" ht="14.25" customHeight="1">
      <c r="A2815" s="55" t="s">
        <v>9339</v>
      </c>
      <c r="B2815" s="55" t="s">
        <v>40</v>
      </c>
      <c r="C2815" s="55" t="s">
        <v>12913</v>
      </c>
      <c r="D2815" s="55" t="s">
        <v>8978</v>
      </c>
    </row>
    <row r="2816" ht="14.25" customHeight="1">
      <c r="A2816" s="55" t="s">
        <v>9339</v>
      </c>
      <c r="B2816" s="55" t="s">
        <v>40</v>
      </c>
      <c r="C2816" s="55" t="s">
        <v>9787</v>
      </c>
      <c r="D2816" s="55" t="s">
        <v>9319</v>
      </c>
    </row>
    <row r="2817" ht="14.25" customHeight="1">
      <c r="A2817" s="55" t="s">
        <v>9339</v>
      </c>
      <c r="B2817" s="55" t="s">
        <v>40</v>
      </c>
      <c r="C2817" s="55" t="s">
        <v>9787</v>
      </c>
      <c r="D2817" s="55" t="s">
        <v>8978</v>
      </c>
    </row>
    <row r="2818" ht="14.25" customHeight="1">
      <c r="A2818" s="55" t="s">
        <v>9339</v>
      </c>
      <c r="B2818" s="55" t="s">
        <v>40</v>
      </c>
      <c r="C2818" s="55" t="s">
        <v>10201</v>
      </c>
      <c r="D2818" s="55" t="s">
        <v>10202</v>
      </c>
    </row>
    <row r="2819" ht="14.25" customHeight="1">
      <c r="A2819" s="55" t="s">
        <v>9339</v>
      </c>
      <c r="B2819" s="55" t="s">
        <v>40</v>
      </c>
      <c r="C2819" s="55" t="s">
        <v>7351</v>
      </c>
      <c r="D2819" s="55" t="s">
        <v>9413</v>
      </c>
    </row>
    <row r="2820" ht="14.25" customHeight="1">
      <c r="A2820" s="55" t="s">
        <v>9339</v>
      </c>
      <c r="B2820" s="55" t="s">
        <v>40</v>
      </c>
      <c r="C2820" s="55" t="s">
        <v>9414</v>
      </c>
      <c r="D2820" s="55" t="s">
        <v>8978</v>
      </c>
    </row>
    <row r="2821" ht="14.25" customHeight="1">
      <c r="A2821" s="55" t="s">
        <v>9339</v>
      </c>
      <c r="B2821" s="55" t="s">
        <v>40</v>
      </c>
      <c r="C2821" s="55" t="s">
        <v>14198</v>
      </c>
      <c r="D2821" s="55" t="s">
        <v>9258</v>
      </c>
    </row>
    <row r="2822" ht="14.25" customHeight="1">
      <c r="A2822" s="55" t="s">
        <v>9339</v>
      </c>
      <c r="B2822" s="55" t="s">
        <v>40</v>
      </c>
      <c r="C2822" s="55" t="s">
        <v>10852</v>
      </c>
      <c r="D2822" s="55" t="s">
        <v>10853</v>
      </c>
    </row>
    <row r="2823" ht="14.25" customHeight="1">
      <c r="A2823" s="55" t="s">
        <v>9339</v>
      </c>
      <c r="B2823" s="55" t="s">
        <v>41</v>
      </c>
      <c r="C2823" s="55" t="s">
        <v>9034</v>
      </c>
      <c r="D2823" s="55" t="s">
        <v>10854</v>
      </c>
    </row>
    <row r="2824" ht="14.25" customHeight="1">
      <c r="A2824" s="55" t="s">
        <v>9339</v>
      </c>
      <c r="B2824" s="55" t="s">
        <v>41</v>
      </c>
      <c r="C2824" s="55" t="s">
        <v>9034</v>
      </c>
      <c r="D2824" s="55" t="s">
        <v>10189</v>
      </c>
    </row>
    <row r="2825" ht="14.25" customHeight="1">
      <c r="A2825" s="55" t="s">
        <v>9339</v>
      </c>
      <c r="B2825" s="55" t="s">
        <v>41</v>
      </c>
      <c r="C2825" s="55" t="s">
        <v>10203</v>
      </c>
      <c r="D2825" s="55" t="s">
        <v>10204</v>
      </c>
    </row>
    <row r="2826" ht="14.25" customHeight="1">
      <c r="A2826" s="55" t="s">
        <v>9339</v>
      </c>
      <c r="B2826" s="55" t="s">
        <v>41</v>
      </c>
      <c r="C2826" s="55" t="s">
        <v>11532</v>
      </c>
      <c r="D2826" s="55" t="s">
        <v>8978</v>
      </c>
    </row>
    <row r="2827" ht="14.25" customHeight="1">
      <c r="A2827" s="55" t="s">
        <v>9339</v>
      </c>
      <c r="B2827" s="55" t="s">
        <v>41</v>
      </c>
      <c r="C2827" s="55" t="s">
        <v>12914</v>
      </c>
      <c r="D2827" s="55" t="s">
        <v>8978</v>
      </c>
    </row>
    <row r="2828" ht="14.25" customHeight="1">
      <c r="A2828" s="55" t="s">
        <v>9339</v>
      </c>
      <c r="B2828" s="55" t="s">
        <v>41</v>
      </c>
      <c r="C2828" s="55" t="s">
        <v>12915</v>
      </c>
      <c r="D2828" s="55" t="s">
        <v>8978</v>
      </c>
    </row>
    <row r="2829" ht="14.25" customHeight="1">
      <c r="A2829" s="55" t="s">
        <v>9339</v>
      </c>
      <c r="B2829" s="55" t="s">
        <v>41</v>
      </c>
      <c r="C2829" s="55" t="s">
        <v>10855</v>
      </c>
      <c r="D2829" s="55" t="s">
        <v>10856</v>
      </c>
    </row>
    <row r="2830" ht="14.25" customHeight="1">
      <c r="A2830" s="55" t="s">
        <v>9339</v>
      </c>
      <c r="B2830" s="55" t="s">
        <v>41</v>
      </c>
      <c r="C2830" s="55" t="s">
        <v>8969</v>
      </c>
      <c r="D2830" s="55" t="s">
        <v>9306</v>
      </c>
    </row>
    <row r="2831" ht="14.25" customHeight="1">
      <c r="A2831" s="55" t="s">
        <v>9339</v>
      </c>
      <c r="B2831" s="55" t="s">
        <v>41</v>
      </c>
      <c r="C2831" s="55" t="s">
        <v>8969</v>
      </c>
      <c r="D2831" s="55" t="s">
        <v>9380</v>
      </c>
    </row>
    <row r="2832" ht="14.25" customHeight="1">
      <c r="A2832" s="55" t="s">
        <v>9339</v>
      </c>
      <c r="B2832" s="55" t="s">
        <v>41</v>
      </c>
      <c r="C2832" s="55" t="s">
        <v>8969</v>
      </c>
      <c r="D2832" s="55" t="s">
        <v>12916</v>
      </c>
    </row>
    <row r="2833" ht="14.25" customHeight="1">
      <c r="A2833" s="55" t="s">
        <v>9339</v>
      </c>
      <c r="B2833" s="55" t="s">
        <v>41</v>
      </c>
      <c r="C2833" s="55" t="s">
        <v>8969</v>
      </c>
      <c r="D2833" s="55" t="s">
        <v>9256</v>
      </c>
    </row>
    <row r="2834" ht="14.25" customHeight="1">
      <c r="A2834" s="55" t="s">
        <v>9339</v>
      </c>
      <c r="B2834" s="55" t="s">
        <v>41</v>
      </c>
      <c r="C2834" s="55" t="s">
        <v>8969</v>
      </c>
      <c r="D2834" s="55" t="s">
        <v>8978</v>
      </c>
    </row>
    <row r="2835" ht="14.25" customHeight="1">
      <c r="A2835" s="55" t="s">
        <v>9339</v>
      </c>
      <c r="B2835" s="55" t="s">
        <v>41</v>
      </c>
      <c r="C2835" s="55" t="s">
        <v>8969</v>
      </c>
      <c r="D2835" s="55" t="s">
        <v>9415</v>
      </c>
    </row>
    <row r="2836" ht="14.25" customHeight="1">
      <c r="A2836" s="55" t="s">
        <v>9339</v>
      </c>
      <c r="B2836" s="55" t="s">
        <v>41</v>
      </c>
      <c r="C2836" s="55" t="s">
        <v>10857</v>
      </c>
      <c r="D2836" s="55" t="s">
        <v>8978</v>
      </c>
    </row>
    <row r="2837" ht="14.25" customHeight="1">
      <c r="A2837" s="55" t="s">
        <v>9339</v>
      </c>
      <c r="B2837" s="55" t="s">
        <v>41</v>
      </c>
      <c r="C2837" s="55" t="s">
        <v>2379</v>
      </c>
      <c r="D2837" s="55" t="s">
        <v>8978</v>
      </c>
    </row>
    <row r="2838" ht="14.25" customHeight="1">
      <c r="A2838" s="55" t="s">
        <v>9339</v>
      </c>
      <c r="B2838" s="55" t="s">
        <v>41</v>
      </c>
      <c r="C2838" s="55" t="s">
        <v>9313</v>
      </c>
      <c r="D2838" s="55" t="s">
        <v>9034</v>
      </c>
    </row>
    <row r="2839" ht="14.25" customHeight="1">
      <c r="A2839" s="55" t="s">
        <v>9339</v>
      </c>
      <c r="B2839" s="55" t="s">
        <v>41</v>
      </c>
      <c r="C2839" s="55" t="s">
        <v>9313</v>
      </c>
      <c r="D2839" s="55" t="s">
        <v>10204</v>
      </c>
    </row>
    <row r="2840" ht="14.25" customHeight="1">
      <c r="A2840" s="55" t="s">
        <v>9339</v>
      </c>
      <c r="B2840" s="55" t="s">
        <v>41</v>
      </c>
      <c r="C2840" s="55" t="s">
        <v>9313</v>
      </c>
      <c r="D2840" s="55" t="s">
        <v>8978</v>
      </c>
    </row>
    <row r="2841" ht="14.25" customHeight="1">
      <c r="A2841" s="55" t="s">
        <v>9339</v>
      </c>
      <c r="B2841" s="55" t="s">
        <v>41</v>
      </c>
      <c r="C2841" s="55" t="s">
        <v>9938</v>
      </c>
      <c r="D2841" s="55" t="s">
        <v>8978</v>
      </c>
    </row>
    <row r="2842" ht="14.25" customHeight="1">
      <c r="A2842" s="55" t="s">
        <v>9339</v>
      </c>
      <c r="B2842" s="55" t="s">
        <v>41</v>
      </c>
      <c r="C2842" s="55" t="s">
        <v>9416</v>
      </c>
      <c r="D2842" s="55" t="s">
        <v>9258</v>
      </c>
    </row>
    <row r="2843" ht="14.25" customHeight="1">
      <c r="A2843" s="55" t="s">
        <v>9339</v>
      </c>
      <c r="B2843" s="55" t="s">
        <v>41</v>
      </c>
      <c r="C2843" s="55" t="s">
        <v>9416</v>
      </c>
      <c r="D2843" s="55" t="s">
        <v>8978</v>
      </c>
    </row>
    <row r="2844" ht="14.25" customHeight="1">
      <c r="A2844" s="55" t="s">
        <v>9339</v>
      </c>
      <c r="B2844" s="55" t="s">
        <v>41</v>
      </c>
      <c r="C2844" s="55" t="s">
        <v>10858</v>
      </c>
      <c r="D2844" s="55" t="s">
        <v>8978</v>
      </c>
    </row>
    <row r="2845" ht="14.25" customHeight="1">
      <c r="A2845" s="55" t="s">
        <v>9339</v>
      </c>
      <c r="B2845" s="55" t="s">
        <v>41</v>
      </c>
      <c r="C2845" s="55" t="s">
        <v>12917</v>
      </c>
      <c r="D2845" s="55" t="s">
        <v>8978</v>
      </c>
    </row>
    <row r="2846" ht="14.25" customHeight="1">
      <c r="A2846" s="55" t="s">
        <v>9339</v>
      </c>
      <c r="B2846" s="55" t="s">
        <v>41</v>
      </c>
      <c r="C2846" s="55" t="s">
        <v>9417</v>
      </c>
      <c r="D2846" s="55" t="s">
        <v>8968</v>
      </c>
    </row>
    <row r="2847" ht="14.25" customHeight="1">
      <c r="A2847" s="55" t="s">
        <v>9339</v>
      </c>
      <c r="B2847" s="55" t="s">
        <v>41</v>
      </c>
      <c r="C2847" s="55" t="s">
        <v>10205</v>
      </c>
      <c r="D2847" s="55" t="s">
        <v>9256</v>
      </c>
    </row>
    <row r="2848" ht="14.25" customHeight="1">
      <c r="A2848" s="55" t="s">
        <v>9339</v>
      </c>
      <c r="B2848" s="55" t="s">
        <v>41</v>
      </c>
      <c r="C2848" s="55" t="s">
        <v>9418</v>
      </c>
      <c r="D2848" s="55" t="s">
        <v>8978</v>
      </c>
    </row>
    <row r="2849" ht="14.25" customHeight="1">
      <c r="A2849" s="55" t="s">
        <v>9339</v>
      </c>
      <c r="B2849" s="55" t="s">
        <v>41</v>
      </c>
      <c r="C2849" s="55" t="s">
        <v>9261</v>
      </c>
      <c r="D2849" s="55" t="s">
        <v>9388</v>
      </c>
    </row>
    <row r="2850" ht="14.25" customHeight="1">
      <c r="A2850" s="55" t="s">
        <v>9339</v>
      </c>
      <c r="B2850" s="55" t="s">
        <v>41</v>
      </c>
      <c r="C2850" s="55" t="s">
        <v>2669</v>
      </c>
      <c r="D2850" s="55" t="s">
        <v>9383</v>
      </c>
    </row>
    <row r="2851" ht="14.25" customHeight="1">
      <c r="A2851" s="55" t="s">
        <v>9339</v>
      </c>
      <c r="B2851" s="55" t="s">
        <v>41</v>
      </c>
      <c r="C2851" s="55" t="s">
        <v>2669</v>
      </c>
      <c r="D2851" s="55" t="s">
        <v>8968</v>
      </c>
    </row>
    <row r="2852" ht="14.25" customHeight="1">
      <c r="A2852" s="55" t="s">
        <v>9339</v>
      </c>
      <c r="B2852" s="55" t="s">
        <v>41</v>
      </c>
      <c r="C2852" s="55" t="s">
        <v>9419</v>
      </c>
      <c r="D2852" s="55" t="s">
        <v>8978</v>
      </c>
    </row>
    <row r="2853" ht="14.25" customHeight="1">
      <c r="A2853" s="55" t="s">
        <v>9339</v>
      </c>
      <c r="B2853" s="55" t="s">
        <v>41</v>
      </c>
      <c r="C2853" s="55" t="s">
        <v>2682</v>
      </c>
      <c r="D2853" s="55" t="s">
        <v>9354</v>
      </c>
    </row>
    <row r="2854" ht="14.25" customHeight="1">
      <c r="A2854" s="55" t="s">
        <v>9339</v>
      </c>
      <c r="B2854" s="55" t="s">
        <v>41</v>
      </c>
      <c r="C2854" s="55" t="s">
        <v>9323</v>
      </c>
      <c r="D2854" s="55" t="s">
        <v>8978</v>
      </c>
    </row>
    <row r="2855" ht="14.25" customHeight="1">
      <c r="A2855" s="55" t="s">
        <v>9339</v>
      </c>
      <c r="B2855" s="55" t="s">
        <v>41</v>
      </c>
      <c r="C2855" s="55" t="s">
        <v>11533</v>
      </c>
      <c r="D2855" s="55" t="s">
        <v>9034</v>
      </c>
    </row>
    <row r="2856" ht="14.25" customHeight="1">
      <c r="A2856" s="55" t="s">
        <v>9339</v>
      </c>
      <c r="B2856" s="55" t="s">
        <v>41</v>
      </c>
      <c r="C2856" s="55" t="s">
        <v>10206</v>
      </c>
      <c r="D2856" s="55" t="s">
        <v>9380</v>
      </c>
    </row>
    <row r="2857" ht="14.25" customHeight="1">
      <c r="A2857" s="55" t="s">
        <v>9339</v>
      </c>
      <c r="B2857" s="55" t="s">
        <v>41</v>
      </c>
      <c r="C2857" s="55" t="s">
        <v>916</v>
      </c>
      <c r="D2857" s="55" t="s">
        <v>8978</v>
      </c>
    </row>
    <row r="2858" ht="14.25" customHeight="1">
      <c r="A2858" s="55" t="s">
        <v>9339</v>
      </c>
      <c r="B2858" s="55" t="s">
        <v>41</v>
      </c>
      <c r="C2858" s="55" t="s">
        <v>9630</v>
      </c>
      <c r="D2858" s="55" t="s">
        <v>9236</v>
      </c>
    </row>
    <row r="2859" ht="14.25" customHeight="1">
      <c r="A2859" s="55" t="s">
        <v>9339</v>
      </c>
      <c r="B2859" s="55" t="s">
        <v>41</v>
      </c>
      <c r="C2859" s="55" t="s">
        <v>9630</v>
      </c>
      <c r="D2859" s="55" t="s">
        <v>12918</v>
      </c>
    </row>
    <row r="2860" ht="14.25" customHeight="1">
      <c r="A2860" s="55" t="s">
        <v>9339</v>
      </c>
      <c r="B2860" s="55" t="s">
        <v>41</v>
      </c>
      <c r="C2860" s="55" t="s">
        <v>9420</v>
      </c>
      <c r="D2860" s="55" t="s">
        <v>9421</v>
      </c>
    </row>
    <row r="2861" ht="14.25" customHeight="1">
      <c r="A2861" s="55" t="s">
        <v>9339</v>
      </c>
      <c r="B2861" s="55" t="s">
        <v>41</v>
      </c>
      <c r="C2861" s="55" t="s">
        <v>9422</v>
      </c>
      <c r="D2861" s="55" t="s">
        <v>9423</v>
      </c>
    </row>
    <row r="2862" ht="14.25" customHeight="1">
      <c r="A2862" s="55" t="s">
        <v>9339</v>
      </c>
      <c r="B2862" s="55" t="s">
        <v>41</v>
      </c>
      <c r="C2862" s="55" t="s">
        <v>9424</v>
      </c>
      <c r="D2862" s="55" t="s">
        <v>9345</v>
      </c>
    </row>
    <row r="2863" ht="14.25" customHeight="1">
      <c r="A2863" s="55" t="s">
        <v>9339</v>
      </c>
      <c r="B2863" s="55" t="s">
        <v>41</v>
      </c>
      <c r="C2863" s="55" t="s">
        <v>12919</v>
      </c>
      <c r="D2863" s="55" t="s">
        <v>8978</v>
      </c>
    </row>
    <row r="2864" ht="14.25" customHeight="1">
      <c r="A2864" s="55" t="s">
        <v>9339</v>
      </c>
      <c r="B2864" s="55" t="s">
        <v>41</v>
      </c>
      <c r="C2864" s="55" t="s">
        <v>9425</v>
      </c>
      <c r="D2864" s="55" t="s">
        <v>8978</v>
      </c>
    </row>
    <row r="2865" ht="14.25" customHeight="1">
      <c r="A2865" s="55" t="s">
        <v>9339</v>
      </c>
      <c r="B2865" s="55" t="s">
        <v>41</v>
      </c>
      <c r="C2865" s="55" t="s">
        <v>12873</v>
      </c>
      <c r="D2865" s="55" t="s">
        <v>8978</v>
      </c>
    </row>
    <row r="2866" ht="14.25" customHeight="1">
      <c r="A2866" s="55" t="s">
        <v>9339</v>
      </c>
      <c r="B2866" s="55" t="s">
        <v>41</v>
      </c>
      <c r="C2866" s="55" t="s">
        <v>6298</v>
      </c>
      <c r="D2866" s="55" t="s">
        <v>9258</v>
      </c>
    </row>
    <row r="2867" ht="14.25" customHeight="1">
      <c r="A2867" s="55" t="s">
        <v>9339</v>
      </c>
      <c r="B2867" s="55" t="s">
        <v>41</v>
      </c>
      <c r="C2867" s="55" t="s">
        <v>6298</v>
      </c>
      <c r="D2867" s="55" t="s">
        <v>8978</v>
      </c>
    </row>
    <row r="2868" ht="14.25" customHeight="1">
      <c r="A2868" s="55" t="s">
        <v>9339</v>
      </c>
      <c r="B2868" s="55" t="s">
        <v>41</v>
      </c>
      <c r="C2868" s="55" t="s">
        <v>9426</v>
      </c>
      <c r="D2868" s="55" t="s">
        <v>12153</v>
      </c>
    </row>
    <row r="2869" ht="14.25" customHeight="1">
      <c r="A2869" s="55" t="s">
        <v>9339</v>
      </c>
      <c r="B2869" s="55" t="s">
        <v>41</v>
      </c>
      <c r="C2869" s="55" t="s">
        <v>9426</v>
      </c>
      <c r="D2869" s="55" t="s">
        <v>8978</v>
      </c>
    </row>
    <row r="2870" ht="14.25" customHeight="1">
      <c r="A2870" s="55" t="s">
        <v>9339</v>
      </c>
      <c r="B2870" s="55" t="s">
        <v>41</v>
      </c>
      <c r="C2870" s="55" t="s">
        <v>3138</v>
      </c>
      <c r="D2870" s="55" t="s">
        <v>8978</v>
      </c>
    </row>
    <row r="2871" ht="14.25" customHeight="1">
      <c r="A2871" s="55" t="s">
        <v>9339</v>
      </c>
      <c r="B2871" s="55" t="s">
        <v>41</v>
      </c>
      <c r="C2871" s="55" t="s">
        <v>9303</v>
      </c>
      <c r="D2871" s="55" t="s">
        <v>9236</v>
      </c>
    </row>
    <row r="2872" ht="14.25" customHeight="1">
      <c r="A2872" s="55" t="s">
        <v>9339</v>
      </c>
      <c r="B2872" s="55" t="s">
        <v>41</v>
      </c>
      <c r="C2872" s="55" t="s">
        <v>9303</v>
      </c>
      <c r="D2872" s="55" t="s">
        <v>10859</v>
      </c>
    </row>
    <row r="2873" ht="14.25" customHeight="1">
      <c r="A2873" s="55" t="s">
        <v>9339</v>
      </c>
      <c r="B2873" s="55" t="s">
        <v>41</v>
      </c>
      <c r="C2873" s="55" t="s">
        <v>9303</v>
      </c>
      <c r="D2873" s="55" t="s">
        <v>9258</v>
      </c>
    </row>
    <row r="2874" ht="14.25" customHeight="1">
      <c r="A2874" s="55" t="s">
        <v>9339</v>
      </c>
      <c r="B2874" s="55" t="s">
        <v>41</v>
      </c>
      <c r="C2874" s="55" t="s">
        <v>9303</v>
      </c>
      <c r="D2874" s="55" t="s">
        <v>8978</v>
      </c>
    </row>
    <row r="2875" ht="14.25" customHeight="1">
      <c r="A2875" s="55" t="s">
        <v>9339</v>
      </c>
      <c r="B2875" s="55" t="s">
        <v>41</v>
      </c>
      <c r="C2875" s="55" t="s">
        <v>9374</v>
      </c>
      <c r="D2875" s="55" t="s">
        <v>8978</v>
      </c>
    </row>
    <row r="2876" ht="14.25" customHeight="1">
      <c r="A2876" s="55" t="s">
        <v>9339</v>
      </c>
      <c r="B2876" s="55" t="s">
        <v>41</v>
      </c>
      <c r="C2876" s="55" t="s">
        <v>9374</v>
      </c>
      <c r="D2876" s="55" t="s">
        <v>13706</v>
      </c>
    </row>
    <row r="2877" ht="14.25" customHeight="1">
      <c r="A2877" s="55" t="s">
        <v>9339</v>
      </c>
      <c r="B2877" s="55" t="s">
        <v>41</v>
      </c>
      <c r="C2877" s="55" t="s">
        <v>141</v>
      </c>
      <c r="D2877" s="55" t="s">
        <v>9258</v>
      </c>
    </row>
    <row r="2878" ht="14.25" customHeight="1">
      <c r="A2878" s="55" t="s">
        <v>9339</v>
      </c>
      <c r="B2878" s="55" t="s">
        <v>41</v>
      </c>
      <c r="C2878" s="55" t="s">
        <v>6405</v>
      </c>
      <c r="D2878" s="55" t="s">
        <v>8978</v>
      </c>
    </row>
    <row r="2879" ht="14.25" customHeight="1">
      <c r="A2879" s="55" t="s">
        <v>9339</v>
      </c>
      <c r="B2879" s="55" t="s">
        <v>41</v>
      </c>
      <c r="C2879" s="55" t="s">
        <v>11534</v>
      </c>
      <c r="D2879" s="55" t="s">
        <v>11535</v>
      </c>
    </row>
    <row r="2880" ht="14.25" customHeight="1">
      <c r="A2880" s="55" t="s">
        <v>9339</v>
      </c>
      <c r="B2880" s="55" t="s">
        <v>41</v>
      </c>
      <c r="C2880" s="55" t="s">
        <v>10745</v>
      </c>
      <c r="D2880" s="55" t="s">
        <v>9034</v>
      </c>
    </row>
    <row r="2881" ht="14.25" customHeight="1">
      <c r="A2881" s="55" t="s">
        <v>9339</v>
      </c>
      <c r="B2881" s="55" t="s">
        <v>41</v>
      </c>
      <c r="C2881" s="55" t="s">
        <v>10745</v>
      </c>
      <c r="D2881" s="55" t="s">
        <v>10860</v>
      </c>
    </row>
    <row r="2882" ht="14.25" customHeight="1">
      <c r="A2882" s="55" t="s">
        <v>9339</v>
      </c>
      <c r="B2882" s="55" t="s">
        <v>41</v>
      </c>
      <c r="C2882" s="55" t="s">
        <v>10745</v>
      </c>
      <c r="D2882" s="55" t="s">
        <v>8978</v>
      </c>
    </row>
    <row r="2883" ht="14.25" customHeight="1">
      <c r="A2883" s="55" t="s">
        <v>9339</v>
      </c>
      <c r="B2883" s="55" t="s">
        <v>41</v>
      </c>
      <c r="C2883" s="55" t="s">
        <v>9272</v>
      </c>
      <c r="D2883" s="55" t="s">
        <v>8978</v>
      </c>
    </row>
    <row r="2884" ht="14.25" customHeight="1">
      <c r="A2884" s="55" t="s">
        <v>9339</v>
      </c>
      <c r="B2884" s="55" t="s">
        <v>41</v>
      </c>
      <c r="C2884" s="55" t="s">
        <v>307</v>
      </c>
      <c r="D2884" s="55" t="s">
        <v>10861</v>
      </c>
    </row>
    <row r="2885" ht="14.25" customHeight="1">
      <c r="A2885" s="55" t="s">
        <v>9339</v>
      </c>
      <c r="B2885" s="55" t="s">
        <v>41</v>
      </c>
      <c r="C2885" s="55" t="s">
        <v>307</v>
      </c>
      <c r="D2885" s="55" t="s">
        <v>9273</v>
      </c>
    </row>
    <row r="2886" ht="14.25" customHeight="1">
      <c r="A2886" s="55" t="s">
        <v>9339</v>
      </c>
      <c r="B2886" s="55" t="s">
        <v>41</v>
      </c>
      <c r="C2886" s="55" t="s">
        <v>307</v>
      </c>
      <c r="D2886" s="55" t="s">
        <v>8968</v>
      </c>
    </row>
    <row r="2887" ht="14.25" customHeight="1">
      <c r="A2887" s="55" t="s">
        <v>9339</v>
      </c>
      <c r="B2887" s="55" t="s">
        <v>41</v>
      </c>
      <c r="C2887" s="55" t="s">
        <v>307</v>
      </c>
      <c r="D2887" s="55" t="s">
        <v>8978</v>
      </c>
    </row>
    <row r="2888" ht="14.25" customHeight="1">
      <c r="A2888" s="55" t="s">
        <v>9339</v>
      </c>
      <c r="B2888" s="55" t="s">
        <v>41</v>
      </c>
      <c r="C2888" s="55" t="s">
        <v>153</v>
      </c>
      <c r="D2888" s="55" t="s">
        <v>8978</v>
      </c>
    </row>
    <row r="2889" ht="14.25" customHeight="1">
      <c r="A2889" s="55" t="s">
        <v>9339</v>
      </c>
      <c r="B2889" s="55" t="s">
        <v>41</v>
      </c>
      <c r="C2889" s="55" t="s">
        <v>11536</v>
      </c>
      <c r="D2889" s="55" t="s">
        <v>9034</v>
      </c>
    </row>
    <row r="2890" ht="14.25" customHeight="1">
      <c r="A2890" s="55" t="s">
        <v>9339</v>
      </c>
      <c r="B2890" s="55" t="s">
        <v>41</v>
      </c>
      <c r="C2890" s="55" t="s">
        <v>9329</v>
      </c>
      <c r="D2890" s="55" t="s">
        <v>9131</v>
      </c>
    </row>
    <row r="2891" ht="14.25" customHeight="1">
      <c r="A2891" s="55" t="s">
        <v>9339</v>
      </c>
      <c r="B2891" s="55" t="s">
        <v>41</v>
      </c>
      <c r="C2891" s="55" t="s">
        <v>11537</v>
      </c>
      <c r="D2891" s="55" t="s">
        <v>11538</v>
      </c>
    </row>
    <row r="2892" ht="14.25" customHeight="1">
      <c r="A2892" s="55" t="s">
        <v>9339</v>
      </c>
      <c r="B2892" s="55" t="s">
        <v>41</v>
      </c>
      <c r="C2892" s="55" t="s">
        <v>162</v>
      </c>
      <c r="D2892" s="55" t="s">
        <v>10841</v>
      </c>
    </row>
    <row r="2893" ht="14.25" customHeight="1">
      <c r="A2893" s="55" t="s">
        <v>9339</v>
      </c>
      <c r="B2893" s="55" t="s">
        <v>41</v>
      </c>
      <c r="C2893" s="55" t="s">
        <v>9275</v>
      </c>
      <c r="D2893" s="55" t="s">
        <v>8978</v>
      </c>
    </row>
    <row r="2894" ht="14.25" customHeight="1">
      <c r="A2894" s="55" t="s">
        <v>9339</v>
      </c>
      <c r="B2894" s="55" t="s">
        <v>41</v>
      </c>
      <c r="C2894" s="55" t="s">
        <v>12826</v>
      </c>
      <c r="D2894" s="55" t="s">
        <v>9258</v>
      </c>
    </row>
    <row r="2895" ht="14.25" customHeight="1">
      <c r="A2895" s="55" t="s">
        <v>9339</v>
      </c>
      <c r="B2895" s="55" t="s">
        <v>41</v>
      </c>
      <c r="C2895" s="55" t="s">
        <v>10818</v>
      </c>
      <c r="D2895" s="55" t="s">
        <v>8978</v>
      </c>
    </row>
    <row r="2896" ht="14.25" customHeight="1">
      <c r="A2896" s="55" t="s">
        <v>9339</v>
      </c>
      <c r="B2896" s="55" t="s">
        <v>41</v>
      </c>
      <c r="C2896" s="55" t="s">
        <v>9330</v>
      </c>
      <c r="D2896" s="55" t="s">
        <v>8978</v>
      </c>
    </row>
    <row r="2897" ht="14.25" customHeight="1">
      <c r="A2897" s="55" t="s">
        <v>9339</v>
      </c>
      <c r="B2897" s="55" t="s">
        <v>41</v>
      </c>
      <c r="C2897" s="55" t="s">
        <v>10862</v>
      </c>
      <c r="D2897" s="55" t="s">
        <v>10863</v>
      </c>
    </row>
    <row r="2898" ht="14.25" customHeight="1">
      <c r="A2898" s="55" t="s">
        <v>9339</v>
      </c>
      <c r="B2898" s="55" t="s">
        <v>41</v>
      </c>
      <c r="C2898" s="55" t="s">
        <v>312</v>
      </c>
      <c r="D2898" s="55" t="s">
        <v>8976</v>
      </c>
    </row>
    <row r="2899" ht="14.25" customHeight="1">
      <c r="A2899" s="55" t="s">
        <v>9339</v>
      </c>
      <c r="B2899" s="55" t="s">
        <v>41</v>
      </c>
      <c r="C2899" s="55" t="s">
        <v>9427</v>
      </c>
      <c r="D2899" s="55" t="s">
        <v>8978</v>
      </c>
    </row>
    <row r="2900" ht="14.25" customHeight="1">
      <c r="A2900" s="55" t="s">
        <v>9339</v>
      </c>
      <c r="B2900" s="55" t="s">
        <v>41</v>
      </c>
      <c r="C2900" s="55" t="s">
        <v>9428</v>
      </c>
      <c r="D2900" s="55" t="s">
        <v>9256</v>
      </c>
    </row>
    <row r="2901" ht="14.25" customHeight="1">
      <c r="A2901" s="55" t="s">
        <v>9339</v>
      </c>
      <c r="B2901" s="55" t="s">
        <v>41</v>
      </c>
      <c r="C2901" s="55" t="s">
        <v>3566</v>
      </c>
      <c r="D2901" s="55" t="s">
        <v>11511</v>
      </c>
    </row>
    <row r="2902" ht="14.25" customHeight="1">
      <c r="A2902" s="55" t="s">
        <v>9339</v>
      </c>
      <c r="B2902" s="55" t="s">
        <v>41</v>
      </c>
      <c r="C2902" s="55" t="s">
        <v>3566</v>
      </c>
      <c r="D2902" s="55" t="s">
        <v>8978</v>
      </c>
    </row>
    <row r="2903" ht="14.25" customHeight="1">
      <c r="A2903" s="55" t="s">
        <v>9339</v>
      </c>
      <c r="B2903" s="55" t="s">
        <v>41</v>
      </c>
      <c r="C2903" s="55" t="s">
        <v>10207</v>
      </c>
      <c r="D2903" s="55" t="s">
        <v>10208</v>
      </c>
    </row>
    <row r="2904" ht="14.25" customHeight="1">
      <c r="A2904" s="55" t="s">
        <v>9339</v>
      </c>
      <c r="B2904" s="55" t="s">
        <v>41</v>
      </c>
      <c r="C2904" s="55" t="s">
        <v>14199</v>
      </c>
      <c r="D2904" s="55" t="s">
        <v>10204</v>
      </c>
    </row>
    <row r="2905" ht="14.25" customHeight="1">
      <c r="A2905" s="55" t="s">
        <v>9339</v>
      </c>
      <c r="B2905" s="55" t="s">
        <v>41</v>
      </c>
      <c r="C2905" s="55" t="s">
        <v>9429</v>
      </c>
      <c r="D2905" s="55" t="s">
        <v>8978</v>
      </c>
    </row>
    <row r="2906" ht="14.25" customHeight="1">
      <c r="A2906" s="55" t="s">
        <v>9339</v>
      </c>
      <c r="B2906" s="55" t="s">
        <v>41</v>
      </c>
      <c r="C2906" s="55" t="s">
        <v>11539</v>
      </c>
      <c r="D2906" s="55" t="s">
        <v>9319</v>
      </c>
    </row>
    <row r="2907" ht="14.25" customHeight="1">
      <c r="A2907" s="55" t="s">
        <v>9339</v>
      </c>
      <c r="B2907" s="55" t="s">
        <v>41</v>
      </c>
      <c r="C2907" s="55" t="s">
        <v>9390</v>
      </c>
      <c r="D2907" s="55" t="s">
        <v>9314</v>
      </c>
    </row>
    <row r="2908" ht="14.25" customHeight="1">
      <c r="A2908" s="55" t="s">
        <v>9339</v>
      </c>
      <c r="B2908" s="55" t="s">
        <v>41</v>
      </c>
      <c r="C2908" s="55" t="s">
        <v>9390</v>
      </c>
      <c r="D2908" s="55" t="s">
        <v>8978</v>
      </c>
    </row>
    <row r="2909" ht="14.25" customHeight="1">
      <c r="A2909" s="55" t="s">
        <v>9339</v>
      </c>
      <c r="B2909" s="55" t="s">
        <v>41</v>
      </c>
      <c r="C2909" s="55" t="s">
        <v>12828</v>
      </c>
      <c r="D2909" s="55" t="s">
        <v>8978</v>
      </c>
    </row>
    <row r="2910" ht="14.25" customHeight="1">
      <c r="A2910" s="55" t="s">
        <v>9339</v>
      </c>
      <c r="B2910" s="55" t="s">
        <v>41</v>
      </c>
      <c r="C2910" s="55" t="s">
        <v>9277</v>
      </c>
      <c r="D2910" s="55" t="s">
        <v>8978</v>
      </c>
    </row>
    <row r="2911" ht="14.25" customHeight="1">
      <c r="A2911" s="55" t="s">
        <v>9339</v>
      </c>
      <c r="B2911" s="55" t="s">
        <v>41</v>
      </c>
      <c r="C2911" s="55" t="s">
        <v>13707</v>
      </c>
      <c r="D2911" s="55" t="s">
        <v>10204</v>
      </c>
    </row>
    <row r="2912" ht="14.25" customHeight="1">
      <c r="A2912" s="55" t="s">
        <v>9339</v>
      </c>
      <c r="B2912" s="55" t="s">
        <v>41</v>
      </c>
      <c r="C2912" s="55" t="s">
        <v>10184</v>
      </c>
      <c r="D2912" s="55" t="s">
        <v>14200</v>
      </c>
    </row>
    <row r="2913" ht="14.25" customHeight="1">
      <c r="A2913" s="55" t="s">
        <v>9339</v>
      </c>
      <c r="B2913" s="55" t="s">
        <v>41</v>
      </c>
      <c r="C2913" s="55" t="s">
        <v>10762</v>
      </c>
      <c r="D2913" s="55" t="s">
        <v>10763</v>
      </c>
    </row>
    <row r="2914" ht="14.25" customHeight="1">
      <c r="A2914" s="55" t="s">
        <v>9339</v>
      </c>
      <c r="B2914" s="55" t="s">
        <v>41</v>
      </c>
      <c r="C2914" s="55" t="s">
        <v>10762</v>
      </c>
      <c r="D2914" s="55" t="s">
        <v>8978</v>
      </c>
    </row>
    <row r="2915" ht="14.25" customHeight="1">
      <c r="A2915" s="55" t="s">
        <v>9339</v>
      </c>
      <c r="B2915" s="55" t="s">
        <v>41</v>
      </c>
      <c r="C2915" s="55" t="s">
        <v>10762</v>
      </c>
      <c r="D2915" s="55" t="s">
        <v>13708</v>
      </c>
    </row>
    <row r="2916" ht="14.25" customHeight="1">
      <c r="A2916" s="55" t="s">
        <v>9339</v>
      </c>
      <c r="B2916" s="55" t="s">
        <v>41</v>
      </c>
      <c r="C2916" s="55" t="s">
        <v>210</v>
      </c>
      <c r="D2916" s="55" t="s">
        <v>9440</v>
      </c>
    </row>
    <row r="2917" ht="14.25" customHeight="1">
      <c r="A2917" s="55" t="s">
        <v>9339</v>
      </c>
      <c r="B2917" s="55" t="s">
        <v>41</v>
      </c>
      <c r="C2917" s="55" t="s">
        <v>210</v>
      </c>
      <c r="D2917" s="55" t="s">
        <v>10770</v>
      </c>
    </row>
    <row r="2918" ht="14.25" customHeight="1">
      <c r="A2918" s="55" t="s">
        <v>9339</v>
      </c>
      <c r="B2918" s="55" t="s">
        <v>41</v>
      </c>
      <c r="C2918" s="55" t="s">
        <v>9282</v>
      </c>
      <c r="D2918" s="55" t="s">
        <v>8978</v>
      </c>
    </row>
    <row r="2919" ht="14.25" customHeight="1">
      <c r="A2919" s="55" t="s">
        <v>9339</v>
      </c>
      <c r="B2919" s="55" t="s">
        <v>41</v>
      </c>
      <c r="C2919" s="55" t="s">
        <v>6841</v>
      </c>
      <c r="D2919" s="55" t="s">
        <v>9430</v>
      </c>
    </row>
    <row r="2920" ht="14.25" customHeight="1">
      <c r="A2920" s="55" t="s">
        <v>9339</v>
      </c>
      <c r="B2920" s="55" t="s">
        <v>41</v>
      </c>
      <c r="C2920" s="55" t="s">
        <v>218</v>
      </c>
      <c r="D2920" s="55" t="s">
        <v>9258</v>
      </c>
    </row>
    <row r="2921" ht="14.25" customHeight="1">
      <c r="A2921" s="55" t="s">
        <v>9339</v>
      </c>
      <c r="B2921" s="55" t="s">
        <v>41</v>
      </c>
      <c r="C2921" s="55" t="s">
        <v>218</v>
      </c>
      <c r="D2921" s="55" t="s">
        <v>8978</v>
      </c>
    </row>
    <row r="2922" ht="14.25" customHeight="1">
      <c r="A2922" s="55" t="s">
        <v>9339</v>
      </c>
      <c r="B2922" s="55" t="s">
        <v>41</v>
      </c>
      <c r="C2922" s="55" t="s">
        <v>10833</v>
      </c>
      <c r="D2922" s="55" t="s">
        <v>8978</v>
      </c>
    </row>
    <row r="2923" ht="14.25" customHeight="1">
      <c r="A2923" s="55" t="s">
        <v>9339</v>
      </c>
      <c r="B2923" s="55" t="s">
        <v>41</v>
      </c>
      <c r="C2923" s="55" t="s">
        <v>9431</v>
      </c>
      <c r="D2923" s="55" t="s">
        <v>8978</v>
      </c>
    </row>
    <row r="2924" ht="14.25" customHeight="1">
      <c r="A2924" s="55" t="s">
        <v>9339</v>
      </c>
      <c r="B2924" s="55" t="s">
        <v>41</v>
      </c>
      <c r="C2924" s="55" t="s">
        <v>9286</v>
      </c>
      <c r="D2924" s="55" t="s">
        <v>10197</v>
      </c>
    </row>
    <row r="2925" ht="14.25" customHeight="1">
      <c r="A2925" s="55" t="s">
        <v>9339</v>
      </c>
      <c r="B2925" s="55" t="s">
        <v>41</v>
      </c>
      <c r="C2925" s="55" t="s">
        <v>9333</v>
      </c>
      <c r="D2925" s="55" t="s">
        <v>8978</v>
      </c>
    </row>
    <row r="2926" ht="14.25" customHeight="1">
      <c r="A2926" s="55" t="s">
        <v>9339</v>
      </c>
      <c r="B2926" s="55" t="s">
        <v>41</v>
      </c>
      <c r="C2926" s="55" t="s">
        <v>8997</v>
      </c>
      <c r="D2926" s="55" t="s">
        <v>8978</v>
      </c>
    </row>
    <row r="2927" ht="14.25" customHeight="1">
      <c r="A2927" s="55" t="s">
        <v>9339</v>
      </c>
      <c r="B2927" s="55" t="s">
        <v>41</v>
      </c>
      <c r="C2927" s="55" t="s">
        <v>11540</v>
      </c>
      <c r="D2927" s="55" t="s">
        <v>9034</v>
      </c>
    </row>
    <row r="2928" ht="14.25" customHeight="1">
      <c r="A2928" s="55" t="s">
        <v>9339</v>
      </c>
      <c r="B2928" s="55" t="s">
        <v>41</v>
      </c>
      <c r="C2928" s="55" t="s">
        <v>14201</v>
      </c>
      <c r="D2928" s="55" t="s">
        <v>9326</v>
      </c>
    </row>
    <row r="2929" ht="14.25" customHeight="1">
      <c r="A2929" s="55" t="s">
        <v>9339</v>
      </c>
      <c r="B2929" s="55" t="s">
        <v>41</v>
      </c>
      <c r="C2929" s="55" t="s">
        <v>10864</v>
      </c>
      <c r="D2929" s="55" t="s">
        <v>9258</v>
      </c>
    </row>
    <row r="2930" ht="14.25" customHeight="1">
      <c r="A2930" s="55" t="s">
        <v>9339</v>
      </c>
      <c r="B2930" s="55" t="s">
        <v>41</v>
      </c>
      <c r="C2930" s="55" t="s">
        <v>12920</v>
      </c>
      <c r="D2930" s="55" t="s">
        <v>8978</v>
      </c>
    </row>
    <row r="2931" ht="14.25" customHeight="1">
      <c r="A2931" s="55" t="s">
        <v>9339</v>
      </c>
      <c r="B2931" s="55" t="s">
        <v>41</v>
      </c>
      <c r="C2931" s="55" t="s">
        <v>233</v>
      </c>
      <c r="D2931" s="55" t="s">
        <v>9432</v>
      </c>
    </row>
    <row r="2932" ht="14.25" customHeight="1">
      <c r="A2932" s="55" t="s">
        <v>9339</v>
      </c>
      <c r="B2932" s="55" t="s">
        <v>41</v>
      </c>
      <c r="C2932" s="55" t="s">
        <v>233</v>
      </c>
      <c r="D2932" s="55" t="s">
        <v>9258</v>
      </c>
    </row>
    <row r="2933" ht="14.25" customHeight="1">
      <c r="A2933" s="55" t="s">
        <v>9339</v>
      </c>
      <c r="B2933" s="55" t="s">
        <v>41</v>
      </c>
      <c r="C2933" s="55" t="s">
        <v>10209</v>
      </c>
      <c r="D2933" s="55" t="s">
        <v>8978</v>
      </c>
    </row>
    <row r="2934" ht="14.25" customHeight="1">
      <c r="A2934" s="55" t="s">
        <v>9339</v>
      </c>
      <c r="B2934" s="55" t="s">
        <v>41</v>
      </c>
      <c r="C2934" s="55" t="s">
        <v>10865</v>
      </c>
      <c r="D2934" s="55" t="s">
        <v>9034</v>
      </c>
    </row>
    <row r="2935" ht="14.25" customHeight="1">
      <c r="A2935" s="55" t="s">
        <v>9339</v>
      </c>
      <c r="B2935" s="55" t="s">
        <v>41</v>
      </c>
      <c r="C2935" s="55" t="s">
        <v>10640</v>
      </c>
      <c r="D2935" s="55" t="s">
        <v>9348</v>
      </c>
    </row>
    <row r="2936" ht="14.25" customHeight="1">
      <c r="A2936" s="55" t="s">
        <v>9339</v>
      </c>
      <c r="B2936" s="55" t="s">
        <v>41</v>
      </c>
      <c r="C2936" s="55" t="s">
        <v>12921</v>
      </c>
      <c r="D2936" s="55" t="s">
        <v>8978</v>
      </c>
    </row>
    <row r="2937" ht="14.25" customHeight="1">
      <c r="A2937" s="55" t="s">
        <v>9339</v>
      </c>
      <c r="B2937" s="55" t="s">
        <v>41</v>
      </c>
      <c r="C2937" s="55" t="s">
        <v>9433</v>
      </c>
      <c r="D2937" s="55" t="s">
        <v>8978</v>
      </c>
    </row>
    <row r="2938" ht="14.25" customHeight="1">
      <c r="A2938" s="55" t="s">
        <v>9339</v>
      </c>
      <c r="B2938" s="55" t="s">
        <v>41</v>
      </c>
      <c r="C2938" s="55" t="s">
        <v>9434</v>
      </c>
      <c r="D2938" s="55" t="s">
        <v>9258</v>
      </c>
    </row>
    <row r="2939" ht="14.25" customHeight="1">
      <c r="A2939" s="55" t="s">
        <v>9339</v>
      </c>
      <c r="B2939" s="55" t="s">
        <v>41</v>
      </c>
      <c r="C2939" s="55" t="s">
        <v>9434</v>
      </c>
      <c r="D2939" s="55" t="s">
        <v>8978</v>
      </c>
    </row>
    <row r="2940" ht="14.25" customHeight="1">
      <c r="A2940" s="55" t="s">
        <v>9339</v>
      </c>
      <c r="B2940" s="55" t="s">
        <v>41</v>
      </c>
      <c r="C2940" s="55" t="s">
        <v>9090</v>
      </c>
      <c r="D2940" s="55" t="s">
        <v>10866</v>
      </c>
    </row>
    <row r="2941" ht="14.25" customHeight="1">
      <c r="A2941" s="55" t="s">
        <v>9339</v>
      </c>
      <c r="B2941" s="55" t="s">
        <v>41</v>
      </c>
      <c r="C2941" s="55" t="s">
        <v>9090</v>
      </c>
      <c r="D2941" s="55" t="s">
        <v>9435</v>
      </c>
    </row>
    <row r="2942" ht="14.25" customHeight="1">
      <c r="A2942" s="55" t="s">
        <v>9339</v>
      </c>
      <c r="B2942" s="55" t="s">
        <v>41</v>
      </c>
      <c r="C2942" s="55" t="s">
        <v>9160</v>
      </c>
      <c r="D2942" s="55" t="s">
        <v>9388</v>
      </c>
    </row>
    <row r="2943" ht="14.25" customHeight="1">
      <c r="A2943" s="55" t="s">
        <v>9339</v>
      </c>
      <c r="B2943" s="55" t="s">
        <v>41</v>
      </c>
      <c r="C2943" s="55" t="s">
        <v>9436</v>
      </c>
      <c r="D2943" s="55" t="s">
        <v>8978</v>
      </c>
    </row>
    <row r="2944" ht="14.25" customHeight="1">
      <c r="A2944" s="55" t="s">
        <v>9339</v>
      </c>
      <c r="B2944" s="55" t="s">
        <v>41</v>
      </c>
      <c r="C2944" s="55" t="s">
        <v>9437</v>
      </c>
      <c r="D2944" s="55" t="s">
        <v>8978</v>
      </c>
    </row>
    <row r="2945" ht="14.25" customHeight="1">
      <c r="A2945" s="55" t="s">
        <v>9339</v>
      </c>
      <c r="B2945" s="55" t="s">
        <v>41</v>
      </c>
      <c r="C2945" s="55" t="s">
        <v>9438</v>
      </c>
      <c r="D2945" s="55" t="s">
        <v>8968</v>
      </c>
    </row>
    <row r="2946" ht="14.25" customHeight="1">
      <c r="A2946" s="55" t="s">
        <v>9339</v>
      </c>
      <c r="B2946" s="55" t="s">
        <v>41</v>
      </c>
      <c r="C2946" s="55" t="s">
        <v>9412</v>
      </c>
      <c r="D2946" s="55" t="s">
        <v>9256</v>
      </c>
    </row>
    <row r="2947" ht="14.25" customHeight="1">
      <c r="A2947" s="55" t="s">
        <v>9339</v>
      </c>
      <c r="B2947" s="55" t="s">
        <v>41</v>
      </c>
      <c r="C2947" s="55" t="s">
        <v>9529</v>
      </c>
      <c r="D2947" s="55" t="s">
        <v>12922</v>
      </c>
    </row>
    <row r="2948" ht="14.25" customHeight="1">
      <c r="A2948" s="55" t="s">
        <v>9339</v>
      </c>
      <c r="B2948" s="55" t="s">
        <v>41</v>
      </c>
      <c r="C2948" s="55" t="s">
        <v>274</v>
      </c>
      <c r="D2948" s="55" t="s">
        <v>8978</v>
      </c>
    </row>
    <row r="2949" ht="14.25" customHeight="1">
      <c r="A2949" s="55" t="s">
        <v>9339</v>
      </c>
      <c r="B2949" s="55" t="s">
        <v>41</v>
      </c>
      <c r="C2949" s="55" t="s">
        <v>325</v>
      </c>
      <c r="D2949" s="55" t="s">
        <v>9258</v>
      </c>
    </row>
    <row r="2950" ht="14.25" customHeight="1">
      <c r="A2950" s="55" t="s">
        <v>9339</v>
      </c>
      <c r="B2950" s="55" t="s">
        <v>41</v>
      </c>
      <c r="C2950" s="55" t="s">
        <v>10210</v>
      </c>
      <c r="D2950" s="55" t="s">
        <v>8978</v>
      </c>
    </row>
    <row r="2951" ht="14.25" customHeight="1">
      <c r="A2951" s="55" t="s">
        <v>9339</v>
      </c>
      <c r="B2951" s="55" t="s">
        <v>41</v>
      </c>
      <c r="C2951" s="55" t="s">
        <v>9295</v>
      </c>
      <c r="D2951" s="55" t="s">
        <v>9326</v>
      </c>
    </row>
    <row r="2952" ht="14.25" customHeight="1">
      <c r="A2952" s="55" t="s">
        <v>9339</v>
      </c>
      <c r="B2952" s="55" t="s">
        <v>41</v>
      </c>
      <c r="C2952" s="55" t="s">
        <v>9295</v>
      </c>
      <c r="D2952" s="55" t="s">
        <v>10211</v>
      </c>
    </row>
    <row r="2953" ht="14.25" customHeight="1">
      <c r="A2953" s="55" t="s">
        <v>9339</v>
      </c>
      <c r="B2953" s="55" t="s">
        <v>41</v>
      </c>
      <c r="C2953" s="55" t="s">
        <v>10867</v>
      </c>
      <c r="D2953" s="55" t="s">
        <v>9319</v>
      </c>
    </row>
    <row r="2954" ht="14.25" customHeight="1">
      <c r="A2954" s="55" t="s">
        <v>9339</v>
      </c>
      <c r="B2954" s="55" t="s">
        <v>41</v>
      </c>
      <c r="C2954" s="55" t="s">
        <v>10868</v>
      </c>
      <c r="D2954" s="55" t="s">
        <v>10869</v>
      </c>
    </row>
    <row r="2955" ht="14.25" customHeight="1">
      <c r="A2955" s="55" t="s">
        <v>9339</v>
      </c>
      <c r="B2955" s="55" t="s">
        <v>13</v>
      </c>
      <c r="C2955" s="55" t="s">
        <v>10083</v>
      </c>
      <c r="D2955" s="55" t="s">
        <v>9380</v>
      </c>
    </row>
    <row r="2956" ht="14.25" customHeight="1">
      <c r="A2956" s="55" t="s">
        <v>9339</v>
      </c>
      <c r="B2956" s="55" t="s">
        <v>13</v>
      </c>
      <c r="C2956" s="55" t="s">
        <v>9439</v>
      </c>
      <c r="D2956" s="55" t="s">
        <v>9034</v>
      </c>
    </row>
    <row r="2957" ht="14.25" customHeight="1">
      <c r="A2957" s="55" t="s">
        <v>9339</v>
      </c>
      <c r="B2957" s="55" t="s">
        <v>13</v>
      </c>
      <c r="C2957" s="55" t="s">
        <v>13519</v>
      </c>
      <c r="D2957" s="55" t="s">
        <v>14202</v>
      </c>
    </row>
    <row r="2958" ht="14.25" customHeight="1">
      <c r="A2958" s="55" t="s">
        <v>9339</v>
      </c>
      <c r="B2958" s="55" t="s">
        <v>13</v>
      </c>
      <c r="C2958" s="55" t="s">
        <v>8969</v>
      </c>
      <c r="D2958" s="55" t="s">
        <v>9306</v>
      </c>
    </row>
    <row r="2959" ht="14.25" customHeight="1">
      <c r="A2959" s="55" t="s">
        <v>9339</v>
      </c>
      <c r="B2959" s="55" t="s">
        <v>13</v>
      </c>
      <c r="C2959" s="55" t="s">
        <v>10212</v>
      </c>
      <c r="D2959" s="55" t="s">
        <v>9258</v>
      </c>
    </row>
    <row r="2960" ht="14.25" customHeight="1">
      <c r="A2960" s="55" t="s">
        <v>9339</v>
      </c>
      <c r="B2960" s="55" t="s">
        <v>13</v>
      </c>
      <c r="C2960" s="55" t="s">
        <v>13709</v>
      </c>
      <c r="D2960" s="55" t="s">
        <v>13710</v>
      </c>
    </row>
    <row r="2961" ht="14.25" customHeight="1">
      <c r="A2961" s="55" t="s">
        <v>9339</v>
      </c>
      <c r="B2961" s="55" t="s">
        <v>13</v>
      </c>
      <c r="C2961" s="55" t="s">
        <v>13652</v>
      </c>
      <c r="D2961" s="55" t="s">
        <v>13710</v>
      </c>
    </row>
    <row r="2962" ht="14.25" customHeight="1">
      <c r="A2962" s="55" t="s">
        <v>9339</v>
      </c>
      <c r="B2962" s="55" t="s">
        <v>13</v>
      </c>
      <c r="C2962" s="55" t="s">
        <v>9374</v>
      </c>
      <c r="D2962" s="55" t="s">
        <v>9249</v>
      </c>
    </row>
    <row r="2963" ht="14.25" customHeight="1">
      <c r="A2963" s="55" t="s">
        <v>9339</v>
      </c>
      <c r="B2963" s="55" t="s">
        <v>13</v>
      </c>
      <c r="C2963" s="55" t="s">
        <v>12923</v>
      </c>
      <c r="D2963" s="55" t="s">
        <v>9380</v>
      </c>
    </row>
    <row r="2964" ht="14.25" customHeight="1">
      <c r="A2964" s="55" t="s">
        <v>9339</v>
      </c>
      <c r="B2964" s="55" t="s">
        <v>13</v>
      </c>
      <c r="C2964" s="55" t="s">
        <v>10870</v>
      </c>
      <c r="D2964" s="55" t="s">
        <v>9174</v>
      </c>
    </row>
    <row r="2965" ht="14.25" customHeight="1">
      <c r="A2965" s="55" t="s">
        <v>9339</v>
      </c>
      <c r="B2965" s="55" t="s">
        <v>13</v>
      </c>
      <c r="C2965" s="55" t="s">
        <v>9390</v>
      </c>
      <c r="D2965" s="55" t="s">
        <v>9440</v>
      </c>
    </row>
    <row r="2966" ht="14.25" customHeight="1">
      <c r="A2966" s="55" t="s">
        <v>9339</v>
      </c>
      <c r="B2966" s="55" t="s">
        <v>13</v>
      </c>
      <c r="C2966" s="55" t="s">
        <v>9277</v>
      </c>
      <c r="D2966" s="55" t="s">
        <v>10202</v>
      </c>
    </row>
    <row r="2967" ht="14.25" customHeight="1">
      <c r="A2967" s="55" t="s">
        <v>9339</v>
      </c>
      <c r="B2967" s="55" t="s">
        <v>13</v>
      </c>
      <c r="C2967" s="55" t="s">
        <v>13711</v>
      </c>
      <c r="D2967" s="55" t="s">
        <v>13712</v>
      </c>
    </row>
    <row r="2968" ht="14.25" customHeight="1">
      <c r="A2968" s="55" t="s">
        <v>9339</v>
      </c>
      <c r="B2968" s="55" t="s">
        <v>13</v>
      </c>
      <c r="C2968" s="55" t="s">
        <v>11541</v>
      </c>
      <c r="D2968" s="55" t="s">
        <v>9174</v>
      </c>
    </row>
    <row r="2969" ht="14.25" customHeight="1">
      <c r="A2969" s="55" t="s">
        <v>9339</v>
      </c>
      <c r="B2969" s="55" t="s">
        <v>13</v>
      </c>
      <c r="C2969" s="55" t="s">
        <v>11542</v>
      </c>
      <c r="D2969" s="55" t="s">
        <v>9174</v>
      </c>
    </row>
    <row r="2970" ht="14.25" customHeight="1">
      <c r="A2970" s="55" t="s">
        <v>9339</v>
      </c>
      <c r="B2970" s="55" t="s">
        <v>13</v>
      </c>
      <c r="C2970" s="55" t="s">
        <v>13713</v>
      </c>
      <c r="D2970" s="55" t="s">
        <v>9440</v>
      </c>
    </row>
    <row r="2971" ht="14.25" customHeight="1">
      <c r="A2971" s="55" t="s">
        <v>9339</v>
      </c>
      <c r="B2971" s="55" t="s">
        <v>13</v>
      </c>
      <c r="C2971" s="55" t="s">
        <v>14203</v>
      </c>
      <c r="D2971" s="55" t="s">
        <v>14204</v>
      </c>
    </row>
    <row r="2972" ht="14.25" customHeight="1">
      <c r="A2972" s="55" t="s">
        <v>9339</v>
      </c>
      <c r="B2972" s="55" t="s">
        <v>13</v>
      </c>
      <c r="C2972" s="55" t="s">
        <v>14205</v>
      </c>
      <c r="D2972" s="55" t="s">
        <v>9176</v>
      </c>
    </row>
    <row r="2973" ht="14.25" customHeight="1">
      <c r="A2973" s="55" t="s">
        <v>9339</v>
      </c>
      <c r="B2973" s="55" t="s">
        <v>13</v>
      </c>
      <c r="C2973" s="55" t="s">
        <v>13714</v>
      </c>
      <c r="D2973" s="55" t="s">
        <v>13528</v>
      </c>
    </row>
    <row r="2974" ht="14.25" customHeight="1">
      <c r="A2974" s="55" t="s">
        <v>9339</v>
      </c>
      <c r="B2974" s="55" t="s">
        <v>13</v>
      </c>
      <c r="C2974" s="55" t="s">
        <v>10871</v>
      </c>
      <c r="D2974" s="55" t="s">
        <v>10608</v>
      </c>
    </row>
    <row r="2975" ht="14.25" customHeight="1">
      <c r="A2975" s="55" t="s">
        <v>9339</v>
      </c>
      <c r="B2975" s="55" t="s">
        <v>13</v>
      </c>
      <c r="C2975" s="55" t="s">
        <v>10213</v>
      </c>
      <c r="D2975" s="55" t="s">
        <v>9176</v>
      </c>
    </row>
    <row r="2976" ht="14.25" customHeight="1">
      <c r="A2976" s="55" t="s">
        <v>9339</v>
      </c>
      <c r="B2976" s="55" t="s">
        <v>13</v>
      </c>
      <c r="C2976" s="55" t="s">
        <v>9441</v>
      </c>
      <c r="D2976" s="55" t="s">
        <v>9442</v>
      </c>
    </row>
    <row r="2977" ht="14.25" customHeight="1">
      <c r="A2977" s="55" t="s">
        <v>9339</v>
      </c>
      <c r="B2977" s="55" t="s">
        <v>13</v>
      </c>
      <c r="C2977" s="55" t="s">
        <v>11543</v>
      </c>
      <c r="D2977" s="55" t="s">
        <v>11544</v>
      </c>
    </row>
    <row r="2978" ht="14.25" customHeight="1">
      <c r="A2978" s="55" t="s">
        <v>9339</v>
      </c>
      <c r="B2978" s="55" t="s">
        <v>13</v>
      </c>
      <c r="C2978" s="55" t="s">
        <v>12924</v>
      </c>
      <c r="D2978" s="55" t="s">
        <v>8978</v>
      </c>
    </row>
    <row r="2979" ht="14.25" customHeight="1">
      <c r="A2979" s="55" t="s">
        <v>9443</v>
      </c>
      <c r="B2979" s="55" t="s">
        <v>40</v>
      </c>
      <c r="C2979" s="55" t="s">
        <v>8969</v>
      </c>
      <c r="D2979" s="55" t="s">
        <v>8978</v>
      </c>
    </row>
    <row r="2980" ht="14.25" customHeight="1">
      <c r="A2980" s="55" t="s">
        <v>9443</v>
      </c>
      <c r="B2980" s="55" t="s">
        <v>40</v>
      </c>
      <c r="C2980" s="55" t="s">
        <v>2379</v>
      </c>
      <c r="D2980" s="55" t="s">
        <v>12154</v>
      </c>
    </row>
    <row r="2981" ht="14.25" customHeight="1">
      <c r="A2981" s="55" t="s">
        <v>9443</v>
      </c>
      <c r="B2981" s="55" t="s">
        <v>40</v>
      </c>
      <c r="C2981" s="55" t="s">
        <v>2379</v>
      </c>
      <c r="D2981" s="55" t="s">
        <v>10815</v>
      </c>
    </row>
    <row r="2982" ht="14.25" customHeight="1">
      <c r="A2982" s="55" t="s">
        <v>9443</v>
      </c>
      <c r="B2982" s="55" t="s">
        <v>40</v>
      </c>
      <c r="C2982" s="55" t="s">
        <v>2379</v>
      </c>
      <c r="D2982" s="55" t="s">
        <v>9258</v>
      </c>
    </row>
    <row r="2983" ht="14.25" customHeight="1">
      <c r="A2983" s="55" t="s">
        <v>9443</v>
      </c>
      <c r="B2983" s="55" t="s">
        <v>40</v>
      </c>
      <c r="C2983" s="55" t="s">
        <v>9351</v>
      </c>
      <c r="D2983" s="55" t="s">
        <v>8978</v>
      </c>
    </row>
    <row r="2984" ht="14.25" customHeight="1">
      <c r="A2984" s="55" t="s">
        <v>9443</v>
      </c>
      <c r="B2984" s="55" t="s">
        <v>40</v>
      </c>
      <c r="C2984" s="55" t="s">
        <v>71</v>
      </c>
      <c r="D2984" s="55" t="s">
        <v>10872</v>
      </c>
    </row>
    <row r="2985" ht="14.25" customHeight="1">
      <c r="A2985" s="55" t="s">
        <v>9443</v>
      </c>
      <c r="B2985" s="55" t="s">
        <v>40</v>
      </c>
      <c r="C2985" s="55" t="s">
        <v>9444</v>
      </c>
      <c r="D2985" s="55" t="s">
        <v>9445</v>
      </c>
    </row>
    <row r="2986" ht="14.25" customHeight="1">
      <c r="A2986" s="55" t="s">
        <v>9443</v>
      </c>
      <c r="B2986" s="55" t="s">
        <v>40</v>
      </c>
      <c r="C2986" s="55" t="s">
        <v>2669</v>
      </c>
      <c r="D2986" s="55" t="s">
        <v>12925</v>
      </c>
    </row>
    <row r="2987" ht="14.25" customHeight="1">
      <c r="A2987" s="55" t="s">
        <v>9443</v>
      </c>
      <c r="B2987" s="55" t="s">
        <v>40</v>
      </c>
      <c r="C2987" s="55" t="s">
        <v>14206</v>
      </c>
      <c r="D2987" s="55" t="s">
        <v>10197</v>
      </c>
    </row>
    <row r="2988" ht="14.25" customHeight="1">
      <c r="A2988" s="55" t="s">
        <v>9443</v>
      </c>
      <c r="B2988" s="55" t="s">
        <v>40</v>
      </c>
      <c r="C2988" s="55" t="s">
        <v>9446</v>
      </c>
      <c r="D2988" s="55" t="s">
        <v>9236</v>
      </c>
    </row>
    <row r="2989" ht="14.25" customHeight="1">
      <c r="A2989" s="55" t="s">
        <v>9443</v>
      </c>
      <c r="B2989" s="55" t="s">
        <v>40</v>
      </c>
      <c r="C2989" s="55" t="s">
        <v>10214</v>
      </c>
      <c r="D2989" s="55" t="s">
        <v>10215</v>
      </c>
    </row>
    <row r="2990" ht="14.25" customHeight="1">
      <c r="A2990" s="55" t="s">
        <v>9443</v>
      </c>
      <c r="B2990" s="55" t="s">
        <v>40</v>
      </c>
      <c r="C2990" s="55" t="s">
        <v>10873</v>
      </c>
      <c r="D2990" s="55" t="s">
        <v>8978</v>
      </c>
    </row>
    <row r="2991" ht="14.25" customHeight="1">
      <c r="A2991" s="55" t="s">
        <v>9443</v>
      </c>
      <c r="B2991" s="55" t="s">
        <v>40</v>
      </c>
      <c r="C2991" s="55" t="s">
        <v>6182</v>
      </c>
      <c r="D2991" s="55" t="s">
        <v>9430</v>
      </c>
    </row>
    <row r="2992" ht="14.25" customHeight="1">
      <c r="A2992" s="55" t="s">
        <v>9443</v>
      </c>
      <c r="B2992" s="55" t="s">
        <v>40</v>
      </c>
      <c r="C2992" s="55" t="s">
        <v>10216</v>
      </c>
      <c r="D2992" s="55" t="s">
        <v>8978</v>
      </c>
    </row>
    <row r="2993" ht="14.25" customHeight="1">
      <c r="A2993" s="55" t="s">
        <v>9443</v>
      </c>
      <c r="B2993" s="55" t="s">
        <v>40</v>
      </c>
      <c r="C2993" s="55" t="s">
        <v>9447</v>
      </c>
      <c r="D2993" s="55" t="s">
        <v>9383</v>
      </c>
    </row>
    <row r="2994" ht="14.25" customHeight="1">
      <c r="A2994" s="55" t="s">
        <v>9443</v>
      </c>
      <c r="B2994" s="55" t="s">
        <v>40</v>
      </c>
      <c r="C2994" s="55" t="s">
        <v>9448</v>
      </c>
      <c r="D2994" s="55" t="s">
        <v>8968</v>
      </c>
    </row>
    <row r="2995" ht="14.25" customHeight="1">
      <c r="A2995" s="55" t="s">
        <v>9443</v>
      </c>
      <c r="B2995" s="55" t="s">
        <v>40</v>
      </c>
      <c r="C2995" s="55" t="s">
        <v>9303</v>
      </c>
      <c r="D2995" s="55" t="s">
        <v>12155</v>
      </c>
    </row>
    <row r="2996" ht="14.25" customHeight="1">
      <c r="A2996" s="55" t="s">
        <v>9443</v>
      </c>
      <c r="B2996" s="55" t="s">
        <v>40</v>
      </c>
      <c r="C2996" s="55" t="s">
        <v>9374</v>
      </c>
      <c r="D2996" s="55" t="s">
        <v>8978</v>
      </c>
    </row>
    <row r="2997" ht="14.25" customHeight="1">
      <c r="A2997" s="55" t="s">
        <v>9443</v>
      </c>
      <c r="B2997" s="55" t="s">
        <v>40</v>
      </c>
      <c r="C2997" s="55" t="s">
        <v>13715</v>
      </c>
      <c r="D2997" s="55" t="s">
        <v>8978</v>
      </c>
    </row>
    <row r="2998" ht="14.25" customHeight="1">
      <c r="A2998" s="55" t="s">
        <v>9443</v>
      </c>
      <c r="B2998" s="55" t="s">
        <v>40</v>
      </c>
      <c r="C2998" s="55" t="s">
        <v>12926</v>
      </c>
      <c r="D2998" s="55" t="s">
        <v>9258</v>
      </c>
    </row>
    <row r="2999" ht="14.25" customHeight="1">
      <c r="A2999" s="55" t="s">
        <v>9443</v>
      </c>
      <c r="B2999" s="55" t="s">
        <v>40</v>
      </c>
      <c r="C2999" s="55" t="s">
        <v>9449</v>
      </c>
      <c r="D2999" s="55" t="s">
        <v>9450</v>
      </c>
    </row>
    <row r="3000" ht="14.25" customHeight="1">
      <c r="A3000" s="55" t="s">
        <v>9443</v>
      </c>
      <c r="B3000" s="55" t="s">
        <v>40</v>
      </c>
      <c r="C3000" s="55" t="s">
        <v>9275</v>
      </c>
      <c r="D3000" s="55" t="s">
        <v>8968</v>
      </c>
    </row>
    <row r="3001" ht="14.25" customHeight="1">
      <c r="A3001" s="55" t="s">
        <v>9443</v>
      </c>
      <c r="B3001" s="55" t="s">
        <v>40</v>
      </c>
      <c r="C3001" s="55" t="s">
        <v>12826</v>
      </c>
      <c r="D3001" s="55" t="s">
        <v>8978</v>
      </c>
    </row>
    <row r="3002" ht="14.25" customHeight="1">
      <c r="A3002" s="55" t="s">
        <v>9443</v>
      </c>
      <c r="B3002" s="55" t="s">
        <v>40</v>
      </c>
      <c r="C3002" s="55" t="s">
        <v>10818</v>
      </c>
      <c r="D3002" s="55" t="s">
        <v>8978</v>
      </c>
    </row>
    <row r="3003" ht="14.25" customHeight="1">
      <c r="A3003" s="55" t="s">
        <v>9443</v>
      </c>
      <c r="B3003" s="55" t="s">
        <v>40</v>
      </c>
      <c r="C3003" s="55" t="s">
        <v>3566</v>
      </c>
      <c r="D3003" s="55" t="s">
        <v>8968</v>
      </c>
    </row>
    <row r="3004" ht="14.25" customHeight="1">
      <c r="A3004" s="55" t="s">
        <v>9443</v>
      </c>
      <c r="B3004" s="55" t="s">
        <v>40</v>
      </c>
      <c r="C3004" s="55" t="s">
        <v>3566</v>
      </c>
      <c r="D3004" s="55" t="s">
        <v>8978</v>
      </c>
    </row>
    <row r="3005" ht="14.25" customHeight="1">
      <c r="A3005" s="55" t="s">
        <v>9443</v>
      </c>
      <c r="B3005" s="55" t="s">
        <v>40</v>
      </c>
      <c r="C3005" s="55" t="s">
        <v>9390</v>
      </c>
      <c r="D3005" s="55" t="s">
        <v>8968</v>
      </c>
    </row>
    <row r="3006" ht="14.25" customHeight="1">
      <c r="A3006" s="55" t="s">
        <v>9443</v>
      </c>
      <c r="B3006" s="55" t="s">
        <v>40</v>
      </c>
      <c r="C3006" s="55" t="s">
        <v>9277</v>
      </c>
      <c r="D3006" s="55" t="s">
        <v>8968</v>
      </c>
    </row>
    <row r="3007" ht="14.25" customHeight="1">
      <c r="A3007" s="55" t="s">
        <v>9443</v>
      </c>
      <c r="B3007" s="55" t="s">
        <v>40</v>
      </c>
      <c r="C3007" s="55" t="s">
        <v>9451</v>
      </c>
      <c r="D3007" s="55" t="s">
        <v>9258</v>
      </c>
    </row>
    <row r="3008" ht="14.25" customHeight="1">
      <c r="A3008" s="55" t="s">
        <v>9443</v>
      </c>
      <c r="B3008" s="55" t="s">
        <v>40</v>
      </c>
      <c r="C3008" s="55" t="s">
        <v>12927</v>
      </c>
      <c r="D3008" s="55" t="s">
        <v>12928</v>
      </c>
    </row>
    <row r="3009" ht="14.25" customHeight="1">
      <c r="A3009" s="55" t="s">
        <v>9443</v>
      </c>
      <c r="B3009" s="55" t="s">
        <v>40</v>
      </c>
      <c r="C3009" s="55" t="s">
        <v>218</v>
      </c>
      <c r="D3009" s="55" t="s">
        <v>8978</v>
      </c>
    </row>
    <row r="3010" ht="14.25" customHeight="1">
      <c r="A3010" s="55" t="s">
        <v>9443</v>
      </c>
      <c r="B3010" s="55" t="s">
        <v>40</v>
      </c>
      <c r="C3010" s="55" t="s">
        <v>9452</v>
      </c>
      <c r="D3010" s="55" t="s">
        <v>8968</v>
      </c>
    </row>
    <row r="3011" ht="14.25" customHeight="1">
      <c r="A3011" s="55" t="s">
        <v>9443</v>
      </c>
      <c r="B3011" s="55" t="s">
        <v>40</v>
      </c>
      <c r="C3011" s="55" t="s">
        <v>12929</v>
      </c>
      <c r="D3011" s="55" t="s">
        <v>8978</v>
      </c>
    </row>
    <row r="3012" ht="14.25" customHeight="1">
      <c r="A3012" s="55" t="s">
        <v>9443</v>
      </c>
      <c r="B3012" s="55" t="s">
        <v>40</v>
      </c>
      <c r="C3012" s="55" t="s">
        <v>12930</v>
      </c>
      <c r="D3012" s="55" t="s">
        <v>8978</v>
      </c>
    </row>
    <row r="3013" ht="14.25" customHeight="1">
      <c r="A3013" s="55" t="s">
        <v>9443</v>
      </c>
      <c r="B3013" s="55" t="s">
        <v>40</v>
      </c>
      <c r="C3013" s="55" t="s">
        <v>10874</v>
      </c>
      <c r="D3013" s="55" t="s">
        <v>10875</v>
      </c>
    </row>
    <row r="3014" ht="14.25" customHeight="1">
      <c r="A3014" s="55" t="s">
        <v>9443</v>
      </c>
      <c r="B3014" s="55" t="s">
        <v>40</v>
      </c>
      <c r="C3014" s="55" t="s">
        <v>9453</v>
      </c>
      <c r="D3014" s="55" t="s">
        <v>9258</v>
      </c>
    </row>
    <row r="3015" ht="14.25" customHeight="1">
      <c r="A3015" s="55" t="s">
        <v>9443</v>
      </c>
      <c r="B3015" s="55" t="s">
        <v>40</v>
      </c>
      <c r="C3015" s="55" t="s">
        <v>274</v>
      </c>
      <c r="D3015" s="55" t="s">
        <v>8978</v>
      </c>
    </row>
    <row r="3016" ht="14.25" customHeight="1">
      <c r="A3016" s="55" t="s">
        <v>9443</v>
      </c>
      <c r="B3016" s="55" t="s">
        <v>40</v>
      </c>
      <c r="C3016" s="55" t="s">
        <v>11545</v>
      </c>
      <c r="D3016" s="55" t="s">
        <v>8978</v>
      </c>
    </row>
    <row r="3017" ht="14.25" customHeight="1">
      <c r="A3017" s="55" t="s">
        <v>9454</v>
      </c>
      <c r="B3017" s="55" t="s">
        <v>41</v>
      </c>
      <c r="C3017" s="55" t="s">
        <v>9310</v>
      </c>
      <c r="D3017" s="55" t="s">
        <v>9034</v>
      </c>
    </row>
    <row r="3018" ht="14.25" customHeight="1">
      <c r="A3018" s="55" t="s">
        <v>9454</v>
      </c>
      <c r="B3018" s="55" t="s">
        <v>41</v>
      </c>
      <c r="C3018" s="55" t="s">
        <v>9310</v>
      </c>
      <c r="D3018" s="55" t="s">
        <v>9258</v>
      </c>
    </row>
    <row r="3019" ht="14.25" customHeight="1">
      <c r="A3019" s="55" t="s">
        <v>9454</v>
      </c>
      <c r="B3019" s="55" t="s">
        <v>41</v>
      </c>
      <c r="C3019" s="55" t="s">
        <v>9323</v>
      </c>
      <c r="D3019" s="55" t="s">
        <v>8978</v>
      </c>
    </row>
    <row r="3020" ht="14.25" customHeight="1">
      <c r="A3020" s="55" t="s">
        <v>9454</v>
      </c>
      <c r="B3020" s="55" t="s">
        <v>41</v>
      </c>
      <c r="C3020" s="55" t="s">
        <v>9455</v>
      </c>
      <c r="D3020" s="55" t="s">
        <v>9380</v>
      </c>
    </row>
    <row r="3021" ht="14.25" customHeight="1">
      <c r="A3021" s="55" t="s">
        <v>9454</v>
      </c>
      <c r="B3021" s="55" t="s">
        <v>41</v>
      </c>
      <c r="C3021" s="55" t="s">
        <v>11546</v>
      </c>
      <c r="D3021" s="55" t="s">
        <v>9258</v>
      </c>
    </row>
    <row r="3022" ht="14.25" customHeight="1">
      <c r="A3022" s="55" t="s">
        <v>9454</v>
      </c>
      <c r="B3022" s="55" t="s">
        <v>41</v>
      </c>
      <c r="C3022" s="55" t="s">
        <v>307</v>
      </c>
      <c r="D3022" s="55" t="s">
        <v>8978</v>
      </c>
    </row>
    <row r="3023" ht="14.25" customHeight="1">
      <c r="A3023" s="55" t="s">
        <v>9454</v>
      </c>
      <c r="B3023" s="55" t="s">
        <v>41</v>
      </c>
      <c r="C3023" s="55" t="s">
        <v>9434</v>
      </c>
      <c r="D3023" s="55" t="s">
        <v>9380</v>
      </c>
    </row>
    <row r="3024" ht="14.25" customHeight="1">
      <c r="A3024" s="55" t="s">
        <v>9454</v>
      </c>
      <c r="B3024" s="55" t="s">
        <v>41</v>
      </c>
      <c r="C3024" s="55" t="s">
        <v>9456</v>
      </c>
      <c r="D3024" s="55" t="s">
        <v>405</v>
      </c>
    </row>
    <row r="3025" ht="14.25" customHeight="1">
      <c r="A3025" s="55" t="s">
        <v>9454</v>
      </c>
      <c r="B3025" s="55" t="s">
        <v>41</v>
      </c>
      <c r="C3025" s="55" t="s">
        <v>10217</v>
      </c>
      <c r="D3025" s="55" t="s">
        <v>8978</v>
      </c>
    </row>
    <row r="3026" ht="14.25" customHeight="1">
      <c r="A3026" s="55" t="s">
        <v>9457</v>
      </c>
      <c r="B3026" s="55" t="s">
        <v>40</v>
      </c>
      <c r="C3026" s="55" t="s">
        <v>9034</v>
      </c>
      <c r="D3026" s="55" t="s">
        <v>9265</v>
      </c>
    </row>
    <row r="3027" ht="14.25" customHeight="1">
      <c r="A3027" s="55" t="s">
        <v>9457</v>
      </c>
      <c r="B3027" s="55" t="s">
        <v>40</v>
      </c>
      <c r="C3027" s="55" t="s">
        <v>9034</v>
      </c>
      <c r="D3027" s="55" t="s">
        <v>10224</v>
      </c>
    </row>
    <row r="3028" ht="14.25" customHeight="1">
      <c r="A3028" s="55" t="s">
        <v>9457</v>
      </c>
      <c r="B3028" s="55" t="s">
        <v>40</v>
      </c>
      <c r="C3028" s="55" t="s">
        <v>9034</v>
      </c>
      <c r="D3028" s="55" t="s">
        <v>11547</v>
      </c>
    </row>
    <row r="3029" ht="14.25" customHeight="1">
      <c r="A3029" s="55" t="s">
        <v>9457</v>
      </c>
      <c r="B3029" s="55" t="s">
        <v>40</v>
      </c>
      <c r="C3029" s="55" t="s">
        <v>9340</v>
      </c>
      <c r="D3029" s="55" t="s">
        <v>12931</v>
      </c>
    </row>
    <row r="3030" ht="14.25" customHeight="1">
      <c r="A3030" s="55" t="s">
        <v>9457</v>
      </c>
      <c r="B3030" s="55" t="s">
        <v>40</v>
      </c>
      <c r="C3030" s="55" t="s">
        <v>12156</v>
      </c>
      <c r="D3030" s="55" t="s">
        <v>12157</v>
      </c>
    </row>
    <row r="3031" ht="14.25" customHeight="1">
      <c r="A3031" s="55" t="s">
        <v>9457</v>
      </c>
      <c r="B3031" s="55" t="s">
        <v>40</v>
      </c>
      <c r="C3031" s="55" t="s">
        <v>13716</v>
      </c>
      <c r="D3031" s="55" t="s">
        <v>8978</v>
      </c>
    </row>
    <row r="3032" ht="14.25" customHeight="1">
      <c r="A3032" s="55" t="s">
        <v>9457</v>
      </c>
      <c r="B3032" s="55" t="s">
        <v>40</v>
      </c>
      <c r="C3032" s="55" t="s">
        <v>10767</v>
      </c>
      <c r="D3032" s="55" t="s">
        <v>13717</v>
      </c>
    </row>
    <row r="3033" ht="14.25" customHeight="1">
      <c r="A3033" s="55" t="s">
        <v>9457</v>
      </c>
      <c r="B3033" s="55" t="s">
        <v>40</v>
      </c>
      <c r="C3033" s="55" t="s">
        <v>10767</v>
      </c>
      <c r="D3033" s="55" t="s">
        <v>12158</v>
      </c>
    </row>
    <row r="3034" ht="14.25" customHeight="1">
      <c r="A3034" s="55" t="s">
        <v>9457</v>
      </c>
      <c r="B3034" s="55" t="s">
        <v>40</v>
      </c>
      <c r="C3034" s="55" t="s">
        <v>2319</v>
      </c>
      <c r="D3034" s="55" t="s">
        <v>9034</v>
      </c>
    </row>
    <row r="3035" ht="14.25" customHeight="1">
      <c r="A3035" s="55" t="s">
        <v>9457</v>
      </c>
      <c r="B3035" s="55" t="s">
        <v>40</v>
      </c>
      <c r="C3035" s="55" t="s">
        <v>13718</v>
      </c>
      <c r="D3035" s="55" t="s">
        <v>13719</v>
      </c>
    </row>
    <row r="3036" ht="14.25" customHeight="1">
      <c r="A3036" s="55" t="s">
        <v>9457</v>
      </c>
      <c r="B3036" s="55" t="s">
        <v>40</v>
      </c>
      <c r="C3036" s="55" t="s">
        <v>10218</v>
      </c>
      <c r="D3036" s="55" t="s">
        <v>9292</v>
      </c>
    </row>
    <row r="3037" ht="14.25" customHeight="1">
      <c r="A3037" s="55" t="s">
        <v>9457</v>
      </c>
      <c r="B3037" s="55" t="s">
        <v>40</v>
      </c>
      <c r="C3037" s="55" t="s">
        <v>8969</v>
      </c>
      <c r="D3037" s="55" t="s">
        <v>9256</v>
      </c>
    </row>
    <row r="3038" ht="14.25" customHeight="1">
      <c r="A3038" s="55" t="s">
        <v>9457</v>
      </c>
      <c r="B3038" s="55" t="s">
        <v>40</v>
      </c>
      <c r="C3038" s="55" t="s">
        <v>9257</v>
      </c>
      <c r="D3038" s="55" t="s">
        <v>13720</v>
      </c>
    </row>
    <row r="3039" ht="14.25" customHeight="1">
      <c r="A3039" s="55" t="s">
        <v>9457</v>
      </c>
      <c r="B3039" s="55" t="s">
        <v>40</v>
      </c>
      <c r="C3039" s="55" t="s">
        <v>9310</v>
      </c>
      <c r="D3039" s="55" t="s">
        <v>9034</v>
      </c>
    </row>
    <row r="3040" ht="14.25" customHeight="1">
      <c r="A3040" s="55" t="s">
        <v>9457</v>
      </c>
      <c r="B3040" s="55" t="s">
        <v>40</v>
      </c>
      <c r="C3040" s="55" t="s">
        <v>10178</v>
      </c>
      <c r="D3040" s="55" t="s">
        <v>10219</v>
      </c>
    </row>
    <row r="3041" ht="14.25" customHeight="1">
      <c r="A3041" s="55" t="s">
        <v>9457</v>
      </c>
      <c r="B3041" s="55" t="s">
        <v>40</v>
      </c>
      <c r="C3041" s="55" t="s">
        <v>9458</v>
      </c>
      <c r="D3041" s="55" t="s">
        <v>9075</v>
      </c>
    </row>
    <row r="3042" ht="14.25" customHeight="1">
      <c r="A3042" s="55" t="s">
        <v>9457</v>
      </c>
      <c r="B3042" s="55" t="s">
        <v>40</v>
      </c>
      <c r="C3042" s="55" t="s">
        <v>11684</v>
      </c>
      <c r="D3042" s="55" t="s">
        <v>8978</v>
      </c>
    </row>
    <row r="3043" ht="14.25" customHeight="1">
      <c r="A3043" s="55" t="s">
        <v>9457</v>
      </c>
      <c r="B3043" s="55" t="s">
        <v>40</v>
      </c>
      <c r="C3043" s="55" t="s">
        <v>10220</v>
      </c>
      <c r="D3043" s="55" t="s">
        <v>9131</v>
      </c>
    </row>
    <row r="3044" ht="14.25" customHeight="1">
      <c r="A3044" s="55" t="s">
        <v>9457</v>
      </c>
      <c r="B3044" s="55" t="s">
        <v>40</v>
      </c>
      <c r="C3044" s="55" t="s">
        <v>10221</v>
      </c>
      <c r="D3044" s="55" t="s">
        <v>10222</v>
      </c>
    </row>
    <row r="3045" ht="14.25" customHeight="1">
      <c r="A3045" s="55" t="s">
        <v>9457</v>
      </c>
      <c r="B3045" s="55" t="s">
        <v>40</v>
      </c>
      <c r="C3045" s="55" t="s">
        <v>9459</v>
      </c>
      <c r="D3045" s="55" t="s">
        <v>8976</v>
      </c>
    </row>
    <row r="3046" ht="14.25" customHeight="1">
      <c r="A3046" s="55" t="s">
        <v>9457</v>
      </c>
      <c r="B3046" s="55" t="s">
        <v>40</v>
      </c>
      <c r="C3046" s="55" t="s">
        <v>9313</v>
      </c>
      <c r="D3046" s="55" t="s">
        <v>10223</v>
      </c>
    </row>
    <row r="3047" ht="14.25" customHeight="1">
      <c r="A3047" s="55" t="s">
        <v>9457</v>
      </c>
      <c r="B3047" s="55" t="s">
        <v>40</v>
      </c>
      <c r="C3047" s="55" t="s">
        <v>9313</v>
      </c>
      <c r="D3047" s="55" t="s">
        <v>12159</v>
      </c>
    </row>
    <row r="3048" ht="14.25" customHeight="1">
      <c r="A3048" s="55" t="s">
        <v>9457</v>
      </c>
      <c r="B3048" s="55" t="s">
        <v>40</v>
      </c>
      <c r="C3048" s="55" t="s">
        <v>9313</v>
      </c>
      <c r="D3048" s="55" t="s">
        <v>13721</v>
      </c>
    </row>
    <row r="3049" ht="14.25" customHeight="1">
      <c r="A3049" s="55" t="s">
        <v>9457</v>
      </c>
      <c r="B3049" s="55" t="s">
        <v>40</v>
      </c>
      <c r="C3049" s="55" t="s">
        <v>10876</v>
      </c>
      <c r="D3049" s="55" t="s">
        <v>8976</v>
      </c>
    </row>
    <row r="3050" ht="14.25" customHeight="1">
      <c r="A3050" s="55" t="s">
        <v>9457</v>
      </c>
      <c r="B3050" s="55" t="s">
        <v>40</v>
      </c>
      <c r="C3050" s="55" t="s">
        <v>68</v>
      </c>
      <c r="D3050" s="55" t="s">
        <v>9265</v>
      </c>
    </row>
    <row r="3051" ht="14.25" customHeight="1">
      <c r="A3051" s="55" t="s">
        <v>9457</v>
      </c>
      <c r="B3051" s="55" t="s">
        <v>40</v>
      </c>
      <c r="C3051" s="55" t="s">
        <v>12932</v>
      </c>
      <c r="D3051" s="55" t="s">
        <v>9867</v>
      </c>
    </row>
    <row r="3052" ht="14.25" customHeight="1">
      <c r="A3052" s="55" t="s">
        <v>9457</v>
      </c>
      <c r="B3052" s="55" t="s">
        <v>40</v>
      </c>
      <c r="C3052" s="55" t="s">
        <v>9025</v>
      </c>
      <c r="D3052" s="55" t="s">
        <v>9265</v>
      </c>
    </row>
    <row r="3053" ht="14.25" customHeight="1">
      <c r="A3053" s="55" t="s">
        <v>9457</v>
      </c>
      <c r="B3053" s="55" t="s">
        <v>40</v>
      </c>
      <c r="C3053" s="55" t="s">
        <v>13722</v>
      </c>
      <c r="D3053" s="55" t="s">
        <v>9474</v>
      </c>
    </row>
    <row r="3054" ht="14.25" customHeight="1">
      <c r="A3054" s="55" t="s">
        <v>9457</v>
      </c>
      <c r="B3054" s="55" t="s">
        <v>40</v>
      </c>
      <c r="C3054" s="55" t="s">
        <v>7471</v>
      </c>
      <c r="D3054" s="55" t="s">
        <v>12933</v>
      </c>
    </row>
    <row r="3055" ht="14.25" customHeight="1">
      <c r="A3055" s="55" t="s">
        <v>9457</v>
      </c>
      <c r="B3055" s="55" t="s">
        <v>40</v>
      </c>
      <c r="C3055" s="55" t="s">
        <v>9351</v>
      </c>
      <c r="D3055" s="55" t="s">
        <v>9352</v>
      </c>
    </row>
    <row r="3056" ht="14.25" customHeight="1">
      <c r="A3056" s="55" t="s">
        <v>9457</v>
      </c>
      <c r="B3056" s="55" t="s">
        <v>40</v>
      </c>
      <c r="C3056" s="55" t="s">
        <v>71</v>
      </c>
      <c r="D3056" s="55" t="s">
        <v>8968</v>
      </c>
    </row>
    <row r="3057" ht="14.25" customHeight="1">
      <c r="A3057" s="55" t="s">
        <v>9457</v>
      </c>
      <c r="B3057" s="55" t="s">
        <v>40</v>
      </c>
      <c r="C3057" s="55" t="s">
        <v>14207</v>
      </c>
      <c r="D3057" s="55" t="s">
        <v>10224</v>
      </c>
    </row>
    <row r="3058" ht="14.25" customHeight="1">
      <c r="A3058" s="55" t="s">
        <v>9457</v>
      </c>
      <c r="B3058" s="55" t="s">
        <v>40</v>
      </c>
      <c r="C3058" s="55" t="s">
        <v>12599</v>
      </c>
      <c r="D3058" s="55" t="s">
        <v>9265</v>
      </c>
    </row>
    <row r="3059" ht="14.25" customHeight="1">
      <c r="A3059" s="55" t="s">
        <v>9457</v>
      </c>
      <c r="B3059" s="55" t="s">
        <v>40</v>
      </c>
      <c r="C3059" s="55" t="s">
        <v>9460</v>
      </c>
      <c r="D3059" s="55" t="s">
        <v>9055</v>
      </c>
    </row>
    <row r="3060" ht="14.25" customHeight="1">
      <c r="A3060" s="55" t="s">
        <v>9457</v>
      </c>
      <c r="B3060" s="55" t="s">
        <v>40</v>
      </c>
      <c r="C3060" s="55" t="s">
        <v>5902</v>
      </c>
      <c r="D3060" s="55" t="s">
        <v>9131</v>
      </c>
    </row>
    <row r="3061" ht="14.25" customHeight="1">
      <c r="A3061" s="55" t="s">
        <v>9457</v>
      </c>
      <c r="B3061" s="55" t="s">
        <v>40</v>
      </c>
      <c r="C3061" s="55" t="s">
        <v>13723</v>
      </c>
      <c r="D3061" s="55" t="s">
        <v>11993</v>
      </c>
    </row>
    <row r="3062" ht="14.25" customHeight="1">
      <c r="A3062" s="55" t="s">
        <v>9457</v>
      </c>
      <c r="B3062" s="55" t="s">
        <v>40</v>
      </c>
      <c r="C3062" s="55" t="s">
        <v>9810</v>
      </c>
      <c r="D3062" s="55" t="s">
        <v>9265</v>
      </c>
    </row>
    <row r="3063" ht="14.25" customHeight="1">
      <c r="A3063" s="55" t="s">
        <v>9457</v>
      </c>
      <c r="B3063" s="55" t="s">
        <v>40</v>
      </c>
      <c r="C3063" s="55" t="s">
        <v>8974</v>
      </c>
      <c r="D3063" s="55" t="s">
        <v>9265</v>
      </c>
    </row>
    <row r="3064" ht="14.25" customHeight="1">
      <c r="A3064" s="55" t="s">
        <v>9457</v>
      </c>
      <c r="B3064" s="55" t="s">
        <v>40</v>
      </c>
      <c r="C3064" s="55" t="s">
        <v>10877</v>
      </c>
      <c r="D3064" s="55" t="s">
        <v>9578</v>
      </c>
    </row>
    <row r="3065" ht="14.25" customHeight="1">
      <c r="A3065" s="55" t="s">
        <v>9457</v>
      </c>
      <c r="B3065" s="55" t="s">
        <v>40</v>
      </c>
      <c r="C3065" s="55" t="s">
        <v>81</v>
      </c>
      <c r="D3065" s="55" t="s">
        <v>9034</v>
      </c>
    </row>
    <row r="3066" ht="14.25" customHeight="1">
      <c r="A3066" s="55" t="s">
        <v>9457</v>
      </c>
      <c r="B3066" s="55" t="s">
        <v>40</v>
      </c>
      <c r="C3066" s="55" t="s">
        <v>81</v>
      </c>
      <c r="D3066" s="55" t="s">
        <v>9265</v>
      </c>
    </row>
    <row r="3067" ht="14.25" customHeight="1">
      <c r="A3067" s="55" t="s">
        <v>9457</v>
      </c>
      <c r="B3067" s="55" t="s">
        <v>40</v>
      </c>
      <c r="C3067" s="55" t="s">
        <v>81</v>
      </c>
      <c r="D3067" s="55" t="s">
        <v>10224</v>
      </c>
    </row>
    <row r="3068" ht="14.25" customHeight="1">
      <c r="A3068" s="55" t="s">
        <v>9457</v>
      </c>
      <c r="B3068" s="55" t="s">
        <v>40</v>
      </c>
      <c r="C3068" s="55" t="s">
        <v>81</v>
      </c>
      <c r="D3068" s="55" t="s">
        <v>9461</v>
      </c>
    </row>
    <row r="3069" ht="14.25" customHeight="1">
      <c r="A3069" s="55" t="s">
        <v>9457</v>
      </c>
      <c r="B3069" s="55" t="s">
        <v>40</v>
      </c>
      <c r="C3069" s="55" t="s">
        <v>9462</v>
      </c>
      <c r="D3069" s="55" t="s">
        <v>9265</v>
      </c>
    </row>
    <row r="3070" ht="14.25" customHeight="1">
      <c r="A3070" s="55" t="s">
        <v>9457</v>
      </c>
      <c r="B3070" s="55" t="s">
        <v>40</v>
      </c>
      <c r="C3070" s="55" t="s">
        <v>10878</v>
      </c>
      <c r="D3070" s="55" t="s">
        <v>9151</v>
      </c>
    </row>
    <row r="3071" ht="14.25" customHeight="1">
      <c r="A3071" s="55" t="s">
        <v>9457</v>
      </c>
      <c r="B3071" s="55" t="s">
        <v>40</v>
      </c>
      <c r="C3071" s="55" t="s">
        <v>1889</v>
      </c>
      <c r="D3071" s="55" t="s">
        <v>12934</v>
      </c>
    </row>
    <row r="3072" ht="14.25" customHeight="1">
      <c r="A3072" s="55" t="s">
        <v>9457</v>
      </c>
      <c r="B3072" s="55" t="s">
        <v>40</v>
      </c>
      <c r="C3072" s="55" t="s">
        <v>1889</v>
      </c>
      <c r="D3072" s="55" t="s">
        <v>13724</v>
      </c>
    </row>
    <row r="3073" ht="14.25" customHeight="1">
      <c r="A3073" s="55" t="s">
        <v>9457</v>
      </c>
      <c r="B3073" s="55" t="s">
        <v>40</v>
      </c>
      <c r="C3073" s="55" t="s">
        <v>11548</v>
      </c>
      <c r="D3073" s="55" t="s">
        <v>11549</v>
      </c>
    </row>
    <row r="3074" ht="14.25" customHeight="1">
      <c r="A3074" s="55" t="s">
        <v>9457</v>
      </c>
      <c r="B3074" s="55" t="s">
        <v>40</v>
      </c>
      <c r="C3074" s="55" t="s">
        <v>10879</v>
      </c>
      <c r="D3074" s="55" t="s">
        <v>10880</v>
      </c>
    </row>
    <row r="3075" ht="14.25" customHeight="1">
      <c r="A3075" s="55" t="s">
        <v>9457</v>
      </c>
      <c r="B3075" s="55" t="s">
        <v>40</v>
      </c>
      <c r="C3075" s="55" t="s">
        <v>12935</v>
      </c>
      <c r="D3075" s="55" t="s">
        <v>9265</v>
      </c>
    </row>
    <row r="3076" ht="14.25" customHeight="1">
      <c r="A3076" s="55" t="s">
        <v>9457</v>
      </c>
      <c r="B3076" s="55" t="s">
        <v>40</v>
      </c>
      <c r="C3076" s="55" t="s">
        <v>12936</v>
      </c>
      <c r="D3076" s="55" t="s">
        <v>9265</v>
      </c>
    </row>
    <row r="3077" ht="14.25" customHeight="1">
      <c r="A3077" s="55" t="s">
        <v>9457</v>
      </c>
      <c r="B3077" s="55" t="s">
        <v>40</v>
      </c>
      <c r="C3077" s="55" t="s">
        <v>10881</v>
      </c>
      <c r="D3077" s="55" t="s">
        <v>10882</v>
      </c>
    </row>
    <row r="3078" ht="14.25" customHeight="1">
      <c r="A3078" s="55" t="s">
        <v>9457</v>
      </c>
      <c r="B3078" s="55" t="s">
        <v>40</v>
      </c>
      <c r="C3078" s="55" t="s">
        <v>9463</v>
      </c>
      <c r="D3078" s="55" t="s">
        <v>9464</v>
      </c>
    </row>
    <row r="3079" ht="14.25" customHeight="1">
      <c r="A3079" s="55" t="s">
        <v>9457</v>
      </c>
      <c r="B3079" s="55" t="s">
        <v>40</v>
      </c>
      <c r="C3079" s="55" t="s">
        <v>89</v>
      </c>
      <c r="D3079" s="55" t="s">
        <v>9034</v>
      </c>
    </row>
    <row r="3080" ht="14.25" customHeight="1">
      <c r="A3080" s="55" t="s">
        <v>9457</v>
      </c>
      <c r="B3080" s="55" t="s">
        <v>40</v>
      </c>
      <c r="C3080" s="55" t="s">
        <v>89</v>
      </c>
      <c r="D3080" s="55" t="s">
        <v>12937</v>
      </c>
    </row>
    <row r="3081" ht="14.25" customHeight="1">
      <c r="A3081" s="55" t="s">
        <v>9457</v>
      </c>
      <c r="B3081" s="55" t="s">
        <v>40</v>
      </c>
      <c r="C3081" s="55" t="s">
        <v>89</v>
      </c>
      <c r="D3081" s="55" t="s">
        <v>10883</v>
      </c>
    </row>
    <row r="3082" ht="14.25" customHeight="1">
      <c r="A3082" s="55" t="s">
        <v>9457</v>
      </c>
      <c r="B3082" s="55" t="s">
        <v>40</v>
      </c>
      <c r="C3082" s="55" t="s">
        <v>89</v>
      </c>
      <c r="D3082" s="55" t="s">
        <v>9181</v>
      </c>
    </row>
    <row r="3083" ht="14.25" customHeight="1">
      <c r="A3083" s="55" t="s">
        <v>9457</v>
      </c>
      <c r="B3083" s="55" t="s">
        <v>40</v>
      </c>
      <c r="C3083" s="55" t="s">
        <v>89</v>
      </c>
      <c r="D3083" s="55" t="s">
        <v>9508</v>
      </c>
    </row>
    <row r="3084" ht="14.25" customHeight="1">
      <c r="A3084" s="55" t="s">
        <v>9457</v>
      </c>
      <c r="B3084" s="55" t="s">
        <v>40</v>
      </c>
      <c r="C3084" s="55" t="s">
        <v>89</v>
      </c>
      <c r="D3084" s="55" t="s">
        <v>12160</v>
      </c>
    </row>
    <row r="3085" ht="14.25" customHeight="1">
      <c r="A3085" s="55" t="s">
        <v>9457</v>
      </c>
      <c r="B3085" s="55" t="s">
        <v>40</v>
      </c>
      <c r="C3085" s="55" t="s">
        <v>89</v>
      </c>
      <c r="D3085" s="55" t="s">
        <v>9265</v>
      </c>
    </row>
    <row r="3086" ht="14.25" customHeight="1">
      <c r="A3086" s="55" t="s">
        <v>9457</v>
      </c>
      <c r="B3086" s="55" t="s">
        <v>40</v>
      </c>
      <c r="C3086" s="55" t="s">
        <v>89</v>
      </c>
      <c r="D3086" s="55" t="s">
        <v>8968</v>
      </c>
    </row>
    <row r="3087" ht="14.25" customHeight="1">
      <c r="A3087" s="55" t="s">
        <v>9457</v>
      </c>
      <c r="B3087" s="55" t="s">
        <v>40</v>
      </c>
      <c r="C3087" s="55" t="s">
        <v>89</v>
      </c>
      <c r="D3087" s="55" t="s">
        <v>9465</v>
      </c>
    </row>
    <row r="3088" ht="14.25" customHeight="1">
      <c r="A3088" s="55" t="s">
        <v>9457</v>
      </c>
      <c r="B3088" s="55" t="s">
        <v>40</v>
      </c>
      <c r="C3088" s="55" t="s">
        <v>89</v>
      </c>
      <c r="D3088" s="55" t="s">
        <v>9521</v>
      </c>
    </row>
    <row r="3089" ht="14.25" customHeight="1">
      <c r="A3089" s="55" t="s">
        <v>9457</v>
      </c>
      <c r="B3089" s="55" t="s">
        <v>40</v>
      </c>
      <c r="C3089" s="55" t="s">
        <v>89</v>
      </c>
      <c r="D3089" s="55" t="s">
        <v>12938</v>
      </c>
    </row>
    <row r="3090" ht="14.25" customHeight="1">
      <c r="A3090" s="55" t="s">
        <v>9457</v>
      </c>
      <c r="B3090" s="55" t="s">
        <v>40</v>
      </c>
      <c r="C3090" s="55" t="s">
        <v>89</v>
      </c>
      <c r="D3090" s="55" t="s">
        <v>12161</v>
      </c>
    </row>
    <row r="3091" ht="14.25" customHeight="1">
      <c r="A3091" s="55" t="s">
        <v>9457</v>
      </c>
      <c r="B3091" s="55" t="s">
        <v>40</v>
      </c>
      <c r="C3091" s="55" t="s">
        <v>89</v>
      </c>
      <c r="D3091" s="55" t="s">
        <v>10884</v>
      </c>
    </row>
    <row r="3092" ht="14.25" customHeight="1">
      <c r="A3092" s="55" t="s">
        <v>9457</v>
      </c>
      <c r="B3092" s="55" t="s">
        <v>40</v>
      </c>
      <c r="C3092" s="55" t="s">
        <v>11550</v>
      </c>
      <c r="D3092" s="55" t="s">
        <v>9265</v>
      </c>
    </row>
    <row r="3093" ht="14.25" customHeight="1">
      <c r="A3093" s="55" t="s">
        <v>9457</v>
      </c>
      <c r="B3093" s="55" t="s">
        <v>40</v>
      </c>
      <c r="C3093" s="55" t="s">
        <v>9466</v>
      </c>
      <c r="D3093" s="55" t="s">
        <v>9305</v>
      </c>
    </row>
    <row r="3094" ht="14.25" customHeight="1">
      <c r="A3094" s="55" t="s">
        <v>9457</v>
      </c>
      <c r="B3094" s="55" t="s">
        <v>40</v>
      </c>
      <c r="C3094" s="55" t="s">
        <v>9320</v>
      </c>
      <c r="D3094" s="55" t="s">
        <v>12939</v>
      </c>
    </row>
    <row r="3095" ht="14.25" customHeight="1">
      <c r="A3095" s="55" t="s">
        <v>9457</v>
      </c>
      <c r="B3095" s="55" t="s">
        <v>40</v>
      </c>
      <c r="C3095" s="55" t="s">
        <v>9467</v>
      </c>
      <c r="D3095" s="55" t="s">
        <v>9034</v>
      </c>
    </row>
    <row r="3096" ht="14.25" customHeight="1">
      <c r="A3096" s="55" t="s">
        <v>9457</v>
      </c>
      <c r="B3096" s="55" t="s">
        <v>40</v>
      </c>
      <c r="C3096" s="55" t="s">
        <v>92</v>
      </c>
      <c r="D3096" s="55" t="s">
        <v>14208</v>
      </c>
    </row>
    <row r="3097" ht="14.25" customHeight="1">
      <c r="A3097" s="55" t="s">
        <v>9457</v>
      </c>
      <c r="B3097" s="55" t="s">
        <v>40</v>
      </c>
      <c r="C3097" s="55" t="s">
        <v>2669</v>
      </c>
      <c r="D3097" s="55" t="s">
        <v>8978</v>
      </c>
    </row>
    <row r="3098" ht="14.25" customHeight="1">
      <c r="A3098" s="55" t="s">
        <v>9457</v>
      </c>
      <c r="B3098" s="55" t="s">
        <v>40</v>
      </c>
      <c r="C3098" s="55" t="s">
        <v>2669</v>
      </c>
      <c r="D3098" s="55" t="s">
        <v>12940</v>
      </c>
    </row>
    <row r="3099" ht="14.25" customHeight="1">
      <c r="A3099" s="55" t="s">
        <v>9457</v>
      </c>
      <c r="B3099" s="55" t="s">
        <v>40</v>
      </c>
      <c r="C3099" s="55" t="s">
        <v>11551</v>
      </c>
      <c r="D3099" s="55" t="s">
        <v>9258</v>
      </c>
    </row>
    <row r="3100" ht="14.25" customHeight="1">
      <c r="A3100" s="55" t="s">
        <v>9457</v>
      </c>
      <c r="B3100" s="55" t="s">
        <v>40</v>
      </c>
      <c r="C3100" s="55" t="s">
        <v>294</v>
      </c>
      <c r="D3100" s="55" t="s">
        <v>9109</v>
      </c>
    </row>
    <row r="3101" ht="14.25" customHeight="1">
      <c r="A3101" s="55" t="s">
        <v>9457</v>
      </c>
      <c r="B3101" s="55" t="s">
        <v>40</v>
      </c>
      <c r="C3101" s="55" t="s">
        <v>2700</v>
      </c>
      <c r="D3101" s="55" t="s">
        <v>9265</v>
      </c>
    </row>
    <row r="3102" ht="14.25" customHeight="1">
      <c r="A3102" s="55" t="s">
        <v>9457</v>
      </c>
      <c r="B3102" s="55" t="s">
        <v>40</v>
      </c>
      <c r="C3102" s="55" t="s">
        <v>12941</v>
      </c>
      <c r="D3102" s="55" t="s">
        <v>12942</v>
      </c>
    </row>
    <row r="3103" ht="14.25" customHeight="1">
      <c r="A3103" s="55" t="s">
        <v>9457</v>
      </c>
      <c r="B3103" s="55" t="s">
        <v>40</v>
      </c>
      <c r="C3103" s="55" t="s">
        <v>12943</v>
      </c>
      <c r="D3103" s="55" t="s">
        <v>9755</v>
      </c>
    </row>
    <row r="3104" ht="14.25" customHeight="1">
      <c r="A3104" s="55" t="s">
        <v>9457</v>
      </c>
      <c r="B3104" s="55" t="s">
        <v>40</v>
      </c>
      <c r="C3104" s="55" t="s">
        <v>12944</v>
      </c>
      <c r="D3104" s="55" t="s">
        <v>9755</v>
      </c>
    </row>
    <row r="3105" ht="14.25" customHeight="1">
      <c r="A3105" s="55" t="s">
        <v>9457</v>
      </c>
      <c r="B3105" s="55" t="s">
        <v>40</v>
      </c>
      <c r="C3105" s="55" t="s">
        <v>9468</v>
      </c>
      <c r="D3105" s="55" t="s">
        <v>9352</v>
      </c>
    </row>
    <row r="3106" ht="14.25" customHeight="1">
      <c r="A3106" s="55" t="s">
        <v>9457</v>
      </c>
      <c r="B3106" s="55" t="s">
        <v>40</v>
      </c>
      <c r="C3106" s="55" t="s">
        <v>12162</v>
      </c>
      <c r="D3106" s="55" t="s">
        <v>12163</v>
      </c>
    </row>
    <row r="3107" ht="14.25" customHeight="1">
      <c r="A3107" s="55" t="s">
        <v>9457</v>
      </c>
      <c r="B3107" s="55" t="s">
        <v>40</v>
      </c>
      <c r="C3107" s="55" t="s">
        <v>9469</v>
      </c>
      <c r="D3107" s="55" t="s">
        <v>9470</v>
      </c>
    </row>
    <row r="3108" ht="14.25" customHeight="1">
      <c r="A3108" s="55" t="s">
        <v>9457</v>
      </c>
      <c r="B3108" s="55" t="s">
        <v>40</v>
      </c>
      <c r="C3108" s="55" t="s">
        <v>10660</v>
      </c>
      <c r="D3108" s="55" t="s">
        <v>13725</v>
      </c>
    </row>
    <row r="3109" ht="14.25" customHeight="1">
      <c r="A3109" s="55" t="s">
        <v>9457</v>
      </c>
      <c r="B3109" s="55" t="s">
        <v>40</v>
      </c>
      <c r="C3109" s="55" t="s">
        <v>9110</v>
      </c>
      <c r="D3109" s="55" t="s">
        <v>9265</v>
      </c>
    </row>
    <row r="3110" ht="14.25" customHeight="1">
      <c r="A3110" s="55" t="s">
        <v>9457</v>
      </c>
      <c r="B3110" s="55" t="s">
        <v>40</v>
      </c>
      <c r="C3110" s="55" t="s">
        <v>9110</v>
      </c>
      <c r="D3110" s="55" t="s">
        <v>9026</v>
      </c>
    </row>
    <row r="3111" ht="14.25" customHeight="1">
      <c r="A3111" s="55" t="s">
        <v>9457</v>
      </c>
      <c r="B3111" s="55" t="s">
        <v>40</v>
      </c>
      <c r="C3111" s="55" t="s">
        <v>14209</v>
      </c>
      <c r="D3111" s="55" t="s">
        <v>9086</v>
      </c>
    </row>
    <row r="3112" ht="14.25" customHeight="1">
      <c r="A3112" s="55" t="s">
        <v>9457</v>
      </c>
      <c r="B3112" s="55" t="s">
        <v>40</v>
      </c>
      <c r="C3112" s="55" t="s">
        <v>6031</v>
      </c>
      <c r="D3112" s="55" t="s">
        <v>12164</v>
      </c>
    </row>
    <row r="3113" ht="14.25" customHeight="1">
      <c r="A3113" s="55" t="s">
        <v>9457</v>
      </c>
      <c r="B3113" s="55" t="s">
        <v>40</v>
      </c>
      <c r="C3113" s="55" t="s">
        <v>6031</v>
      </c>
      <c r="D3113" s="55" t="s">
        <v>9086</v>
      </c>
    </row>
    <row r="3114" ht="14.25" customHeight="1">
      <c r="A3114" s="55" t="s">
        <v>9457</v>
      </c>
      <c r="B3114" s="55" t="s">
        <v>40</v>
      </c>
      <c r="C3114" s="55" t="s">
        <v>4739</v>
      </c>
      <c r="D3114" s="55" t="s">
        <v>9236</v>
      </c>
    </row>
    <row r="3115" ht="14.25" customHeight="1">
      <c r="A3115" s="55" t="s">
        <v>9457</v>
      </c>
      <c r="B3115" s="55" t="s">
        <v>40</v>
      </c>
      <c r="C3115" s="55" t="s">
        <v>10225</v>
      </c>
      <c r="D3115" s="55" t="s">
        <v>9265</v>
      </c>
    </row>
    <row r="3116" ht="14.25" customHeight="1">
      <c r="A3116" s="55" t="s">
        <v>9457</v>
      </c>
      <c r="B3116" s="55" t="s">
        <v>40</v>
      </c>
      <c r="C3116" s="55" t="s">
        <v>10885</v>
      </c>
      <c r="D3116" s="55" t="s">
        <v>9265</v>
      </c>
    </row>
    <row r="3117" ht="14.25" customHeight="1">
      <c r="A3117" s="55" t="s">
        <v>9457</v>
      </c>
      <c r="B3117" s="55" t="s">
        <v>40</v>
      </c>
      <c r="C3117" s="55" t="s">
        <v>10885</v>
      </c>
      <c r="D3117" s="55" t="s">
        <v>9043</v>
      </c>
    </row>
    <row r="3118" ht="14.25" customHeight="1">
      <c r="A3118" s="55" t="s">
        <v>9457</v>
      </c>
      <c r="B3118" s="55" t="s">
        <v>40</v>
      </c>
      <c r="C3118" s="55" t="s">
        <v>100</v>
      </c>
      <c r="D3118" s="55" t="s">
        <v>11132</v>
      </c>
    </row>
    <row r="3119" ht="14.25" customHeight="1">
      <c r="A3119" s="55" t="s">
        <v>9457</v>
      </c>
      <c r="B3119" s="55" t="s">
        <v>40</v>
      </c>
      <c r="C3119" s="55" t="s">
        <v>296</v>
      </c>
      <c r="D3119" s="55" t="s">
        <v>9265</v>
      </c>
    </row>
    <row r="3120" ht="14.25" customHeight="1">
      <c r="A3120" s="55" t="s">
        <v>9457</v>
      </c>
      <c r="B3120" s="55" t="s">
        <v>40</v>
      </c>
      <c r="C3120" s="55" t="s">
        <v>9471</v>
      </c>
      <c r="D3120" s="55" t="s">
        <v>9265</v>
      </c>
    </row>
    <row r="3121" ht="14.25" customHeight="1">
      <c r="A3121" s="55" t="s">
        <v>9457</v>
      </c>
      <c r="B3121" s="55" t="s">
        <v>40</v>
      </c>
      <c r="C3121" s="55" t="s">
        <v>6057</v>
      </c>
      <c r="D3121" s="55" t="s">
        <v>9545</v>
      </c>
    </row>
    <row r="3122" ht="14.25" customHeight="1">
      <c r="A3122" s="55" t="s">
        <v>9457</v>
      </c>
      <c r="B3122" s="55" t="s">
        <v>40</v>
      </c>
      <c r="C3122" s="55" t="s">
        <v>10226</v>
      </c>
      <c r="D3122" s="55" t="s">
        <v>10227</v>
      </c>
    </row>
    <row r="3123" ht="14.25" customHeight="1">
      <c r="A3123" s="55" t="s">
        <v>9457</v>
      </c>
      <c r="B3123" s="55" t="s">
        <v>40</v>
      </c>
      <c r="C3123" s="55" t="s">
        <v>11754</v>
      </c>
      <c r="D3123" s="55" t="s">
        <v>13726</v>
      </c>
    </row>
    <row r="3124" ht="14.25" customHeight="1">
      <c r="A3124" s="55" t="s">
        <v>9457</v>
      </c>
      <c r="B3124" s="55" t="s">
        <v>40</v>
      </c>
      <c r="C3124" s="55" t="s">
        <v>9472</v>
      </c>
      <c r="D3124" s="55" t="s">
        <v>9473</v>
      </c>
    </row>
    <row r="3125" ht="14.25" customHeight="1">
      <c r="A3125" s="55" t="s">
        <v>9457</v>
      </c>
      <c r="B3125" s="55" t="s">
        <v>40</v>
      </c>
      <c r="C3125" s="55" t="s">
        <v>10962</v>
      </c>
      <c r="D3125" s="55" t="s">
        <v>9131</v>
      </c>
    </row>
    <row r="3126" ht="14.25" customHeight="1">
      <c r="A3126" s="55" t="s">
        <v>9457</v>
      </c>
      <c r="B3126" s="55" t="s">
        <v>40</v>
      </c>
      <c r="C3126" s="55" t="s">
        <v>10123</v>
      </c>
      <c r="D3126" s="55" t="s">
        <v>10224</v>
      </c>
    </row>
    <row r="3127" ht="14.25" customHeight="1">
      <c r="A3127" s="55" t="s">
        <v>9457</v>
      </c>
      <c r="B3127" s="55" t="s">
        <v>40</v>
      </c>
      <c r="C3127" s="55" t="s">
        <v>10123</v>
      </c>
      <c r="D3127" s="55" t="s">
        <v>9474</v>
      </c>
    </row>
    <row r="3128" ht="14.25" customHeight="1">
      <c r="A3128" s="55" t="s">
        <v>9457</v>
      </c>
      <c r="B3128" s="55" t="s">
        <v>40</v>
      </c>
      <c r="C3128" s="55" t="s">
        <v>10123</v>
      </c>
      <c r="D3128" s="55" t="s">
        <v>9026</v>
      </c>
    </row>
    <row r="3129" ht="14.25" customHeight="1">
      <c r="A3129" s="55" t="s">
        <v>9457</v>
      </c>
      <c r="B3129" s="55" t="s">
        <v>40</v>
      </c>
      <c r="C3129" s="55" t="s">
        <v>106</v>
      </c>
      <c r="D3129" s="55" t="s">
        <v>9265</v>
      </c>
    </row>
    <row r="3130" ht="14.25" customHeight="1">
      <c r="A3130" s="55" t="s">
        <v>9457</v>
      </c>
      <c r="B3130" s="55" t="s">
        <v>40</v>
      </c>
      <c r="C3130" s="55" t="s">
        <v>106</v>
      </c>
      <c r="D3130" s="55" t="s">
        <v>9649</v>
      </c>
    </row>
    <row r="3131" ht="14.25" customHeight="1">
      <c r="A3131" s="55" t="s">
        <v>9457</v>
      </c>
      <c r="B3131" s="55" t="s">
        <v>40</v>
      </c>
      <c r="C3131" s="55" t="s">
        <v>9184</v>
      </c>
      <c r="D3131" s="55" t="s">
        <v>9474</v>
      </c>
    </row>
    <row r="3132" ht="14.25" customHeight="1">
      <c r="A3132" s="55" t="s">
        <v>9457</v>
      </c>
      <c r="B3132" s="55" t="s">
        <v>40</v>
      </c>
      <c r="C3132" s="55" t="s">
        <v>9184</v>
      </c>
      <c r="D3132" s="55" t="s">
        <v>9026</v>
      </c>
    </row>
    <row r="3133" ht="14.25" customHeight="1">
      <c r="A3133" s="55" t="s">
        <v>9457</v>
      </c>
      <c r="B3133" s="55" t="s">
        <v>40</v>
      </c>
      <c r="C3133" s="55" t="s">
        <v>10886</v>
      </c>
      <c r="D3133" s="55" t="s">
        <v>9026</v>
      </c>
    </row>
    <row r="3134" ht="14.25" customHeight="1">
      <c r="A3134" s="55" t="s">
        <v>9457</v>
      </c>
      <c r="B3134" s="55" t="s">
        <v>40</v>
      </c>
      <c r="C3134" s="55" t="s">
        <v>12165</v>
      </c>
      <c r="D3134" s="55" t="s">
        <v>9039</v>
      </c>
    </row>
    <row r="3135" ht="14.25" customHeight="1">
      <c r="A3135" s="55" t="s">
        <v>9457</v>
      </c>
      <c r="B3135" s="55" t="s">
        <v>40</v>
      </c>
      <c r="C3135" s="55" t="s">
        <v>12945</v>
      </c>
      <c r="D3135" s="55" t="s">
        <v>8978</v>
      </c>
    </row>
    <row r="3136" ht="14.25" customHeight="1">
      <c r="A3136" s="55" t="s">
        <v>9457</v>
      </c>
      <c r="B3136" s="55" t="s">
        <v>40</v>
      </c>
      <c r="C3136" s="55" t="s">
        <v>10887</v>
      </c>
      <c r="D3136" s="55" t="s">
        <v>10888</v>
      </c>
    </row>
    <row r="3137" ht="14.25" customHeight="1">
      <c r="A3137" s="55" t="s">
        <v>9457</v>
      </c>
      <c r="B3137" s="55" t="s">
        <v>40</v>
      </c>
      <c r="C3137" s="55" t="s">
        <v>916</v>
      </c>
      <c r="D3137" s="55" t="s">
        <v>11552</v>
      </c>
    </row>
    <row r="3138" ht="14.25" customHeight="1">
      <c r="A3138" s="55" t="s">
        <v>9457</v>
      </c>
      <c r="B3138" s="55" t="s">
        <v>40</v>
      </c>
      <c r="C3138" s="55" t="s">
        <v>916</v>
      </c>
      <c r="D3138" s="55" t="s">
        <v>12946</v>
      </c>
    </row>
    <row r="3139" ht="14.25" customHeight="1">
      <c r="A3139" s="55" t="s">
        <v>9457</v>
      </c>
      <c r="B3139" s="55" t="s">
        <v>40</v>
      </c>
      <c r="C3139" s="55" t="s">
        <v>916</v>
      </c>
      <c r="D3139" s="55" t="s">
        <v>12947</v>
      </c>
    </row>
    <row r="3140" ht="14.25" customHeight="1">
      <c r="A3140" s="55" t="s">
        <v>9457</v>
      </c>
      <c r="B3140" s="55" t="s">
        <v>40</v>
      </c>
      <c r="C3140" s="55" t="s">
        <v>10889</v>
      </c>
      <c r="D3140" s="55" t="s">
        <v>9265</v>
      </c>
    </row>
    <row r="3141" ht="14.25" customHeight="1">
      <c r="A3141" s="55" t="s">
        <v>9457</v>
      </c>
      <c r="B3141" s="55" t="s">
        <v>40</v>
      </c>
      <c r="C3141" s="55" t="s">
        <v>12166</v>
      </c>
      <c r="D3141" s="55" t="s">
        <v>8968</v>
      </c>
    </row>
    <row r="3142" ht="14.25" customHeight="1">
      <c r="A3142" s="55" t="s">
        <v>9457</v>
      </c>
      <c r="B3142" s="55" t="s">
        <v>40</v>
      </c>
      <c r="C3142" s="55" t="s">
        <v>6152</v>
      </c>
      <c r="D3142" s="55" t="s">
        <v>9109</v>
      </c>
    </row>
    <row r="3143" ht="14.25" customHeight="1">
      <c r="A3143" s="55" t="s">
        <v>9457</v>
      </c>
      <c r="B3143" s="55" t="s">
        <v>40</v>
      </c>
      <c r="C3143" s="55" t="s">
        <v>6152</v>
      </c>
      <c r="D3143" s="55" t="s">
        <v>10124</v>
      </c>
    </row>
    <row r="3144" ht="14.25" customHeight="1">
      <c r="A3144" s="55" t="s">
        <v>9457</v>
      </c>
      <c r="B3144" s="55" t="s">
        <v>40</v>
      </c>
      <c r="C3144" s="55" t="s">
        <v>9121</v>
      </c>
      <c r="D3144" s="55" t="s">
        <v>9034</v>
      </c>
    </row>
    <row r="3145" ht="14.25" customHeight="1">
      <c r="A3145" s="55" t="s">
        <v>9457</v>
      </c>
      <c r="B3145" s="55" t="s">
        <v>40</v>
      </c>
      <c r="C3145" s="55" t="s">
        <v>9121</v>
      </c>
      <c r="D3145" s="55" t="s">
        <v>9514</v>
      </c>
    </row>
    <row r="3146" ht="14.25" customHeight="1">
      <c r="A3146" s="55" t="s">
        <v>9457</v>
      </c>
      <c r="B3146" s="55" t="s">
        <v>40</v>
      </c>
      <c r="C3146" s="55" t="s">
        <v>9121</v>
      </c>
      <c r="D3146" s="55" t="s">
        <v>9827</v>
      </c>
    </row>
    <row r="3147" ht="14.25" customHeight="1">
      <c r="A3147" s="55" t="s">
        <v>9457</v>
      </c>
      <c r="B3147" s="55" t="s">
        <v>40</v>
      </c>
      <c r="C3147" s="55" t="s">
        <v>12948</v>
      </c>
      <c r="D3147" s="55" t="s">
        <v>9671</v>
      </c>
    </row>
    <row r="3148" ht="14.25" customHeight="1">
      <c r="A3148" s="55" t="s">
        <v>9457</v>
      </c>
      <c r="B3148" s="55" t="s">
        <v>40</v>
      </c>
      <c r="C3148" s="55" t="s">
        <v>12949</v>
      </c>
      <c r="D3148" s="55" t="s">
        <v>10197</v>
      </c>
    </row>
    <row r="3149" ht="14.25" customHeight="1">
      <c r="A3149" s="55" t="s">
        <v>9457</v>
      </c>
      <c r="B3149" s="55" t="s">
        <v>40</v>
      </c>
      <c r="C3149" s="55" t="s">
        <v>11553</v>
      </c>
      <c r="D3149" s="55" t="s">
        <v>9755</v>
      </c>
    </row>
    <row r="3150" ht="14.25" customHeight="1">
      <c r="A3150" s="55" t="s">
        <v>9457</v>
      </c>
      <c r="B3150" s="55" t="s">
        <v>40</v>
      </c>
      <c r="C3150" s="55" t="s">
        <v>11868</v>
      </c>
      <c r="D3150" s="55" t="s">
        <v>9265</v>
      </c>
    </row>
    <row r="3151" ht="14.25" customHeight="1">
      <c r="A3151" s="55" t="s">
        <v>9457</v>
      </c>
      <c r="B3151" s="55" t="s">
        <v>40</v>
      </c>
      <c r="C3151" s="55" t="s">
        <v>12167</v>
      </c>
      <c r="D3151" s="55" t="s">
        <v>9034</v>
      </c>
    </row>
    <row r="3152" ht="14.25" customHeight="1">
      <c r="A3152" s="55" t="s">
        <v>9457</v>
      </c>
      <c r="B3152" s="55" t="s">
        <v>40</v>
      </c>
      <c r="C3152" s="55" t="s">
        <v>12167</v>
      </c>
      <c r="D3152" s="55" t="s">
        <v>9521</v>
      </c>
    </row>
    <row r="3153" ht="14.25" customHeight="1">
      <c r="A3153" s="55" t="s">
        <v>9457</v>
      </c>
      <c r="B3153" s="55" t="s">
        <v>40</v>
      </c>
      <c r="C3153" s="55" t="s">
        <v>4825</v>
      </c>
      <c r="D3153" s="55" t="s">
        <v>9265</v>
      </c>
    </row>
    <row r="3154" ht="14.25" customHeight="1">
      <c r="A3154" s="55" t="s">
        <v>9457</v>
      </c>
      <c r="B3154" s="55" t="s">
        <v>40</v>
      </c>
      <c r="C3154" s="55" t="s">
        <v>6182</v>
      </c>
      <c r="D3154" s="55" t="s">
        <v>9430</v>
      </c>
    </row>
    <row r="3155" ht="14.25" customHeight="1">
      <c r="A3155" s="55" t="s">
        <v>9457</v>
      </c>
      <c r="B3155" s="55" t="s">
        <v>40</v>
      </c>
      <c r="C3155" s="55" t="s">
        <v>2908</v>
      </c>
      <c r="D3155" s="55" t="s">
        <v>10224</v>
      </c>
    </row>
    <row r="3156" ht="14.25" customHeight="1">
      <c r="A3156" s="55" t="s">
        <v>9457</v>
      </c>
      <c r="B3156" s="55" t="s">
        <v>40</v>
      </c>
      <c r="C3156" s="55" t="s">
        <v>2908</v>
      </c>
      <c r="D3156" s="55" t="s">
        <v>9118</v>
      </c>
    </row>
    <row r="3157" ht="14.25" customHeight="1">
      <c r="A3157" s="55" t="s">
        <v>9457</v>
      </c>
      <c r="B3157" s="55" t="s">
        <v>40</v>
      </c>
      <c r="C3157" s="55" t="s">
        <v>12950</v>
      </c>
      <c r="D3157" s="55" t="s">
        <v>13727</v>
      </c>
    </row>
    <row r="3158" ht="14.25" customHeight="1">
      <c r="A3158" s="55" t="s">
        <v>9457</v>
      </c>
      <c r="B3158" s="55" t="s">
        <v>40</v>
      </c>
      <c r="C3158" s="55" t="s">
        <v>12950</v>
      </c>
      <c r="D3158" s="55" t="s">
        <v>10232</v>
      </c>
    </row>
    <row r="3159" ht="14.25" customHeight="1">
      <c r="A3159" s="55" t="s">
        <v>9457</v>
      </c>
      <c r="B3159" s="55" t="s">
        <v>40</v>
      </c>
      <c r="C3159" s="55" t="s">
        <v>114</v>
      </c>
      <c r="D3159" s="55" t="s">
        <v>9034</v>
      </c>
    </row>
    <row r="3160" ht="14.25" customHeight="1">
      <c r="A3160" s="55" t="s">
        <v>9457</v>
      </c>
      <c r="B3160" s="55" t="s">
        <v>40</v>
      </c>
      <c r="C3160" s="55" t="s">
        <v>114</v>
      </c>
      <c r="D3160" s="55" t="s">
        <v>8968</v>
      </c>
    </row>
    <row r="3161" ht="14.25" customHeight="1">
      <c r="A3161" s="55" t="s">
        <v>9457</v>
      </c>
      <c r="B3161" s="55" t="s">
        <v>40</v>
      </c>
      <c r="C3161" s="55" t="s">
        <v>9475</v>
      </c>
      <c r="D3161" s="55" t="s">
        <v>9039</v>
      </c>
    </row>
    <row r="3162" ht="14.25" customHeight="1">
      <c r="A3162" s="55" t="s">
        <v>9457</v>
      </c>
      <c r="B3162" s="55" t="s">
        <v>40</v>
      </c>
      <c r="C3162" s="55" t="s">
        <v>2928</v>
      </c>
      <c r="D3162" s="55" t="s">
        <v>9476</v>
      </c>
    </row>
    <row r="3163" ht="14.25" customHeight="1">
      <c r="A3163" s="55" t="s">
        <v>9457</v>
      </c>
      <c r="B3163" s="55" t="s">
        <v>40</v>
      </c>
      <c r="C3163" s="55" t="s">
        <v>9477</v>
      </c>
      <c r="D3163" s="55" t="s">
        <v>8978</v>
      </c>
    </row>
    <row r="3164" ht="14.25" customHeight="1">
      <c r="A3164" s="55" t="s">
        <v>9457</v>
      </c>
      <c r="B3164" s="55" t="s">
        <v>40</v>
      </c>
      <c r="C3164" s="55" t="s">
        <v>10228</v>
      </c>
      <c r="D3164" s="55" t="s">
        <v>10229</v>
      </c>
    </row>
    <row r="3165" ht="14.25" customHeight="1">
      <c r="A3165" s="55" t="s">
        <v>9457</v>
      </c>
      <c r="B3165" s="55" t="s">
        <v>40</v>
      </c>
      <c r="C3165" s="55" t="s">
        <v>11773</v>
      </c>
      <c r="D3165" s="55" t="s">
        <v>10229</v>
      </c>
    </row>
    <row r="3166" ht="14.25" customHeight="1">
      <c r="A3166" s="55" t="s">
        <v>9457</v>
      </c>
      <c r="B3166" s="55" t="s">
        <v>40</v>
      </c>
      <c r="C3166" s="55" t="s">
        <v>9478</v>
      </c>
      <c r="D3166" s="55" t="s">
        <v>9265</v>
      </c>
    </row>
    <row r="3167" ht="14.25" customHeight="1">
      <c r="A3167" s="55" t="s">
        <v>9457</v>
      </c>
      <c r="B3167" s="55" t="s">
        <v>40</v>
      </c>
      <c r="C3167" s="55" t="s">
        <v>9478</v>
      </c>
      <c r="D3167" s="55" t="s">
        <v>9479</v>
      </c>
    </row>
    <row r="3168" ht="14.25" customHeight="1">
      <c r="A3168" s="55" t="s">
        <v>9457</v>
      </c>
      <c r="B3168" s="55" t="s">
        <v>40</v>
      </c>
      <c r="C3168" s="55" t="s">
        <v>10890</v>
      </c>
      <c r="D3168" s="55" t="s">
        <v>9039</v>
      </c>
    </row>
    <row r="3169" ht="14.25" customHeight="1">
      <c r="A3169" s="55" t="s">
        <v>9457</v>
      </c>
      <c r="B3169" s="55" t="s">
        <v>40</v>
      </c>
      <c r="C3169" s="55" t="s">
        <v>300</v>
      </c>
      <c r="D3169" s="55" t="s">
        <v>9109</v>
      </c>
    </row>
    <row r="3170" ht="14.25" customHeight="1">
      <c r="A3170" s="55" t="s">
        <v>9457</v>
      </c>
      <c r="B3170" s="55" t="s">
        <v>40</v>
      </c>
      <c r="C3170" s="55" t="s">
        <v>12951</v>
      </c>
      <c r="D3170" s="55" t="s">
        <v>12760</v>
      </c>
    </row>
    <row r="3171" ht="14.25" customHeight="1">
      <c r="A3171" s="55" t="s">
        <v>9457</v>
      </c>
      <c r="B3171" s="55" t="s">
        <v>40</v>
      </c>
      <c r="C3171" s="55" t="s">
        <v>9132</v>
      </c>
      <c r="D3171" s="55" t="s">
        <v>9020</v>
      </c>
    </row>
    <row r="3172" ht="14.25" customHeight="1">
      <c r="A3172" s="55" t="s">
        <v>9457</v>
      </c>
      <c r="B3172" s="55" t="s">
        <v>40</v>
      </c>
      <c r="C3172" s="55" t="s">
        <v>9480</v>
      </c>
      <c r="D3172" s="55" t="s">
        <v>9131</v>
      </c>
    </row>
    <row r="3173" ht="14.25" customHeight="1">
      <c r="A3173" s="55" t="s">
        <v>9457</v>
      </c>
      <c r="B3173" s="55" t="s">
        <v>40</v>
      </c>
      <c r="C3173" s="55" t="s">
        <v>14210</v>
      </c>
      <c r="D3173" s="55" t="s">
        <v>9498</v>
      </c>
    </row>
    <row r="3174" ht="14.25" customHeight="1">
      <c r="A3174" s="55" t="s">
        <v>9457</v>
      </c>
      <c r="B3174" s="55" t="s">
        <v>40</v>
      </c>
      <c r="C3174" s="55" t="s">
        <v>8981</v>
      </c>
      <c r="D3174" s="55" t="s">
        <v>12056</v>
      </c>
    </row>
    <row r="3175" ht="14.25" customHeight="1">
      <c r="A3175" s="55" t="s">
        <v>9457</v>
      </c>
      <c r="B3175" s="55" t="s">
        <v>40</v>
      </c>
      <c r="C3175" s="55" t="s">
        <v>8981</v>
      </c>
      <c r="D3175" s="55" t="s">
        <v>8982</v>
      </c>
    </row>
    <row r="3176" ht="14.25" customHeight="1">
      <c r="A3176" s="55" t="s">
        <v>9457</v>
      </c>
      <c r="B3176" s="55" t="s">
        <v>40</v>
      </c>
      <c r="C3176" s="55" t="s">
        <v>9481</v>
      </c>
      <c r="D3176" s="55" t="s">
        <v>12952</v>
      </c>
    </row>
    <row r="3177" ht="14.25" customHeight="1">
      <c r="A3177" s="55" t="s">
        <v>9457</v>
      </c>
      <c r="B3177" s="55" t="s">
        <v>40</v>
      </c>
      <c r="C3177" s="55" t="s">
        <v>9481</v>
      </c>
      <c r="D3177" s="55" t="s">
        <v>9482</v>
      </c>
    </row>
    <row r="3178" ht="14.25" customHeight="1">
      <c r="A3178" s="55" t="s">
        <v>9457</v>
      </c>
      <c r="B3178" s="55" t="s">
        <v>40</v>
      </c>
      <c r="C3178" s="55" t="s">
        <v>9481</v>
      </c>
      <c r="D3178" s="55" t="s">
        <v>9483</v>
      </c>
    </row>
    <row r="3179" ht="14.25" customHeight="1">
      <c r="A3179" s="55" t="s">
        <v>9457</v>
      </c>
      <c r="B3179" s="55" t="s">
        <v>40</v>
      </c>
      <c r="C3179" s="55" t="s">
        <v>9268</v>
      </c>
      <c r="D3179" s="55" t="s">
        <v>10223</v>
      </c>
    </row>
    <row r="3180" ht="14.25" customHeight="1">
      <c r="A3180" s="55" t="s">
        <v>9457</v>
      </c>
      <c r="B3180" s="55" t="s">
        <v>40</v>
      </c>
      <c r="C3180" s="55" t="s">
        <v>9268</v>
      </c>
      <c r="D3180" s="55" t="s">
        <v>12286</v>
      </c>
    </row>
    <row r="3181" ht="14.25" customHeight="1">
      <c r="A3181" s="55" t="s">
        <v>9457</v>
      </c>
      <c r="B3181" s="55" t="s">
        <v>40</v>
      </c>
      <c r="C3181" s="55" t="s">
        <v>10744</v>
      </c>
      <c r="D3181" s="55" t="s">
        <v>9324</v>
      </c>
    </row>
    <row r="3182" ht="14.25" customHeight="1">
      <c r="A3182" s="55" t="s">
        <v>9457</v>
      </c>
      <c r="B3182" s="55" t="s">
        <v>40</v>
      </c>
      <c r="C3182" s="55" t="s">
        <v>10744</v>
      </c>
      <c r="D3182" s="55" t="s">
        <v>9131</v>
      </c>
    </row>
    <row r="3183" ht="14.25" customHeight="1">
      <c r="A3183" s="55" t="s">
        <v>9457</v>
      </c>
      <c r="B3183" s="55" t="s">
        <v>40</v>
      </c>
      <c r="C3183" s="55" t="s">
        <v>9484</v>
      </c>
      <c r="D3183" s="55" t="s">
        <v>9039</v>
      </c>
    </row>
    <row r="3184" ht="14.25" customHeight="1">
      <c r="A3184" s="55" t="s">
        <v>9457</v>
      </c>
      <c r="B3184" s="55" t="s">
        <v>40</v>
      </c>
      <c r="C3184" s="55" t="s">
        <v>10891</v>
      </c>
      <c r="D3184" s="55" t="s">
        <v>8968</v>
      </c>
    </row>
    <row r="3185" ht="14.25" customHeight="1">
      <c r="A3185" s="55" t="s">
        <v>9457</v>
      </c>
      <c r="B3185" s="55" t="s">
        <v>40</v>
      </c>
      <c r="C3185" s="55" t="s">
        <v>9133</v>
      </c>
      <c r="D3185" s="55" t="s">
        <v>10093</v>
      </c>
    </row>
    <row r="3186" ht="14.25" customHeight="1">
      <c r="A3186" s="55" t="s">
        <v>9457</v>
      </c>
      <c r="B3186" s="55" t="s">
        <v>40</v>
      </c>
      <c r="C3186" s="55" t="s">
        <v>9133</v>
      </c>
      <c r="D3186" s="55" t="s">
        <v>9265</v>
      </c>
    </row>
    <row r="3187" ht="14.25" customHeight="1">
      <c r="A3187" s="55" t="s">
        <v>9457</v>
      </c>
      <c r="B3187" s="55" t="s">
        <v>40</v>
      </c>
      <c r="C3187" s="55" t="s">
        <v>9133</v>
      </c>
      <c r="D3187" s="55" t="s">
        <v>9485</v>
      </c>
    </row>
    <row r="3188" ht="14.25" customHeight="1">
      <c r="A3188" s="55" t="s">
        <v>9457</v>
      </c>
      <c r="B3188" s="55" t="s">
        <v>40</v>
      </c>
      <c r="C3188" s="55" t="s">
        <v>9133</v>
      </c>
      <c r="D3188" s="55" t="s">
        <v>9071</v>
      </c>
    </row>
    <row r="3189" ht="14.25" customHeight="1">
      <c r="A3189" s="55" t="s">
        <v>9457</v>
      </c>
      <c r="B3189" s="55" t="s">
        <v>40</v>
      </c>
      <c r="C3189" s="55" t="s">
        <v>12953</v>
      </c>
      <c r="D3189" s="55" t="s">
        <v>9486</v>
      </c>
    </row>
    <row r="3190" ht="14.25" customHeight="1">
      <c r="A3190" s="55" t="s">
        <v>9457</v>
      </c>
      <c r="B3190" s="55" t="s">
        <v>40</v>
      </c>
      <c r="C3190" s="55" t="s">
        <v>10230</v>
      </c>
      <c r="D3190" s="55" t="s">
        <v>10224</v>
      </c>
    </row>
    <row r="3191" ht="14.25" customHeight="1">
      <c r="A3191" s="55" t="s">
        <v>9457</v>
      </c>
      <c r="B3191" s="55" t="s">
        <v>40</v>
      </c>
      <c r="C3191" s="55" t="s">
        <v>8985</v>
      </c>
      <c r="D3191" s="55" t="s">
        <v>9486</v>
      </c>
    </row>
    <row r="3192" ht="14.25" customHeight="1">
      <c r="A3192" s="55" t="s">
        <v>9457</v>
      </c>
      <c r="B3192" s="55" t="s">
        <v>40</v>
      </c>
      <c r="C3192" s="55" t="s">
        <v>126</v>
      </c>
      <c r="D3192" s="55" t="s">
        <v>9265</v>
      </c>
    </row>
    <row r="3193" ht="14.25" customHeight="1">
      <c r="A3193" s="55" t="s">
        <v>9457</v>
      </c>
      <c r="B3193" s="55" t="s">
        <v>40</v>
      </c>
      <c r="C3193" s="55" t="s">
        <v>126</v>
      </c>
      <c r="D3193" s="55" t="s">
        <v>9486</v>
      </c>
    </row>
    <row r="3194" ht="14.25" customHeight="1">
      <c r="A3194" s="55" t="s">
        <v>9457</v>
      </c>
      <c r="B3194" s="55" t="s">
        <v>40</v>
      </c>
      <c r="C3194" s="55" t="s">
        <v>10231</v>
      </c>
      <c r="D3194" s="55" t="s">
        <v>10232</v>
      </c>
    </row>
    <row r="3195" ht="14.25" customHeight="1">
      <c r="A3195" s="55" t="s">
        <v>9457</v>
      </c>
      <c r="B3195" s="55" t="s">
        <v>40</v>
      </c>
      <c r="C3195" s="55" t="s">
        <v>10892</v>
      </c>
      <c r="D3195" s="55" t="s">
        <v>9265</v>
      </c>
    </row>
    <row r="3196" ht="14.25" customHeight="1">
      <c r="A3196" s="55" t="s">
        <v>9457</v>
      </c>
      <c r="B3196" s="55" t="s">
        <v>40</v>
      </c>
      <c r="C3196" s="55" t="s">
        <v>10233</v>
      </c>
      <c r="D3196" s="55" t="s">
        <v>10224</v>
      </c>
    </row>
    <row r="3197" ht="14.25" customHeight="1">
      <c r="A3197" s="55" t="s">
        <v>9457</v>
      </c>
      <c r="B3197" s="55" t="s">
        <v>40</v>
      </c>
      <c r="C3197" s="55" t="s">
        <v>12954</v>
      </c>
      <c r="D3197" s="55" t="s">
        <v>9514</v>
      </c>
    </row>
    <row r="3198" ht="14.25" customHeight="1">
      <c r="A3198" s="55" t="s">
        <v>9457</v>
      </c>
      <c r="B3198" s="55" t="s">
        <v>40</v>
      </c>
      <c r="C3198" s="55" t="s">
        <v>10893</v>
      </c>
      <c r="D3198" s="55" t="s">
        <v>10080</v>
      </c>
    </row>
    <row r="3199" ht="14.25" customHeight="1">
      <c r="A3199" s="55" t="s">
        <v>9457</v>
      </c>
      <c r="B3199" s="55" t="s">
        <v>40</v>
      </c>
      <c r="C3199" s="55" t="s">
        <v>10893</v>
      </c>
      <c r="D3199" s="55" t="s">
        <v>10576</v>
      </c>
    </row>
    <row r="3200" ht="14.25" customHeight="1">
      <c r="A3200" s="55" t="s">
        <v>9457</v>
      </c>
      <c r="B3200" s="55" t="s">
        <v>40</v>
      </c>
      <c r="C3200" s="55" t="s">
        <v>10894</v>
      </c>
      <c r="D3200" s="55" t="s">
        <v>9034</v>
      </c>
    </row>
    <row r="3201" ht="14.25" customHeight="1">
      <c r="A3201" s="55" t="s">
        <v>9457</v>
      </c>
      <c r="B3201" s="55" t="s">
        <v>40</v>
      </c>
      <c r="C3201" s="55" t="s">
        <v>130</v>
      </c>
      <c r="D3201" s="55" t="s">
        <v>9265</v>
      </c>
    </row>
    <row r="3202" ht="14.25" customHeight="1">
      <c r="A3202" s="55" t="s">
        <v>9457</v>
      </c>
      <c r="B3202" s="55" t="s">
        <v>40</v>
      </c>
      <c r="C3202" s="55" t="s">
        <v>9589</v>
      </c>
      <c r="D3202" s="55" t="s">
        <v>10224</v>
      </c>
    </row>
    <row r="3203" ht="14.25" customHeight="1">
      <c r="A3203" s="55" t="s">
        <v>9457</v>
      </c>
      <c r="B3203" s="55" t="s">
        <v>40</v>
      </c>
      <c r="C3203" s="55" t="s">
        <v>6300</v>
      </c>
      <c r="D3203" s="55" t="s">
        <v>8978</v>
      </c>
    </row>
    <row r="3204" ht="14.25" customHeight="1">
      <c r="A3204" s="55" t="s">
        <v>9457</v>
      </c>
      <c r="B3204" s="55" t="s">
        <v>40</v>
      </c>
      <c r="C3204" s="55" t="s">
        <v>3114</v>
      </c>
      <c r="D3204" s="55" t="s">
        <v>9265</v>
      </c>
    </row>
    <row r="3205" ht="14.25" customHeight="1">
      <c r="A3205" s="55" t="s">
        <v>9457</v>
      </c>
      <c r="B3205" s="55" t="s">
        <v>40</v>
      </c>
      <c r="C3205" s="55" t="s">
        <v>4911</v>
      </c>
      <c r="D3205" s="55" t="s">
        <v>9265</v>
      </c>
    </row>
    <row r="3206" ht="14.25" customHeight="1">
      <c r="A3206" s="55" t="s">
        <v>9457</v>
      </c>
      <c r="B3206" s="55" t="s">
        <v>40</v>
      </c>
      <c r="C3206" s="55" t="s">
        <v>12822</v>
      </c>
      <c r="D3206" s="55" t="s">
        <v>9131</v>
      </c>
    </row>
    <row r="3207" ht="14.25" customHeight="1">
      <c r="A3207" s="55" t="s">
        <v>9457</v>
      </c>
      <c r="B3207" s="55" t="s">
        <v>40</v>
      </c>
      <c r="C3207" s="55" t="s">
        <v>3138</v>
      </c>
      <c r="D3207" s="55" t="s">
        <v>11554</v>
      </c>
    </row>
    <row r="3208" ht="14.25" customHeight="1">
      <c r="A3208" s="55" t="s">
        <v>9457</v>
      </c>
      <c r="B3208" s="55" t="s">
        <v>40</v>
      </c>
      <c r="C3208" s="55" t="s">
        <v>3138</v>
      </c>
      <c r="D3208" s="55" t="s">
        <v>9867</v>
      </c>
    </row>
    <row r="3209" ht="14.25" customHeight="1">
      <c r="A3209" s="55" t="s">
        <v>9457</v>
      </c>
      <c r="B3209" s="55" t="s">
        <v>40</v>
      </c>
      <c r="C3209" s="55" t="s">
        <v>3138</v>
      </c>
      <c r="D3209" s="55" t="s">
        <v>12955</v>
      </c>
    </row>
    <row r="3210" ht="14.25" customHeight="1">
      <c r="A3210" s="55" t="s">
        <v>9457</v>
      </c>
      <c r="B3210" s="55" t="s">
        <v>40</v>
      </c>
      <c r="C3210" s="55" t="s">
        <v>6322</v>
      </c>
      <c r="D3210" s="55" t="s">
        <v>13728</v>
      </c>
    </row>
    <row r="3211" ht="14.25" customHeight="1">
      <c r="A3211" s="55" t="s">
        <v>9457</v>
      </c>
      <c r="B3211" s="55" t="s">
        <v>40</v>
      </c>
      <c r="C3211" s="55" t="s">
        <v>9487</v>
      </c>
      <c r="D3211" s="55" t="s">
        <v>9236</v>
      </c>
    </row>
    <row r="3212" ht="14.25" customHeight="1">
      <c r="A3212" s="55" t="s">
        <v>9457</v>
      </c>
      <c r="B3212" s="55" t="s">
        <v>40</v>
      </c>
      <c r="C3212" s="55" t="s">
        <v>9487</v>
      </c>
      <c r="D3212" s="55" t="s">
        <v>9488</v>
      </c>
    </row>
    <row r="3213" ht="14.25" customHeight="1">
      <c r="A3213" s="55" t="s">
        <v>9457</v>
      </c>
      <c r="B3213" s="55" t="s">
        <v>40</v>
      </c>
      <c r="C3213" s="55" t="s">
        <v>12956</v>
      </c>
      <c r="D3213" s="55" t="s">
        <v>12092</v>
      </c>
    </row>
    <row r="3214" ht="14.25" customHeight="1">
      <c r="A3214" s="55" t="s">
        <v>9457</v>
      </c>
      <c r="B3214" s="55" t="s">
        <v>40</v>
      </c>
      <c r="C3214" s="55" t="s">
        <v>12002</v>
      </c>
      <c r="D3214" s="55" t="s">
        <v>12168</v>
      </c>
    </row>
    <row r="3215" ht="14.25" customHeight="1">
      <c r="A3215" s="55" t="s">
        <v>9457</v>
      </c>
      <c r="B3215" s="55" t="s">
        <v>40</v>
      </c>
      <c r="C3215" s="55" t="s">
        <v>12957</v>
      </c>
      <c r="D3215" s="55" t="s">
        <v>9265</v>
      </c>
    </row>
    <row r="3216" ht="14.25" customHeight="1">
      <c r="A3216" s="55" t="s">
        <v>9457</v>
      </c>
      <c r="B3216" s="55" t="s">
        <v>40</v>
      </c>
      <c r="C3216" s="55" t="s">
        <v>139</v>
      </c>
      <c r="D3216" s="55" t="s">
        <v>9034</v>
      </c>
    </row>
    <row r="3217" ht="14.25" customHeight="1">
      <c r="A3217" s="55" t="s">
        <v>9457</v>
      </c>
      <c r="B3217" s="55" t="s">
        <v>40</v>
      </c>
      <c r="C3217" s="55" t="s">
        <v>12958</v>
      </c>
      <c r="D3217" s="55" t="s">
        <v>12959</v>
      </c>
    </row>
    <row r="3218" ht="14.25" customHeight="1">
      <c r="A3218" s="55" t="s">
        <v>9457</v>
      </c>
      <c r="B3218" s="55" t="s">
        <v>40</v>
      </c>
      <c r="C3218" s="55" t="s">
        <v>141</v>
      </c>
      <c r="D3218" s="55" t="s">
        <v>9151</v>
      </c>
    </row>
    <row r="3219" ht="14.25" customHeight="1">
      <c r="A3219" s="55" t="s">
        <v>9457</v>
      </c>
      <c r="B3219" s="55" t="s">
        <v>40</v>
      </c>
      <c r="C3219" s="55" t="s">
        <v>141</v>
      </c>
      <c r="D3219" s="55" t="s">
        <v>12169</v>
      </c>
    </row>
    <row r="3220" ht="14.25" customHeight="1">
      <c r="A3220" s="55" t="s">
        <v>9457</v>
      </c>
      <c r="B3220" s="55" t="s">
        <v>40</v>
      </c>
      <c r="C3220" s="55" t="s">
        <v>9489</v>
      </c>
      <c r="D3220" s="55" t="s">
        <v>9034</v>
      </c>
    </row>
    <row r="3221" ht="14.25" customHeight="1">
      <c r="A3221" s="55" t="s">
        <v>9457</v>
      </c>
      <c r="B3221" s="55" t="s">
        <v>40</v>
      </c>
      <c r="C3221" s="55" t="s">
        <v>12115</v>
      </c>
      <c r="D3221" s="55" t="s">
        <v>11176</v>
      </c>
    </row>
    <row r="3222" ht="14.25" customHeight="1">
      <c r="A3222" s="55" t="s">
        <v>9457</v>
      </c>
      <c r="B3222" s="55" t="s">
        <v>40</v>
      </c>
      <c r="C3222" s="55" t="s">
        <v>9490</v>
      </c>
      <c r="D3222" s="55" t="s">
        <v>9491</v>
      </c>
    </row>
    <row r="3223" ht="14.25" customHeight="1">
      <c r="A3223" s="55" t="s">
        <v>9457</v>
      </c>
      <c r="B3223" s="55" t="s">
        <v>40</v>
      </c>
      <c r="C3223" s="55" t="s">
        <v>3254</v>
      </c>
      <c r="D3223" s="55" t="s">
        <v>9265</v>
      </c>
    </row>
    <row r="3224" ht="14.25" customHeight="1">
      <c r="A3224" s="55" t="s">
        <v>9457</v>
      </c>
      <c r="B3224" s="55" t="s">
        <v>40</v>
      </c>
      <c r="C3224" s="55" t="s">
        <v>145</v>
      </c>
      <c r="D3224" s="55" t="s">
        <v>9492</v>
      </c>
    </row>
    <row r="3225" ht="14.25" customHeight="1">
      <c r="A3225" s="55" t="s">
        <v>9457</v>
      </c>
      <c r="B3225" s="55" t="s">
        <v>40</v>
      </c>
      <c r="C3225" s="55" t="s">
        <v>10745</v>
      </c>
      <c r="D3225" s="55" t="s">
        <v>9265</v>
      </c>
    </row>
    <row r="3226" ht="14.25" customHeight="1">
      <c r="A3226" s="55" t="s">
        <v>9457</v>
      </c>
      <c r="B3226" s="55" t="s">
        <v>40</v>
      </c>
      <c r="C3226" s="55" t="s">
        <v>9272</v>
      </c>
      <c r="D3226" s="55" t="s">
        <v>9493</v>
      </c>
    </row>
    <row r="3227" ht="14.25" customHeight="1">
      <c r="A3227" s="55" t="s">
        <v>9457</v>
      </c>
      <c r="B3227" s="55" t="s">
        <v>40</v>
      </c>
      <c r="C3227" s="55" t="s">
        <v>9272</v>
      </c>
      <c r="D3227" s="55" t="s">
        <v>9867</v>
      </c>
    </row>
    <row r="3228" ht="14.25" customHeight="1">
      <c r="A3228" s="55" t="s">
        <v>9457</v>
      </c>
      <c r="B3228" s="55" t="s">
        <v>40</v>
      </c>
      <c r="C3228" s="55" t="s">
        <v>9272</v>
      </c>
      <c r="D3228" s="55" t="s">
        <v>9494</v>
      </c>
    </row>
    <row r="3229" ht="14.25" customHeight="1">
      <c r="A3229" s="55" t="s">
        <v>9457</v>
      </c>
      <c r="B3229" s="55" t="s">
        <v>40</v>
      </c>
      <c r="C3229" s="55" t="s">
        <v>9272</v>
      </c>
      <c r="D3229" s="55" t="s">
        <v>8978</v>
      </c>
    </row>
    <row r="3230" ht="14.25" customHeight="1">
      <c r="A3230" s="55" t="s">
        <v>9457</v>
      </c>
      <c r="B3230" s="55" t="s">
        <v>40</v>
      </c>
      <c r="C3230" s="55" t="s">
        <v>307</v>
      </c>
      <c r="D3230" s="55" t="s">
        <v>9315</v>
      </c>
    </row>
    <row r="3231" ht="14.25" customHeight="1">
      <c r="A3231" s="55" t="s">
        <v>9457</v>
      </c>
      <c r="B3231" s="55" t="s">
        <v>40</v>
      </c>
      <c r="C3231" s="55" t="s">
        <v>3313</v>
      </c>
      <c r="D3231" s="55" t="s">
        <v>10224</v>
      </c>
    </row>
    <row r="3232" ht="14.25" customHeight="1">
      <c r="A3232" s="55" t="s">
        <v>9457</v>
      </c>
      <c r="B3232" s="55" t="s">
        <v>40</v>
      </c>
      <c r="C3232" s="55" t="s">
        <v>3313</v>
      </c>
      <c r="D3232" s="55" t="s">
        <v>11555</v>
      </c>
    </row>
    <row r="3233" ht="14.25" customHeight="1">
      <c r="A3233" s="55" t="s">
        <v>9457</v>
      </c>
      <c r="B3233" s="55" t="s">
        <v>40</v>
      </c>
      <c r="C3233" s="55" t="s">
        <v>10234</v>
      </c>
      <c r="D3233" s="55" t="s">
        <v>10224</v>
      </c>
    </row>
    <row r="3234" ht="14.25" customHeight="1">
      <c r="A3234" s="55" t="s">
        <v>9457</v>
      </c>
      <c r="B3234" s="55" t="s">
        <v>40</v>
      </c>
      <c r="C3234" s="55" t="s">
        <v>14211</v>
      </c>
      <c r="D3234" s="55" t="s">
        <v>14212</v>
      </c>
    </row>
    <row r="3235" ht="14.25" customHeight="1">
      <c r="A3235" s="55" t="s">
        <v>9457</v>
      </c>
      <c r="B3235" s="55" t="s">
        <v>40</v>
      </c>
      <c r="C3235" s="55" t="s">
        <v>14213</v>
      </c>
      <c r="D3235" s="55" t="s">
        <v>14214</v>
      </c>
    </row>
    <row r="3236" ht="14.25" customHeight="1">
      <c r="A3236" s="55" t="s">
        <v>9457</v>
      </c>
      <c r="B3236" s="55" t="s">
        <v>40</v>
      </c>
      <c r="C3236" s="55" t="s">
        <v>6460</v>
      </c>
      <c r="D3236" s="55" t="s">
        <v>9265</v>
      </c>
    </row>
    <row r="3237" ht="14.25" customHeight="1">
      <c r="A3237" s="55" t="s">
        <v>9457</v>
      </c>
      <c r="B3237" s="55" t="s">
        <v>40</v>
      </c>
      <c r="C3237" s="55" t="s">
        <v>14215</v>
      </c>
      <c r="D3237" s="55" t="s">
        <v>14216</v>
      </c>
    </row>
    <row r="3238" ht="14.25" customHeight="1">
      <c r="A3238" s="55" t="s">
        <v>9457</v>
      </c>
      <c r="B3238" s="55" t="s">
        <v>40</v>
      </c>
      <c r="C3238" s="55" t="s">
        <v>153</v>
      </c>
      <c r="D3238" s="55" t="s">
        <v>12600</v>
      </c>
    </row>
    <row r="3239" ht="14.25" customHeight="1">
      <c r="A3239" s="55" t="s">
        <v>9457</v>
      </c>
      <c r="B3239" s="55" t="s">
        <v>40</v>
      </c>
      <c r="C3239" s="55" t="s">
        <v>153</v>
      </c>
      <c r="D3239" s="55" t="s">
        <v>12170</v>
      </c>
    </row>
    <row r="3240" ht="14.25" customHeight="1">
      <c r="A3240" s="55" t="s">
        <v>9457</v>
      </c>
      <c r="B3240" s="55" t="s">
        <v>40</v>
      </c>
      <c r="C3240" s="55" t="s">
        <v>153</v>
      </c>
      <c r="D3240" s="55" t="s">
        <v>9495</v>
      </c>
    </row>
    <row r="3241" ht="14.25" customHeight="1">
      <c r="A3241" s="55" t="s">
        <v>9457</v>
      </c>
      <c r="B3241" s="55" t="s">
        <v>40</v>
      </c>
      <c r="C3241" s="55" t="s">
        <v>153</v>
      </c>
      <c r="D3241" s="55" t="s">
        <v>9867</v>
      </c>
    </row>
    <row r="3242" ht="14.25" customHeight="1">
      <c r="A3242" s="55" t="s">
        <v>9457</v>
      </c>
      <c r="B3242" s="55" t="s">
        <v>40</v>
      </c>
      <c r="C3242" s="55" t="s">
        <v>153</v>
      </c>
      <c r="D3242" s="55" t="s">
        <v>11493</v>
      </c>
    </row>
    <row r="3243" ht="14.25" customHeight="1">
      <c r="A3243" s="55" t="s">
        <v>9457</v>
      </c>
      <c r="B3243" s="55" t="s">
        <v>40</v>
      </c>
      <c r="C3243" s="55" t="s">
        <v>153</v>
      </c>
      <c r="D3243" s="55" t="s">
        <v>12960</v>
      </c>
    </row>
    <row r="3244" ht="14.25" customHeight="1">
      <c r="A3244" s="55" t="s">
        <v>9457</v>
      </c>
      <c r="B3244" s="55" t="s">
        <v>40</v>
      </c>
      <c r="C3244" s="55" t="s">
        <v>3359</v>
      </c>
      <c r="D3244" s="55" t="s">
        <v>9039</v>
      </c>
    </row>
    <row r="3245" ht="14.25" customHeight="1">
      <c r="A3245" s="55" t="s">
        <v>9457</v>
      </c>
      <c r="B3245" s="55" t="s">
        <v>40</v>
      </c>
      <c r="C3245" s="55" t="s">
        <v>309</v>
      </c>
      <c r="D3245" s="55" t="s">
        <v>10895</v>
      </c>
    </row>
    <row r="3246" ht="14.25" customHeight="1">
      <c r="A3246" s="55" t="s">
        <v>9457</v>
      </c>
      <c r="B3246" s="55" t="s">
        <v>40</v>
      </c>
      <c r="C3246" s="55" t="s">
        <v>9496</v>
      </c>
      <c r="D3246" s="55" t="s">
        <v>9497</v>
      </c>
    </row>
    <row r="3247" ht="14.25" customHeight="1">
      <c r="A3247" s="55" t="s">
        <v>9457</v>
      </c>
      <c r="B3247" s="55" t="s">
        <v>40</v>
      </c>
      <c r="C3247" s="55" t="s">
        <v>157</v>
      </c>
      <c r="D3247" s="55" t="s">
        <v>9265</v>
      </c>
    </row>
    <row r="3248" ht="14.25" customHeight="1">
      <c r="A3248" s="55" t="s">
        <v>9457</v>
      </c>
      <c r="B3248" s="55" t="s">
        <v>40</v>
      </c>
      <c r="C3248" s="55" t="s">
        <v>157</v>
      </c>
      <c r="D3248" s="55" t="s">
        <v>11556</v>
      </c>
    </row>
    <row r="3249" ht="14.25" customHeight="1">
      <c r="A3249" s="55" t="s">
        <v>9457</v>
      </c>
      <c r="B3249" s="55" t="s">
        <v>40</v>
      </c>
      <c r="C3249" s="55" t="s">
        <v>310</v>
      </c>
      <c r="D3249" s="55" t="s">
        <v>11557</v>
      </c>
    </row>
    <row r="3250" ht="14.25" customHeight="1">
      <c r="A3250" s="55" t="s">
        <v>9457</v>
      </c>
      <c r="B3250" s="55" t="s">
        <v>40</v>
      </c>
      <c r="C3250" s="55" t="s">
        <v>310</v>
      </c>
      <c r="D3250" s="55" t="s">
        <v>11558</v>
      </c>
    </row>
    <row r="3251" ht="14.25" customHeight="1">
      <c r="A3251" s="55" t="s">
        <v>9457</v>
      </c>
      <c r="B3251" s="55" t="s">
        <v>40</v>
      </c>
      <c r="C3251" s="55" t="s">
        <v>12961</v>
      </c>
      <c r="D3251" s="55" t="s">
        <v>9039</v>
      </c>
    </row>
    <row r="3252" ht="14.25" customHeight="1">
      <c r="A3252" s="55" t="s">
        <v>9457</v>
      </c>
      <c r="B3252" s="55" t="s">
        <v>40</v>
      </c>
      <c r="C3252" s="55" t="s">
        <v>9329</v>
      </c>
      <c r="D3252" s="55" t="s">
        <v>9086</v>
      </c>
    </row>
    <row r="3253" ht="14.25" customHeight="1">
      <c r="A3253" s="55" t="s">
        <v>9457</v>
      </c>
      <c r="B3253" s="55" t="s">
        <v>40</v>
      </c>
      <c r="C3253" s="55" t="s">
        <v>10683</v>
      </c>
      <c r="D3253" s="55" t="s">
        <v>9073</v>
      </c>
    </row>
    <row r="3254" ht="14.25" customHeight="1">
      <c r="A3254" s="55" t="s">
        <v>9457</v>
      </c>
      <c r="B3254" s="55" t="s">
        <v>40</v>
      </c>
      <c r="C3254" s="55" t="s">
        <v>10235</v>
      </c>
      <c r="D3254" s="55" t="s">
        <v>9265</v>
      </c>
    </row>
    <row r="3255" ht="14.25" customHeight="1">
      <c r="A3255" s="55" t="s">
        <v>9457</v>
      </c>
      <c r="B3255" s="55" t="s">
        <v>40</v>
      </c>
      <c r="C3255" s="55" t="s">
        <v>159</v>
      </c>
      <c r="D3255" s="55" t="s">
        <v>9168</v>
      </c>
    </row>
    <row r="3256" ht="14.25" customHeight="1">
      <c r="A3256" s="55" t="s">
        <v>9457</v>
      </c>
      <c r="B3256" s="55" t="s">
        <v>40</v>
      </c>
      <c r="C3256" s="55" t="s">
        <v>159</v>
      </c>
      <c r="D3256" s="55" t="s">
        <v>12171</v>
      </c>
    </row>
    <row r="3257" ht="14.25" customHeight="1">
      <c r="A3257" s="55" t="s">
        <v>9457</v>
      </c>
      <c r="B3257" s="55" t="s">
        <v>40</v>
      </c>
      <c r="C3257" s="55" t="s">
        <v>9201</v>
      </c>
      <c r="D3257" s="55" t="s">
        <v>9265</v>
      </c>
    </row>
    <row r="3258" ht="14.25" customHeight="1">
      <c r="A3258" s="55" t="s">
        <v>9457</v>
      </c>
      <c r="B3258" s="55" t="s">
        <v>40</v>
      </c>
      <c r="C3258" s="55" t="s">
        <v>9201</v>
      </c>
      <c r="D3258" s="55" t="s">
        <v>9498</v>
      </c>
    </row>
    <row r="3259" ht="14.25" customHeight="1">
      <c r="A3259" s="55" t="s">
        <v>9457</v>
      </c>
      <c r="B3259" s="55" t="s">
        <v>40</v>
      </c>
      <c r="C3259" s="55" t="s">
        <v>163</v>
      </c>
      <c r="D3259" s="55" t="s">
        <v>9043</v>
      </c>
    </row>
    <row r="3260" ht="14.25" customHeight="1">
      <c r="A3260" s="55" t="s">
        <v>9457</v>
      </c>
      <c r="B3260" s="55" t="s">
        <v>40</v>
      </c>
      <c r="C3260" s="55" t="s">
        <v>12962</v>
      </c>
      <c r="D3260" s="55" t="s">
        <v>9265</v>
      </c>
    </row>
    <row r="3261" ht="14.25" customHeight="1">
      <c r="A3261" s="55" t="s">
        <v>9457</v>
      </c>
      <c r="B3261" s="55" t="s">
        <v>40</v>
      </c>
      <c r="C3261" s="55" t="s">
        <v>3466</v>
      </c>
      <c r="D3261" s="55" t="s">
        <v>9265</v>
      </c>
    </row>
    <row r="3262" ht="14.25" customHeight="1">
      <c r="A3262" s="55" t="s">
        <v>9457</v>
      </c>
      <c r="B3262" s="55" t="s">
        <v>40</v>
      </c>
      <c r="C3262" s="55" t="s">
        <v>12963</v>
      </c>
      <c r="D3262" s="55" t="s">
        <v>9151</v>
      </c>
    </row>
    <row r="3263" ht="14.25" customHeight="1">
      <c r="A3263" s="55" t="s">
        <v>9457</v>
      </c>
      <c r="B3263" s="55" t="s">
        <v>40</v>
      </c>
      <c r="C3263" s="55" t="s">
        <v>12963</v>
      </c>
      <c r="D3263" s="55" t="s">
        <v>11176</v>
      </c>
    </row>
    <row r="3264" ht="14.25" customHeight="1">
      <c r="A3264" s="55" t="s">
        <v>9457</v>
      </c>
      <c r="B3264" s="55" t="s">
        <v>40</v>
      </c>
      <c r="C3264" s="55" t="s">
        <v>14217</v>
      </c>
      <c r="D3264" s="55" t="s">
        <v>14218</v>
      </c>
    </row>
    <row r="3265" ht="14.25" customHeight="1">
      <c r="A3265" s="55" t="s">
        <v>9457</v>
      </c>
      <c r="B3265" s="55" t="s">
        <v>40</v>
      </c>
      <c r="C3265" s="55" t="s">
        <v>166</v>
      </c>
      <c r="D3265" s="55" t="s">
        <v>9168</v>
      </c>
    </row>
    <row r="3266" ht="14.25" customHeight="1">
      <c r="A3266" s="55" t="s">
        <v>9457</v>
      </c>
      <c r="B3266" s="55" t="s">
        <v>40</v>
      </c>
      <c r="C3266" s="55" t="s">
        <v>166</v>
      </c>
      <c r="D3266" s="55" t="s">
        <v>10224</v>
      </c>
    </row>
    <row r="3267" ht="14.25" customHeight="1">
      <c r="A3267" s="55" t="s">
        <v>9457</v>
      </c>
      <c r="B3267" s="55" t="s">
        <v>40</v>
      </c>
      <c r="C3267" s="55" t="s">
        <v>166</v>
      </c>
      <c r="D3267" s="55" t="s">
        <v>10239</v>
      </c>
    </row>
    <row r="3268" ht="14.25" customHeight="1">
      <c r="A3268" s="55" t="s">
        <v>9457</v>
      </c>
      <c r="B3268" s="55" t="s">
        <v>40</v>
      </c>
      <c r="C3268" s="55" t="s">
        <v>166</v>
      </c>
      <c r="D3268" s="55" t="s">
        <v>9499</v>
      </c>
    </row>
    <row r="3269" ht="14.25" customHeight="1">
      <c r="A3269" s="55" t="s">
        <v>9457</v>
      </c>
      <c r="B3269" s="55" t="s">
        <v>40</v>
      </c>
      <c r="C3269" s="55" t="s">
        <v>1417</v>
      </c>
      <c r="D3269" s="55" t="s">
        <v>9265</v>
      </c>
    </row>
    <row r="3270" ht="14.25" customHeight="1">
      <c r="A3270" s="55" t="s">
        <v>9457</v>
      </c>
      <c r="B3270" s="55" t="s">
        <v>40</v>
      </c>
      <c r="C3270" s="55" t="s">
        <v>9203</v>
      </c>
      <c r="D3270" s="55" t="s">
        <v>9500</v>
      </c>
    </row>
    <row r="3271" ht="14.25" customHeight="1">
      <c r="A3271" s="55" t="s">
        <v>9457</v>
      </c>
      <c r="B3271" s="55" t="s">
        <v>40</v>
      </c>
      <c r="C3271" s="55" t="s">
        <v>11559</v>
      </c>
      <c r="D3271" s="55" t="s">
        <v>9265</v>
      </c>
    </row>
    <row r="3272" ht="14.25" customHeight="1">
      <c r="A3272" s="55" t="s">
        <v>9457</v>
      </c>
      <c r="B3272" s="55" t="s">
        <v>40</v>
      </c>
      <c r="C3272" s="55" t="s">
        <v>3517</v>
      </c>
      <c r="D3272" s="55" t="s">
        <v>8978</v>
      </c>
    </row>
    <row r="3273" ht="14.25" customHeight="1">
      <c r="A3273" s="55" t="s">
        <v>9457</v>
      </c>
      <c r="B3273" s="55" t="s">
        <v>40</v>
      </c>
      <c r="C3273" s="55" t="s">
        <v>9385</v>
      </c>
      <c r="D3273" s="55" t="s">
        <v>9265</v>
      </c>
    </row>
    <row r="3274" ht="14.25" customHeight="1">
      <c r="A3274" s="55" t="s">
        <v>9457</v>
      </c>
      <c r="B3274" s="55" t="s">
        <v>40</v>
      </c>
      <c r="C3274" s="55" t="s">
        <v>9385</v>
      </c>
      <c r="D3274" s="55" t="s">
        <v>10224</v>
      </c>
    </row>
    <row r="3275" ht="14.25" customHeight="1">
      <c r="A3275" s="55" t="s">
        <v>9457</v>
      </c>
      <c r="B3275" s="55" t="s">
        <v>40</v>
      </c>
      <c r="C3275" s="55" t="s">
        <v>312</v>
      </c>
      <c r="D3275" s="55" t="s">
        <v>9034</v>
      </c>
    </row>
    <row r="3276" ht="14.25" customHeight="1">
      <c r="A3276" s="55" t="s">
        <v>9457</v>
      </c>
      <c r="B3276" s="55" t="s">
        <v>40</v>
      </c>
      <c r="C3276" s="55" t="s">
        <v>312</v>
      </c>
      <c r="D3276" s="55" t="s">
        <v>9265</v>
      </c>
    </row>
    <row r="3277" ht="14.25" customHeight="1">
      <c r="A3277" s="55" t="s">
        <v>9457</v>
      </c>
      <c r="B3277" s="55" t="s">
        <v>40</v>
      </c>
      <c r="C3277" s="55" t="s">
        <v>312</v>
      </c>
      <c r="D3277" s="55" t="s">
        <v>10224</v>
      </c>
    </row>
    <row r="3278" ht="14.25" customHeight="1">
      <c r="A3278" s="55" t="s">
        <v>9457</v>
      </c>
      <c r="B3278" s="55" t="s">
        <v>40</v>
      </c>
      <c r="C3278" s="55" t="s">
        <v>312</v>
      </c>
      <c r="D3278" s="55" t="s">
        <v>14219</v>
      </c>
    </row>
    <row r="3279" ht="14.25" customHeight="1">
      <c r="A3279" s="55" t="s">
        <v>9457</v>
      </c>
      <c r="B3279" s="55" t="s">
        <v>40</v>
      </c>
      <c r="C3279" s="55" t="s">
        <v>312</v>
      </c>
      <c r="D3279" s="55" t="s">
        <v>8978</v>
      </c>
    </row>
    <row r="3280" ht="14.25" customHeight="1">
      <c r="A3280" s="55" t="s">
        <v>9457</v>
      </c>
      <c r="B3280" s="55" t="s">
        <v>40</v>
      </c>
      <c r="C3280" s="55" t="s">
        <v>10896</v>
      </c>
      <c r="D3280" s="55" t="s">
        <v>8968</v>
      </c>
    </row>
    <row r="3281" ht="14.25" customHeight="1">
      <c r="A3281" s="55" t="s">
        <v>9457</v>
      </c>
      <c r="B3281" s="55" t="s">
        <v>40</v>
      </c>
      <c r="C3281" s="55" t="s">
        <v>12172</v>
      </c>
      <c r="D3281" s="55" t="s">
        <v>9291</v>
      </c>
    </row>
    <row r="3282" ht="14.25" customHeight="1">
      <c r="A3282" s="55" t="s">
        <v>9457</v>
      </c>
      <c r="B3282" s="55" t="s">
        <v>40</v>
      </c>
      <c r="C3282" s="55" t="s">
        <v>10897</v>
      </c>
      <c r="D3282" s="55" t="s">
        <v>9034</v>
      </c>
    </row>
    <row r="3283" ht="14.25" customHeight="1">
      <c r="A3283" s="55" t="s">
        <v>9457</v>
      </c>
      <c r="B3283" s="55" t="s">
        <v>40</v>
      </c>
      <c r="C3283" s="55" t="s">
        <v>10236</v>
      </c>
      <c r="D3283" s="55" t="s">
        <v>10237</v>
      </c>
    </row>
    <row r="3284" ht="14.25" customHeight="1">
      <c r="A3284" s="55" t="s">
        <v>9457</v>
      </c>
      <c r="B3284" s="55" t="s">
        <v>40</v>
      </c>
      <c r="C3284" s="55" t="s">
        <v>9501</v>
      </c>
      <c r="D3284" s="55" t="s">
        <v>9265</v>
      </c>
    </row>
    <row r="3285" ht="14.25" customHeight="1">
      <c r="A3285" s="55" t="s">
        <v>9457</v>
      </c>
      <c r="B3285" s="55" t="s">
        <v>40</v>
      </c>
      <c r="C3285" s="55" t="s">
        <v>179</v>
      </c>
      <c r="D3285" s="55" t="s">
        <v>9026</v>
      </c>
    </row>
    <row r="3286" ht="14.25" customHeight="1">
      <c r="A3286" s="55" t="s">
        <v>9457</v>
      </c>
      <c r="B3286" s="55" t="s">
        <v>40</v>
      </c>
      <c r="C3286" s="55" t="s">
        <v>3566</v>
      </c>
      <c r="D3286" s="55" t="s">
        <v>9034</v>
      </c>
    </row>
    <row r="3287" ht="14.25" customHeight="1">
      <c r="A3287" s="55" t="s">
        <v>9457</v>
      </c>
      <c r="B3287" s="55" t="s">
        <v>40</v>
      </c>
      <c r="C3287" s="55" t="s">
        <v>3566</v>
      </c>
      <c r="D3287" s="55" t="s">
        <v>9369</v>
      </c>
    </row>
    <row r="3288" ht="14.25" customHeight="1">
      <c r="A3288" s="55" t="s">
        <v>9457</v>
      </c>
      <c r="B3288" s="55" t="s">
        <v>40</v>
      </c>
      <c r="C3288" s="55" t="s">
        <v>3566</v>
      </c>
      <c r="D3288" s="55" t="s">
        <v>9265</v>
      </c>
    </row>
    <row r="3289" ht="14.25" customHeight="1">
      <c r="A3289" s="55" t="s">
        <v>9457</v>
      </c>
      <c r="B3289" s="55" t="s">
        <v>40</v>
      </c>
      <c r="C3289" s="55" t="s">
        <v>3566</v>
      </c>
      <c r="D3289" s="55" t="s">
        <v>12173</v>
      </c>
    </row>
    <row r="3290" ht="14.25" customHeight="1">
      <c r="A3290" s="55" t="s">
        <v>9457</v>
      </c>
      <c r="B3290" s="55" t="s">
        <v>40</v>
      </c>
      <c r="C3290" s="55" t="s">
        <v>3566</v>
      </c>
      <c r="D3290" s="55" t="s">
        <v>9486</v>
      </c>
    </row>
    <row r="3291" ht="14.25" customHeight="1">
      <c r="A3291" s="55" t="s">
        <v>9457</v>
      </c>
      <c r="B3291" s="55" t="s">
        <v>40</v>
      </c>
      <c r="C3291" s="55" t="s">
        <v>3566</v>
      </c>
      <c r="D3291" s="55" t="s">
        <v>9867</v>
      </c>
    </row>
    <row r="3292" ht="14.25" customHeight="1">
      <c r="A3292" s="55" t="s">
        <v>9457</v>
      </c>
      <c r="B3292" s="55" t="s">
        <v>40</v>
      </c>
      <c r="C3292" s="55" t="s">
        <v>3566</v>
      </c>
      <c r="D3292" s="55" t="s">
        <v>11397</v>
      </c>
    </row>
    <row r="3293" ht="14.25" customHeight="1">
      <c r="A3293" s="55" t="s">
        <v>9457</v>
      </c>
      <c r="B3293" s="55" t="s">
        <v>40</v>
      </c>
      <c r="C3293" s="55" t="s">
        <v>3566</v>
      </c>
      <c r="D3293" s="55" t="s">
        <v>9534</v>
      </c>
    </row>
    <row r="3294" ht="14.25" customHeight="1">
      <c r="A3294" s="55" t="s">
        <v>9457</v>
      </c>
      <c r="B3294" s="55" t="s">
        <v>40</v>
      </c>
      <c r="C3294" s="55" t="s">
        <v>3566</v>
      </c>
      <c r="D3294" s="55" t="s">
        <v>9502</v>
      </c>
    </row>
    <row r="3295" ht="14.25" customHeight="1">
      <c r="A3295" s="55" t="s">
        <v>9457</v>
      </c>
      <c r="B3295" s="55" t="s">
        <v>40</v>
      </c>
      <c r="C3295" s="55" t="s">
        <v>3566</v>
      </c>
      <c r="D3295" s="55" t="s">
        <v>8978</v>
      </c>
    </row>
    <row r="3296" ht="14.25" customHeight="1">
      <c r="A3296" s="55" t="s">
        <v>9457</v>
      </c>
      <c r="B3296" s="55" t="s">
        <v>40</v>
      </c>
      <c r="C3296" s="55" t="s">
        <v>3566</v>
      </c>
      <c r="D3296" s="55" t="s">
        <v>12174</v>
      </c>
    </row>
    <row r="3297" ht="14.25" customHeight="1">
      <c r="A3297" s="55" t="s">
        <v>9457</v>
      </c>
      <c r="B3297" s="55" t="s">
        <v>40</v>
      </c>
      <c r="C3297" s="55" t="s">
        <v>3566</v>
      </c>
      <c r="D3297" s="55" t="s">
        <v>8976</v>
      </c>
    </row>
    <row r="3298" ht="14.25" customHeight="1">
      <c r="A3298" s="55" t="s">
        <v>9457</v>
      </c>
      <c r="B3298" s="55" t="s">
        <v>40</v>
      </c>
      <c r="C3298" s="55" t="s">
        <v>3566</v>
      </c>
      <c r="D3298" s="55" t="s">
        <v>12964</v>
      </c>
    </row>
    <row r="3299" ht="14.25" customHeight="1">
      <c r="A3299" s="55" t="s">
        <v>9457</v>
      </c>
      <c r="B3299" s="55" t="s">
        <v>40</v>
      </c>
      <c r="C3299" s="55" t="s">
        <v>9503</v>
      </c>
      <c r="D3299" s="55" t="s">
        <v>9055</v>
      </c>
    </row>
    <row r="3300" ht="14.25" customHeight="1">
      <c r="A3300" s="55" t="s">
        <v>9457</v>
      </c>
      <c r="B3300" s="55" t="s">
        <v>40</v>
      </c>
      <c r="C3300" s="55" t="s">
        <v>3596</v>
      </c>
      <c r="D3300" s="55" t="s">
        <v>8968</v>
      </c>
    </row>
    <row r="3301" ht="14.25" customHeight="1">
      <c r="A3301" s="55" t="s">
        <v>9457</v>
      </c>
      <c r="B3301" s="55" t="s">
        <v>40</v>
      </c>
      <c r="C3301" s="55" t="s">
        <v>3596</v>
      </c>
      <c r="D3301" s="55" t="s">
        <v>11560</v>
      </c>
    </row>
    <row r="3302" ht="14.25" customHeight="1">
      <c r="A3302" s="55" t="s">
        <v>9457</v>
      </c>
      <c r="B3302" s="55" t="s">
        <v>40</v>
      </c>
      <c r="C3302" s="55" t="s">
        <v>3596</v>
      </c>
      <c r="D3302" s="55" t="s">
        <v>10898</v>
      </c>
    </row>
    <row r="3303" ht="14.25" customHeight="1">
      <c r="A3303" s="55" t="s">
        <v>9457</v>
      </c>
      <c r="B3303" s="55" t="s">
        <v>40</v>
      </c>
      <c r="C3303" s="55" t="s">
        <v>3596</v>
      </c>
      <c r="D3303" s="55" t="s">
        <v>12175</v>
      </c>
    </row>
    <row r="3304" ht="14.25" customHeight="1">
      <c r="A3304" s="55" t="s">
        <v>9457</v>
      </c>
      <c r="B3304" s="55" t="s">
        <v>40</v>
      </c>
      <c r="C3304" s="55" t="s">
        <v>9088</v>
      </c>
      <c r="D3304" s="55" t="s">
        <v>10238</v>
      </c>
    </row>
    <row r="3305" ht="14.25" customHeight="1">
      <c r="A3305" s="55" t="s">
        <v>9457</v>
      </c>
      <c r="B3305" s="55" t="s">
        <v>40</v>
      </c>
      <c r="C3305" s="55" t="s">
        <v>184</v>
      </c>
      <c r="D3305" s="55" t="s">
        <v>9508</v>
      </c>
    </row>
    <row r="3306" ht="14.25" customHeight="1">
      <c r="A3306" s="55" t="s">
        <v>9457</v>
      </c>
      <c r="B3306" s="55" t="s">
        <v>40</v>
      </c>
      <c r="C3306" s="55" t="s">
        <v>184</v>
      </c>
      <c r="D3306" s="55" t="s">
        <v>9109</v>
      </c>
    </row>
    <row r="3307" ht="14.25" customHeight="1">
      <c r="A3307" s="55" t="s">
        <v>9457</v>
      </c>
      <c r="B3307" s="55" t="s">
        <v>40</v>
      </c>
      <c r="C3307" s="55" t="s">
        <v>6662</v>
      </c>
      <c r="D3307" s="55" t="s">
        <v>14220</v>
      </c>
    </row>
    <row r="3308" ht="14.25" customHeight="1">
      <c r="A3308" s="55" t="s">
        <v>9457</v>
      </c>
      <c r="B3308" s="55" t="s">
        <v>40</v>
      </c>
      <c r="C3308" s="55" t="s">
        <v>6662</v>
      </c>
      <c r="D3308" s="55" t="s">
        <v>10239</v>
      </c>
    </row>
    <row r="3309" ht="14.25" customHeight="1">
      <c r="A3309" s="55" t="s">
        <v>9457</v>
      </c>
      <c r="B3309" s="55" t="s">
        <v>40</v>
      </c>
      <c r="C3309" s="55" t="s">
        <v>185</v>
      </c>
      <c r="D3309" s="55" t="s">
        <v>10899</v>
      </c>
    </row>
    <row r="3310" ht="14.25" customHeight="1">
      <c r="A3310" s="55" t="s">
        <v>9457</v>
      </c>
      <c r="B3310" s="55" t="s">
        <v>40</v>
      </c>
      <c r="C3310" s="55" t="s">
        <v>11561</v>
      </c>
      <c r="D3310" s="55" t="s">
        <v>9532</v>
      </c>
    </row>
    <row r="3311" ht="14.25" customHeight="1">
      <c r="A3311" s="55" t="s">
        <v>9457</v>
      </c>
      <c r="B3311" s="55" t="s">
        <v>40</v>
      </c>
      <c r="C3311" s="55" t="s">
        <v>12965</v>
      </c>
      <c r="D3311" s="55" t="s">
        <v>12966</v>
      </c>
    </row>
    <row r="3312" ht="14.25" customHeight="1">
      <c r="A3312" s="55" t="s">
        <v>9457</v>
      </c>
      <c r="B3312" s="55" t="s">
        <v>40</v>
      </c>
      <c r="C3312" s="55" t="s">
        <v>13729</v>
      </c>
      <c r="D3312" s="55" t="s">
        <v>9118</v>
      </c>
    </row>
    <row r="3313" ht="14.25" customHeight="1">
      <c r="A3313" s="55" t="s">
        <v>9457</v>
      </c>
      <c r="B3313" s="55" t="s">
        <v>40</v>
      </c>
      <c r="C3313" s="55" t="s">
        <v>10900</v>
      </c>
      <c r="D3313" s="55" t="s">
        <v>10901</v>
      </c>
    </row>
    <row r="3314" ht="14.25" customHeight="1">
      <c r="A3314" s="55" t="s">
        <v>9457</v>
      </c>
      <c r="B3314" s="55" t="s">
        <v>40</v>
      </c>
      <c r="C3314" s="55" t="s">
        <v>10240</v>
      </c>
      <c r="D3314" s="55" t="s">
        <v>9726</v>
      </c>
    </row>
    <row r="3315" ht="14.25" customHeight="1">
      <c r="A3315" s="55" t="s">
        <v>9457</v>
      </c>
      <c r="B3315" s="55" t="s">
        <v>40</v>
      </c>
      <c r="C3315" s="55" t="s">
        <v>10902</v>
      </c>
      <c r="D3315" s="55" t="s">
        <v>8978</v>
      </c>
    </row>
    <row r="3316" ht="14.25" customHeight="1">
      <c r="A3316" s="55" t="s">
        <v>9457</v>
      </c>
      <c r="B3316" s="55" t="s">
        <v>40</v>
      </c>
      <c r="C3316" s="55" t="s">
        <v>10903</v>
      </c>
      <c r="D3316" s="55" t="s">
        <v>9867</v>
      </c>
    </row>
    <row r="3317" ht="14.25" customHeight="1">
      <c r="A3317" s="55" t="s">
        <v>9457</v>
      </c>
      <c r="B3317" s="55" t="s">
        <v>40</v>
      </c>
      <c r="C3317" s="55" t="s">
        <v>14221</v>
      </c>
      <c r="D3317" s="55" t="s">
        <v>14222</v>
      </c>
    </row>
    <row r="3318" ht="14.25" customHeight="1">
      <c r="A3318" s="55" t="s">
        <v>9457</v>
      </c>
      <c r="B3318" s="55" t="s">
        <v>40</v>
      </c>
      <c r="C3318" s="55" t="s">
        <v>314</v>
      </c>
      <c r="D3318" s="55" t="s">
        <v>10199</v>
      </c>
    </row>
    <row r="3319" ht="14.25" customHeight="1">
      <c r="A3319" s="55" t="s">
        <v>9457</v>
      </c>
      <c r="B3319" s="55" t="s">
        <v>40</v>
      </c>
      <c r="C3319" s="55" t="s">
        <v>9277</v>
      </c>
      <c r="D3319" s="55" t="s">
        <v>9265</v>
      </c>
    </row>
    <row r="3320" ht="14.25" customHeight="1">
      <c r="A3320" s="55" t="s">
        <v>9457</v>
      </c>
      <c r="B3320" s="55" t="s">
        <v>40</v>
      </c>
      <c r="C3320" s="55" t="s">
        <v>9277</v>
      </c>
      <c r="D3320" s="55" t="s">
        <v>9526</v>
      </c>
    </row>
    <row r="3321" ht="14.25" customHeight="1">
      <c r="A3321" s="55" t="s">
        <v>9457</v>
      </c>
      <c r="B3321" s="55" t="s">
        <v>40</v>
      </c>
      <c r="C3321" s="55" t="s">
        <v>9277</v>
      </c>
      <c r="D3321" s="55" t="s">
        <v>8978</v>
      </c>
    </row>
    <row r="3322" ht="14.25" customHeight="1">
      <c r="A3322" s="55" t="s">
        <v>9457</v>
      </c>
      <c r="B3322" s="55" t="s">
        <v>40</v>
      </c>
      <c r="C3322" s="55" t="s">
        <v>9277</v>
      </c>
      <c r="D3322" s="55" t="s">
        <v>12176</v>
      </c>
    </row>
    <row r="3323" ht="14.25" customHeight="1">
      <c r="A3323" s="55" t="s">
        <v>9457</v>
      </c>
      <c r="B3323" s="55" t="s">
        <v>40</v>
      </c>
      <c r="C3323" s="55" t="s">
        <v>10183</v>
      </c>
      <c r="D3323" s="55" t="s">
        <v>9281</v>
      </c>
    </row>
    <row r="3324" ht="14.25" customHeight="1">
      <c r="A3324" s="55" t="s">
        <v>9457</v>
      </c>
      <c r="B3324" s="55" t="s">
        <v>40</v>
      </c>
      <c r="C3324" s="55" t="s">
        <v>13730</v>
      </c>
      <c r="D3324" s="55" t="s">
        <v>13731</v>
      </c>
    </row>
    <row r="3325" ht="14.25" customHeight="1">
      <c r="A3325" s="55" t="s">
        <v>9457</v>
      </c>
      <c r="B3325" s="55" t="s">
        <v>40</v>
      </c>
      <c r="C3325" s="55" t="s">
        <v>11562</v>
      </c>
      <c r="D3325" s="55" t="s">
        <v>9055</v>
      </c>
    </row>
    <row r="3326" ht="14.25" customHeight="1">
      <c r="A3326" s="55" t="s">
        <v>9457</v>
      </c>
      <c r="B3326" s="55" t="s">
        <v>40</v>
      </c>
      <c r="C3326" s="55" t="s">
        <v>9504</v>
      </c>
      <c r="D3326" s="55" t="s">
        <v>9265</v>
      </c>
    </row>
    <row r="3327" ht="14.25" customHeight="1">
      <c r="A3327" s="55" t="s">
        <v>9457</v>
      </c>
      <c r="B3327" s="55" t="s">
        <v>40</v>
      </c>
      <c r="C3327" s="55" t="s">
        <v>200</v>
      </c>
      <c r="D3327" s="55" t="s">
        <v>10224</v>
      </c>
    </row>
    <row r="3328" ht="14.25" customHeight="1">
      <c r="A3328" s="55" t="s">
        <v>9457</v>
      </c>
      <c r="B3328" s="55" t="s">
        <v>40</v>
      </c>
      <c r="C3328" s="55" t="s">
        <v>9505</v>
      </c>
      <c r="D3328" s="55" t="s">
        <v>9265</v>
      </c>
    </row>
    <row r="3329" ht="14.25" customHeight="1">
      <c r="A3329" s="55" t="s">
        <v>9457</v>
      </c>
      <c r="B3329" s="55" t="s">
        <v>40</v>
      </c>
      <c r="C3329" s="55" t="s">
        <v>10904</v>
      </c>
      <c r="D3329" s="55" t="s">
        <v>9491</v>
      </c>
    </row>
    <row r="3330" ht="14.25" customHeight="1">
      <c r="A3330" s="55" t="s">
        <v>9457</v>
      </c>
      <c r="B3330" s="55" t="s">
        <v>40</v>
      </c>
      <c r="C3330" s="55" t="s">
        <v>8398</v>
      </c>
      <c r="D3330" s="55" t="s">
        <v>9265</v>
      </c>
    </row>
    <row r="3331" ht="14.25" customHeight="1">
      <c r="A3331" s="55" t="s">
        <v>9457</v>
      </c>
      <c r="B3331" s="55" t="s">
        <v>40</v>
      </c>
      <c r="C3331" s="55" t="s">
        <v>9506</v>
      </c>
      <c r="D3331" s="55" t="s">
        <v>9507</v>
      </c>
    </row>
    <row r="3332" ht="14.25" customHeight="1">
      <c r="A3332" s="55" t="s">
        <v>9457</v>
      </c>
      <c r="B3332" s="55" t="s">
        <v>40</v>
      </c>
      <c r="C3332" s="55" t="s">
        <v>9791</v>
      </c>
      <c r="D3332" s="55" t="s">
        <v>14223</v>
      </c>
    </row>
    <row r="3333" ht="14.25" customHeight="1">
      <c r="A3333" s="55" t="s">
        <v>9457</v>
      </c>
      <c r="B3333" s="55" t="s">
        <v>40</v>
      </c>
      <c r="C3333" s="55" t="s">
        <v>10241</v>
      </c>
      <c r="D3333" s="55" t="s">
        <v>10224</v>
      </c>
    </row>
    <row r="3334" ht="14.25" customHeight="1">
      <c r="A3334" s="55" t="s">
        <v>9457</v>
      </c>
      <c r="B3334" s="55" t="s">
        <v>40</v>
      </c>
      <c r="C3334" s="55" t="s">
        <v>10242</v>
      </c>
      <c r="D3334" s="55" t="s">
        <v>9508</v>
      </c>
    </row>
    <row r="3335" ht="14.25" customHeight="1">
      <c r="A3335" s="55" t="s">
        <v>9457</v>
      </c>
      <c r="B3335" s="55" t="s">
        <v>40</v>
      </c>
      <c r="C3335" s="55" t="s">
        <v>10242</v>
      </c>
      <c r="D3335" s="55" t="s">
        <v>9265</v>
      </c>
    </row>
    <row r="3336" ht="14.25" customHeight="1">
      <c r="A3336" s="55" t="s">
        <v>9457</v>
      </c>
      <c r="B3336" s="55" t="s">
        <v>40</v>
      </c>
      <c r="C3336" s="55" t="s">
        <v>10905</v>
      </c>
      <c r="D3336" s="55" t="s">
        <v>9508</v>
      </c>
    </row>
    <row r="3337" ht="14.25" customHeight="1">
      <c r="A3337" s="55" t="s">
        <v>9457</v>
      </c>
      <c r="B3337" s="55" t="s">
        <v>40</v>
      </c>
      <c r="C3337" s="55" t="s">
        <v>10905</v>
      </c>
      <c r="D3337" s="55" t="s">
        <v>10901</v>
      </c>
    </row>
    <row r="3338" ht="14.25" customHeight="1">
      <c r="A3338" s="55" t="s">
        <v>9457</v>
      </c>
      <c r="B3338" s="55" t="s">
        <v>40</v>
      </c>
      <c r="C3338" s="55" t="s">
        <v>10905</v>
      </c>
      <c r="D3338" s="55" t="s">
        <v>8976</v>
      </c>
    </row>
    <row r="3339" ht="14.25" customHeight="1">
      <c r="A3339" s="55" t="s">
        <v>9457</v>
      </c>
      <c r="B3339" s="55" t="s">
        <v>40</v>
      </c>
      <c r="C3339" s="55" t="s">
        <v>8996</v>
      </c>
      <c r="D3339" s="55" t="s">
        <v>9508</v>
      </c>
    </row>
    <row r="3340" ht="14.25" customHeight="1">
      <c r="A3340" s="55" t="s">
        <v>9457</v>
      </c>
      <c r="B3340" s="55" t="s">
        <v>40</v>
      </c>
      <c r="C3340" s="55" t="s">
        <v>10906</v>
      </c>
      <c r="D3340" s="55" t="s">
        <v>8978</v>
      </c>
    </row>
    <row r="3341" ht="14.25" customHeight="1">
      <c r="A3341" s="55" t="s">
        <v>9457</v>
      </c>
      <c r="B3341" s="55" t="s">
        <v>40</v>
      </c>
      <c r="C3341" s="55" t="s">
        <v>210</v>
      </c>
      <c r="D3341" s="55" t="s">
        <v>12177</v>
      </c>
    </row>
    <row r="3342" ht="14.25" customHeight="1">
      <c r="A3342" s="55" t="s">
        <v>9457</v>
      </c>
      <c r="B3342" s="55" t="s">
        <v>40</v>
      </c>
      <c r="C3342" s="55" t="s">
        <v>210</v>
      </c>
      <c r="D3342" s="55" t="s">
        <v>9265</v>
      </c>
    </row>
    <row r="3343" ht="14.25" customHeight="1">
      <c r="A3343" s="55" t="s">
        <v>9457</v>
      </c>
      <c r="B3343" s="55" t="s">
        <v>40</v>
      </c>
      <c r="C3343" s="55" t="s">
        <v>11421</v>
      </c>
      <c r="D3343" s="55" t="s">
        <v>9034</v>
      </c>
    </row>
    <row r="3344" ht="14.25" customHeight="1">
      <c r="A3344" s="55" t="s">
        <v>9457</v>
      </c>
      <c r="B3344" s="55" t="s">
        <v>40</v>
      </c>
      <c r="C3344" s="55" t="s">
        <v>211</v>
      </c>
      <c r="D3344" s="55" t="s">
        <v>10224</v>
      </c>
    </row>
    <row r="3345" ht="14.25" customHeight="1">
      <c r="A3345" s="55" t="s">
        <v>9457</v>
      </c>
      <c r="B3345" s="55" t="s">
        <v>40</v>
      </c>
      <c r="C3345" s="55" t="s">
        <v>214</v>
      </c>
      <c r="D3345" s="55" t="s">
        <v>9181</v>
      </c>
    </row>
    <row r="3346" ht="14.25" customHeight="1">
      <c r="A3346" s="55" t="s">
        <v>9457</v>
      </c>
      <c r="B3346" s="55" t="s">
        <v>40</v>
      </c>
      <c r="C3346" s="55" t="s">
        <v>9562</v>
      </c>
      <c r="D3346" s="55" t="s">
        <v>9109</v>
      </c>
    </row>
    <row r="3347" ht="14.25" customHeight="1">
      <c r="A3347" s="55" t="s">
        <v>9457</v>
      </c>
      <c r="B3347" s="55" t="s">
        <v>40</v>
      </c>
      <c r="C3347" s="55" t="s">
        <v>9562</v>
      </c>
      <c r="D3347" s="55" t="s">
        <v>10243</v>
      </c>
    </row>
    <row r="3348" ht="14.25" customHeight="1">
      <c r="A3348" s="55" t="s">
        <v>9457</v>
      </c>
      <c r="B3348" s="55" t="s">
        <v>40</v>
      </c>
      <c r="C3348" s="55" t="s">
        <v>215</v>
      </c>
      <c r="D3348" s="55" t="s">
        <v>9109</v>
      </c>
    </row>
    <row r="3349" ht="14.25" customHeight="1">
      <c r="A3349" s="55" t="s">
        <v>9457</v>
      </c>
      <c r="B3349" s="55" t="s">
        <v>40</v>
      </c>
      <c r="C3349" s="55" t="s">
        <v>215</v>
      </c>
      <c r="D3349" s="55" t="s">
        <v>9962</v>
      </c>
    </row>
    <row r="3350" ht="14.25" customHeight="1">
      <c r="A3350" s="55" t="s">
        <v>9457</v>
      </c>
      <c r="B3350" s="55" t="s">
        <v>40</v>
      </c>
      <c r="C3350" s="55" t="s">
        <v>215</v>
      </c>
      <c r="D3350" s="55" t="s">
        <v>13732</v>
      </c>
    </row>
    <row r="3351" ht="14.25" customHeight="1">
      <c r="A3351" s="55" t="s">
        <v>9457</v>
      </c>
      <c r="B3351" s="55" t="s">
        <v>40</v>
      </c>
      <c r="C3351" s="55" t="s">
        <v>215</v>
      </c>
      <c r="D3351" s="55" t="s">
        <v>9857</v>
      </c>
    </row>
    <row r="3352" ht="14.25" customHeight="1">
      <c r="A3352" s="55" t="s">
        <v>9457</v>
      </c>
      <c r="B3352" s="55" t="s">
        <v>40</v>
      </c>
      <c r="C3352" s="55" t="s">
        <v>215</v>
      </c>
      <c r="D3352" s="55" t="s">
        <v>9931</v>
      </c>
    </row>
    <row r="3353" ht="14.25" customHeight="1">
      <c r="A3353" s="55" t="s">
        <v>9457</v>
      </c>
      <c r="B3353" s="55" t="s">
        <v>40</v>
      </c>
      <c r="C3353" s="55" t="s">
        <v>12967</v>
      </c>
      <c r="D3353" s="55" t="s">
        <v>9109</v>
      </c>
    </row>
    <row r="3354" ht="14.25" customHeight="1">
      <c r="A3354" s="55" t="s">
        <v>9457</v>
      </c>
      <c r="B3354" s="55" t="s">
        <v>40</v>
      </c>
      <c r="C3354" s="55" t="s">
        <v>14224</v>
      </c>
      <c r="D3354" s="55" t="s">
        <v>9109</v>
      </c>
    </row>
    <row r="3355" ht="14.25" customHeight="1">
      <c r="A3355" s="55" t="s">
        <v>9457</v>
      </c>
      <c r="B3355" s="55" t="s">
        <v>40</v>
      </c>
      <c r="C3355" s="55" t="s">
        <v>14224</v>
      </c>
      <c r="D3355" s="55" t="s">
        <v>9033</v>
      </c>
    </row>
    <row r="3356" ht="14.25" customHeight="1">
      <c r="A3356" s="55" t="s">
        <v>9457</v>
      </c>
      <c r="B3356" s="55" t="s">
        <v>40</v>
      </c>
      <c r="C3356" s="55" t="s">
        <v>10244</v>
      </c>
      <c r="D3356" s="55" t="s">
        <v>10245</v>
      </c>
    </row>
    <row r="3357" ht="14.25" customHeight="1">
      <c r="A3357" s="55" t="s">
        <v>9457</v>
      </c>
      <c r="B3357" s="55" t="s">
        <v>40</v>
      </c>
      <c r="C3357" s="55" t="s">
        <v>10907</v>
      </c>
      <c r="D3357" s="55" t="s">
        <v>10706</v>
      </c>
    </row>
    <row r="3358" ht="14.25" customHeight="1">
      <c r="A3358" s="55" t="s">
        <v>9457</v>
      </c>
      <c r="B3358" s="55" t="s">
        <v>40</v>
      </c>
      <c r="C3358" s="55" t="s">
        <v>9509</v>
      </c>
      <c r="D3358" s="55" t="s">
        <v>9510</v>
      </c>
    </row>
    <row r="3359" ht="14.25" customHeight="1">
      <c r="A3359" s="55" t="s">
        <v>9457</v>
      </c>
      <c r="B3359" s="55" t="s">
        <v>40</v>
      </c>
      <c r="C3359" s="55" t="s">
        <v>3814</v>
      </c>
      <c r="D3359" s="55" t="s">
        <v>9508</v>
      </c>
    </row>
    <row r="3360" ht="14.25" customHeight="1">
      <c r="A3360" s="55" t="s">
        <v>9457</v>
      </c>
      <c r="B3360" s="55" t="s">
        <v>40</v>
      </c>
      <c r="C3360" s="55" t="s">
        <v>3821</v>
      </c>
      <c r="D3360" s="55" t="s">
        <v>9168</v>
      </c>
    </row>
    <row r="3361" ht="14.25" customHeight="1">
      <c r="A3361" s="55" t="s">
        <v>9457</v>
      </c>
      <c r="B3361" s="55" t="s">
        <v>40</v>
      </c>
      <c r="C3361" s="55" t="s">
        <v>10908</v>
      </c>
      <c r="D3361" s="55" t="s">
        <v>10909</v>
      </c>
    </row>
    <row r="3362" ht="14.25" customHeight="1">
      <c r="A3362" s="55" t="s">
        <v>9457</v>
      </c>
      <c r="B3362" s="55" t="s">
        <v>40</v>
      </c>
      <c r="C3362" s="55" t="s">
        <v>14225</v>
      </c>
      <c r="D3362" s="55" t="s">
        <v>14226</v>
      </c>
    </row>
    <row r="3363" ht="14.25" customHeight="1">
      <c r="A3363" s="55" t="s">
        <v>9457</v>
      </c>
      <c r="B3363" s="55" t="s">
        <v>40</v>
      </c>
      <c r="C3363" s="55" t="s">
        <v>10713</v>
      </c>
      <c r="D3363" s="55" t="s">
        <v>10910</v>
      </c>
    </row>
    <row r="3364" ht="14.25" customHeight="1">
      <c r="A3364" s="55" t="s">
        <v>9457</v>
      </c>
      <c r="B3364" s="55" t="s">
        <v>40</v>
      </c>
      <c r="C3364" s="55" t="s">
        <v>10246</v>
      </c>
      <c r="D3364" s="55" t="s">
        <v>9131</v>
      </c>
    </row>
    <row r="3365" ht="14.25" customHeight="1">
      <c r="A3365" s="55" t="s">
        <v>9457</v>
      </c>
      <c r="B3365" s="55" t="s">
        <v>40</v>
      </c>
      <c r="C3365" s="55" t="s">
        <v>10990</v>
      </c>
      <c r="D3365" s="55" t="s">
        <v>9039</v>
      </c>
    </row>
    <row r="3366" ht="14.25" customHeight="1">
      <c r="A3366" s="55" t="s">
        <v>9457</v>
      </c>
      <c r="B3366" s="55" t="s">
        <v>40</v>
      </c>
      <c r="C3366" s="55" t="s">
        <v>6901</v>
      </c>
      <c r="D3366" s="55" t="s">
        <v>10124</v>
      </c>
    </row>
    <row r="3367" ht="14.25" customHeight="1">
      <c r="A3367" s="55" t="s">
        <v>9457</v>
      </c>
      <c r="B3367" s="55" t="s">
        <v>40</v>
      </c>
      <c r="C3367" s="55" t="s">
        <v>12178</v>
      </c>
      <c r="D3367" s="55" t="s">
        <v>9034</v>
      </c>
    </row>
    <row r="3368" ht="14.25" customHeight="1">
      <c r="A3368" s="55" t="s">
        <v>9457</v>
      </c>
      <c r="B3368" s="55" t="s">
        <v>40</v>
      </c>
      <c r="C3368" s="55" t="s">
        <v>9511</v>
      </c>
      <c r="D3368" s="55" t="s">
        <v>9265</v>
      </c>
    </row>
    <row r="3369" ht="14.25" customHeight="1">
      <c r="A3369" s="55" t="s">
        <v>9457</v>
      </c>
      <c r="B3369" s="55" t="s">
        <v>40</v>
      </c>
      <c r="C3369" s="55" t="s">
        <v>10247</v>
      </c>
      <c r="D3369" s="55" t="s">
        <v>10124</v>
      </c>
    </row>
    <row r="3370" ht="14.25" customHeight="1">
      <c r="A3370" s="55" t="s">
        <v>9457</v>
      </c>
      <c r="B3370" s="55" t="s">
        <v>40</v>
      </c>
      <c r="C3370" s="55" t="s">
        <v>10247</v>
      </c>
      <c r="D3370" s="55" t="s">
        <v>12968</v>
      </c>
    </row>
    <row r="3371" ht="14.25" customHeight="1">
      <c r="A3371" s="55" t="s">
        <v>9457</v>
      </c>
      <c r="B3371" s="55" t="s">
        <v>40</v>
      </c>
      <c r="C3371" s="55" t="s">
        <v>6904</v>
      </c>
      <c r="D3371" s="55" t="s">
        <v>9498</v>
      </c>
    </row>
    <row r="3372" ht="14.25" customHeight="1">
      <c r="A3372" s="55" t="s">
        <v>9457</v>
      </c>
      <c r="B3372" s="55" t="s">
        <v>40</v>
      </c>
      <c r="C3372" s="55" t="s">
        <v>12969</v>
      </c>
      <c r="D3372" s="55" t="s">
        <v>12970</v>
      </c>
    </row>
    <row r="3373" ht="14.25" customHeight="1">
      <c r="A3373" s="55" t="s">
        <v>9457</v>
      </c>
      <c r="B3373" s="55" t="s">
        <v>40</v>
      </c>
      <c r="C3373" s="55" t="s">
        <v>12971</v>
      </c>
      <c r="D3373" s="55" t="s">
        <v>12972</v>
      </c>
    </row>
    <row r="3374" ht="14.25" customHeight="1">
      <c r="A3374" s="55" t="s">
        <v>9457</v>
      </c>
      <c r="B3374" s="55" t="s">
        <v>40</v>
      </c>
      <c r="C3374" s="55" t="s">
        <v>13701</v>
      </c>
      <c r="D3374" s="55" t="s">
        <v>10197</v>
      </c>
    </row>
    <row r="3375" ht="14.25" customHeight="1">
      <c r="A3375" s="55" t="s">
        <v>9457</v>
      </c>
      <c r="B3375" s="55" t="s">
        <v>40</v>
      </c>
      <c r="C3375" s="55" t="s">
        <v>1743</v>
      </c>
      <c r="D3375" s="55" t="s">
        <v>12190</v>
      </c>
    </row>
    <row r="3376" ht="14.25" customHeight="1">
      <c r="A3376" s="55" t="s">
        <v>9457</v>
      </c>
      <c r="B3376" s="55" t="s">
        <v>40</v>
      </c>
      <c r="C3376" s="55" t="s">
        <v>1743</v>
      </c>
      <c r="D3376" s="55" t="s">
        <v>9168</v>
      </c>
    </row>
    <row r="3377" ht="14.25" customHeight="1">
      <c r="A3377" s="55" t="s">
        <v>9457</v>
      </c>
      <c r="B3377" s="55" t="s">
        <v>40</v>
      </c>
      <c r="C3377" s="55" t="s">
        <v>12179</v>
      </c>
      <c r="D3377" s="55" t="s">
        <v>12180</v>
      </c>
    </row>
    <row r="3378" ht="14.25" customHeight="1">
      <c r="A3378" s="55" t="s">
        <v>9457</v>
      </c>
      <c r="B3378" s="55" t="s">
        <v>40</v>
      </c>
      <c r="C3378" s="55" t="s">
        <v>12973</v>
      </c>
      <c r="D3378" s="55" t="s">
        <v>9039</v>
      </c>
    </row>
    <row r="3379" ht="14.25" customHeight="1">
      <c r="A3379" s="55" t="s">
        <v>9457</v>
      </c>
      <c r="B3379" s="55" t="s">
        <v>40</v>
      </c>
      <c r="C3379" s="55" t="s">
        <v>9512</v>
      </c>
      <c r="D3379" s="55" t="s">
        <v>9216</v>
      </c>
    </row>
    <row r="3380" ht="14.25" customHeight="1">
      <c r="A3380" s="55" t="s">
        <v>9457</v>
      </c>
      <c r="B3380" s="55" t="s">
        <v>40</v>
      </c>
      <c r="C3380" s="55" t="s">
        <v>9513</v>
      </c>
      <c r="D3380" s="55" t="s">
        <v>9265</v>
      </c>
    </row>
    <row r="3381" ht="14.25" customHeight="1">
      <c r="A3381" s="55" t="s">
        <v>9457</v>
      </c>
      <c r="B3381" s="55" t="s">
        <v>40</v>
      </c>
      <c r="C3381" s="55" t="s">
        <v>9513</v>
      </c>
      <c r="D3381" s="55" t="s">
        <v>9499</v>
      </c>
    </row>
    <row r="3382" ht="14.25" customHeight="1">
      <c r="A3382" s="55" t="s">
        <v>9457</v>
      </c>
      <c r="B3382" s="55" t="s">
        <v>40</v>
      </c>
      <c r="C3382" s="55" t="s">
        <v>225</v>
      </c>
      <c r="D3382" s="55" t="s">
        <v>9131</v>
      </c>
    </row>
    <row r="3383" ht="14.25" customHeight="1">
      <c r="A3383" s="55" t="s">
        <v>9457</v>
      </c>
      <c r="B3383" s="55" t="s">
        <v>40</v>
      </c>
      <c r="C3383" s="55" t="s">
        <v>225</v>
      </c>
      <c r="D3383" s="55" t="s">
        <v>9514</v>
      </c>
    </row>
    <row r="3384" ht="14.25" customHeight="1">
      <c r="A3384" s="55" t="s">
        <v>9457</v>
      </c>
      <c r="B3384" s="55" t="s">
        <v>40</v>
      </c>
      <c r="C3384" s="55" t="s">
        <v>225</v>
      </c>
      <c r="D3384" s="55" t="s">
        <v>9043</v>
      </c>
    </row>
    <row r="3385" ht="14.25" customHeight="1">
      <c r="A3385" s="55" t="s">
        <v>9457</v>
      </c>
      <c r="B3385" s="55" t="s">
        <v>40</v>
      </c>
      <c r="C3385" s="55" t="s">
        <v>8997</v>
      </c>
      <c r="D3385" s="55" t="s">
        <v>12974</v>
      </c>
    </row>
    <row r="3386" ht="14.25" customHeight="1">
      <c r="A3386" s="55" t="s">
        <v>9457</v>
      </c>
      <c r="B3386" s="55" t="s">
        <v>40</v>
      </c>
      <c r="C3386" s="55" t="s">
        <v>8997</v>
      </c>
      <c r="D3386" s="55" t="s">
        <v>12975</v>
      </c>
    </row>
    <row r="3387" ht="14.25" customHeight="1">
      <c r="A3387" s="55" t="s">
        <v>9457</v>
      </c>
      <c r="B3387" s="55" t="s">
        <v>40</v>
      </c>
      <c r="C3387" s="55" t="s">
        <v>8997</v>
      </c>
      <c r="D3387" s="55" t="s">
        <v>8976</v>
      </c>
    </row>
    <row r="3388" ht="14.25" customHeight="1">
      <c r="A3388" s="55" t="s">
        <v>9457</v>
      </c>
      <c r="B3388" s="55" t="s">
        <v>40</v>
      </c>
      <c r="C3388" s="55" t="s">
        <v>8997</v>
      </c>
      <c r="D3388" s="55" t="s">
        <v>13867</v>
      </c>
    </row>
    <row r="3389" ht="14.25" customHeight="1">
      <c r="A3389" s="55" t="s">
        <v>9457</v>
      </c>
      <c r="B3389" s="55" t="s">
        <v>40</v>
      </c>
      <c r="C3389" s="55" t="s">
        <v>12976</v>
      </c>
      <c r="D3389" s="55" t="s">
        <v>12977</v>
      </c>
    </row>
    <row r="3390" ht="14.25" customHeight="1">
      <c r="A3390" s="55" t="s">
        <v>9457</v>
      </c>
      <c r="B3390" s="55" t="s">
        <v>40</v>
      </c>
      <c r="C3390" s="55" t="s">
        <v>8576</v>
      </c>
      <c r="D3390" s="55" t="s">
        <v>9265</v>
      </c>
    </row>
    <row r="3391" ht="14.25" customHeight="1">
      <c r="A3391" s="55" t="s">
        <v>9457</v>
      </c>
      <c r="B3391" s="55" t="s">
        <v>40</v>
      </c>
      <c r="C3391" s="55" t="s">
        <v>8576</v>
      </c>
      <c r="D3391" s="55" t="s">
        <v>10224</v>
      </c>
    </row>
    <row r="3392" ht="14.25" customHeight="1">
      <c r="A3392" s="55" t="s">
        <v>9457</v>
      </c>
      <c r="B3392" s="55" t="s">
        <v>40</v>
      </c>
      <c r="C3392" s="55" t="s">
        <v>8576</v>
      </c>
      <c r="D3392" s="55" t="s">
        <v>11563</v>
      </c>
    </row>
    <row r="3393" ht="14.25" customHeight="1">
      <c r="A3393" s="55" t="s">
        <v>9457</v>
      </c>
      <c r="B3393" s="55" t="s">
        <v>40</v>
      </c>
      <c r="C3393" s="55" t="s">
        <v>8576</v>
      </c>
      <c r="D3393" s="55" t="s">
        <v>13733</v>
      </c>
    </row>
    <row r="3394" ht="14.25" customHeight="1">
      <c r="A3394" s="55" t="s">
        <v>9457</v>
      </c>
      <c r="B3394" s="55" t="s">
        <v>40</v>
      </c>
      <c r="C3394" s="55" t="s">
        <v>8576</v>
      </c>
      <c r="D3394" s="55" t="s">
        <v>8976</v>
      </c>
    </row>
    <row r="3395" ht="14.25" customHeight="1">
      <c r="A3395" s="55" t="s">
        <v>9457</v>
      </c>
      <c r="B3395" s="55" t="s">
        <v>40</v>
      </c>
      <c r="C3395" s="55" t="s">
        <v>8576</v>
      </c>
      <c r="D3395" s="55" t="s">
        <v>11367</v>
      </c>
    </row>
    <row r="3396" ht="14.25" customHeight="1">
      <c r="A3396" s="55" t="s">
        <v>9457</v>
      </c>
      <c r="B3396" s="55" t="s">
        <v>40</v>
      </c>
      <c r="C3396" s="55" t="s">
        <v>10590</v>
      </c>
      <c r="D3396" s="55" t="s">
        <v>10257</v>
      </c>
    </row>
    <row r="3397" ht="14.25" customHeight="1">
      <c r="A3397" s="55" t="s">
        <v>9457</v>
      </c>
      <c r="B3397" s="55" t="s">
        <v>40</v>
      </c>
      <c r="C3397" s="55" t="s">
        <v>10248</v>
      </c>
      <c r="D3397" s="55" t="s">
        <v>9265</v>
      </c>
    </row>
    <row r="3398" ht="14.25" customHeight="1">
      <c r="A3398" s="55" t="s">
        <v>9457</v>
      </c>
      <c r="B3398" s="55" t="s">
        <v>40</v>
      </c>
      <c r="C3398" s="55" t="s">
        <v>3984</v>
      </c>
      <c r="D3398" s="55" t="s">
        <v>9034</v>
      </c>
    </row>
    <row r="3399" ht="14.25" customHeight="1">
      <c r="A3399" s="55" t="s">
        <v>9457</v>
      </c>
      <c r="B3399" s="55" t="s">
        <v>40</v>
      </c>
      <c r="C3399" s="55" t="s">
        <v>3984</v>
      </c>
      <c r="D3399" s="55" t="s">
        <v>10197</v>
      </c>
    </row>
    <row r="3400" ht="14.25" customHeight="1">
      <c r="A3400" s="55" t="s">
        <v>9457</v>
      </c>
      <c r="B3400" s="55" t="s">
        <v>40</v>
      </c>
      <c r="C3400" s="55" t="s">
        <v>11236</v>
      </c>
      <c r="D3400" s="55" t="s">
        <v>12978</v>
      </c>
    </row>
    <row r="3401" ht="14.25" customHeight="1">
      <c r="A3401" s="55" t="s">
        <v>9457</v>
      </c>
      <c r="B3401" s="55" t="s">
        <v>40</v>
      </c>
      <c r="C3401" s="55" t="s">
        <v>10249</v>
      </c>
      <c r="D3401" s="55" t="s">
        <v>10186</v>
      </c>
    </row>
    <row r="3402" ht="14.25" customHeight="1">
      <c r="A3402" s="55" t="s">
        <v>9457</v>
      </c>
      <c r="B3402" s="55" t="s">
        <v>40</v>
      </c>
      <c r="C3402" s="55" t="s">
        <v>9515</v>
      </c>
      <c r="D3402" s="55" t="s">
        <v>9516</v>
      </c>
    </row>
    <row r="3403" ht="14.25" customHeight="1">
      <c r="A3403" s="55" t="s">
        <v>9457</v>
      </c>
      <c r="B3403" s="55" t="s">
        <v>40</v>
      </c>
      <c r="C3403" s="55" t="s">
        <v>231</v>
      </c>
      <c r="D3403" s="55" t="s">
        <v>12181</v>
      </c>
    </row>
    <row r="3404" ht="14.25" customHeight="1">
      <c r="A3404" s="55" t="s">
        <v>9457</v>
      </c>
      <c r="B3404" s="55" t="s">
        <v>40</v>
      </c>
      <c r="C3404" s="55" t="s">
        <v>231</v>
      </c>
      <c r="D3404" s="55" t="s">
        <v>12182</v>
      </c>
    </row>
    <row r="3405" ht="14.25" customHeight="1">
      <c r="A3405" s="55" t="s">
        <v>9457</v>
      </c>
      <c r="B3405" s="55" t="s">
        <v>40</v>
      </c>
      <c r="C3405" s="55" t="s">
        <v>9517</v>
      </c>
      <c r="D3405" s="55" t="s">
        <v>8968</v>
      </c>
    </row>
    <row r="3406" ht="14.25" customHeight="1">
      <c r="A3406" s="55" t="s">
        <v>9457</v>
      </c>
      <c r="B3406" s="55" t="s">
        <v>40</v>
      </c>
      <c r="C3406" s="55" t="s">
        <v>232</v>
      </c>
      <c r="D3406" s="55" t="s">
        <v>10124</v>
      </c>
    </row>
    <row r="3407" ht="14.25" customHeight="1">
      <c r="A3407" s="55" t="s">
        <v>9457</v>
      </c>
      <c r="B3407" s="55" t="s">
        <v>40</v>
      </c>
      <c r="C3407" s="55" t="s">
        <v>232</v>
      </c>
      <c r="D3407" s="55" t="s">
        <v>9875</v>
      </c>
    </row>
    <row r="3408" ht="14.25" customHeight="1">
      <c r="A3408" s="55" t="s">
        <v>9457</v>
      </c>
      <c r="B3408" s="55" t="s">
        <v>40</v>
      </c>
      <c r="C3408" s="55" t="s">
        <v>10911</v>
      </c>
      <c r="D3408" s="55" t="s">
        <v>9034</v>
      </c>
    </row>
    <row r="3409" ht="14.25" customHeight="1">
      <c r="A3409" s="55" t="s">
        <v>9457</v>
      </c>
      <c r="B3409" s="55" t="s">
        <v>40</v>
      </c>
      <c r="C3409" s="55" t="s">
        <v>4035</v>
      </c>
      <c r="D3409" s="55" t="s">
        <v>9034</v>
      </c>
    </row>
    <row r="3410" ht="14.25" customHeight="1">
      <c r="A3410" s="55" t="s">
        <v>9457</v>
      </c>
      <c r="B3410" s="55" t="s">
        <v>40</v>
      </c>
      <c r="C3410" s="55" t="s">
        <v>4035</v>
      </c>
      <c r="D3410" s="55" t="s">
        <v>12725</v>
      </c>
    </row>
    <row r="3411" ht="14.25" customHeight="1">
      <c r="A3411" s="55" t="s">
        <v>9457</v>
      </c>
      <c r="B3411" s="55" t="s">
        <v>40</v>
      </c>
      <c r="C3411" s="55" t="s">
        <v>4035</v>
      </c>
      <c r="D3411" s="55" t="s">
        <v>9265</v>
      </c>
    </row>
    <row r="3412" ht="14.25" customHeight="1">
      <c r="A3412" s="55" t="s">
        <v>9457</v>
      </c>
      <c r="B3412" s="55" t="s">
        <v>40</v>
      </c>
      <c r="C3412" s="55" t="s">
        <v>4035</v>
      </c>
      <c r="D3412" s="55" t="s">
        <v>10224</v>
      </c>
    </row>
    <row r="3413" ht="14.25" customHeight="1">
      <c r="A3413" s="55" t="s">
        <v>9457</v>
      </c>
      <c r="B3413" s="55" t="s">
        <v>40</v>
      </c>
      <c r="C3413" s="55" t="s">
        <v>4035</v>
      </c>
      <c r="D3413" s="55" t="s">
        <v>8968</v>
      </c>
    </row>
    <row r="3414" ht="14.25" customHeight="1">
      <c r="A3414" s="55" t="s">
        <v>9457</v>
      </c>
      <c r="B3414" s="55" t="s">
        <v>40</v>
      </c>
      <c r="C3414" s="55" t="s">
        <v>4035</v>
      </c>
      <c r="D3414" s="55" t="s">
        <v>10124</v>
      </c>
    </row>
    <row r="3415" ht="14.25" customHeight="1">
      <c r="A3415" s="55" t="s">
        <v>9457</v>
      </c>
      <c r="B3415" s="55" t="s">
        <v>40</v>
      </c>
      <c r="C3415" s="55" t="s">
        <v>4035</v>
      </c>
      <c r="D3415" s="55" t="s">
        <v>10250</v>
      </c>
    </row>
    <row r="3416" ht="14.25" customHeight="1">
      <c r="A3416" s="55" t="s">
        <v>9457</v>
      </c>
      <c r="B3416" s="55" t="s">
        <v>40</v>
      </c>
      <c r="C3416" s="55" t="s">
        <v>11564</v>
      </c>
      <c r="D3416" s="55" t="s">
        <v>11565</v>
      </c>
    </row>
    <row r="3417" ht="14.25" customHeight="1">
      <c r="A3417" s="55" t="s">
        <v>9457</v>
      </c>
      <c r="B3417" s="55" t="s">
        <v>40</v>
      </c>
      <c r="C3417" s="55" t="s">
        <v>233</v>
      </c>
      <c r="D3417" s="55" t="s">
        <v>9265</v>
      </c>
    </row>
    <row r="3418" ht="14.25" customHeight="1">
      <c r="A3418" s="55" t="s">
        <v>9457</v>
      </c>
      <c r="B3418" s="55" t="s">
        <v>40</v>
      </c>
      <c r="C3418" s="55" t="s">
        <v>233</v>
      </c>
      <c r="D3418" s="55" t="s">
        <v>9518</v>
      </c>
    </row>
    <row r="3419" ht="14.25" customHeight="1">
      <c r="A3419" s="55" t="s">
        <v>9457</v>
      </c>
      <c r="B3419" s="55" t="s">
        <v>40</v>
      </c>
      <c r="C3419" s="55" t="s">
        <v>10592</v>
      </c>
      <c r="D3419" s="55" t="s">
        <v>11566</v>
      </c>
    </row>
    <row r="3420" ht="14.25" customHeight="1">
      <c r="A3420" s="55" t="s">
        <v>9457</v>
      </c>
      <c r="B3420" s="55" t="s">
        <v>40</v>
      </c>
      <c r="C3420" s="55" t="s">
        <v>10592</v>
      </c>
      <c r="D3420" s="55" t="s">
        <v>9499</v>
      </c>
    </row>
    <row r="3421" ht="14.25" customHeight="1">
      <c r="A3421" s="55" t="s">
        <v>9457</v>
      </c>
      <c r="B3421" s="55" t="s">
        <v>40</v>
      </c>
      <c r="C3421" s="55" t="s">
        <v>12979</v>
      </c>
      <c r="D3421" s="55" t="s">
        <v>9265</v>
      </c>
    </row>
    <row r="3422" ht="14.25" customHeight="1">
      <c r="A3422" s="55" t="s">
        <v>9457</v>
      </c>
      <c r="B3422" s="55" t="s">
        <v>40</v>
      </c>
      <c r="C3422" s="55" t="s">
        <v>10251</v>
      </c>
      <c r="D3422" s="55" t="s">
        <v>9265</v>
      </c>
    </row>
    <row r="3423" ht="14.25" customHeight="1">
      <c r="A3423" s="55" t="s">
        <v>9457</v>
      </c>
      <c r="B3423" s="55" t="s">
        <v>40</v>
      </c>
      <c r="C3423" s="55" t="s">
        <v>9691</v>
      </c>
      <c r="D3423" s="55" t="s">
        <v>9755</v>
      </c>
    </row>
    <row r="3424" ht="14.25" customHeight="1">
      <c r="A3424" s="55" t="s">
        <v>9457</v>
      </c>
      <c r="B3424" s="55" t="s">
        <v>40</v>
      </c>
      <c r="C3424" s="55" t="s">
        <v>9519</v>
      </c>
      <c r="D3424" s="55" t="s">
        <v>9305</v>
      </c>
    </row>
    <row r="3425" ht="14.25" customHeight="1">
      <c r="A3425" s="55" t="s">
        <v>9457</v>
      </c>
      <c r="B3425" s="55" t="s">
        <v>40</v>
      </c>
      <c r="C3425" s="55" t="s">
        <v>9902</v>
      </c>
      <c r="D3425" s="55" t="s">
        <v>9474</v>
      </c>
    </row>
    <row r="3426" ht="14.25" customHeight="1">
      <c r="A3426" s="55" t="s">
        <v>9457</v>
      </c>
      <c r="B3426" s="55" t="s">
        <v>40</v>
      </c>
      <c r="C3426" s="55" t="s">
        <v>10252</v>
      </c>
      <c r="D3426" s="55" t="s">
        <v>9265</v>
      </c>
    </row>
    <row r="3427" ht="14.25" customHeight="1">
      <c r="A3427" s="55" t="s">
        <v>9457</v>
      </c>
      <c r="B3427" s="55" t="s">
        <v>40</v>
      </c>
      <c r="C3427" s="55" t="s">
        <v>1906</v>
      </c>
      <c r="D3427" s="55" t="s">
        <v>9151</v>
      </c>
    </row>
    <row r="3428" ht="14.25" customHeight="1">
      <c r="A3428" s="55" t="s">
        <v>9457</v>
      </c>
      <c r="B3428" s="55" t="s">
        <v>40</v>
      </c>
      <c r="C3428" s="55" t="s">
        <v>1906</v>
      </c>
      <c r="D3428" s="55" t="s">
        <v>9520</v>
      </c>
    </row>
    <row r="3429" ht="14.25" customHeight="1">
      <c r="A3429" s="55" t="s">
        <v>9457</v>
      </c>
      <c r="B3429" s="55" t="s">
        <v>40</v>
      </c>
      <c r="C3429" s="55" t="s">
        <v>1906</v>
      </c>
      <c r="D3429" s="55" t="s">
        <v>9521</v>
      </c>
    </row>
    <row r="3430" ht="14.25" customHeight="1">
      <c r="A3430" s="55" t="s">
        <v>9457</v>
      </c>
      <c r="B3430" s="55" t="s">
        <v>40</v>
      </c>
      <c r="C3430" s="55" t="s">
        <v>4109</v>
      </c>
      <c r="D3430" s="55" t="s">
        <v>9867</v>
      </c>
    </row>
    <row r="3431" ht="14.25" customHeight="1">
      <c r="A3431" s="55" t="s">
        <v>9457</v>
      </c>
      <c r="B3431" s="55" t="s">
        <v>40</v>
      </c>
      <c r="C3431" s="55" t="s">
        <v>4109</v>
      </c>
      <c r="D3431" s="55" t="s">
        <v>10253</v>
      </c>
    </row>
    <row r="3432" ht="14.25" customHeight="1">
      <c r="A3432" s="55" t="s">
        <v>9457</v>
      </c>
      <c r="B3432" s="55" t="s">
        <v>40</v>
      </c>
      <c r="C3432" s="55" t="s">
        <v>12980</v>
      </c>
      <c r="D3432" s="55" t="s">
        <v>12981</v>
      </c>
    </row>
    <row r="3433" ht="14.25" customHeight="1">
      <c r="A3433" s="55" t="s">
        <v>9457</v>
      </c>
      <c r="B3433" s="55" t="s">
        <v>40</v>
      </c>
      <c r="C3433" s="55" t="s">
        <v>241</v>
      </c>
      <c r="D3433" s="55" t="s">
        <v>9522</v>
      </c>
    </row>
    <row r="3434" ht="14.25" customHeight="1">
      <c r="A3434" s="55" t="s">
        <v>9457</v>
      </c>
      <c r="B3434" s="55" t="s">
        <v>40</v>
      </c>
      <c r="C3434" s="55" t="s">
        <v>241</v>
      </c>
      <c r="D3434" s="55" t="s">
        <v>9265</v>
      </c>
    </row>
    <row r="3435" ht="14.25" customHeight="1">
      <c r="A3435" s="55" t="s">
        <v>9457</v>
      </c>
      <c r="B3435" s="55" t="s">
        <v>40</v>
      </c>
      <c r="C3435" s="55" t="s">
        <v>10254</v>
      </c>
      <c r="D3435" s="55" t="s">
        <v>10255</v>
      </c>
    </row>
    <row r="3436" ht="14.25" customHeight="1">
      <c r="A3436" s="55" t="s">
        <v>9457</v>
      </c>
      <c r="B3436" s="55" t="s">
        <v>40</v>
      </c>
      <c r="C3436" s="55" t="s">
        <v>10640</v>
      </c>
      <c r="D3436" s="55" t="s">
        <v>9265</v>
      </c>
    </row>
    <row r="3437" ht="14.25" customHeight="1">
      <c r="A3437" s="55" t="s">
        <v>9457</v>
      </c>
      <c r="B3437" s="55" t="s">
        <v>40</v>
      </c>
      <c r="C3437" s="55" t="s">
        <v>10912</v>
      </c>
      <c r="D3437" s="55" t="s">
        <v>9034</v>
      </c>
    </row>
    <row r="3438" ht="14.25" customHeight="1">
      <c r="A3438" s="55" t="s">
        <v>9457</v>
      </c>
      <c r="B3438" s="55" t="s">
        <v>40</v>
      </c>
      <c r="C3438" s="55" t="s">
        <v>244</v>
      </c>
      <c r="D3438" s="55" t="s">
        <v>11567</v>
      </c>
    </row>
    <row r="3439" ht="14.25" customHeight="1">
      <c r="A3439" s="55" t="s">
        <v>9457</v>
      </c>
      <c r="B3439" s="55" t="s">
        <v>40</v>
      </c>
      <c r="C3439" s="55" t="s">
        <v>4165</v>
      </c>
      <c r="D3439" s="55" t="s">
        <v>8978</v>
      </c>
    </row>
    <row r="3440" ht="14.25" customHeight="1">
      <c r="A3440" s="55" t="s">
        <v>9457</v>
      </c>
      <c r="B3440" s="55" t="s">
        <v>40</v>
      </c>
      <c r="C3440" s="55" t="s">
        <v>12982</v>
      </c>
      <c r="D3440" s="55" t="s">
        <v>9066</v>
      </c>
    </row>
    <row r="3441" ht="14.25" customHeight="1">
      <c r="A3441" s="55" t="s">
        <v>9457</v>
      </c>
      <c r="B3441" s="55" t="s">
        <v>40</v>
      </c>
      <c r="C3441" s="55" t="s">
        <v>7066</v>
      </c>
      <c r="D3441" s="55" t="s">
        <v>14227</v>
      </c>
    </row>
    <row r="3442" ht="14.25" customHeight="1">
      <c r="A3442" s="55" t="s">
        <v>9457</v>
      </c>
      <c r="B3442" s="55" t="s">
        <v>40</v>
      </c>
      <c r="C3442" s="55" t="s">
        <v>9523</v>
      </c>
      <c r="D3442" s="55" t="s">
        <v>9265</v>
      </c>
    </row>
    <row r="3443" ht="14.25" customHeight="1">
      <c r="A3443" s="55" t="s">
        <v>9457</v>
      </c>
      <c r="B3443" s="55" t="s">
        <v>40</v>
      </c>
      <c r="C3443" s="55" t="s">
        <v>9523</v>
      </c>
      <c r="D3443" s="55" t="s">
        <v>9249</v>
      </c>
    </row>
    <row r="3444" ht="14.25" customHeight="1">
      <c r="A3444" s="55" t="s">
        <v>9457</v>
      </c>
      <c r="B3444" s="55" t="s">
        <v>40</v>
      </c>
      <c r="C3444" s="55" t="s">
        <v>9524</v>
      </c>
      <c r="D3444" s="55" t="s">
        <v>8968</v>
      </c>
    </row>
    <row r="3445" ht="14.25" customHeight="1">
      <c r="A3445" s="55" t="s">
        <v>9457</v>
      </c>
      <c r="B3445" s="55" t="s">
        <v>40</v>
      </c>
      <c r="C3445" s="55" t="s">
        <v>253</v>
      </c>
      <c r="D3445" s="55" t="s">
        <v>10269</v>
      </c>
    </row>
    <row r="3446" ht="14.25" customHeight="1">
      <c r="A3446" s="55" t="s">
        <v>9457</v>
      </c>
      <c r="B3446" s="55" t="s">
        <v>40</v>
      </c>
      <c r="C3446" s="55" t="s">
        <v>255</v>
      </c>
      <c r="D3446" s="55" t="s">
        <v>9144</v>
      </c>
    </row>
    <row r="3447" ht="14.25" customHeight="1">
      <c r="A3447" s="55" t="s">
        <v>9457</v>
      </c>
      <c r="B3447" s="55" t="s">
        <v>40</v>
      </c>
      <c r="C3447" s="55" t="s">
        <v>8763</v>
      </c>
      <c r="D3447" s="55" t="s">
        <v>405</v>
      </c>
    </row>
    <row r="3448" ht="14.25" customHeight="1">
      <c r="A3448" s="55" t="s">
        <v>9457</v>
      </c>
      <c r="B3448" s="55" t="s">
        <v>40</v>
      </c>
      <c r="C3448" s="55" t="s">
        <v>9434</v>
      </c>
      <c r="D3448" s="55" t="s">
        <v>9514</v>
      </c>
    </row>
    <row r="3449" ht="14.25" customHeight="1">
      <c r="A3449" s="55" t="s">
        <v>9457</v>
      </c>
      <c r="B3449" s="55" t="s">
        <v>40</v>
      </c>
      <c r="C3449" s="55" t="s">
        <v>9434</v>
      </c>
      <c r="D3449" s="55" t="s">
        <v>9583</v>
      </c>
    </row>
    <row r="3450" ht="14.25" customHeight="1">
      <c r="A3450" s="55" t="s">
        <v>9457</v>
      </c>
      <c r="B3450" s="55" t="s">
        <v>40</v>
      </c>
      <c r="C3450" s="55" t="s">
        <v>10256</v>
      </c>
      <c r="D3450" s="55" t="s">
        <v>10257</v>
      </c>
    </row>
    <row r="3451" ht="14.25" customHeight="1">
      <c r="A3451" s="55" t="s">
        <v>9457</v>
      </c>
      <c r="B3451" s="55" t="s">
        <v>40</v>
      </c>
      <c r="C3451" s="55" t="s">
        <v>10163</v>
      </c>
      <c r="D3451" s="55" t="s">
        <v>9249</v>
      </c>
    </row>
    <row r="3452" ht="14.25" customHeight="1">
      <c r="A3452" s="55" t="s">
        <v>9457</v>
      </c>
      <c r="B3452" s="55" t="s">
        <v>40</v>
      </c>
      <c r="C3452" s="55" t="s">
        <v>9090</v>
      </c>
      <c r="D3452" s="55" t="s">
        <v>9095</v>
      </c>
    </row>
    <row r="3453" ht="14.25" customHeight="1">
      <c r="A3453" s="55" t="s">
        <v>9457</v>
      </c>
      <c r="B3453" s="55" t="s">
        <v>40</v>
      </c>
      <c r="C3453" s="55" t="s">
        <v>9160</v>
      </c>
      <c r="D3453" s="55" t="s">
        <v>9034</v>
      </c>
    </row>
    <row r="3454" ht="14.25" customHeight="1">
      <c r="A3454" s="55" t="s">
        <v>9457</v>
      </c>
      <c r="B3454" s="55" t="s">
        <v>40</v>
      </c>
      <c r="C3454" s="55" t="s">
        <v>9160</v>
      </c>
      <c r="D3454" s="55" t="s">
        <v>9545</v>
      </c>
    </row>
    <row r="3455" ht="14.25" customHeight="1">
      <c r="A3455" s="55" t="s">
        <v>9457</v>
      </c>
      <c r="B3455" s="55" t="s">
        <v>40</v>
      </c>
      <c r="C3455" s="55" t="s">
        <v>9160</v>
      </c>
      <c r="D3455" s="55" t="s">
        <v>9305</v>
      </c>
    </row>
    <row r="3456" ht="14.25" customHeight="1">
      <c r="A3456" s="55" t="s">
        <v>9457</v>
      </c>
      <c r="B3456" s="55" t="s">
        <v>40</v>
      </c>
      <c r="C3456" s="55" t="s">
        <v>9160</v>
      </c>
      <c r="D3456" s="55" t="s">
        <v>12983</v>
      </c>
    </row>
    <row r="3457" ht="14.25" customHeight="1">
      <c r="A3457" s="55" t="s">
        <v>9457</v>
      </c>
      <c r="B3457" s="55" t="s">
        <v>40</v>
      </c>
      <c r="C3457" s="55" t="s">
        <v>9160</v>
      </c>
      <c r="D3457" s="55" t="s">
        <v>9291</v>
      </c>
    </row>
    <row r="3458" ht="14.25" customHeight="1">
      <c r="A3458" s="55" t="s">
        <v>9457</v>
      </c>
      <c r="B3458" s="55" t="s">
        <v>40</v>
      </c>
      <c r="C3458" s="55" t="s">
        <v>9160</v>
      </c>
      <c r="D3458" s="55" t="s">
        <v>10270</v>
      </c>
    </row>
    <row r="3459" ht="14.25" customHeight="1">
      <c r="A3459" s="55" t="s">
        <v>9457</v>
      </c>
      <c r="B3459" s="55" t="s">
        <v>40</v>
      </c>
      <c r="C3459" s="55" t="s">
        <v>9160</v>
      </c>
      <c r="D3459" s="55" t="s">
        <v>12984</v>
      </c>
    </row>
    <row r="3460" ht="14.25" customHeight="1">
      <c r="A3460" s="55" t="s">
        <v>9457</v>
      </c>
      <c r="B3460" s="55" t="s">
        <v>40</v>
      </c>
      <c r="C3460" s="55" t="s">
        <v>9160</v>
      </c>
      <c r="D3460" s="55" t="s">
        <v>11490</v>
      </c>
    </row>
    <row r="3461" ht="14.25" customHeight="1">
      <c r="A3461" s="55" t="s">
        <v>9457</v>
      </c>
      <c r="B3461" s="55" t="s">
        <v>40</v>
      </c>
      <c r="C3461" s="55" t="s">
        <v>9160</v>
      </c>
      <c r="D3461" s="55" t="s">
        <v>12985</v>
      </c>
    </row>
    <row r="3462" ht="14.25" customHeight="1">
      <c r="A3462" s="55" t="s">
        <v>9457</v>
      </c>
      <c r="B3462" s="55" t="s">
        <v>40</v>
      </c>
      <c r="C3462" s="55" t="s">
        <v>9160</v>
      </c>
      <c r="D3462" s="55" t="s">
        <v>9073</v>
      </c>
    </row>
    <row r="3463" ht="14.25" customHeight="1">
      <c r="A3463" s="55" t="s">
        <v>9457</v>
      </c>
      <c r="B3463" s="55" t="s">
        <v>40</v>
      </c>
      <c r="C3463" s="55" t="s">
        <v>9160</v>
      </c>
      <c r="D3463" s="55" t="s">
        <v>9525</v>
      </c>
    </row>
    <row r="3464" ht="14.25" customHeight="1">
      <c r="A3464" s="55" t="s">
        <v>9457</v>
      </c>
      <c r="B3464" s="55" t="s">
        <v>40</v>
      </c>
      <c r="C3464" s="55" t="s">
        <v>9160</v>
      </c>
      <c r="D3464" s="55" t="s">
        <v>9292</v>
      </c>
    </row>
    <row r="3465" ht="14.25" customHeight="1">
      <c r="A3465" s="55" t="s">
        <v>9457</v>
      </c>
      <c r="B3465" s="55" t="s">
        <v>40</v>
      </c>
      <c r="C3465" s="55" t="s">
        <v>9160</v>
      </c>
      <c r="D3465" s="55" t="s">
        <v>12986</v>
      </c>
    </row>
    <row r="3466" ht="14.25" customHeight="1">
      <c r="A3466" s="55" t="s">
        <v>9457</v>
      </c>
      <c r="B3466" s="55" t="s">
        <v>40</v>
      </c>
      <c r="C3466" s="55" t="s">
        <v>9160</v>
      </c>
      <c r="D3466" s="55" t="s">
        <v>12987</v>
      </c>
    </row>
    <row r="3467" ht="14.25" customHeight="1">
      <c r="A3467" s="55" t="s">
        <v>9457</v>
      </c>
      <c r="B3467" s="55" t="s">
        <v>40</v>
      </c>
      <c r="C3467" s="55" t="s">
        <v>9160</v>
      </c>
      <c r="D3467" s="55" t="s">
        <v>9526</v>
      </c>
    </row>
    <row r="3468" ht="14.25" customHeight="1">
      <c r="A3468" s="55" t="s">
        <v>9457</v>
      </c>
      <c r="B3468" s="55" t="s">
        <v>40</v>
      </c>
      <c r="C3468" s="55" t="s">
        <v>9160</v>
      </c>
      <c r="D3468" s="55" t="s">
        <v>11690</v>
      </c>
    </row>
    <row r="3469" ht="14.25" customHeight="1">
      <c r="A3469" s="55" t="s">
        <v>9457</v>
      </c>
      <c r="B3469" s="55" t="s">
        <v>40</v>
      </c>
      <c r="C3469" s="55" t="s">
        <v>9160</v>
      </c>
      <c r="D3469" s="55" t="s">
        <v>9118</v>
      </c>
    </row>
    <row r="3470" ht="14.25" customHeight="1">
      <c r="A3470" s="55" t="s">
        <v>9457</v>
      </c>
      <c r="B3470" s="55" t="s">
        <v>40</v>
      </c>
      <c r="C3470" s="55" t="s">
        <v>9160</v>
      </c>
      <c r="D3470" s="55" t="s">
        <v>9086</v>
      </c>
    </row>
    <row r="3471" ht="14.25" customHeight="1">
      <c r="A3471" s="55" t="s">
        <v>9457</v>
      </c>
      <c r="B3471" s="55" t="s">
        <v>40</v>
      </c>
      <c r="C3471" s="55" t="s">
        <v>262</v>
      </c>
      <c r="D3471" s="55" t="s">
        <v>9034</v>
      </c>
    </row>
    <row r="3472" ht="14.25" customHeight="1">
      <c r="A3472" s="55" t="s">
        <v>9457</v>
      </c>
      <c r="B3472" s="55" t="s">
        <v>40</v>
      </c>
      <c r="C3472" s="55" t="s">
        <v>262</v>
      </c>
      <c r="D3472" s="55" t="s">
        <v>12183</v>
      </c>
    </row>
    <row r="3473" ht="14.25" customHeight="1">
      <c r="A3473" s="55" t="s">
        <v>9457</v>
      </c>
      <c r="B3473" s="55" t="s">
        <v>40</v>
      </c>
      <c r="C3473" s="55" t="s">
        <v>262</v>
      </c>
      <c r="D3473" s="55" t="s">
        <v>9291</v>
      </c>
    </row>
    <row r="3474" ht="14.25" customHeight="1">
      <c r="A3474" s="55" t="s">
        <v>9457</v>
      </c>
      <c r="B3474" s="55" t="s">
        <v>40</v>
      </c>
      <c r="C3474" s="55" t="s">
        <v>262</v>
      </c>
      <c r="D3474" s="55" t="s">
        <v>11568</v>
      </c>
    </row>
    <row r="3475" ht="14.25" customHeight="1">
      <c r="A3475" s="55" t="s">
        <v>9457</v>
      </c>
      <c r="B3475" s="55" t="s">
        <v>40</v>
      </c>
      <c r="C3475" s="55" t="s">
        <v>262</v>
      </c>
      <c r="D3475" s="55" t="s">
        <v>10270</v>
      </c>
    </row>
    <row r="3476" ht="14.25" customHeight="1">
      <c r="A3476" s="55" t="s">
        <v>9457</v>
      </c>
      <c r="B3476" s="55" t="s">
        <v>40</v>
      </c>
      <c r="C3476" s="55" t="s">
        <v>262</v>
      </c>
      <c r="D3476" s="55" t="s">
        <v>8968</v>
      </c>
    </row>
    <row r="3477" ht="14.25" customHeight="1">
      <c r="A3477" s="55" t="s">
        <v>9457</v>
      </c>
      <c r="B3477" s="55" t="s">
        <v>40</v>
      </c>
      <c r="C3477" s="55" t="s">
        <v>262</v>
      </c>
      <c r="D3477" s="55" t="s">
        <v>9817</v>
      </c>
    </row>
    <row r="3478" ht="14.25" customHeight="1">
      <c r="A3478" s="55" t="s">
        <v>9457</v>
      </c>
      <c r="B3478" s="55" t="s">
        <v>40</v>
      </c>
      <c r="C3478" s="55" t="s">
        <v>262</v>
      </c>
      <c r="D3478" s="55" t="s">
        <v>12184</v>
      </c>
    </row>
    <row r="3479" ht="14.25" customHeight="1">
      <c r="A3479" s="55" t="s">
        <v>9457</v>
      </c>
      <c r="B3479" s="55" t="s">
        <v>40</v>
      </c>
      <c r="C3479" s="55" t="s">
        <v>262</v>
      </c>
      <c r="D3479" s="55" t="s">
        <v>11569</v>
      </c>
    </row>
    <row r="3480" ht="14.25" customHeight="1">
      <c r="A3480" s="55" t="s">
        <v>9457</v>
      </c>
      <c r="B3480" s="55" t="s">
        <v>40</v>
      </c>
      <c r="C3480" s="55" t="s">
        <v>262</v>
      </c>
      <c r="D3480" s="55" t="s">
        <v>11397</v>
      </c>
    </row>
    <row r="3481" ht="14.25" customHeight="1">
      <c r="A3481" s="55" t="s">
        <v>9457</v>
      </c>
      <c r="B3481" s="55" t="s">
        <v>40</v>
      </c>
      <c r="C3481" s="55" t="s">
        <v>262</v>
      </c>
      <c r="D3481" s="55" t="s">
        <v>9292</v>
      </c>
    </row>
    <row r="3482" ht="14.25" customHeight="1">
      <c r="A3482" s="55" t="s">
        <v>9457</v>
      </c>
      <c r="B3482" s="55" t="s">
        <v>40</v>
      </c>
      <c r="C3482" s="55" t="s">
        <v>262</v>
      </c>
      <c r="D3482" s="55" t="s">
        <v>12073</v>
      </c>
    </row>
    <row r="3483" ht="14.25" customHeight="1">
      <c r="A3483" s="55" t="s">
        <v>9457</v>
      </c>
      <c r="B3483" s="55" t="s">
        <v>40</v>
      </c>
      <c r="C3483" s="55" t="s">
        <v>262</v>
      </c>
      <c r="D3483" s="55" t="s">
        <v>12164</v>
      </c>
    </row>
    <row r="3484" ht="14.25" customHeight="1">
      <c r="A3484" s="55" t="s">
        <v>9457</v>
      </c>
      <c r="B3484" s="55" t="s">
        <v>40</v>
      </c>
      <c r="C3484" s="55" t="s">
        <v>262</v>
      </c>
      <c r="D3484" s="55" t="s">
        <v>12185</v>
      </c>
    </row>
    <row r="3485" ht="14.25" customHeight="1">
      <c r="A3485" s="55" t="s">
        <v>9457</v>
      </c>
      <c r="B3485" s="55" t="s">
        <v>40</v>
      </c>
      <c r="C3485" s="55" t="s">
        <v>262</v>
      </c>
      <c r="D3485" s="55" t="s">
        <v>9649</v>
      </c>
    </row>
    <row r="3486" ht="14.25" customHeight="1">
      <c r="A3486" s="55" t="s">
        <v>9457</v>
      </c>
      <c r="B3486" s="55" t="s">
        <v>40</v>
      </c>
      <c r="C3486" s="55" t="s">
        <v>262</v>
      </c>
      <c r="D3486" s="55" t="s">
        <v>9604</v>
      </c>
    </row>
    <row r="3487" ht="14.25" customHeight="1">
      <c r="A3487" s="55" t="s">
        <v>9457</v>
      </c>
      <c r="B3487" s="55" t="s">
        <v>40</v>
      </c>
      <c r="C3487" s="55" t="s">
        <v>262</v>
      </c>
      <c r="D3487" s="55" t="s">
        <v>9855</v>
      </c>
    </row>
    <row r="3488" ht="14.25" customHeight="1">
      <c r="A3488" s="55" t="s">
        <v>9457</v>
      </c>
      <c r="B3488" s="55" t="s">
        <v>40</v>
      </c>
      <c r="C3488" s="55" t="s">
        <v>262</v>
      </c>
      <c r="D3488" s="55" t="s">
        <v>13734</v>
      </c>
    </row>
    <row r="3489" ht="14.25" customHeight="1">
      <c r="A3489" s="55" t="s">
        <v>9457</v>
      </c>
      <c r="B3489" s="55" t="s">
        <v>40</v>
      </c>
      <c r="C3489" s="55" t="s">
        <v>262</v>
      </c>
      <c r="D3489" s="55" t="s">
        <v>9118</v>
      </c>
    </row>
    <row r="3490" ht="14.25" customHeight="1">
      <c r="A3490" s="55" t="s">
        <v>9457</v>
      </c>
      <c r="B3490" s="55" t="s">
        <v>40</v>
      </c>
      <c r="C3490" s="55" t="s">
        <v>262</v>
      </c>
      <c r="D3490" s="55" t="s">
        <v>9086</v>
      </c>
    </row>
    <row r="3491" ht="14.25" customHeight="1">
      <c r="A3491" s="55" t="s">
        <v>9457</v>
      </c>
      <c r="B3491" s="55" t="s">
        <v>40</v>
      </c>
      <c r="C3491" s="55" t="s">
        <v>12988</v>
      </c>
      <c r="D3491" s="55" t="s">
        <v>12975</v>
      </c>
    </row>
    <row r="3492" ht="14.25" customHeight="1">
      <c r="A3492" s="55" t="s">
        <v>9457</v>
      </c>
      <c r="B3492" s="55" t="s">
        <v>40</v>
      </c>
      <c r="C3492" s="55" t="s">
        <v>9527</v>
      </c>
      <c r="D3492" s="55" t="s">
        <v>8968</v>
      </c>
    </row>
    <row r="3493" ht="14.25" customHeight="1">
      <c r="A3493" s="55" t="s">
        <v>9457</v>
      </c>
      <c r="B3493" s="55" t="s">
        <v>40</v>
      </c>
      <c r="C3493" s="55" t="s">
        <v>11080</v>
      </c>
      <c r="D3493" s="55" t="s">
        <v>12186</v>
      </c>
    </row>
    <row r="3494" ht="14.25" customHeight="1">
      <c r="A3494" s="55" t="s">
        <v>9457</v>
      </c>
      <c r="B3494" s="55" t="s">
        <v>40</v>
      </c>
      <c r="C3494" s="55" t="s">
        <v>12187</v>
      </c>
      <c r="D3494" s="55" t="s">
        <v>11568</v>
      </c>
    </row>
    <row r="3495" ht="14.25" customHeight="1">
      <c r="A3495" s="55" t="s">
        <v>9457</v>
      </c>
      <c r="B3495" s="55" t="s">
        <v>40</v>
      </c>
      <c r="C3495" s="55" t="s">
        <v>265</v>
      </c>
      <c r="D3495" s="55" t="s">
        <v>9486</v>
      </c>
    </row>
    <row r="3496" ht="14.25" customHeight="1">
      <c r="A3496" s="55" t="s">
        <v>9457</v>
      </c>
      <c r="B3496" s="55" t="s">
        <v>40</v>
      </c>
      <c r="C3496" s="55" t="s">
        <v>10109</v>
      </c>
      <c r="D3496" s="55" t="s">
        <v>9265</v>
      </c>
    </row>
    <row r="3497" ht="14.25" customHeight="1">
      <c r="A3497" s="55" t="s">
        <v>9457</v>
      </c>
      <c r="B3497" s="55" t="s">
        <v>40</v>
      </c>
      <c r="C3497" s="55" t="s">
        <v>268</v>
      </c>
      <c r="D3497" s="55" t="s">
        <v>9291</v>
      </c>
    </row>
    <row r="3498" ht="14.25" customHeight="1">
      <c r="A3498" s="55" t="s">
        <v>9457</v>
      </c>
      <c r="B3498" s="55" t="s">
        <v>40</v>
      </c>
      <c r="C3498" s="55" t="s">
        <v>269</v>
      </c>
      <c r="D3498" s="55" t="s">
        <v>12188</v>
      </c>
    </row>
    <row r="3499" ht="14.25" customHeight="1">
      <c r="A3499" s="55" t="s">
        <v>9457</v>
      </c>
      <c r="B3499" s="55" t="s">
        <v>40</v>
      </c>
      <c r="C3499" s="55" t="s">
        <v>11570</v>
      </c>
      <c r="D3499" s="55" t="s">
        <v>9109</v>
      </c>
    </row>
    <row r="3500" ht="14.25" customHeight="1">
      <c r="A3500" s="55" t="s">
        <v>9457</v>
      </c>
      <c r="B3500" s="55" t="s">
        <v>40</v>
      </c>
      <c r="C3500" s="55" t="s">
        <v>13735</v>
      </c>
      <c r="D3500" s="55" t="s">
        <v>13736</v>
      </c>
    </row>
    <row r="3501" ht="14.25" customHeight="1">
      <c r="A3501" s="55" t="s">
        <v>9457</v>
      </c>
      <c r="B3501" s="55" t="s">
        <v>40</v>
      </c>
      <c r="C3501" s="55" t="s">
        <v>10258</v>
      </c>
      <c r="D3501" s="55" t="s">
        <v>10259</v>
      </c>
    </row>
    <row r="3502" ht="14.25" customHeight="1">
      <c r="A3502" s="55" t="s">
        <v>9457</v>
      </c>
      <c r="B3502" s="55" t="s">
        <v>40</v>
      </c>
      <c r="C3502" s="55" t="s">
        <v>12189</v>
      </c>
      <c r="D3502" s="55" t="s">
        <v>12190</v>
      </c>
    </row>
    <row r="3503" ht="14.25" customHeight="1">
      <c r="A3503" s="55" t="s">
        <v>9457</v>
      </c>
      <c r="B3503" s="55" t="s">
        <v>40</v>
      </c>
      <c r="C3503" s="55" t="s">
        <v>4354</v>
      </c>
      <c r="D3503" s="55" t="s">
        <v>9528</v>
      </c>
    </row>
    <row r="3504" ht="14.25" customHeight="1">
      <c r="A3504" s="55" t="s">
        <v>9457</v>
      </c>
      <c r="B3504" s="55" t="s">
        <v>40</v>
      </c>
      <c r="C3504" s="55" t="s">
        <v>10260</v>
      </c>
      <c r="D3504" s="55" t="s">
        <v>10261</v>
      </c>
    </row>
    <row r="3505" ht="14.25" customHeight="1">
      <c r="A3505" s="55" t="s">
        <v>9457</v>
      </c>
      <c r="B3505" s="55" t="s">
        <v>40</v>
      </c>
      <c r="C3505" s="55" t="s">
        <v>12989</v>
      </c>
      <c r="D3505" s="55" t="s">
        <v>12990</v>
      </c>
    </row>
    <row r="3506" ht="14.25" customHeight="1">
      <c r="A3506" s="55" t="s">
        <v>9457</v>
      </c>
      <c r="B3506" s="55" t="s">
        <v>40</v>
      </c>
      <c r="C3506" s="55" t="s">
        <v>11571</v>
      </c>
      <c r="D3506" s="55" t="s">
        <v>11572</v>
      </c>
    </row>
    <row r="3507" ht="14.25" customHeight="1">
      <c r="A3507" s="55" t="s">
        <v>9457</v>
      </c>
      <c r="B3507" s="55" t="s">
        <v>40</v>
      </c>
      <c r="C3507" s="55" t="s">
        <v>9005</v>
      </c>
      <c r="D3507" s="55" t="s">
        <v>9006</v>
      </c>
    </row>
    <row r="3508" ht="14.25" customHeight="1">
      <c r="A3508" s="55" t="s">
        <v>9457</v>
      </c>
      <c r="B3508" s="55" t="s">
        <v>40</v>
      </c>
      <c r="C3508" s="55" t="s">
        <v>9529</v>
      </c>
      <c r="D3508" s="55" t="s">
        <v>9006</v>
      </c>
    </row>
    <row r="3509" ht="14.25" customHeight="1">
      <c r="A3509" s="55" t="s">
        <v>9457</v>
      </c>
      <c r="B3509" s="55" t="s">
        <v>40</v>
      </c>
      <c r="C3509" s="55" t="s">
        <v>9529</v>
      </c>
      <c r="D3509" s="55" t="s">
        <v>9970</v>
      </c>
    </row>
    <row r="3510" ht="14.25" customHeight="1">
      <c r="A3510" s="55" t="s">
        <v>9457</v>
      </c>
      <c r="B3510" s="55" t="s">
        <v>40</v>
      </c>
      <c r="C3510" s="55" t="s">
        <v>12991</v>
      </c>
      <c r="D3510" s="55" t="s">
        <v>12992</v>
      </c>
    </row>
    <row r="3511" ht="14.25" customHeight="1">
      <c r="A3511" s="55" t="s">
        <v>9457</v>
      </c>
      <c r="B3511" s="55" t="s">
        <v>40</v>
      </c>
      <c r="C3511" s="55" t="s">
        <v>14228</v>
      </c>
      <c r="D3511" s="55" t="s">
        <v>9034</v>
      </c>
    </row>
    <row r="3512" ht="14.25" customHeight="1">
      <c r="A3512" s="55" t="s">
        <v>9457</v>
      </c>
      <c r="B3512" s="55" t="s">
        <v>40</v>
      </c>
      <c r="C3512" s="55" t="s">
        <v>9007</v>
      </c>
      <c r="D3512" s="55" t="s">
        <v>9034</v>
      </c>
    </row>
    <row r="3513" ht="14.25" customHeight="1">
      <c r="A3513" s="55" t="s">
        <v>9457</v>
      </c>
      <c r="B3513" s="55" t="s">
        <v>40</v>
      </c>
      <c r="C3513" s="55" t="s">
        <v>9007</v>
      </c>
      <c r="D3513" s="55" t="s">
        <v>14154</v>
      </c>
    </row>
    <row r="3514" ht="14.25" customHeight="1">
      <c r="A3514" s="55" t="s">
        <v>9457</v>
      </c>
      <c r="B3514" s="55" t="s">
        <v>40</v>
      </c>
      <c r="C3514" s="55" t="s">
        <v>14229</v>
      </c>
      <c r="D3514" s="55" t="s">
        <v>13379</v>
      </c>
    </row>
    <row r="3515" ht="14.25" customHeight="1">
      <c r="A3515" s="55" t="s">
        <v>9457</v>
      </c>
      <c r="B3515" s="55" t="s">
        <v>40</v>
      </c>
      <c r="C3515" s="55" t="s">
        <v>10913</v>
      </c>
      <c r="D3515" s="55" t="s">
        <v>9034</v>
      </c>
    </row>
    <row r="3516" ht="14.25" customHeight="1">
      <c r="A3516" s="55" t="s">
        <v>9457</v>
      </c>
      <c r="B3516" s="55" t="s">
        <v>40</v>
      </c>
      <c r="C3516" s="55" t="s">
        <v>9530</v>
      </c>
      <c r="D3516" s="55" t="s">
        <v>9034</v>
      </c>
    </row>
    <row r="3517" ht="14.25" customHeight="1">
      <c r="A3517" s="55" t="s">
        <v>9457</v>
      </c>
      <c r="B3517" s="55" t="s">
        <v>40</v>
      </c>
      <c r="C3517" s="55" t="s">
        <v>324</v>
      </c>
      <c r="D3517" s="55" t="s">
        <v>9508</v>
      </c>
    </row>
    <row r="3518" ht="14.25" customHeight="1">
      <c r="A3518" s="55" t="s">
        <v>9457</v>
      </c>
      <c r="B3518" s="55" t="s">
        <v>40</v>
      </c>
      <c r="C3518" s="55" t="s">
        <v>324</v>
      </c>
      <c r="D3518" s="55" t="s">
        <v>11891</v>
      </c>
    </row>
    <row r="3519" ht="14.25" customHeight="1">
      <c r="A3519" s="55" t="s">
        <v>9457</v>
      </c>
      <c r="B3519" s="55" t="s">
        <v>40</v>
      </c>
      <c r="C3519" s="55" t="s">
        <v>324</v>
      </c>
      <c r="D3519" s="55" t="s">
        <v>10914</v>
      </c>
    </row>
    <row r="3520" ht="14.25" customHeight="1">
      <c r="A3520" s="55" t="s">
        <v>9457</v>
      </c>
      <c r="B3520" s="55" t="s">
        <v>40</v>
      </c>
      <c r="C3520" s="55" t="s">
        <v>12397</v>
      </c>
      <c r="D3520" s="55" t="s">
        <v>13737</v>
      </c>
    </row>
    <row r="3521" ht="14.25" customHeight="1">
      <c r="A3521" s="55" t="s">
        <v>9457</v>
      </c>
      <c r="B3521" s="55" t="s">
        <v>40</v>
      </c>
      <c r="C3521" s="55" t="s">
        <v>10262</v>
      </c>
      <c r="D3521" s="55" t="s">
        <v>10263</v>
      </c>
    </row>
    <row r="3522" ht="14.25" customHeight="1">
      <c r="A3522" s="55" t="s">
        <v>9457</v>
      </c>
      <c r="B3522" s="55" t="s">
        <v>40</v>
      </c>
      <c r="C3522" s="55" t="s">
        <v>7335</v>
      </c>
      <c r="D3522" s="55" t="s">
        <v>9265</v>
      </c>
    </row>
    <row r="3523" ht="14.25" customHeight="1">
      <c r="A3523" s="55" t="s">
        <v>9457</v>
      </c>
      <c r="B3523" s="55" t="s">
        <v>40</v>
      </c>
      <c r="C3523" s="55" t="s">
        <v>2230</v>
      </c>
      <c r="D3523" s="55" t="s">
        <v>13725</v>
      </c>
    </row>
    <row r="3524" ht="14.25" customHeight="1">
      <c r="A3524" s="55" t="s">
        <v>9457</v>
      </c>
      <c r="B3524" s="55" t="s">
        <v>40</v>
      </c>
      <c r="C3524" s="55" t="s">
        <v>10264</v>
      </c>
      <c r="D3524" s="55" t="s">
        <v>9643</v>
      </c>
    </row>
    <row r="3525" ht="14.25" customHeight="1">
      <c r="A3525" s="55" t="s">
        <v>9457</v>
      </c>
      <c r="B3525" s="55" t="s">
        <v>40</v>
      </c>
      <c r="C3525" s="55" t="s">
        <v>9531</v>
      </c>
      <c r="D3525" s="55" t="s">
        <v>9532</v>
      </c>
    </row>
    <row r="3526" ht="14.25" customHeight="1">
      <c r="A3526" s="55" t="s">
        <v>9457</v>
      </c>
      <c r="B3526" s="55" t="s">
        <v>40</v>
      </c>
      <c r="C3526" s="55" t="s">
        <v>12993</v>
      </c>
      <c r="D3526" s="55" t="s">
        <v>9265</v>
      </c>
    </row>
    <row r="3527" ht="14.25" customHeight="1">
      <c r="A3527" s="55" t="s">
        <v>9457</v>
      </c>
      <c r="B3527" s="55" t="s">
        <v>40</v>
      </c>
      <c r="C3527" s="55" t="s">
        <v>9533</v>
      </c>
      <c r="D3527" s="55" t="s">
        <v>9534</v>
      </c>
    </row>
    <row r="3528" ht="14.25" customHeight="1">
      <c r="A3528" s="55" t="s">
        <v>9457</v>
      </c>
      <c r="B3528" s="55" t="s">
        <v>40</v>
      </c>
      <c r="C3528" s="55" t="s">
        <v>11599</v>
      </c>
      <c r="D3528" s="55" t="s">
        <v>14230</v>
      </c>
    </row>
    <row r="3529" ht="14.25" customHeight="1">
      <c r="A3529" s="55" t="s">
        <v>9457</v>
      </c>
      <c r="B3529" s="55" t="s">
        <v>41</v>
      </c>
      <c r="C3529" s="55" t="s">
        <v>9034</v>
      </c>
      <c r="D3529" s="55" t="s">
        <v>9545</v>
      </c>
    </row>
    <row r="3530" ht="14.25" customHeight="1">
      <c r="A3530" s="55" t="s">
        <v>9457</v>
      </c>
      <c r="B3530" s="55" t="s">
        <v>41</v>
      </c>
      <c r="C3530" s="55" t="s">
        <v>9034</v>
      </c>
      <c r="D3530" s="55" t="s">
        <v>12191</v>
      </c>
    </row>
    <row r="3531" ht="14.25" customHeight="1">
      <c r="A3531" s="55" t="s">
        <v>9457</v>
      </c>
      <c r="B3531" s="55" t="s">
        <v>41</v>
      </c>
      <c r="C3531" s="55" t="s">
        <v>12994</v>
      </c>
      <c r="D3531" s="55" t="s">
        <v>12995</v>
      </c>
    </row>
    <row r="3532" ht="14.25" customHeight="1">
      <c r="A3532" s="55" t="s">
        <v>9457</v>
      </c>
      <c r="B3532" s="55" t="s">
        <v>41</v>
      </c>
      <c r="C3532" s="55" t="s">
        <v>10767</v>
      </c>
      <c r="D3532" s="55" t="s">
        <v>10915</v>
      </c>
    </row>
    <row r="3533" ht="14.25" customHeight="1">
      <c r="A3533" s="55" t="s">
        <v>9457</v>
      </c>
      <c r="B3533" s="55" t="s">
        <v>41</v>
      </c>
      <c r="C3533" s="55" t="s">
        <v>10767</v>
      </c>
      <c r="D3533" s="55" t="s">
        <v>10769</v>
      </c>
    </row>
    <row r="3534" ht="14.25" customHeight="1">
      <c r="A3534" s="55" t="s">
        <v>9457</v>
      </c>
      <c r="B3534" s="55" t="s">
        <v>41</v>
      </c>
      <c r="C3534" s="55" t="s">
        <v>2352</v>
      </c>
      <c r="D3534" s="55" t="s">
        <v>9545</v>
      </c>
    </row>
    <row r="3535" ht="14.25" customHeight="1">
      <c r="A3535" s="55" t="s">
        <v>9457</v>
      </c>
      <c r="B3535" s="55" t="s">
        <v>41</v>
      </c>
      <c r="C3535" s="55" t="s">
        <v>8969</v>
      </c>
      <c r="D3535" s="55" t="s">
        <v>10265</v>
      </c>
    </row>
    <row r="3536" ht="14.25" customHeight="1">
      <c r="A3536" s="55" t="s">
        <v>9457</v>
      </c>
      <c r="B3536" s="55" t="s">
        <v>41</v>
      </c>
      <c r="C3536" s="55" t="s">
        <v>8969</v>
      </c>
      <c r="D3536" s="55" t="s">
        <v>14060</v>
      </c>
    </row>
    <row r="3537" ht="14.25" customHeight="1">
      <c r="A3537" s="55" t="s">
        <v>9457</v>
      </c>
      <c r="B3537" s="55" t="s">
        <v>41</v>
      </c>
      <c r="C3537" s="55" t="s">
        <v>2379</v>
      </c>
      <c r="D3537" s="55" t="s">
        <v>8968</v>
      </c>
    </row>
    <row r="3538" ht="14.25" customHeight="1">
      <c r="A3538" s="55" t="s">
        <v>9457</v>
      </c>
      <c r="B3538" s="55" t="s">
        <v>41</v>
      </c>
      <c r="C3538" s="55" t="s">
        <v>12076</v>
      </c>
      <c r="D3538" s="55" t="s">
        <v>11565</v>
      </c>
    </row>
    <row r="3539" ht="14.25" customHeight="1">
      <c r="A3539" s="55" t="s">
        <v>9457</v>
      </c>
      <c r="B3539" s="55" t="s">
        <v>41</v>
      </c>
      <c r="C3539" s="55" t="s">
        <v>12192</v>
      </c>
      <c r="D3539" s="55" t="s">
        <v>11565</v>
      </c>
    </row>
    <row r="3540" ht="14.25" customHeight="1">
      <c r="A3540" s="55" t="s">
        <v>9457</v>
      </c>
      <c r="B3540" s="55" t="s">
        <v>41</v>
      </c>
      <c r="C3540" s="55" t="s">
        <v>5785</v>
      </c>
      <c r="D3540" s="55" t="s">
        <v>9545</v>
      </c>
    </row>
    <row r="3541" ht="14.25" customHeight="1">
      <c r="A3541" s="55" t="s">
        <v>9457</v>
      </c>
      <c r="B3541" s="55" t="s">
        <v>41</v>
      </c>
      <c r="C3541" s="55" t="s">
        <v>5785</v>
      </c>
      <c r="D3541" s="55" t="s">
        <v>9055</v>
      </c>
    </row>
    <row r="3542" ht="14.25" customHeight="1">
      <c r="A3542" s="55" t="s">
        <v>9457</v>
      </c>
      <c r="B3542" s="55" t="s">
        <v>41</v>
      </c>
      <c r="C3542" s="55" t="s">
        <v>9313</v>
      </c>
      <c r="D3542" s="55" t="s">
        <v>9131</v>
      </c>
    </row>
    <row r="3543" ht="14.25" customHeight="1">
      <c r="A3543" s="55" t="s">
        <v>9457</v>
      </c>
      <c r="B3543" s="55" t="s">
        <v>41</v>
      </c>
      <c r="C3543" s="55" t="s">
        <v>9313</v>
      </c>
      <c r="D3543" s="55" t="s">
        <v>8968</v>
      </c>
    </row>
    <row r="3544" ht="14.25" customHeight="1">
      <c r="A3544" s="55" t="s">
        <v>9457</v>
      </c>
      <c r="B3544" s="55" t="s">
        <v>41</v>
      </c>
      <c r="C3544" s="55" t="s">
        <v>9313</v>
      </c>
      <c r="D3544" s="55" t="s">
        <v>12193</v>
      </c>
    </row>
    <row r="3545" ht="14.25" customHeight="1">
      <c r="A3545" s="55" t="s">
        <v>9457</v>
      </c>
      <c r="B3545" s="55" t="s">
        <v>41</v>
      </c>
      <c r="C3545" s="55" t="s">
        <v>9313</v>
      </c>
      <c r="D3545" s="55" t="s">
        <v>8978</v>
      </c>
    </row>
    <row r="3546" ht="14.25" customHeight="1">
      <c r="A3546" s="55" t="s">
        <v>9457</v>
      </c>
      <c r="B3546" s="55" t="s">
        <v>41</v>
      </c>
      <c r="C3546" s="55" t="s">
        <v>9313</v>
      </c>
      <c r="D3546" s="55" t="s">
        <v>8976</v>
      </c>
    </row>
    <row r="3547" ht="14.25" customHeight="1">
      <c r="A3547" s="55" t="s">
        <v>9457</v>
      </c>
      <c r="B3547" s="55" t="s">
        <v>41</v>
      </c>
      <c r="C3547" s="55" t="s">
        <v>65</v>
      </c>
      <c r="D3547" s="55" t="s">
        <v>9265</v>
      </c>
    </row>
    <row r="3548" ht="14.25" customHeight="1">
      <c r="A3548" s="55" t="s">
        <v>9457</v>
      </c>
      <c r="B3548" s="55" t="s">
        <v>41</v>
      </c>
      <c r="C3548" s="55" t="s">
        <v>10266</v>
      </c>
      <c r="D3548" s="55" t="s">
        <v>9485</v>
      </c>
    </row>
    <row r="3549" ht="14.25" customHeight="1">
      <c r="A3549" s="55" t="s">
        <v>9457</v>
      </c>
      <c r="B3549" s="55" t="s">
        <v>41</v>
      </c>
      <c r="C3549" s="55" t="s">
        <v>10916</v>
      </c>
      <c r="D3549" s="55" t="s">
        <v>9109</v>
      </c>
    </row>
    <row r="3550" ht="14.25" customHeight="1">
      <c r="A3550" s="55" t="s">
        <v>9457</v>
      </c>
      <c r="B3550" s="55" t="s">
        <v>41</v>
      </c>
      <c r="C3550" s="55" t="s">
        <v>7471</v>
      </c>
      <c r="D3550" s="55" t="s">
        <v>9265</v>
      </c>
    </row>
    <row r="3551" ht="14.25" customHeight="1">
      <c r="A3551" s="55" t="s">
        <v>9457</v>
      </c>
      <c r="B3551" s="55" t="s">
        <v>41</v>
      </c>
      <c r="C3551" s="55" t="s">
        <v>81</v>
      </c>
      <c r="D3551" s="55" t="s">
        <v>10124</v>
      </c>
    </row>
    <row r="3552" ht="14.25" customHeight="1">
      <c r="A3552" s="55" t="s">
        <v>9457</v>
      </c>
      <c r="B3552" s="55" t="s">
        <v>41</v>
      </c>
      <c r="C3552" s="55" t="s">
        <v>9535</v>
      </c>
      <c r="D3552" s="55" t="s">
        <v>9265</v>
      </c>
    </row>
    <row r="3553" ht="14.25" customHeight="1">
      <c r="A3553" s="55" t="s">
        <v>9457</v>
      </c>
      <c r="B3553" s="55" t="s">
        <v>41</v>
      </c>
      <c r="C3553" s="55" t="s">
        <v>9357</v>
      </c>
      <c r="D3553" s="55" t="s">
        <v>8978</v>
      </c>
    </row>
    <row r="3554" ht="14.25" customHeight="1">
      <c r="A3554" s="55" t="s">
        <v>9457</v>
      </c>
      <c r="B3554" s="55" t="s">
        <v>41</v>
      </c>
      <c r="C3554" s="55" t="s">
        <v>1889</v>
      </c>
      <c r="D3554" s="55" t="s">
        <v>9542</v>
      </c>
    </row>
    <row r="3555" ht="14.25" customHeight="1">
      <c r="A3555" s="55" t="s">
        <v>9457</v>
      </c>
      <c r="B3555" s="55" t="s">
        <v>41</v>
      </c>
      <c r="C3555" s="55" t="s">
        <v>1889</v>
      </c>
      <c r="D3555" s="55" t="s">
        <v>9508</v>
      </c>
    </row>
    <row r="3556" ht="14.25" customHeight="1">
      <c r="A3556" s="55" t="s">
        <v>9457</v>
      </c>
      <c r="B3556" s="55" t="s">
        <v>41</v>
      </c>
      <c r="C3556" s="55" t="s">
        <v>11548</v>
      </c>
      <c r="D3556" s="55" t="s">
        <v>12996</v>
      </c>
    </row>
    <row r="3557" ht="14.25" customHeight="1">
      <c r="A3557" s="55" t="s">
        <v>9457</v>
      </c>
      <c r="B3557" s="55" t="s">
        <v>41</v>
      </c>
      <c r="C3557" s="55" t="s">
        <v>10879</v>
      </c>
      <c r="D3557" s="55" t="s">
        <v>10917</v>
      </c>
    </row>
    <row r="3558" ht="14.25" customHeight="1">
      <c r="A3558" s="55" t="s">
        <v>9457</v>
      </c>
      <c r="B3558" s="55" t="s">
        <v>41</v>
      </c>
      <c r="C3558" s="55" t="s">
        <v>89</v>
      </c>
      <c r="D3558" s="55" t="s">
        <v>9536</v>
      </c>
    </row>
    <row r="3559" ht="14.25" customHeight="1">
      <c r="A3559" s="55" t="s">
        <v>9457</v>
      </c>
      <c r="B3559" s="55" t="s">
        <v>41</v>
      </c>
      <c r="C3559" s="55" t="s">
        <v>9320</v>
      </c>
      <c r="D3559" s="55" t="s">
        <v>14231</v>
      </c>
    </row>
    <row r="3560" ht="14.25" customHeight="1">
      <c r="A3560" s="55" t="s">
        <v>9457</v>
      </c>
      <c r="B3560" s="55" t="s">
        <v>41</v>
      </c>
      <c r="C3560" s="55" t="s">
        <v>6031</v>
      </c>
      <c r="D3560" s="55" t="s">
        <v>13738</v>
      </c>
    </row>
    <row r="3561" ht="14.25" customHeight="1">
      <c r="A3561" s="55" t="s">
        <v>9457</v>
      </c>
      <c r="B3561" s="55" t="s">
        <v>41</v>
      </c>
      <c r="C3561" s="55" t="s">
        <v>6031</v>
      </c>
      <c r="D3561" s="55" t="s">
        <v>9545</v>
      </c>
    </row>
    <row r="3562" ht="14.25" customHeight="1">
      <c r="A3562" s="55" t="s">
        <v>9457</v>
      </c>
      <c r="B3562" s="55" t="s">
        <v>41</v>
      </c>
      <c r="C3562" s="55" t="s">
        <v>6031</v>
      </c>
      <c r="D3562" s="55" t="s">
        <v>12194</v>
      </c>
    </row>
    <row r="3563" ht="14.25" customHeight="1">
      <c r="A3563" s="55" t="s">
        <v>9457</v>
      </c>
      <c r="B3563" s="55" t="s">
        <v>41</v>
      </c>
      <c r="C3563" s="55" t="s">
        <v>6031</v>
      </c>
      <c r="D3563" s="55" t="s">
        <v>10223</v>
      </c>
    </row>
    <row r="3564" ht="14.25" customHeight="1">
      <c r="A3564" s="55" t="s">
        <v>9457</v>
      </c>
      <c r="B3564" s="55" t="s">
        <v>41</v>
      </c>
      <c r="C3564" s="55" t="s">
        <v>12997</v>
      </c>
      <c r="D3564" s="55" t="s">
        <v>9055</v>
      </c>
    </row>
    <row r="3565" ht="14.25" customHeight="1">
      <c r="A3565" s="55" t="s">
        <v>9457</v>
      </c>
      <c r="B3565" s="55" t="s">
        <v>41</v>
      </c>
      <c r="C3565" s="55" t="s">
        <v>9537</v>
      </c>
      <c r="D3565" s="55" t="s">
        <v>9521</v>
      </c>
    </row>
    <row r="3566" ht="14.25" customHeight="1">
      <c r="A3566" s="55" t="s">
        <v>9457</v>
      </c>
      <c r="B3566" s="55" t="s">
        <v>41</v>
      </c>
      <c r="C3566" s="55" t="s">
        <v>10918</v>
      </c>
      <c r="D3566" s="55" t="s">
        <v>10919</v>
      </c>
    </row>
    <row r="3567" ht="14.25" customHeight="1">
      <c r="A3567" s="55" t="s">
        <v>9457</v>
      </c>
      <c r="B3567" s="55" t="s">
        <v>41</v>
      </c>
      <c r="C3567" s="55" t="s">
        <v>114</v>
      </c>
      <c r="D3567" s="55" t="s">
        <v>12195</v>
      </c>
    </row>
    <row r="3568" ht="14.25" customHeight="1">
      <c r="A3568" s="55" t="s">
        <v>9457</v>
      </c>
      <c r="B3568" s="55" t="s">
        <v>41</v>
      </c>
      <c r="C3568" s="55" t="s">
        <v>114</v>
      </c>
      <c r="D3568" s="55" t="s">
        <v>11444</v>
      </c>
    </row>
    <row r="3569" ht="14.25" customHeight="1">
      <c r="A3569" s="55" t="s">
        <v>9457</v>
      </c>
      <c r="B3569" s="55" t="s">
        <v>41</v>
      </c>
      <c r="C3569" s="55" t="s">
        <v>9481</v>
      </c>
      <c r="D3569" s="55" t="s">
        <v>8968</v>
      </c>
    </row>
    <row r="3570" ht="14.25" customHeight="1">
      <c r="A3570" s="55" t="s">
        <v>9457</v>
      </c>
      <c r="B3570" s="55" t="s">
        <v>41</v>
      </c>
      <c r="C3570" s="55" t="s">
        <v>9268</v>
      </c>
      <c r="D3570" s="55" t="s">
        <v>9538</v>
      </c>
    </row>
    <row r="3571" ht="14.25" customHeight="1">
      <c r="A3571" s="55" t="s">
        <v>9457</v>
      </c>
      <c r="B3571" s="55" t="s">
        <v>41</v>
      </c>
      <c r="C3571" s="55" t="s">
        <v>12196</v>
      </c>
      <c r="D3571" s="55" t="s">
        <v>9034</v>
      </c>
    </row>
    <row r="3572" ht="14.25" customHeight="1">
      <c r="A3572" s="55" t="s">
        <v>9457</v>
      </c>
      <c r="B3572" s="55" t="s">
        <v>41</v>
      </c>
      <c r="C3572" s="55" t="s">
        <v>9426</v>
      </c>
      <c r="D3572" s="55" t="s">
        <v>8978</v>
      </c>
    </row>
    <row r="3573" ht="14.25" customHeight="1">
      <c r="A3573" s="55" t="s">
        <v>9457</v>
      </c>
      <c r="B3573" s="55" t="s">
        <v>41</v>
      </c>
      <c r="C3573" s="55" t="s">
        <v>9539</v>
      </c>
      <c r="D3573" s="55" t="s">
        <v>9540</v>
      </c>
    </row>
    <row r="3574" ht="14.25" customHeight="1">
      <c r="A3574" s="55" t="s">
        <v>9457</v>
      </c>
      <c r="B3574" s="55" t="s">
        <v>41</v>
      </c>
      <c r="C3574" s="55" t="s">
        <v>141</v>
      </c>
      <c r="D3574" s="55" t="s">
        <v>12998</v>
      </c>
    </row>
    <row r="3575" ht="14.25" customHeight="1">
      <c r="A3575" s="55" t="s">
        <v>9457</v>
      </c>
      <c r="B3575" s="55" t="s">
        <v>41</v>
      </c>
      <c r="C3575" s="55" t="s">
        <v>9541</v>
      </c>
      <c r="D3575" s="55" t="s">
        <v>8968</v>
      </c>
    </row>
    <row r="3576" ht="14.25" customHeight="1">
      <c r="A3576" s="55" t="s">
        <v>9457</v>
      </c>
      <c r="B3576" s="55" t="s">
        <v>41</v>
      </c>
      <c r="C3576" s="55" t="s">
        <v>153</v>
      </c>
      <c r="D3576" s="55" t="s">
        <v>9542</v>
      </c>
    </row>
    <row r="3577" ht="14.25" customHeight="1">
      <c r="A3577" s="55" t="s">
        <v>9457</v>
      </c>
      <c r="B3577" s="55" t="s">
        <v>41</v>
      </c>
      <c r="C3577" s="55" t="s">
        <v>153</v>
      </c>
      <c r="D3577" s="55" t="s">
        <v>9867</v>
      </c>
    </row>
    <row r="3578" ht="14.25" customHeight="1">
      <c r="A3578" s="55" t="s">
        <v>9457</v>
      </c>
      <c r="B3578" s="55" t="s">
        <v>41</v>
      </c>
      <c r="C3578" s="55" t="s">
        <v>9329</v>
      </c>
      <c r="D3578" s="55" t="s">
        <v>12083</v>
      </c>
    </row>
    <row r="3579" ht="14.25" customHeight="1">
      <c r="A3579" s="55" t="s">
        <v>9457</v>
      </c>
      <c r="B3579" s="55" t="s">
        <v>41</v>
      </c>
      <c r="C3579" s="55" t="s">
        <v>9329</v>
      </c>
      <c r="D3579" s="55" t="s">
        <v>10223</v>
      </c>
    </row>
    <row r="3580" ht="14.25" customHeight="1">
      <c r="A3580" s="55" t="s">
        <v>9457</v>
      </c>
      <c r="B3580" s="55" t="s">
        <v>41</v>
      </c>
      <c r="C3580" s="55" t="s">
        <v>3566</v>
      </c>
      <c r="D3580" s="55" t="s">
        <v>9265</v>
      </c>
    </row>
    <row r="3581" ht="14.25" customHeight="1">
      <c r="A3581" s="55" t="s">
        <v>9457</v>
      </c>
      <c r="B3581" s="55" t="s">
        <v>41</v>
      </c>
      <c r="C3581" s="55" t="s">
        <v>9804</v>
      </c>
      <c r="D3581" s="55" t="s">
        <v>10576</v>
      </c>
    </row>
    <row r="3582" ht="14.25" customHeight="1">
      <c r="A3582" s="55" t="s">
        <v>9457</v>
      </c>
      <c r="B3582" s="55" t="s">
        <v>41</v>
      </c>
      <c r="C3582" s="55" t="s">
        <v>9804</v>
      </c>
      <c r="D3582" s="55" t="s">
        <v>14232</v>
      </c>
    </row>
    <row r="3583" ht="14.25" customHeight="1">
      <c r="A3583" s="55" t="s">
        <v>9457</v>
      </c>
      <c r="B3583" s="55" t="s">
        <v>41</v>
      </c>
      <c r="C3583" s="55" t="s">
        <v>3596</v>
      </c>
      <c r="D3583" s="55" t="s">
        <v>9265</v>
      </c>
    </row>
    <row r="3584" ht="14.25" customHeight="1">
      <c r="A3584" s="55" t="s">
        <v>9457</v>
      </c>
      <c r="B3584" s="55" t="s">
        <v>41</v>
      </c>
      <c r="C3584" s="55" t="s">
        <v>9543</v>
      </c>
      <c r="D3584" s="55" t="s">
        <v>8968</v>
      </c>
    </row>
    <row r="3585" ht="14.25" customHeight="1">
      <c r="A3585" s="55" t="s">
        <v>9457</v>
      </c>
      <c r="B3585" s="55" t="s">
        <v>41</v>
      </c>
      <c r="C3585" s="55" t="s">
        <v>6654</v>
      </c>
      <c r="D3585" s="55" t="s">
        <v>9034</v>
      </c>
    </row>
    <row r="3586" ht="14.25" customHeight="1">
      <c r="A3586" s="55" t="s">
        <v>9457</v>
      </c>
      <c r="B3586" s="55" t="s">
        <v>41</v>
      </c>
      <c r="C3586" s="55" t="s">
        <v>12197</v>
      </c>
      <c r="D3586" s="55" t="s">
        <v>12198</v>
      </c>
    </row>
    <row r="3587" ht="14.25" customHeight="1">
      <c r="A3587" s="55" t="s">
        <v>9457</v>
      </c>
      <c r="B3587" s="55" t="s">
        <v>41</v>
      </c>
      <c r="C3587" s="55" t="s">
        <v>9544</v>
      </c>
      <c r="D3587" s="55" t="s">
        <v>9545</v>
      </c>
    </row>
    <row r="3588" ht="14.25" customHeight="1">
      <c r="A3588" s="55" t="s">
        <v>9457</v>
      </c>
      <c r="B3588" s="55" t="s">
        <v>41</v>
      </c>
      <c r="C3588" s="55" t="s">
        <v>12965</v>
      </c>
      <c r="D3588" s="55" t="s">
        <v>10270</v>
      </c>
    </row>
    <row r="3589" ht="14.25" customHeight="1">
      <c r="A3589" s="55" t="s">
        <v>9457</v>
      </c>
      <c r="B3589" s="55" t="s">
        <v>41</v>
      </c>
      <c r="C3589" s="55" t="s">
        <v>9546</v>
      </c>
      <c r="D3589" s="55" t="s">
        <v>9034</v>
      </c>
    </row>
    <row r="3590" ht="14.25" customHeight="1">
      <c r="A3590" s="55" t="s">
        <v>9457</v>
      </c>
      <c r="B3590" s="55" t="s">
        <v>41</v>
      </c>
      <c r="C3590" s="55" t="s">
        <v>14233</v>
      </c>
      <c r="D3590" s="55" t="s">
        <v>8968</v>
      </c>
    </row>
    <row r="3591" ht="14.25" customHeight="1">
      <c r="A3591" s="55" t="s">
        <v>9457</v>
      </c>
      <c r="B3591" s="55" t="s">
        <v>41</v>
      </c>
      <c r="C3591" s="55" t="s">
        <v>9547</v>
      </c>
      <c r="D3591" s="55" t="s">
        <v>8968</v>
      </c>
    </row>
    <row r="3592" ht="14.25" customHeight="1">
      <c r="A3592" s="55" t="s">
        <v>9457</v>
      </c>
      <c r="B3592" s="55" t="s">
        <v>41</v>
      </c>
      <c r="C3592" s="55" t="s">
        <v>12199</v>
      </c>
      <c r="D3592" s="55" t="s">
        <v>12200</v>
      </c>
    </row>
    <row r="3593" ht="14.25" customHeight="1">
      <c r="A3593" s="55" t="s">
        <v>9457</v>
      </c>
      <c r="B3593" s="55" t="s">
        <v>41</v>
      </c>
      <c r="C3593" s="55" t="s">
        <v>10267</v>
      </c>
      <c r="D3593" s="55" t="s">
        <v>9534</v>
      </c>
    </row>
    <row r="3594" ht="14.25" customHeight="1">
      <c r="A3594" s="55" t="s">
        <v>9457</v>
      </c>
      <c r="B3594" s="55" t="s">
        <v>41</v>
      </c>
      <c r="C3594" s="55" t="s">
        <v>12201</v>
      </c>
      <c r="D3594" s="55" t="s">
        <v>12202</v>
      </c>
    </row>
    <row r="3595" ht="14.25" customHeight="1">
      <c r="A3595" s="55" t="s">
        <v>9457</v>
      </c>
      <c r="B3595" s="55" t="s">
        <v>41</v>
      </c>
      <c r="C3595" s="55" t="s">
        <v>10905</v>
      </c>
      <c r="D3595" s="55" t="s">
        <v>9265</v>
      </c>
    </row>
    <row r="3596" ht="14.25" customHeight="1">
      <c r="A3596" s="55" t="s">
        <v>9457</v>
      </c>
      <c r="B3596" s="55" t="s">
        <v>41</v>
      </c>
      <c r="C3596" s="55" t="s">
        <v>10762</v>
      </c>
      <c r="D3596" s="55" t="s">
        <v>10920</v>
      </c>
    </row>
    <row r="3597" ht="14.25" customHeight="1">
      <c r="A3597" s="55" t="s">
        <v>9457</v>
      </c>
      <c r="B3597" s="55" t="s">
        <v>41</v>
      </c>
      <c r="C3597" s="55" t="s">
        <v>10762</v>
      </c>
      <c r="D3597" s="55" t="s">
        <v>10921</v>
      </c>
    </row>
    <row r="3598" ht="14.25" customHeight="1">
      <c r="A3598" s="55" t="s">
        <v>9457</v>
      </c>
      <c r="B3598" s="55" t="s">
        <v>41</v>
      </c>
      <c r="C3598" s="55" t="s">
        <v>10762</v>
      </c>
      <c r="D3598" s="55" t="s">
        <v>10922</v>
      </c>
    </row>
    <row r="3599" ht="14.25" customHeight="1">
      <c r="A3599" s="55" t="s">
        <v>9457</v>
      </c>
      <c r="B3599" s="55" t="s">
        <v>41</v>
      </c>
      <c r="C3599" s="55" t="s">
        <v>210</v>
      </c>
      <c r="D3599" s="55" t="s">
        <v>9034</v>
      </c>
    </row>
    <row r="3600" ht="14.25" customHeight="1">
      <c r="A3600" s="55" t="s">
        <v>9457</v>
      </c>
      <c r="B3600" s="55" t="s">
        <v>41</v>
      </c>
      <c r="C3600" s="55" t="s">
        <v>210</v>
      </c>
      <c r="D3600" s="55" t="s">
        <v>9131</v>
      </c>
    </row>
    <row r="3601" ht="14.25" customHeight="1">
      <c r="A3601" s="55" t="s">
        <v>9457</v>
      </c>
      <c r="B3601" s="55" t="s">
        <v>41</v>
      </c>
      <c r="C3601" s="55" t="s">
        <v>210</v>
      </c>
      <c r="D3601" s="55" t="s">
        <v>14234</v>
      </c>
    </row>
    <row r="3602" ht="14.25" customHeight="1">
      <c r="A3602" s="55" t="s">
        <v>9457</v>
      </c>
      <c r="B3602" s="55" t="s">
        <v>41</v>
      </c>
      <c r="C3602" s="55" t="s">
        <v>210</v>
      </c>
      <c r="D3602" s="55" t="s">
        <v>9118</v>
      </c>
    </row>
    <row r="3603" ht="14.25" customHeight="1">
      <c r="A3603" s="55" t="s">
        <v>9457</v>
      </c>
      <c r="B3603" s="55" t="s">
        <v>41</v>
      </c>
      <c r="C3603" s="55" t="s">
        <v>215</v>
      </c>
      <c r="D3603" s="55" t="s">
        <v>9109</v>
      </c>
    </row>
    <row r="3604" ht="14.25" customHeight="1">
      <c r="A3604" s="55" t="s">
        <v>9457</v>
      </c>
      <c r="B3604" s="55" t="s">
        <v>41</v>
      </c>
      <c r="C3604" s="55" t="s">
        <v>10268</v>
      </c>
      <c r="D3604" s="55" t="s">
        <v>9265</v>
      </c>
    </row>
    <row r="3605" ht="14.25" customHeight="1">
      <c r="A3605" s="55" t="s">
        <v>9457</v>
      </c>
      <c r="B3605" s="55" t="s">
        <v>41</v>
      </c>
      <c r="C3605" s="55" t="s">
        <v>3922</v>
      </c>
      <c r="D3605" s="55" t="s">
        <v>9545</v>
      </c>
    </row>
    <row r="3606" ht="14.25" customHeight="1">
      <c r="A3606" s="55" t="s">
        <v>9457</v>
      </c>
      <c r="B3606" s="55" t="s">
        <v>41</v>
      </c>
      <c r="C3606" s="55" t="s">
        <v>9333</v>
      </c>
      <c r="D3606" s="55" t="s">
        <v>10923</v>
      </c>
    </row>
    <row r="3607" ht="14.25" customHeight="1">
      <c r="A3607" s="55" t="s">
        <v>9457</v>
      </c>
      <c r="B3607" s="55" t="s">
        <v>41</v>
      </c>
      <c r="C3607" s="55" t="s">
        <v>9333</v>
      </c>
      <c r="D3607" s="55" t="s">
        <v>12203</v>
      </c>
    </row>
    <row r="3608" ht="14.25" customHeight="1">
      <c r="A3608" s="55" t="s">
        <v>9457</v>
      </c>
      <c r="B3608" s="55" t="s">
        <v>41</v>
      </c>
      <c r="C3608" s="55" t="s">
        <v>9333</v>
      </c>
      <c r="D3608" s="55" t="s">
        <v>9315</v>
      </c>
    </row>
    <row r="3609" ht="14.25" customHeight="1">
      <c r="A3609" s="55" t="s">
        <v>9457</v>
      </c>
      <c r="B3609" s="55" t="s">
        <v>41</v>
      </c>
      <c r="C3609" s="55" t="s">
        <v>14235</v>
      </c>
      <c r="D3609" s="55" t="s">
        <v>9291</v>
      </c>
    </row>
    <row r="3610" ht="14.25" customHeight="1">
      <c r="A3610" s="55" t="s">
        <v>9457</v>
      </c>
      <c r="B3610" s="55" t="s">
        <v>41</v>
      </c>
      <c r="C3610" s="55" t="s">
        <v>10924</v>
      </c>
      <c r="D3610" s="55" t="s">
        <v>9131</v>
      </c>
    </row>
    <row r="3611" ht="14.25" customHeight="1">
      <c r="A3611" s="55" t="s">
        <v>9457</v>
      </c>
      <c r="B3611" s="55" t="s">
        <v>41</v>
      </c>
      <c r="C3611" s="55" t="s">
        <v>4035</v>
      </c>
      <c r="D3611" s="55" t="s">
        <v>11444</v>
      </c>
    </row>
    <row r="3612" ht="14.25" customHeight="1">
      <c r="A3612" s="55" t="s">
        <v>9457</v>
      </c>
      <c r="B3612" s="55" t="s">
        <v>41</v>
      </c>
      <c r="C3612" s="55" t="s">
        <v>233</v>
      </c>
      <c r="D3612" s="55" t="s">
        <v>11573</v>
      </c>
    </row>
    <row r="3613" ht="14.25" customHeight="1">
      <c r="A3613" s="55" t="s">
        <v>9457</v>
      </c>
      <c r="B3613" s="55" t="s">
        <v>41</v>
      </c>
      <c r="C3613" s="55" t="s">
        <v>9548</v>
      </c>
      <c r="D3613" s="55" t="s">
        <v>9549</v>
      </c>
    </row>
    <row r="3614" ht="14.25" customHeight="1">
      <c r="A3614" s="55" t="s">
        <v>9457</v>
      </c>
      <c r="B3614" s="55" t="s">
        <v>41</v>
      </c>
      <c r="C3614" s="55" t="s">
        <v>237</v>
      </c>
      <c r="D3614" s="55" t="s">
        <v>11770</v>
      </c>
    </row>
    <row r="3615" ht="14.25" customHeight="1">
      <c r="A3615" s="55" t="s">
        <v>9457</v>
      </c>
      <c r="B3615" s="55" t="s">
        <v>41</v>
      </c>
      <c r="C3615" s="55" t="s">
        <v>10252</v>
      </c>
      <c r="D3615" s="55" t="s">
        <v>9265</v>
      </c>
    </row>
    <row r="3616" ht="14.25" customHeight="1">
      <c r="A3616" s="55" t="s">
        <v>9457</v>
      </c>
      <c r="B3616" s="55" t="s">
        <v>41</v>
      </c>
      <c r="C3616" s="55" t="s">
        <v>12999</v>
      </c>
      <c r="D3616" s="55" t="s">
        <v>13000</v>
      </c>
    </row>
    <row r="3617" ht="14.25" customHeight="1">
      <c r="A3617" s="55" t="s">
        <v>9457</v>
      </c>
      <c r="B3617" s="55" t="s">
        <v>41</v>
      </c>
      <c r="C3617" s="55" t="s">
        <v>4131</v>
      </c>
      <c r="D3617" s="55" t="s">
        <v>9131</v>
      </c>
    </row>
    <row r="3618" ht="14.25" customHeight="1">
      <c r="A3618" s="55" t="s">
        <v>9457</v>
      </c>
      <c r="B3618" s="55" t="s">
        <v>41</v>
      </c>
      <c r="C3618" s="55" t="s">
        <v>4131</v>
      </c>
      <c r="D3618" s="55" t="s">
        <v>9265</v>
      </c>
    </row>
    <row r="3619" ht="14.25" customHeight="1">
      <c r="A3619" s="55" t="s">
        <v>9457</v>
      </c>
      <c r="B3619" s="55" t="s">
        <v>41</v>
      </c>
      <c r="C3619" s="55" t="s">
        <v>10640</v>
      </c>
      <c r="D3619" s="55" t="s">
        <v>9265</v>
      </c>
    </row>
    <row r="3620" ht="14.25" customHeight="1">
      <c r="A3620" s="55" t="s">
        <v>9457</v>
      </c>
      <c r="B3620" s="55" t="s">
        <v>41</v>
      </c>
      <c r="C3620" s="55" t="s">
        <v>13001</v>
      </c>
      <c r="D3620" s="55" t="s">
        <v>9034</v>
      </c>
    </row>
    <row r="3621" ht="14.25" customHeight="1">
      <c r="A3621" s="55" t="s">
        <v>9457</v>
      </c>
      <c r="B3621" s="55" t="s">
        <v>41</v>
      </c>
      <c r="C3621" s="55" t="s">
        <v>253</v>
      </c>
      <c r="D3621" s="55" t="s">
        <v>10269</v>
      </c>
    </row>
    <row r="3622" ht="14.25" customHeight="1">
      <c r="A3622" s="55" t="s">
        <v>9457</v>
      </c>
      <c r="B3622" s="55" t="s">
        <v>41</v>
      </c>
      <c r="C3622" s="55" t="s">
        <v>254</v>
      </c>
      <c r="D3622" s="55" t="s">
        <v>8968</v>
      </c>
    </row>
    <row r="3623" ht="14.25" customHeight="1">
      <c r="A3623" s="55" t="s">
        <v>9457</v>
      </c>
      <c r="B3623" s="55" t="s">
        <v>41</v>
      </c>
      <c r="C3623" s="55" t="s">
        <v>8771</v>
      </c>
      <c r="D3623" s="55" t="s">
        <v>10925</v>
      </c>
    </row>
    <row r="3624" ht="14.25" customHeight="1">
      <c r="A3624" s="55" t="s">
        <v>9457</v>
      </c>
      <c r="B3624" s="55" t="s">
        <v>41</v>
      </c>
      <c r="C3624" s="55" t="s">
        <v>9434</v>
      </c>
      <c r="D3624" s="55" t="s">
        <v>9109</v>
      </c>
    </row>
    <row r="3625" ht="14.25" customHeight="1">
      <c r="A3625" s="55" t="s">
        <v>9457</v>
      </c>
      <c r="B3625" s="55" t="s">
        <v>41</v>
      </c>
      <c r="C3625" s="55" t="s">
        <v>9434</v>
      </c>
      <c r="D3625" s="55" t="s">
        <v>9168</v>
      </c>
    </row>
    <row r="3626" ht="14.25" customHeight="1">
      <c r="A3626" s="55" t="s">
        <v>9457</v>
      </c>
      <c r="B3626" s="55" t="s">
        <v>41</v>
      </c>
      <c r="C3626" s="55" t="s">
        <v>9434</v>
      </c>
      <c r="D3626" s="55" t="s">
        <v>8968</v>
      </c>
    </row>
    <row r="3627" ht="14.25" customHeight="1">
      <c r="A3627" s="55" t="s">
        <v>9457</v>
      </c>
      <c r="B3627" s="55" t="s">
        <v>41</v>
      </c>
      <c r="C3627" s="55" t="s">
        <v>9434</v>
      </c>
      <c r="D3627" s="55" t="s">
        <v>9525</v>
      </c>
    </row>
    <row r="3628" ht="14.25" customHeight="1">
      <c r="A3628" s="55" t="s">
        <v>9457</v>
      </c>
      <c r="B3628" s="55" t="s">
        <v>41</v>
      </c>
      <c r="C3628" s="55" t="s">
        <v>9434</v>
      </c>
      <c r="D3628" s="55" t="s">
        <v>9404</v>
      </c>
    </row>
    <row r="3629" ht="14.25" customHeight="1">
      <c r="A3629" s="55" t="s">
        <v>9457</v>
      </c>
      <c r="B3629" s="55" t="s">
        <v>41</v>
      </c>
      <c r="C3629" s="55" t="s">
        <v>9160</v>
      </c>
      <c r="D3629" s="55" t="s">
        <v>9545</v>
      </c>
    </row>
    <row r="3630" ht="14.25" customHeight="1">
      <c r="A3630" s="55" t="s">
        <v>9457</v>
      </c>
      <c r="B3630" s="55" t="s">
        <v>41</v>
      </c>
      <c r="C3630" s="55" t="s">
        <v>9160</v>
      </c>
      <c r="D3630" s="55" t="s">
        <v>9305</v>
      </c>
    </row>
    <row r="3631" ht="14.25" customHeight="1">
      <c r="A3631" s="55" t="s">
        <v>9457</v>
      </c>
      <c r="B3631" s="55" t="s">
        <v>41</v>
      </c>
      <c r="C3631" s="55" t="s">
        <v>9160</v>
      </c>
      <c r="D3631" s="55" t="s">
        <v>9131</v>
      </c>
    </row>
    <row r="3632" ht="14.25" customHeight="1">
      <c r="A3632" s="55" t="s">
        <v>9457</v>
      </c>
      <c r="B3632" s="55" t="s">
        <v>41</v>
      </c>
      <c r="C3632" s="55" t="s">
        <v>9160</v>
      </c>
      <c r="D3632" s="55" t="s">
        <v>10270</v>
      </c>
    </row>
    <row r="3633" ht="14.25" customHeight="1">
      <c r="A3633" s="55" t="s">
        <v>9457</v>
      </c>
      <c r="B3633" s="55" t="s">
        <v>41</v>
      </c>
      <c r="C3633" s="55" t="s">
        <v>9160</v>
      </c>
      <c r="D3633" s="55" t="s">
        <v>8976</v>
      </c>
    </row>
    <row r="3634" ht="14.25" customHeight="1">
      <c r="A3634" s="55" t="s">
        <v>9457</v>
      </c>
      <c r="B3634" s="55" t="s">
        <v>41</v>
      </c>
      <c r="C3634" s="55" t="s">
        <v>262</v>
      </c>
      <c r="D3634" s="55" t="s">
        <v>9545</v>
      </c>
    </row>
    <row r="3635" ht="14.25" customHeight="1">
      <c r="A3635" s="55" t="s">
        <v>9457</v>
      </c>
      <c r="B3635" s="55" t="s">
        <v>41</v>
      </c>
      <c r="C3635" s="55" t="s">
        <v>262</v>
      </c>
      <c r="D3635" s="55" t="s">
        <v>9291</v>
      </c>
    </row>
    <row r="3636" ht="14.25" customHeight="1">
      <c r="A3636" s="55" t="s">
        <v>9457</v>
      </c>
      <c r="B3636" s="55" t="s">
        <v>41</v>
      </c>
      <c r="C3636" s="55" t="s">
        <v>262</v>
      </c>
      <c r="D3636" s="55" t="s">
        <v>10926</v>
      </c>
    </row>
    <row r="3637" ht="14.25" customHeight="1">
      <c r="A3637" s="55" t="s">
        <v>9457</v>
      </c>
      <c r="B3637" s="55" t="s">
        <v>41</v>
      </c>
      <c r="C3637" s="55" t="s">
        <v>262</v>
      </c>
      <c r="D3637" s="55" t="s">
        <v>8976</v>
      </c>
    </row>
    <row r="3638" ht="14.25" customHeight="1">
      <c r="A3638" s="55" t="s">
        <v>9457</v>
      </c>
      <c r="B3638" s="55" t="s">
        <v>41</v>
      </c>
      <c r="C3638" s="55" t="s">
        <v>4354</v>
      </c>
      <c r="D3638" s="55" t="s">
        <v>9525</v>
      </c>
    </row>
    <row r="3639" ht="14.25" customHeight="1">
      <c r="A3639" s="55" t="s">
        <v>9457</v>
      </c>
      <c r="B3639" s="55" t="s">
        <v>41</v>
      </c>
      <c r="C3639" s="55" t="s">
        <v>13739</v>
      </c>
      <c r="D3639" s="55" t="s">
        <v>13740</v>
      </c>
    </row>
    <row r="3640" ht="14.25" customHeight="1">
      <c r="A3640" s="55" t="s">
        <v>9457</v>
      </c>
      <c r="B3640" s="55" t="s">
        <v>41</v>
      </c>
      <c r="C3640" s="55" t="s">
        <v>13002</v>
      </c>
      <c r="D3640" s="55" t="s">
        <v>13003</v>
      </c>
    </row>
    <row r="3641" ht="14.25" customHeight="1">
      <c r="A3641" s="55" t="s">
        <v>9457</v>
      </c>
      <c r="B3641" s="55" t="s">
        <v>41</v>
      </c>
      <c r="C3641" s="55" t="s">
        <v>7338</v>
      </c>
      <c r="D3641" s="55" t="s">
        <v>9265</v>
      </c>
    </row>
    <row r="3642" ht="14.25" customHeight="1">
      <c r="A3642" s="55" t="s">
        <v>9457</v>
      </c>
      <c r="B3642" s="55" t="s">
        <v>13</v>
      </c>
      <c r="C3642" s="55" t="s">
        <v>12204</v>
      </c>
      <c r="D3642" s="55" t="s">
        <v>9174</v>
      </c>
    </row>
    <row r="3643" ht="14.25" customHeight="1">
      <c r="A3643" s="55" t="s">
        <v>9457</v>
      </c>
      <c r="B3643" s="55" t="s">
        <v>13</v>
      </c>
      <c r="C3643" s="55" t="s">
        <v>10767</v>
      </c>
      <c r="D3643" s="55" t="s">
        <v>10927</v>
      </c>
    </row>
    <row r="3644" ht="14.25" customHeight="1">
      <c r="A3644" s="55" t="s">
        <v>9457</v>
      </c>
      <c r="B3644" s="55" t="s">
        <v>13</v>
      </c>
      <c r="C3644" s="55" t="s">
        <v>9313</v>
      </c>
      <c r="D3644" s="55" t="s">
        <v>10928</v>
      </c>
    </row>
    <row r="3645" ht="14.25" customHeight="1">
      <c r="A3645" s="55" t="s">
        <v>9457</v>
      </c>
      <c r="B3645" s="55" t="s">
        <v>13</v>
      </c>
      <c r="C3645" s="55" t="s">
        <v>9313</v>
      </c>
      <c r="D3645" s="55" t="s">
        <v>10204</v>
      </c>
    </row>
    <row r="3646" ht="14.25" customHeight="1">
      <c r="A3646" s="55" t="s">
        <v>9457</v>
      </c>
      <c r="B3646" s="55" t="s">
        <v>13</v>
      </c>
      <c r="C3646" s="55" t="s">
        <v>10273</v>
      </c>
      <c r="D3646" s="55" t="s">
        <v>13004</v>
      </c>
    </row>
    <row r="3647" ht="14.25" customHeight="1">
      <c r="A3647" s="55" t="s">
        <v>9457</v>
      </c>
      <c r="B3647" s="55" t="s">
        <v>13</v>
      </c>
      <c r="C3647" s="55" t="s">
        <v>13741</v>
      </c>
      <c r="D3647" s="55" t="s">
        <v>9176</v>
      </c>
    </row>
    <row r="3648" ht="14.25" customHeight="1">
      <c r="A3648" s="55" t="s">
        <v>9457</v>
      </c>
      <c r="B3648" s="55" t="s">
        <v>13</v>
      </c>
      <c r="C3648" s="55" t="s">
        <v>9320</v>
      </c>
      <c r="D3648" s="55" t="s">
        <v>9131</v>
      </c>
    </row>
    <row r="3649" ht="14.25" customHeight="1">
      <c r="A3649" s="55" t="s">
        <v>9457</v>
      </c>
      <c r="B3649" s="55" t="s">
        <v>13</v>
      </c>
      <c r="C3649" s="55" t="s">
        <v>9320</v>
      </c>
      <c r="D3649" s="55" t="s">
        <v>8978</v>
      </c>
    </row>
    <row r="3650" ht="14.25" customHeight="1">
      <c r="A3650" s="55" t="s">
        <v>9457</v>
      </c>
      <c r="B3650" s="55" t="s">
        <v>13</v>
      </c>
      <c r="C3650" s="55" t="s">
        <v>13005</v>
      </c>
      <c r="D3650" s="55" t="s">
        <v>9176</v>
      </c>
    </row>
    <row r="3651" ht="14.25" customHeight="1">
      <c r="A3651" s="55" t="s">
        <v>9457</v>
      </c>
      <c r="B3651" s="55" t="s">
        <v>13</v>
      </c>
      <c r="C3651" s="55" t="s">
        <v>11574</v>
      </c>
      <c r="D3651" s="55" t="s">
        <v>10788</v>
      </c>
    </row>
    <row r="3652" ht="14.25" customHeight="1">
      <c r="A3652" s="55" t="s">
        <v>9457</v>
      </c>
      <c r="B3652" s="55" t="s">
        <v>13</v>
      </c>
      <c r="C3652" s="55" t="s">
        <v>11575</v>
      </c>
      <c r="D3652" s="55" t="s">
        <v>11576</v>
      </c>
    </row>
    <row r="3653" ht="14.25" customHeight="1">
      <c r="A3653" s="55" t="s">
        <v>9457</v>
      </c>
      <c r="B3653" s="55" t="s">
        <v>13</v>
      </c>
      <c r="C3653" s="55" t="s">
        <v>6152</v>
      </c>
      <c r="D3653" s="55" t="s">
        <v>9332</v>
      </c>
    </row>
    <row r="3654" ht="14.25" customHeight="1">
      <c r="A3654" s="55" t="s">
        <v>9457</v>
      </c>
      <c r="B3654" s="55" t="s">
        <v>13</v>
      </c>
      <c r="C3654" s="55" t="s">
        <v>13678</v>
      </c>
      <c r="D3654" s="55" t="s">
        <v>14236</v>
      </c>
    </row>
    <row r="3655" ht="14.25" customHeight="1">
      <c r="A3655" s="55" t="s">
        <v>9457</v>
      </c>
      <c r="B3655" s="55" t="s">
        <v>13</v>
      </c>
      <c r="C3655" s="55" t="s">
        <v>10929</v>
      </c>
      <c r="D3655" s="55" t="s">
        <v>8968</v>
      </c>
    </row>
    <row r="3656" ht="14.25" customHeight="1">
      <c r="A3656" s="55" t="s">
        <v>9457</v>
      </c>
      <c r="B3656" s="55" t="s">
        <v>13</v>
      </c>
      <c r="C3656" s="55" t="s">
        <v>13742</v>
      </c>
      <c r="D3656" s="55" t="s">
        <v>9265</v>
      </c>
    </row>
    <row r="3657" ht="14.25" customHeight="1">
      <c r="A3657" s="55" t="s">
        <v>9457</v>
      </c>
      <c r="B3657" s="55" t="s">
        <v>13</v>
      </c>
      <c r="C3657" s="55" t="s">
        <v>13006</v>
      </c>
      <c r="D3657" s="55" t="s">
        <v>12581</v>
      </c>
    </row>
    <row r="3658" ht="14.25" customHeight="1">
      <c r="A3658" s="55" t="s">
        <v>9457</v>
      </c>
      <c r="B3658" s="55" t="s">
        <v>13</v>
      </c>
      <c r="C3658" s="55" t="s">
        <v>307</v>
      </c>
      <c r="D3658" s="55" t="s">
        <v>11343</v>
      </c>
    </row>
    <row r="3659" ht="14.25" customHeight="1">
      <c r="A3659" s="55" t="s">
        <v>9457</v>
      </c>
      <c r="B3659" s="55" t="s">
        <v>13</v>
      </c>
      <c r="C3659" s="55" t="s">
        <v>9329</v>
      </c>
      <c r="D3659" s="55" t="s">
        <v>9545</v>
      </c>
    </row>
    <row r="3660" ht="14.25" customHeight="1">
      <c r="A3660" s="55" t="s">
        <v>9457</v>
      </c>
      <c r="B3660" s="55" t="s">
        <v>13</v>
      </c>
      <c r="C3660" s="55" t="s">
        <v>9329</v>
      </c>
      <c r="D3660" s="55" t="s">
        <v>11577</v>
      </c>
    </row>
    <row r="3661" ht="14.25" customHeight="1">
      <c r="A3661" s="55" t="s">
        <v>9457</v>
      </c>
      <c r="B3661" s="55" t="s">
        <v>13</v>
      </c>
      <c r="C3661" s="55" t="s">
        <v>9329</v>
      </c>
      <c r="D3661" s="55" t="s">
        <v>9440</v>
      </c>
    </row>
    <row r="3662" ht="14.25" customHeight="1">
      <c r="A3662" s="55" t="s">
        <v>9457</v>
      </c>
      <c r="B3662" s="55" t="s">
        <v>13</v>
      </c>
      <c r="C3662" s="55" t="s">
        <v>9658</v>
      </c>
      <c r="D3662" s="55" t="s">
        <v>9380</v>
      </c>
    </row>
    <row r="3663" ht="14.25" customHeight="1">
      <c r="A3663" s="55" t="s">
        <v>9457</v>
      </c>
      <c r="B3663" s="55" t="s">
        <v>13</v>
      </c>
      <c r="C3663" s="55" t="s">
        <v>13296</v>
      </c>
      <c r="D3663" s="55" t="s">
        <v>13743</v>
      </c>
    </row>
    <row r="3664" ht="14.25" customHeight="1">
      <c r="A3664" s="55" t="s">
        <v>9457</v>
      </c>
      <c r="B3664" s="55" t="s">
        <v>13</v>
      </c>
      <c r="C3664" s="55" t="s">
        <v>11497</v>
      </c>
      <c r="D3664" s="55" t="s">
        <v>9131</v>
      </c>
    </row>
    <row r="3665" ht="14.25" customHeight="1">
      <c r="A3665" s="55" t="s">
        <v>9457</v>
      </c>
      <c r="B3665" s="55" t="s">
        <v>13</v>
      </c>
      <c r="C3665" s="55" t="s">
        <v>13744</v>
      </c>
      <c r="D3665" s="55" t="s">
        <v>13745</v>
      </c>
    </row>
    <row r="3666" ht="14.25" customHeight="1">
      <c r="A3666" s="55" t="s">
        <v>9457</v>
      </c>
      <c r="B3666" s="55" t="s">
        <v>13</v>
      </c>
      <c r="C3666" s="55" t="s">
        <v>13007</v>
      </c>
      <c r="D3666" s="55" t="s">
        <v>13008</v>
      </c>
    </row>
    <row r="3667" ht="14.25" customHeight="1">
      <c r="A3667" s="55" t="s">
        <v>9457</v>
      </c>
      <c r="B3667" s="55" t="s">
        <v>13</v>
      </c>
      <c r="C3667" s="55" t="s">
        <v>13009</v>
      </c>
      <c r="D3667" s="55" t="s">
        <v>13010</v>
      </c>
    </row>
    <row r="3668" ht="14.25" customHeight="1">
      <c r="A3668" s="55" t="s">
        <v>9457</v>
      </c>
      <c r="B3668" s="55" t="s">
        <v>13</v>
      </c>
      <c r="C3668" s="55" t="s">
        <v>11578</v>
      </c>
      <c r="D3668" s="55" t="s">
        <v>11579</v>
      </c>
    </row>
    <row r="3669" ht="14.25" customHeight="1">
      <c r="A3669" s="55" t="s">
        <v>9457</v>
      </c>
      <c r="B3669" s="55" t="s">
        <v>13</v>
      </c>
      <c r="C3669" s="55" t="s">
        <v>13746</v>
      </c>
      <c r="D3669" s="55" t="s">
        <v>9034</v>
      </c>
    </row>
    <row r="3670" ht="14.25" customHeight="1">
      <c r="A3670" s="55" t="s">
        <v>9457</v>
      </c>
      <c r="B3670" s="55" t="s">
        <v>13</v>
      </c>
      <c r="C3670" s="55" t="s">
        <v>14237</v>
      </c>
      <c r="D3670" s="55" t="s">
        <v>8968</v>
      </c>
    </row>
    <row r="3671" ht="14.25" customHeight="1">
      <c r="A3671" s="55" t="s">
        <v>9457</v>
      </c>
      <c r="B3671" s="55" t="s">
        <v>13</v>
      </c>
      <c r="C3671" s="55" t="s">
        <v>9333</v>
      </c>
      <c r="D3671" s="55" t="s">
        <v>9332</v>
      </c>
    </row>
    <row r="3672" ht="14.25" customHeight="1">
      <c r="A3672" s="55" t="s">
        <v>9457</v>
      </c>
      <c r="B3672" s="55" t="s">
        <v>13</v>
      </c>
      <c r="C3672" s="55" t="s">
        <v>4109</v>
      </c>
      <c r="D3672" s="55" t="s">
        <v>12205</v>
      </c>
    </row>
    <row r="3673" ht="14.25" customHeight="1">
      <c r="A3673" s="55" t="s">
        <v>9457</v>
      </c>
      <c r="B3673" s="55" t="s">
        <v>13</v>
      </c>
      <c r="C3673" s="55" t="s">
        <v>7038</v>
      </c>
      <c r="D3673" s="55" t="s">
        <v>9131</v>
      </c>
    </row>
    <row r="3674" ht="14.25" customHeight="1">
      <c r="A3674" s="55" t="s">
        <v>9457</v>
      </c>
      <c r="B3674" s="55" t="s">
        <v>13</v>
      </c>
      <c r="C3674" s="55" t="s">
        <v>12206</v>
      </c>
      <c r="D3674" s="55" t="s">
        <v>9249</v>
      </c>
    </row>
    <row r="3675" ht="14.25" customHeight="1">
      <c r="A3675" s="55" t="s">
        <v>9457</v>
      </c>
      <c r="B3675" s="55" t="s">
        <v>13</v>
      </c>
      <c r="C3675" s="55" t="s">
        <v>9090</v>
      </c>
      <c r="D3675" s="55" t="s">
        <v>14238</v>
      </c>
    </row>
    <row r="3676" ht="14.25" customHeight="1">
      <c r="A3676" s="55" t="s">
        <v>9457</v>
      </c>
      <c r="B3676" s="55" t="s">
        <v>13</v>
      </c>
      <c r="C3676" s="55" t="s">
        <v>9090</v>
      </c>
      <c r="D3676" s="55" t="s">
        <v>9176</v>
      </c>
    </row>
    <row r="3677" ht="14.25" customHeight="1">
      <c r="A3677" s="55" t="s">
        <v>9457</v>
      </c>
      <c r="B3677" s="55" t="s">
        <v>13</v>
      </c>
      <c r="C3677" s="55" t="s">
        <v>9160</v>
      </c>
      <c r="D3677" s="55" t="s">
        <v>9545</v>
      </c>
    </row>
    <row r="3678" ht="14.25" customHeight="1">
      <c r="A3678" s="55" t="s">
        <v>9457</v>
      </c>
      <c r="B3678" s="55" t="s">
        <v>13</v>
      </c>
      <c r="C3678" s="55" t="s">
        <v>10930</v>
      </c>
      <c r="D3678" s="55" t="s">
        <v>9440</v>
      </c>
    </row>
    <row r="3679" ht="14.25" customHeight="1">
      <c r="A3679" s="55" t="s">
        <v>9457</v>
      </c>
      <c r="B3679" s="55" t="s">
        <v>13</v>
      </c>
      <c r="C3679" s="55" t="s">
        <v>13011</v>
      </c>
      <c r="D3679" s="55" t="s">
        <v>9176</v>
      </c>
    </row>
    <row r="3680" ht="14.25" customHeight="1">
      <c r="A3680" s="55" t="s">
        <v>9457</v>
      </c>
      <c r="B3680" s="55" t="s">
        <v>13</v>
      </c>
      <c r="C3680" s="55" t="s">
        <v>9550</v>
      </c>
      <c r="D3680" s="55" t="s">
        <v>9176</v>
      </c>
    </row>
    <row r="3681" ht="14.25" customHeight="1">
      <c r="A3681" s="55" t="s">
        <v>9457</v>
      </c>
      <c r="B3681" s="55" t="s">
        <v>13</v>
      </c>
      <c r="C3681" s="55" t="s">
        <v>11580</v>
      </c>
      <c r="D3681" s="55" t="s">
        <v>9095</v>
      </c>
    </row>
    <row r="3682" ht="14.25" customHeight="1">
      <c r="A3682" s="55" t="s">
        <v>9457</v>
      </c>
      <c r="B3682" s="55" t="s">
        <v>13</v>
      </c>
      <c r="C3682" s="55" t="s">
        <v>13012</v>
      </c>
      <c r="D3682" s="55" t="s">
        <v>9291</v>
      </c>
    </row>
    <row r="3683" ht="14.25" customHeight="1">
      <c r="A3683" s="55" t="s">
        <v>9457</v>
      </c>
      <c r="B3683" s="55" t="s">
        <v>13</v>
      </c>
      <c r="C3683" s="55" t="s">
        <v>13013</v>
      </c>
      <c r="D3683" s="55" t="s">
        <v>9176</v>
      </c>
    </row>
    <row r="3684" ht="14.25" customHeight="1">
      <c r="A3684" s="55" t="s">
        <v>9551</v>
      </c>
      <c r="B3684" s="55" t="s">
        <v>40</v>
      </c>
      <c r="C3684" s="55" t="s">
        <v>9034</v>
      </c>
      <c r="D3684" s="55" t="s">
        <v>10931</v>
      </c>
    </row>
    <row r="3685" ht="14.25" customHeight="1">
      <c r="A3685" s="55" t="s">
        <v>9551</v>
      </c>
      <c r="B3685" s="55" t="s">
        <v>40</v>
      </c>
      <c r="C3685" s="55" t="s">
        <v>9034</v>
      </c>
      <c r="D3685" s="55" t="s">
        <v>8976</v>
      </c>
    </row>
    <row r="3686" ht="14.25" customHeight="1">
      <c r="A3686" s="55" t="s">
        <v>9551</v>
      </c>
      <c r="B3686" s="55" t="s">
        <v>40</v>
      </c>
      <c r="C3686" s="55" t="s">
        <v>9034</v>
      </c>
      <c r="D3686" s="55" t="s">
        <v>9118</v>
      </c>
    </row>
    <row r="3687" ht="14.25" customHeight="1">
      <c r="A3687" s="55" t="s">
        <v>9551</v>
      </c>
      <c r="B3687" s="55" t="s">
        <v>40</v>
      </c>
      <c r="C3687" s="55" t="s">
        <v>9340</v>
      </c>
      <c r="D3687" s="55" t="s">
        <v>13014</v>
      </c>
    </row>
    <row r="3688" ht="14.25" customHeight="1">
      <c r="A3688" s="55" t="s">
        <v>9551</v>
      </c>
      <c r="B3688" s="55" t="s">
        <v>40</v>
      </c>
      <c r="C3688" s="55" t="s">
        <v>11581</v>
      </c>
      <c r="D3688" s="55" t="s">
        <v>11582</v>
      </c>
    </row>
    <row r="3689" ht="14.25" customHeight="1">
      <c r="A3689" s="55" t="s">
        <v>9551</v>
      </c>
      <c r="B3689" s="55" t="s">
        <v>40</v>
      </c>
      <c r="C3689" s="55" t="s">
        <v>9552</v>
      </c>
      <c r="D3689" s="55" t="s">
        <v>9553</v>
      </c>
    </row>
    <row r="3690" ht="14.25" customHeight="1">
      <c r="A3690" s="55" t="s">
        <v>9551</v>
      </c>
      <c r="B3690" s="55" t="s">
        <v>40</v>
      </c>
      <c r="C3690" s="55" t="s">
        <v>12207</v>
      </c>
      <c r="D3690" s="55" t="s">
        <v>12142</v>
      </c>
    </row>
    <row r="3691" ht="14.25" customHeight="1">
      <c r="A3691" s="55" t="s">
        <v>9551</v>
      </c>
      <c r="B3691" s="55" t="s">
        <v>40</v>
      </c>
      <c r="C3691" s="55" t="s">
        <v>9554</v>
      </c>
      <c r="D3691" s="55" t="s">
        <v>9555</v>
      </c>
    </row>
    <row r="3692" ht="14.25" customHeight="1">
      <c r="A3692" s="55" t="s">
        <v>9551</v>
      </c>
      <c r="B3692" s="55" t="s">
        <v>40</v>
      </c>
      <c r="C3692" s="55" t="s">
        <v>10271</v>
      </c>
      <c r="D3692" s="55" t="s">
        <v>10272</v>
      </c>
    </row>
    <row r="3693" ht="14.25" customHeight="1">
      <c r="A3693" s="55" t="s">
        <v>9551</v>
      </c>
      <c r="B3693" s="55" t="s">
        <v>40</v>
      </c>
      <c r="C3693" s="55" t="s">
        <v>9313</v>
      </c>
      <c r="D3693" s="55" t="s">
        <v>9755</v>
      </c>
    </row>
    <row r="3694" ht="14.25" customHeight="1">
      <c r="A3694" s="55" t="s">
        <v>9551</v>
      </c>
      <c r="B3694" s="55" t="s">
        <v>40</v>
      </c>
      <c r="C3694" s="55" t="s">
        <v>7471</v>
      </c>
      <c r="D3694" s="55" t="s">
        <v>14239</v>
      </c>
    </row>
    <row r="3695" ht="14.25" customHeight="1">
      <c r="A3695" s="55" t="s">
        <v>9551</v>
      </c>
      <c r="B3695" s="55" t="s">
        <v>40</v>
      </c>
      <c r="C3695" s="55" t="s">
        <v>13015</v>
      </c>
      <c r="D3695" s="55" t="s">
        <v>9265</v>
      </c>
    </row>
    <row r="3696" ht="14.25" customHeight="1">
      <c r="A3696" s="55" t="s">
        <v>9551</v>
      </c>
      <c r="B3696" s="55" t="s">
        <v>40</v>
      </c>
      <c r="C3696" s="55" t="s">
        <v>14240</v>
      </c>
      <c r="D3696" s="55" t="s">
        <v>9486</v>
      </c>
    </row>
    <row r="3697" ht="14.25" customHeight="1">
      <c r="A3697" s="55" t="s">
        <v>9551</v>
      </c>
      <c r="B3697" s="55" t="s">
        <v>40</v>
      </c>
      <c r="C3697" s="55" t="s">
        <v>10656</v>
      </c>
      <c r="D3697" s="55" t="s">
        <v>11530</v>
      </c>
    </row>
    <row r="3698" ht="14.25" customHeight="1">
      <c r="A3698" s="55" t="s">
        <v>9551</v>
      </c>
      <c r="B3698" s="55" t="s">
        <v>40</v>
      </c>
      <c r="C3698" s="55" t="s">
        <v>1889</v>
      </c>
      <c r="D3698" s="55" t="s">
        <v>13747</v>
      </c>
    </row>
    <row r="3699" ht="14.25" customHeight="1">
      <c r="A3699" s="55" t="s">
        <v>9551</v>
      </c>
      <c r="B3699" s="55" t="s">
        <v>40</v>
      </c>
      <c r="C3699" s="55" t="s">
        <v>10273</v>
      </c>
      <c r="D3699" s="55" t="s">
        <v>10274</v>
      </c>
    </row>
    <row r="3700" ht="14.25" customHeight="1">
      <c r="A3700" s="55" t="s">
        <v>9551</v>
      </c>
      <c r="B3700" s="55" t="s">
        <v>40</v>
      </c>
      <c r="C3700" s="55" t="s">
        <v>10660</v>
      </c>
      <c r="D3700" s="55" t="s">
        <v>13748</v>
      </c>
    </row>
    <row r="3701" ht="14.25" customHeight="1">
      <c r="A3701" s="55" t="s">
        <v>9551</v>
      </c>
      <c r="B3701" s="55" t="s">
        <v>40</v>
      </c>
      <c r="C3701" s="55" t="s">
        <v>9323</v>
      </c>
      <c r="D3701" s="55" t="s">
        <v>9352</v>
      </c>
    </row>
    <row r="3702" ht="14.25" customHeight="1">
      <c r="A3702" s="55" t="s">
        <v>9551</v>
      </c>
      <c r="B3702" s="55" t="s">
        <v>40</v>
      </c>
      <c r="C3702" s="55" t="s">
        <v>13749</v>
      </c>
      <c r="D3702" s="55" t="s">
        <v>9352</v>
      </c>
    </row>
    <row r="3703" ht="14.25" customHeight="1">
      <c r="A3703" s="55" t="s">
        <v>9551</v>
      </c>
      <c r="B3703" s="55" t="s">
        <v>40</v>
      </c>
      <c r="C3703" s="55" t="s">
        <v>12208</v>
      </c>
      <c r="D3703" s="55" t="s">
        <v>12209</v>
      </c>
    </row>
    <row r="3704" ht="14.25" customHeight="1">
      <c r="A3704" s="55" t="s">
        <v>9551</v>
      </c>
      <c r="B3704" s="55" t="s">
        <v>40</v>
      </c>
      <c r="C3704" s="55" t="s">
        <v>13750</v>
      </c>
      <c r="D3704" s="55" t="s">
        <v>13751</v>
      </c>
    </row>
    <row r="3705" ht="14.25" customHeight="1">
      <c r="A3705" s="55" t="s">
        <v>9551</v>
      </c>
      <c r="B3705" s="55" t="s">
        <v>40</v>
      </c>
      <c r="C3705" s="55" t="s">
        <v>6057</v>
      </c>
      <c r="D3705" s="55" t="s">
        <v>8978</v>
      </c>
    </row>
    <row r="3706" ht="14.25" customHeight="1">
      <c r="A3706" s="55" t="s">
        <v>9551</v>
      </c>
      <c r="B3706" s="55" t="s">
        <v>40</v>
      </c>
      <c r="C3706" s="55" t="s">
        <v>11583</v>
      </c>
      <c r="D3706" s="55" t="s">
        <v>9269</v>
      </c>
    </row>
    <row r="3707" ht="14.25" customHeight="1">
      <c r="A3707" s="55" t="s">
        <v>9551</v>
      </c>
      <c r="B3707" s="55" t="s">
        <v>40</v>
      </c>
      <c r="C3707" s="55" t="s">
        <v>13016</v>
      </c>
      <c r="D3707" s="55" t="s">
        <v>13017</v>
      </c>
    </row>
    <row r="3708" ht="14.25" customHeight="1">
      <c r="A3708" s="55" t="s">
        <v>9551</v>
      </c>
      <c r="B3708" s="55" t="s">
        <v>40</v>
      </c>
      <c r="C3708" s="55" t="s">
        <v>11584</v>
      </c>
      <c r="D3708" s="55" t="s">
        <v>9532</v>
      </c>
    </row>
    <row r="3709" ht="14.25" customHeight="1">
      <c r="A3709" s="55" t="s">
        <v>9551</v>
      </c>
      <c r="B3709" s="55" t="s">
        <v>40</v>
      </c>
      <c r="C3709" s="55" t="s">
        <v>9556</v>
      </c>
      <c r="D3709" s="55" t="s">
        <v>9486</v>
      </c>
    </row>
    <row r="3710" ht="14.25" customHeight="1">
      <c r="A3710" s="55" t="s">
        <v>9551</v>
      </c>
      <c r="B3710" s="55" t="s">
        <v>40</v>
      </c>
      <c r="C3710" s="55" t="s">
        <v>10962</v>
      </c>
      <c r="D3710" s="55" t="s">
        <v>9131</v>
      </c>
    </row>
    <row r="3711" ht="14.25" customHeight="1">
      <c r="A3711" s="55" t="s">
        <v>9551</v>
      </c>
      <c r="B3711" s="55" t="s">
        <v>40</v>
      </c>
      <c r="C3711" s="55" t="s">
        <v>10932</v>
      </c>
      <c r="D3711" s="55" t="s">
        <v>9265</v>
      </c>
    </row>
    <row r="3712" ht="14.25" customHeight="1">
      <c r="A3712" s="55" t="s">
        <v>9551</v>
      </c>
      <c r="B3712" s="55" t="s">
        <v>40</v>
      </c>
      <c r="C3712" s="55" t="s">
        <v>14241</v>
      </c>
      <c r="D3712" s="55" t="s">
        <v>13867</v>
      </c>
    </row>
    <row r="3713" ht="14.25" customHeight="1">
      <c r="A3713" s="55" t="s">
        <v>9551</v>
      </c>
      <c r="B3713" s="55" t="s">
        <v>40</v>
      </c>
      <c r="C3713" s="55" t="s">
        <v>916</v>
      </c>
      <c r="D3713" s="55" t="s">
        <v>9369</v>
      </c>
    </row>
    <row r="3714" ht="14.25" customHeight="1">
      <c r="A3714" s="55" t="s">
        <v>9551</v>
      </c>
      <c r="B3714" s="55" t="s">
        <v>40</v>
      </c>
      <c r="C3714" s="55" t="s">
        <v>916</v>
      </c>
      <c r="D3714" s="55" t="s">
        <v>10763</v>
      </c>
    </row>
    <row r="3715" ht="14.25" customHeight="1">
      <c r="A3715" s="55" t="s">
        <v>9551</v>
      </c>
      <c r="B3715" s="55" t="s">
        <v>40</v>
      </c>
      <c r="C3715" s="55" t="s">
        <v>916</v>
      </c>
      <c r="D3715" s="55" t="s">
        <v>9867</v>
      </c>
    </row>
    <row r="3716" ht="14.25" customHeight="1">
      <c r="A3716" s="55" t="s">
        <v>9551</v>
      </c>
      <c r="B3716" s="55" t="s">
        <v>40</v>
      </c>
      <c r="C3716" s="55" t="s">
        <v>916</v>
      </c>
      <c r="D3716" s="55" t="s">
        <v>8978</v>
      </c>
    </row>
    <row r="3717" ht="14.25" customHeight="1">
      <c r="A3717" s="55" t="s">
        <v>9551</v>
      </c>
      <c r="B3717" s="55" t="s">
        <v>40</v>
      </c>
      <c r="C3717" s="55" t="s">
        <v>10807</v>
      </c>
      <c r="D3717" s="55" t="s">
        <v>9034</v>
      </c>
    </row>
    <row r="3718" ht="14.25" customHeight="1">
      <c r="A3718" s="55" t="s">
        <v>9551</v>
      </c>
      <c r="B3718" s="55" t="s">
        <v>40</v>
      </c>
      <c r="C3718" s="55" t="s">
        <v>14242</v>
      </c>
      <c r="D3718" s="55" t="s">
        <v>9265</v>
      </c>
    </row>
    <row r="3719" ht="14.25" customHeight="1">
      <c r="A3719" s="55" t="s">
        <v>9551</v>
      </c>
      <c r="B3719" s="55" t="s">
        <v>40</v>
      </c>
      <c r="C3719" s="55" t="s">
        <v>13018</v>
      </c>
      <c r="D3719" s="55" t="s">
        <v>9152</v>
      </c>
    </row>
    <row r="3720" ht="14.25" customHeight="1">
      <c r="A3720" s="55" t="s">
        <v>9551</v>
      </c>
      <c r="B3720" s="55" t="s">
        <v>40</v>
      </c>
      <c r="C3720" s="55" t="s">
        <v>10275</v>
      </c>
      <c r="D3720" s="55" t="s">
        <v>9266</v>
      </c>
    </row>
    <row r="3721" ht="14.25" customHeight="1">
      <c r="A3721" s="55" t="s">
        <v>9551</v>
      </c>
      <c r="B3721" s="55" t="s">
        <v>40</v>
      </c>
      <c r="C3721" s="55" t="s">
        <v>8981</v>
      </c>
      <c r="D3721" s="55" t="s">
        <v>8968</v>
      </c>
    </row>
    <row r="3722" ht="14.25" customHeight="1">
      <c r="A3722" s="55" t="s">
        <v>9551</v>
      </c>
      <c r="B3722" s="55" t="s">
        <v>40</v>
      </c>
      <c r="C3722" s="55" t="s">
        <v>8981</v>
      </c>
      <c r="D3722" s="55" t="s">
        <v>8982</v>
      </c>
    </row>
    <row r="3723" ht="14.25" customHeight="1">
      <c r="A3723" s="55" t="s">
        <v>9551</v>
      </c>
      <c r="B3723" s="55" t="s">
        <v>40</v>
      </c>
      <c r="C3723" s="55" t="s">
        <v>1051</v>
      </c>
      <c r="D3723" s="55" t="s">
        <v>10933</v>
      </c>
    </row>
    <row r="3724" ht="14.25" customHeight="1">
      <c r="A3724" s="55" t="s">
        <v>9551</v>
      </c>
      <c r="B3724" s="55" t="s">
        <v>40</v>
      </c>
      <c r="C3724" s="55" t="s">
        <v>129</v>
      </c>
      <c r="D3724" s="55" t="s">
        <v>13752</v>
      </c>
    </row>
    <row r="3725" ht="14.25" customHeight="1">
      <c r="A3725" s="55" t="s">
        <v>9551</v>
      </c>
      <c r="B3725" s="55" t="s">
        <v>40</v>
      </c>
      <c r="C3725" s="55" t="s">
        <v>14243</v>
      </c>
      <c r="D3725" s="55" t="s">
        <v>14244</v>
      </c>
    </row>
    <row r="3726" ht="14.25" customHeight="1">
      <c r="A3726" s="55" t="s">
        <v>9551</v>
      </c>
      <c r="B3726" s="55" t="s">
        <v>40</v>
      </c>
      <c r="C3726" s="55" t="s">
        <v>13753</v>
      </c>
      <c r="D3726" s="55" t="s">
        <v>8978</v>
      </c>
    </row>
    <row r="3727" ht="14.25" customHeight="1">
      <c r="A3727" s="55" t="s">
        <v>9551</v>
      </c>
      <c r="B3727" s="55" t="s">
        <v>40</v>
      </c>
      <c r="C3727" s="55" t="s">
        <v>9557</v>
      </c>
      <c r="D3727" s="55" t="s">
        <v>9265</v>
      </c>
    </row>
    <row r="3728" ht="14.25" customHeight="1">
      <c r="A3728" s="55" t="s">
        <v>9551</v>
      </c>
      <c r="B3728" s="55" t="s">
        <v>40</v>
      </c>
      <c r="C3728" s="55" t="s">
        <v>12877</v>
      </c>
      <c r="D3728" s="55" t="s">
        <v>12210</v>
      </c>
    </row>
    <row r="3729" ht="14.25" customHeight="1">
      <c r="A3729" s="55" t="s">
        <v>9551</v>
      </c>
      <c r="B3729" s="55" t="s">
        <v>40</v>
      </c>
      <c r="C3729" s="55" t="s">
        <v>9374</v>
      </c>
      <c r="D3729" s="55" t="s">
        <v>8978</v>
      </c>
    </row>
    <row r="3730" ht="14.25" customHeight="1">
      <c r="A3730" s="55" t="s">
        <v>9551</v>
      </c>
      <c r="B3730" s="55" t="s">
        <v>40</v>
      </c>
      <c r="C3730" s="55" t="s">
        <v>145</v>
      </c>
      <c r="D3730" s="55" t="s">
        <v>9118</v>
      </c>
    </row>
    <row r="3731" ht="14.25" customHeight="1">
      <c r="A3731" s="55" t="s">
        <v>9551</v>
      </c>
      <c r="B3731" s="55" t="s">
        <v>40</v>
      </c>
      <c r="C3731" s="55" t="s">
        <v>3313</v>
      </c>
      <c r="D3731" s="55" t="s">
        <v>9875</v>
      </c>
    </row>
    <row r="3732" ht="14.25" customHeight="1">
      <c r="A3732" s="55" t="s">
        <v>9551</v>
      </c>
      <c r="B3732" s="55" t="s">
        <v>40</v>
      </c>
      <c r="C3732" s="55" t="s">
        <v>3313</v>
      </c>
      <c r="D3732" s="55" t="s">
        <v>11585</v>
      </c>
    </row>
    <row r="3733" ht="14.25" customHeight="1">
      <c r="A3733" s="55" t="s">
        <v>9551</v>
      </c>
      <c r="B3733" s="55" t="s">
        <v>40</v>
      </c>
      <c r="C3733" s="55" t="s">
        <v>11536</v>
      </c>
      <c r="D3733" s="55" t="s">
        <v>13754</v>
      </c>
    </row>
    <row r="3734" ht="14.25" customHeight="1">
      <c r="A3734" s="55" t="s">
        <v>9551</v>
      </c>
      <c r="B3734" s="55" t="s">
        <v>40</v>
      </c>
      <c r="C3734" s="55" t="s">
        <v>11586</v>
      </c>
      <c r="D3734" s="55" t="s">
        <v>11568</v>
      </c>
    </row>
    <row r="3735" ht="14.25" customHeight="1">
      <c r="A3735" s="55" t="s">
        <v>9551</v>
      </c>
      <c r="B3735" s="55" t="s">
        <v>40</v>
      </c>
      <c r="C3735" s="55" t="s">
        <v>10818</v>
      </c>
      <c r="D3735" s="55" t="s">
        <v>8978</v>
      </c>
    </row>
    <row r="3736" ht="14.25" customHeight="1">
      <c r="A3736" s="55" t="s">
        <v>9551</v>
      </c>
      <c r="B3736" s="55" t="s">
        <v>40</v>
      </c>
      <c r="C3736" s="55" t="s">
        <v>6538</v>
      </c>
      <c r="D3736" s="55" t="s">
        <v>10676</v>
      </c>
    </row>
    <row r="3737" ht="14.25" customHeight="1">
      <c r="A3737" s="55" t="s">
        <v>9551</v>
      </c>
      <c r="B3737" s="55" t="s">
        <v>40</v>
      </c>
      <c r="C3737" s="55" t="s">
        <v>13755</v>
      </c>
      <c r="D3737" s="55" t="s">
        <v>12992</v>
      </c>
    </row>
    <row r="3738" ht="14.25" customHeight="1">
      <c r="A3738" s="55" t="s">
        <v>9551</v>
      </c>
      <c r="B3738" s="55" t="s">
        <v>40</v>
      </c>
      <c r="C3738" s="55" t="s">
        <v>9385</v>
      </c>
      <c r="D3738" s="55" t="s">
        <v>8976</v>
      </c>
    </row>
    <row r="3739" ht="14.25" customHeight="1">
      <c r="A3739" s="55" t="s">
        <v>9551</v>
      </c>
      <c r="B3739" s="55" t="s">
        <v>40</v>
      </c>
      <c r="C3739" s="55" t="s">
        <v>312</v>
      </c>
      <c r="D3739" s="55" t="s">
        <v>12210</v>
      </c>
    </row>
    <row r="3740" ht="14.25" customHeight="1">
      <c r="A3740" s="55" t="s">
        <v>9551</v>
      </c>
      <c r="B3740" s="55" t="s">
        <v>40</v>
      </c>
      <c r="C3740" s="55" t="s">
        <v>312</v>
      </c>
      <c r="D3740" s="55" t="s">
        <v>9304</v>
      </c>
    </row>
    <row r="3741" ht="14.25" customHeight="1">
      <c r="A3741" s="55" t="s">
        <v>9551</v>
      </c>
      <c r="B3741" s="55" t="s">
        <v>40</v>
      </c>
      <c r="C3741" s="55" t="s">
        <v>12211</v>
      </c>
      <c r="D3741" s="55" t="s">
        <v>9055</v>
      </c>
    </row>
    <row r="3742" ht="14.25" customHeight="1">
      <c r="A3742" s="55" t="s">
        <v>9551</v>
      </c>
      <c r="B3742" s="55" t="s">
        <v>40</v>
      </c>
      <c r="C3742" s="55" t="s">
        <v>9558</v>
      </c>
      <c r="D3742" s="55" t="s">
        <v>9055</v>
      </c>
    </row>
    <row r="3743" ht="14.25" customHeight="1">
      <c r="A3743" s="55" t="s">
        <v>9551</v>
      </c>
      <c r="B3743" s="55" t="s">
        <v>40</v>
      </c>
      <c r="C3743" s="55" t="s">
        <v>3566</v>
      </c>
      <c r="D3743" s="55" t="s">
        <v>9388</v>
      </c>
    </row>
    <row r="3744" ht="14.25" customHeight="1">
      <c r="A3744" s="55" t="s">
        <v>9551</v>
      </c>
      <c r="B3744" s="55" t="s">
        <v>40</v>
      </c>
      <c r="C3744" s="55" t="s">
        <v>3566</v>
      </c>
      <c r="D3744" s="55" t="s">
        <v>9265</v>
      </c>
    </row>
    <row r="3745" ht="14.25" customHeight="1">
      <c r="A3745" s="55" t="s">
        <v>9551</v>
      </c>
      <c r="B3745" s="55" t="s">
        <v>40</v>
      </c>
      <c r="C3745" s="55" t="s">
        <v>3566</v>
      </c>
      <c r="D3745" s="55" t="s">
        <v>9486</v>
      </c>
    </row>
    <row r="3746" ht="14.25" customHeight="1">
      <c r="A3746" s="55" t="s">
        <v>9551</v>
      </c>
      <c r="B3746" s="55" t="s">
        <v>40</v>
      </c>
      <c r="C3746" s="55" t="s">
        <v>3566</v>
      </c>
      <c r="D3746" s="55" t="s">
        <v>8978</v>
      </c>
    </row>
    <row r="3747" ht="14.25" customHeight="1">
      <c r="A3747" s="55" t="s">
        <v>9551</v>
      </c>
      <c r="B3747" s="55" t="s">
        <v>40</v>
      </c>
      <c r="C3747" s="55" t="s">
        <v>6654</v>
      </c>
      <c r="D3747" s="55" t="s">
        <v>12212</v>
      </c>
    </row>
    <row r="3748" ht="14.25" customHeight="1">
      <c r="A3748" s="55" t="s">
        <v>9551</v>
      </c>
      <c r="B3748" s="55" t="s">
        <v>40</v>
      </c>
      <c r="C3748" s="55" t="s">
        <v>6654</v>
      </c>
      <c r="D3748" s="55" t="s">
        <v>9962</v>
      </c>
    </row>
    <row r="3749" ht="14.25" customHeight="1">
      <c r="A3749" s="55" t="s">
        <v>9551</v>
      </c>
      <c r="B3749" s="55" t="s">
        <v>40</v>
      </c>
      <c r="C3749" s="55" t="s">
        <v>9088</v>
      </c>
      <c r="D3749" s="55" t="s">
        <v>9559</v>
      </c>
    </row>
    <row r="3750" ht="14.25" customHeight="1">
      <c r="A3750" s="55" t="s">
        <v>9551</v>
      </c>
      <c r="B3750" s="55" t="s">
        <v>40</v>
      </c>
      <c r="C3750" s="55" t="s">
        <v>9560</v>
      </c>
      <c r="D3750" s="55" t="s">
        <v>9345</v>
      </c>
    </row>
    <row r="3751" ht="14.25" customHeight="1">
      <c r="A3751" s="55" t="s">
        <v>9551</v>
      </c>
      <c r="B3751" s="55" t="s">
        <v>40</v>
      </c>
      <c r="C3751" s="55" t="s">
        <v>13019</v>
      </c>
      <c r="D3751" s="55" t="s">
        <v>11596</v>
      </c>
    </row>
    <row r="3752" ht="14.25" customHeight="1">
      <c r="A3752" s="55" t="s">
        <v>9551</v>
      </c>
      <c r="B3752" s="55" t="s">
        <v>40</v>
      </c>
      <c r="C3752" s="55" t="s">
        <v>9561</v>
      </c>
      <c r="D3752" s="55" t="s">
        <v>9034</v>
      </c>
    </row>
    <row r="3753" ht="14.25" customHeight="1">
      <c r="A3753" s="55" t="s">
        <v>9551</v>
      </c>
      <c r="B3753" s="55" t="s">
        <v>40</v>
      </c>
      <c r="C3753" s="55" t="s">
        <v>14245</v>
      </c>
      <c r="D3753" s="55" t="s">
        <v>11568</v>
      </c>
    </row>
    <row r="3754" ht="14.25" customHeight="1">
      <c r="A3754" s="55" t="s">
        <v>9551</v>
      </c>
      <c r="B3754" s="55" t="s">
        <v>40</v>
      </c>
      <c r="C3754" s="55" t="s">
        <v>9277</v>
      </c>
      <c r="D3754" s="55" t="s">
        <v>8978</v>
      </c>
    </row>
    <row r="3755" ht="14.25" customHeight="1">
      <c r="A3755" s="55" t="s">
        <v>9551</v>
      </c>
      <c r="B3755" s="55" t="s">
        <v>40</v>
      </c>
      <c r="C3755" s="55" t="s">
        <v>13020</v>
      </c>
      <c r="D3755" s="55" t="s">
        <v>8976</v>
      </c>
    </row>
    <row r="3756" ht="14.25" customHeight="1">
      <c r="A3756" s="55" t="s">
        <v>9551</v>
      </c>
      <c r="B3756" s="55" t="s">
        <v>40</v>
      </c>
      <c r="C3756" s="55" t="s">
        <v>9506</v>
      </c>
      <c r="D3756" s="55" t="s">
        <v>13021</v>
      </c>
    </row>
    <row r="3757" ht="14.25" customHeight="1">
      <c r="A3757" s="55" t="s">
        <v>9551</v>
      </c>
      <c r="B3757" s="55" t="s">
        <v>40</v>
      </c>
      <c r="C3757" s="55" t="s">
        <v>9506</v>
      </c>
      <c r="D3757" s="55" t="s">
        <v>8978</v>
      </c>
    </row>
    <row r="3758" ht="14.25" customHeight="1">
      <c r="A3758" s="55" t="s">
        <v>9551</v>
      </c>
      <c r="B3758" s="55" t="s">
        <v>40</v>
      </c>
      <c r="C3758" s="55" t="s">
        <v>9506</v>
      </c>
      <c r="D3758" s="55" t="s">
        <v>13022</v>
      </c>
    </row>
    <row r="3759" ht="14.25" customHeight="1">
      <c r="A3759" s="55" t="s">
        <v>9551</v>
      </c>
      <c r="B3759" s="55" t="s">
        <v>40</v>
      </c>
      <c r="C3759" s="55" t="s">
        <v>3728</v>
      </c>
      <c r="D3759" s="55" t="s">
        <v>11587</v>
      </c>
    </row>
    <row r="3760" ht="14.25" customHeight="1">
      <c r="A3760" s="55" t="s">
        <v>9551</v>
      </c>
      <c r="B3760" s="55" t="s">
        <v>40</v>
      </c>
      <c r="C3760" s="55" t="s">
        <v>12213</v>
      </c>
      <c r="D3760" s="55" t="s">
        <v>12214</v>
      </c>
    </row>
    <row r="3761" ht="14.25" customHeight="1">
      <c r="A3761" s="55" t="s">
        <v>9551</v>
      </c>
      <c r="B3761" s="55" t="s">
        <v>40</v>
      </c>
      <c r="C3761" s="55" t="s">
        <v>11588</v>
      </c>
      <c r="D3761" s="55" t="s">
        <v>9002</v>
      </c>
    </row>
    <row r="3762" ht="14.25" customHeight="1">
      <c r="A3762" s="55" t="s">
        <v>9551</v>
      </c>
      <c r="B3762" s="55" t="s">
        <v>40</v>
      </c>
      <c r="C3762" s="55" t="s">
        <v>10905</v>
      </c>
      <c r="D3762" s="55" t="s">
        <v>9508</v>
      </c>
    </row>
    <row r="3763" ht="14.25" customHeight="1">
      <c r="A3763" s="55" t="s">
        <v>9551</v>
      </c>
      <c r="B3763" s="55" t="s">
        <v>40</v>
      </c>
      <c r="C3763" s="55" t="s">
        <v>210</v>
      </c>
      <c r="D3763" s="55" t="s">
        <v>13023</v>
      </c>
    </row>
    <row r="3764" ht="14.25" customHeight="1">
      <c r="A3764" s="55" t="s">
        <v>9551</v>
      </c>
      <c r="B3764" s="55" t="s">
        <v>40</v>
      </c>
      <c r="C3764" s="55" t="s">
        <v>210</v>
      </c>
      <c r="D3764" s="55" t="s">
        <v>9118</v>
      </c>
    </row>
    <row r="3765" ht="14.25" customHeight="1">
      <c r="A3765" s="55" t="s">
        <v>9551</v>
      </c>
      <c r="B3765" s="55" t="s">
        <v>40</v>
      </c>
      <c r="C3765" s="55" t="s">
        <v>13756</v>
      </c>
      <c r="D3765" s="55" t="s">
        <v>9383</v>
      </c>
    </row>
    <row r="3766" ht="14.25" customHeight="1">
      <c r="A3766" s="55" t="s">
        <v>9551</v>
      </c>
      <c r="B3766" s="55" t="s">
        <v>40</v>
      </c>
      <c r="C3766" s="55" t="s">
        <v>213</v>
      </c>
      <c r="D3766" s="55" t="s">
        <v>9943</v>
      </c>
    </row>
    <row r="3767" ht="14.25" customHeight="1">
      <c r="A3767" s="55" t="s">
        <v>9551</v>
      </c>
      <c r="B3767" s="55" t="s">
        <v>40</v>
      </c>
      <c r="C3767" s="55" t="s">
        <v>13024</v>
      </c>
      <c r="D3767" s="55" t="s">
        <v>9265</v>
      </c>
    </row>
    <row r="3768" ht="14.25" customHeight="1">
      <c r="A3768" s="55" t="s">
        <v>9551</v>
      </c>
      <c r="B3768" s="55" t="s">
        <v>40</v>
      </c>
      <c r="C3768" s="55" t="s">
        <v>9562</v>
      </c>
      <c r="D3768" s="55" t="s">
        <v>9563</v>
      </c>
    </row>
    <row r="3769" ht="14.25" customHeight="1">
      <c r="A3769" s="55" t="s">
        <v>9551</v>
      </c>
      <c r="B3769" s="55" t="s">
        <v>40</v>
      </c>
      <c r="C3769" s="55" t="s">
        <v>9562</v>
      </c>
      <c r="D3769" s="55" t="s">
        <v>9564</v>
      </c>
    </row>
    <row r="3770" ht="14.25" customHeight="1">
      <c r="A3770" s="55" t="s">
        <v>9551</v>
      </c>
      <c r="B3770" s="55" t="s">
        <v>40</v>
      </c>
      <c r="C3770" s="55" t="s">
        <v>215</v>
      </c>
      <c r="D3770" s="55" t="s">
        <v>13757</v>
      </c>
    </row>
    <row r="3771" ht="14.25" customHeight="1">
      <c r="A3771" s="55" t="s">
        <v>9551</v>
      </c>
      <c r="B3771" s="55" t="s">
        <v>40</v>
      </c>
      <c r="C3771" s="55" t="s">
        <v>215</v>
      </c>
      <c r="D3771" s="55" t="s">
        <v>11589</v>
      </c>
    </row>
    <row r="3772" ht="14.25" customHeight="1">
      <c r="A3772" s="55" t="s">
        <v>9551</v>
      </c>
      <c r="B3772" s="55" t="s">
        <v>40</v>
      </c>
      <c r="C3772" s="55" t="s">
        <v>215</v>
      </c>
      <c r="D3772" s="55" t="s">
        <v>11590</v>
      </c>
    </row>
    <row r="3773" ht="14.25" customHeight="1">
      <c r="A3773" s="55" t="s">
        <v>9551</v>
      </c>
      <c r="B3773" s="55" t="s">
        <v>40</v>
      </c>
      <c r="C3773" s="55" t="s">
        <v>215</v>
      </c>
      <c r="D3773" s="55" t="s">
        <v>12215</v>
      </c>
    </row>
    <row r="3774" ht="14.25" customHeight="1">
      <c r="A3774" s="55" t="s">
        <v>9551</v>
      </c>
      <c r="B3774" s="55" t="s">
        <v>40</v>
      </c>
      <c r="C3774" s="55" t="s">
        <v>10831</v>
      </c>
      <c r="D3774" s="55" t="s">
        <v>12216</v>
      </c>
    </row>
    <row r="3775" ht="14.25" customHeight="1">
      <c r="A3775" s="55" t="s">
        <v>9551</v>
      </c>
      <c r="B3775" s="55" t="s">
        <v>40</v>
      </c>
      <c r="C3775" s="55" t="s">
        <v>3821</v>
      </c>
      <c r="D3775" s="55" t="s">
        <v>12217</v>
      </c>
    </row>
    <row r="3776" ht="14.25" customHeight="1">
      <c r="A3776" s="55" t="s">
        <v>9551</v>
      </c>
      <c r="B3776" s="55" t="s">
        <v>40</v>
      </c>
      <c r="C3776" s="55" t="s">
        <v>220</v>
      </c>
      <c r="D3776" s="55" t="s">
        <v>8968</v>
      </c>
    </row>
    <row r="3777" ht="14.25" customHeight="1">
      <c r="A3777" s="55" t="s">
        <v>9551</v>
      </c>
      <c r="B3777" s="55" t="s">
        <v>40</v>
      </c>
      <c r="C3777" s="55" t="s">
        <v>220</v>
      </c>
      <c r="D3777" s="55" t="s">
        <v>10430</v>
      </c>
    </row>
    <row r="3778" ht="14.25" customHeight="1">
      <c r="A3778" s="55" t="s">
        <v>9551</v>
      </c>
      <c r="B3778" s="55" t="s">
        <v>40</v>
      </c>
      <c r="C3778" s="55" t="s">
        <v>10246</v>
      </c>
      <c r="D3778" s="55" t="s">
        <v>9265</v>
      </c>
    </row>
    <row r="3779" ht="14.25" customHeight="1">
      <c r="A3779" s="55" t="s">
        <v>9551</v>
      </c>
      <c r="B3779" s="55" t="s">
        <v>40</v>
      </c>
      <c r="C3779" s="55" t="s">
        <v>10276</v>
      </c>
      <c r="D3779" s="55" t="s">
        <v>10277</v>
      </c>
    </row>
    <row r="3780" ht="14.25" customHeight="1">
      <c r="A3780" s="55" t="s">
        <v>9551</v>
      </c>
      <c r="B3780" s="55" t="s">
        <v>40</v>
      </c>
      <c r="C3780" s="55" t="s">
        <v>222</v>
      </c>
      <c r="D3780" s="55" t="s">
        <v>9265</v>
      </c>
    </row>
    <row r="3781" ht="14.25" customHeight="1">
      <c r="A3781" s="55" t="s">
        <v>9551</v>
      </c>
      <c r="B3781" s="55" t="s">
        <v>40</v>
      </c>
      <c r="C3781" s="55" t="s">
        <v>6904</v>
      </c>
      <c r="D3781" s="55" t="s">
        <v>12218</v>
      </c>
    </row>
    <row r="3782" ht="14.25" customHeight="1">
      <c r="A3782" s="55" t="s">
        <v>9551</v>
      </c>
      <c r="B3782" s="55" t="s">
        <v>40</v>
      </c>
      <c r="C3782" s="55" t="s">
        <v>1743</v>
      </c>
      <c r="D3782" s="55" t="s">
        <v>13758</v>
      </c>
    </row>
    <row r="3783" ht="14.25" customHeight="1">
      <c r="A3783" s="55" t="s">
        <v>9551</v>
      </c>
      <c r="B3783" s="55" t="s">
        <v>40</v>
      </c>
      <c r="C3783" s="55" t="s">
        <v>13570</v>
      </c>
      <c r="D3783" s="55" t="s">
        <v>13759</v>
      </c>
    </row>
    <row r="3784" ht="14.25" customHeight="1">
      <c r="A3784" s="55" t="s">
        <v>9551</v>
      </c>
      <c r="B3784" s="55" t="s">
        <v>40</v>
      </c>
      <c r="C3784" s="55" t="s">
        <v>9770</v>
      </c>
      <c r="D3784" s="55" t="s">
        <v>9637</v>
      </c>
    </row>
    <row r="3785" ht="14.25" customHeight="1">
      <c r="A3785" s="55" t="s">
        <v>9551</v>
      </c>
      <c r="B3785" s="55" t="s">
        <v>40</v>
      </c>
      <c r="C3785" s="55" t="s">
        <v>13025</v>
      </c>
      <c r="D3785" s="55" t="s">
        <v>9034</v>
      </c>
    </row>
    <row r="3786" ht="14.25" customHeight="1">
      <c r="A3786" s="55" t="s">
        <v>9551</v>
      </c>
      <c r="B3786" s="55" t="s">
        <v>40</v>
      </c>
      <c r="C3786" s="55" t="s">
        <v>13026</v>
      </c>
      <c r="D3786" s="55" t="s">
        <v>8978</v>
      </c>
    </row>
    <row r="3787" ht="14.25" customHeight="1">
      <c r="A3787" s="55" t="s">
        <v>9551</v>
      </c>
      <c r="B3787" s="55" t="s">
        <v>40</v>
      </c>
      <c r="C3787" s="55" t="s">
        <v>13760</v>
      </c>
      <c r="D3787" s="55" t="s">
        <v>13761</v>
      </c>
    </row>
    <row r="3788" ht="14.25" customHeight="1">
      <c r="A3788" s="55" t="s">
        <v>9551</v>
      </c>
      <c r="B3788" s="55" t="s">
        <v>40</v>
      </c>
      <c r="C3788" s="55" t="s">
        <v>11591</v>
      </c>
      <c r="D3788" s="55" t="s">
        <v>11592</v>
      </c>
    </row>
    <row r="3789" ht="14.25" customHeight="1">
      <c r="A3789" s="55" t="s">
        <v>9551</v>
      </c>
      <c r="B3789" s="55" t="s">
        <v>40</v>
      </c>
      <c r="C3789" s="55" t="s">
        <v>1906</v>
      </c>
      <c r="D3789" s="55" t="s">
        <v>11593</v>
      </c>
    </row>
    <row r="3790" ht="14.25" customHeight="1">
      <c r="A3790" s="55" t="s">
        <v>9551</v>
      </c>
      <c r="B3790" s="55" t="s">
        <v>40</v>
      </c>
      <c r="C3790" s="55" t="s">
        <v>1906</v>
      </c>
      <c r="D3790" s="55" t="s">
        <v>11590</v>
      </c>
    </row>
    <row r="3791" ht="14.25" customHeight="1">
      <c r="A3791" s="55" t="s">
        <v>9551</v>
      </c>
      <c r="B3791" s="55" t="s">
        <v>40</v>
      </c>
      <c r="C3791" s="55" t="s">
        <v>14246</v>
      </c>
      <c r="D3791" s="55" t="s">
        <v>8978</v>
      </c>
    </row>
    <row r="3792" ht="14.25" customHeight="1">
      <c r="A3792" s="55" t="s">
        <v>9551</v>
      </c>
      <c r="B3792" s="55" t="s">
        <v>40</v>
      </c>
      <c r="C3792" s="55" t="s">
        <v>244</v>
      </c>
      <c r="D3792" s="55" t="s">
        <v>10018</v>
      </c>
    </row>
    <row r="3793" ht="14.25" customHeight="1">
      <c r="A3793" s="55" t="s">
        <v>9551</v>
      </c>
      <c r="B3793" s="55" t="s">
        <v>40</v>
      </c>
      <c r="C3793" s="55" t="s">
        <v>10998</v>
      </c>
      <c r="D3793" s="55" t="s">
        <v>13027</v>
      </c>
    </row>
    <row r="3794" ht="14.25" customHeight="1">
      <c r="A3794" s="55" t="s">
        <v>9551</v>
      </c>
      <c r="B3794" s="55" t="s">
        <v>40</v>
      </c>
      <c r="C3794" s="55" t="s">
        <v>10998</v>
      </c>
      <c r="D3794" s="55" t="s">
        <v>12219</v>
      </c>
    </row>
    <row r="3795" ht="14.25" customHeight="1">
      <c r="A3795" s="55" t="s">
        <v>9551</v>
      </c>
      <c r="B3795" s="55" t="s">
        <v>40</v>
      </c>
      <c r="C3795" s="55" t="s">
        <v>10278</v>
      </c>
      <c r="D3795" s="55" t="s">
        <v>9034</v>
      </c>
    </row>
    <row r="3796" ht="14.25" customHeight="1">
      <c r="A3796" s="55" t="s">
        <v>9551</v>
      </c>
      <c r="B3796" s="55" t="s">
        <v>40</v>
      </c>
      <c r="C3796" s="55" t="s">
        <v>10279</v>
      </c>
      <c r="D3796" s="55" t="s">
        <v>9073</v>
      </c>
    </row>
    <row r="3797" ht="14.25" customHeight="1">
      <c r="A3797" s="55" t="s">
        <v>9551</v>
      </c>
      <c r="B3797" s="55" t="s">
        <v>40</v>
      </c>
      <c r="C3797" s="55" t="s">
        <v>14247</v>
      </c>
      <c r="D3797" s="55" t="s">
        <v>14248</v>
      </c>
    </row>
    <row r="3798" ht="14.25" customHeight="1">
      <c r="A3798" s="55" t="s">
        <v>9551</v>
      </c>
      <c r="B3798" s="55" t="s">
        <v>40</v>
      </c>
      <c r="C3798" s="55" t="s">
        <v>9565</v>
      </c>
      <c r="D3798" s="55" t="s">
        <v>9566</v>
      </c>
    </row>
    <row r="3799" ht="14.25" customHeight="1">
      <c r="A3799" s="55" t="s">
        <v>9551</v>
      </c>
      <c r="B3799" s="55" t="s">
        <v>40</v>
      </c>
      <c r="C3799" s="55" t="s">
        <v>255</v>
      </c>
      <c r="D3799" s="55" t="s">
        <v>9034</v>
      </c>
    </row>
    <row r="3800" ht="14.25" customHeight="1">
      <c r="A3800" s="55" t="s">
        <v>9551</v>
      </c>
      <c r="B3800" s="55" t="s">
        <v>40</v>
      </c>
      <c r="C3800" s="55" t="s">
        <v>13762</v>
      </c>
      <c r="D3800" s="55" t="s">
        <v>12854</v>
      </c>
    </row>
    <row r="3801" ht="14.25" customHeight="1">
      <c r="A3801" s="55" t="s">
        <v>9551</v>
      </c>
      <c r="B3801" s="55" t="s">
        <v>40</v>
      </c>
      <c r="C3801" s="55" t="s">
        <v>12220</v>
      </c>
      <c r="D3801" s="55" t="s">
        <v>12221</v>
      </c>
    </row>
    <row r="3802" ht="14.25" customHeight="1">
      <c r="A3802" s="55" t="s">
        <v>9551</v>
      </c>
      <c r="B3802" s="55" t="s">
        <v>40</v>
      </c>
      <c r="C3802" s="55" t="s">
        <v>13028</v>
      </c>
      <c r="D3802" s="55" t="s">
        <v>13029</v>
      </c>
    </row>
    <row r="3803" ht="14.25" customHeight="1">
      <c r="A3803" s="55" t="s">
        <v>9551</v>
      </c>
      <c r="B3803" s="55" t="s">
        <v>40</v>
      </c>
      <c r="C3803" s="55" t="s">
        <v>8771</v>
      </c>
      <c r="D3803" s="55" t="s">
        <v>11490</v>
      </c>
    </row>
    <row r="3804" ht="14.25" customHeight="1">
      <c r="A3804" s="55" t="s">
        <v>9551</v>
      </c>
      <c r="B3804" s="55" t="s">
        <v>40</v>
      </c>
      <c r="C3804" s="55" t="s">
        <v>8771</v>
      </c>
      <c r="D3804" s="55" t="s">
        <v>9151</v>
      </c>
    </row>
    <row r="3805" ht="14.25" customHeight="1">
      <c r="A3805" s="55" t="s">
        <v>9551</v>
      </c>
      <c r="B3805" s="55" t="s">
        <v>40</v>
      </c>
      <c r="C3805" s="55" t="s">
        <v>9090</v>
      </c>
      <c r="D3805" s="55" t="s">
        <v>13030</v>
      </c>
    </row>
    <row r="3806" ht="14.25" customHeight="1">
      <c r="A3806" s="55" t="s">
        <v>9551</v>
      </c>
      <c r="B3806" s="55" t="s">
        <v>40</v>
      </c>
      <c r="C3806" s="55" t="s">
        <v>14249</v>
      </c>
      <c r="D3806" s="55" t="s">
        <v>14250</v>
      </c>
    </row>
    <row r="3807" ht="14.25" customHeight="1">
      <c r="A3807" s="55" t="s">
        <v>9551</v>
      </c>
      <c r="B3807" s="55" t="s">
        <v>40</v>
      </c>
      <c r="C3807" s="55" t="s">
        <v>9453</v>
      </c>
      <c r="D3807" s="55" t="s">
        <v>9341</v>
      </c>
    </row>
    <row r="3808" ht="14.25" customHeight="1">
      <c r="A3808" s="55" t="s">
        <v>9551</v>
      </c>
      <c r="B3808" s="55" t="s">
        <v>40</v>
      </c>
      <c r="C3808" s="55" t="s">
        <v>9160</v>
      </c>
      <c r="D3808" s="55" t="s">
        <v>8968</v>
      </c>
    </row>
    <row r="3809" ht="14.25" customHeight="1">
      <c r="A3809" s="55" t="s">
        <v>9551</v>
      </c>
      <c r="B3809" s="55" t="s">
        <v>40</v>
      </c>
      <c r="C3809" s="55" t="s">
        <v>9160</v>
      </c>
      <c r="D3809" s="55" t="s">
        <v>9567</v>
      </c>
    </row>
    <row r="3810" ht="14.25" customHeight="1">
      <c r="A3810" s="55" t="s">
        <v>9551</v>
      </c>
      <c r="B3810" s="55" t="s">
        <v>40</v>
      </c>
      <c r="C3810" s="55" t="s">
        <v>9160</v>
      </c>
      <c r="D3810" s="55" t="s">
        <v>9525</v>
      </c>
    </row>
    <row r="3811" ht="14.25" customHeight="1">
      <c r="A3811" s="55" t="s">
        <v>9551</v>
      </c>
      <c r="B3811" s="55" t="s">
        <v>40</v>
      </c>
      <c r="C3811" s="55" t="s">
        <v>9160</v>
      </c>
      <c r="D3811" s="55" t="s">
        <v>12164</v>
      </c>
    </row>
    <row r="3812" ht="14.25" customHeight="1">
      <c r="A3812" s="55" t="s">
        <v>9551</v>
      </c>
      <c r="B3812" s="55" t="s">
        <v>40</v>
      </c>
      <c r="C3812" s="55" t="s">
        <v>9160</v>
      </c>
      <c r="D3812" s="55" t="s">
        <v>9118</v>
      </c>
    </row>
    <row r="3813" ht="14.25" customHeight="1">
      <c r="A3813" s="55" t="s">
        <v>9551</v>
      </c>
      <c r="B3813" s="55" t="s">
        <v>40</v>
      </c>
      <c r="C3813" s="55" t="s">
        <v>9160</v>
      </c>
      <c r="D3813" s="55" t="s">
        <v>9086</v>
      </c>
    </row>
    <row r="3814" ht="14.25" customHeight="1">
      <c r="A3814" s="55" t="s">
        <v>9551</v>
      </c>
      <c r="B3814" s="55" t="s">
        <v>40</v>
      </c>
      <c r="C3814" s="55" t="s">
        <v>262</v>
      </c>
      <c r="D3814" s="55" t="s">
        <v>9291</v>
      </c>
    </row>
    <row r="3815" ht="14.25" customHeight="1">
      <c r="A3815" s="55" t="s">
        <v>9551</v>
      </c>
      <c r="B3815" s="55" t="s">
        <v>40</v>
      </c>
      <c r="C3815" s="55" t="s">
        <v>262</v>
      </c>
      <c r="D3815" s="55" t="s">
        <v>9941</v>
      </c>
    </row>
    <row r="3816" ht="14.25" customHeight="1">
      <c r="A3816" s="55" t="s">
        <v>9551</v>
      </c>
      <c r="B3816" s="55" t="s">
        <v>40</v>
      </c>
      <c r="C3816" s="55" t="s">
        <v>262</v>
      </c>
      <c r="D3816" s="55" t="s">
        <v>9525</v>
      </c>
    </row>
    <row r="3817" ht="14.25" customHeight="1">
      <c r="A3817" s="55" t="s">
        <v>9551</v>
      </c>
      <c r="B3817" s="55" t="s">
        <v>40</v>
      </c>
      <c r="C3817" s="55" t="s">
        <v>262</v>
      </c>
      <c r="D3817" s="55" t="s">
        <v>12222</v>
      </c>
    </row>
    <row r="3818" ht="14.25" customHeight="1">
      <c r="A3818" s="55" t="s">
        <v>9551</v>
      </c>
      <c r="B3818" s="55" t="s">
        <v>40</v>
      </c>
      <c r="C3818" s="55" t="s">
        <v>262</v>
      </c>
      <c r="D3818" s="55" t="s">
        <v>13763</v>
      </c>
    </row>
    <row r="3819" ht="14.25" customHeight="1">
      <c r="A3819" s="55" t="s">
        <v>9551</v>
      </c>
      <c r="B3819" s="55" t="s">
        <v>40</v>
      </c>
      <c r="C3819" s="55" t="s">
        <v>262</v>
      </c>
      <c r="D3819" s="55" t="s">
        <v>9118</v>
      </c>
    </row>
    <row r="3820" ht="14.25" customHeight="1">
      <c r="A3820" s="55" t="s">
        <v>9551</v>
      </c>
      <c r="B3820" s="55" t="s">
        <v>40</v>
      </c>
      <c r="C3820" s="55" t="s">
        <v>262</v>
      </c>
      <c r="D3820" s="55" t="s">
        <v>9086</v>
      </c>
    </row>
    <row r="3821" ht="14.25" customHeight="1">
      <c r="A3821" s="55" t="s">
        <v>9551</v>
      </c>
      <c r="B3821" s="55" t="s">
        <v>40</v>
      </c>
      <c r="C3821" s="55" t="s">
        <v>11529</v>
      </c>
      <c r="D3821" s="55" t="s">
        <v>11530</v>
      </c>
    </row>
    <row r="3822" ht="14.25" customHeight="1">
      <c r="A3822" s="55" t="s">
        <v>9551</v>
      </c>
      <c r="B3822" s="55" t="s">
        <v>40</v>
      </c>
      <c r="C3822" s="55" t="s">
        <v>13764</v>
      </c>
      <c r="D3822" s="55" t="s">
        <v>13765</v>
      </c>
    </row>
    <row r="3823" ht="14.25" customHeight="1">
      <c r="A3823" s="55" t="s">
        <v>9551</v>
      </c>
      <c r="B3823" s="55" t="s">
        <v>40</v>
      </c>
      <c r="C3823" s="55" t="s">
        <v>9005</v>
      </c>
      <c r="D3823" s="55" t="s">
        <v>9568</v>
      </c>
    </row>
    <row r="3824" ht="14.25" customHeight="1">
      <c r="A3824" s="55" t="s">
        <v>9551</v>
      </c>
      <c r="B3824" s="55" t="s">
        <v>40</v>
      </c>
      <c r="C3824" s="55" t="s">
        <v>9005</v>
      </c>
      <c r="D3824" s="55" t="s">
        <v>9258</v>
      </c>
    </row>
    <row r="3825" ht="14.25" customHeight="1">
      <c r="A3825" s="55" t="s">
        <v>9551</v>
      </c>
      <c r="B3825" s="55" t="s">
        <v>40</v>
      </c>
      <c r="C3825" s="55" t="s">
        <v>9529</v>
      </c>
      <c r="D3825" s="55" t="s">
        <v>9034</v>
      </c>
    </row>
    <row r="3826" ht="14.25" customHeight="1">
      <c r="A3826" s="55" t="s">
        <v>9551</v>
      </c>
      <c r="B3826" s="55" t="s">
        <v>40</v>
      </c>
      <c r="C3826" s="55" t="s">
        <v>9529</v>
      </c>
      <c r="D3826" s="55" t="s">
        <v>9970</v>
      </c>
    </row>
    <row r="3827" ht="14.25" customHeight="1">
      <c r="A3827" s="55" t="s">
        <v>9551</v>
      </c>
      <c r="B3827" s="55" t="s">
        <v>40</v>
      </c>
      <c r="C3827" s="55" t="s">
        <v>9007</v>
      </c>
      <c r="D3827" s="55" t="s">
        <v>9006</v>
      </c>
    </row>
    <row r="3828" ht="14.25" customHeight="1">
      <c r="A3828" s="55" t="s">
        <v>9551</v>
      </c>
      <c r="B3828" s="55" t="s">
        <v>40</v>
      </c>
      <c r="C3828" s="55" t="s">
        <v>9007</v>
      </c>
      <c r="D3828" s="55" t="s">
        <v>9970</v>
      </c>
    </row>
    <row r="3829" ht="14.25" customHeight="1">
      <c r="A3829" s="55" t="s">
        <v>9551</v>
      </c>
      <c r="B3829" s="55" t="s">
        <v>40</v>
      </c>
      <c r="C3829" s="55" t="s">
        <v>9007</v>
      </c>
      <c r="D3829" s="55" t="s">
        <v>10280</v>
      </c>
    </row>
    <row r="3830" ht="14.25" customHeight="1">
      <c r="A3830" s="55" t="s">
        <v>9551</v>
      </c>
      <c r="B3830" s="55" t="s">
        <v>40</v>
      </c>
      <c r="C3830" s="55" t="s">
        <v>2163</v>
      </c>
      <c r="D3830" s="55" t="s">
        <v>9034</v>
      </c>
    </row>
    <row r="3831" ht="14.25" customHeight="1">
      <c r="A3831" s="55" t="s">
        <v>9551</v>
      </c>
      <c r="B3831" s="55" t="s">
        <v>40</v>
      </c>
      <c r="C3831" s="55" t="s">
        <v>274</v>
      </c>
      <c r="D3831" s="55" t="s">
        <v>9258</v>
      </c>
    </row>
    <row r="3832" ht="14.25" customHeight="1">
      <c r="A3832" s="55" t="s">
        <v>9551</v>
      </c>
      <c r="B3832" s="55" t="s">
        <v>40</v>
      </c>
      <c r="C3832" s="55" t="s">
        <v>10851</v>
      </c>
      <c r="D3832" s="55" t="s">
        <v>9352</v>
      </c>
    </row>
    <row r="3833" ht="14.25" customHeight="1">
      <c r="A3833" s="55" t="s">
        <v>9551</v>
      </c>
      <c r="B3833" s="55" t="s">
        <v>40</v>
      </c>
      <c r="C3833" s="55" t="s">
        <v>10851</v>
      </c>
      <c r="D3833" s="55" t="s">
        <v>13766</v>
      </c>
    </row>
    <row r="3834" ht="14.25" customHeight="1">
      <c r="A3834" s="55" t="s">
        <v>9551</v>
      </c>
      <c r="B3834" s="55" t="s">
        <v>40</v>
      </c>
      <c r="C3834" s="55" t="s">
        <v>11594</v>
      </c>
      <c r="D3834" s="55" t="s">
        <v>9352</v>
      </c>
    </row>
    <row r="3835" ht="14.25" customHeight="1">
      <c r="A3835" s="55" t="s">
        <v>9551</v>
      </c>
      <c r="B3835" s="55" t="s">
        <v>40</v>
      </c>
      <c r="C3835" s="55" t="s">
        <v>5654</v>
      </c>
      <c r="D3835" s="55" t="s">
        <v>14251</v>
      </c>
    </row>
    <row r="3836" ht="14.25" customHeight="1">
      <c r="A3836" s="55" t="s">
        <v>9551</v>
      </c>
      <c r="B3836" s="55" t="s">
        <v>40</v>
      </c>
      <c r="C3836" s="55" t="s">
        <v>14252</v>
      </c>
      <c r="D3836" s="55" t="s">
        <v>9265</v>
      </c>
    </row>
    <row r="3837" ht="14.25" customHeight="1">
      <c r="A3837" s="55" t="s">
        <v>9551</v>
      </c>
      <c r="B3837" s="55" t="s">
        <v>40</v>
      </c>
      <c r="C3837" s="55" t="s">
        <v>9296</v>
      </c>
      <c r="D3837" s="55" t="s">
        <v>9236</v>
      </c>
    </row>
    <row r="3838" ht="14.25" customHeight="1">
      <c r="A3838" s="55" t="s">
        <v>9551</v>
      </c>
      <c r="B3838" s="55" t="s">
        <v>40</v>
      </c>
      <c r="C3838" s="55" t="s">
        <v>11595</v>
      </c>
      <c r="D3838" s="55" t="s">
        <v>11596</v>
      </c>
    </row>
    <row r="3839" ht="14.25" customHeight="1">
      <c r="A3839" s="55" t="s">
        <v>9551</v>
      </c>
      <c r="B3839" s="55" t="s">
        <v>40</v>
      </c>
      <c r="C3839" s="55" t="s">
        <v>13767</v>
      </c>
      <c r="D3839" s="55" t="s">
        <v>10806</v>
      </c>
    </row>
    <row r="3840" ht="14.25" customHeight="1">
      <c r="A3840" s="55" t="s">
        <v>579</v>
      </c>
      <c r="B3840" s="55" t="s">
        <v>41</v>
      </c>
      <c r="C3840" s="55" t="s">
        <v>73</v>
      </c>
      <c r="D3840" s="55" t="s">
        <v>9073</v>
      </c>
    </row>
    <row r="3841" ht="14.25" customHeight="1">
      <c r="A3841" s="55" t="s">
        <v>579</v>
      </c>
      <c r="B3841" s="55" t="s">
        <v>41</v>
      </c>
      <c r="C3841" s="55" t="s">
        <v>13768</v>
      </c>
      <c r="D3841" s="55" t="s">
        <v>13769</v>
      </c>
    </row>
    <row r="3842" ht="14.25" customHeight="1">
      <c r="A3842" s="55" t="s">
        <v>579</v>
      </c>
      <c r="B3842" s="55" t="s">
        <v>41</v>
      </c>
      <c r="C3842" s="55" t="s">
        <v>763</v>
      </c>
      <c r="D3842" s="55" t="s">
        <v>11059</v>
      </c>
    </row>
    <row r="3843" ht="14.25" customHeight="1">
      <c r="A3843" s="55" t="s">
        <v>579</v>
      </c>
      <c r="B3843" s="55" t="s">
        <v>41</v>
      </c>
      <c r="C3843" s="55" t="s">
        <v>9469</v>
      </c>
      <c r="D3843" s="55" t="s">
        <v>14253</v>
      </c>
    </row>
    <row r="3844" ht="14.25" customHeight="1">
      <c r="A3844" s="55" t="s">
        <v>579</v>
      </c>
      <c r="B3844" s="55" t="s">
        <v>41</v>
      </c>
      <c r="C3844" s="55" t="s">
        <v>10660</v>
      </c>
      <c r="D3844" s="55" t="s">
        <v>13770</v>
      </c>
    </row>
    <row r="3845" ht="14.25" customHeight="1">
      <c r="A3845" s="55" t="s">
        <v>579</v>
      </c>
      <c r="B3845" s="55" t="s">
        <v>41</v>
      </c>
      <c r="C3845" s="55" t="s">
        <v>10660</v>
      </c>
      <c r="D3845" s="55" t="s">
        <v>9999</v>
      </c>
    </row>
    <row r="3846" ht="14.25" customHeight="1">
      <c r="A3846" s="55" t="s">
        <v>579</v>
      </c>
      <c r="B3846" s="55" t="s">
        <v>41</v>
      </c>
      <c r="C3846" s="55" t="s">
        <v>14254</v>
      </c>
      <c r="D3846" s="55" t="s">
        <v>14255</v>
      </c>
    </row>
    <row r="3847" ht="14.25" customHeight="1">
      <c r="A3847" s="55" t="s">
        <v>579</v>
      </c>
      <c r="B3847" s="55" t="s">
        <v>41</v>
      </c>
      <c r="C3847" s="55" t="s">
        <v>6057</v>
      </c>
      <c r="D3847" s="55" t="s">
        <v>12223</v>
      </c>
    </row>
    <row r="3848" ht="14.25" customHeight="1">
      <c r="A3848" s="55" t="s">
        <v>579</v>
      </c>
      <c r="B3848" s="55" t="s">
        <v>41</v>
      </c>
      <c r="C3848" s="55" t="s">
        <v>13771</v>
      </c>
      <c r="D3848" s="55" t="s">
        <v>9055</v>
      </c>
    </row>
    <row r="3849" ht="14.25" customHeight="1">
      <c r="A3849" s="55" t="s">
        <v>579</v>
      </c>
      <c r="B3849" s="55" t="s">
        <v>41</v>
      </c>
      <c r="C3849" s="55" t="s">
        <v>13031</v>
      </c>
      <c r="D3849" s="55" t="s">
        <v>13032</v>
      </c>
    </row>
    <row r="3850" ht="14.25" customHeight="1">
      <c r="A3850" s="55" t="s">
        <v>579</v>
      </c>
      <c r="B3850" s="55" t="s">
        <v>41</v>
      </c>
      <c r="C3850" s="55" t="s">
        <v>14256</v>
      </c>
      <c r="D3850" s="55" t="s">
        <v>14257</v>
      </c>
    </row>
    <row r="3851" ht="14.25" customHeight="1">
      <c r="A3851" s="55" t="s">
        <v>579</v>
      </c>
      <c r="B3851" s="55" t="s">
        <v>41</v>
      </c>
      <c r="C3851" s="55" t="s">
        <v>9455</v>
      </c>
      <c r="D3851" s="55" t="s">
        <v>12581</v>
      </c>
    </row>
    <row r="3852" ht="14.25" customHeight="1">
      <c r="A3852" s="55" t="s">
        <v>579</v>
      </c>
      <c r="B3852" s="55" t="s">
        <v>41</v>
      </c>
      <c r="C3852" s="55" t="s">
        <v>10281</v>
      </c>
      <c r="D3852" s="55" t="s">
        <v>10282</v>
      </c>
    </row>
    <row r="3853" ht="14.25" customHeight="1">
      <c r="A3853" s="55" t="s">
        <v>579</v>
      </c>
      <c r="B3853" s="55" t="s">
        <v>41</v>
      </c>
      <c r="C3853" s="55" t="s">
        <v>10283</v>
      </c>
      <c r="D3853" s="55" t="s">
        <v>10284</v>
      </c>
    </row>
    <row r="3854" ht="14.25" customHeight="1">
      <c r="A3854" s="55" t="s">
        <v>579</v>
      </c>
      <c r="B3854" s="55" t="s">
        <v>41</v>
      </c>
      <c r="C3854" s="55" t="s">
        <v>14258</v>
      </c>
      <c r="D3854" s="55" t="s">
        <v>9705</v>
      </c>
    </row>
    <row r="3855" ht="14.25" customHeight="1">
      <c r="A3855" s="55" t="s">
        <v>579</v>
      </c>
      <c r="B3855" s="55" t="s">
        <v>41</v>
      </c>
      <c r="C3855" s="55" t="s">
        <v>10101</v>
      </c>
      <c r="D3855" s="55" t="s">
        <v>13033</v>
      </c>
    </row>
    <row r="3856" ht="14.25" customHeight="1">
      <c r="A3856" s="55" t="s">
        <v>579</v>
      </c>
      <c r="B3856" s="55" t="s">
        <v>41</v>
      </c>
      <c r="C3856" s="55" t="s">
        <v>193</v>
      </c>
      <c r="D3856" s="55" t="s">
        <v>13034</v>
      </c>
    </row>
    <row r="3857" ht="14.25" customHeight="1">
      <c r="A3857" s="55" t="s">
        <v>579</v>
      </c>
      <c r="B3857" s="55" t="s">
        <v>41</v>
      </c>
      <c r="C3857" s="55" t="s">
        <v>14259</v>
      </c>
      <c r="D3857" s="55" t="s">
        <v>9073</v>
      </c>
    </row>
    <row r="3858" ht="14.25" customHeight="1">
      <c r="A3858" s="55" t="s">
        <v>579</v>
      </c>
      <c r="B3858" s="55" t="s">
        <v>41</v>
      </c>
      <c r="C3858" s="55" t="s">
        <v>13772</v>
      </c>
      <c r="D3858" s="55" t="s">
        <v>13773</v>
      </c>
    </row>
    <row r="3859" ht="14.25" customHeight="1">
      <c r="A3859" s="55" t="s">
        <v>579</v>
      </c>
      <c r="B3859" s="55" t="s">
        <v>41</v>
      </c>
      <c r="C3859" s="55" t="s">
        <v>10285</v>
      </c>
      <c r="D3859" s="55" t="s">
        <v>10286</v>
      </c>
    </row>
    <row r="3860" ht="14.25" customHeight="1">
      <c r="A3860" s="55" t="s">
        <v>579</v>
      </c>
      <c r="B3860" s="55" t="s">
        <v>41</v>
      </c>
      <c r="C3860" s="55" t="s">
        <v>13774</v>
      </c>
      <c r="D3860" s="55" t="s">
        <v>11568</v>
      </c>
    </row>
    <row r="3861" ht="14.25" customHeight="1">
      <c r="A3861" s="55" t="s">
        <v>579</v>
      </c>
      <c r="B3861" s="55" t="s">
        <v>41</v>
      </c>
      <c r="C3861" s="55" t="s">
        <v>11597</v>
      </c>
      <c r="D3861" s="55" t="s">
        <v>11598</v>
      </c>
    </row>
    <row r="3862" ht="14.25" customHeight="1">
      <c r="A3862" s="55" t="s">
        <v>579</v>
      </c>
      <c r="B3862" s="55" t="s">
        <v>41</v>
      </c>
      <c r="C3862" s="55" t="s">
        <v>10290</v>
      </c>
      <c r="D3862" s="55" t="s">
        <v>14260</v>
      </c>
    </row>
    <row r="3863" ht="14.25" customHeight="1">
      <c r="A3863" s="55" t="s">
        <v>579</v>
      </c>
      <c r="B3863" s="55" t="s">
        <v>41</v>
      </c>
      <c r="C3863" s="55" t="s">
        <v>4109</v>
      </c>
      <c r="D3863" s="55" t="s">
        <v>9486</v>
      </c>
    </row>
    <row r="3864" ht="14.25" customHeight="1">
      <c r="A3864" s="55" t="s">
        <v>579</v>
      </c>
      <c r="B3864" s="55" t="s">
        <v>41</v>
      </c>
      <c r="C3864" s="55" t="s">
        <v>10640</v>
      </c>
      <c r="D3864" s="55" t="s">
        <v>8968</v>
      </c>
    </row>
    <row r="3865" ht="14.25" customHeight="1">
      <c r="A3865" s="55" t="s">
        <v>579</v>
      </c>
      <c r="B3865" s="55" t="s">
        <v>41</v>
      </c>
      <c r="C3865" s="55" t="s">
        <v>255</v>
      </c>
      <c r="D3865" s="55" t="s">
        <v>11427</v>
      </c>
    </row>
    <row r="3866" ht="14.25" customHeight="1">
      <c r="A3866" s="55" t="s">
        <v>579</v>
      </c>
      <c r="B3866" s="55" t="s">
        <v>41</v>
      </c>
      <c r="C3866" s="55" t="s">
        <v>9434</v>
      </c>
      <c r="D3866" s="55" t="s">
        <v>9569</v>
      </c>
    </row>
    <row r="3867" ht="14.25" customHeight="1">
      <c r="A3867" s="55" t="s">
        <v>579</v>
      </c>
      <c r="B3867" s="55" t="s">
        <v>41</v>
      </c>
      <c r="C3867" s="55" t="s">
        <v>9437</v>
      </c>
      <c r="D3867" s="55" t="s">
        <v>9579</v>
      </c>
    </row>
    <row r="3868" ht="14.25" customHeight="1">
      <c r="A3868" s="55" t="s">
        <v>579</v>
      </c>
      <c r="B3868" s="55" t="s">
        <v>41</v>
      </c>
      <c r="C3868" s="55" t="s">
        <v>9529</v>
      </c>
      <c r="D3868" s="55" t="s">
        <v>13775</v>
      </c>
    </row>
    <row r="3869" ht="14.25" customHeight="1">
      <c r="A3869" s="55" t="s">
        <v>579</v>
      </c>
      <c r="B3869" s="55" t="s">
        <v>41</v>
      </c>
      <c r="C3869" s="55" t="s">
        <v>11599</v>
      </c>
      <c r="D3869" s="55" t="s">
        <v>11600</v>
      </c>
    </row>
    <row r="3870" ht="14.25" customHeight="1">
      <c r="A3870" s="55" t="s">
        <v>361</v>
      </c>
      <c r="B3870" s="55" t="s">
        <v>41</v>
      </c>
      <c r="C3870" s="55" t="s">
        <v>10934</v>
      </c>
      <c r="D3870" s="55" t="s">
        <v>10935</v>
      </c>
    </row>
    <row r="3871" ht="14.25" customHeight="1">
      <c r="A3871" s="55" t="s">
        <v>361</v>
      </c>
      <c r="B3871" s="55" t="s">
        <v>41</v>
      </c>
      <c r="C3871" s="55" t="s">
        <v>13035</v>
      </c>
      <c r="D3871" s="55" t="s">
        <v>13036</v>
      </c>
    </row>
    <row r="3872" ht="14.25" customHeight="1">
      <c r="A3872" s="55" t="s">
        <v>361</v>
      </c>
      <c r="B3872" s="55" t="s">
        <v>41</v>
      </c>
      <c r="C3872" s="55" t="s">
        <v>10287</v>
      </c>
      <c r="D3872" s="55" t="s">
        <v>8994</v>
      </c>
    </row>
    <row r="3873" ht="14.25" customHeight="1">
      <c r="A3873" s="55" t="s">
        <v>361</v>
      </c>
      <c r="B3873" s="55" t="s">
        <v>41</v>
      </c>
      <c r="C3873" s="55" t="s">
        <v>8969</v>
      </c>
      <c r="D3873" s="55" t="s">
        <v>9168</v>
      </c>
    </row>
    <row r="3874" ht="14.25" customHeight="1">
      <c r="A3874" s="55" t="s">
        <v>361</v>
      </c>
      <c r="B3874" s="55" t="s">
        <v>41</v>
      </c>
      <c r="C3874" s="55" t="s">
        <v>9015</v>
      </c>
      <c r="D3874" s="55" t="s">
        <v>14261</v>
      </c>
    </row>
    <row r="3875" ht="14.25" customHeight="1">
      <c r="A3875" s="55" t="s">
        <v>361</v>
      </c>
      <c r="B3875" s="55" t="s">
        <v>41</v>
      </c>
      <c r="C3875" s="55" t="s">
        <v>14262</v>
      </c>
      <c r="D3875" s="55" t="s">
        <v>10451</v>
      </c>
    </row>
    <row r="3876" ht="14.25" customHeight="1">
      <c r="A3876" s="55" t="s">
        <v>361</v>
      </c>
      <c r="B3876" s="55" t="s">
        <v>41</v>
      </c>
      <c r="C3876" s="55" t="s">
        <v>11601</v>
      </c>
      <c r="D3876" s="55" t="s">
        <v>11602</v>
      </c>
    </row>
    <row r="3877" ht="14.25" customHeight="1">
      <c r="A3877" s="55" t="s">
        <v>361</v>
      </c>
      <c r="B3877" s="55" t="s">
        <v>41</v>
      </c>
      <c r="C3877" s="55" t="s">
        <v>10288</v>
      </c>
      <c r="D3877" s="55" t="s">
        <v>10289</v>
      </c>
    </row>
    <row r="3878" ht="14.25" customHeight="1">
      <c r="A3878" s="55" t="s">
        <v>361</v>
      </c>
      <c r="B3878" s="55" t="s">
        <v>41</v>
      </c>
      <c r="C3878" s="55" t="s">
        <v>10290</v>
      </c>
      <c r="D3878" s="55" t="s">
        <v>9151</v>
      </c>
    </row>
    <row r="3879" ht="14.25" customHeight="1">
      <c r="A3879" s="55" t="s">
        <v>361</v>
      </c>
      <c r="B3879" s="55" t="s">
        <v>41</v>
      </c>
      <c r="C3879" s="55" t="s">
        <v>10290</v>
      </c>
      <c r="D3879" s="55" t="s">
        <v>10291</v>
      </c>
    </row>
    <row r="3880" ht="14.25" customHeight="1">
      <c r="A3880" s="55" t="s">
        <v>361</v>
      </c>
      <c r="B3880" s="55" t="s">
        <v>41</v>
      </c>
      <c r="C3880" s="55" t="s">
        <v>9090</v>
      </c>
      <c r="D3880" s="55" t="s">
        <v>10292</v>
      </c>
    </row>
    <row r="3881" ht="14.25" customHeight="1">
      <c r="A3881" s="55" t="s">
        <v>361</v>
      </c>
      <c r="B3881" s="55" t="s">
        <v>41</v>
      </c>
      <c r="C3881" s="55" t="s">
        <v>9529</v>
      </c>
      <c r="D3881" s="55" t="s">
        <v>9970</v>
      </c>
    </row>
    <row r="3882" ht="14.25" customHeight="1">
      <c r="A3882" s="55" t="s">
        <v>361</v>
      </c>
      <c r="B3882" s="55" t="s">
        <v>13</v>
      </c>
      <c r="C3882" s="55" t="s">
        <v>13776</v>
      </c>
      <c r="D3882" s="55" t="s">
        <v>10306</v>
      </c>
    </row>
    <row r="3883" ht="14.25" customHeight="1">
      <c r="A3883" s="55" t="s">
        <v>9570</v>
      </c>
      <c r="B3883" s="55" t="s">
        <v>41</v>
      </c>
      <c r="C3883" s="55" t="s">
        <v>9034</v>
      </c>
      <c r="D3883" s="55" t="s">
        <v>11603</v>
      </c>
    </row>
    <row r="3884" ht="14.25" customHeight="1">
      <c r="A3884" s="55" t="s">
        <v>9570</v>
      </c>
      <c r="B3884" s="55" t="s">
        <v>41</v>
      </c>
      <c r="C3884" s="55" t="s">
        <v>10293</v>
      </c>
      <c r="D3884" s="55" t="s">
        <v>9445</v>
      </c>
    </row>
    <row r="3885" ht="14.25" customHeight="1">
      <c r="A3885" s="55" t="s">
        <v>9570</v>
      </c>
      <c r="B3885" s="55" t="s">
        <v>41</v>
      </c>
      <c r="C3885" s="55" t="s">
        <v>2342</v>
      </c>
      <c r="D3885" s="55" t="s">
        <v>10936</v>
      </c>
    </row>
    <row r="3886" ht="14.25" customHeight="1">
      <c r="A3886" s="55" t="s">
        <v>9570</v>
      </c>
      <c r="B3886" s="55" t="s">
        <v>41</v>
      </c>
      <c r="C3886" s="55" t="s">
        <v>9552</v>
      </c>
      <c r="D3886" s="55" t="s">
        <v>9571</v>
      </c>
    </row>
    <row r="3887" ht="14.25" customHeight="1">
      <c r="A3887" s="55" t="s">
        <v>9570</v>
      </c>
      <c r="B3887" s="55" t="s">
        <v>41</v>
      </c>
      <c r="C3887" s="55" t="s">
        <v>13037</v>
      </c>
      <c r="D3887" s="55" t="s">
        <v>12000</v>
      </c>
    </row>
    <row r="3888" ht="14.25" customHeight="1">
      <c r="A3888" s="55" t="s">
        <v>9570</v>
      </c>
      <c r="B3888" s="55" t="s">
        <v>41</v>
      </c>
      <c r="C3888" s="55" t="s">
        <v>8974</v>
      </c>
      <c r="D3888" s="55" t="s">
        <v>9445</v>
      </c>
    </row>
    <row r="3889" ht="14.25" customHeight="1">
      <c r="A3889" s="55" t="s">
        <v>9570</v>
      </c>
      <c r="B3889" s="55" t="s">
        <v>41</v>
      </c>
      <c r="C3889" s="55" t="s">
        <v>9572</v>
      </c>
      <c r="D3889" s="55" t="s">
        <v>9573</v>
      </c>
    </row>
    <row r="3890" ht="14.25" customHeight="1">
      <c r="A3890" s="55" t="s">
        <v>9570</v>
      </c>
      <c r="B3890" s="55" t="s">
        <v>41</v>
      </c>
      <c r="C3890" s="55" t="s">
        <v>9418</v>
      </c>
      <c r="D3890" s="55" t="s">
        <v>9574</v>
      </c>
    </row>
    <row r="3891" ht="14.25" customHeight="1">
      <c r="A3891" s="55" t="s">
        <v>9570</v>
      </c>
      <c r="B3891" s="55" t="s">
        <v>41</v>
      </c>
      <c r="C3891" s="55" t="s">
        <v>2786</v>
      </c>
      <c r="D3891" s="55" t="s">
        <v>13777</v>
      </c>
    </row>
    <row r="3892" ht="14.25" customHeight="1">
      <c r="A3892" s="55" t="s">
        <v>9570</v>
      </c>
      <c r="B3892" s="55" t="s">
        <v>41</v>
      </c>
      <c r="C3892" s="55" t="s">
        <v>12224</v>
      </c>
      <c r="D3892" s="55" t="s">
        <v>12225</v>
      </c>
    </row>
    <row r="3893" ht="14.25" customHeight="1">
      <c r="A3893" s="55" t="s">
        <v>9570</v>
      </c>
      <c r="B3893" s="55" t="s">
        <v>41</v>
      </c>
      <c r="C3893" s="55" t="s">
        <v>9630</v>
      </c>
      <c r="D3893" s="55" t="s">
        <v>10937</v>
      </c>
    </row>
    <row r="3894" ht="14.25" customHeight="1">
      <c r="A3894" s="55" t="s">
        <v>9570</v>
      </c>
      <c r="B3894" s="55" t="s">
        <v>41</v>
      </c>
      <c r="C3894" s="55" t="s">
        <v>10294</v>
      </c>
      <c r="D3894" s="55" t="s">
        <v>10295</v>
      </c>
    </row>
    <row r="3895" ht="14.25" customHeight="1">
      <c r="A3895" s="55" t="s">
        <v>9570</v>
      </c>
      <c r="B3895" s="55" t="s">
        <v>41</v>
      </c>
      <c r="C3895" s="55" t="s">
        <v>13778</v>
      </c>
      <c r="D3895" s="55" t="s">
        <v>13779</v>
      </c>
    </row>
    <row r="3896" ht="14.25" customHeight="1">
      <c r="A3896" s="55" t="s">
        <v>9570</v>
      </c>
      <c r="B3896" s="55" t="s">
        <v>41</v>
      </c>
      <c r="C3896" s="55" t="s">
        <v>11604</v>
      </c>
      <c r="D3896" s="55" t="s">
        <v>11605</v>
      </c>
    </row>
    <row r="3897" ht="14.25" customHeight="1">
      <c r="A3897" s="55" t="s">
        <v>9570</v>
      </c>
      <c r="B3897" s="55" t="s">
        <v>41</v>
      </c>
      <c r="C3897" s="55" t="s">
        <v>3059</v>
      </c>
      <c r="D3897" s="55" t="s">
        <v>9073</v>
      </c>
    </row>
    <row r="3898" ht="14.25" customHeight="1">
      <c r="A3898" s="55" t="s">
        <v>9570</v>
      </c>
      <c r="B3898" s="55" t="s">
        <v>41</v>
      </c>
      <c r="C3898" s="55" t="s">
        <v>3313</v>
      </c>
      <c r="D3898" s="55" t="s">
        <v>14263</v>
      </c>
    </row>
    <row r="3899" ht="14.25" customHeight="1">
      <c r="A3899" s="55" t="s">
        <v>9570</v>
      </c>
      <c r="B3899" s="55" t="s">
        <v>41</v>
      </c>
      <c r="C3899" s="55" t="s">
        <v>9575</v>
      </c>
      <c r="D3899" s="55" t="s">
        <v>9576</v>
      </c>
    </row>
    <row r="3900" ht="14.25" customHeight="1">
      <c r="A3900" s="55" t="s">
        <v>9570</v>
      </c>
      <c r="B3900" s="55" t="s">
        <v>41</v>
      </c>
      <c r="C3900" s="55" t="s">
        <v>10938</v>
      </c>
      <c r="D3900" s="55" t="s">
        <v>10939</v>
      </c>
    </row>
    <row r="3901" ht="14.25" customHeight="1">
      <c r="A3901" s="55" t="s">
        <v>9570</v>
      </c>
      <c r="B3901" s="55" t="s">
        <v>41</v>
      </c>
      <c r="C3901" s="55" t="s">
        <v>9329</v>
      </c>
      <c r="D3901" s="55" t="s">
        <v>11606</v>
      </c>
    </row>
    <row r="3902" ht="14.25" customHeight="1">
      <c r="A3902" s="55" t="s">
        <v>9570</v>
      </c>
      <c r="B3902" s="55" t="s">
        <v>41</v>
      </c>
      <c r="C3902" s="55" t="s">
        <v>12226</v>
      </c>
      <c r="D3902" s="55" t="s">
        <v>9574</v>
      </c>
    </row>
    <row r="3903" ht="14.25" customHeight="1">
      <c r="A3903" s="55" t="s">
        <v>9570</v>
      </c>
      <c r="B3903" s="55" t="s">
        <v>41</v>
      </c>
      <c r="C3903" s="55" t="s">
        <v>13780</v>
      </c>
      <c r="D3903" s="55" t="s">
        <v>13781</v>
      </c>
    </row>
    <row r="3904" ht="14.25" customHeight="1">
      <c r="A3904" s="55" t="s">
        <v>9570</v>
      </c>
      <c r="B3904" s="55" t="s">
        <v>41</v>
      </c>
      <c r="C3904" s="55" t="s">
        <v>3566</v>
      </c>
      <c r="D3904" s="55" t="s">
        <v>13782</v>
      </c>
    </row>
    <row r="3905" ht="14.25" customHeight="1">
      <c r="A3905" s="55" t="s">
        <v>9570</v>
      </c>
      <c r="B3905" s="55" t="s">
        <v>41</v>
      </c>
      <c r="C3905" s="55" t="s">
        <v>3566</v>
      </c>
      <c r="D3905" s="55" t="s">
        <v>9445</v>
      </c>
    </row>
    <row r="3906" ht="14.25" customHeight="1">
      <c r="A3906" s="55" t="s">
        <v>9570</v>
      </c>
      <c r="B3906" s="55" t="s">
        <v>41</v>
      </c>
      <c r="C3906" s="55" t="s">
        <v>3566</v>
      </c>
      <c r="D3906" s="55" t="s">
        <v>8976</v>
      </c>
    </row>
    <row r="3907" ht="14.25" customHeight="1">
      <c r="A3907" s="55" t="s">
        <v>9570</v>
      </c>
      <c r="B3907" s="55" t="s">
        <v>41</v>
      </c>
      <c r="C3907" s="55" t="s">
        <v>9577</v>
      </c>
      <c r="D3907" s="55" t="s">
        <v>9578</v>
      </c>
    </row>
    <row r="3908" ht="14.25" customHeight="1">
      <c r="A3908" s="55" t="s">
        <v>9570</v>
      </c>
      <c r="B3908" s="55" t="s">
        <v>41</v>
      </c>
      <c r="C3908" s="55" t="s">
        <v>11607</v>
      </c>
      <c r="D3908" s="55" t="s">
        <v>11608</v>
      </c>
    </row>
    <row r="3909" ht="14.25" customHeight="1">
      <c r="A3909" s="55" t="s">
        <v>9570</v>
      </c>
      <c r="B3909" s="55" t="s">
        <v>41</v>
      </c>
      <c r="C3909" s="55" t="s">
        <v>10182</v>
      </c>
      <c r="D3909" s="55" t="s">
        <v>10124</v>
      </c>
    </row>
    <row r="3910" ht="14.25" customHeight="1">
      <c r="A3910" s="55" t="s">
        <v>9570</v>
      </c>
      <c r="B3910" s="55" t="s">
        <v>41</v>
      </c>
      <c r="C3910" s="55" t="s">
        <v>9277</v>
      </c>
      <c r="D3910" s="55" t="s">
        <v>9583</v>
      </c>
    </row>
    <row r="3911" ht="14.25" customHeight="1">
      <c r="A3911" s="55" t="s">
        <v>9570</v>
      </c>
      <c r="B3911" s="55" t="s">
        <v>41</v>
      </c>
      <c r="C3911" s="55" t="s">
        <v>204</v>
      </c>
      <c r="D3911" s="55" t="s">
        <v>13038</v>
      </c>
    </row>
    <row r="3912" ht="14.25" customHeight="1">
      <c r="A3912" s="55" t="s">
        <v>9570</v>
      </c>
      <c r="B3912" s="55" t="s">
        <v>41</v>
      </c>
      <c r="C3912" s="55" t="s">
        <v>11609</v>
      </c>
      <c r="D3912" s="55" t="s">
        <v>11610</v>
      </c>
    </row>
    <row r="3913" ht="14.25" customHeight="1">
      <c r="A3913" s="55" t="s">
        <v>9570</v>
      </c>
      <c r="B3913" s="55" t="s">
        <v>41</v>
      </c>
      <c r="C3913" s="55" t="s">
        <v>220</v>
      </c>
      <c r="D3913" s="55" t="s">
        <v>9771</v>
      </c>
    </row>
    <row r="3914" ht="14.25" customHeight="1">
      <c r="A3914" s="55" t="s">
        <v>9570</v>
      </c>
      <c r="B3914" s="55" t="s">
        <v>41</v>
      </c>
      <c r="C3914" s="55" t="s">
        <v>9333</v>
      </c>
      <c r="D3914" s="55" t="s">
        <v>9213</v>
      </c>
    </row>
    <row r="3915" ht="14.25" customHeight="1">
      <c r="A3915" s="55" t="s">
        <v>9570</v>
      </c>
      <c r="B3915" s="55" t="s">
        <v>41</v>
      </c>
      <c r="C3915" s="55" t="s">
        <v>8997</v>
      </c>
      <c r="D3915" s="55" t="s">
        <v>8976</v>
      </c>
    </row>
    <row r="3916" ht="14.25" customHeight="1">
      <c r="A3916" s="55" t="s">
        <v>9570</v>
      </c>
      <c r="B3916" s="55" t="s">
        <v>41</v>
      </c>
      <c r="C3916" s="55" t="s">
        <v>8576</v>
      </c>
      <c r="D3916" s="55" t="s">
        <v>11611</v>
      </c>
    </row>
    <row r="3917" ht="14.25" customHeight="1">
      <c r="A3917" s="55" t="s">
        <v>9570</v>
      </c>
      <c r="B3917" s="55" t="s">
        <v>41</v>
      </c>
      <c r="C3917" s="55" t="s">
        <v>13039</v>
      </c>
      <c r="D3917" s="55" t="s">
        <v>10622</v>
      </c>
    </row>
    <row r="3918" ht="14.25" customHeight="1">
      <c r="A3918" s="55" t="s">
        <v>9570</v>
      </c>
      <c r="B3918" s="55" t="s">
        <v>41</v>
      </c>
      <c r="C3918" s="55" t="s">
        <v>9090</v>
      </c>
      <c r="D3918" s="55" t="s">
        <v>9579</v>
      </c>
    </row>
    <row r="3919" ht="14.25" customHeight="1">
      <c r="A3919" s="55" t="s">
        <v>9570</v>
      </c>
      <c r="B3919" s="55" t="s">
        <v>41</v>
      </c>
      <c r="C3919" s="55" t="s">
        <v>14264</v>
      </c>
      <c r="D3919" s="55" t="s">
        <v>9526</v>
      </c>
    </row>
    <row r="3920" ht="14.25" customHeight="1">
      <c r="A3920" s="55" t="s">
        <v>9570</v>
      </c>
      <c r="B3920" s="55" t="s">
        <v>41</v>
      </c>
      <c r="C3920" s="55" t="s">
        <v>271</v>
      </c>
      <c r="D3920" s="55" t="s">
        <v>9782</v>
      </c>
    </row>
    <row r="3921" ht="14.25" customHeight="1">
      <c r="A3921" s="55" t="s">
        <v>9580</v>
      </c>
      <c r="B3921" s="55" t="s">
        <v>41</v>
      </c>
      <c r="C3921" s="55" t="s">
        <v>2408</v>
      </c>
      <c r="D3921" s="55" t="s">
        <v>12227</v>
      </c>
    </row>
    <row r="3922" ht="14.25" customHeight="1">
      <c r="A3922" s="55" t="s">
        <v>9580</v>
      </c>
      <c r="B3922" s="55" t="s">
        <v>41</v>
      </c>
      <c r="C3922" s="55" t="s">
        <v>5834</v>
      </c>
      <c r="D3922" s="55" t="s">
        <v>10124</v>
      </c>
    </row>
    <row r="3923" ht="14.25" customHeight="1">
      <c r="A3923" s="55" t="s">
        <v>9580</v>
      </c>
      <c r="B3923" s="55" t="s">
        <v>41</v>
      </c>
      <c r="C3923" s="55" t="s">
        <v>13040</v>
      </c>
      <c r="D3923" s="55" t="s">
        <v>10400</v>
      </c>
    </row>
    <row r="3924" ht="14.25" customHeight="1">
      <c r="A3924" s="55" t="s">
        <v>9580</v>
      </c>
      <c r="B3924" s="55" t="s">
        <v>41</v>
      </c>
      <c r="C3924" s="55" t="s">
        <v>9581</v>
      </c>
      <c r="D3924" s="55" t="s">
        <v>9582</v>
      </c>
    </row>
    <row r="3925" ht="14.25" customHeight="1">
      <c r="A3925" s="55" t="s">
        <v>9580</v>
      </c>
      <c r="B3925" s="55" t="s">
        <v>41</v>
      </c>
      <c r="C3925" s="55" t="s">
        <v>776</v>
      </c>
      <c r="D3925" s="55" t="s">
        <v>13783</v>
      </c>
    </row>
    <row r="3926" ht="14.25" customHeight="1">
      <c r="A3926" s="55" t="s">
        <v>9580</v>
      </c>
      <c r="B3926" s="55" t="s">
        <v>41</v>
      </c>
      <c r="C3926" s="55" t="s">
        <v>13041</v>
      </c>
      <c r="D3926" s="55" t="s">
        <v>9746</v>
      </c>
    </row>
    <row r="3927" ht="14.25" customHeight="1">
      <c r="A3927" s="55" t="s">
        <v>9580</v>
      </c>
      <c r="B3927" s="55" t="s">
        <v>41</v>
      </c>
      <c r="C3927" s="55" t="s">
        <v>10296</v>
      </c>
      <c r="D3927" s="55" t="s">
        <v>10297</v>
      </c>
    </row>
    <row r="3928" ht="14.25" customHeight="1">
      <c r="A3928" s="55" t="s">
        <v>9580</v>
      </c>
      <c r="B3928" s="55" t="s">
        <v>41</v>
      </c>
      <c r="C3928" s="55" t="s">
        <v>11612</v>
      </c>
      <c r="D3928" s="55" t="s">
        <v>11613</v>
      </c>
    </row>
    <row r="3929" ht="14.25" customHeight="1">
      <c r="A3929" s="55" t="s">
        <v>9580</v>
      </c>
      <c r="B3929" s="55" t="s">
        <v>41</v>
      </c>
      <c r="C3929" s="55" t="s">
        <v>3566</v>
      </c>
      <c r="D3929" s="55" t="s">
        <v>9583</v>
      </c>
    </row>
    <row r="3930" ht="14.25" customHeight="1">
      <c r="A3930" s="55" t="s">
        <v>9580</v>
      </c>
      <c r="B3930" s="55" t="s">
        <v>41</v>
      </c>
      <c r="C3930" s="55" t="s">
        <v>3581</v>
      </c>
      <c r="D3930" s="55" t="s">
        <v>10298</v>
      </c>
    </row>
    <row r="3931" ht="14.25" customHeight="1">
      <c r="A3931" s="55" t="s">
        <v>9580</v>
      </c>
      <c r="B3931" s="55" t="s">
        <v>41</v>
      </c>
      <c r="C3931" s="55" t="s">
        <v>3596</v>
      </c>
      <c r="D3931" s="55" t="s">
        <v>11487</v>
      </c>
    </row>
    <row r="3932" ht="14.25" customHeight="1">
      <c r="A3932" s="55" t="s">
        <v>9580</v>
      </c>
      <c r="B3932" s="55" t="s">
        <v>41</v>
      </c>
      <c r="C3932" s="55" t="s">
        <v>10299</v>
      </c>
      <c r="D3932" s="55" t="s">
        <v>10300</v>
      </c>
    </row>
    <row r="3933" ht="14.25" customHeight="1">
      <c r="A3933" s="55" t="s">
        <v>9580</v>
      </c>
      <c r="B3933" s="55" t="s">
        <v>41</v>
      </c>
      <c r="C3933" s="55" t="s">
        <v>14265</v>
      </c>
      <c r="D3933" s="55" t="s">
        <v>14266</v>
      </c>
    </row>
    <row r="3934" ht="14.25" customHeight="1">
      <c r="A3934" s="55" t="s">
        <v>9580</v>
      </c>
      <c r="B3934" s="55" t="s">
        <v>41</v>
      </c>
      <c r="C3934" s="55" t="s">
        <v>8997</v>
      </c>
      <c r="D3934" s="55" t="s">
        <v>9118</v>
      </c>
    </row>
    <row r="3935" ht="14.25" customHeight="1">
      <c r="A3935" s="55" t="s">
        <v>9580</v>
      </c>
      <c r="B3935" s="55" t="s">
        <v>41</v>
      </c>
      <c r="C3935" s="55" t="s">
        <v>9584</v>
      </c>
      <c r="D3935" s="55" t="s">
        <v>8968</v>
      </c>
    </row>
    <row r="3936" ht="14.25" customHeight="1">
      <c r="A3936" s="55" t="s">
        <v>9580</v>
      </c>
      <c r="B3936" s="55" t="s">
        <v>41</v>
      </c>
      <c r="C3936" s="55" t="s">
        <v>9434</v>
      </c>
      <c r="D3936" s="55" t="s">
        <v>9583</v>
      </c>
    </row>
    <row r="3937" ht="14.25" customHeight="1">
      <c r="A3937" s="55" t="s">
        <v>9580</v>
      </c>
      <c r="B3937" s="55" t="s">
        <v>41</v>
      </c>
      <c r="C3937" s="55" t="s">
        <v>13784</v>
      </c>
      <c r="D3937" s="55" t="s">
        <v>13785</v>
      </c>
    </row>
    <row r="3938" ht="14.25" customHeight="1">
      <c r="A3938" s="55" t="s">
        <v>9580</v>
      </c>
      <c r="B3938" s="55" t="s">
        <v>41</v>
      </c>
      <c r="C3938" s="55" t="s">
        <v>262</v>
      </c>
      <c r="D3938" s="55" t="s">
        <v>11614</v>
      </c>
    </row>
    <row r="3939" ht="14.25" customHeight="1">
      <c r="A3939" s="55" t="s">
        <v>9580</v>
      </c>
      <c r="B3939" s="55" t="s">
        <v>41</v>
      </c>
      <c r="C3939" s="55" t="s">
        <v>262</v>
      </c>
      <c r="D3939" s="55" t="s">
        <v>9055</v>
      </c>
    </row>
    <row r="3940" ht="14.25" customHeight="1">
      <c r="A3940" s="55" t="s">
        <v>9580</v>
      </c>
      <c r="B3940" s="55" t="s">
        <v>41</v>
      </c>
      <c r="C3940" s="55" t="s">
        <v>262</v>
      </c>
      <c r="D3940" s="55" t="s">
        <v>9118</v>
      </c>
    </row>
    <row r="3941" ht="14.25" customHeight="1">
      <c r="A3941" s="55" t="s">
        <v>9585</v>
      </c>
      <c r="B3941" s="55" t="s">
        <v>40</v>
      </c>
      <c r="C3941" s="55" t="s">
        <v>5740</v>
      </c>
      <c r="D3941" s="55" t="s">
        <v>9587</v>
      </c>
    </row>
    <row r="3942" ht="14.25" customHeight="1">
      <c r="A3942" s="55" t="s">
        <v>9585</v>
      </c>
      <c r="B3942" s="55" t="s">
        <v>40</v>
      </c>
      <c r="C3942" s="55" t="s">
        <v>9586</v>
      </c>
      <c r="D3942" s="55" t="s">
        <v>9213</v>
      </c>
    </row>
    <row r="3943" ht="14.25" customHeight="1">
      <c r="A3943" s="55" t="s">
        <v>9585</v>
      </c>
      <c r="B3943" s="55" t="s">
        <v>40</v>
      </c>
      <c r="C3943" s="55" t="s">
        <v>69</v>
      </c>
      <c r="D3943" s="55" t="s">
        <v>10940</v>
      </c>
    </row>
    <row r="3944" ht="14.25" customHeight="1">
      <c r="A3944" s="55" t="s">
        <v>9585</v>
      </c>
      <c r="B3944" s="55" t="s">
        <v>40</v>
      </c>
      <c r="C3944" s="55" t="s">
        <v>80</v>
      </c>
      <c r="D3944" s="55" t="s">
        <v>10941</v>
      </c>
    </row>
    <row r="3945" ht="14.25" customHeight="1">
      <c r="A3945" s="55" t="s">
        <v>9585</v>
      </c>
      <c r="B3945" s="55" t="s">
        <v>40</v>
      </c>
      <c r="C3945" s="55" t="s">
        <v>7652</v>
      </c>
      <c r="D3945" s="55" t="s">
        <v>9587</v>
      </c>
    </row>
    <row r="3946" ht="14.25" customHeight="1">
      <c r="A3946" s="55" t="s">
        <v>9585</v>
      </c>
      <c r="B3946" s="55" t="s">
        <v>40</v>
      </c>
      <c r="C3946" s="55" t="s">
        <v>9588</v>
      </c>
      <c r="D3946" s="55" t="s">
        <v>9180</v>
      </c>
    </row>
    <row r="3947" ht="14.25" customHeight="1">
      <c r="A3947" s="55" t="s">
        <v>9585</v>
      </c>
      <c r="B3947" s="55" t="s">
        <v>40</v>
      </c>
      <c r="C3947" s="55" t="s">
        <v>9133</v>
      </c>
      <c r="D3947" s="55" t="s">
        <v>9055</v>
      </c>
    </row>
    <row r="3948" ht="14.25" customHeight="1">
      <c r="A3948" s="55" t="s">
        <v>9585</v>
      </c>
      <c r="B3948" s="55" t="s">
        <v>40</v>
      </c>
      <c r="C3948" s="55" t="s">
        <v>10699</v>
      </c>
      <c r="D3948" s="55" t="s">
        <v>8968</v>
      </c>
    </row>
    <row r="3949" ht="14.25" customHeight="1">
      <c r="A3949" s="55" t="s">
        <v>9585</v>
      </c>
      <c r="B3949" s="55" t="s">
        <v>40</v>
      </c>
      <c r="C3949" s="55" t="s">
        <v>9589</v>
      </c>
      <c r="D3949" s="55" t="s">
        <v>8968</v>
      </c>
    </row>
    <row r="3950" ht="14.25" customHeight="1">
      <c r="A3950" s="55" t="s">
        <v>9585</v>
      </c>
      <c r="B3950" s="55" t="s">
        <v>40</v>
      </c>
      <c r="C3950" s="55" t="s">
        <v>9589</v>
      </c>
      <c r="D3950" s="55" t="s">
        <v>10124</v>
      </c>
    </row>
    <row r="3951" ht="14.25" customHeight="1">
      <c r="A3951" s="55" t="s">
        <v>9585</v>
      </c>
      <c r="B3951" s="55" t="s">
        <v>40</v>
      </c>
      <c r="C3951" s="55" t="s">
        <v>10942</v>
      </c>
      <c r="D3951" s="55" t="s">
        <v>10943</v>
      </c>
    </row>
    <row r="3952" ht="14.25" customHeight="1">
      <c r="A3952" s="55" t="s">
        <v>9585</v>
      </c>
      <c r="B3952" s="55" t="s">
        <v>40</v>
      </c>
      <c r="C3952" s="55" t="s">
        <v>12755</v>
      </c>
      <c r="D3952" s="55" t="s">
        <v>13042</v>
      </c>
    </row>
    <row r="3953" ht="14.25" customHeight="1">
      <c r="A3953" s="55" t="s">
        <v>9585</v>
      </c>
      <c r="B3953" s="55" t="s">
        <v>40</v>
      </c>
      <c r="C3953" s="55" t="s">
        <v>12755</v>
      </c>
      <c r="D3953" s="55" t="s">
        <v>13043</v>
      </c>
    </row>
    <row r="3954" ht="14.25" customHeight="1">
      <c r="A3954" s="55" t="s">
        <v>9585</v>
      </c>
      <c r="B3954" s="55" t="s">
        <v>40</v>
      </c>
      <c r="C3954" s="55" t="s">
        <v>13044</v>
      </c>
      <c r="D3954" s="55" t="s">
        <v>13045</v>
      </c>
    </row>
    <row r="3955" ht="14.25" customHeight="1">
      <c r="A3955" s="55" t="s">
        <v>9585</v>
      </c>
      <c r="B3955" s="55" t="s">
        <v>40</v>
      </c>
      <c r="C3955" s="55" t="s">
        <v>9590</v>
      </c>
      <c r="D3955" s="55" t="s">
        <v>9043</v>
      </c>
    </row>
    <row r="3956" ht="14.25" customHeight="1">
      <c r="A3956" s="55" t="s">
        <v>9585</v>
      </c>
      <c r="B3956" s="55" t="s">
        <v>40</v>
      </c>
      <c r="C3956" s="55" t="s">
        <v>9192</v>
      </c>
      <c r="D3956" s="55" t="s">
        <v>9180</v>
      </c>
    </row>
    <row r="3957" ht="14.25" customHeight="1">
      <c r="A3957" s="55" t="s">
        <v>9585</v>
      </c>
      <c r="B3957" s="55" t="s">
        <v>40</v>
      </c>
      <c r="C3957" s="55" t="s">
        <v>1196</v>
      </c>
      <c r="D3957" s="55" t="s">
        <v>9219</v>
      </c>
    </row>
    <row r="3958" ht="14.25" customHeight="1">
      <c r="A3958" s="55" t="s">
        <v>9585</v>
      </c>
      <c r="B3958" s="55" t="s">
        <v>40</v>
      </c>
      <c r="C3958" s="55" t="s">
        <v>1196</v>
      </c>
      <c r="D3958" s="55" t="s">
        <v>9026</v>
      </c>
    </row>
    <row r="3959" ht="14.25" customHeight="1">
      <c r="A3959" s="55" t="s">
        <v>9585</v>
      </c>
      <c r="B3959" s="55" t="s">
        <v>40</v>
      </c>
      <c r="C3959" s="55" t="s">
        <v>1196</v>
      </c>
      <c r="D3959" s="55" t="s">
        <v>10944</v>
      </c>
    </row>
    <row r="3960" ht="14.25" customHeight="1">
      <c r="A3960" s="55" t="s">
        <v>9585</v>
      </c>
      <c r="B3960" s="55" t="s">
        <v>40</v>
      </c>
      <c r="C3960" s="55" t="s">
        <v>1196</v>
      </c>
      <c r="D3960" s="55" t="s">
        <v>12228</v>
      </c>
    </row>
    <row r="3961" ht="14.25" customHeight="1">
      <c r="A3961" s="55" t="s">
        <v>9585</v>
      </c>
      <c r="B3961" s="55" t="s">
        <v>40</v>
      </c>
      <c r="C3961" s="55" t="s">
        <v>9591</v>
      </c>
      <c r="D3961" s="55" t="s">
        <v>8968</v>
      </c>
    </row>
    <row r="3962" ht="14.25" customHeight="1">
      <c r="A3962" s="55" t="s">
        <v>9585</v>
      </c>
      <c r="B3962" s="55" t="s">
        <v>40</v>
      </c>
      <c r="C3962" s="55" t="s">
        <v>155</v>
      </c>
      <c r="D3962" s="55" t="s">
        <v>9131</v>
      </c>
    </row>
    <row r="3963" ht="14.25" customHeight="1">
      <c r="A3963" s="55" t="s">
        <v>9585</v>
      </c>
      <c r="B3963" s="55" t="s">
        <v>40</v>
      </c>
      <c r="C3963" s="55" t="s">
        <v>11615</v>
      </c>
      <c r="D3963" s="55" t="s">
        <v>9587</v>
      </c>
    </row>
    <row r="3964" ht="14.25" customHeight="1">
      <c r="A3964" s="55" t="s">
        <v>9585</v>
      </c>
      <c r="B3964" s="55" t="s">
        <v>40</v>
      </c>
      <c r="C3964" s="55" t="s">
        <v>12229</v>
      </c>
      <c r="D3964" s="55" t="s">
        <v>12230</v>
      </c>
    </row>
    <row r="3965" ht="14.25" customHeight="1">
      <c r="A3965" s="55" t="s">
        <v>9585</v>
      </c>
      <c r="B3965" s="55" t="s">
        <v>40</v>
      </c>
      <c r="C3965" s="55" t="s">
        <v>1417</v>
      </c>
      <c r="D3965" s="55" t="s">
        <v>9204</v>
      </c>
    </row>
    <row r="3966" ht="14.25" customHeight="1">
      <c r="A3966" s="55" t="s">
        <v>9585</v>
      </c>
      <c r="B3966" s="55" t="s">
        <v>40</v>
      </c>
      <c r="C3966" s="55" t="s">
        <v>1417</v>
      </c>
      <c r="D3966" s="55" t="s">
        <v>11438</v>
      </c>
    </row>
    <row r="3967" ht="14.25" customHeight="1">
      <c r="A3967" s="55" t="s">
        <v>9585</v>
      </c>
      <c r="B3967" s="55" t="s">
        <v>40</v>
      </c>
      <c r="C3967" s="55" t="s">
        <v>1417</v>
      </c>
      <c r="D3967" s="55" t="s">
        <v>9880</v>
      </c>
    </row>
    <row r="3968" ht="14.25" customHeight="1">
      <c r="A3968" s="55" t="s">
        <v>9585</v>
      </c>
      <c r="B3968" s="55" t="s">
        <v>40</v>
      </c>
      <c r="C3968" s="55" t="s">
        <v>9203</v>
      </c>
      <c r="D3968" s="55" t="s">
        <v>9204</v>
      </c>
    </row>
    <row r="3969" ht="14.25" customHeight="1">
      <c r="A3969" s="55" t="s">
        <v>9585</v>
      </c>
      <c r="B3969" s="55" t="s">
        <v>40</v>
      </c>
      <c r="C3969" s="55" t="s">
        <v>12231</v>
      </c>
      <c r="D3969" s="55" t="s">
        <v>12228</v>
      </c>
    </row>
    <row r="3970" ht="14.25" customHeight="1">
      <c r="A3970" s="55" t="s">
        <v>9585</v>
      </c>
      <c r="B3970" s="55" t="s">
        <v>40</v>
      </c>
      <c r="C3970" s="55" t="s">
        <v>12232</v>
      </c>
      <c r="D3970" s="55" t="s">
        <v>9026</v>
      </c>
    </row>
    <row r="3971" ht="14.25" customHeight="1">
      <c r="A3971" s="55" t="s">
        <v>9585</v>
      </c>
      <c r="B3971" s="55" t="s">
        <v>40</v>
      </c>
      <c r="C3971" s="55" t="s">
        <v>10711</v>
      </c>
      <c r="D3971" s="55" t="s">
        <v>12233</v>
      </c>
    </row>
    <row r="3972" ht="14.25" customHeight="1">
      <c r="A3972" s="55" t="s">
        <v>9585</v>
      </c>
      <c r="B3972" s="55" t="s">
        <v>40</v>
      </c>
      <c r="C3972" s="55" t="s">
        <v>180</v>
      </c>
      <c r="D3972" s="55" t="s">
        <v>8968</v>
      </c>
    </row>
    <row r="3973" ht="14.25" customHeight="1">
      <c r="A3973" s="55" t="s">
        <v>9585</v>
      </c>
      <c r="B3973" s="55" t="s">
        <v>40</v>
      </c>
      <c r="C3973" s="55" t="s">
        <v>217</v>
      </c>
      <c r="D3973" s="55" t="s">
        <v>8968</v>
      </c>
    </row>
    <row r="3974" ht="14.25" customHeight="1">
      <c r="A3974" s="55" t="s">
        <v>9585</v>
      </c>
      <c r="B3974" s="55" t="s">
        <v>40</v>
      </c>
      <c r="C3974" s="55" t="s">
        <v>9592</v>
      </c>
      <c r="D3974" s="55" t="s">
        <v>9180</v>
      </c>
    </row>
    <row r="3975" ht="14.25" customHeight="1">
      <c r="A3975" s="55" t="s">
        <v>9585</v>
      </c>
      <c r="B3975" s="55" t="s">
        <v>40</v>
      </c>
      <c r="C3975" s="55" t="s">
        <v>225</v>
      </c>
      <c r="D3975" s="55" t="s">
        <v>9131</v>
      </c>
    </row>
    <row r="3976" ht="14.25" customHeight="1">
      <c r="A3976" s="55" t="s">
        <v>9585</v>
      </c>
      <c r="B3976" s="55" t="s">
        <v>40</v>
      </c>
      <c r="C3976" s="55" t="s">
        <v>334</v>
      </c>
      <c r="D3976" s="55" t="s">
        <v>9354</v>
      </c>
    </row>
    <row r="3977" ht="14.25" customHeight="1">
      <c r="A3977" s="55" t="s">
        <v>9585</v>
      </c>
      <c r="B3977" s="55" t="s">
        <v>40</v>
      </c>
      <c r="C3977" s="55" t="s">
        <v>9593</v>
      </c>
      <c r="D3977" s="55" t="s">
        <v>8968</v>
      </c>
    </row>
    <row r="3978" ht="14.25" customHeight="1">
      <c r="A3978" s="55" t="s">
        <v>9585</v>
      </c>
      <c r="B3978" s="55" t="s">
        <v>40</v>
      </c>
      <c r="C3978" s="55" t="s">
        <v>9594</v>
      </c>
      <c r="D3978" s="55" t="s">
        <v>9595</v>
      </c>
    </row>
    <row r="3979" ht="14.25" customHeight="1">
      <c r="A3979" s="55" t="s">
        <v>9585</v>
      </c>
      <c r="B3979" s="55" t="s">
        <v>40</v>
      </c>
      <c r="C3979" s="55" t="s">
        <v>5533</v>
      </c>
      <c r="D3979" s="55" t="s">
        <v>9180</v>
      </c>
    </row>
    <row r="3980" ht="14.25" customHeight="1">
      <c r="A3980" s="55" t="s">
        <v>9585</v>
      </c>
      <c r="B3980" s="55" t="s">
        <v>40</v>
      </c>
      <c r="C3980" s="55" t="s">
        <v>262</v>
      </c>
      <c r="D3980" s="55" t="s">
        <v>9051</v>
      </c>
    </row>
    <row r="3981" ht="14.25" customHeight="1">
      <c r="A3981" s="55" t="s">
        <v>9585</v>
      </c>
      <c r="B3981" s="55" t="s">
        <v>40</v>
      </c>
      <c r="C3981" s="55" t="s">
        <v>11616</v>
      </c>
      <c r="D3981" s="55" t="s">
        <v>9274</v>
      </c>
    </row>
    <row r="3982" ht="14.25" customHeight="1">
      <c r="A3982" s="55" t="s">
        <v>9585</v>
      </c>
      <c r="B3982" s="55" t="s">
        <v>40</v>
      </c>
      <c r="C3982" s="55" t="s">
        <v>270</v>
      </c>
      <c r="D3982" s="55" t="s">
        <v>9180</v>
      </c>
    </row>
    <row r="3983" ht="14.25" customHeight="1">
      <c r="A3983" s="55" t="s">
        <v>9585</v>
      </c>
      <c r="B3983" s="55" t="s">
        <v>40</v>
      </c>
      <c r="C3983" s="55" t="s">
        <v>9005</v>
      </c>
      <c r="D3983" s="55" t="s">
        <v>9034</v>
      </c>
    </row>
    <row r="3984" ht="14.25" customHeight="1">
      <c r="A3984" s="55" t="s">
        <v>9585</v>
      </c>
      <c r="B3984" s="55" t="s">
        <v>40</v>
      </c>
      <c r="C3984" s="55" t="s">
        <v>2230</v>
      </c>
      <c r="D3984" s="55" t="s">
        <v>10945</v>
      </c>
    </row>
    <row r="3985" ht="14.25" customHeight="1">
      <c r="A3985" s="55" t="s">
        <v>9585</v>
      </c>
      <c r="B3985" s="55" t="s">
        <v>40</v>
      </c>
      <c r="C3985" s="55" t="s">
        <v>2230</v>
      </c>
      <c r="D3985" s="55" t="s">
        <v>13786</v>
      </c>
    </row>
    <row r="3986" ht="14.25" customHeight="1">
      <c r="A3986" s="55" t="s">
        <v>9585</v>
      </c>
      <c r="B3986" s="55" t="s">
        <v>40</v>
      </c>
      <c r="C3986" s="55" t="s">
        <v>2230</v>
      </c>
      <c r="D3986" s="55" t="s">
        <v>10946</v>
      </c>
    </row>
    <row r="3987" ht="14.25" customHeight="1">
      <c r="A3987" s="55" t="s">
        <v>9585</v>
      </c>
      <c r="B3987" s="55" t="s">
        <v>40</v>
      </c>
      <c r="C3987" s="55" t="s">
        <v>286</v>
      </c>
      <c r="D3987" s="55" t="s">
        <v>10947</v>
      </c>
    </row>
    <row r="3988" ht="14.25" customHeight="1">
      <c r="A3988" s="55" t="s">
        <v>9596</v>
      </c>
      <c r="B3988" s="55" t="s">
        <v>40</v>
      </c>
      <c r="C3988" s="55" t="s">
        <v>9034</v>
      </c>
      <c r="D3988" s="55" t="s">
        <v>9236</v>
      </c>
    </row>
    <row r="3989" ht="14.25" customHeight="1">
      <c r="A3989" s="55" t="s">
        <v>9596</v>
      </c>
      <c r="B3989" s="55" t="s">
        <v>40</v>
      </c>
      <c r="C3989" s="55" t="s">
        <v>9034</v>
      </c>
      <c r="D3989" s="55" t="s">
        <v>10948</v>
      </c>
    </row>
    <row r="3990" ht="14.25" customHeight="1">
      <c r="A3990" s="55" t="s">
        <v>9596</v>
      </c>
      <c r="B3990" s="55" t="s">
        <v>40</v>
      </c>
      <c r="C3990" s="55" t="s">
        <v>9034</v>
      </c>
      <c r="D3990" s="55" t="s">
        <v>9645</v>
      </c>
    </row>
    <row r="3991" ht="14.25" customHeight="1">
      <c r="A3991" s="55" t="s">
        <v>9596</v>
      </c>
      <c r="B3991" s="55" t="s">
        <v>40</v>
      </c>
      <c r="C3991" s="55" t="s">
        <v>9034</v>
      </c>
      <c r="D3991" s="55" t="s">
        <v>9639</v>
      </c>
    </row>
    <row r="3992" ht="14.25" customHeight="1">
      <c r="A3992" s="55" t="s">
        <v>9596</v>
      </c>
      <c r="B3992" s="55" t="s">
        <v>40</v>
      </c>
      <c r="C3992" s="55" t="s">
        <v>9034</v>
      </c>
      <c r="D3992" s="55" t="s">
        <v>9099</v>
      </c>
    </row>
    <row r="3993" ht="14.25" customHeight="1">
      <c r="A3993" s="55" t="s">
        <v>9596</v>
      </c>
      <c r="B3993" s="55" t="s">
        <v>40</v>
      </c>
      <c r="C3993" s="55" t="s">
        <v>9034</v>
      </c>
      <c r="D3993" s="55" t="s">
        <v>9643</v>
      </c>
    </row>
    <row r="3994" ht="14.25" customHeight="1">
      <c r="A3994" s="55" t="s">
        <v>9596</v>
      </c>
      <c r="B3994" s="55" t="s">
        <v>40</v>
      </c>
      <c r="C3994" s="55" t="s">
        <v>9034</v>
      </c>
      <c r="D3994" s="55" t="s">
        <v>9649</v>
      </c>
    </row>
    <row r="3995" ht="14.25" customHeight="1">
      <c r="A3995" s="55" t="s">
        <v>9596</v>
      </c>
      <c r="B3995" s="55" t="s">
        <v>40</v>
      </c>
      <c r="C3995" s="55" t="s">
        <v>9034</v>
      </c>
      <c r="D3995" s="55" t="s">
        <v>8978</v>
      </c>
    </row>
    <row r="3996" ht="14.25" customHeight="1">
      <c r="A3996" s="55" t="s">
        <v>9596</v>
      </c>
      <c r="B3996" s="55" t="s">
        <v>40</v>
      </c>
      <c r="C3996" s="55" t="s">
        <v>9034</v>
      </c>
      <c r="D3996" s="55" t="s">
        <v>10321</v>
      </c>
    </row>
    <row r="3997" ht="14.25" customHeight="1">
      <c r="A3997" s="55" t="s">
        <v>9596</v>
      </c>
      <c r="B3997" s="55" t="s">
        <v>40</v>
      </c>
      <c r="C3997" s="55" t="s">
        <v>9034</v>
      </c>
      <c r="D3997" s="55" t="s">
        <v>11617</v>
      </c>
    </row>
    <row r="3998" ht="14.25" customHeight="1">
      <c r="A3998" s="55" t="s">
        <v>9596</v>
      </c>
      <c r="B3998" s="55" t="s">
        <v>40</v>
      </c>
      <c r="C3998" s="55" t="s">
        <v>9034</v>
      </c>
      <c r="D3998" s="55" t="s">
        <v>10949</v>
      </c>
    </row>
    <row r="3999" ht="14.25" customHeight="1">
      <c r="A3999" s="55" t="s">
        <v>9596</v>
      </c>
      <c r="B3999" s="55" t="s">
        <v>40</v>
      </c>
      <c r="C3999" s="55" t="s">
        <v>9597</v>
      </c>
      <c r="D3999" s="55" t="s">
        <v>9075</v>
      </c>
    </row>
    <row r="4000" ht="14.25" customHeight="1">
      <c r="A4000" s="55" t="s">
        <v>9596</v>
      </c>
      <c r="B4000" s="55" t="s">
        <v>40</v>
      </c>
      <c r="C4000" s="55" t="s">
        <v>9597</v>
      </c>
      <c r="D4000" s="55" t="s">
        <v>9598</v>
      </c>
    </row>
    <row r="4001" ht="14.25" customHeight="1">
      <c r="A4001" s="55" t="s">
        <v>9596</v>
      </c>
      <c r="B4001" s="55" t="s">
        <v>40</v>
      </c>
      <c r="C4001" s="55" t="s">
        <v>10301</v>
      </c>
      <c r="D4001" s="55" t="s">
        <v>10302</v>
      </c>
    </row>
    <row r="4002" ht="14.25" customHeight="1">
      <c r="A4002" s="55" t="s">
        <v>9596</v>
      </c>
      <c r="B4002" s="55" t="s">
        <v>40</v>
      </c>
      <c r="C4002" s="55" t="s">
        <v>14267</v>
      </c>
      <c r="D4002" s="55" t="s">
        <v>14268</v>
      </c>
    </row>
    <row r="4003" ht="14.25" customHeight="1">
      <c r="A4003" s="55" t="s">
        <v>9596</v>
      </c>
      <c r="B4003" s="55" t="s">
        <v>40</v>
      </c>
      <c r="C4003" s="55" t="s">
        <v>12234</v>
      </c>
      <c r="D4003" s="55" t="s">
        <v>10986</v>
      </c>
    </row>
    <row r="4004" ht="14.25" customHeight="1">
      <c r="A4004" s="55" t="s">
        <v>9596</v>
      </c>
      <c r="B4004" s="55" t="s">
        <v>40</v>
      </c>
      <c r="C4004" s="55" t="s">
        <v>12234</v>
      </c>
      <c r="D4004" s="55" t="s">
        <v>9602</v>
      </c>
    </row>
    <row r="4005" ht="14.25" customHeight="1">
      <c r="A4005" s="55" t="s">
        <v>9596</v>
      </c>
      <c r="B4005" s="55" t="s">
        <v>40</v>
      </c>
      <c r="C4005" s="55" t="s">
        <v>12234</v>
      </c>
      <c r="D4005" s="55" t="s">
        <v>12235</v>
      </c>
    </row>
    <row r="4006" ht="14.25" customHeight="1">
      <c r="A4006" s="55" t="s">
        <v>9596</v>
      </c>
      <c r="B4006" s="55" t="s">
        <v>40</v>
      </c>
      <c r="C4006" s="55" t="s">
        <v>12234</v>
      </c>
      <c r="D4006" s="55" t="s">
        <v>9645</v>
      </c>
    </row>
    <row r="4007" ht="14.25" customHeight="1">
      <c r="A4007" s="55" t="s">
        <v>9596</v>
      </c>
      <c r="B4007" s="55" t="s">
        <v>40</v>
      </c>
      <c r="C4007" s="55" t="s">
        <v>12234</v>
      </c>
      <c r="D4007" s="55" t="s">
        <v>9639</v>
      </c>
    </row>
    <row r="4008" ht="14.25" customHeight="1">
      <c r="A4008" s="55" t="s">
        <v>9596</v>
      </c>
      <c r="B4008" s="55" t="s">
        <v>40</v>
      </c>
      <c r="C4008" s="55" t="s">
        <v>12234</v>
      </c>
      <c r="D4008" s="55" t="s">
        <v>9922</v>
      </c>
    </row>
    <row r="4009" ht="14.25" customHeight="1">
      <c r="A4009" s="55" t="s">
        <v>9596</v>
      </c>
      <c r="B4009" s="55" t="s">
        <v>40</v>
      </c>
      <c r="C4009" s="55" t="s">
        <v>14269</v>
      </c>
      <c r="D4009" s="55" t="s">
        <v>10986</v>
      </c>
    </row>
    <row r="4010" ht="14.25" customHeight="1">
      <c r="A4010" s="55" t="s">
        <v>9596</v>
      </c>
      <c r="B4010" s="55" t="s">
        <v>40</v>
      </c>
      <c r="C4010" s="55" t="s">
        <v>9340</v>
      </c>
      <c r="D4010" s="55" t="s">
        <v>9236</v>
      </c>
    </row>
    <row r="4011" ht="14.25" customHeight="1">
      <c r="A4011" s="55" t="s">
        <v>9596</v>
      </c>
      <c r="B4011" s="55" t="s">
        <v>40</v>
      </c>
      <c r="C4011" s="55" t="s">
        <v>9340</v>
      </c>
      <c r="D4011" s="55" t="s">
        <v>13046</v>
      </c>
    </row>
    <row r="4012" ht="14.25" customHeight="1">
      <c r="A4012" s="55" t="s">
        <v>9596</v>
      </c>
      <c r="B4012" s="55" t="s">
        <v>40</v>
      </c>
      <c r="C4012" s="55" t="s">
        <v>13047</v>
      </c>
      <c r="D4012" s="55" t="s">
        <v>13048</v>
      </c>
    </row>
    <row r="4013" ht="14.25" customHeight="1">
      <c r="A4013" s="55" t="s">
        <v>9596</v>
      </c>
      <c r="B4013" s="55" t="s">
        <v>40</v>
      </c>
      <c r="C4013" s="55" t="s">
        <v>13787</v>
      </c>
      <c r="D4013" s="55" t="s">
        <v>13788</v>
      </c>
    </row>
    <row r="4014" ht="14.25" customHeight="1">
      <c r="A4014" s="55" t="s">
        <v>9596</v>
      </c>
      <c r="B4014" s="55" t="s">
        <v>40</v>
      </c>
      <c r="C4014" s="55" t="s">
        <v>13049</v>
      </c>
      <c r="D4014" s="55" t="s">
        <v>1948</v>
      </c>
    </row>
    <row r="4015" ht="14.25" customHeight="1">
      <c r="A4015" s="55" t="s">
        <v>9596</v>
      </c>
      <c r="B4015" s="55" t="s">
        <v>40</v>
      </c>
      <c r="C4015" s="55" t="s">
        <v>10303</v>
      </c>
      <c r="D4015" s="55" t="s">
        <v>14270</v>
      </c>
    </row>
    <row r="4016" ht="14.25" customHeight="1">
      <c r="A4016" s="55" t="s">
        <v>9596</v>
      </c>
      <c r="B4016" s="55" t="s">
        <v>40</v>
      </c>
      <c r="C4016" s="55" t="s">
        <v>10303</v>
      </c>
      <c r="D4016" s="55" t="s">
        <v>13818</v>
      </c>
    </row>
    <row r="4017" ht="14.25" customHeight="1">
      <c r="A4017" s="55" t="s">
        <v>9596</v>
      </c>
      <c r="B4017" s="55" t="s">
        <v>40</v>
      </c>
      <c r="C4017" s="55" t="s">
        <v>10303</v>
      </c>
      <c r="D4017" s="55" t="s">
        <v>10304</v>
      </c>
    </row>
    <row r="4018" ht="14.25" customHeight="1">
      <c r="A4018" s="55" t="s">
        <v>9596</v>
      </c>
      <c r="B4018" s="55" t="s">
        <v>40</v>
      </c>
      <c r="C4018" s="55" t="s">
        <v>10303</v>
      </c>
      <c r="D4018" s="55" t="s">
        <v>14271</v>
      </c>
    </row>
    <row r="4019" ht="14.25" customHeight="1">
      <c r="A4019" s="55" t="s">
        <v>9596</v>
      </c>
      <c r="B4019" s="55" t="s">
        <v>40</v>
      </c>
      <c r="C4019" s="55" t="s">
        <v>10950</v>
      </c>
      <c r="D4019" s="55" t="s">
        <v>9034</v>
      </c>
    </row>
    <row r="4020" ht="14.25" customHeight="1">
      <c r="A4020" s="55" t="s">
        <v>9596</v>
      </c>
      <c r="B4020" s="55" t="s">
        <v>40</v>
      </c>
      <c r="C4020" s="55" t="s">
        <v>10950</v>
      </c>
      <c r="D4020" s="55" t="s">
        <v>1948</v>
      </c>
    </row>
    <row r="4021" ht="14.25" customHeight="1">
      <c r="A4021" s="55" t="s">
        <v>9596</v>
      </c>
      <c r="B4021" s="55" t="s">
        <v>40</v>
      </c>
      <c r="C4021" s="55" t="s">
        <v>10950</v>
      </c>
      <c r="D4021" s="55" t="s">
        <v>12236</v>
      </c>
    </row>
    <row r="4022" ht="14.25" customHeight="1">
      <c r="A4022" s="55" t="s">
        <v>9596</v>
      </c>
      <c r="B4022" s="55" t="s">
        <v>40</v>
      </c>
      <c r="C4022" s="55" t="s">
        <v>12237</v>
      </c>
      <c r="D4022" s="55" t="s">
        <v>1948</v>
      </c>
    </row>
    <row r="4023" ht="14.25" customHeight="1">
      <c r="A4023" s="55" t="s">
        <v>9596</v>
      </c>
      <c r="B4023" s="55" t="s">
        <v>40</v>
      </c>
      <c r="C4023" s="55" t="s">
        <v>14272</v>
      </c>
      <c r="D4023" s="55" t="s">
        <v>10999</v>
      </c>
    </row>
    <row r="4024" ht="14.25" customHeight="1">
      <c r="A4024" s="55" t="s">
        <v>9596</v>
      </c>
      <c r="B4024" s="55" t="s">
        <v>40</v>
      </c>
      <c r="C4024" s="55" t="s">
        <v>10305</v>
      </c>
      <c r="D4024" s="55" t="s">
        <v>9034</v>
      </c>
    </row>
    <row r="4025" ht="14.25" customHeight="1">
      <c r="A4025" s="55" t="s">
        <v>9596</v>
      </c>
      <c r="B4025" s="55" t="s">
        <v>40</v>
      </c>
      <c r="C4025" s="55" t="s">
        <v>2357</v>
      </c>
      <c r="D4025" s="55" t="s">
        <v>9034</v>
      </c>
    </row>
    <row r="4026" ht="14.25" customHeight="1">
      <c r="A4026" s="55" t="s">
        <v>9596</v>
      </c>
      <c r="B4026" s="55" t="s">
        <v>40</v>
      </c>
      <c r="C4026" s="55" t="s">
        <v>9552</v>
      </c>
      <c r="D4026" s="55" t="s">
        <v>11681</v>
      </c>
    </row>
    <row r="4027" ht="14.25" customHeight="1">
      <c r="A4027" s="55" t="s">
        <v>9596</v>
      </c>
      <c r="B4027" s="55" t="s">
        <v>40</v>
      </c>
      <c r="C4027" s="55" t="s">
        <v>9552</v>
      </c>
      <c r="D4027" s="55" t="s">
        <v>13050</v>
      </c>
    </row>
    <row r="4028" ht="14.25" customHeight="1">
      <c r="A4028" s="55" t="s">
        <v>9596</v>
      </c>
      <c r="B4028" s="55" t="s">
        <v>40</v>
      </c>
      <c r="C4028" s="55" t="s">
        <v>12238</v>
      </c>
      <c r="D4028" s="55" t="s">
        <v>9578</v>
      </c>
    </row>
    <row r="4029" ht="14.25" customHeight="1">
      <c r="A4029" s="55" t="s">
        <v>9596</v>
      </c>
      <c r="B4029" s="55" t="s">
        <v>40</v>
      </c>
      <c r="C4029" s="55" t="s">
        <v>11618</v>
      </c>
      <c r="D4029" s="55" t="s">
        <v>9614</v>
      </c>
    </row>
    <row r="4030" ht="14.25" customHeight="1">
      <c r="A4030" s="55" t="s">
        <v>9596</v>
      </c>
      <c r="B4030" s="55" t="s">
        <v>40</v>
      </c>
      <c r="C4030" s="55" t="s">
        <v>13051</v>
      </c>
      <c r="D4030" s="55" t="s">
        <v>13052</v>
      </c>
    </row>
    <row r="4031" ht="14.25" customHeight="1">
      <c r="A4031" s="55" t="s">
        <v>9596</v>
      </c>
      <c r="B4031" s="55" t="s">
        <v>40</v>
      </c>
      <c r="C4031" s="55" t="s">
        <v>14273</v>
      </c>
      <c r="D4031" s="55" t="s">
        <v>9034</v>
      </c>
    </row>
    <row r="4032" ht="14.25" customHeight="1">
      <c r="A4032" s="55" t="s">
        <v>9596</v>
      </c>
      <c r="B4032" s="55" t="s">
        <v>40</v>
      </c>
      <c r="C4032" s="55" t="s">
        <v>8969</v>
      </c>
      <c r="D4032" s="55" t="s">
        <v>10306</v>
      </c>
    </row>
    <row r="4033" ht="14.25" customHeight="1">
      <c r="A4033" s="55" t="s">
        <v>9596</v>
      </c>
      <c r="B4033" s="55" t="s">
        <v>40</v>
      </c>
      <c r="C4033" s="55" t="s">
        <v>11619</v>
      </c>
      <c r="D4033" s="55" t="s">
        <v>11620</v>
      </c>
    </row>
    <row r="4034" ht="14.25" customHeight="1">
      <c r="A4034" s="55" t="s">
        <v>9596</v>
      </c>
      <c r="B4034" s="55" t="s">
        <v>40</v>
      </c>
      <c r="C4034" s="55" t="s">
        <v>13053</v>
      </c>
      <c r="D4034" s="55" t="s">
        <v>13054</v>
      </c>
    </row>
    <row r="4035" ht="14.25" customHeight="1">
      <c r="A4035" s="55" t="s">
        <v>9596</v>
      </c>
      <c r="B4035" s="55" t="s">
        <v>40</v>
      </c>
      <c r="C4035" s="55" t="s">
        <v>9599</v>
      </c>
      <c r="D4035" s="55" t="s">
        <v>9600</v>
      </c>
    </row>
    <row r="4036" ht="14.25" customHeight="1">
      <c r="A4036" s="55" t="s">
        <v>9596</v>
      </c>
      <c r="B4036" s="55" t="s">
        <v>40</v>
      </c>
      <c r="C4036" s="55" t="s">
        <v>9313</v>
      </c>
      <c r="D4036" s="55" t="s">
        <v>11115</v>
      </c>
    </row>
    <row r="4037" ht="14.25" customHeight="1">
      <c r="A4037" s="55" t="s">
        <v>9596</v>
      </c>
      <c r="B4037" s="55" t="s">
        <v>40</v>
      </c>
      <c r="C4037" s="55" t="s">
        <v>9601</v>
      </c>
      <c r="D4037" s="55" t="s">
        <v>9034</v>
      </c>
    </row>
    <row r="4038" ht="14.25" customHeight="1">
      <c r="A4038" s="55" t="s">
        <v>9596</v>
      </c>
      <c r="B4038" s="55" t="s">
        <v>40</v>
      </c>
      <c r="C4038" s="55" t="s">
        <v>9601</v>
      </c>
      <c r="D4038" s="55" t="s">
        <v>9602</v>
      </c>
    </row>
    <row r="4039" ht="14.25" customHeight="1">
      <c r="A4039" s="55" t="s">
        <v>9596</v>
      </c>
      <c r="B4039" s="55" t="s">
        <v>40</v>
      </c>
      <c r="C4039" s="55" t="s">
        <v>9172</v>
      </c>
      <c r="D4039" s="55" t="s">
        <v>9034</v>
      </c>
    </row>
    <row r="4040" ht="14.25" customHeight="1">
      <c r="A4040" s="55" t="s">
        <v>9596</v>
      </c>
      <c r="B4040" s="55" t="s">
        <v>40</v>
      </c>
      <c r="C4040" s="55" t="s">
        <v>9172</v>
      </c>
      <c r="D4040" s="55" t="s">
        <v>14274</v>
      </c>
    </row>
    <row r="4041" ht="14.25" customHeight="1">
      <c r="A4041" s="55" t="s">
        <v>9596</v>
      </c>
      <c r="B4041" s="55" t="s">
        <v>40</v>
      </c>
      <c r="C4041" s="55" t="s">
        <v>9603</v>
      </c>
      <c r="D4041" s="55" t="s">
        <v>9604</v>
      </c>
    </row>
    <row r="4042" ht="14.25" customHeight="1">
      <c r="A4042" s="55" t="s">
        <v>9596</v>
      </c>
      <c r="B4042" s="55" t="s">
        <v>40</v>
      </c>
      <c r="C4042" s="55" t="s">
        <v>10951</v>
      </c>
      <c r="D4042" s="55" t="s">
        <v>9216</v>
      </c>
    </row>
    <row r="4043" ht="14.25" customHeight="1">
      <c r="A4043" s="55" t="s">
        <v>9596</v>
      </c>
      <c r="B4043" s="55" t="s">
        <v>40</v>
      </c>
      <c r="C4043" s="55" t="s">
        <v>9351</v>
      </c>
      <c r="D4043" s="55" t="s">
        <v>13055</v>
      </c>
    </row>
    <row r="4044" ht="14.25" customHeight="1">
      <c r="A4044" s="55" t="s">
        <v>9596</v>
      </c>
      <c r="B4044" s="55" t="s">
        <v>40</v>
      </c>
      <c r="C4044" s="55" t="s">
        <v>9351</v>
      </c>
      <c r="D4044" s="55" t="s">
        <v>9616</v>
      </c>
    </row>
    <row r="4045" ht="14.25" customHeight="1">
      <c r="A4045" s="55" t="s">
        <v>9596</v>
      </c>
      <c r="B4045" s="55" t="s">
        <v>40</v>
      </c>
      <c r="C4045" s="55" t="s">
        <v>9605</v>
      </c>
      <c r="D4045" s="55" t="s">
        <v>9606</v>
      </c>
    </row>
    <row r="4046" ht="14.25" customHeight="1">
      <c r="A4046" s="55" t="s">
        <v>9596</v>
      </c>
      <c r="B4046" s="55" t="s">
        <v>40</v>
      </c>
      <c r="C4046" s="55" t="s">
        <v>13056</v>
      </c>
      <c r="D4046" s="55" t="s">
        <v>13057</v>
      </c>
    </row>
    <row r="4047" ht="14.25" customHeight="1">
      <c r="A4047" s="55" t="s">
        <v>9596</v>
      </c>
      <c r="B4047" s="55" t="s">
        <v>40</v>
      </c>
      <c r="C4047" s="55" t="s">
        <v>14275</v>
      </c>
      <c r="D4047" s="55" t="s">
        <v>10365</v>
      </c>
    </row>
    <row r="4048" ht="14.25" customHeight="1">
      <c r="A4048" s="55" t="s">
        <v>9596</v>
      </c>
      <c r="B4048" s="55" t="s">
        <v>40</v>
      </c>
      <c r="C4048" s="55" t="s">
        <v>10307</v>
      </c>
      <c r="D4048" s="55" t="s">
        <v>10308</v>
      </c>
    </row>
    <row r="4049" ht="14.25" customHeight="1">
      <c r="A4049" s="55" t="s">
        <v>9596</v>
      </c>
      <c r="B4049" s="55" t="s">
        <v>40</v>
      </c>
      <c r="C4049" s="55" t="s">
        <v>9355</v>
      </c>
      <c r="D4049" s="55" t="s">
        <v>9607</v>
      </c>
    </row>
    <row r="4050" ht="14.25" customHeight="1">
      <c r="A4050" s="55" t="s">
        <v>9596</v>
      </c>
      <c r="B4050" s="55" t="s">
        <v>40</v>
      </c>
      <c r="C4050" s="55" t="s">
        <v>12239</v>
      </c>
      <c r="D4050" s="55" t="s">
        <v>12240</v>
      </c>
    </row>
    <row r="4051" ht="14.25" customHeight="1">
      <c r="A4051" s="55" t="s">
        <v>9596</v>
      </c>
      <c r="B4051" s="55" t="s">
        <v>40</v>
      </c>
      <c r="C4051" s="55" t="s">
        <v>9608</v>
      </c>
      <c r="D4051" s="55" t="s">
        <v>9034</v>
      </c>
    </row>
    <row r="4052" ht="14.25" customHeight="1">
      <c r="A4052" s="55" t="s">
        <v>9596</v>
      </c>
      <c r="B4052" s="55" t="s">
        <v>40</v>
      </c>
      <c r="C4052" s="55" t="s">
        <v>9608</v>
      </c>
      <c r="D4052" s="55" t="s">
        <v>9020</v>
      </c>
    </row>
    <row r="4053" ht="14.25" customHeight="1">
      <c r="A4053" s="55" t="s">
        <v>9596</v>
      </c>
      <c r="B4053" s="55" t="s">
        <v>40</v>
      </c>
      <c r="C4053" s="55" t="s">
        <v>9608</v>
      </c>
      <c r="D4053" s="55" t="s">
        <v>9168</v>
      </c>
    </row>
    <row r="4054" ht="14.25" customHeight="1">
      <c r="A4054" s="55" t="s">
        <v>9596</v>
      </c>
      <c r="B4054" s="55" t="s">
        <v>40</v>
      </c>
      <c r="C4054" s="55" t="s">
        <v>9608</v>
      </c>
      <c r="D4054" s="55" t="s">
        <v>9609</v>
      </c>
    </row>
    <row r="4055" ht="14.25" customHeight="1">
      <c r="A4055" s="55" t="s">
        <v>9596</v>
      </c>
      <c r="B4055" s="55" t="s">
        <v>40</v>
      </c>
      <c r="C4055" s="55" t="s">
        <v>9608</v>
      </c>
      <c r="D4055" s="55" t="s">
        <v>1948</v>
      </c>
    </row>
    <row r="4056" ht="14.25" customHeight="1">
      <c r="A4056" s="55" t="s">
        <v>9596</v>
      </c>
      <c r="B4056" s="55" t="s">
        <v>40</v>
      </c>
      <c r="C4056" s="55" t="s">
        <v>9608</v>
      </c>
      <c r="D4056" s="55" t="s">
        <v>9610</v>
      </c>
    </row>
    <row r="4057" ht="14.25" customHeight="1">
      <c r="A4057" s="55" t="s">
        <v>9596</v>
      </c>
      <c r="B4057" s="55" t="s">
        <v>40</v>
      </c>
      <c r="C4057" s="55" t="s">
        <v>13058</v>
      </c>
      <c r="D4057" s="55" t="s">
        <v>9639</v>
      </c>
    </row>
    <row r="4058" ht="14.25" customHeight="1">
      <c r="A4058" s="55" t="s">
        <v>9596</v>
      </c>
      <c r="B4058" s="55" t="s">
        <v>40</v>
      </c>
      <c r="C4058" s="55" t="s">
        <v>10952</v>
      </c>
      <c r="D4058" s="55" t="s">
        <v>9034</v>
      </c>
    </row>
    <row r="4059" ht="14.25" customHeight="1">
      <c r="A4059" s="55" t="s">
        <v>9596</v>
      </c>
      <c r="B4059" s="55" t="s">
        <v>40</v>
      </c>
      <c r="C4059" s="55" t="s">
        <v>9611</v>
      </c>
      <c r="D4059" s="55" t="s">
        <v>9612</v>
      </c>
    </row>
    <row r="4060" ht="14.25" customHeight="1">
      <c r="A4060" s="55" t="s">
        <v>9596</v>
      </c>
      <c r="B4060" s="55" t="s">
        <v>40</v>
      </c>
      <c r="C4060" s="55" t="s">
        <v>13789</v>
      </c>
      <c r="D4060" s="55" t="s">
        <v>13790</v>
      </c>
    </row>
    <row r="4061" ht="14.25" customHeight="1">
      <c r="A4061" s="55" t="s">
        <v>9596</v>
      </c>
      <c r="B4061" s="55" t="s">
        <v>40</v>
      </c>
      <c r="C4061" s="55" t="s">
        <v>82</v>
      </c>
      <c r="D4061" s="55" t="s">
        <v>9645</v>
      </c>
    </row>
    <row r="4062" ht="14.25" customHeight="1">
      <c r="A4062" s="55" t="s">
        <v>9596</v>
      </c>
      <c r="B4062" s="55" t="s">
        <v>40</v>
      </c>
      <c r="C4062" s="55" t="s">
        <v>1889</v>
      </c>
      <c r="D4062" s="55" t="s">
        <v>12286</v>
      </c>
    </row>
    <row r="4063" ht="14.25" customHeight="1">
      <c r="A4063" s="55" t="s">
        <v>9596</v>
      </c>
      <c r="B4063" s="55" t="s">
        <v>40</v>
      </c>
      <c r="C4063" s="55" t="s">
        <v>13059</v>
      </c>
      <c r="D4063" s="55" t="s">
        <v>13060</v>
      </c>
    </row>
    <row r="4064" ht="14.25" customHeight="1">
      <c r="A4064" s="55" t="s">
        <v>9596</v>
      </c>
      <c r="B4064" s="55" t="s">
        <v>40</v>
      </c>
      <c r="C4064" s="55" t="s">
        <v>13061</v>
      </c>
      <c r="D4064" s="55" t="s">
        <v>9050</v>
      </c>
    </row>
    <row r="4065" ht="14.25" customHeight="1">
      <c r="A4065" s="55" t="s">
        <v>9596</v>
      </c>
      <c r="B4065" s="55" t="s">
        <v>40</v>
      </c>
      <c r="C4065" s="55" t="s">
        <v>10309</v>
      </c>
      <c r="D4065" s="55" t="s">
        <v>9216</v>
      </c>
    </row>
    <row r="4066" ht="14.25" customHeight="1">
      <c r="A4066" s="55" t="s">
        <v>9596</v>
      </c>
      <c r="B4066" s="55" t="s">
        <v>40</v>
      </c>
      <c r="C4066" s="55" t="s">
        <v>86</v>
      </c>
      <c r="D4066" s="55" t="s">
        <v>11621</v>
      </c>
    </row>
    <row r="4067" ht="14.25" customHeight="1">
      <c r="A4067" s="55" t="s">
        <v>9596</v>
      </c>
      <c r="B4067" s="55" t="s">
        <v>40</v>
      </c>
      <c r="C4067" s="55" t="s">
        <v>13791</v>
      </c>
      <c r="D4067" s="55" t="s">
        <v>9746</v>
      </c>
    </row>
    <row r="4068" ht="14.25" customHeight="1">
      <c r="A4068" s="55" t="s">
        <v>9596</v>
      </c>
      <c r="B4068" s="55" t="s">
        <v>40</v>
      </c>
      <c r="C4068" s="55" t="s">
        <v>14276</v>
      </c>
      <c r="D4068" s="55" t="s">
        <v>11651</v>
      </c>
    </row>
    <row r="4069" ht="14.25" customHeight="1">
      <c r="A4069" s="55" t="s">
        <v>9596</v>
      </c>
      <c r="B4069" s="55" t="s">
        <v>40</v>
      </c>
      <c r="C4069" s="55" t="s">
        <v>13062</v>
      </c>
      <c r="D4069" s="55" t="s">
        <v>13063</v>
      </c>
    </row>
    <row r="4070" ht="14.25" customHeight="1">
      <c r="A4070" s="55" t="s">
        <v>9596</v>
      </c>
      <c r="B4070" s="55" t="s">
        <v>40</v>
      </c>
      <c r="C4070" s="55" t="s">
        <v>14277</v>
      </c>
      <c r="D4070" s="55" t="s">
        <v>14278</v>
      </c>
    </row>
    <row r="4071" ht="14.25" customHeight="1">
      <c r="A4071" s="55" t="s">
        <v>9596</v>
      </c>
      <c r="B4071" s="55" t="s">
        <v>40</v>
      </c>
      <c r="C4071" s="55" t="s">
        <v>89</v>
      </c>
      <c r="D4071" s="55" t="s">
        <v>13064</v>
      </c>
    </row>
    <row r="4072" ht="14.25" customHeight="1">
      <c r="A4072" s="55" t="s">
        <v>9596</v>
      </c>
      <c r="B4072" s="55" t="s">
        <v>40</v>
      </c>
      <c r="C4072" s="55" t="s">
        <v>89</v>
      </c>
      <c r="D4072" s="55" t="s">
        <v>14279</v>
      </c>
    </row>
    <row r="4073" ht="14.25" customHeight="1">
      <c r="A4073" s="55" t="s">
        <v>9596</v>
      </c>
      <c r="B4073" s="55" t="s">
        <v>40</v>
      </c>
      <c r="C4073" s="55" t="s">
        <v>12241</v>
      </c>
      <c r="D4073" s="55" t="s">
        <v>12242</v>
      </c>
    </row>
    <row r="4074" ht="14.25" customHeight="1">
      <c r="A4074" s="55" t="s">
        <v>9596</v>
      </c>
      <c r="B4074" s="55" t="s">
        <v>40</v>
      </c>
      <c r="C4074" s="55" t="s">
        <v>13065</v>
      </c>
      <c r="D4074" s="55" t="s">
        <v>13066</v>
      </c>
    </row>
    <row r="4075" ht="14.25" customHeight="1">
      <c r="A4075" s="55" t="s">
        <v>9596</v>
      </c>
      <c r="B4075" s="55" t="s">
        <v>40</v>
      </c>
      <c r="C4075" s="55" t="s">
        <v>14280</v>
      </c>
      <c r="D4075" s="55" t="s">
        <v>9718</v>
      </c>
    </row>
    <row r="4076" ht="14.25" customHeight="1">
      <c r="A4076" s="55" t="s">
        <v>9596</v>
      </c>
      <c r="B4076" s="55" t="s">
        <v>40</v>
      </c>
      <c r="C4076" s="55" t="s">
        <v>12243</v>
      </c>
      <c r="D4076" s="55" t="s">
        <v>9034</v>
      </c>
    </row>
    <row r="4077" ht="14.25" customHeight="1">
      <c r="A4077" s="55" t="s">
        <v>9596</v>
      </c>
      <c r="B4077" s="55" t="s">
        <v>40</v>
      </c>
      <c r="C4077" s="55" t="s">
        <v>12243</v>
      </c>
      <c r="D4077" s="55" t="s">
        <v>13067</v>
      </c>
    </row>
    <row r="4078" ht="14.25" customHeight="1">
      <c r="A4078" s="55" t="s">
        <v>9596</v>
      </c>
      <c r="B4078" s="55" t="s">
        <v>40</v>
      </c>
      <c r="C4078" s="55" t="s">
        <v>12243</v>
      </c>
      <c r="D4078" s="55" t="s">
        <v>12244</v>
      </c>
    </row>
    <row r="4079" ht="14.25" customHeight="1">
      <c r="A4079" s="55" t="s">
        <v>9596</v>
      </c>
      <c r="B4079" s="55" t="s">
        <v>40</v>
      </c>
      <c r="C4079" s="55" t="s">
        <v>12243</v>
      </c>
      <c r="D4079" s="55" t="s">
        <v>10351</v>
      </c>
    </row>
    <row r="4080" ht="14.25" customHeight="1">
      <c r="A4080" s="55" t="s">
        <v>9596</v>
      </c>
      <c r="B4080" s="55" t="s">
        <v>40</v>
      </c>
      <c r="C4080" s="55" t="s">
        <v>12243</v>
      </c>
      <c r="D4080" s="55" t="s">
        <v>9639</v>
      </c>
    </row>
    <row r="4081" ht="14.25" customHeight="1">
      <c r="A4081" s="55" t="s">
        <v>9596</v>
      </c>
      <c r="B4081" s="55" t="s">
        <v>40</v>
      </c>
      <c r="C4081" s="55" t="s">
        <v>12243</v>
      </c>
      <c r="D4081" s="55" t="s">
        <v>10365</v>
      </c>
    </row>
    <row r="4082" ht="14.25" customHeight="1">
      <c r="A4082" s="55" t="s">
        <v>9596</v>
      </c>
      <c r="B4082" s="55" t="s">
        <v>40</v>
      </c>
      <c r="C4082" s="55" t="s">
        <v>12245</v>
      </c>
      <c r="D4082" s="55" t="s">
        <v>12246</v>
      </c>
    </row>
    <row r="4083" ht="14.25" customHeight="1">
      <c r="A4083" s="55" t="s">
        <v>9596</v>
      </c>
      <c r="B4083" s="55" t="s">
        <v>40</v>
      </c>
      <c r="C4083" s="55" t="s">
        <v>2669</v>
      </c>
      <c r="D4083" s="55" t="s">
        <v>13068</v>
      </c>
    </row>
    <row r="4084" ht="14.25" customHeight="1">
      <c r="A4084" s="55" t="s">
        <v>9596</v>
      </c>
      <c r="B4084" s="55" t="s">
        <v>40</v>
      </c>
      <c r="C4084" s="55" t="s">
        <v>12247</v>
      </c>
      <c r="D4084" s="55" t="s">
        <v>1948</v>
      </c>
    </row>
    <row r="4085" ht="14.25" customHeight="1">
      <c r="A4085" s="55" t="s">
        <v>9596</v>
      </c>
      <c r="B4085" s="55" t="s">
        <v>40</v>
      </c>
      <c r="C4085" s="55" t="s">
        <v>11622</v>
      </c>
      <c r="D4085" s="55" t="s">
        <v>11623</v>
      </c>
    </row>
    <row r="4086" ht="14.25" customHeight="1">
      <c r="A4086" s="55" t="s">
        <v>9596</v>
      </c>
      <c r="B4086" s="55" t="s">
        <v>40</v>
      </c>
      <c r="C4086" s="55" t="s">
        <v>10953</v>
      </c>
      <c r="D4086" s="55" t="s">
        <v>9034</v>
      </c>
    </row>
    <row r="4087" ht="14.25" customHeight="1">
      <c r="A4087" s="55" t="s">
        <v>9596</v>
      </c>
      <c r="B4087" s="55" t="s">
        <v>40</v>
      </c>
      <c r="C4087" s="55" t="s">
        <v>11023</v>
      </c>
      <c r="D4087" s="55" t="s">
        <v>9616</v>
      </c>
    </row>
    <row r="4088" ht="14.25" customHeight="1">
      <c r="A4088" s="55" t="s">
        <v>9596</v>
      </c>
      <c r="B4088" s="55" t="s">
        <v>40</v>
      </c>
      <c r="C4088" s="55" t="s">
        <v>11624</v>
      </c>
      <c r="D4088" s="55" t="s">
        <v>11625</v>
      </c>
    </row>
    <row r="4089" ht="14.25" customHeight="1">
      <c r="A4089" s="55" t="s">
        <v>9596</v>
      </c>
      <c r="B4089" s="55" t="s">
        <v>40</v>
      </c>
      <c r="C4089" s="55" t="s">
        <v>11626</v>
      </c>
      <c r="D4089" s="55" t="s">
        <v>9616</v>
      </c>
    </row>
    <row r="4090" ht="14.25" customHeight="1">
      <c r="A4090" s="55" t="s">
        <v>9596</v>
      </c>
      <c r="B4090" s="55" t="s">
        <v>40</v>
      </c>
      <c r="C4090" s="55" t="s">
        <v>776</v>
      </c>
      <c r="D4090" s="55" t="s">
        <v>9034</v>
      </c>
    </row>
    <row r="4091" ht="14.25" customHeight="1">
      <c r="A4091" s="55" t="s">
        <v>9596</v>
      </c>
      <c r="B4091" s="55" t="s">
        <v>40</v>
      </c>
      <c r="C4091" s="55" t="s">
        <v>776</v>
      </c>
      <c r="D4091" s="55" t="s">
        <v>12248</v>
      </c>
    </row>
    <row r="4092" ht="14.25" customHeight="1">
      <c r="A4092" s="55" t="s">
        <v>9596</v>
      </c>
      <c r="B4092" s="55" t="s">
        <v>40</v>
      </c>
      <c r="C4092" s="55" t="s">
        <v>294</v>
      </c>
      <c r="D4092" s="55" t="s">
        <v>9705</v>
      </c>
    </row>
    <row r="4093" ht="14.25" customHeight="1">
      <c r="A4093" s="55" t="s">
        <v>9596</v>
      </c>
      <c r="B4093" s="55" t="s">
        <v>40</v>
      </c>
      <c r="C4093" s="55" t="s">
        <v>294</v>
      </c>
      <c r="D4093" s="55" t="s">
        <v>9613</v>
      </c>
    </row>
    <row r="4094" ht="14.25" customHeight="1">
      <c r="A4094" s="55" t="s">
        <v>9596</v>
      </c>
      <c r="B4094" s="55" t="s">
        <v>40</v>
      </c>
      <c r="C4094" s="55" t="s">
        <v>294</v>
      </c>
      <c r="D4094" s="55" t="s">
        <v>13069</v>
      </c>
    </row>
    <row r="4095" ht="14.25" customHeight="1">
      <c r="A4095" s="55" t="s">
        <v>9596</v>
      </c>
      <c r="B4095" s="55" t="s">
        <v>40</v>
      </c>
      <c r="C4095" s="55" t="s">
        <v>294</v>
      </c>
      <c r="D4095" s="55" t="s">
        <v>11127</v>
      </c>
    </row>
    <row r="4096" ht="14.25" customHeight="1">
      <c r="A4096" s="55" t="s">
        <v>9596</v>
      </c>
      <c r="B4096" s="55" t="s">
        <v>40</v>
      </c>
      <c r="C4096" s="55" t="s">
        <v>294</v>
      </c>
      <c r="D4096" s="55" t="s">
        <v>9614</v>
      </c>
    </row>
    <row r="4097" ht="14.25" customHeight="1">
      <c r="A4097" s="55" t="s">
        <v>9596</v>
      </c>
      <c r="B4097" s="55" t="s">
        <v>40</v>
      </c>
      <c r="C4097" s="55" t="s">
        <v>14281</v>
      </c>
      <c r="D4097" s="55" t="s">
        <v>9055</v>
      </c>
    </row>
    <row r="4098" ht="14.25" customHeight="1">
      <c r="A4098" s="55" t="s">
        <v>9596</v>
      </c>
      <c r="B4098" s="55" t="s">
        <v>40</v>
      </c>
      <c r="C4098" s="55" t="s">
        <v>9615</v>
      </c>
      <c r="D4098" s="55" t="s">
        <v>9645</v>
      </c>
    </row>
    <row r="4099" ht="14.25" customHeight="1">
      <c r="A4099" s="55" t="s">
        <v>9596</v>
      </c>
      <c r="B4099" s="55" t="s">
        <v>40</v>
      </c>
      <c r="C4099" s="55" t="s">
        <v>9615</v>
      </c>
      <c r="D4099" s="55" t="s">
        <v>9616</v>
      </c>
    </row>
    <row r="4100" ht="14.25" customHeight="1">
      <c r="A4100" s="55" t="s">
        <v>9596</v>
      </c>
      <c r="B4100" s="55" t="s">
        <v>40</v>
      </c>
      <c r="C4100" s="55" t="s">
        <v>10954</v>
      </c>
      <c r="D4100" s="55" t="s">
        <v>10351</v>
      </c>
    </row>
    <row r="4101" ht="14.25" customHeight="1">
      <c r="A4101" s="55" t="s">
        <v>9596</v>
      </c>
      <c r="B4101" s="55" t="s">
        <v>40</v>
      </c>
      <c r="C4101" s="55" t="s">
        <v>10954</v>
      </c>
      <c r="D4101" s="55" t="s">
        <v>10955</v>
      </c>
    </row>
    <row r="4102" ht="14.25" customHeight="1">
      <c r="A4102" s="55" t="s">
        <v>9596</v>
      </c>
      <c r="B4102" s="55" t="s">
        <v>40</v>
      </c>
      <c r="C4102" s="55" t="s">
        <v>96</v>
      </c>
      <c r="D4102" s="55" t="s">
        <v>13792</v>
      </c>
    </row>
    <row r="4103" ht="14.25" customHeight="1">
      <c r="A4103" s="55" t="s">
        <v>9596</v>
      </c>
      <c r="B4103" s="55" t="s">
        <v>40</v>
      </c>
      <c r="C4103" s="55" t="s">
        <v>9617</v>
      </c>
      <c r="D4103" s="55" t="s">
        <v>9618</v>
      </c>
    </row>
    <row r="4104" ht="14.25" customHeight="1">
      <c r="A4104" s="55" t="s">
        <v>9596</v>
      </c>
      <c r="B4104" s="55" t="s">
        <v>40</v>
      </c>
      <c r="C4104" s="55" t="s">
        <v>10310</v>
      </c>
      <c r="D4104" s="55" t="s">
        <v>9636</v>
      </c>
    </row>
    <row r="4105" ht="14.25" customHeight="1">
      <c r="A4105" s="55" t="s">
        <v>9596</v>
      </c>
      <c r="B4105" s="55" t="s">
        <v>40</v>
      </c>
      <c r="C4105" s="55" t="s">
        <v>10310</v>
      </c>
      <c r="D4105" s="55" t="s">
        <v>1948</v>
      </c>
    </row>
    <row r="4106" ht="14.25" customHeight="1">
      <c r="A4106" s="55" t="s">
        <v>9596</v>
      </c>
      <c r="B4106" s="55" t="s">
        <v>40</v>
      </c>
      <c r="C4106" s="55" t="s">
        <v>10310</v>
      </c>
      <c r="D4106" s="55" t="s">
        <v>14282</v>
      </c>
    </row>
    <row r="4107" ht="14.25" customHeight="1">
      <c r="A4107" s="55" t="s">
        <v>9596</v>
      </c>
      <c r="B4107" s="55" t="s">
        <v>40</v>
      </c>
      <c r="C4107" s="55" t="s">
        <v>10310</v>
      </c>
      <c r="D4107" s="55" t="s">
        <v>10304</v>
      </c>
    </row>
    <row r="4108" ht="14.25" customHeight="1">
      <c r="A4108" s="55" t="s">
        <v>9596</v>
      </c>
      <c r="B4108" s="55" t="s">
        <v>40</v>
      </c>
      <c r="C4108" s="55" t="s">
        <v>10310</v>
      </c>
      <c r="D4108" s="55" t="s">
        <v>14283</v>
      </c>
    </row>
    <row r="4109" ht="14.25" customHeight="1">
      <c r="A4109" s="55" t="s">
        <v>9596</v>
      </c>
      <c r="B4109" s="55" t="s">
        <v>40</v>
      </c>
      <c r="C4109" s="55" t="s">
        <v>10310</v>
      </c>
      <c r="D4109" s="55" t="s">
        <v>14284</v>
      </c>
    </row>
    <row r="4110" ht="14.25" customHeight="1">
      <c r="A4110" s="55" t="s">
        <v>9596</v>
      </c>
      <c r="B4110" s="55" t="s">
        <v>40</v>
      </c>
      <c r="C4110" s="55" t="s">
        <v>11627</v>
      </c>
      <c r="D4110" s="55" t="s">
        <v>11628</v>
      </c>
    </row>
    <row r="4111" ht="14.25" customHeight="1">
      <c r="A4111" s="55" t="s">
        <v>9596</v>
      </c>
      <c r="B4111" s="55" t="s">
        <v>40</v>
      </c>
      <c r="C4111" s="55" t="s">
        <v>14285</v>
      </c>
      <c r="D4111" s="55" t="s">
        <v>9645</v>
      </c>
    </row>
    <row r="4112" ht="14.25" customHeight="1">
      <c r="A4112" s="55" t="s">
        <v>9596</v>
      </c>
      <c r="B4112" s="55" t="s">
        <v>40</v>
      </c>
      <c r="C4112" s="55" t="s">
        <v>9619</v>
      </c>
      <c r="D4112" s="55" t="s">
        <v>9602</v>
      </c>
    </row>
    <row r="4113" ht="14.25" customHeight="1">
      <c r="A4113" s="55" t="s">
        <v>9596</v>
      </c>
      <c r="B4113" s="55" t="s">
        <v>40</v>
      </c>
      <c r="C4113" s="55" t="s">
        <v>9619</v>
      </c>
      <c r="D4113" s="55" t="s">
        <v>9620</v>
      </c>
    </row>
    <row r="4114" ht="14.25" customHeight="1">
      <c r="A4114" s="55" t="s">
        <v>9596</v>
      </c>
      <c r="B4114" s="55" t="s">
        <v>40</v>
      </c>
      <c r="C4114" s="55" t="s">
        <v>9619</v>
      </c>
      <c r="D4114" s="55" t="s">
        <v>9616</v>
      </c>
    </row>
    <row r="4115" ht="14.25" customHeight="1">
      <c r="A4115" s="55" t="s">
        <v>9596</v>
      </c>
      <c r="B4115" s="55" t="s">
        <v>40</v>
      </c>
      <c r="C4115" s="55" t="s">
        <v>13793</v>
      </c>
      <c r="D4115" s="55" t="s">
        <v>9645</v>
      </c>
    </row>
    <row r="4116" ht="14.25" customHeight="1">
      <c r="A4116" s="55" t="s">
        <v>9596</v>
      </c>
      <c r="B4116" s="55" t="s">
        <v>40</v>
      </c>
      <c r="C4116" s="55" t="s">
        <v>13793</v>
      </c>
      <c r="D4116" s="55" t="s">
        <v>9639</v>
      </c>
    </row>
    <row r="4117" ht="14.25" customHeight="1">
      <c r="A4117" s="55" t="s">
        <v>9596</v>
      </c>
      <c r="B4117" s="55" t="s">
        <v>40</v>
      </c>
      <c r="C4117" s="55" t="s">
        <v>10956</v>
      </c>
      <c r="D4117" s="55" t="s">
        <v>9614</v>
      </c>
    </row>
    <row r="4118" ht="14.25" customHeight="1">
      <c r="A4118" s="55" t="s">
        <v>9596</v>
      </c>
      <c r="B4118" s="55" t="s">
        <v>40</v>
      </c>
      <c r="C4118" s="55" t="s">
        <v>6011</v>
      </c>
      <c r="D4118" s="55" t="s">
        <v>9616</v>
      </c>
    </row>
    <row r="4119" ht="14.25" customHeight="1">
      <c r="A4119" s="55" t="s">
        <v>9596</v>
      </c>
      <c r="B4119" s="55" t="s">
        <v>40</v>
      </c>
      <c r="C4119" s="55" t="s">
        <v>10311</v>
      </c>
      <c r="D4119" s="55" t="s">
        <v>9236</v>
      </c>
    </row>
    <row r="4120" ht="14.25" customHeight="1">
      <c r="A4120" s="55" t="s">
        <v>9596</v>
      </c>
      <c r="B4120" s="55" t="s">
        <v>40</v>
      </c>
      <c r="C4120" s="55" t="s">
        <v>12249</v>
      </c>
      <c r="D4120" s="55" t="s">
        <v>9578</v>
      </c>
    </row>
    <row r="4121" ht="14.25" customHeight="1">
      <c r="A4121" s="55" t="s">
        <v>9596</v>
      </c>
      <c r="B4121" s="55" t="s">
        <v>40</v>
      </c>
      <c r="C4121" s="55" t="s">
        <v>10957</v>
      </c>
      <c r="D4121" s="55" t="s">
        <v>9034</v>
      </c>
    </row>
    <row r="4122" ht="14.25" customHeight="1">
      <c r="A4122" s="55" t="s">
        <v>9596</v>
      </c>
      <c r="B4122" s="55" t="s">
        <v>40</v>
      </c>
      <c r="C4122" s="55" t="s">
        <v>10957</v>
      </c>
      <c r="D4122" s="55" t="s">
        <v>12250</v>
      </c>
    </row>
    <row r="4123" ht="14.25" customHeight="1">
      <c r="A4123" s="55" t="s">
        <v>9596</v>
      </c>
      <c r="B4123" s="55" t="s">
        <v>40</v>
      </c>
      <c r="C4123" s="55" t="s">
        <v>10312</v>
      </c>
      <c r="D4123" s="55" t="s">
        <v>10313</v>
      </c>
    </row>
    <row r="4124" ht="14.25" customHeight="1">
      <c r="A4124" s="55" t="s">
        <v>9596</v>
      </c>
      <c r="B4124" s="55" t="s">
        <v>40</v>
      </c>
      <c r="C4124" s="55" t="s">
        <v>11629</v>
      </c>
      <c r="D4124" s="55" t="s">
        <v>11630</v>
      </c>
    </row>
    <row r="4125" ht="14.25" customHeight="1">
      <c r="A4125" s="55" t="s">
        <v>9596</v>
      </c>
      <c r="B4125" s="55" t="s">
        <v>40</v>
      </c>
      <c r="C4125" s="55" t="s">
        <v>11629</v>
      </c>
      <c r="D4125" s="55" t="s">
        <v>9690</v>
      </c>
    </row>
    <row r="4126" ht="14.25" customHeight="1">
      <c r="A4126" s="55" t="s">
        <v>9596</v>
      </c>
      <c r="B4126" s="55" t="s">
        <v>40</v>
      </c>
      <c r="C4126" s="55" t="s">
        <v>10314</v>
      </c>
      <c r="D4126" s="55" t="s">
        <v>10315</v>
      </c>
    </row>
    <row r="4127" ht="14.25" customHeight="1">
      <c r="A4127" s="55" t="s">
        <v>9596</v>
      </c>
      <c r="B4127" s="55" t="s">
        <v>40</v>
      </c>
      <c r="C4127" s="55" t="s">
        <v>9113</v>
      </c>
      <c r="D4127" s="55" t="s">
        <v>9621</v>
      </c>
    </row>
    <row r="4128" ht="14.25" customHeight="1">
      <c r="A4128" s="55" t="s">
        <v>9596</v>
      </c>
      <c r="B4128" s="55" t="s">
        <v>40</v>
      </c>
      <c r="C4128" s="55" t="s">
        <v>9113</v>
      </c>
      <c r="D4128" s="55" t="s">
        <v>9746</v>
      </c>
    </row>
    <row r="4129" ht="14.25" customHeight="1">
      <c r="A4129" s="55" t="s">
        <v>9596</v>
      </c>
      <c r="B4129" s="55" t="s">
        <v>40</v>
      </c>
      <c r="C4129" s="55" t="s">
        <v>9622</v>
      </c>
      <c r="D4129" s="55" t="s">
        <v>9034</v>
      </c>
    </row>
    <row r="4130" ht="14.25" customHeight="1">
      <c r="A4130" s="55" t="s">
        <v>9596</v>
      </c>
      <c r="B4130" s="55" t="s">
        <v>40</v>
      </c>
      <c r="C4130" s="55" t="s">
        <v>9622</v>
      </c>
      <c r="D4130" s="55" t="s">
        <v>9639</v>
      </c>
    </row>
    <row r="4131" ht="14.25" customHeight="1">
      <c r="A4131" s="55" t="s">
        <v>9596</v>
      </c>
      <c r="B4131" s="55" t="s">
        <v>40</v>
      </c>
      <c r="C4131" s="55" t="s">
        <v>9622</v>
      </c>
      <c r="D4131" s="55" t="s">
        <v>9623</v>
      </c>
    </row>
    <row r="4132" ht="14.25" customHeight="1">
      <c r="A4132" s="55" t="s">
        <v>9596</v>
      </c>
      <c r="B4132" s="55" t="s">
        <v>40</v>
      </c>
      <c r="C4132" s="55" t="s">
        <v>9622</v>
      </c>
      <c r="D4132" s="55" t="s">
        <v>9616</v>
      </c>
    </row>
    <row r="4133" ht="14.25" customHeight="1">
      <c r="A4133" s="55" t="s">
        <v>9596</v>
      </c>
      <c r="B4133" s="55" t="s">
        <v>40</v>
      </c>
      <c r="C4133" s="55" t="s">
        <v>10958</v>
      </c>
      <c r="D4133" s="55" t="s">
        <v>9645</v>
      </c>
    </row>
    <row r="4134" ht="14.25" customHeight="1">
      <c r="A4134" s="55" t="s">
        <v>9596</v>
      </c>
      <c r="B4134" s="55" t="s">
        <v>40</v>
      </c>
      <c r="C4134" s="55" t="s">
        <v>9624</v>
      </c>
      <c r="D4134" s="55" t="s">
        <v>9625</v>
      </c>
    </row>
    <row r="4135" ht="14.25" customHeight="1">
      <c r="A4135" s="55" t="s">
        <v>9596</v>
      </c>
      <c r="B4135" s="55" t="s">
        <v>40</v>
      </c>
      <c r="C4135" s="55" t="s">
        <v>6094</v>
      </c>
      <c r="D4135" s="55" t="s">
        <v>13794</v>
      </c>
    </row>
    <row r="4136" ht="14.25" customHeight="1">
      <c r="A4136" s="55" t="s">
        <v>9596</v>
      </c>
      <c r="B4136" s="55" t="s">
        <v>40</v>
      </c>
      <c r="C4136" s="55" t="s">
        <v>10959</v>
      </c>
      <c r="D4136" s="55" t="s">
        <v>9034</v>
      </c>
    </row>
    <row r="4137" ht="14.25" customHeight="1">
      <c r="A4137" s="55" t="s">
        <v>9596</v>
      </c>
      <c r="B4137" s="55" t="s">
        <v>40</v>
      </c>
      <c r="C4137" s="55" t="s">
        <v>12251</v>
      </c>
      <c r="D4137" s="55" t="s">
        <v>1948</v>
      </c>
    </row>
    <row r="4138" ht="14.25" customHeight="1">
      <c r="A4138" s="55" t="s">
        <v>9596</v>
      </c>
      <c r="B4138" s="55" t="s">
        <v>40</v>
      </c>
      <c r="C4138" s="55" t="s">
        <v>11631</v>
      </c>
      <c r="D4138" s="55" t="s">
        <v>13070</v>
      </c>
    </row>
    <row r="4139" ht="14.25" customHeight="1">
      <c r="A4139" s="55" t="s">
        <v>9596</v>
      </c>
      <c r="B4139" s="55" t="s">
        <v>40</v>
      </c>
      <c r="C4139" s="55" t="s">
        <v>11631</v>
      </c>
      <c r="D4139" s="55" t="s">
        <v>11632</v>
      </c>
    </row>
    <row r="4140" ht="14.25" customHeight="1">
      <c r="A4140" s="55" t="s">
        <v>9596</v>
      </c>
      <c r="B4140" s="55" t="s">
        <v>40</v>
      </c>
      <c r="C4140" s="55" t="s">
        <v>9626</v>
      </c>
      <c r="D4140" s="55" t="s">
        <v>9602</v>
      </c>
    </row>
    <row r="4141" ht="14.25" customHeight="1">
      <c r="A4141" s="55" t="s">
        <v>9596</v>
      </c>
      <c r="B4141" s="55" t="s">
        <v>40</v>
      </c>
      <c r="C4141" s="55" t="s">
        <v>10960</v>
      </c>
      <c r="D4141" s="55" t="s">
        <v>10961</v>
      </c>
    </row>
    <row r="4142" ht="14.25" customHeight="1">
      <c r="A4142" s="55" t="s">
        <v>9596</v>
      </c>
      <c r="B4142" s="55" t="s">
        <v>40</v>
      </c>
      <c r="C4142" s="55" t="s">
        <v>10962</v>
      </c>
      <c r="D4142" s="55" t="s">
        <v>9034</v>
      </c>
    </row>
    <row r="4143" ht="14.25" customHeight="1">
      <c r="A4143" s="55" t="s">
        <v>9596</v>
      </c>
      <c r="B4143" s="55" t="s">
        <v>40</v>
      </c>
      <c r="C4143" s="55" t="s">
        <v>9627</v>
      </c>
      <c r="D4143" s="55" t="s">
        <v>9628</v>
      </c>
    </row>
    <row r="4144" ht="14.25" customHeight="1">
      <c r="A4144" s="55" t="s">
        <v>9596</v>
      </c>
      <c r="B4144" s="55" t="s">
        <v>40</v>
      </c>
      <c r="C4144" s="55" t="s">
        <v>9627</v>
      </c>
      <c r="D4144" s="55" t="s">
        <v>9643</v>
      </c>
    </row>
    <row r="4145" ht="14.25" customHeight="1">
      <c r="A4145" s="55" t="s">
        <v>9596</v>
      </c>
      <c r="B4145" s="55" t="s">
        <v>40</v>
      </c>
      <c r="C4145" s="55" t="s">
        <v>9629</v>
      </c>
      <c r="D4145" s="55" t="s">
        <v>9628</v>
      </c>
    </row>
    <row r="4146" ht="14.25" customHeight="1">
      <c r="A4146" s="55" t="s">
        <v>9596</v>
      </c>
      <c r="B4146" s="55" t="s">
        <v>40</v>
      </c>
      <c r="C4146" s="55" t="s">
        <v>12945</v>
      </c>
      <c r="D4146" s="55" t="s">
        <v>9578</v>
      </c>
    </row>
    <row r="4147" ht="14.25" customHeight="1">
      <c r="A4147" s="55" t="s">
        <v>9596</v>
      </c>
      <c r="B4147" s="55" t="s">
        <v>40</v>
      </c>
      <c r="C4147" s="55" t="s">
        <v>12945</v>
      </c>
      <c r="D4147" s="55" t="s">
        <v>1948</v>
      </c>
    </row>
    <row r="4148" ht="14.25" customHeight="1">
      <c r="A4148" s="55" t="s">
        <v>9596</v>
      </c>
      <c r="B4148" s="55" t="s">
        <v>40</v>
      </c>
      <c r="C4148" s="55" t="s">
        <v>11633</v>
      </c>
      <c r="D4148" s="55" t="s">
        <v>9216</v>
      </c>
    </row>
    <row r="4149" ht="14.25" customHeight="1">
      <c r="A4149" s="55" t="s">
        <v>9596</v>
      </c>
      <c r="B4149" s="55" t="s">
        <v>40</v>
      </c>
      <c r="C4149" s="55" t="s">
        <v>10173</v>
      </c>
      <c r="D4149" s="55" t="s">
        <v>10316</v>
      </c>
    </row>
    <row r="4150" ht="14.25" customHeight="1">
      <c r="A4150" s="55" t="s">
        <v>9596</v>
      </c>
      <c r="B4150" s="55" t="s">
        <v>40</v>
      </c>
      <c r="C4150" s="55" t="s">
        <v>10173</v>
      </c>
      <c r="D4150" s="55" t="s">
        <v>9602</v>
      </c>
    </row>
    <row r="4151" ht="14.25" customHeight="1">
      <c r="A4151" s="55" t="s">
        <v>9596</v>
      </c>
      <c r="B4151" s="55" t="s">
        <v>40</v>
      </c>
      <c r="C4151" s="55" t="s">
        <v>10173</v>
      </c>
      <c r="D4151" s="55" t="s">
        <v>10317</v>
      </c>
    </row>
    <row r="4152" ht="14.25" customHeight="1">
      <c r="A4152" s="55" t="s">
        <v>9596</v>
      </c>
      <c r="B4152" s="55" t="s">
        <v>40</v>
      </c>
      <c r="C4152" s="55" t="s">
        <v>916</v>
      </c>
      <c r="D4152" s="55" t="s">
        <v>13071</v>
      </c>
    </row>
    <row r="4153" ht="14.25" customHeight="1">
      <c r="A4153" s="55" t="s">
        <v>9596</v>
      </c>
      <c r="B4153" s="55" t="s">
        <v>40</v>
      </c>
      <c r="C4153" s="55" t="s">
        <v>916</v>
      </c>
      <c r="D4153" s="55" t="s">
        <v>10986</v>
      </c>
    </row>
    <row r="4154" ht="14.25" customHeight="1">
      <c r="A4154" s="55" t="s">
        <v>9596</v>
      </c>
      <c r="B4154" s="55" t="s">
        <v>40</v>
      </c>
      <c r="C4154" s="55" t="s">
        <v>916</v>
      </c>
      <c r="D4154" s="55" t="s">
        <v>9574</v>
      </c>
    </row>
    <row r="4155" ht="14.25" customHeight="1">
      <c r="A4155" s="55" t="s">
        <v>9596</v>
      </c>
      <c r="B4155" s="55" t="s">
        <v>40</v>
      </c>
      <c r="C4155" s="55" t="s">
        <v>916</v>
      </c>
      <c r="D4155" s="55" t="s">
        <v>9614</v>
      </c>
    </row>
    <row r="4156" ht="14.25" customHeight="1">
      <c r="A4156" s="55" t="s">
        <v>9596</v>
      </c>
      <c r="B4156" s="55" t="s">
        <v>40</v>
      </c>
      <c r="C4156" s="55" t="s">
        <v>10318</v>
      </c>
      <c r="D4156" s="55" t="s">
        <v>10319</v>
      </c>
    </row>
    <row r="4157" ht="14.25" customHeight="1">
      <c r="A4157" s="55" t="s">
        <v>9596</v>
      </c>
      <c r="B4157" s="55" t="s">
        <v>40</v>
      </c>
      <c r="C4157" s="55" t="s">
        <v>9630</v>
      </c>
      <c r="D4157" s="55" t="s">
        <v>9034</v>
      </c>
    </row>
    <row r="4158" ht="14.25" customHeight="1">
      <c r="A4158" s="55" t="s">
        <v>9596</v>
      </c>
      <c r="B4158" s="55" t="s">
        <v>40</v>
      </c>
      <c r="C4158" s="55" t="s">
        <v>9630</v>
      </c>
      <c r="D4158" s="55" t="s">
        <v>13072</v>
      </c>
    </row>
    <row r="4159" ht="14.25" customHeight="1">
      <c r="A4159" s="55" t="s">
        <v>9596</v>
      </c>
      <c r="B4159" s="55" t="s">
        <v>40</v>
      </c>
      <c r="C4159" s="55" t="s">
        <v>9630</v>
      </c>
      <c r="D4159" s="55" t="s">
        <v>12252</v>
      </c>
    </row>
    <row r="4160" ht="14.25" customHeight="1">
      <c r="A4160" s="55" t="s">
        <v>9596</v>
      </c>
      <c r="B4160" s="55" t="s">
        <v>40</v>
      </c>
      <c r="C4160" s="55" t="s">
        <v>9630</v>
      </c>
      <c r="D4160" s="55" t="s">
        <v>11687</v>
      </c>
    </row>
    <row r="4161" ht="14.25" customHeight="1">
      <c r="A4161" s="55" t="s">
        <v>9596</v>
      </c>
      <c r="B4161" s="55" t="s">
        <v>40</v>
      </c>
      <c r="C4161" s="55" t="s">
        <v>9630</v>
      </c>
      <c r="D4161" s="55" t="s">
        <v>12440</v>
      </c>
    </row>
    <row r="4162" ht="14.25" customHeight="1">
      <c r="A4162" s="55" t="s">
        <v>9596</v>
      </c>
      <c r="B4162" s="55" t="s">
        <v>40</v>
      </c>
      <c r="C4162" s="55" t="s">
        <v>9630</v>
      </c>
      <c r="D4162" s="55" t="s">
        <v>10026</v>
      </c>
    </row>
    <row r="4163" ht="14.25" customHeight="1">
      <c r="A4163" s="55" t="s">
        <v>9596</v>
      </c>
      <c r="B4163" s="55" t="s">
        <v>40</v>
      </c>
      <c r="C4163" s="55" t="s">
        <v>9630</v>
      </c>
      <c r="D4163" s="55" t="s">
        <v>9631</v>
      </c>
    </row>
    <row r="4164" ht="14.25" customHeight="1">
      <c r="A4164" s="55" t="s">
        <v>9596</v>
      </c>
      <c r="B4164" s="55" t="s">
        <v>40</v>
      </c>
      <c r="C4164" s="55" t="s">
        <v>9632</v>
      </c>
      <c r="D4164" s="55" t="s">
        <v>9633</v>
      </c>
    </row>
    <row r="4165" ht="14.25" customHeight="1">
      <c r="A4165" s="55" t="s">
        <v>9596</v>
      </c>
      <c r="B4165" s="55" t="s">
        <v>40</v>
      </c>
      <c r="C4165" s="55" t="s">
        <v>13073</v>
      </c>
      <c r="D4165" s="55" t="s">
        <v>13074</v>
      </c>
    </row>
    <row r="4166" ht="14.25" customHeight="1">
      <c r="A4166" s="55" t="s">
        <v>9596</v>
      </c>
      <c r="B4166" s="55" t="s">
        <v>40</v>
      </c>
      <c r="C4166" s="55" t="s">
        <v>11634</v>
      </c>
      <c r="D4166" s="55" t="s">
        <v>11635</v>
      </c>
    </row>
    <row r="4167" ht="14.25" customHeight="1">
      <c r="A4167" s="55" t="s">
        <v>9596</v>
      </c>
      <c r="B4167" s="55" t="s">
        <v>40</v>
      </c>
      <c r="C4167" s="55" t="s">
        <v>13075</v>
      </c>
      <c r="D4167" s="55" t="s">
        <v>13076</v>
      </c>
    </row>
    <row r="4168" ht="14.25" customHeight="1">
      <c r="A4168" s="55" t="s">
        <v>9596</v>
      </c>
      <c r="B4168" s="55" t="s">
        <v>40</v>
      </c>
      <c r="C4168" s="55" t="s">
        <v>14286</v>
      </c>
      <c r="D4168" s="55" t="s">
        <v>14268</v>
      </c>
    </row>
    <row r="4169" ht="14.25" customHeight="1">
      <c r="A4169" s="55" t="s">
        <v>9596</v>
      </c>
      <c r="B4169" s="55" t="s">
        <v>40</v>
      </c>
      <c r="C4169" s="55" t="s">
        <v>14287</v>
      </c>
      <c r="D4169" s="55" t="s">
        <v>14288</v>
      </c>
    </row>
    <row r="4170" ht="14.25" customHeight="1">
      <c r="A4170" s="55" t="s">
        <v>9596</v>
      </c>
      <c r="B4170" s="55" t="s">
        <v>40</v>
      </c>
      <c r="C4170" s="55" t="s">
        <v>13077</v>
      </c>
      <c r="D4170" s="55" t="s">
        <v>13078</v>
      </c>
    </row>
    <row r="4171" ht="14.25" customHeight="1">
      <c r="A4171" s="55" t="s">
        <v>9596</v>
      </c>
      <c r="B4171" s="55" t="s">
        <v>40</v>
      </c>
      <c r="C4171" s="55" t="s">
        <v>13795</v>
      </c>
      <c r="D4171" s="55" t="s">
        <v>9602</v>
      </c>
    </row>
    <row r="4172" ht="14.25" customHeight="1">
      <c r="A4172" s="55" t="s">
        <v>9596</v>
      </c>
      <c r="B4172" s="55" t="s">
        <v>40</v>
      </c>
      <c r="C4172" s="55" t="s">
        <v>14289</v>
      </c>
      <c r="D4172" s="55" t="s">
        <v>12310</v>
      </c>
    </row>
    <row r="4173" ht="14.25" customHeight="1">
      <c r="A4173" s="55" t="s">
        <v>9596</v>
      </c>
      <c r="B4173" s="55" t="s">
        <v>40</v>
      </c>
      <c r="C4173" s="55" t="s">
        <v>12167</v>
      </c>
      <c r="D4173" s="55" t="s">
        <v>13796</v>
      </c>
    </row>
    <row r="4174" ht="14.25" customHeight="1">
      <c r="A4174" s="55" t="s">
        <v>9596</v>
      </c>
      <c r="B4174" s="55" t="s">
        <v>40</v>
      </c>
      <c r="C4174" s="55" t="s">
        <v>12167</v>
      </c>
      <c r="D4174" s="55" t="s">
        <v>10472</v>
      </c>
    </row>
    <row r="4175" ht="14.25" customHeight="1">
      <c r="A4175" s="55" t="s">
        <v>9596</v>
      </c>
      <c r="B4175" s="55" t="s">
        <v>40</v>
      </c>
      <c r="C4175" s="55" t="s">
        <v>2894</v>
      </c>
      <c r="D4175" s="55" t="s">
        <v>14290</v>
      </c>
    </row>
    <row r="4176" ht="14.25" customHeight="1">
      <c r="A4176" s="55" t="s">
        <v>9596</v>
      </c>
      <c r="B4176" s="55" t="s">
        <v>40</v>
      </c>
      <c r="C4176" s="55" t="s">
        <v>10320</v>
      </c>
      <c r="D4176" s="55" t="s">
        <v>10321</v>
      </c>
    </row>
    <row r="4177" ht="14.25" customHeight="1">
      <c r="A4177" s="55" t="s">
        <v>9596</v>
      </c>
      <c r="B4177" s="55" t="s">
        <v>40</v>
      </c>
      <c r="C4177" s="55" t="s">
        <v>9634</v>
      </c>
      <c r="D4177" s="55" t="s">
        <v>9099</v>
      </c>
    </row>
    <row r="4178" ht="14.25" customHeight="1">
      <c r="A4178" s="55" t="s">
        <v>9596</v>
      </c>
      <c r="B4178" s="55" t="s">
        <v>40</v>
      </c>
      <c r="C4178" s="55" t="s">
        <v>10963</v>
      </c>
      <c r="D4178" s="55" t="s">
        <v>9034</v>
      </c>
    </row>
    <row r="4179" ht="14.25" customHeight="1">
      <c r="A4179" s="55" t="s">
        <v>9596</v>
      </c>
      <c r="B4179" s="55" t="s">
        <v>40</v>
      </c>
      <c r="C4179" s="55" t="s">
        <v>9635</v>
      </c>
      <c r="D4179" s="55" t="s">
        <v>9034</v>
      </c>
    </row>
    <row r="4180" ht="14.25" customHeight="1">
      <c r="A4180" s="55" t="s">
        <v>9596</v>
      </c>
      <c r="B4180" s="55" t="s">
        <v>40</v>
      </c>
      <c r="C4180" s="55" t="s">
        <v>9635</v>
      </c>
      <c r="D4180" s="55" t="s">
        <v>9636</v>
      </c>
    </row>
    <row r="4181" ht="14.25" customHeight="1">
      <c r="A4181" s="55" t="s">
        <v>9596</v>
      </c>
      <c r="B4181" s="55" t="s">
        <v>40</v>
      </c>
      <c r="C4181" s="55" t="s">
        <v>9635</v>
      </c>
      <c r="D4181" s="55" t="s">
        <v>9645</v>
      </c>
    </row>
    <row r="4182" ht="14.25" customHeight="1">
      <c r="A4182" s="55" t="s">
        <v>9596</v>
      </c>
      <c r="B4182" s="55" t="s">
        <v>40</v>
      </c>
      <c r="C4182" s="55" t="s">
        <v>9635</v>
      </c>
      <c r="D4182" s="55" t="s">
        <v>12253</v>
      </c>
    </row>
    <row r="4183" ht="14.25" customHeight="1">
      <c r="A4183" s="55" t="s">
        <v>9596</v>
      </c>
      <c r="B4183" s="55" t="s">
        <v>40</v>
      </c>
      <c r="C4183" s="55" t="s">
        <v>13079</v>
      </c>
      <c r="D4183" s="55" t="s">
        <v>13080</v>
      </c>
    </row>
    <row r="4184" ht="14.25" customHeight="1">
      <c r="A4184" s="55" t="s">
        <v>9596</v>
      </c>
      <c r="B4184" s="55" t="s">
        <v>40</v>
      </c>
      <c r="C4184" s="55" t="s">
        <v>2928</v>
      </c>
      <c r="D4184" s="55" t="s">
        <v>13797</v>
      </c>
    </row>
    <row r="4185" ht="14.25" customHeight="1">
      <c r="A4185" s="55" t="s">
        <v>9596</v>
      </c>
      <c r="B4185" s="55" t="s">
        <v>40</v>
      </c>
      <c r="C4185" s="55" t="s">
        <v>14291</v>
      </c>
      <c r="D4185" s="55" t="s">
        <v>9671</v>
      </c>
    </row>
    <row r="4186" ht="14.25" customHeight="1">
      <c r="A4186" s="55" t="s">
        <v>9596</v>
      </c>
      <c r="B4186" s="55" t="s">
        <v>40</v>
      </c>
      <c r="C4186" s="55" t="s">
        <v>12254</v>
      </c>
      <c r="D4186" s="55" t="s">
        <v>12255</v>
      </c>
    </row>
    <row r="4187" ht="14.25" customHeight="1">
      <c r="A4187" s="55" t="s">
        <v>9596</v>
      </c>
      <c r="B4187" s="55" t="s">
        <v>40</v>
      </c>
      <c r="C4187" s="55" t="s">
        <v>12256</v>
      </c>
      <c r="D4187" s="55" t="s">
        <v>1948</v>
      </c>
    </row>
    <row r="4188" ht="14.25" customHeight="1">
      <c r="A4188" s="55" t="s">
        <v>9596</v>
      </c>
      <c r="B4188" s="55" t="s">
        <v>40</v>
      </c>
      <c r="C4188" s="55" t="s">
        <v>11636</v>
      </c>
      <c r="D4188" s="55" t="s">
        <v>10986</v>
      </c>
    </row>
    <row r="4189" ht="14.25" customHeight="1">
      <c r="A4189" s="55" t="s">
        <v>9596</v>
      </c>
      <c r="B4189" s="55" t="s">
        <v>40</v>
      </c>
      <c r="C4189" s="55" t="s">
        <v>124</v>
      </c>
      <c r="D4189" s="55" t="s">
        <v>8982</v>
      </c>
    </row>
    <row r="4190" ht="14.25" customHeight="1">
      <c r="A4190" s="55" t="s">
        <v>9596</v>
      </c>
      <c r="B4190" s="55" t="s">
        <v>40</v>
      </c>
      <c r="C4190" s="55" t="s">
        <v>12257</v>
      </c>
      <c r="D4190" s="55" t="s">
        <v>8982</v>
      </c>
    </row>
    <row r="4191" ht="14.25" customHeight="1">
      <c r="A4191" s="55" t="s">
        <v>9596</v>
      </c>
      <c r="B4191" s="55" t="s">
        <v>40</v>
      </c>
      <c r="C4191" s="55" t="s">
        <v>8981</v>
      </c>
      <c r="D4191" s="55" t="s">
        <v>9216</v>
      </c>
    </row>
    <row r="4192" ht="14.25" customHeight="1">
      <c r="A4192" s="55" t="s">
        <v>9596</v>
      </c>
      <c r="B4192" s="55" t="s">
        <v>40</v>
      </c>
      <c r="C4192" s="55" t="s">
        <v>11637</v>
      </c>
      <c r="D4192" s="55" t="s">
        <v>11638</v>
      </c>
    </row>
    <row r="4193" ht="14.25" customHeight="1">
      <c r="A4193" s="55" t="s">
        <v>9596</v>
      </c>
      <c r="B4193" s="55" t="s">
        <v>40</v>
      </c>
      <c r="C4193" s="55" t="s">
        <v>9268</v>
      </c>
      <c r="D4193" s="55" t="s">
        <v>10322</v>
      </c>
    </row>
    <row r="4194" ht="14.25" customHeight="1">
      <c r="A4194" s="55" t="s">
        <v>9596</v>
      </c>
      <c r="B4194" s="55" t="s">
        <v>40</v>
      </c>
      <c r="C4194" s="55" t="s">
        <v>9455</v>
      </c>
      <c r="D4194" s="55" t="s">
        <v>9430</v>
      </c>
    </row>
    <row r="4195" ht="14.25" customHeight="1">
      <c r="A4195" s="55" t="s">
        <v>9596</v>
      </c>
      <c r="B4195" s="55" t="s">
        <v>40</v>
      </c>
      <c r="C4195" s="55" t="s">
        <v>9455</v>
      </c>
      <c r="D4195" s="55" t="s">
        <v>14292</v>
      </c>
    </row>
    <row r="4196" ht="14.25" customHeight="1">
      <c r="A4196" s="55" t="s">
        <v>9596</v>
      </c>
      <c r="B4196" s="55" t="s">
        <v>40</v>
      </c>
      <c r="C4196" s="55" t="s">
        <v>9455</v>
      </c>
      <c r="D4196" s="55" t="s">
        <v>13081</v>
      </c>
    </row>
    <row r="4197" ht="14.25" customHeight="1">
      <c r="A4197" s="55" t="s">
        <v>9596</v>
      </c>
      <c r="B4197" s="55" t="s">
        <v>40</v>
      </c>
      <c r="C4197" s="55" t="s">
        <v>9455</v>
      </c>
      <c r="D4197" s="55" t="s">
        <v>9637</v>
      </c>
    </row>
    <row r="4198" ht="14.25" customHeight="1">
      <c r="A4198" s="55" t="s">
        <v>9596</v>
      </c>
      <c r="B4198" s="55" t="s">
        <v>40</v>
      </c>
      <c r="C4198" s="55" t="s">
        <v>13082</v>
      </c>
      <c r="D4198" s="55" t="s">
        <v>9639</v>
      </c>
    </row>
    <row r="4199" ht="14.25" customHeight="1">
      <c r="A4199" s="55" t="s">
        <v>9596</v>
      </c>
      <c r="B4199" s="55" t="s">
        <v>40</v>
      </c>
      <c r="C4199" s="55" t="s">
        <v>14293</v>
      </c>
      <c r="D4199" s="55" t="s">
        <v>9639</v>
      </c>
    </row>
    <row r="4200" ht="14.25" customHeight="1">
      <c r="A4200" s="55" t="s">
        <v>9596</v>
      </c>
      <c r="B4200" s="55" t="s">
        <v>40</v>
      </c>
      <c r="C4200" s="55" t="s">
        <v>13798</v>
      </c>
      <c r="D4200" s="55" t="s">
        <v>13799</v>
      </c>
    </row>
    <row r="4201" ht="14.25" customHeight="1">
      <c r="A4201" s="55" t="s">
        <v>9596</v>
      </c>
      <c r="B4201" s="55" t="s">
        <v>40</v>
      </c>
      <c r="C4201" s="55" t="s">
        <v>9638</v>
      </c>
      <c r="D4201" s="55" t="s">
        <v>9639</v>
      </c>
    </row>
    <row r="4202" ht="14.25" customHeight="1">
      <c r="A4202" s="55" t="s">
        <v>9596</v>
      </c>
      <c r="B4202" s="55" t="s">
        <v>40</v>
      </c>
      <c r="C4202" s="55" t="s">
        <v>9638</v>
      </c>
      <c r="D4202" s="55" t="s">
        <v>9616</v>
      </c>
    </row>
    <row r="4203" ht="14.25" customHeight="1">
      <c r="A4203" s="55" t="s">
        <v>9596</v>
      </c>
      <c r="B4203" s="55" t="s">
        <v>40</v>
      </c>
      <c r="C4203" s="55" t="s">
        <v>9638</v>
      </c>
      <c r="D4203" s="55" t="s">
        <v>10949</v>
      </c>
    </row>
    <row r="4204" ht="14.25" customHeight="1">
      <c r="A4204" s="55" t="s">
        <v>9596</v>
      </c>
      <c r="B4204" s="55" t="s">
        <v>40</v>
      </c>
      <c r="C4204" s="55" t="s">
        <v>9133</v>
      </c>
      <c r="D4204" s="55" t="s">
        <v>9099</v>
      </c>
    </row>
    <row r="4205" ht="14.25" customHeight="1">
      <c r="A4205" s="55" t="s">
        <v>9596</v>
      </c>
      <c r="B4205" s="55" t="s">
        <v>40</v>
      </c>
      <c r="C4205" s="55" t="s">
        <v>9640</v>
      </c>
      <c r="D4205" s="55" t="s">
        <v>9641</v>
      </c>
    </row>
    <row r="4206" ht="14.25" customHeight="1">
      <c r="A4206" s="55" t="s">
        <v>9596</v>
      </c>
      <c r="B4206" s="55" t="s">
        <v>40</v>
      </c>
      <c r="C4206" s="55" t="s">
        <v>9640</v>
      </c>
      <c r="D4206" s="55" t="s">
        <v>14294</v>
      </c>
    </row>
    <row r="4207" ht="14.25" customHeight="1">
      <c r="A4207" s="55" t="s">
        <v>9596</v>
      </c>
      <c r="B4207" s="55" t="s">
        <v>40</v>
      </c>
      <c r="C4207" s="55" t="s">
        <v>9640</v>
      </c>
      <c r="D4207" s="55" t="s">
        <v>11415</v>
      </c>
    </row>
    <row r="4208" ht="14.25" customHeight="1">
      <c r="A4208" s="55" t="s">
        <v>9596</v>
      </c>
      <c r="B4208" s="55" t="s">
        <v>40</v>
      </c>
      <c r="C4208" s="55" t="s">
        <v>12258</v>
      </c>
      <c r="D4208" s="55" t="s">
        <v>12259</v>
      </c>
    </row>
    <row r="4209" ht="14.25" customHeight="1">
      <c r="A4209" s="55" t="s">
        <v>9596</v>
      </c>
      <c r="B4209" s="55" t="s">
        <v>40</v>
      </c>
      <c r="C4209" s="55" t="s">
        <v>14295</v>
      </c>
      <c r="D4209" s="55" t="s">
        <v>14296</v>
      </c>
    </row>
    <row r="4210" ht="14.25" customHeight="1">
      <c r="A4210" s="55" t="s">
        <v>9596</v>
      </c>
      <c r="B4210" s="55" t="s">
        <v>40</v>
      </c>
      <c r="C4210" s="55" t="s">
        <v>11639</v>
      </c>
      <c r="D4210" s="55" t="s">
        <v>1948</v>
      </c>
    </row>
    <row r="4211" ht="14.25" customHeight="1">
      <c r="A4211" s="55" t="s">
        <v>9596</v>
      </c>
      <c r="B4211" s="55" t="s">
        <v>40</v>
      </c>
      <c r="C4211" s="55" t="s">
        <v>10942</v>
      </c>
      <c r="D4211" s="55" t="s">
        <v>10964</v>
      </c>
    </row>
    <row r="4212" ht="14.25" customHeight="1">
      <c r="A4212" s="55" t="s">
        <v>9596</v>
      </c>
      <c r="B4212" s="55" t="s">
        <v>40</v>
      </c>
      <c r="C4212" s="55" t="s">
        <v>10942</v>
      </c>
      <c r="D4212" s="55" t="s">
        <v>9141</v>
      </c>
    </row>
    <row r="4213" ht="14.25" customHeight="1">
      <c r="A4213" s="55" t="s">
        <v>9596</v>
      </c>
      <c r="B4213" s="55" t="s">
        <v>40</v>
      </c>
      <c r="C4213" s="55" t="s">
        <v>10323</v>
      </c>
      <c r="D4213" s="55" t="s">
        <v>9034</v>
      </c>
    </row>
    <row r="4214" ht="14.25" customHeight="1">
      <c r="A4214" s="55" t="s">
        <v>9596</v>
      </c>
      <c r="B4214" s="55" t="s">
        <v>40</v>
      </c>
      <c r="C4214" s="55" t="s">
        <v>9865</v>
      </c>
      <c r="D4214" s="55" t="s">
        <v>10321</v>
      </c>
    </row>
    <row r="4215" ht="14.25" customHeight="1">
      <c r="A4215" s="55" t="s">
        <v>9596</v>
      </c>
      <c r="B4215" s="55" t="s">
        <v>40</v>
      </c>
      <c r="C4215" s="55" t="s">
        <v>10324</v>
      </c>
      <c r="D4215" s="55" t="s">
        <v>10325</v>
      </c>
    </row>
    <row r="4216" ht="14.25" customHeight="1">
      <c r="A4216" s="55" t="s">
        <v>9596</v>
      </c>
      <c r="B4216" s="55" t="s">
        <v>40</v>
      </c>
      <c r="C4216" s="55" t="s">
        <v>12260</v>
      </c>
      <c r="D4216" s="55" t="s">
        <v>8968</v>
      </c>
    </row>
    <row r="4217" ht="14.25" customHeight="1">
      <c r="A4217" s="55" t="s">
        <v>9596</v>
      </c>
      <c r="B4217" s="55" t="s">
        <v>40</v>
      </c>
      <c r="C4217" s="55" t="s">
        <v>12261</v>
      </c>
      <c r="D4217" s="55" t="s">
        <v>12262</v>
      </c>
    </row>
    <row r="4218" ht="14.25" customHeight="1">
      <c r="A4218" s="55" t="s">
        <v>9596</v>
      </c>
      <c r="B4218" s="55" t="s">
        <v>40</v>
      </c>
      <c r="C4218" s="55" t="s">
        <v>13083</v>
      </c>
      <c r="D4218" s="55" t="s">
        <v>13084</v>
      </c>
    </row>
    <row r="4219" ht="14.25" customHeight="1">
      <c r="A4219" s="55" t="s">
        <v>9596</v>
      </c>
      <c r="B4219" s="55" t="s">
        <v>40</v>
      </c>
      <c r="C4219" s="55" t="s">
        <v>10965</v>
      </c>
      <c r="D4219" s="55" t="s">
        <v>10966</v>
      </c>
    </row>
    <row r="4220" ht="14.25" customHeight="1">
      <c r="A4220" s="55" t="s">
        <v>9596</v>
      </c>
      <c r="B4220" s="55" t="s">
        <v>40</v>
      </c>
      <c r="C4220" s="55" t="s">
        <v>12263</v>
      </c>
      <c r="D4220" s="55" t="s">
        <v>10365</v>
      </c>
    </row>
    <row r="4221" ht="14.25" customHeight="1">
      <c r="A4221" s="55" t="s">
        <v>9596</v>
      </c>
      <c r="B4221" s="55" t="s">
        <v>40</v>
      </c>
      <c r="C4221" s="55" t="s">
        <v>14297</v>
      </c>
      <c r="D4221" s="55" t="s">
        <v>9664</v>
      </c>
    </row>
    <row r="4222" ht="14.25" customHeight="1">
      <c r="A4222" s="55" t="s">
        <v>9596</v>
      </c>
      <c r="B4222" s="55" t="s">
        <v>40</v>
      </c>
      <c r="C4222" s="55" t="s">
        <v>12264</v>
      </c>
      <c r="D4222" s="55" t="s">
        <v>12265</v>
      </c>
    </row>
    <row r="4223" ht="14.25" customHeight="1">
      <c r="A4223" s="55" t="s">
        <v>9596</v>
      </c>
      <c r="B4223" s="55" t="s">
        <v>40</v>
      </c>
      <c r="C4223" s="55" t="s">
        <v>12266</v>
      </c>
      <c r="D4223" s="55" t="s">
        <v>9144</v>
      </c>
    </row>
    <row r="4224" ht="14.25" customHeight="1">
      <c r="A4224" s="55" t="s">
        <v>9596</v>
      </c>
      <c r="B4224" s="55" t="s">
        <v>40</v>
      </c>
      <c r="C4224" s="55" t="s">
        <v>9642</v>
      </c>
      <c r="D4224" s="55" t="s">
        <v>9643</v>
      </c>
    </row>
    <row r="4225" ht="14.25" customHeight="1">
      <c r="A4225" s="55" t="s">
        <v>9596</v>
      </c>
      <c r="B4225" s="55" t="s">
        <v>40</v>
      </c>
      <c r="C4225" s="55" t="s">
        <v>10326</v>
      </c>
      <c r="D4225" s="55" t="s">
        <v>9034</v>
      </c>
    </row>
    <row r="4226" ht="14.25" customHeight="1">
      <c r="A4226" s="55" t="s">
        <v>9596</v>
      </c>
      <c r="B4226" s="55" t="s">
        <v>40</v>
      </c>
      <c r="C4226" s="55" t="s">
        <v>14298</v>
      </c>
      <c r="D4226" s="55" t="s">
        <v>1948</v>
      </c>
    </row>
    <row r="4227" ht="14.25" customHeight="1">
      <c r="A4227" s="55" t="s">
        <v>9596</v>
      </c>
      <c r="B4227" s="55" t="s">
        <v>40</v>
      </c>
      <c r="C4227" s="55" t="s">
        <v>13085</v>
      </c>
      <c r="D4227" s="55" t="s">
        <v>13086</v>
      </c>
    </row>
    <row r="4228" ht="14.25" customHeight="1">
      <c r="A4228" s="55" t="s">
        <v>9596</v>
      </c>
      <c r="B4228" s="55" t="s">
        <v>40</v>
      </c>
      <c r="C4228" s="55" t="s">
        <v>11640</v>
      </c>
      <c r="D4228" s="55" t="s">
        <v>11641</v>
      </c>
    </row>
    <row r="4229" ht="14.25" customHeight="1">
      <c r="A4229" s="55" t="s">
        <v>9596</v>
      </c>
      <c r="B4229" s="55" t="s">
        <v>40</v>
      </c>
      <c r="C4229" s="55" t="s">
        <v>12002</v>
      </c>
      <c r="D4229" s="55" t="s">
        <v>14299</v>
      </c>
    </row>
    <row r="4230" ht="14.25" customHeight="1">
      <c r="A4230" s="55" t="s">
        <v>9596</v>
      </c>
      <c r="B4230" s="55" t="s">
        <v>40</v>
      </c>
      <c r="C4230" s="55" t="s">
        <v>10967</v>
      </c>
      <c r="D4230" s="55" t="s">
        <v>10321</v>
      </c>
    </row>
    <row r="4231" ht="14.25" customHeight="1">
      <c r="A4231" s="55" t="s">
        <v>9596</v>
      </c>
      <c r="B4231" s="55" t="s">
        <v>40</v>
      </c>
      <c r="C4231" s="55" t="s">
        <v>10968</v>
      </c>
      <c r="D4231" s="55" t="s">
        <v>9034</v>
      </c>
    </row>
    <row r="4232" ht="14.25" customHeight="1">
      <c r="A4232" s="55" t="s">
        <v>9596</v>
      </c>
      <c r="B4232" s="55" t="s">
        <v>40</v>
      </c>
      <c r="C4232" s="55" t="s">
        <v>10327</v>
      </c>
      <c r="D4232" s="55" t="s">
        <v>10328</v>
      </c>
    </row>
    <row r="4233" ht="14.25" customHeight="1">
      <c r="A4233" s="55" t="s">
        <v>9596</v>
      </c>
      <c r="B4233" s="55" t="s">
        <v>40</v>
      </c>
      <c r="C4233" s="55" t="s">
        <v>13800</v>
      </c>
      <c r="D4233" s="55" t="s">
        <v>10986</v>
      </c>
    </row>
    <row r="4234" ht="14.25" customHeight="1">
      <c r="A4234" s="55" t="s">
        <v>9596</v>
      </c>
      <c r="B4234" s="55" t="s">
        <v>40</v>
      </c>
      <c r="C4234" s="55" t="s">
        <v>13800</v>
      </c>
      <c r="D4234" s="55" t="s">
        <v>13801</v>
      </c>
    </row>
    <row r="4235" ht="14.25" customHeight="1">
      <c r="A4235" s="55" t="s">
        <v>9596</v>
      </c>
      <c r="B4235" s="55" t="s">
        <v>40</v>
      </c>
      <c r="C4235" s="55" t="s">
        <v>13800</v>
      </c>
      <c r="D4235" s="55" t="s">
        <v>13802</v>
      </c>
    </row>
    <row r="4236" ht="14.25" customHeight="1">
      <c r="A4236" s="55" t="s">
        <v>9596</v>
      </c>
      <c r="B4236" s="55" t="s">
        <v>40</v>
      </c>
      <c r="C4236" s="55" t="s">
        <v>14300</v>
      </c>
      <c r="D4236" s="55" t="s">
        <v>10986</v>
      </c>
    </row>
    <row r="4237" ht="14.25" customHeight="1">
      <c r="A4237" s="55" t="s">
        <v>9596</v>
      </c>
      <c r="B4237" s="55" t="s">
        <v>40</v>
      </c>
      <c r="C4237" s="55" t="s">
        <v>10969</v>
      </c>
      <c r="D4237" s="55" t="s">
        <v>9030</v>
      </c>
    </row>
    <row r="4238" ht="14.25" customHeight="1">
      <c r="A4238" s="55" t="s">
        <v>9596</v>
      </c>
      <c r="B4238" s="55" t="s">
        <v>40</v>
      </c>
      <c r="C4238" s="55" t="s">
        <v>11642</v>
      </c>
      <c r="D4238" s="55" t="s">
        <v>9034</v>
      </c>
    </row>
    <row r="4239" ht="14.25" customHeight="1">
      <c r="A4239" s="55" t="s">
        <v>9596</v>
      </c>
      <c r="B4239" s="55" t="s">
        <v>40</v>
      </c>
      <c r="C4239" s="55" t="s">
        <v>11642</v>
      </c>
      <c r="D4239" s="55" t="s">
        <v>10986</v>
      </c>
    </row>
    <row r="4240" ht="14.25" customHeight="1">
      <c r="A4240" s="55" t="s">
        <v>9596</v>
      </c>
      <c r="B4240" s="55" t="s">
        <v>40</v>
      </c>
      <c r="C4240" s="55" t="s">
        <v>12267</v>
      </c>
      <c r="D4240" s="55" t="s">
        <v>9645</v>
      </c>
    </row>
    <row r="4241" ht="14.25" customHeight="1">
      <c r="A4241" s="55" t="s">
        <v>9596</v>
      </c>
      <c r="B4241" s="55" t="s">
        <v>40</v>
      </c>
      <c r="C4241" s="55" t="s">
        <v>9644</v>
      </c>
      <c r="D4241" s="55" t="s">
        <v>9645</v>
      </c>
    </row>
    <row r="4242" ht="14.25" customHeight="1">
      <c r="A4242" s="55" t="s">
        <v>9596</v>
      </c>
      <c r="B4242" s="55" t="s">
        <v>40</v>
      </c>
      <c r="C4242" s="55" t="s">
        <v>13087</v>
      </c>
      <c r="D4242" s="55" t="s">
        <v>13088</v>
      </c>
    </row>
    <row r="4243" ht="14.25" customHeight="1">
      <c r="A4243" s="55" t="s">
        <v>9596</v>
      </c>
      <c r="B4243" s="55" t="s">
        <v>40</v>
      </c>
      <c r="C4243" s="55" t="s">
        <v>141</v>
      </c>
      <c r="D4243" s="55" t="s">
        <v>13803</v>
      </c>
    </row>
    <row r="4244" ht="14.25" customHeight="1">
      <c r="A4244" s="55" t="s">
        <v>9596</v>
      </c>
      <c r="B4244" s="55" t="s">
        <v>40</v>
      </c>
      <c r="C4244" s="55" t="s">
        <v>141</v>
      </c>
      <c r="D4244" s="55" t="s">
        <v>9646</v>
      </c>
    </row>
    <row r="4245" ht="14.25" customHeight="1">
      <c r="A4245" s="55" t="s">
        <v>9596</v>
      </c>
      <c r="B4245" s="55" t="s">
        <v>40</v>
      </c>
      <c r="C4245" s="55" t="s">
        <v>14301</v>
      </c>
      <c r="D4245" s="55" t="s">
        <v>14302</v>
      </c>
    </row>
    <row r="4246" ht="14.25" customHeight="1">
      <c r="A4246" s="55" t="s">
        <v>9596</v>
      </c>
      <c r="B4246" s="55" t="s">
        <v>40</v>
      </c>
      <c r="C4246" s="55" t="s">
        <v>14303</v>
      </c>
      <c r="D4246" s="55" t="s">
        <v>9616</v>
      </c>
    </row>
    <row r="4247" ht="14.25" customHeight="1">
      <c r="A4247" s="55" t="s">
        <v>9596</v>
      </c>
      <c r="B4247" s="55" t="s">
        <v>40</v>
      </c>
      <c r="C4247" s="55" t="s">
        <v>144</v>
      </c>
      <c r="D4247" s="55" t="s">
        <v>9825</v>
      </c>
    </row>
    <row r="4248" ht="14.25" customHeight="1">
      <c r="A4248" s="55" t="s">
        <v>9596</v>
      </c>
      <c r="B4248" s="55" t="s">
        <v>40</v>
      </c>
      <c r="C4248" s="55" t="s">
        <v>14304</v>
      </c>
      <c r="D4248" s="55" t="s">
        <v>14305</v>
      </c>
    </row>
    <row r="4249" ht="14.25" customHeight="1">
      <c r="A4249" s="55" t="s">
        <v>9596</v>
      </c>
      <c r="B4249" s="55" t="s">
        <v>40</v>
      </c>
      <c r="C4249" s="55" t="s">
        <v>12454</v>
      </c>
      <c r="D4249" s="55" t="s">
        <v>9649</v>
      </c>
    </row>
    <row r="4250" ht="14.25" customHeight="1">
      <c r="A4250" s="55" t="s">
        <v>9596</v>
      </c>
      <c r="B4250" s="55" t="s">
        <v>40</v>
      </c>
      <c r="C4250" s="55" t="s">
        <v>6405</v>
      </c>
      <c r="D4250" s="55" t="s">
        <v>14306</v>
      </c>
    </row>
    <row r="4251" ht="14.25" customHeight="1">
      <c r="A4251" s="55" t="s">
        <v>9596</v>
      </c>
      <c r="B4251" s="55" t="s">
        <v>40</v>
      </c>
      <c r="C4251" s="55" t="s">
        <v>6405</v>
      </c>
      <c r="D4251" s="55" t="s">
        <v>13089</v>
      </c>
    </row>
    <row r="4252" ht="14.25" customHeight="1">
      <c r="A4252" s="55" t="s">
        <v>9596</v>
      </c>
      <c r="B4252" s="55" t="s">
        <v>40</v>
      </c>
      <c r="C4252" s="55" t="s">
        <v>6405</v>
      </c>
      <c r="D4252" s="55" t="s">
        <v>12268</v>
      </c>
    </row>
    <row r="4253" ht="14.25" customHeight="1">
      <c r="A4253" s="55" t="s">
        <v>9596</v>
      </c>
      <c r="B4253" s="55" t="s">
        <v>40</v>
      </c>
      <c r="C4253" s="55" t="s">
        <v>6405</v>
      </c>
      <c r="D4253" s="55" t="s">
        <v>13804</v>
      </c>
    </row>
    <row r="4254" ht="14.25" customHeight="1">
      <c r="A4254" s="55" t="s">
        <v>9596</v>
      </c>
      <c r="B4254" s="55" t="s">
        <v>40</v>
      </c>
      <c r="C4254" s="55" t="s">
        <v>6405</v>
      </c>
      <c r="D4254" s="55" t="s">
        <v>13090</v>
      </c>
    </row>
    <row r="4255" ht="14.25" customHeight="1">
      <c r="A4255" s="55" t="s">
        <v>9596</v>
      </c>
      <c r="B4255" s="55" t="s">
        <v>40</v>
      </c>
      <c r="C4255" s="55" t="s">
        <v>13805</v>
      </c>
      <c r="D4255" s="55" t="s">
        <v>13806</v>
      </c>
    </row>
    <row r="4256" ht="14.25" customHeight="1">
      <c r="A4256" s="55" t="s">
        <v>9596</v>
      </c>
      <c r="B4256" s="55" t="s">
        <v>40</v>
      </c>
      <c r="C4256" s="55" t="s">
        <v>13091</v>
      </c>
      <c r="D4256" s="55" t="s">
        <v>9639</v>
      </c>
    </row>
    <row r="4257" ht="14.25" customHeight="1">
      <c r="A4257" s="55" t="s">
        <v>9596</v>
      </c>
      <c r="B4257" s="55" t="s">
        <v>40</v>
      </c>
      <c r="C4257" s="55" t="s">
        <v>12269</v>
      </c>
      <c r="D4257" s="55" t="s">
        <v>9645</v>
      </c>
    </row>
    <row r="4258" ht="14.25" customHeight="1">
      <c r="A4258" s="55" t="s">
        <v>9596</v>
      </c>
      <c r="B4258" s="55" t="s">
        <v>40</v>
      </c>
      <c r="C4258" s="55" t="s">
        <v>9272</v>
      </c>
      <c r="D4258" s="55" t="s">
        <v>9647</v>
      </c>
    </row>
    <row r="4259" ht="14.25" customHeight="1">
      <c r="A4259" s="55" t="s">
        <v>9596</v>
      </c>
      <c r="B4259" s="55" t="s">
        <v>40</v>
      </c>
      <c r="C4259" s="55" t="s">
        <v>10329</v>
      </c>
      <c r="D4259" s="55" t="s">
        <v>10330</v>
      </c>
    </row>
    <row r="4260" ht="14.25" customHeight="1">
      <c r="A4260" s="55" t="s">
        <v>9596</v>
      </c>
      <c r="B4260" s="55" t="s">
        <v>40</v>
      </c>
      <c r="C4260" s="55" t="s">
        <v>14307</v>
      </c>
      <c r="D4260" s="55" t="s">
        <v>14308</v>
      </c>
    </row>
    <row r="4261" ht="14.25" customHeight="1">
      <c r="A4261" s="55" t="s">
        <v>9596</v>
      </c>
      <c r="B4261" s="55" t="s">
        <v>40</v>
      </c>
      <c r="C4261" s="55" t="s">
        <v>12715</v>
      </c>
      <c r="D4261" s="55" t="s">
        <v>12296</v>
      </c>
    </row>
    <row r="4262" ht="14.25" customHeight="1">
      <c r="A4262" s="55" t="s">
        <v>9596</v>
      </c>
      <c r="B4262" s="55" t="s">
        <v>40</v>
      </c>
      <c r="C4262" s="55" t="s">
        <v>3295</v>
      </c>
      <c r="D4262" s="55" t="s">
        <v>11643</v>
      </c>
    </row>
    <row r="4263" ht="14.25" customHeight="1">
      <c r="A4263" s="55" t="s">
        <v>9596</v>
      </c>
      <c r="B4263" s="55" t="s">
        <v>40</v>
      </c>
      <c r="C4263" s="55" t="s">
        <v>12270</v>
      </c>
      <c r="D4263" s="55" t="s">
        <v>12271</v>
      </c>
    </row>
    <row r="4264" ht="14.25" customHeight="1">
      <c r="A4264" s="55" t="s">
        <v>9596</v>
      </c>
      <c r="B4264" s="55" t="s">
        <v>40</v>
      </c>
      <c r="C4264" s="55" t="s">
        <v>13807</v>
      </c>
      <c r="D4264" s="55" t="s">
        <v>1948</v>
      </c>
    </row>
    <row r="4265" ht="14.25" customHeight="1">
      <c r="A4265" s="55" t="s">
        <v>9596</v>
      </c>
      <c r="B4265" s="55" t="s">
        <v>40</v>
      </c>
      <c r="C4265" s="55" t="s">
        <v>13092</v>
      </c>
      <c r="D4265" s="55" t="s">
        <v>13093</v>
      </c>
    </row>
    <row r="4266" ht="14.25" customHeight="1">
      <c r="A4266" s="55" t="s">
        <v>9596</v>
      </c>
      <c r="B4266" s="55" t="s">
        <v>40</v>
      </c>
      <c r="C4266" s="55" t="s">
        <v>3313</v>
      </c>
      <c r="D4266" s="55" t="s">
        <v>9705</v>
      </c>
    </row>
    <row r="4267" ht="14.25" customHeight="1">
      <c r="A4267" s="55" t="s">
        <v>9596</v>
      </c>
      <c r="B4267" s="55" t="s">
        <v>40</v>
      </c>
      <c r="C4267" s="55" t="s">
        <v>3313</v>
      </c>
      <c r="D4267" s="55" t="s">
        <v>9216</v>
      </c>
    </row>
    <row r="4268" ht="14.25" customHeight="1">
      <c r="A4268" s="55" t="s">
        <v>9596</v>
      </c>
      <c r="B4268" s="55" t="s">
        <v>40</v>
      </c>
      <c r="C4268" s="55" t="s">
        <v>3313</v>
      </c>
      <c r="D4268" s="55" t="s">
        <v>9649</v>
      </c>
    </row>
    <row r="4269" ht="14.25" customHeight="1">
      <c r="A4269" s="55" t="s">
        <v>9596</v>
      </c>
      <c r="B4269" s="55" t="s">
        <v>40</v>
      </c>
      <c r="C4269" s="55" t="s">
        <v>10970</v>
      </c>
      <c r="D4269" s="55" t="s">
        <v>9124</v>
      </c>
    </row>
    <row r="4270" ht="14.25" customHeight="1">
      <c r="A4270" s="55" t="s">
        <v>9596</v>
      </c>
      <c r="B4270" s="55" t="s">
        <v>40</v>
      </c>
      <c r="C4270" s="55" t="s">
        <v>12272</v>
      </c>
      <c r="D4270" s="55" t="s">
        <v>1948</v>
      </c>
    </row>
    <row r="4271" ht="14.25" customHeight="1">
      <c r="A4271" s="55" t="s">
        <v>9596</v>
      </c>
      <c r="B4271" s="55" t="s">
        <v>40</v>
      </c>
      <c r="C4271" s="55" t="s">
        <v>9648</v>
      </c>
      <c r="D4271" s="55" t="s">
        <v>10331</v>
      </c>
    </row>
    <row r="4272" ht="14.25" customHeight="1">
      <c r="A4272" s="55" t="s">
        <v>9596</v>
      </c>
      <c r="B4272" s="55" t="s">
        <v>40</v>
      </c>
      <c r="C4272" s="55" t="s">
        <v>9648</v>
      </c>
      <c r="D4272" s="55" t="s">
        <v>9649</v>
      </c>
    </row>
    <row r="4273" ht="14.25" customHeight="1">
      <c r="A4273" s="55" t="s">
        <v>9596</v>
      </c>
      <c r="B4273" s="55" t="s">
        <v>40</v>
      </c>
      <c r="C4273" s="55" t="s">
        <v>151</v>
      </c>
      <c r="D4273" s="55" t="s">
        <v>14305</v>
      </c>
    </row>
    <row r="4274" ht="14.25" customHeight="1">
      <c r="A4274" s="55" t="s">
        <v>9596</v>
      </c>
      <c r="B4274" s="55" t="s">
        <v>40</v>
      </c>
      <c r="C4274" s="55" t="s">
        <v>13094</v>
      </c>
      <c r="D4274" s="55" t="s">
        <v>13095</v>
      </c>
    </row>
    <row r="4275" ht="14.25" customHeight="1">
      <c r="A4275" s="55" t="s">
        <v>9596</v>
      </c>
      <c r="B4275" s="55" t="s">
        <v>40</v>
      </c>
      <c r="C4275" s="55" t="s">
        <v>12273</v>
      </c>
      <c r="D4275" s="55" t="s">
        <v>12274</v>
      </c>
    </row>
    <row r="4276" ht="14.25" customHeight="1">
      <c r="A4276" s="55" t="s">
        <v>9596</v>
      </c>
      <c r="B4276" s="55" t="s">
        <v>40</v>
      </c>
      <c r="C4276" s="55" t="s">
        <v>9650</v>
      </c>
      <c r="D4276" s="55" t="s">
        <v>9649</v>
      </c>
    </row>
    <row r="4277" ht="14.25" customHeight="1">
      <c r="A4277" s="55" t="s">
        <v>9596</v>
      </c>
      <c r="B4277" s="55" t="s">
        <v>40</v>
      </c>
      <c r="C4277" s="55" t="s">
        <v>1983</v>
      </c>
      <c r="D4277" s="55" t="s">
        <v>9602</v>
      </c>
    </row>
    <row r="4278" ht="14.25" customHeight="1">
      <c r="A4278" s="55" t="s">
        <v>9596</v>
      </c>
      <c r="B4278" s="55" t="s">
        <v>40</v>
      </c>
      <c r="C4278" s="55" t="s">
        <v>10971</v>
      </c>
      <c r="D4278" s="55" t="s">
        <v>9034</v>
      </c>
    </row>
    <row r="4279" ht="14.25" customHeight="1">
      <c r="A4279" s="55" t="s">
        <v>9596</v>
      </c>
      <c r="B4279" s="55" t="s">
        <v>40</v>
      </c>
      <c r="C4279" s="55" t="s">
        <v>9651</v>
      </c>
      <c r="D4279" s="55" t="s">
        <v>9652</v>
      </c>
    </row>
    <row r="4280" ht="14.25" customHeight="1">
      <c r="A4280" s="55" t="s">
        <v>9596</v>
      </c>
      <c r="B4280" s="55" t="s">
        <v>40</v>
      </c>
      <c r="C4280" s="55" t="s">
        <v>13096</v>
      </c>
      <c r="D4280" s="55" t="s">
        <v>11646</v>
      </c>
    </row>
    <row r="4281" ht="14.25" customHeight="1">
      <c r="A4281" s="55" t="s">
        <v>9596</v>
      </c>
      <c r="B4281" s="55" t="s">
        <v>40</v>
      </c>
      <c r="C4281" s="55" t="s">
        <v>12275</v>
      </c>
      <c r="D4281" s="55" t="s">
        <v>1948</v>
      </c>
    </row>
    <row r="4282" ht="14.25" customHeight="1">
      <c r="A4282" s="55" t="s">
        <v>9596</v>
      </c>
      <c r="B4282" s="55" t="s">
        <v>40</v>
      </c>
      <c r="C4282" s="55" t="s">
        <v>12276</v>
      </c>
      <c r="D4282" s="55" t="s">
        <v>12277</v>
      </c>
    </row>
    <row r="4283" ht="14.25" customHeight="1">
      <c r="A4283" s="55" t="s">
        <v>9596</v>
      </c>
      <c r="B4283" s="55" t="s">
        <v>40</v>
      </c>
      <c r="C4283" s="55" t="s">
        <v>10972</v>
      </c>
      <c r="D4283" s="55" t="s">
        <v>9604</v>
      </c>
    </row>
    <row r="4284" ht="14.25" customHeight="1">
      <c r="A4284" s="55" t="s">
        <v>9596</v>
      </c>
      <c r="B4284" s="55" t="s">
        <v>40</v>
      </c>
      <c r="C4284" s="55" t="s">
        <v>153</v>
      </c>
      <c r="D4284" s="55" t="s">
        <v>9653</v>
      </c>
    </row>
    <row r="4285" ht="14.25" customHeight="1">
      <c r="A4285" s="55" t="s">
        <v>9596</v>
      </c>
      <c r="B4285" s="55" t="s">
        <v>40</v>
      </c>
      <c r="C4285" s="55" t="s">
        <v>153</v>
      </c>
      <c r="D4285" s="55" t="s">
        <v>9654</v>
      </c>
    </row>
    <row r="4286" ht="14.25" customHeight="1">
      <c r="A4286" s="55" t="s">
        <v>9596</v>
      </c>
      <c r="B4286" s="55" t="s">
        <v>40</v>
      </c>
      <c r="C4286" s="55" t="s">
        <v>153</v>
      </c>
      <c r="D4286" s="55" t="s">
        <v>12278</v>
      </c>
    </row>
    <row r="4287" ht="14.25" customHeight="1">
      <c r="A4287" s="55" t="s">
        <v>9596</v>
      </c>
      <c r="B4287" s="55" t="s">
        <v>40</v>
      </c>
      <c r="C4287" s="55" t="s">
        <v>13808</v>
      </c>
      <c r="D4287" s="55" t="s">
        <v>9216</v>
      </c>
    </row>
    <row r="4288" ht="14.25" customHeight="1">
      <c r="A4288" s="55" t="s">
        <v>9596</v>
      </c>
      <c r="B4288" s="55" t="s">
        <v>40</v>
      </c>
      <c r="C4288" s="55" t="s">
        <v>11644</v>
      </c>
      <c r="D4288" s="55" t="s">
        <v>11030</v>
      </c>
    </row>
    <row r="4289" ht="14.25" customHeight="1">
      <c r="A4289" s="55" t="s">
        <v>9596</v>
      </c>
      <c r="B4289" s="55" t="s">
        <v>40</v>
      </c>
      <c r="C4289" s="55" t="s">
        <v>12279</v>
      </c>
      <c r="D4289" s="55" t="s">
        <v>12280</v>
      </c>
    </row>
    <row r="4290" ht="14.25" customHeight="1">
      <c r="A4290" s="55" t="s">
        <v>9596</v>
      </c>
      <c r="B4290" s="55" t="s">
        <v>40</v>
      </c>
      <c r="C4290" s="55" t="s">
        <v>9655</v>
      </c>
      <c r="D4290" s="55" t="s">
        <v>9656</v>
      </c>
    </row>
    <row r="4291" ht="14.25" customHeight="1">
      <c r="A4291" s="55" t="s">
        <v>9596</v>
      </c>
      <c r="B4291" s="55" t="s">
        <v>40</v>
      </c>
      <c r="C4291" s="55" t="s">
        <v>9655</v>
      </c>
      <c r="D4291" s="55" t="s">
        <v>13097</v>
      </c>
    </row>
    <row r="4292" ht="14.25" customHeight="1">
      <c r="A4292" s="55" t="s">
        <v>9596</v>
      </c>
      <c r="B4292" s="55" t="s">
        <v>40</v>
      </c>
      <c r="C4292" s="55" t="s">
        <v>3387</v>
      </c>
      <c r="D4292" s="55" t="s">
        <v>12281</v>
      </c>
    </row>
    <row r="4293" ht="14.25" customHeight="1">
      <c r="A4293" s="55" t="s">
        <v>9596</v>
      </c>
      <c r="B4293" s="55" t="s">
        <v>40</v>
      </c>
      <c r="C4293" s="55" t="s">
        <v>11645</v>
      </c>
      <c r="D4293" s="55" t="s">
        <v>11646</v>
      </c>
    </row>
    <row r="4294" ht="14.25" customHeight="1">
      <c r="A4294" s="55" t="s">
        <v>9596</v>
      </c>
      <c r="B4294" s="55" t="s">
        <v>40</v>
      </c>
      <c r="C4294" s="55" t="s">
        <v>10332</v>
      </c>
      <c r="D4294" s="55" t="s">
        <v>9128</v>
      </c>
    </row>
    <row r="4295" ht="14.25" customHeight="1">
      <c r="A4295" s="55" t="s">
        <v>9596</v>
      </c>
      <c r="B4295" s="55" t="s">
        <v>40</v>
      </c>
      <c r="C4295" s="55" t="s">
        <v>14309</v>
      </c>
      <c r="D4295" s="55" t="s">
        <v>14310</v>
      </c>
    </row>
    <row r="4296" ht="14.25" customHeight="1">
      <c r="A4296" s="55" t="s">
        <v>9596</v>
      </c>
      <c r="B4296" s="55" t="s">
        <v>40</v>
      </c>
      <c r="C4296" s="55" t="s">
        <v>9657</v>
      </c>
      <c r="D4296" s="55" t="s">
        <v>9613</v>
      </c>
    </row>
    <row r="4297" ht="14.25" customHeight="1">
      <c r="A4297" s="55" t="s">
        <v>9596</v>
      </c>
      <c r="B4297" s="55" t="s">
        <v>40</v>
      </c>
      <c r="C4297" s="55" t="s">
        <v>10333</v>
      </c>
      <c r="D4297" s="55" t="s">
        <v>9034</v>
      </c>
    </row>
    <row r="4298" ht="14.25" customHeight="1">
      <c r="A4298" s="55" t="s">
        <v>9596</v>
      </c>
      <c r="B4298" s="55" t="s">
        <v>40</v>
      </c>
      <c r="C4298" s="55" t="s">
        <v>14311</v>
      </c>
      <c r="D4298" s="55" t="s">
        <v>14312</v>
      </c>
    </row>
    <row r="4299" ht="14.25" customHeight="1">
      <c r="A4299" s="55" t="s">
        <v>9596</v>
      </c>
      <c r="B4299" s="55" t="s">
        <v>40</v>
      </c>
      <c r="C4299" s="55" t="s">
        <v>13098</v>
      </c>
      <c r="D4299" s="55" t="s">
        <v>10986</v>
      </c>
    </row>
    <row r="4300" ht="14.25" customHeight="1">
      <c r="A4300" s="55" t="s">
        <v>9596</v>
      </c>
      <c r="B4300" s="55" t="s">
        <v>40</v>
      </c>
      <c r="C4300" s="55" t="s">
        <v>11647</v>
      </c>
      <c r="D4300" s="55" t="s">
        <v>11648</v>
      </c>
    </row>
    <row r="4301" ht="14.25" customHeight="1">
      <c r="A4301" s="55" t="s">
        <v>9596</v>
      </c>
      <c r="B4301" s="55" t="s">
        <v>40</v>
      </c>
      <c r="C4301" s="55" t="s">
        <v>11647</v>
      </c>
      <c r="D4301" s="55" t="s">
        <v>12282</v>
      </c>
    </row>
    <row r="4302" ht="14.25" customHeight="1">
      <c r="A4302" s="55" t="s">
        <v>9596</v>
      </c>
      <c r="B4302" s="55" t="s">
        <v>40</v>
      </c>
      <c r="C4302" s="55" t="s">
        <v>11647</v>
      </c>
      <c r="D4302" s="55" t="s">
        <v>12283</v>
      </c>
    </row>
    <row r="4303" ht="14.25" customHeight="1">
      <c r="A4303" s="55" t="s">
        <v>9596</v>
      </c>
      <c r="B4303" s="55" t="s">
        <v>40</v>
      </c>
      <c r="C4303" s="55" t="s">
        <v>9658</v>
      </c>
      <c r="D4303" s="55" t="s">
        <v>10973</v>
      </c>
    </row>
    <row r="4304" ht="14.25" customHeight="1">
      <c r="A4304" s="55" t="s">
        <v>9596</v>
      </c>
      <c r="B4304" s="55" t="s">
        <v>40</v>
      </c>
      <c r="C4304" s="55" t="s">
        <v>9658</v>
      </c>
      <c r="D4304" s="55" t="s">
        <v>9659</v>
      </c>
    </row>
    <row r="4305" ht="14.25" customHeight="1">
      <c r="A4305" s="55" t="s">
        <v>9596</v>
      </c>
      <c r="B4305" s="55" t="s">
        <v>40</v>
      </c>
      <c r="C4305" s="55" t="s">
        <v>9658</v>
      </c>
      <c r="D4305" s="55" t="s">
        <v>9649</v>
      </c>
    </row>
    <row r="4306" ht="14.25" customHeight="1">
      <c r="A4306" s="55" t="s">
        <v>9596</v>
      </c>
      <c r="B4306" s="55" t="s">
        <v>40</v>
      </c>
      <c r="C4306" s="55" t="s">
        <v>10974</v>
      </c>
      <c r="D4306" s="55" t="s">
        <v>10975</v>
      </c>
    </row>
    <row r="4307" ht="14.25" customHeight="1">
      <c r="A4307" s="55" t="s">
        <v>9596</v>
      </c>
      <c r="B4307" s="55" t="s">
        <v>40</v>
      </c>
      <c r="C4307" s="55" t="s">
        <v>10974</v>
      </c>
      <c r="D4307" s="55" t="s">
        <v>14313</v>
      </c>
    </row>
    <row r="4308" ht="14.25" customHeight="1">
      <c r="A4308" s="55" t="s">
        <v>9596</v>
      </c>
      <c r="B4308" s="55" t="s">
        <v>40</v>
      </c>
      <c r="C4308" s="55" t="s">
        <v>13809</v>
      </c>
      <c r="D4308" s="55" t="s">
        <v>1948</v>
      </c>
    </row>
    <row r="4309" ht="14.25" customHeight="1">
      <c r="A4309" s="55" t="s">
        <v>9596</v>
      </c>
      <c r="B4309" s="55" t="s">
        <v>40</v>
      </c>
      <c r="C4309" s="55" t="s">
        <v>10334</v>
      </c>
      <c r="D4309" s="55" t="s">
        <v>9030</v>
      </c>
    </row>
    <row r="4310" ht="14.25" customHeight="1">
      <c r="A4310" s="55" t="s">
        <v>9596</v>
      </c>
      <c r="B4310" s="55" t="s">
        <v>40</v>
      </c>
      <c r="C4310" s="55" t="s">
        <v>12826</v>
      </c>
      <c r="D4310" s="55" t="s">
        <v>14314</v>
      </c>
    </row>
    <row r="4311" ht="14.25" customHeight="1">
      <c r="A4311" s="55" t="s">
        <v>9596</v>
      </c>
      <c r="B4311" s="55" t="s">
        <v>40</v>
      </c>
      <c r="C4311" s="55" t="s">
        <v>12284</v>
      </c>
      <c r="D4311" s="55" t="s">
        <v>9649</v>
      </c>
    </row>
    <row r="4312" ht="14.25" customHeight="1">
      <c r="A4312" s="55" t="s">
        <v>9596</v>
      </c>
      <c r="B4312" s="55" t="s">
        <v>40</v>
      </c>
      <c r="C4312" s="55" t="s">
        <v>14315</v>
      </c>
      <c r="D4312" s="55" t="s">
        <v>9697</v>
      </c>
    </row>
    <row r="4313" ht="14.25" customHeight="1">
      <c r="A4313" s="55" t="s">
        <v>9596</v>
      </c>
      <c r="B4313" s="55" t="s">
        <v>40</v>
      </c>
      <c r="C4313" s="55" t="s">
        <v>6538</v>
      </c>
      <c r="D4313" s="55" t="s">
        <v>13810</v>
      </c>
    </row>
    <row r="4314" ht="14.25" customHeight="1">
      <c r="A4314" s="55" t="s">
        <v>9596</v>
      </c>
      <c r="B4314" s="55" t="s">
        <v>40</v>
      </c>
      <c r="C4314" s="55" t="s">
        <v>9660</v>
      </c>
      <c r="D4314" s="55" t="s">
        <v>9639</v>
      </c>
    </row>
    <row r="4315" ht="14.25" customHeight="1">
      <c r="A4315" s="55" t="s">
        <v>9596</v>
      </c>
      <c r="B4315" s="55" t="s">
        <v>40</v>
      </c>
      <c r="C4315" s="55" t="s">
        <v>9660</v>
      </c>
      <c r="D4315" s="55" t="s">
        <v>1948</v>
      </c>
    </row>
    <row r="4316" ht="14.25" customHeight="1">
      <c r="A4316" s="55" t="s">
        <v>9596</v>
      </c>
      <c r="B4316" s="55" t="s">
        <v>40</v>
      </c>
      <c r="C4316" s="55" t="s">
        <v>10335</v>
      </c>
      <c r="D4316" s="55" t="s">
        <v>10336</v>
      </c>
    </row>
    <row r="4317" ht="14.25" customHeight="1">
      <c r="A4317" s="55" t="s">
        <v>9596</v>
      </c>
      <c r="B4317" s="55" t="s">
        <v>40</v>
      </c>
      <c r="C4317" s="55" t="s">
        <v>10976</v>
      </c>
      <c r="D4317" s="55" t="s">
        <v>9771</v>
      </c>
    </row>
    <row r="4318" ht="14.25" customHeight="1">
      <c r="A4318" s="55" t="s">
        <v>9596</v>
      </c>
      <c r="B4318" s="55" t="s">
        <v>40</v>
      </c>
      <c r="C4318" s="55" t="s">
        <v>166</v>
      </c>
      <c r="D4318" s="55" t="s">
        <v>12285</v>
      </c>
    </row>
    <row r="4319" ht="14.25" customHeight="1">
      <c r="A4319" s="55" t="s">
        <v>9596</v>
      </c>
      <c r="B4319" s="55" t="s">
        <v>40</v>
      </c>
      <c r="C4319" s="55" t="s">
        <v>166</v>
      </c>
      <c r="D4319" s="55" t="s">
        <v>12286</v>
      </c>
    </row>
    <row r="4320" ht="14.25" customHeight="1">
      <c r="A4320" s="55" t="s">
        <v>9596</v>
      </c>
      <c r="B4320" s="55" t="s">
        <v>40</v>
      </c>
      <c r="C4320" s="55" t="s">
        <v>10977</v>
      </c>
      <c r="D4320" s="55" t="s">
        <v>1948</v>
      </c>
    </row>
    <row r="4321" ht="14.25" customHeight="1">
      <c r="A4321" s="55" t="s">
        <v>9596</v>
      </c>
      <c r="B4321" s="55" t="s">
        <v>40</v>
      </c>
      <c r="C4321" s="55" t="s">
        <v>10978</v>
      </c>
      <c r="D4321" s="55" t="s">
        <v>10979</v>
      </c>
    </row>
    <row r="4322" ht="14.25" customHeight="1">
      <c r="A4322" s="55" t="s">
        <v>9596</v>
      </c>
      <c r="B4322" s="55" t="s">
        <v>40</v>
      </c>
      <c r="C4322" s="55" t="s">
        <v>9661</v>
      </c>
      <c r="D4322" s="55" t="s">
        <v>9705</v>
      </c>
    </row>
    <row r="4323" ht="14.25" customHeight="1">
      <c r="A4323" s="55" t="s">
        <v>9596</v>
      </c>
      <c r="B4323" s="55" t="s">
        <v>40</v>
      </c>
      <c r="C4323" s="55" t="s">
        <v>9661</v>
      </c>
      <c r="D4323" s="55" t="s">
        <v>9662</v>
      </c>
    </row>
    <row r="4324" ht="14.25" customHeight="1">
      <c r="A4324" s="55" t="s">
        <v>9596</v>
      </c>
      <c r="B4324" s="55" t="s">
        <v>40</v>
      </c>
      <c r="C4324" s="55" t="s">
        <v>9663</v>
      </c>
      <c r="D4324" s="55" t="s">
        <v>9602</v>
      </c>
    </row>
    <row r="4325" ht="14.25" customHeight="1">
      <c r="A4325" s="55" t="s">
        <v>9596</v>
      </c>
      <c r="B4325" s="55" t="s">
        <v>40</v>
      </c>
      <c r="C4325" s="55" t="s">
        <v>312</v>
      </c>
      <c r="D4325" s="55" t="s">
        <v>12287</v>
      </c>
    </row>
    <row r="4326" ht="14.25" customHeight="1">
      <c r="A4326" s="55" t="s">
        <v>9596</v>
      </c>
      <c r="B4326" s="55" t="s">
        <v>40</v>
      </c>
      <c r="C4326" s="55" t="s">
        <v>173</v>
      </c>
      <c r="D4326" s="55" t="s">
        <v>9578</v>
      </c>
    </row>
    <row r="4327" ht="14.25" customHeight="1">
      <c r="A4327" s="55" t="s">
        <v>9596</v>
      </c>
      <c r="B4327" s="55" t="s">
        <v>40</v>
      </c>
      <c r="C4327" s="55" t="s">
        <v>6624</v>
      </c>
      <c r="D4327" s="55" t="s">
        <v>9659</v>
      </c>
    </row>
    <row r="4328" ht="14.25" customHeight="1">
      <c r="A4328" s="55" t="s">
        <v>9596</v>
      </c>
      <c r="B4328" s="55" t="s">
        <v>40</v>
      </c>
      <c r="C4328" s="55" t="s">
        <v>3566</v>
      </c>
      <c r="D4328" s="55" t="s">
        <v>9034</v>
      </c>
    </row>
    <row r="4329" ht="14.25" customHeight="1">
      <c r="A4329" s="55" t="s">
        <v>9596</v>
      </c>
      <c r="B4329" s="55" t="s">
        <v>40</v>
      </c>
      <c r="C4329" s="55" t="s">
        <v>3566</v>
      </c>
      <c r="D4329" s="55" t="s">
        <v>9664</v>
      </c>
    </row>
    <row r="4330" ht="14.25" customHeight="1">
      <c r="A4330" s="55" t="s">
        <v>9596</v>
      </c>
      <c r="B4330" s="55" t="s">
        <v>40</v>
      </c>
      <c r="C4330" s="55" t="s">
        <v>3566</v>
      </c>
      <c r="D4330" s="55" t="s">
        <v>9665</v>
      </c>
    </row>
    <row r="4331" ht="14.25" customHeight="1">
      <c r="A4331" s="55" t="s">
        <v>9596</v>
      </c>
      <c r="B4331" s="55" t="s">
        <v>40</v>
      </c>
      <c r="C4331" s="55" t="s">
        <v>3566</v>
      </c>
      <c r="D4331" s="55" t="s">
        <v>11649</v>
      </c>
    </row>
    <row r="4332" ht="14.25" customHeight="1">
      <c r="A4332" s="55" t="s">
        <v>9596</v>
      </c>
      <c r="B4332" s="55" t="s">
        <v>40</v>
      </c>
      <c r="C4332" s="55" t="s">
        <v>3566</v>
      </c>
      <c r="D4332" s="55" t="s">
        <v>10245</v>
      </c>
    </row>
    <row r="4333" ht="14.25" customHeight="1">
      <c r="A4333" s="55" t="s">
        <v>9596</v>
      </c>
      <c r="B4333" s="55" t="s">
        <v>40</v>
      </c>
      <c r="C4333" s="55" t="s">
        <v>3566</v>
      </c>
      <c r="D4333" s="55" t="s">
        <v>9666</v>
      </c>
    </row>
    <row r="4334" ht="14.25" customHeight="1">
      <c r="A4334" s="55" t="s">
        <v>9596</v>
      </c>
      <c r="B4334" s="55" t="s">
        <v>40</v>
      </c>
      <c r="C4334" s="55" t="s">
        <v>3566</v>
      </c>
      <c r="D4334" s="55" t="s">
        <v>13811</v>
      </c>
    </row>
    <row r="4335" ht="14.25" customHeight="1">
      <c r="A4335" s="55" t="s">
        <v>9596</v>
      </c>
      <c r="B4335" s="55" t="s">
        <v>40</v>
      </c>
      <c r="C4335" s="55" t="s">
        <v>3566</v>
      </c>
      <c r="D4335" s="55" t="s">
        <v>9667</v>
      </c>
    </row>
    <row r="4336" ht="14.25" customHeight="1">
      <c r="A4336" s="55" t="s">
        <v>9596</v>
      </c>
      <c r="B4336" s="55" t="s">
        <v>40</v>
      </c>
      <c r="C4336" s="55" t="s">
        <v>3566</v>
      </c>
      <c r="D4336" s="55" t="s">
        <v>13099</v>
      </c>
    </row>
    <row r="4337" ht="14.25" customHeight="1">
      <c r="A4337" s="55" t="s">
        <v>9596</v>
      </c>
      <c r="B4337" s="55" t="s">
        <v>40</v>
      </c>
      <c r="C4337" s="55" t="s">
        <v>3566</v>
      </c>
      <c r="D4337" s="55" t="s">
        <v>9668</v>
      </c>
    </row>
    <row r="4338" ht="14.25" customHeight="1">
      <c r="A4338" s="55" t="s">
        <v>9596</v>
      </c>
      <c r="B4338" s="55" t="s">
        <v>40</v>
      </c>
      <c r="C4338" s="55" t="s">
        <v>3566</v>
      </c>
      <c r="D4338" s="55" t="s">
        <v>9669</v>
      </c>
    </row>
    <row r="4339" ht="14.25" customHeight="1">
      <c r="A4339" s="55" t="s">
        <v>9596</v>
      </c>
      <c r="B4339" s="55" t="s">
        <v>40</v>
      </c>
      <c r="C4339" s="55" t="s">
        <v>3566</v>
      </c>
      <c r="D4339" s="55" t="s">
        <v>10337</v>
      </c>
    </row>
    <row r="4340" ht="14.25" customHeight="1">
      <c r="A4340" s="55" t="s">
        <v>9596</v>
      </c>
      <c r="B4340" s="55" t="s">
        <v>40</v>
      </c>
      <c r="C4340" s="55" t="s">
        <v>3566</v>
      </c>
      <c r="D4340" s="55" t="s">
        <v>9216</v>
      </c>
    </row>
    <row r="4341" ht="14.25" customHeight="1">
      <c r="A4341" s="55" t="s">
        <v>9596</v>
      </c>
      <c r="B4341" s="55" t="s">
        <v>40</v>
      </c>
      <c r="C4341" s="55" t="s">
        <v>3566</v>
      </c>
      <c r="D4341" s="55" t="s">
        <v>10980</v>
      </c>
    </row>
    <row r="4342" ht="14.25" customHeight="1">
      <c r="A4342" s="55" t="s">
        <v>9596</v>
      </c>
      <c r="B4342" s="55" t="s">
        <v>40</v>
      </c>
      <c r="C4342" s="55" t="s">
        <v>3566</v>
      </c>
      <c r="D4342" s="55" t="s">
        <v>9404</v>
      </c>
    </row>
    <row r="4343" ht="14.25" customHeight="1">
      <c r="A4343" s="55" t="s">
        <v>9596</v>
      </c>
      <c r="B4343" s="55" t="s">
        <v>40</v>
      </c>
      <c r="C4343" s="55" t="s">
        <v>3566</v>
      </c>
      <c r="D4343" s="55" t="s">
        <v>9724</v>
      </c>
    </row>
    <row r="4344" ht="14.25" customHeight="1">
      <c r="A4344" s="55" t="s">
        <v>9596</v>
      </c>
      <c r="B4344" s="55" t="s">
        <v>40</v>
      </c>
      <c r="C4344" s="55" t="s">
        <v>3566</v>
      </c>
      <c r="D4344" s="55" t="s">
        <v>12288</v>
      </c>
    </row>
    <row r="4345" ht="14.25" customHeight="1">
      <c r="A4345" s="55" t="s">
        <v>9596</v>
      </c>
      <c r="B4345" s="55" t="s">
        <v>40</v>
      </c>
      <c r="C4345" s="55" t="s">
        <v>3566</v>
      </c>
      <c r="D4345" s="55" t="s">
        <v>14316</v>
      </c>
    </row>
    <row r="4346" ht="14.25" customHeight="1">
      <c r="A4346" s="55" t="s">
        <v>9596</v>
      </c>
      <c r="B4346" s="55" t="s">
        <v>40</v>
      </c>
      <c r="C4346" s="55" t="s">
        <v>3566</v>
      </c>
      <c r="D4346" s="55" t="s">
        <v>10338</v>
      </c>
    </row>
    <row r="4347" ht="14.25" customHeight="1">
      <c r="A4347" s="55" t="s">
        <v>9596</v>
      </c>
      <c r="B4347" s="55" t="s">
        <v>40</v>
      </c>
      <c r="C4347" s="55" t="s">
        <v>14317</v>
      </c>
      <c r="D4347" s="55" t="s">
        <v>13095</v>
      </c>
    </row>
    <row r="4348" ht="14.25" customHeight="1">
      <c r="A4348" s="55" t="s">
        <v>9596</v>
      </c>
      <c r="B4348" s="55" t="s">
        <v>40</v>
      </c>
      <c r="C4348" s="55" t="s">
        <v>9670</v>
      </c>
      <c r="D4348" s="55" t="s">
        <v>9671</v>
      </c>
    </row>
    <row r="4349" ht="14.25" customHeight="1">
      <c r="A4349" s="55" t="s">
        <v>9596</v>
      </c>
      <c r="B4349" s="55" t="s">
        <v>40</v>
      </c>
      <c r="C4349" s="55" t="s">
        <v>12289</v>
      </c>
      <c r="D4349" s="55" t="s">
        <v>10986</v>
      </c>
    </row>
    <row r="4350" ht="14.25" customHeight="1">
      <c r="A4350" s="55" t="s">
        <v>9596</v>
      </c>
      <c r="B4350" s="55" t="s">
        <v>40</v>
      </c>
      <c r="C4350" s="55" t="s">
        <v>3596</v>
      </c>
      <c r="D4350" s="55" t="s">
        <v>11650</v>
      </c>
    </row>
    <row r="4351" ht="14.25" customHeight="1">
      <c r="A4351" s="55" t="s">
        <v>9596</v>
      </c>
      <c r="B4351" s="55" t="s">
        <v>40</v>
      </c>
      <c r="C4351" s="55" t="s">
        <v>12290</v>
      </c>
      <c r="D4351" s="55" t="s">
        <v>12291</v>
      </c>
    </row>
    <row r="4352" ht="14.25" customHeight="1">
      <c r="A4352" s="55" t="s">
        <v>9596</v>
      </c>
      <c r="B4352" s="55" t="s">
        <v>40</v>
      </c>
      <c r="C4352" s="55" t="s">
        <v>10339</v>
      </c>
      <c r="D4352" s="55" t="s">
        <v>9034</v>
      </c>
    </row>
    <row r="4353" ht="14.25" customHeight="1">
      <c r="A4353" s="55" t="s">
        <v>9596</v>
      </c>
      <c r="B4353" s="55" t="s">
        <v>40</v>
      </c>
      <c r="C4353" s="55" t="s">
        <v>10981</v>
      </c>
      <c r="D4353" s="55" t="s">
        <v>9034</v>
      </c>
    </row>
    <row r="4354" ht="14.25" customHeight="1">
      <c r="A4354" s="55" t="s">
        <v>9596</v>
      </c>
      <c r="B4354" s="55" t="s">
        <v>40</v>
      </c>
      <c r="C4354" s="55" t="s">
        <v>10823</v>
      </c>
      <c r="D4354" s="55" t="s">
        <v>12292</v>
      </c>
    </row>
    <row r="4355" ht="14.25" customHeight="1">
      <c r="A4355" s="55" t="s">
        <v>9596</v>
      </c>
      <c r="B4355" s="55" t="s">
        <v>40</v>
      </c>
      <c r="C4355" s="55" t="s">
        <v>9672</v>
      </c>
      <c r="D4355" s="55" t="s">
        <v>13812</v>
      </c>
    </row>
    <row r="4356" ht="14.25" customHeight="1">
      <c r="A4356" s="55" t="s">
        <v>9596</v>
      </c>
      <c r="B4356" s="55" t="s">
        <v>40</v>
      </c>
      <c r="C4356" s="55" t="s">
        <v>9672</v>
      </c>
      <c r="D4356" s="55" t="s">
        <v>14318</v>
      </c>
    </row>
    <row r="4357" ht="14.25" customHeight="1">
      <c r="A4357" s="55" t="s">
        <v>9596</v>
      </c>
      <c r="B4357" s="55" t="s">
        <v>40</v>
      </c>
      <c r="C4357" s="55" t="s">
        <v>9672</v>
      </c>
      <c r="D4357" s="55" t="s">
        <v>9673</v>
      </c>
    </row>
    <row r="4358" ht="14.25" customHeight="1">
      <c r="A4358" s="55" t="s">
        <v>9596</v>
      </c>
      <c r="B4358" s="55" t="s">
        <v>40</v>
      </c>
      <c r="C4358" s="55" t="s">
        <v>9674</v>
      </c>
      <c r="D4358" s="55" t="s">
        <v>9228</v>
      </c>
    </row>
    <row r="4359" ht="14.25" customHeight="1">
      <c r="A4359" s="55" t="s">
        <v>9596</v>
      </c>
      <c r="B4359" s="55" t="s">
        <v>40</v>
      </c>
      <c r="C4359" s="55" t="s">
        <v>10982</v>
      </c>
      <c r="D4359" s="55" t="s">
        <v>1948</v>
      </c>
    </row>
    <row r="4360" ht="14.25" customHeight="1">
      <c r="A4360" s="55" t="s">
        <v>9596</v>
      </c>
      <c r="B4360" s="55" t="s">
        <v>40</v>
      </c>
      <c r="C4360" s="55" t="s">
        <v>14319</v>
      </c>
      <c r="D4360" s="55" t="s">
        <v>14320</v>
      </c>
    </row>
    <row r="4361" ht="14.25" customHeight="1">
      <c r="A4361" s="55" t="s">
        <v>9596</v>
      </c>
      <c r="B4361" s="55" t="s">
        <v>40</v>
      </c>
      <c r="C4361" s="55" t="s">
        <v>10983</v>
      </c>
      <c r="D4361" s="55" t="s">
        <v>653</v>
      </c>
    </row>
    <row r="4362" ht="14.25" customHeight="1">
      <c r="A4362" s="55" t="s">
        <v>9596</v>
      </c>
      <c r="B4362" s="55" t="s">
        <v>40</v>
      </c>
      <c r="C4362" s="55" t="s">
        <v>10983</v>
      </c>
      <c r="D4362" s="55" t="s">
        <v>11651</v>
      </c>
    </row>
    <row r="4363" ht="14.25" customHeight="1">
      <c r="A4363" s="55" t="s">
        <v>9596</v>
      </c>
      <c r="B4363" s="55" t="s">
        <v>40</v>
      </c>
      <c r="C4363" s="55" t="s">
        <v>13100</v>
      </c>
      <c r="D4363" s="55" t="s">
        <v>13101</v>
      </c>
    </row>
    <row r="4364" ht="14.25" customHeight="1">
      <c r="A4364" s="55" t="s">
        <v>9596</v>
      </c>
      <c r="B4364" s="55" t="s">
        <v>40</v>
      </c>
      <c r="C4364" s="55" t="s">
        <v>10984</v>
      </c>
      <c r="D4364" s="55" t="s">
        <v>10985</v>
      </c>
    </row>
    <row r="4365" ht="14.25" customHeight="1">
      <c r="A4365" s="55" t="s">
        <v>9596</v>
      </c>
      <c r="B4365" s="55" t="s">
        <v>40</v>
      </c>
      <c r="C4365" s="55" t="s">
        <v>9675</v>
      </c>
      <c r="D4365" s="55" t="s">
        <v>10986</v>
      </c>
    </row>
    <row r="4366" ht="14.25" customHeight="1">
      <c r="A4366" s="55" t="s">
        <v>9596</v>
      </c>
      <c r="B4366" s="55" t="s">
        <v>40</v>
      </c>
      <c r="C4366" s="55" t="s">
        <v>9675</v>
      </c>
      <c r="D4366" s="55" t="s">
        <v>9602</v>
      </c>
    </row>
    <row r="4367" ht="14.25" customHeight="1">
      <c r="A4367" s="55" t="s">
        <v>9596</v>
      </c>
      <c r="B4367" s="55" t="s">
        <v>40</v>
      </c>
      <c r="C4367" s="55" t="s">
        <v>9675</v>
      </c>
      <c r="D4367" s="55" t="s">
        <v>9445</v>
      </c>
    </row>
    <row r="4368" ht="14.25" customHeight="1">
      <c r="A4368" s="55" t="s">
        <v>9596</v>
      </c>
      <c r="B4368" s="55" t="s">
        <v>40</v>
      </c>
      <c r="C4368" s="55" t="s">
        <v>14321</v>
      </c>
      <c r="D4368" s="55" t="s">
        <v>14322</v>
      </c>
    </row>
    <row r="4369" ht="14.25" customHeight="1">
      <c r="A4369" s="55" t="s">
        <v>9596</v>
      </c>
      <c r="B4369" s="55" t="s">
        <v>40</v>
      </c>
      <c r="C4369" s="55" t="s">
        <v>12293</v>
      </c>
      <c r="D4369" s="55" t="s">
        <v>12294</v>
      </c>
    </row>
    <row r="4370" ht="14.25" customHeight="1">
      <c r="A4370" s="55" t="s">
        <v>9596</v>
      </c>
      <c r="B4370" s="55" t="s">
        <v>40</v>
      </c>
      <c r="C4370" s="55" t="s">
        <v>13813</v>
      </c>
      <c r="D4370" s="55" t="s">
        <v>9041</v>
      </c>
    </row>
    <row r="4371" ht="14.25" customHeight="1">
      <c r="A4371" s="55" t="s">
        <v>9596</v>
      </c>
      <c r="B4371" s="55" t="s">
        <v>40</v>
      </c>
      <c r="C4371" s="55" t="s">
        <v>14323</v>
      </c>
      <c r="D4371" s="55" t="s">
        <v>14324</v>
      </c>
    </row>
    <row r="4372" ht="14.25" customHeight="1">
      <c r="A4372" s="55" t="s">
        <v>9596</v>
      </c>
      <c r="B4372" s="55" t="s">
        <v>40</v>
      </c>
      <c r="C4372" s="55" t="s">
        <v>9676</v>
      </c>
      <c r="D4372" s="55" t="s">
        <v>10985</v>
      </c>
    </row>
    <row r="4373" ht="14.25" customHeight="1">
      <c r="A4373" s="55" t="s">
        <v>9596</v>
      </c>
      <c r="B4373" s="55" t="s">
        <v>40</v>
      </c>
      <c r="C4373" s="55" t="s">
        <v>9676</v>
      </c>
      <c r="D4373" s="55" t="s">
        <v>11652</v>
      </c>
    </row>
    <row r="4374" ht="14.25" customHeight="1">
      <c r="A4374" s="55" t="s">
        <v>9596</v>
      </c>
      <c r="B4374" s="55" t="s">
        <v>40</v>
      </c>
      <c r="C4374" s="55" t="s">
        <v>9676</v>
      </c>
      <c r="D4374" s="55" t="s">
        <v>11653</v>
      </c>
    </row>
    <row r="4375" ht="14.25" customHeight="1">
      <c r="A4375" s="55" t="s">
        <v>9596</v>
      </c>
      <c r="B4375" s="55" t="s">
        <v>40</v>
      </c>
      <c r="C4375" s="55" t="s">
        <v>9676</v>
      </c>
      <c r="D4375" s="55" t="s">
        <v>1948</v>
      </c>
    </row>
    <row r="4376" ht="14.25" customHeight="1">
      <c r="A4376" s="55" t="s">
        <v>9596</v>
      </c>
      <c r="B4376" s="55" t="s">
        <v>40</v>
      </c>
      <c r="C4376" s="55" t="s">
        <v>9676</v>
      </c>
      <c r="D4376" s="55" t="s">
        <v>9616</v>
      </c>
    </row>
    <row r="4377" ht="14.25" customHeight="1">
      <c r="A4377" s="55" t="s">
        <v>9596</v>
      </c>
      <c r="B4377" s="55" t="s">
        <v>40</v>
      </c>
      <c r="C4377" s="55" t="s">
        <v>11654</v>
      </c>
      <c r="D4377" s="55" t="s">
        <v>11655</v>
      </c>
    </row>
    <row r="4378" ht="14.25" customHeight="1">
      <c r="A4378" s="55" t="s">
        <v>9596</v>
      </c>
      <c r="B4378" s="55" t="s">
        <v>40</v>
      </c>
      <c r="C4378" s="55" t="s">
        <v>11654</v>
      </c>
      <c r="D4378" s="55" t="s">
        <v>9604</v>
      </c>
    </row>
    <row r="4379" ht="14.25" customHeight="1">
      <c r="A4379" s="55" t="s">
        <v>9596</v>
      </c>
      <c r="B4379" s="55" t="s">
        <v>40</v>
      </c>
      <c r="C4379" s="55" t="s">
        <v>10987</v>
      </c>
      <c r="D4379" s="55" t="s">
        <v>10988</v>
      </c>
    </row>
    <row r="4380" ht="14.25" customHeight="1">
      <c r="A4380" s="55" t="s">
        <v>9596</v>
      </c>
      <c r="B4380" s="55" t="s">
        <v>40</v>
      </c>
      <c r="C4380" s="55" t="s">
        <v>13102</v>
      </c>
      <c r="D4380" s="55" t="s">
        <v>13814</v>
      </c>
    </row>
    <row r="4381" ht="14.25" customHeight="1">
      <c r="A4381" s="55" t="s">
        <v>9596</v>
      </c>
      <c r="B4381" s="55" t="s">
        <v>40</v>
      </c>
      <c r="C4381" s="55" t="s">
        <v>13102</v>
      </c>
      <c r="D4381" s="55" t="s">
        <v>9645</v>
      </c>
    </row>
    <row r="4382" ht="14.25" customHeight="1">
      <c r="A4382" s="55" t="s">
        <v>9596</v>
      </c>
      <c r="B4382" s="55" t="s">
        <v>40</v>
      </c>
      <c r="C4382" s="55" t="s">
        <v>13102</v>
      </c>
      <c r="D4382" s="55" t="s">
        <v>10341</v>
      </c>
    </row>
    <row r="4383" ht="14.25" customHeight="1">
      <c r="A4383" s="55" t="s">
        <v>9596</v>
      </c>
      <c r="B4383" s="55" t="s">
        <v>40</v>
      </c>
      <c r="C4383" s="55" t="s">
        <v>13815</v>
      </c>
      <c r="D4383" s="55" t="s">
        <v>9445</v>
      </c>
    </row>
    <row r="4384" ht="14.25" customHeight="1">
      <c r="A4384" s="55" t="s">
        <v>9596</v>
      </c>
      <c r="B4384" s="55" t="s">
        <v>40</v>
      </c>
      <c r="C4384" s="55" t="s">
        <v>13815</v>
      </c>
      <c r="D4384" s="55" t="s">
        <v>13816</v>
      </c>
    </row>
    <row r="4385" ht="14.25" customHeight="1">
      <c r="A4385" s="55" t="s">
        <v>9596</v>
      </c>
      <c r="B4385" s="55" t="s">
        <v>40</v>
      </c>
      <c r="C4385" s="55" t="s">
        <v>13817</v>
      </c>
      <c r="D4385" s="55" t="s">
        <v>13095</v>
      </c>
    </row>
    <row r="4386" ht="14.25" customHeight="1">
      <c r="A4386" s="55" t="s">
        <v>9596</v>
      </c>
      <c r="B4386" s="55" t="s">
        <v>40</v>
      </c>
      <c r="C4386" s="55" t="s">
        <v>10340</v>
      </c>
      <c r="D4386" s="55" t="s">
        <v>9636</v>
      </c>
    </row>
    <row r="4387" ht="14.25" customHeight="1">
      <c r="A4387" s="55" t="s">
        <v>9596</v>
      </c>
      <c r="B4387" s="55" t="s">
        <v>40</v>
      </c>
      <c r="C4387" s="55" t="s">
        <v>11656</v>
      </c>
      <c r="D4387" s="55" t="s">
        <v>13818</v>
      </c>
    </row>
    <row r="4388" ht="14.25" customHeight="1">
      <c r="A4388" s="55" t="s">
        <v>9596</v>
      </c>
      <c r="B4388" s="55" t="s">
        <v>40</v>
      </c>
      <c r="C4388" s="55" t="s">
        <v>11656</v>
      </c>
      <c r="D4388" s="55" t="s">
        <v>11657</v>
      </c>
    </row>
    <row r="4389" ht="14.25" customHeight="1">
      <c r="A4389" s="55" t="s">
        <v>9596</v>
      </c>
      <c r="B4389" s="55" t="s">
        <v>40</v>
      </c>
      <c r="C4389" s="55" t="s">
        <v>12295</v>
      </c>
      <c r="D4389" s="55" t="s">
        <v>12296</v>
      </c>
    </row>
    <row r="4390" ht="14.25" customHeight="1">
      <c r="A4390" s="55" t="s">
        <v>9596</v>
      </c>
      <c r="B4390" s="55" t="s">
        <v>40</v>
      </c>
      <c r="C4390" s="55" t="s">
        <v>12297</v>
      </c>
      <c r="D4390" s="55" t="s">
        <v>12298</v>
      </c>
    </row>
    <row r="4391" ht="14.25" customHeight="1">
      <c r="A4391" s="55" t="s">
        <v>9596</v>
      </c>
      <c r="B4391" s="55" t="s">
        <v>40</v>
      </c>
      <c r="C4391" s="55" t="s">
        <v>208</v>
      </c>
      <c r="D4391" s="55" t="s">
        <v>9604</v>
      </c>
    </row>
    <row r="4392" ht="14.25" customHeight="1">
      <c r="A4392" s="55" t="s">
        <v>9596</v>
      </c>
      <c r="B4392" s="55" t="s">
        <v>40</v>
      </c>
      <c r="C4392" s="55" t="s">
        <v>6788</v>
      </c>
      <c r="D4392" s="55" t="s">
        <v>9677</v>
      </c>
    </row>
    <row r="4393" ht="14.25" customHeight="1">
      <c r="A4393" s="55" t="s">
        <v>9596</v>
      </c>
      <c r="B4393" s="55" t="s">
        <v>40</v>
      </c>
      <c r="C4393" s="55" t="s">
        <v>14325</v>
      </c>
      <c r="D4393" s="55" t="s">
        <v>9616</v>
      </c>
    </row>
    <row r="4394" ht="14.25" customHeight="1">
      <c r="A4394" s="55" t="s">
        <v>9596</v>
      </c>
      <c r="B4394" s="55" t="s">
        <v>40</v>
      </c>
      <c r="C4394" s="55" t="s">
        <v>13103</v>
      </c>
      <c r="D4394" s="55" t="s">
        <v>12832</v>
      </c>
    </row>
    <row r="4395" ht="14.25" customHeight="1">
      <c r="A4395" s="55" t="s">
        <v>9596</v>
      </c>
      <c r="B4395" s="55" t="s">
        <v>40</v>
      </c>
      <c r="C4395" s="55" t="s">
        <v>13104</v>
      </c>
      <c r="D4395" s="55" t="s">
        <v>9228</v>
      </c>
    </row>
    <row r="4396" ht="14.25" customHeight="1">
      <c r="A4396" s="55" t="s">
        <v>9596</v>
      </c>
      <c r="B4396" s="55" t="s">
        <v>40</v>
      </c>
      <c r="C4396" s="55" t="s">
        <v>13105</v>
      </c>
      <c r="D4396" s="55" t="s">
        <v>13095</v>
      </c>
    </row>
    <row r="4397" ht="14.25" customHeight="1">
      <c r="A4397" s="55" t="s">
        <v>9596</v>
      </c>
      <c r="B4397" s="55" t="s">
        <v>40</v>
      </c>
      <c r="C4397" s="55" t="s">
        <v>215</v>
      </c>
      <c r="D4397" s="55" t="s">
        <v>9055</v>
      </c>
    </row>
    <row r="4398" ht="14.25" customHeight="1">
      <c r="A4398" s="55" t="s">
        <v>9596</v>
      </c>
      <c r="B4398" s="55" t="s">
        <v>40</v>
      </c>
      <c r="C4398" s="55" t="s">
        <v>13106</v>
      </c>
      <c r="D4398" s="55" t="s">
        <v>13107</v>
      </c>
    </row>
    <row r="4399" ht="14.25" customHeight="1">
      <c r="A4399" s="55" t="s">
        <v>9596</v>
      </c>
      <c r="B4399" s="55" t="s">
        <v>40</v>
      </c>
      <c r="C4399" s="55" t="s">
        <v>14326</v>
      </c>
      <c r="D4399" s="55" t="s">
        <v>14327</v>
      </c>
    </row>
    <row r="4400" ht="14.25" customHeight="1">
      <c r="A4400" s="55" t="s">
        <v>9596</v>
      </c>
      <c r="B4400" s="55" t="s">
        <v>40</v>
      </c>
      <c r="C4400" s="55" t="s">
        <v>9282</v>
      </c>
      <c r="D4400" s="55" t="s">
        <v>13108</v>
      </c>
    </row>
    <row r="4401" ht="14.25" customHeight="1">
      <c r="A4401" s="55" t="s">
        <v>9596</v>
      </c>
      <c r="B4401" s="55" t="s">
        <v>40</v>
      </c>
      <c r="C4401" s="55" t="s">
        <v>9282</v>
      </c>
      <c r="D4401" s="55" t="s">
        <v>14328</v>
      </c>
    </row>
    <row r="4402" ht="14.25" customHeight="1">
      <c r="A4402" s="55" t="s">
        <v>9596</v>
      </c>
      <c r="B4402" s="55" t="s">
        <v>40</v>
      </c>
      <c r="C4402" s="55" t="s">
        <v>9282</v>
      </c>
      <c r="D4402" s="55" t="s">
        <v>10341</v>
      </c>
    </row>
    <row r="4403" ht="14.25" customHeight="1">
      <c r="A4403" s="55" t="s">
        <v>9596</v>
      </c>
      <c r="B4403" s="55" t="s">
        <v>40</v>
      </c>
      <c r="C4403" s="55" t="s">
        <v>9282</v>
      </c>
      <c r="D4403" s="55" t="s">
        <v>11176</v>
      </c>
    </row>
    <row r="4404" ht="14.25" customHeight="1">
      <c r="A4404" s="55" t="s">
        <v>9596</v>
      </c>
      <c r="B4404" s="55" t="s">
        <v>40</v>
      </c>
      <c r="C4404" s="55" t="s">
        <v>3810</v>
      </c>
      <c r="D4404" s="55" t="s">
        <v>10342</v>
      </c>
    </row>
    <row r="4405" ht="14.25" customHeight="1">
      <c r="A4405" s="55" t="s">
        <v>9596</v>
      </c>
      <c r="B4405" s="55" t="s">
        <v>40</v>
      </c>
      <c r="C4405" s="55" t="s">
        <v>3814</v>
      </c>
      <c r="D4405" s="55" t="s">
        <v>10321</v>
      </c>
    </row>
    <row r="4406" ht="14.25" customHeight="1">
      <c r="A4406" s="55" t="s">
        <v>9596</v>
      </c>
      <c r="B4406" s="55" t="s">
        <v>40</v>
      </c>
      <c r="C4406" s="55" t="s">
        <v>3814</v>
      </c>
      <c r="D4406" s="55" t="s">
        <v>9746</v>
      </c>
    </row>
    <row r="4407" ht="14.25" customHeight="1">
      <c r="A4407" s="55" t="s">
        <v>9596</v>
      </c>
      <c r="B4407" s="55" t="s">
        <v>40</v>
      </c>
      <c r="C4407" s="55" t="s">
        <v>3814</v>
      </c>
      <c r="D4407" s="55" t="s">
        <v>12286</v>
      </c>
    </row>
    <row r="4408" ht="14.25" customHeight="1">
      <c r="A4408" s="55" t="s">
        <v>9596</v>
      </c>
      <c r="B4408" s="55" t="s">
        <v>40</v>
      </c>
      <c r="C4408" s="55" t="s">
        <v>3821</v>
      </c>
      <c r="D4408" s="55" t="s">
        <v>10989</v>
      </c>
    </row>
    <row r="4409" ht="14.25" customHeight="1">
      <c r="A4409" s="55" t="s">
        <v>9596</v>
      </c>
      <c r="B4409" s="55" t="s">
        <v>40</v>
      </c>
      <c r="C4409" s="55" t="s">
        <v>13109</v>
      </c>
      <c r="D4409" s="55" t="s">
        <v>13110</v>
      </c>
    </row>
    <row r="4410" ht="14.25" customHeight="1">
      <c r="A4410" s="55" t="s">
        <v>9596</v>
      </c>
      <c r="B4410" s="55" t="s">
        <v>40</v>
      </c>
      <c r="C4410" s="55" t="s">
        <v>11658</v>
      </c>
      <c r="D4410" s="55" t="s">
        <v>11630</v>
      </c>
    </row>
    <row r="4411" ht="14.25" customHeight="1">
      <c r="A4411" s="55" t="s">
        <v>9596</v>
      </c>
      <c r="B4411" s="55" t="s">
        <v>40</v>
      </c>
      <c r="C4411" s="55" t="s">
        <v>13111</v>
      </c>
      <c r="D4411" s="55" t="s">
        <v>9922</v>
      </c>
    </row>
    <row r="4412" ht="14.25" customHeight="1">
      <c r="A4412" s="55" t="s">
        <v>9596</v>
      </c>
      <c r="B4412" s="55" t="s">
        <v>40</v>
      </c>
      <c r="C4412" s="55" t="s">
        <v>220</v>
      </c>
      <c r="D4412" s="55" t="s">
        <v>9034</v>
      </c>
    </row>
    <row r="4413" ht="14.25" customHeight="1">
      <c r="A4413" s="55" t="s">
        <v>9596</v>
      </c>
      <c r="B4413" s="55" t="s">
        <v>40</v>
      </c>
      <c r="C4413" s="55" t="s">
        <v>220</v>
      </c>
      <c r="D4413" s="55" t="s">
        <v>9236</v>
      </c>
    </row>
    <row r="4414" ht="14.25" customHeight="1">
      <c r="A4414" s="55" t="s">
        <v>9596</v>
      </c>
      <c r="B4414" s="55" t="s">
        <v>40</v>
      </c>
      <c r="C4414" s="55" t="s">
        <v>220</v>
      </c>
      <c r="D4414" s="55" t="s">
        <v>9620</v>
      </c>
    </row>
    <row r="4415" ht="14.25" customHeight="1">
      <c r="A4415" s="55" t="s">
        <v>9596</v>
      </c>
      <c r="B4415" s="55" t="s">
        <v>40</v>
      </c>
      <c r="C4415" s="55" t="s">
        <v>220</v>
      </c>
      <c r="D4415" s="55" t="s">
        <v>10321</v>
      </c>
    </row>
    <row r="4416" ht="14.25" customHeight="1">
      <c r="A4416" s="55" t="s">
        <v>9596</v>
      </c>
      <c r="B4416" s="55" t="s">
        <v>40</v>
      </c>
      <c r="C4416" s="55" t="s">
        <v>220</v>
      </c>
      <c r="D4416" s="55" t="s">
        <v>9746</v>
      </c>
    </row>
    <row r="4417" ht="14.25" customHeight="1">
      <c r="A4417" s="55" t="s">
        <v>9596</v>
      </c>
      <c r="B4417" s="55" t="s">
        <v>40</v>
      </c>
      <c r="C4417" s="55" t="s">
        <v>220</v>
      </c>
      <c r="D4417" s="55" t="s">
        <v>9141</v>
      </c>
    </row>
    <row r="4418" ht="14.25" customHeight="1">
      <c r="A4418" s="55" t="s">
        <v>9596</v>
      </c>
      <c r="B4418" s="55" t="s">
        <v>40</v>
      </c>
      <c r="C4418" s="55" t="s">
        <v>220</v>
      </c>
      <c r="D4418" s="55" t="s">
        <v>11061</v>
      </c>
    </row>
    <row r="4419" ht="14.25" customHeight="1">
      <c r="A4419" s="55" t="s">
        <v>9596</v>
      </c>
      <c r="B4419" s="55" t="s">
        <v>40</v>
      </c>
      <c r="C4419" s="55" t="s">
        <v>220</v>
      </c>
      <c r="D4419" s="55" t="s">
        <v>12299</v>
      </c>
    </row>
    <row r="4420" ht="14.25" customHeight="1">
      <c r="A4420" s="55" t="s">
        <v>9596</v>
      </c>
      <c r="B4420" s="55" t="s">
        <v>40</v>
      </c>
      <c r="C4420" s="55" t="s">
        <v>9283</v>
      </c>
      <c r="D4420" s="55" t="s">
        <v>9678</v>
      </c>
    </row>
    <row r="4421" ht="14.25" customHeight="1">
      <c r="A4421" s="55" t="s">
        <v>9596</v>
      </c>
      <c r="B4421" s="55" t="s">
        <v>40</v>
      </c>
      <c r="C4421" s="55" t="s">
        <v>9074</v>
      </c>
      <c r="D4421" s="55" t="s">
        <v>13112</v>
      </c>
    </row>
    <row r="4422" ht="14.25" customHeight="1">
      <c r="A4422" s="55" t="s">
        <v>9596</v>
      </c>
      <c r="B4422" s="55" t="s">
        <v>40</v>
      </c>
      <c r="C4422" s="55" t="s">
        <v>10990</v>
      </c>
      <c r="D4422" s="55" t="s">
        <v>9050</v>
      </c>
    </row>
    <row r="4423" ht="14.25" customHeight="1">
      <c r="A4423" s="55" t="s">
        <v>9596</v>
      </c>
      <c r="B4423" s="55" t="s">
        <v>40</v>
      </c>
      <c r="C4423" s="55" t="s">
        <v>10990</v>
      </c>
      <c r="D4423" s="55" t="s">
        <v>12300</v>
      </c>
    </row>
    <row r="4424" ht="14.25" customHeight="1">
      <c r="A4424" s="55" t="s">
        <v>9596</v>
      </c>
      <c r="B4424" s="55" t="s">
        <v>40</v>
      </c>
      <c r="C4424" s="55" t="s">
        <v>11314</v>
      </c>
      <c r="D4424" s="55" t="s">
        <v>9697</v>
      </c>
    </row>
    <row r="4425" ht="14.25" customHeight="1">
      <c r="A4425" s="55" t="s">
        <v>9596</v>
      </c>
      <c r="B4425" s="55" t="s">
        <v>40</v>
      </c>
      <c r="C4425" s="55" t="s">
        <v>13113</v>
      </c>
      <c r="D4425" s="55" t="s">
        <v>13095</v>
      </c>
    </row>
    <row r="4426" ht="14.25" customHeight="1">
      <c r="A4426" s="55" t="s">
        <v>9596</v>
      </c>
      <c r="B4426" s="55" t="s">
        <v>40</v>
      </c>
      <c r="C4426" s="55" t="s">
        <v>13114</v>
      </c>
      <c r="D4426" s="55" t="s">
        <v>9602</v>
      </c>
    </row>
    <row r="4427" ht="14.25" customHeight="1">
      <c r="A4427" s="55" t="s">
        <v>9596</v>
      </c>
      <c r="B4427" s="55" t="s">
        <v>40</v>
      </c>
      <c r="C4427" s="55" t="s">
        <v>9679</v>
      </c>
      <c r="D4427" s="55" t="s">
        <v>9680</v>
      </c>
    </row>
    <row r="4428" ht="14.25" customHeight="1">
      <c r="A4428" s="55" t="s">
        <v>9596</v>
      </c>
      <c r="B4428" s="55" t="s">
        <v>40</v>
      </c>
      <c r="C4428" s="55" t="s">
        <v>11659</v>
      </c>
      <c r="D4428" s="55" t="s">
        <v>11660</v>
      </c>
    </row>
    <row r="4429" ht="14.25" customHeight="1">
      <c r="A4429" s="55" t="s">
        <v>9596</v>
      </c>
      <c r="B4429" s="55" t="s">
        <v>40</v>
      </c>
      <c r="C4429" s="55" t="s">
        <v>3910</v>
      </c>
      <c r="D4429" s="55" t="s">
        <v>9643</v>
      </c>
    </row>
    <row r="4430" ht="14.25" customHeight="1">
      <c r="A4430" s="55" t="s">
        <v>9596</v>
      </c>
      <c r="B4430" s="55" t="s">
        <v>40</v>
      </c>
      <c r="C4430" s="55" t="s">
        <v>14329</v>
      </c>
      <c r="D4430" s="55" t="s">
        <v>9922</v>
      </c>
    </row>
    <row r="4431" ht="14.25" customHeight="1">
      <c r="A4431" s="55" t="s">
        <v>9596</v>
      </c>
      <c r="B4431" s="55" t="s">
        <v>40</v>
      </c>
      <c r="C4431" s="55" t="s">
        <v>9286</v>
      </c>
      <c r="D4431" s="55" t="s">
        <v>13115</v>
      </c>
    </row>
    <row r="4432" ht="14.25" customHeight="1">
      <c r="A4432" s="55" t="s">
        <v>9596</v>
      </c>
      <c r="B4432" s="55" t="s">
        <v>40</v>
      </c>
      <c r="C4432" s="55" t="s">
        <v>9286</v>
      </c>
      <c r="D4432" s="55" t="s">
        <v>14330</v>
      </c>
    </row>
    <row r="4433" ht="14.25" customHeight="1">
      <c r="A4433" s="55" t="s">
        <v>9596</v>
      </c>
      <c r="B4433" s="55" t="s">
        <v>40</v>
      </c>
      <c r="C4433" s="55" t="s">
        <v>9286</v>
      </c>
      <c r="D4433" s="55" t="s">
        <v>9289</v>
      </c>
    </row>
    <row r="4434" ht="14.25" customHeight="1">
      <c r="A4434" s="55" t="s">
        <v>9596</v>
      </c>
      <c r="B4434" s="55" t="s">
        <v>40</v>
      </c>
      <c r="C4434" s="55" t="s">
        <v>12019</v>
      </c>
      <c r="D4434" s="55" t="s">
        <v>12059</v>
      </c>
    </row>
    <row r="4435" ht="14.25" customHeight="1">
      <c r="A4435" s="55" t="s">
        <v>9596</v>
      </c>
      <c r="B4435" s="55" t="s">
        <v>40</v>
      </c>
      <c r="C4435" s="55" t="s">
        <v>10991</v>
      </c>
      <c r="D4435" s="55" t="s">
        <v>10351</v>
      </c>
    </row>
    <row r="4436" ht="14.25" customHeight="1">
      <c r="A4436" s="55" t="s">
        <v>9596</v>
      </c>
      <c r="B4436" s="55" t="s">
        <v>40</v>
      </c>
      <c r="C4436" s="55" t="s">
        <v>10992</v>
      </c>
      <c r="D4436" s="55" t="s">
        <v>1948</v>
      </c>
    </row>
    <row r="4437" ht="14.25" customHeight="1">
      <c r="A4437" s="55" t="s">
        <v>9596</v>
      </c>
      <c r="B4437" s="55" t="s">
        <v>40</v>
      </c>
      <c r="C4437" s="55" t="s">
        <v>9156</v>
      </c>
      <c r="D4437" s="55" t="s">
        <v>9157</v>
      </c>
    </row>
    <row r="4438" ht="14.25" customHeight="1">
      <c r="A4438" s="55" t="s">
        <v>9596</v>
      </c>
      <c r="B4438" s="55" t="s">
        <v>40</v>
      </c>
      <c r="C4438" s="55" t="s">
        <v>13116</v>
      </c>
      <c r="D4438" s="55" t="s">
        <v>9705</v>
      </c>
    </row>
    <row r="4439" ht="14.25" customHeight="1">
      <c r="A4439" s="55" t="s">
        <v>9596</v>
      </c>
      <c r="B4439" s="55" t="s">
        <v>40</v>
      </c>
      <c r="C4439" s="55" t="s">
        <v>13116</v>
      </c>
      <c r="D4439" s="55" t="s">
        <v>9216</v>
      </c>
    </row>
    <row r="4440" ht="14.25" customHeight="1">
      <c r="A4440" s="55" t="s">
        <v>9596</v>
      </c>
      <c r="B4440" s="55" t="s">
        <v>40</v>
      </c>
      <c r="C4440" s="55" t="s">
        <v>12301</v>
      </c>
      <c r="D4440" s="55" t="s">
        <v>1948</v>
      </c>
    </row>
    <row r="4441" ht="14.25" customHeight="1">
      <c r="A4441" s="55" t="s">
        <v>9596</v>
      </c>
      <c r="B4441" s="55" t="s">
        <v>40</v>
      </c>
      <c r="C4441" s="55" t="s">
        <v>10993</v>
      </c>
      <c r="D4441" s="55" t="s">
        <v>10964</v>
      </c>
    </row>
    <row r="4442" ht="14.25" customHeight="1">
      <c r="A4442" s="55" t="s">
        <v>9596</v>
      </c>
      <c r="B4442" s="55" t="s">
        <v>40</v>
      </c>
      <c r="C4442" s="55" t="s">
        <v>14331</v>
      </c>
      <c r="D4442" s="55" t="s">
        <v>14332</v>
      </c>
    </row>
    <row r="4443" ht="14.25" customHeight="1">
      <c r="A4443" s="55" t="s">
        <v>9596</v>
      </c>
      <c r="B4443" s="55" t="s">
        <v>40</v>
      </c>
      <c r="C4443" s="55" t="s">
        <v>10994</v>
      </c>
      <c r="D4443" s="55" t="s">
        <v>1948</v>
      </c>
    </row>
    <row r="4444" ht="14.25" customHeight="1">
      <c r="A4444" s="55" t="s">
        <v>9596</v>
      </c>
      <c r="B4444" s="55" t="s">
        <v>40</v>
      </c>
      <c r="C4444" s="55" t="s">
        <v>8997</v>
      </c>
      <c r="D4444" s="55" t="s">
        <v>13117</v>
      </c>
    </row>
    <row r="4445" ht="14.25" customHeight="1">
      <c r="A4445" s="55" t="s">
        <v>9596</v>
      </c>
      <c r="B4445" s="55" t="s">
        <v>40</v>
      </c>
      <c r="C4445" s="55" t="s">
        <v>13118</v>
      </c>
      <c r="D4445" s="55" t="s">
        <v>13119</v>
      </c>
    </row>
    <row r="4446" ht="14.25" customHeight="1">
      <c r="A4446" s="55" t="s">
        <v>9596</v>
      </c>
      <c r="B4446" s="55" t="s">
        <v>40</v>
      </c>
      <c r="C4446" s="55" t="s">
        <v>9681</v>
      </c>
      <c r="D4446" s="55" t="s">
        <v>9682</v>
      </c>
    </row>
    <row r="4447" ht="14.25" customHeight="1">
      <c r="A4447" s="55" t="s">
        <v>9596</v>
      </c>
      <c r="B4447" s="55" t="s">
        <v>40</v>
      </c>
      <c r="C4447" s="55" t="s">
        <v>10995</v>
      </c>
      <c r="D4447" s="55" t="s">
        <v>11661</v>
      </c>
    </row>
    <row r="4448" ht="14.25" customHeight="1">
      <c r="A4448" s="55" t="s">
        <v>9596</v>
      </c>
      <c r="B4448" s="55" t="s">
        <v>40</v>
      </c>
      <c r="C4448" s="55" t="s">
        <v>10995</v>
      </c>
      <c r="D4448" s="55" t="s">
        <v>10949</v>
      </c>
    </row>
    <row r="4449" ht="14.25" customHeight="1">
      <c r="A4449" s="55" t="s">
        <v>9596</v>
      </c>
      <c r="B4449" s="55" t="s">
        <v>40</v>
      </c>
      <c r="C4449" s="55" t="s">
        <v>9683</v>
      </c>
      <c r="D4449" s="55" t="s">
        <v>9684</v>
      </c>
    </row>
    <row r="4450" ht="14.25" customHeight="1">
      <c r="A4450" s="55" t="s">
        <v>9596</v>
      </c>
      <c r="B4450" s="55" t="s">
        <v>40</v>
      </c>
      <c r="C4450" s="55" t="s">
        <v>9685</v>
      </c>
      <c r="D4450" s="55" t="s">
        <v>9649</v>
      </c>
    </row>
    <row r="4451" ht="14.25" customHeight="1">
      <c r="A4451" s="55" t="s">
        <v>9596</v>
      </c>
      <c r="B4451" s="55" t="s">
        <v>40</v>
      </c>
      <c r="C4451" s="55" t="s">
        <v>10343</v>
      </c>
      <c r="D4451" s="55" t="s">
        <v>10344</v>
      </c>
    </row>
    <row r="4452" ht="14.25" customHeight="1">
      <c r="A4452" s="55" t="s">
        <v>9596</v>
      </c>
      <c r="B4452" s="55" t="s">
        <v>40</v>
      </c>
      <c r="C4452" s="55" t="s">
        <v>10345</v>
      </c>
      <c r="D4452" s="55" t="s">
        <v>9034</v>
      </c>
    </row>
    <row r="4453" ht="14.25" customHeight="1">
      <c r="A4453" s="55" t="s">
        <v>9596</v>
      </c>
      <c r="B4453" s="55" t="s">
        <v>40</v>
      </c>
      <c r="C4453" s="55" t="s">
        <v>10345</v>
      </c>
      <c r="D4453" s="55" t="s">
        <v>9705</v>
      </c>
    </row>
    <row r="4454" ht="14.25" customHeight="1">
      <c r="A4454" s="55" t="s">
        <v>9596</v>
      </c>
      <c r="B4454" s="55" t="s">
        <v>40</v>
      </c>
      <c r="C4454" s="55" t="s">
        <v>13504</v>
      </c>
      <c r="D4454" s="55" t="s">
        <v>14333</v>
      </c>
    </row>
    <row r="4455" ht="14.25" customHeight="1">
      <c r="A4455" s="55" t="s">
        <v>9596</v>
      </c>
      <c r="B4455" s="55" t="s">
        <v>40</v>
      </c>
      <c r="C4455" s="55" t="s">
        <v>10346</v>
      </c>
      <c r="D4455" s="55" t="s">
        <v>9922</v>
      </c>
    </row>
    <row r="4456" ht="14.25" customHeight="1">
      <c r="A4456" s="55" t="s">
        <v>9596</v>
      </c>
      <c r="B4456" s="55" t="s">
        <v>40</v>
      </c>
      <c r="C4456" s="55" t="s">
        <v>9686</v>
      </c>
      <c r="D4456" s="55" t="s">
        <v>9687</v>
      </c>
    </row>
    <row r="4457" ht="14.25" customHeight="1">
      <c r="A4457" s="55" t="s">
        <v>9596</v>
      </c>
      <c r="B4457" s="55" t="s">
        <v>40</v>
      </c>
      <c r="C4457" s="55" t="s">
        <v>11662</v>
      </c>
      <c r="D4457" s="55" t="s">
        <v>13819</v>
      </c>
    </row>
    <row r="4458" ht="14.25" customHeight="1">
      <c r="A4458" s="55" t="s">
        <v>9596</v>
      </c>
      <c r="B4458" s="55" t="s">
        <v>40</v>
      </c>
      <c r="C4458" s="55" t="s">
        <v>11662</v>
      </c>
      <c r="D4458" s="55" t="s">
        <v>13820</v>
      </c>
    </row>
    <row r="4459" ht="14.25" customHeight="1">
      <c r="A4459" s="55" t="s">
        <v>9596</v>
      </c>
      <c r="B4459" s="55" t="s">
        <v>40</v>
      </c>
      <c r="C4459" s="55" t="s">
        <v>11662</v>
      </c>
      <c r="D4459" s="55" t="s">
        <v>1948</v>
      </c>
    </row>
    <row r="4460" ht="14.25" customHeight="1">
      <c r="A4460" s="55" t="s">
        <v>9596</v>
      </c>
      <c r="B4460" s="55" t="s">
        <v>40</v>
      </c>
      <c r="C4460" s="55" t="s">
        <v>11662</v>
      </c>
      <c r="D4460" s="55" t="s">
        <v>9616</v>
      </c>
    </row>
    <row r="4461" ht="14.25" customHeight="1">
      <c r="A4461" s="55" t="s">
        <v>9596</v>
      </c>
      <c r="B4461" s="55" t="s">
        <v>40</v>
      </c>
      <c r="C4461" s="55" t="s">
        <v>9399</v>
      </c>
      <c r="D4461" s="55" t="s">
        <v>9659</v>
      </c>
    </row>
    <row r="4462" ht="14.25" customHeight="1">
      <c r="A4462" s="55" t="s">
        <v>9596</v>
      </c>
      <c r="B4462" s="55" t="s">
        <v>40</v>
      </c>
      <c r="C4462" s="55" t="s">
        <v>9399</v>
      </c>
      <c r="D4462" s="55" t="s">
        <v>9574</v>
      </c>
    </row>
    <row r="4463" ht="14.25" customHeight="1">
      <c r="A4463" s="55" t="s">
        <v>9596</v>
      </c>
      <c r="B4463" s="55" t="s">
        <v>40</v>
      </c>
      <c r="C4463" s="55" t="s">
        <v>13821</v>
      </c>
      <c r="D4463" s="55" t="s">
        <v>12253</v>
      </c>
    </row>
    <row r="4464" ht="14.25" customHeight="1">
      <c r="A4464" s="55" t="s">
        <v>9596</v>
      </c>
      <c r="B4464" s="55" t="s">
        <v>40</v>
      </c>
      <c r="C4464" s="55" t="s">
        <v>9688</v>
      </c>
      <c r="D4464" s="55" t="s">
        <v>9689</v>
      </c>
    </row>
    <row r="4465" ht="14.25" customHeight="1">
      <c r="A4465" s="55" t="s">
        <v>9596</v>
      </c>
      <c r="B4465" s="55" t="s">
        <v>40</v>
      </c>
      <c r="C4465" s="55" t="s">
        <v>13822</v>
      </c>
      <c r="D4465" s="55" t="s">
        <v>13823</v>
      </c>
    </row>
    <row r="4466" ht="14.25" customHeight="1">
      <c r="A4466" s="55" t="s">
        <v>9596</v>
      </c>
      <c r="B4466" s="55" t="s">
        <v>40</v>
      </c>
      <c r="C4466" s="55" t="s">
        <v>13824</v>
      </c>
      <c r="D4466" s="55" t="s">
        <v>9034</v>
      </c>
    </row>
    <row r="4467" ht="14.25" customHeight="1">
      <c r="A4467" s="55" t="s">
        <v>9596</v>
      </c>
      <c r="B4467" s="55" t="s">
        <v>40</v>
      </c>
      <c r="C4467" s="55" t="s">
        <v>13824</v>
      </c>
      <c r="D4467" s="55" t="s">
        <v>13825</v>
      </c>
    </row>
    <row r="4468" ht="14.25" customHeight="1">
      <c r="A4468" s="55" t="s">
        <v>9596</v>
      </c>
      <c r="B4468" s="55" t="s">
        <v>40</v>
      </c>
      <c r="C4468" s="55" t="s">
        <v>3984</v>
      </c>
      <c r="D4468" s="55" t="s">
        <v>14334</v>
      </c>
    </row>
    <row r="4469" ht="14.25" customHeight="1">
      <c r="A4469" s="55" t="s">
        <v>9596</v>
      </c>
      <c r="B4469" s="55" t="s">
        <v>40</v>
      </c>
      <c r="C4469" s="55" t="s">
        <v>3984</v>
      </c>
      <c r="D4469" s="55" t="s">
        <v>9144</v>
      </c>
    </row>
    <row r="4470" ht="14.25" customHeight="1">
      <c r="A4470" s="55" t="s">
        <v>9596</v>
      </c>
      <c r="B4470" s="55" t="s">
        <v>40</v>
      </c>
      <c r="C4470" s="55" t="s">
        <v>3984</v>
      </c>
      <c r="D4470" s="55" t="s">
        <v>9690</v>
      </c>
    </row>
    <row r="4471" ht="14.25" customHeight="1">
      <c r="A4471" s="55" t="s">
        <v>9596</v>
      </c>
      <c r="B4471" s="55" t="s">
        <v>40</v>
      </c>
      <c r="C4471" s="55" t="s">
        <v>12302</v>
      </c>
      <c r="D4471" s="55" t="s">
        <v>12303</v>
      </c>
    </row>
    <row r="4472" ht="14.25" customHeight="1">
      <c r="A4472" s="55" t="s">
        <v>9596</v>
      </c>
      <c r="B4472" s="55" t="s">
        <v>40</v>
      </c>
      <c r="C4472" s="55" t="s">
        <v>12304</v>
      </c>
      <c r="D4472" s="55" t="s">
        <v>13120</v>
      </c>
    </row>
    <row r="4473" ht="14.25" customHeight="1">
      <c r="A4473" s="55" t="s">
        <v>9596</v>
      </c>
      <c r="B4473" s="55" t="s">
        <v>40</v>
      </c>
      <c r="C4473" s="55" t="s">
        <v>12304</v>
      </c>
      <c r="D4473" s="55" t="s">
        <v>12303</v>
      </c>
    </row>
    <row r="4474" ht="14.25" customHeight="1">
      <c r="A4474" s="55" t="s">
        <v>9596</v>
      </c>
      <c r="B4474" s="55" t="s">
        <v>40</v>
      </c>
      <c r="C4474" s="55" t="s">
        <v>13826</v>
      </c>
      <c r="D4474" s="55" t="s">
        <v>13827</v>
      </c>
    </row>
    <row r="4475" ht="14.25" customHeight="1">
      <c r="A4475" s="55" t="s">
        <v>9596</v>
      </c>
      <c r="B4475" s="55" t="s">
        <v>40</v>
      </c>
      <c r="C4475" s="55" t="s">
        <v>11663</v>
      </c>
      <c r="D4475" s="55" t="s">
        <v>9705</v>
      </c>
    </row>
    <row r="4476" ht="14.25" customHeight="1">
      <c r="A4476" s="55" t="s">
        <v>9596</v>
      </c>
      <c r="B4476" s="55" t="s">
        <v>40</v>
      </c>
      <c r="C4476" s="55" t="s">
        <v>11663</v>
      </c>
      <c r="D4476" s="55" t="s">
        <v>10985</v>
      </c>
    </row>
    <row r="4477" ht="14.25" customHeight="1">
      <c r="A4477" s="55" t="s">
        <v>9596</v>
      </c>
      <c r="B4477" s="55" t="s">
        <v>40</v>
      </c>
      <c r="C4477" s="55" t="s">
        <v>11663</v>
      </c>
      <c r="D4477" s="55" t="s">
        <v>11664</v>
      </c>
    </row>
    <row r="4478" ht="14.25" customHeight="1">
      <c r="A4478" s="55" t="s">
        <v>9596</v>
      </c>
      <c r="B4478" s="55" t="s">
        <v>40</v>
      </c>
      <c r="C4478" s="55" t="s">
        <v>11663</v>
      </c>
      <c r="D4478" s="55" t="s">
        <v>9616</v>
      </c>
    </row>
    <row r="4479" ht="14.25" customHeight="1">
      <c r="A4479" s="55" t="s">
        <v>9596</v>
      </c>
      <c r="B4479" s="55" t="s">
        <v>40</v>
      </c>
      <c r="C4479" s="55" t="s">
        <v>9517</v>
      </c>
      <c r="D4479" s="55" t="s">
        <v>9618</v>
      </c>
    </row>
    <row r="4480" ht="14.25" customHeight="1">
      <c r="A4480" s="55" t="s">
        <v>9596</v>
      </c>
      <c r="B4480" s="55" t="s">
        <v>40</v>
      </c>
      <c r="C4480" s="55" t="s">
        <v>232</v>
      </c>
      <c r="D4480" s="55" t="s">
        <v>10986</v>
      </c>
    </row>
    <row r="4481" ht="14.25" customHeight="1">
      <c r="A4481" s="55" t="s">
        <v>9596</v>
      </c>
      <c r="B4481" s="55" t="s">
        <v>40</v>
      </c>
      <c r="C4481" s="55" t="s">
        <v>232</v>
      </c>
      <c r="D4481" s="55" t="s">
        <v>11665</v>
      </c>
    </row>
    <row r="4482" ht="14.25" customHeight="1">
      <c r="A4482" s="55" t="s">
        <v>9596</v>
      </c>
      <c r="B4482" s="55" t="s">
        <v>40</v>
      </c>
      <c r="C4482" s="55" t="s">
        <v>14335</v>
      </c>
      <c r="D4482" s="55" t="s">
        <v>10986</v>
      </c>
    </row>
    <row r="4483" ht="14.25" customHeight="1">
      <c r="A4483" s="55" t="s">
        <v>9596</v>
      </c>
      <c r="B4483" s="55" t="s">
        <v>40</v>
      </c>
      <c r="C4483" s="55" t="s">
        <v>10290</v>
      </c>
      <c r="D4483" s="55" t="s">
        <v>9645</v>
      </c>
    </row>
    <row r="4484" ht="14.25" customHeight="1">
      <c r="A4484" s="55" t="s">
        <v>9596</v>
      </c>
      <c r="B4484" s="55" t="s">
        <v>40</v>
      </c>
      <c r="C4484" s="55" t="s">
        <v>10290</v>
      </c>
      <c r="D4484" s="55" t="s">
        <v>9616</v>
      </c>
    </row>
    <row r="4485" ht="14.25" customHeight="1">
      <c r="A4485" s="55" t="s">
        <v>9596</v>
      </c>
      <c r="B4485" s="55" t="s">
        <v>40</v>
      </c>
      <c r="C4485" s="55" t="s">
        <v>9691</v>
      </c>
      <c r="D4485" s="55" t="s">
        <v>11030</v>
      </c>
    </row>
    <row r="4486" ht="14.25" customHeight="1">
      <c r="A4486" s="55" t="s">
        <v>9596</v>
      </c>
      <c r="B4486" s="55" t="s">
        <v>40</v>
      </c>
      <c r="C4486" s="55" t="s">
        <v>9691</v>
      </c>
      <c r="D4486" s="55" t="s">
        <v>9692</v>
      </c>
    </row>
    <row r="4487" ht="14.25" customHeight="1">
      <c r="A4487" s="55" t="s">
        <v>9596</v>
      </c>
      <c r="B4487" s="55" t="s">
        <v>40</v>
      </c>
      <c r="C4487" s="55" t="s">
        <v>9691</v>
      </c>
      <c r="D4487" s="55" t="s">
        <v>9656</v>
      </c>
    </row>
    <row r="4488" ht="14.25" customHeight="1">
      <c r="A4488" s="55" t="s">
        <v>9596</v>
      </c>
      <c r="B4488" s="55" t="s">
        <v>40</v>
      </c>
      <c r="C4488" s="55" t="s">
        <v>14336</v>
      </c>
      <c r="D4488" s="55" t="s">
        <v>9041</v>
      </c>
    </row>
    <row r="4489" ht="14.25" customHeight="1">
      <c r="A4489" s="55" t="s">
        <v>9596</v>
      </c>
      <c r="B4489" s="55" t="s">
        <v>40</v>
      </c>
      <c r="C4489" s="55" t="s">
        <v>13828</v>
      </c>
      <c r="D4489" s="55" t="s">
        <v>13829</v>
      </c>
    </row>
    <row r="4490" ht="14.25" customHeight="1">
      <c r="A4490" s="55" t="s">
        <v>9596</v>
      </c>
      <c r="B4490" s="55" t="s">
        <v>40</v>
      </c>
      <c r="C4490" s="55" t="s">
        <v>13828</v>
      </c>
      <c r="D4490" s="55" t="s">
        <v>1948</v>
      </c>
    </row>
    <row r="4491" ht="14.25" customHeight="1">
      <c r="A4491" s="55" t="s">
        <v>9596</v>
      </c>
      <c r="B4491" s="55" t="s">
        <v>40</v>
      </c>
      <c r="C4491" s="55" t="s">
        <v>13121</v>
      </c>
      <c r="D4491" s="55" t="s">
        <v>1948</v>
      </c>
    </row>
    <row r="4492" ht="14.25" customHeight="1">
      <c r="A4492" s="55" t="s">
        <v>9596</v>
      </c>
      <c r="B4492" s="55" t="s">
        <v>40</v>
      </c>
      <c r="C4492" s="55" t="s">
        <v>11666</v>
      </c>
      <c r="D4492" s="55" t="s">
        <v>11667</v>
      </c>
    </row>
    <row r="4493" ht="14.25" customHeight="1">
      <c r="A4493" s="55" t="s">
        <v>9596</v>
      </c>
      <c r="B4493" s="55" t="s">
        <v>40</v>
      </c>
      <c r="C4493" s="55" t="s">
        <v>11668</v>
      </c>
      <c r="D4493" s="55" t="s">
        <v>9602</v>
      </c>
    </row>
    <row r="4494" ht="14.25" customHeight="1">
      <c r="A4494" s="55" t="s">
        <v>9596</v>
      </c>
      <c r="B4494" s="55" t="s">
        <v>40</v>
      </c>
      <c r="C4494" s="55" t="s">
        <v>10838</v>
      </c>
      <c r="D4494" s="55" t="s">
        <v>9034</v>
      </c>
    </row>
    <row r="4495" ht="14.25" customHeight="1">
      <c r="A4495" s="55" t="s">
        <v>9596</v>
      </c>
      <c r="B4495" s="55" t="s">
        <v>40</v>
      </c>
      <c r="C4495" s="55" t="s">
        <v>10838</v>
      </c>
      <c r="D4495" s="55" t="s">
        <v>9694</v>
      </c>
    </row>
    <row r="4496" ht="14.25" customHeight="1">
      <c r="A4496" s="55" t="s">
        <v>9596</v>
      </c>
      <c r="B4496" s="55" t="s">
        <v>40</v>
      </c>
      <c r="C4496" s="55" t="s">
        <v>10838</v>
      </c>
      <c r="D4496" s="55" t="s">
        <v>13830</v>
      </c>
    </row>
    <row r="4497" ht="14.25" customHeight="1">
      <c r="A4497" s="55" t="s">
        <v>9596</v>
      </c>
      <c r="B4497" s="55" t="s">
        <v>40</v>
      </c>
      <c r="C4497" s="55" t="s">
        <v>10838</v>
      </c>
      <c r="D4497" s="55" t="s">
        <v>12305</v>
      </c>
    </row>
    <row r="4498" ht="14.25" customHeight="1">
      <c r="A4498" s="55" t="s">
        <v>9596</v>
      </c>
      <c r="B4498" s="55" t="s">
        <v>40</v>
      </c>
      <c r="C4498" s="55" t="s">
        <v>10838</v>
      </c>
      <c r="D4498" s="55" t="s">
        <v>1948</v>
      </c>
    </row>
    <row r="4499" ht="14.25" customHeight="1">
      <c r="A4499" s="55" t="s">
        <v>9596</v>
      </c>
      <c r="B4499" s="55" t="s">
        <v>40</v>
      </c>
      <c r="C4499" s="55" t="s">
        <v>10838</v>
      </c>
      <c r="D4499" s="55" t="s">
        <v>9643</v>
      </c>
    </row>
    <row r="4500" ht="14.25" customHeight="1">
      <c r="A4500" s="55" t="s">
        <v>9596</v>
      </c>
      <c r="B4500" s="55" t="s">
        <v>40</v>
      </c>
      <c r="C4500" s="55" t="s">
        <v>10838</v>
      </c>
      <c r="D4500" s="55" t="s">
        <v>13074</v>
      </c>
    </row>
    <row r="4501" ht="14.25" customHeight="1">
      <c r="A4501" s="55" t="s">
        <v>9596</v>
      </c>
      <c r="B4501" s="55" t="s">
        <v>40</v>
      </c>
      <c r="C4501" s="55" t="s">
        <v>10838</v>
      </c>
      <c r="D4501" s="55" t="s">
        <v>9614</v>
      </c>
    </row>
    <row r="4502" ht="14.25" customHeight="1">
      <c r="A4502" s="55" t="s">
        <v>9596</v>
      </c>
      <c r="B4502" s="55" t="s">
        <v>40</v>
      </c>
      <c r="C4502" s="55" t="s">
        <v>9693</v>
      </c>
      <c r="D4502" s="55" t="s">
        <v>9694</v>
      </c>
    </row>
    <row r="4503" ht="14.25" customHeight="1">
      <c r="A4503" s="55" t="s">
        <v>9596</v>
      </c>
      <c r="B4503" s="55" t="s">
        <v>40</v>
      </c>
      <c r="C4503" s="55" t="s">
        <v>9693</v>
      </c>
      <c r="D4503" s="55" t="s">
        <v>9643</v>
      </c>
    </row>
    <row r="4504" ht="14.25" customHeight="1">
      <c r="A4504" s="55" t="s">
        <v>9596</v>
      </c>
      <c r="B4504" s="55" t="s">
        <v>40</v>
      </c>
      <c r="C4504" s="55" t="s">
        <v>9693</v>
      </c>
      <c r="D4504" s="55" t="s">
        <v>9922</v>
      </c>
    </row>
    <row r="4505" ht="14.25" customHeight="1">
      <c r="A4505" s="55" t="s">
        <v>9596</v>
      </c>
      <c r="B4505" s="55" t="s">
        <v>40</v>
      </c>
      <c r="C4505" s="55" t="s">
        <v>9693</v>
      </c>
      <c r="D4505" s="55" t="s">
        <v>13122</v>
      </c>
    </row>
    <row r="4506" ht="14.25" customHeight="1">
      <c r="A4506" s="55" t="s">
        <v>9596</v>
      </c>
      <c r="B4506" s="55" t="s">
        <v>40</v>
      </c>
      <c r="C4506" s="55" t="s">
        <v>10252</v>
      </c>
      <c r="D4506" s="55" t="s">
        <v>12306</v>
      </c>
    </row>
    <row r="4507" ht="14.25" customHeight="1">
      <c r="A4507" s="55" t="s">
        <v>9596</v>
      </c>
      <c r="B4507" s="55" t="s">
        <v>40</v>
      </c>
      <c r="C4507" s="55" t="s">
        <v>1906</v>
      </c>
      <c r="D4507" s="55" t="s">
        <v>9614</v>
      </c>
    </row>
    <row r="4508" ht="14.25" customHeight="1">
      <c r="A4508" s="55" t="s">
        <v>9596</v>
      </c>
      <c r="B4508" s="55" t="s">
        <v>40</v>
      </c>
      <c r="C4508" s="55" t="s">
        <v>11669</v>
      </c>
      <c r="D4508" s="55" t="s">
        <v>11670</v>
      </c>
    </row>
    <row r="4509" ht="14.25" customHeight="1">
      <c r="A4509" s="55" t="s">
        <v>9596</v>
      </c>
      <c r="B4509" s="55" t="s">
        <v>40</v>
      </c>
      <c r="C4509" s="55" t="s">
        <v>13123</v>
      </c>
      <c r="D4509" s="55" t="s">
        <v>9602</v>
      </c>
    </row>
    <row r="4510" ht="14.25" customHeight="1">
      <c r="A4510" s="55" t="s">
        <v>9596</v>
      </c>
      <c r="B4510" s="55" t="s">
        <v>40</v>
      </c>
      <c r="C4510" s="55" t="s">
        <v>4109</v>
      </c>
      <c r="D4510" s="55" t="s">
        <v>9705</v>
      </c>
    </row>
    <row r="4511" ht="14.25" customHeight="1">
      <c r="A4511" s="55" t="s">
        <v>9596</v>
      </c>
      <c r="B4511" s="55" t="s">
        <v>40</v>
      </c>
      <c r="C4511" s="55" t="s">
        <v>4109</v>
      </c>
      <c r="D4511" s="55" t="s">
        <v>11671</v>
      </c>
    </row>
    <row r="4512" ht="14.25" customHeight="1">
      <c r="A4512" s="55" t="s">
        <v>9596</v>
      </c>
      <c r="B4512" s="55" t="s">
        <v>40</v>
      </c>
      <c r="C4512" s="55" t="s">
        <v>4109</v>
      </c>
      <c r="D4512" s="55" t="s">
        <v>1948</v>
      </c>
    </row>
    <row r="4513" ht="14.25" customHeight="1">
      <c r="A4513" s="55" t="s">
        <v>9596</v>
      </c>
      <c r="B4513" s="55" t="s">
        <v>40</v>
      </c>
      <c r="C4513" s="55" t="s">
        <v>4109</v>
      </c>
      <c r="D4513" s="55" t="s">
        <v>9656</v>
      </c>
    </row>
    <row r="4514" ht="14.25" customHeight="1">
      <c r="A4514" s="55" t="s">
        <v>9596</v>
      </c>
      <c r="B4514" s="55" t="s">
        <v>40</v>
      </c>
      <c r="C4514" s="55" t="s">
        <v>4109</v>
      </c>
      <c r="D4514" s="55" t="s">
        <v>9649</v>
      </c>
    </row>
    <row r="4515" ht="14.25" customHeight="1">
      <c r="A4515" s="55" t="s">
        <v>9596</v>
      </c>
      <c r="B4515" s="55" t="s">
        <v>40</v>
      </c>
      <c r="C4515" s="55" t="s">
        <v>4109</v>
      </c>
      <c r="D4515" s="55" t="s">
        <v>11672</v>
      </c>
    </row>
    <row r="4516" ht="14.25" customHeight="1">
      <c r="A4516" s="55" t="s">
        <v>9596</v>
      </c>
      <c r="B4516" s="55" t="s">
        <v>40</v>
      </c>
      <c r="C4516" s="55" t="s">
        <v>10347</v>
      </c>
      <c r="D4516" s="55" t="s">
        <v>10348</v>
      </c>
    </row>
    <row r="4517" ht="14.25" customHeight="1">
      <c r="A4517" s="55" t="s">
        <v>9596</v>
      </c>
      <c r="B4517" s="55" t="s">
        <v>40</v>
      </c>
      <c r="C4517" s="55" t="s">
        <v>10640</v>
      </c>
      <c r="D4517" s="55" t="s">
        <v>12307</v>
      </c>
    </row>
    <row r="4518" ht="14.25" customHeight="1">
      <c r="A4518" s="55" t="s">
        <v>9596</v>
      </c>
      <c r="B4518" s="55" t="s">
        <v>40</v>
      </c>
      <c r="C4518" s="55" t="s">
        <v>10640</v>
      </c>
      <c r="D4518" s="55" t="s">
        <v>1948</v>
      </c>
    </row>
    <row r="4519" ht="14.25" customHeight="1">
      <c r="A4519" s="55" t="s">
        <v>9596</v>
      </c>
      <c r="B4519" s="55" t="s">
        <v>40</v>
      </c>
      <c r="C4519" s="55" t="s">
        <v>12308</v>
      </c>
      <c r="D4519" s="55" t="s">
        <v>11596</v>
      </c>
    </row>
    <row r="4520" ht="14.25" customHeight="1">
      <c r="A4520" s="55" t="s">
        <v>9596</v>
      </c>
      <c r="B4520" s="55" t="s">
        <v>40</v>
      </c>
      <c r="C4520" s="55" t="s">
        <v>10349</v>
      </c>
      <c r="D4520" s="55" t="s">
        <v>9034</v>
      </c>
    </row>
    <row r="4521" ht="14.25" customHeight="1">
      <c r="A4521" s="55" t="s">
        <v>9596</v>
      </c>
      <c r="B4521" s="55" t="s">
        <v>40</v>
      </c>
      <c r="C4521" s="55" t="s">
        <v>10349</v>
      </c>
      <c r="D4521" s="55" t="s">
        <v>10350</v>
      </c>
    </row>
    <row r="4522" ht="14.25" customHeight="1">
      <c r="A4522" s="55" t="s">
        <v>9596</v>
      </c>
      <c r="B4522" s="55" t="s">
        <v>40</v>
      </c>
      <c r="C4522" s="55" t="s">
        <v>10996</v>
      </c>
      <c r="D4522" s="55" t="s">
        <v>1948</v>
      </c>
    </row>
    <row r="4523" ht="14.25" customHeight="1">
      <c r="A4523" s="55" t="s">
        <v>9596</v>
      </c>
      <c r="B4523" s="55" t="s">
        <v>40</v>
      </c>
      <c r="C4523" s="55" t="s">
        <v>10997</v>
      </c>
      <c r="D4523" s="55" t="s">
        <v>10321</v>
      </c>
    </row>
    <row r="4524" ht="14.25" customHeight="1">
      <c r="A4524" s="55" t="s">
        <v>9596</v>
      </c>
      <c r="B4524" s="55" t="s">
        <v>40</v>
      </c>
      <c r="C4524" s="55" t="s">
        <v>9695</v>
      </c>
      <c r="D4524" s="55" t="s">
        <v>9667</v>
      </c>
    </row>
    <row r="4525" ht="14.25" customHeight="1">
      <c r="A4525" s="55" t="s">
        <v>9596</v>
      </c>
      <c r="B4525" s="55" t="s">
        <v>40</v>
      </c>
      <c r="C4525" s="55" t="s">
        <v>9696</v>
      </c>
      <c r="D4525" s="55" t="s">
        <v>9697</v>
      </c>
    </row>
    <row r="4526" ht="14.25" customHeight="1">
      <c r="A4526" s="55" t="s">
        <v>9596</v>
      </c>
      <c r="B4526" s="55" t="s">
        <v>40</v>
      </c>
      <c r="C4526" s="55" t="s">
        <v>9405</v>
      </c>
      <c r="D4526" s="55" t="s">
        <v>11673</v>
      </c>
    </row>
    <row r="4527" ht="14.25" customHeight="1">
      <c r="A4527" s="55" t="s">
        <v>9596</v>
      </c>
      <c r="B4527" s="55" t="s">
        <v>40</v>
      </c>
      <c r="C4527" s="55" t="s">
        <v>12309</v>
      </c>
      <c r="D4527" s="55" t="s">
        <v>12310</v>
      </c>
    </row>
    <row r="4528" ht="14.25" customHeight="1">
      <c r="A4528" s="55" t="s">
        <v>9596</v>
      </c>
      <c r="B4528" s="55" t="s">
        <v>40</v>
      </c>
      <c r="C4528" s="55" t="s">
        <v>10998</v>
      </c>
      <c r="D4528" s="55" t="s">
        <v>10999</v>
      </c>
    </row>
    <row r="4529" ht="14.25" customHeight="1">
      <c r="A4529" s="55" t="s">
        <v>9596</v>
      </c>
      <c r="B4529" s="55" t="s">
        <v>40</v>
      </c>
      <c r="C4529" s="55" t="s">
        <v>9215</v>
      </c>
      <c r="D4529" s="55" t="s">
        <v>9404</v>
      </c>
    </row>
    <row r="4530" ht="14.25" customHeight="1">
      <c r="A4530" s="55" t="s">
        <v>9596</v>
      </c>
      <c r="B4530" s="55" t="s">
        <v>40</v>
      </c>
      <c r="C4530" s="55" t="s">
        <v>12311</v>
      </c>
      <c r="D4530" s="55" t="s">
        <v>1948</v>
      </c>
    </row>
    <row r="4531" ht="14.25" customHeight="1">
      <c r="A4531" s="55" t="s">
        <v>9596</v>
      </c>
      <c r="B4531" s="55" t="s">
        <v>40</v>
      </c>
      <c r="C4531" s="55" t="s">
        <v>7066</v>
      </c>
      <c r="D4531" s="55" t="s">
        <v>13095</v>
      </c>
    </row>
    <row r="4532" ht="14.25" customHeight="1">
      <c r="A4532" s="55" t="s">
        <v>9596</v>
      </c>
      <c r="B4532" s="55" t="s">
        <v>40</v>
      </c>
      <c r="C4532" s="55" t="s">
        <v>9698</v>
      </c>
      <c r="D4532" s="55" t="s">
        <v>9602</v>
      </c>
    </row>
    <row r="4533" ht="14.25" customHeight="1">
      <c r="A4533" s="55" t="s">
        <v>9596</v>
      </c>
      <c r="B4533" s="55" t="s">
        <v>40</v>
      </c>
      <c r="C4533" s="55" t="s">
        <v>9698</v>
      </c>
      <c r="D4533" s="55" t="s">
        <v>9645</v>
      </c>
    </row>
    <row r="4534" ht="14.25" customHeight="1">
      <c r="A4534" s="55" t="s">
        <v>9596</v>
      </c>
      <c r="B4534" s="55" t="s">
        <v>40</v>
      </c>
      <c r="C4534" s="55" t="s">
        <v>9698</v>
      </c>
      <c r="D4534" s="55" t="s">
        <v>10351</v>
      </c>
    </row>
    <row r="4535" ht="14.25" customHeight="1">
      <c r="A4535" s="55" t="s">
        <v>9596</v>
      </c>
      <c r="B4535" s="55" t="s">
        <v>40</v>
      </c>
      <c r="C4535" s="55" t="s">
        <v>9698</v>
      </c>
      <c r="D4535" s="55" t="s">
        <v>9639</v>
      </c>
    </row>
    <row r="4536" ht="14.25" customHeight="1">
      <c r="A4536" s="55" t="s">
        <v>9596</v>
      </c>
      <c r="B4536" s="55" t="s">
        <v>40</v>
      </c>
      <c r="C4536" s="55" t="s">
        <v>9698</v>
      </c>
      <c r="D4536" s="55" t="s">
        <v>9623</v>
      </c>
    </row>
    <row r="4537" ht="14.25" customHeight="1">
      <c r="A4537" s="55" t="s">
        <v>9596</v>
      </c>
      <c r="B4537" s="55" t="s">
        <v>40</v>
      </c>
      <c r="C4537" s="55" t="s">
        <v>11000</v>
      </c>
      <c r="D4537" s="55" t="s">
        <v>9034</v>
      </c>
    </row>
    <row r="4538" ht="14.25" customHeight="1">
      <c r="A4538" s="55" t="s">
        <v>9596</v>
      </c>
      <c r="B4538" s="55" t="s">
        <v>40</v>
      </c>
      <c r="C4538" s="55" t="s">
        <v>11000</v>
      </c>
      <c r="D4538" s="55" t="s">
        <v>11674</v>
      </c>
    </row>
    <row r="4539" ht="14.25" customHeight="1">
      <c r="A4539" s="55" t="s">
        <v>9596</v>
      </c>
      <c r="B4539" s="55" t="s">
        <v>40</v>
      </c>
      <c r="C4539" s="55" t="s">
        <v>11000</v>
      </c>
      <c r="D4539" s="55" t="s">
        <v>9645</v>
      </c>
    </row>
    <row r="4540" ht="14.25" customHeight="1">
      <c r="A4540" s="55" t="s">
        <v>9596</v>
      </c>
      <c r="B4540" s="55" t="s">
        <v>40</v>
      </c>
      <c r="C4540" s="55" t="s">
        <v>11000</v>
      </c>
      <c r="D4540" s="55" t="s">
        <v>9445</v>
      </c>
    </row>
    <row r="4541" ht="14.25" customHeight="1">
      <c r="A4541" s="55" t="s">
        <v>9596</v>
      </c>
      <c r="B4541" s="55" t="s">
        <v>40</v>
      </c>
      <c r="C4541" s="55" t="s">
        <v>11000</v>
      </c>
      <c r="D4541" s="55" t="s">
        <v>9639</v>
      </c>
    </row>
    <row r="4542" ht="14.25" customHeight="1">
      <c r="A4542" s="55" t="s">
        <v>9596</v>
      </c>
      <c r="B4542" s="55" t="s">
        <v>40</v>
      </c>
      <c r="C4542" s="55" t="s">
        <v>11000</v>
      </c>
      <c r="D4542" s="55" t="s">
        <v>10949</v>
      </c>
    </row>
    <row r="4543" ht="14.25" customHeight="1">
      <c r="A4543" s="55" t="s">
        <v>9596</v>
      </c>
      <c r="B4543" s="55" t="s">
        <v>40</v>
      </c>
      <c r="C4543" s="55" t="s">
        <v>11001</v>
      </c>
      <c r="D4543" s="55" t="s">
        <v>10949</v>
      </c>
    </row>
    <row r="4544" ht="14.25" customHeight="1">
      <c r="A4544" s="55" t="s">
        <v>9596</v>
      </c>
      <c r="B4544" s="55" t="s">
        <v>40</v>
      </c>
      <c r="C4544" s="55" t="s">
        <v>13124</v>
      </c>
      <c r="D4544" s="55" t="s">
        <v>9602</v>
      </c>
    </row>
    <row r="4545" ht="14.25" customHeight="1">
      <c r="A4545" s="55" t="s">
        <v>9596</v>
      </c>
      <c r="B4545" s="55" t="s">
        <v>40</v>
      </c>
      <c r="C4545" s="55" t="s">
        <v>13831</v>
      </c>
      <c r="D4545" s="55" t="s">
        <v>9034</v>
      </c>
    </row>
    <row r="4546" ht="14.25" customHeight="1">
      <c r="A4546" s="55" t="s">
        <v>9596</v>
      </c>
      <c r="B4546" s="55" t="s">
        <v>40</v>
      </c>
      <c r="C4546" s="55" t="s">
        <v>11002</v>
      </c>
      <c r="D4546" s="55" t="s">
        <v>9649</v>
      </c>
    </row>
    <row r="4547" ht="14.25" customHeight="1">
      <c r="A4547" s="55" t="s">
        <v>9596</v>
      </c>
      <c r="B4547" s="55" t="s">
        <v>40</v>
      </c>
      <c r="C4547" s="55" t="s">
        <v>9699</v>
      </c>
      <c r="D4547" s="55" t="s">
        <v>9656</v>
      </c>
    </row>
    <row r="4548" ht="14.25" customHeight="1">
      <c r="A4548" s="55" t="s">
        <v>9596</v>
      </c>
      <c r="B4548" s="55" t="s">
        <v>40</v>
      </c>
      <c r="C4548" s="55" t="s">
        <v>11675</v>
      </c>
      <c r="D4548" s="55" t="s">
        <v>9034</v>
      </c>
    </row>
    <row r="4549" ht="14.25" customHeight="1">
      <c r="A4549" s="55" t="s">
        <v>9596</v>
      </c>
      <c r="B4549" s="55" t="s">
        <v>40</v>
      </c>
      <c r="C4549" s="55" t="s">
        <v>11675</v>
      </c>
      <c r="D4549" s="55" t="s">
        <v>12312</v>
      </c>
    </row>
    <row r="4550" ht="14.25" customHeight="1">
      <c r="A4550" s="55" t="s">
        <v>9596</v>
      </c>
      <c r="B4550" s="55" t="s">
        <v>40</v>
      </c>
      <c r="C4550" s="55" t="s">
        <v>11675</v>
      </c>
      <c r="D4550" s="55" t="s">
        <v>9656</v>
      </c>
    </row>
    <row r="4551" ht="14.25" customHeight="1">
      <c r="A4551" s="55" t="s">
        <v>9596</v>
      </c>
      <c r="B4551" s="55" t="s">
        <v>40</v>
      </c>
      <c r="C4551" s="55" t="s">
        <v>11675</v>
      </c>
      <c r="D4551" s="55" t="s">
        <v>13832</v>
      </c>
    </row>
    <row r="4552" ht="14.25" customHeight="1">
      <c r="A4552" s="55" t="s">
        <v>9596</v>
      </c>
      <c r="B4552" s="55" t="s">
        <v>40</v>
      </c>
      <c r="C4552" s="55" t="s">
        <v>14337</v>
      </c>
      <c r="D4552" s="55" t="s">
        <v>14338</v>
      </c>
    </row>
    <row r="4553" ht="14.25" customHeight="1">
      <c r="A4553" s="55" t="s">
        <v>9596</v>
      </c>
      <c r="B4553" s="55" t="s">
        <v>40</v>
      </c>
      <c r="C4553" s="55" t="s">
        <v>13833</v>
      </c>
      <c r="D4553" s="55" t="s">
        <v>9614</v>
      </c>
    </row>
    <row r="4554" ht="14.25" customHeight="1">
      <c r="A4554" s="55" t="s">
        <v>9596</v>
      </c>
      <c r="B4554" s="55" t="s">
        <v>40</v>
      </c>
      <c r="C4554" s="55" t="s">
        <v>10352</v>
      </c>
      <c r="D4554" s="55" t="s">
        <v>9614</v>
      </c>
    </row>
    <row r="4555" ht="14.25" customHeight="1">
      <c r="A4555" s="55" t="s">
        <v>9596</v>
      </c>
      <c r="B4555" s="55" t="s">
        <v>40</v>
      </c>
      <c r="C4555" s="55" t="s">
        <v>13125</v>
      </c>
      <c r="D4555" s="55" t="s">
        <v>9922</v>
      </c>
    </row>
    <row r="4556" ht="14.25" customHeight="1">
      <c r="A4556" s="55" t="s">
        <v>9596</v>
      </c>
      <c r="B4556" s="55" t="s">
        <v>40</v>
      </c>
      <c r="C4556" s="55" t="s">
        <v>10353</v>
      </c>
      <c r="D4556" s="55" t="s">
        <v>9659</v>
      </c>
    </row>
    <row r="4557" ht="14.25" customHeight="1">
      <c r="A4557" s="55" t="s">
        <v>9596</v>
      </c>
      <c r="B4557" s="55" t="s">
        <v>40</v>
      </c>
      <c r="C4557" s="55" t="s">
        <v>252</v>
      </c>
      <c r="D4557" s="55" t="s">
        <v>1948</v>
      </c>
    </row>
    <row r="4558" ht="14.25" customHeight="1">
      <c r="A4558" s="55" t="s">
        <v>9596</v>
      </c>
      <c r="B4558" s="55" t="s">
        <v>40</v>
      </c>
      <c r="C4558" s="55" t="s">
        <v>10354</v>
      </c>
      <c r="D4558" s="55" t="s">
        <v>10355</v>
      </c>
    </row>
    <row r="4559" ht="14.25" customHeight="1">
      <c r="A4559" s="55" t="s">
        <v>9596</v>
      </c>
      <c r="B4559" s="55" t="s">
        <v>40</v>
      </c>
      <c r="C4559" s="55" t="s">
        <v>11003</v>
      </c>
      <c r="D4559" s="55" t="s">
        <v>10355</v>
      </c>
    </row>
    <row r="4560" ht="14.25" customHeight="1">
      <c r="A4560" s="55" t="s">
        <v>9596</v>
      </c>
      <c r="B4560" s="55" t="s">
        <v>40</v>
      </c>
      <c r="C4560" s="55" t="s">
        <v>11003</v>
      </c>
      <c r="D4560" s="55" t="s">
        <v>11676</v>
      </c>
    </row>
    <row r="4561" ht="14.25" customHeight="1">
      <c r="A4561" s="55" t="s">
        <v>9596</v>
      </c>
      <c r="B4561" s="55" t="s">
        <v>40</v>
      </c>
      <c r="C4561" s="55" t="s">
        <v>11003</v>
      </c>
      <c r="D4561" s="55" t="s">
        <v>8968</v>
      </c>
    </row>
    <row r="4562" ht="14.25" customHeight="1">
      <c r="A4562" s="55" t="s">
        <v>9596</v>
      </c>
      <c r="B4562" s="55" t="s">
        <v>40</v>
      </c>
      <c r="C4562" s="55" t="s">
        <v>11003</v>
      </c>
      <c r="D4562" s="55" t="s">
        <v>9144</v>
      </c>
    </row>
    <row r="4563" ht="14.25" customHeight="1">
      <c r="A4563" s="55" t="s">
        <v>9596</v>
      </c>
      <c r="B4563" s="55" t="s">
        <v>40</v>
      </c>
      <c r="C4563" s="55" t="s">
        <v>13834</v>
      </c>
      <c r="D4563" s="55" t="s">
        <v>9144</v>
      </c>
    </row>
    <row r="4564" ht="14.25" customHeight="1">
      <c r="A4564" s="55" t="s">
        <v>9596</v>
      </c>
      <c r="B4564" s="55" t="s">
        <v>40</v>
      </c>
      <c r="C4564" s="55" t="s">
        <v>9700</v>
      </c>
      <c r="D4564" s="55" t="s">
        <v>9701</v>
      </c>
    </row>
    <row r="4565" ht="14.25" customHeight="1">
      <c r="A4565" s="55" t="s">
        <v>9596</v>
      </c>
      <c r="B4565" s="55" t="s">
        <v>40</v>
      </c>
      <c r="C4565" s="55" t="s">
        <v>13126</v>
      </c>
      <c r="D4565" s="55" t="s">
        <v>9228</v>
      </c>
    </row>
    <row r="4566" ht="14.25" customHeight="1">
      <c r="A4566" s="55" t="s">
        <v>9596</v>
      </c>
      <c r="B4566" s="55" t="s">
        <v>40</v>
      </c>
      <c r="C4566" s="55" t="s">
        <v>10356</v>
      </c>
      <c r="D4566" s="55" t="s">
        <v>10357</v>
      </c>
    </row>
    <row r="4567" ht="14.25" customHeight="1">
      <c r="A4567" s="55" t="s">
        <v>9596</v>
      </c>
      <c r="B4567" s="55" t="s">
        <v>40</v>
      </c>
      <c r="C4567" s="55" t="s">
        <v>9702</v>
      </c>
      <c r="D4567" s="55" t="s">
        <v>9659</v>
      </c>
    </row>
    <row r="4568" ht="14.25" customHeight="1">
      <c r="A4568" s="55" t="s">
        <v>9596</v>
      </c>
      <c r="B4568" s="55" t="s">
        <v>40</v>
      </c>
      <c r="C4568" s="55" t="s">
        <v>13127</v>
      </c>
      <c r="D4568" s="55" t="s">
        <v>9216</v>
      </c>
    </row>
    <row r="4569" ht="14.25" customHeight="1">
      <c r="A4569" s="55" t="s">
        <v>9596</v>
      </c>
      <c r="B4569" s="55" t="s">
        <v>40</v>
      </c>
      <c r="C4569" s="55" t="s">
        <v>10358</v>
      </c>
      <c r="D4569" s="55" t="s">
        <v>10359</v>
      </c>
    </row>
    <row r="4570" ht="14.25" customHeight="1">
      <c r="A4570" s="55" t="s">
        <v>9596</v>
      </c>
      <c r="B4570" s="55" t="s">
        <v>40</v>
      </c>
      <c r="C4570" s="55" t="s">
        <v>11004</v>
      </c>
      <c r="D4570" s="55" t="s">
        <v>10985</v>
      </c>
    </row>
    <row r="4571" ht="14.25" customHeight="1">
      <c r="A4571" s="55" t="s">
        <v>9596</v>
      </c>
      <c r="B4571" s="55" t="s">
        <v>40</v>
      </c>
      <c r="C4571" s="55" t="s">
        <v>255</v>
      </c>
      <c r="D4571" s="55" t="s">
        <v>13128</v>
      </c>
    </row>
    <row r="4572" ht="14.25" customHeight="1">
      <c r="A4572" s="55" t="s">
        <v>9596</v>
      </c>
      <c r="B4572" s="55" t="s">
        <v>40</v>
      </c>
      <c r="C4572" s="55" t="s">
        <v>11005</v>
      </c>
      <c r="D4572" s="55" t="s">
        <v>9034</v>
      </c>
    </row>
    <row r="4573" ht="14.25" customHeight="1">
      <c r="A4573" s="55" t="s">
        <v>9596</v>
      </c>
      <c r="B4573" s="55" t="s">
        <v>40</v>
      </c>
      <c r="C4573" s="55" t="s">
        <v>11677</v>
      </c>
      <c r="D4573" s="55" t="s">
        <v>11678</v>
      </c>
    </row>
    <row r="4574" ht="14.25" customHeight="1">
      <c r="A4574" s="55" t="s">
        <v>9596</v>
      </c>
      <c r="B4574" s="55" t="s">
        <v>40</v>
      </c>
      <c r="C4574" s="55" t="s">
        <v>12313</v>
      </c>
      <c r="D4574" s="55" t="s">
        <v>9636</v>
      </c>
    </row>
    <row r="4575" ht="14.25" customHeight="1">
      <c r="A4575" s="55" t="s">
        <v>9596</v>
      </c>
      <c r="B4575" s="55" t="s">
        <v>40</v>
      </c>
      <c r="C4575" s="55" t="s">
        <v>256</v>
      </c>
      <c r="D4575" s="55" t="s">
        <v>10360</v>
      </c>
    </row>
    <row r="4576" ht="14.25" customHeight="1">
      <c r="A4576" s="55" t="s">
        <v>9596</v>
      </c>
      <c r="B4576" s="55" t="s">
        <v>40</v>
      </c>
      <c r="C4576" s="55" t="s">
        <v>7155</v>
      </c>
      <c r="D4576" s="55" t="s">
        <v>9671</v>
      </c>
    </row>
    <row r="4577" ht="14.25" customHeight="1">
      <c r="A4577" s="55" t="s">
        <v>9596</v>
      </c>
      <c r="B4577" s="55" t="s">
        <v>40</v>
      </c>
      <c r="C4577" s="55" t="s">
        <v>9703</v>
      </c>
      <c r="D4577" s="55" t="s">
        <v>9055</v>
      </c>
    </row>
    <row r="4578" ht="14.25" customHeight="1">
      <c r="A4578" s="55" t="s">
        <v>9596</v>
      </c>
      <c r="B4578" s="55" t="s">
        <v>40</v>
      </c>
      <c r="C4578" s="55" t="s">
        <v>9703</v>
      </c>
      <c r="D4578" s="55" t="s">
        <v>9216</v>
      </c>
    </row>
    <row r="4579" ht="14.25" customHeight="1">
      <c r="A4579" s="55" t="s">
        <v>9596</v>
      </c>
      <c r="B4579" s="55" t="s">
        <v>40</v>
      </c>
      <c r="C4579" s="55" t="s">
        <v>11006</v>
      </c>
      <c r="D4579" s="55" t="s">
        <v>9618</v>
      </c>
    </row>
    <row r="4580" ht="14.25" customHeight="1">
      <c r="A4580" s="55" t="s">
        <v>9596</v>
      </c>
      <c r="B4580" s="55" t="s">
        <v>40</v>
      </c>
      <c r="C4580" s="55" t="s">
        <v>11006</v>
      </c>
      <c r="D4580" s="55" t="s">
        <v>9216</v>
      </c>
    </row>
    <row r="4581" ht="14.25" customHeight="1">
      <c r="A4581" s="55" t="s">
        <v>9596</v>
      </c>
      <c r="B4581" s="55" t="s">
        <v>40</v>
      </c>
      <c r="C4581" s="55" t="s">
        <v>14339</v>
      </c>
      <c r="D4581" s="55" t="s">
        <v>14340</v>
      </c>
    </row>
    <row r="4582" ht="14.25" customHeight="1">
      <c r="A4582" s="55" t="s">
        <v>9596</v>
      </c>
      <c r="B4582" s="55" t="s">
        <v>40</v>
      </c>
      <c r="C4582" s="55" t="s">
        <v>11007</v>
      </c>
      <c r="D4582" s="55" t="s">
        <v>9034</v>
      </c>
    </row>
    <row r="4583" ht="14.25" customHeight="1">
      <c r="A4583" s="55" t="s">
        <v>9596</v>
      </c>
      <c r="B4583" s="55" t="s">
        <v>40</v>
      </c>
      <c r="C4583" s="55" t="s">
        <v>11008</v>
      </c>
      <c r="D4583" s="55" t="s">
        <v>9643</v>
      </c>
    </row>
    <row r="4584" ht="14.25" customHeight="1">
      <c r="A4584" s="55" t="s">
        <v>9596</v>
      </c>
      <c r="B4584" s="55" t="s">
        <v>40</v>
      </c>
      <c r="C4584" s="55" t="s">
        <v>13129</v>
      </c>
      <c r="D4584" s="55" t="s">
        <v>10350</v>
      </c>
    </row>
    <row r="4585" ht="14.25" customHeight="1">
      <c r="A4585" s="55" t="s">
        <v>9596</v>
      </c>
      <c r="B4585" s="55" t="s">
        <v>40</v>
      </c>
      <c r="C4585" s="55" t="s">
        <v>13835</v>
      </c>
      <c r="D4585" s="55" t="s">
        <v>13836</v>
      </c>
    </row>
    <row r="4586" ht="14.25" customHeight="1">
      <c r="A4586" s="55" t="s">
        <v>9596</v>
      </c>
      <c r="B4586" s="55" t="s">
        <v>40</v>
      </c>
      <c r="C4586" s="55" t="s">
        <v>11080</v>
      </c>
      <c r="D4586" s="55" t="s">
        <v>13837</v>
      </c>
    </row>
    <row r="4587" ht="14.25" customHeight="1">
      <c r="A4587" s="55" t="s">
        <v>9596</v>
      </c>
      <c r="B4587" s="55" t="s">
        <v>40</v>
      </c>
      <c r="C4587" s="55" t="s">
        <v>9704</v>
      </c>
      <c r="D4587" s="55" t="s">
        <v>9705</v>
      </c>
    </row>
    <row r="4588" ht="14.25" customHeight="1">
      <c r="A4588" s="55" t="s">
        <v>9596</v>
      </c>
      <c r="B4588" s="55" t="s">
        <v>40</v>
      </c>
      <c r="C4588" s="55" t="s">
        <v>9704</v>
      </c>
      <c r="D4588" s="55" t="s">
        <v>12190</v>
      </c>
    </row>
    <row r="4589" ht="14.25" customHeight="1">
      <c r="A4589" s="55" t="s">
        <v>9596</v>
      </c>
      <c r="B4589" s="55" t="s">
        <v>40</v>
      </c>
      <c r="C4589" s="55" t="s">
        <v>13130</v>
      </c>
      <c r="D4589" s="55" t="s">
        <v>9649</v>
      </c>
    </row>
    <row r="4590" ht="14.25" customHeight="1">
      <c r="A4590" s="55" t="s">
        <v>9596</v>
      </c>
      <c r="B4590" s="55" t="s">
        <v>40</v>
      </c>
      <c r="C4590" s="55" t="s">
        <v>13838</v>
      </c>
      <c r="D4590" s="55" t="s">
        <v>13839</v>
      </c>
    </row>
    <row r="4591" ht="14.25" customHeight="1">
      <c r="A4591" s="55" t="s">
        <v>9596</v>
      </c>
      <c r="B4591" s="55" t="s">
        <v>40</v>
      </c>
      <c r="C4591" s="55" t="s">
        <v>11009</v>
      </c>
      <c r="D4591" s="55" t="s">
        <v>9643</v>
      </c>
    </row>
    <row r="4592" ht="14.25" customHeight="1">
      <c r="A4592" s="55" t="s">
        <v>9596</v>
      </c>
      <c r="B4592" s="55" t="s">
        <v>40</v>
      </c>
      <c r="C4592" s="55" t="s">
        <v>11010</v>
      </c>
      <c r="D4592" s="55" t="s">
        <v>9649</v>
      </c>
    </row>
    <row r="4593" ht="14.25" customHeight="1">
      <c r="A4593" s="55" t="s">
        <v>9596</v>
      </c>
      <c r="B4593" s="55" t="s">
        <v>40</v>
      </c>
      <c r="C4593" s="55" t="s">
        <v>269</v>
      </c>
      <c r="D4593" s="55" t="s">
        <v>9034</v>
      </c>
    </row>
    <row r="4594" ht="14.25" customHeight="1">
      <c r="A4594" s="55" t="s">
        <v>9596</v>
      </c>
      <c r="B4594" s="55" t="s">
        <v>40</v>
      </c>
      <c r="C4594" s="55" t="s">
        <v>269</v>
      </c>
      <c r="D4594" s="55" t="s">
        <v>9705</v>
      </c>
    </row>
    <row r="4595" ht="14.25" customHeight="1">
      <c r="A4595" s="55" t="s">
        <v>9596</v>
      </c>
      <c r="B4595" s="55" t="s">
        <v>40</v>
      </c>
      <c r="C4595" s="55" t="s">
        <v>269</v>
      </c>
      <c r="D4595" s="55" t="s">
        <v>9706</v>
      </c>
    </row>
    <row r="4596" ht="14.25" customHeight="1">
      <c r="A4596" s="55" t="s">
        <v>9596</v>
      </c>
      <c r="B4596" s="55" t="s">
        <v>40</v>
      </c>
      <c r="C4596" s="55" t="s">
        <v>269</v>
      </c>
      <c r="D4596" s="55" t="s">
        <v>10361</v>
      </c>
    </row>
    <row r="4597" ht="14.25" customHeight="1">
      <c r="A4597" s="55" t="s">
        <v>9596</v>
      </c>
      <c r="B4597" s="55" t="s">
        <v>40</v>
      </c>
      <c r="C4597" s="55" t="s">
        <v>269</v>
      </c>
      <c r="D4597" s="55" t="s">
        <v>9228</v>
      </c>
    </row>
    <row r="4598" ht="14.25" customHeight="1">
      <c r="A4598" s="55" t="s">
        <v>9596</v>
      </c>
      <c r="B4598" s="55" t="s">
        <v>40</v>
      </c>
      <c r="C4598" s="55" t="s">
        <v>269</v>
      </c>
      <c r="D4598" s="55" t="s">
        <v>14341</v>
      </c>
    </row>
    <row r="4599" ht="14.25" customHeight="1">
      <c r="A4599" s="55" t="s">
        <v>9596</v>
      </c>
      <c r="B4599" s="55" t="s">
        <v>40</v>
      </c>
      <c r="C4599" s="55" t="s">
        <v>11679</v>
      </c>
      <c r="D4599" s="55" t="s">
        <v>11680</v>
      </c>
    </row>
    <row r="4600" ht="14.25" customHeight="1">
      <c r="A4600" s="55" t="s">
        <v>9596</v>
      </c>
      <c r="B4600" s="55" t="s">
        <v>40</v>
      </c>
      <c r="C4600" s="55" t="s">
        <v>12314</v>
      </c>
      <c r="D4600" s="55" t="s">
        <v>12315</v>
      </c>
    </row>
    <row r="4601" ht="14.25" customHeight="1">
      <c r="A4601" s="55" t="s">
        <v>9596</v>
      </c>
      <c r="B4601" s="55" t="s">
        <v>40</v>
      </c>
      <c r="C4601" s="55" t="s">
        <v>13131</v>
      </c>
      <c r="D4601" s="55" t="s">
        <v>12394</v>
      </c>
    </row>
    <row r="4602" ht="14.25" customHeight="1">
      <c r="A4602" s="55" t="s">
        <v>9596</v>
      </c>
      <c r="B4602" s="55" t="s">
        <v>40</v>
      </c>
      <c r="C4602" s="55" t="s">
        <v>12316</v>
      </c>
      <c r="D4602" s="55" t="s">
        <v>11119</v>
      </c>
    </row>
    <row r="4603" ht="14.25" customHeight="1">
      <c r="A4603" s="55" t="s">
        <v>9596</v>
      </c>
      <c r="B4603" s="55" t="s">
        <v>40</v>
      </c>
      <c r="C4603" s="55" t="s">
        <v>9707</v>
      </c>
      <c r="D4603" s="55" t="s">
        <v>9708</v>
      </c>
    </row>
    <row r="4604" ht="14.25" customHeight="1">
      <c r="A4604" s="55" t="s">
        <v>9596</v>
      </c>
      <c r="B4604" s="55" t="s">
        <v>40</v>
      </c>
      <c r="C4604" s="55" t="s">
        <v>9437</v>
      </c>
      <c r="D4604" s="55" t="s">
        <v>13132</v>
      </c>
    </row>
    <row r="4605" ht="14.25" customHeight="1">
      <c r="A4605" s="55" t="s">
        <v>9596</v>
      </c>
      <c r="B4605" s="55" t="s">
        <v>40</v>
      </c>
      <c r="C4605" s="55" t="s">
        <v>12317</v>
      </c>
      <c r="D4605" s="55" t="s">
        <v>12318</v>
      </c>
    </row>
    <row r="4606" ht="14.25" customHeight="1">
      <c r="A4606" s="55" t="s">
        <v>9596</v>
      </c>
      <c r="B4606" s="55" t="s">
        <v>40</v>
      </c>
      <c r="C4606" s="55" t="s">
        <v>11011</v>
      </c>
      <c r="D4606" s="55" t="s">
        <v>9034</v>
      </c>
    </row>
    <row r="4607" ht="14.25" customHeight="1">
      <c r="A4607" s="55" t="s">
        <v>9596</v>
      </c>
      <c r="B4607" s="55" t="s">
        <v>40</v>
      </c>
      <c r="C4607" s="55" t="s">
        <v>10362</v>
      </c>
      <c r="D4607" s="55" t="s">
        <v>10363</v>
      </c>
    </row>
    <row r="4608" ht="14.25" customHeight="1">
      <c r="A4608" s="55" t="s">
        <v>9596</v>
      </c>
      <c r="B4608" s="55" t="s">
        <v>40</v>
      </c>
      <c r="C4608" s="55" t="s">
        <v>8861</v>
      </c>
      <c r="D4608" s="55" t="s">
        <v>11681</v>
      </c>
    </row>
    <row r="4609" ht="14.25" customHeight="1">
      <c r="A4609" s="55" t="s">
        <v>9596</v>
      </c>
      <c r="B4609" s="55" t="s">
        <v>40</v>
      </c>
      <c r="C4609" s="55" t="s">
        <v>11012</v>
      </c>
      <c r="D4609" s="55" t="s">
        <v>9034</v>
      </c>
    </row>
    <row r="4610" ht="14.25" customHeight="1">
      <c r="A4610" s="55" t="s">
        <v>9596</v>
      </c>
      <c r="B4610" s="55" t="s">
        <v>40</v>
      </c>
      <c r="C4610" s="55" t="s">
        <v>12319</v>
      </c>
      <c r="D4610" s="55" t="s">
        <v>9616</v>
      </c>
    </row>
    <row r="4611" ht="14.25" customHeight="1">
      <c r="A4611" s="55" t="s">
        <v>9596</v>
      </c>
      <c r="B4611" s="55" t="s">
        <v>40</v>
      </c>
      <c r="C4611" s="55" t="s">
        <v>9005</v>
      </c>
      <c r="D4611" s="55" t="s">
        <v>9006</v>
      </c>
    </row>
    <row r="4612" ht="14.25" customHeight="1">
      <c r="A4612" s="55" t="s">
        <v>9596</v>
      </c>
      <c r="B4612" s="55" t="s">
        <v>40</v>
      </c>
      <c r="C4612" s="55" t="s">
        <v>9005</v>
      </c>
      <c r="D4612" s="55" t="s">
        <v>14342</v>
      </c>
    </row>
    <row r="4613" ht="14.25" customHeight="1">
      <c r="A4613" s="55" t="s">
        <v>9596</v>
      </c>
      <c r="B4613" s="55" t="s">
        <v>40</v>
      </c>
      <c r="C4613" s="55" t="s">
        <v>9005</v>
      </c>
      <c r="D4613" s="55" t="s">
        <v>10986</v>
      </c>
    </row>
    <row r="4614" ht="14.25" customHeight="1">
      <c r="A4614" s="55" t="s">
        <v>9596</v>
      </c>
      <c r="B4614" s="55" t="s">
        <v>40</v>
      </c>
      <c r="C4614" s="55" t="s">
        <v>9005</v>
      </c>
      <c r="D4614" s="55" t="s">
        <v>14343</v>
      </c>
    </row>
    <row r="4615" ht="14.25" customHeight="1">
      <c r="A4615" s="55" t="s">
        <v>9596</v>
      </c>
      <c r="B4615" s="55" t="s">
        <v>40</v>
      </c>
      <c r="C4615" s="55" t="s">
        <v>9005</v>
      </c>
      <c r="D4615" s="55" t="s">
        <v>10062</v>
      </c>
    </row>
    <row r="4616" ht="14.25" customHeight="1">
      <c r="A4616" s="55" t="s">
        <v>9596</v>
      </c>
      <c r="B4616" s="55" t="s">
        <v>40</v>
      </c>
      <c r="C4616" s="55" t="s">
        <v>9529</v>
      </c>
      <c r="D4616" s="55" t="s">
        <v>9006</v>
      </c>
    </row>
    <row r="4617" ht="14.25" customHeight="1">
      <c r="A4617" s="55" t="s">
        <v>9596</v>
      </c>
      <c r="B4617" s="55" t="s">
        <v>40</v>
      </c>
      <c r="C4617" s="55" t="s">
        <v>9529</v>
      </c>
      <c r="D4617" s="55" t="s">
        <v>13133</v>
      </c>
    </row>
    <row r="4618" ht="14.25" customHeight="1">
      <c r="A4618" s="55" t="s">
        <v>9596</v>
      </c>
      <c r="B4618" s="55" t="s">
        <v>40</v>
      </c>
      <c r="C4618" s="55" t="s">
        <v>9529</v>
      </c>
      <c r="D4618" s="55" t="s">
        <v>9970</v>
      </c>
    </row>
    <row r="4619" ht="14.25" customHeight="1">
      <c r="A4619" s="55" t="s">
        <v>9596</v>
      </c>
      <c r="B4619" s="55" t="s">
        <v>40</v>
      </c>
      <c r="C4619" s="55" t="s">
        <v>9007</v>
      </c>
      <c r="D4619" s="55" t="s">
        <v>9006</v>
      </c>
    </row>
    <row r="4620" ht="14.25" customHeight="1">
      <c r="A4620" s="55" t="s">
        <v>9596</v>
      </c>
      <c r="B4620" s="55" t="s">
        <v>40</v>
      </c>
      <c r="C4620" s="55" t="s">
        <v>9007</v>
      </c>
      <c r="D4620" s="55" t="s">
        <v>9004</v>
      </c>
    </row>
    <row r="4621" ht="14.25" customHeight="1">
      <c r="A4621" s="55" t="s">
        <v>9596</v>
      </c>
      <c r="B4621" s="55" t="s">
        <v>40</v>
      </c>
      <c r="C4621" s="55" t="s">
        <v>2163</v>
      </c>
      <c r="D4621" s="55" t="s">
        <v>9034</v>
      </c>
    </row>
    <row r="4622" ht="14.25" customHeight="1">
      <c r="A4622" s="55" t="s">
        <v>9596</v>
      </c>
      <c r="B4622" s="55" t="s">
        <v>40</v>
      </c>
      <c r="C4622" s="55" t="s">
        <v>2163</v>
      </c>
      <c r="D4622" s="55" t="s">
        <v>9021</v>
      </c>
    </row>
    <row r="4623" ht="14.25" customHeight="1">
      <c r="A4623" s="55" t="s">
        <v>9596</v>
      </c>
      <c r="B4623" s="55" t="s">
        <v>40</v>
      </c>
      <c r="C4623" s="55" t="s">
        <v>2163</v>
      </c>
      <c r="D4623" s="55" t="s">
        <v>9008</v>
      </c>
    </row>
    <row r="4624" ht="14.25" customHeight="1">
      <c r="A4624" s="55" t="s">
        <v>9596</v>
      </c>
      <c r="B4624" s="55" t="s">
        <v>40</v>
      </c>
      <c r="C4624" s="55" t="s">
        <v>2163</v>
      </c>
      <c r="D4624" s="55" t="s">
        <v>13134</v>
      </c>
    </row>
    <row r="4625" ht="14.25" customHeight="1">
      <c r="A4625" s="55" t="s">
        <v>9596</v>
      </c>
      <c r="B4625" s="55" t="s">
        <v>40</v>
      </c>
      <c r="C4625" s="55" t="s">
        <v>2163</v>
      </c>
      <c r="D4625" s="55" t="s">
        <v>9970</v>
      </c>
    </row>
    <row r="4626" ht="14.25" customHeight="1">
      <c r="A4626" s="55" t="s">
        <v>9596</v>
      </c>
      <c r="B4626" s="55" t="s">
        <v>40</v>
      </c>
      <c r="C4626" s="55" t="s">
        <v>2163</v>
      </c>
      <c r="D4626" s="55" t="s">
        <v>13135</v>
      </c>
    </row>
    <row r="4627" ht="14.25" customHeight="1">
      <c r="A4627" s="55" t="s">
        <v>9596</v>
      </c>
      <c r="B4627" s="55" t="s">
        <v>40</v>
      </c>
      <c r="C4627" s="55" t="s">
        <v>2163</v>
      </c>
      <c r="D4627" s="55" t="s">
        <v>9004</v>
      </c>
    </row>
    <row r="4628" ht="14.25" customHeight="1">
      <c r="A4628" s="55" t="s">
        <v>9596</v>
      </c>
      <c r="B4628" s="55" t="s">
        <v>40</v>
      </c>
      <c r="C4628" s="55" t="s">
        <v>2163</v>
      </c>
      <c r="D4628" s="55" t="s">
        <v>14344</v>
      </c>
    </row>
    <row r="4629" ht="14.25" customHeight="1">
      <c r="A4629" s="55" t="s">
        <v>9596</v>
      </c>
      <c r="B4629" s="55" t="s">
        <v>40</v>
      </c>
      <c r="C4629" s="55" t="s">
        <v>324</v>
      </c>
      <c r="D4629" s="55" t="s">
        <v>13840</v>
      </c>
    </row>
    <row r="4630" ht="14.25" customHeight="1">
      <c r="A4630" s="55" t="s">
        <v>9596</v>
      </c>
      <c r="B4630" s="55" t="s">
        <v>40</v>
      </c>
      <c r="C4630" s="55" t="s">
        <v>324</v>
      </c>
      <c r="D4630" s="55" t="s">
        <v>14345</v>
      </c>
    </row>
    <row r="4631" ht="14.25" customHeight="1">
      <c r="A4631" s="55" t="s">
        <v>9596</v>
      </c>
      <c r="B4631" s="55" t="s">
        <v>40</v>
      </c>
      <c r="C4631" s="55" t="s">
        <v>324</v>
      </c>
      <c r="D4631" s="55" t="s">
        <v>13136</v>
      </c>
    </row>
    <row r="4632" ht="14.25" customHeight="1">
      <c r="A4632" s="55" t="s">
        <v>9596</v>
      </c>
      <c r="B4632" s="55" t="s">
        <v>40</v>
      </c>
      <c r="C4632" s="55" t="s">
        <v>13137</v>
      </c>
      <c r="D4632" s="55" t="s">
        <v>9274</v>
      </c>
    </row>
    <row r="4633" ht="14.25" customHeight="1">
      <c r="A4633" s="55" t="s">
        <v>9596</v>
      </c>
      <c r="B4633" s="55" t="s">
        <v>40</v>
      </c>
      <c r="C4633" s="55" t="s">
        <v>11682</v>
      </c>
      <c r="D4633" s="55" t="s">
        <v>9671</v>
      </c>
    </row>
    <row r="4634" ht="14.25" customHeight="1">
      <c r="A4634" s="55" t="s">
        <v>9596</v>
      </c>
      <c r="B4634" s="55" t="s">
        <v>40</v>
      </c>
      <c r="C4634" s="55" t="s">
        <v>12320</v>
      </c>
      <c r="D4634" s="55" t="s">
        <v>9216</v>
      </c>
    </row>
    <row r="4635" ht="14.25" customHeight="1">
      <c r="A4635" s="55" t="s">
        <v>9596</v>
      </c>
      <c r="B4635" s="55" t="s">
        <v>40</v>
      </c>
      <c r="C4635" s="55" t="s">
        <v>13138</v>
      </c>
      <c r="D4635" s="55" t="s">
        <v>13139</v>
      </c>
    </row>
    <row r="4636" ht="14.25" customHeight="1">
      <c r="A4636" s="55" t="s">
        <v>9596</v>
      </c>
      <c r="B4636" s="55" t="s">
        <v>40</v>
      </c>
      <c r="C4636" s="55" t="s">
        <v>10364</v>
      </c>
      <c r="D4636" s="55" t="s">
        <v>10365</v>
      </c>
    </row>
    <row r="4637" ht="14.25" customHeight="1">
      <c r="A4637" s="55" t="s">
        <v>9596</v>
      </c>
      <c r="B4637" s="55" t="s">
        <v>40</v>
      </c>
      <c r="C4637" s="55" t="s">
        <v>10366</v>
      </c>
      <c r="D4637" s="55" t="s">
        <v>9305</v>
      </c>
    </row>
    <row r="4638" ht="14.25" customHeight="1">
      <c r="A4638" s="55" t="s">
        <v>9596</v>
      </c>
      <c r="B4638" s="55" t="s">
        <v>40</v>
      </c>
      <c r="C4638" s="55" t="s">
        <v>9709</v>
      </c>
      <c r="D4638" s="55" t="s">
        <v>9649</v>
      </c>
    </row>
    <row r="4639" ht="14.25" customHeight="1">
      <c r="A4639" s="55" t="s">
        <v>9596</v>
      </c>
      <c r="B4639" s="55" t="s">
        <v>40</v>
      </c>
      <c r="C4639" s="55" t="s">
        <v>14346</v>
      </c>
      <c r="D4639" s="55" t="s">
        <v>9636</v>
      </c>
    </row>
    <row r="4640" ht="14.25" customHeight="1">
      <c r="A4640" s="55" t="s">
        <v>9596</v>
      </c>
      <c r="B4640" s="55" t="s">
        <v>40</v>
      </c>
      <c r="C4640" s="55" t="s">
        <v>14347</v>
      </c>
      <c r="D4640" s="55" t="s">
        <v>10986</v>
      </c>
    </row>
    <row r="4641" ht="14.25" customHeight="1">
      <c r="A4641" s="55" t="s">
        <v>9596</v>
      </c>
      <c r="B4641" s="55" t="s">
        <v>40</v>
      </c>
      <c r="C4641" s="55" t="s">
        <v>13841</v>
      </c>
      <c r="D4641" s="55" t="s">
        <v>9034</v>
      </c>
    </row>
    <row r="4642" ht="14.25" customHeight="1">
      <c r="A4642" s="55" t="s">
        <v>9596</v>
      </c>
      <c r="B4642" s="55" t="s">
        <v>40</v>
      </c>
      <c r="C4642" s="55" t="s">
        <v>11013</v>
      </c>
      <c r="D4642" s="55" t="s">
        <v>9034</v>
      </c>
    </row>
    <row r="4643" ht="14.25" customHeight="1">
      <c r="A4643" s="55" t="s">
        <v>9596</v>
      </c>
      <c r="B4643" s="55" t="s">
        <v>40</v>
      </c>
      <c r="C4643" s="55" t="s">
        <v>11013</v>
      </c>
      <c r="D4643" s="55" t="s">
        <v>11683</v>
      </c>
    </row>
    <row r="4644" ht="14.25" customHeight="1">
      <c r="A4644" s="55" t="s">
        <v>9596</v>
      </c>
      <c r="B4644" s="55" t="s">
        <v>40</v>
      </c>
      <c r="C4644" s="55" t="s">
        <v>11013</v>
      </c>
      <c r="D4644" s="55" t="s">
        <v>10321</v>
      </c>
    </row>
    <row r="4645" ht="14.25" customHeight="1">
      <c r="A4645" s="55" t="s">
        <v>9596</v>
      </c>
      <c r="B4645" s="55" t="s">
        <v>40</v>
      </c>
      <c r="C4645" s="55" t="s">
        <v>10367</v>
      </c>
      <c r="D4645" s="55" t="s">
        <v>10368</v>
      </c>
    </row>
    <row r="4646" ht="14.25" customHeight="1">
      <c r="A4646" s="55" t="s">
        <v>9596</v>
      </c>
      <c r="B4646" s="55" t="s">
        <v>40</v>
      </c>
      <c r="C4646" s="55" t="s">
        <v>10367</v>
      </c>
      <c r="D4646" s="55" t="s">
        <v>9141</v>
      </c>
    </row>
    <row r="4647" ht="14.25" customHeight="1">
      <c r="A4647" s="55" t="s">
        <v>9596</v>
      </c>
      <c r="B4647" s="55" t="s">
        <v>40</v>
      </c>
      <c r="C4647" s="55" t="s">
        <v>14348</v>
      </c>
      <c r="D4647" s="55" t="s">
        <v>10342</v>
      </c>
    </row>
    <row r="4648" ht="14.25" customHeight="1">
      <c r="A4648" s="55" t="s">
        <v>9596</v>
      </c>
      <c r="B4648" s="55" t="s">
        <v>40</v>
      </c>
      <c r="C4648" s="55" t="s">
        <v>13140</v>
      </c>
      <c r="D4648" s="55" t="s">
        <v>10342</v>
      </c>
    </row>
    <row r="4649" ht="14.25" customHeight="1">
      <c r="A4649" s="55" t="s">
        <v>9596</v>
      </c>
      <c r="B4649" s="55" t="s">
        <v>40</v>
      </c>
      <c r="C4649" s="55" t="s">
        <v>13140</v>
      </c>
      <c r="D4649" s="55" t="s">
        <v>9616</v>
      </c>
    </row>
    <row r="4650" ht="14.25" customHeight="1">
      <c r="A4650" s="55" t="s">
        <v>9596</v>
      </c>
      <c r="B4650" s="55" t="s">
        <v>40</v>
      </c>
      <c r="C4650" s="55" t="s">
        <v>13140</v>
      </c>
      <c r="D4650" s="55" t="s">
        <v>13141</v>
      </c>
    </row>
    <row r="4651" ht="14.25" customHeight="1">
      <c r="A4651" s="55" t="s">
        <v>9596</v>
      </c>
      <c r="B4651" s="55" t="s">
        <v>40</v>
      </c>
      <c r="C4651" s="55" t="s">
        <v>9710</v>
      </c>
      <c r="D4651" s="55" t="s">
        <v>9711</v>
      </c>
    </row>
    <row r="4652" ht="14.25" customHeight="1">
      <c r="A4652" s="55" t="s">
        <v>9596</v>
      </c>
      <c r="B4652" s="55" t="s">
        <v>40</v>
      </c>
      <c r="C4652" s="55" t="s">
        <v>13142</v>
      </c>
      <c r="D4652" s="55" t="s">
        <v>9430</v>
      </c>
    </row>
    <row r="4653" ht="14.25" customHeight="1">
      <c r="A4653" s="55" t="s">
        <v>9596</v>
      </c>
      <c r="B4653" s="55" t="s">
        <v>40</v>
      </c>
      <c r="C4653" s="55" t="s">
        <v>9712</v>
      </c>
      <c r="D4653" s="55" t="s">
        <v>9430</v>
      </c>
    </row>
    <row r="4654" ht="14.25" customHeight="1">
      <c r="A4654" s="55" t="s">
        <v>9596</v>
      </c>
      <c r="B4654" s="55" t="s">
        <v>40</v>
      </c>
      <c r="C4654" s="55" t="s">
        <v>13143</v>
      </c>
      <c r="D4654" s="55" t="s">
        <v>13144</v>
      </c>
    </row>
    <row r="4655" ht="14.25" customHeight="1">
      <c r="A4655" s="55" t="s">
        <v>9596</v>
      </c>
      <c r="B4655" s="55" t="s">
        <v>40</v>
      </c>
      <c r="C4655" s="55" t="s">
        <v>14349</v>
      </c>
      <c r="D4655" s="55" t="s">
        <v>14350</v>
      </c>
    </row>
    <row r="4656" ht="14.25" customHeight="1">
      <c r="A4656" s="55" t="s">
        <v>9596</v>
      </c>
      <c r="B4656" s="55" t="s">
        <v>40</v>
      </c>
      <c r="C4656" s="55" t="s">
        <v>12321</v>
      </c>
      <c r="D4656" s="55" t="s">
        <v>10306</v>
      </c>
    </row>
    <row r="4657" ht="14.25" customHeight="1">
      <c r="A4657" s="55" t="s">
        <v>9596</v>
      </c>
      <c r="B4657" s="55" t="s">
        <v>40</v>
      </c>
      <c r="C4657" s="55" t="s">
        <v>12321</v>
      </c>
      <c r="D4657" s="55" t="s">
        <v>9228</v>
      </c>
    </row>
    <row r="4658" ht="14.25" customHeight="1">
      <c r="A4658" s="55" t="s">
        <v>9596</v>
      </c>
      <c r="B4658" s="55" t="s">
        <v>40</v>
      </c>
      <c r="C4658" s="55" t="s">
        <v>12321</v>
      </c>
      <c r="D4658" s="55" t="s">
        <v>12322</v>
      </c>
    </row>
    <row r="4659" ht="14.25" customHeight="1">
      <c r="A4659" s="55" t="s">
        <v>9596</v>
      </c>
      <c r="B4659" s="55" t="s">
        <v>40</v>
      </c>
      <c r="C4659" s="55" t="s">
        <v>11014</v>
      </c>
      <c r="D4659" s="55" t="s">
        <v>9604</v>
      </c>
    </row>
    <row r="4660" ht="14.25" customHeight="1">
      <c r="A4660" s="55" t="s">
        <v>9596</v>
      </c>
      <c r="B4660" s="55" t="s">
        <v>41</v>
      </c>
      <c r="C4660" s="55" t="s">
        <v>11015</v>
      </c>
      <c r="D4660" s="55" t="s">
        <v>11016</v>
      </c>
    </row>
    <row r="4661" ht="14.25" customHeight="1">
      <c r="A4661" s="55" t="s">
        <v>9596</v>
      </c>
      <c r="B4661" s="55" t="s">
        <v>41</v>
      </c>
      <c r="C4661" s="55" t="s">
        <v>2342</v>
      </c>
      <c r="D4661" s="55" t="s">
        <v>13145</v>
      </c>
    </row>
    <row r="4662" ht="14.25" customHeight="1">
      <c r="A4662" s="55" t="s">
        <v>9596</v>
      </c>
      <c r="B4662" s="55" t="s">
        <v>41</v>
      </c>
      <c r="C4662" s="55" t="s">
        <v>2342</v>
      </c>
      <c r="D4662" s="55" t="s">
        <v>13146</v>
      </c>
    </row>
    <row r="4663" ht="14.25" customHeight="1">
      <c r="A4663" s="55" t="s">
        <v>9596</v>
      </c>
      <c r="B4663" s="55" t="s">
        <v>41</v>
      </c>
      <c r="C4663" s="55" t="s">
        <v>11017</v>
      </c>
      <c r="D4663" s="55" t="s">
        <v>10622</v>
      </c>
    </row>
    <row r="4664" ht="14.25" customHeight="1">
      <c r="A4664" s="55" t="s">
        <v>9596</v>
      </c>
      <c r="B4664" s="55" t="s">
        <v>41</v>
      </c>
      <c r="C4664" s="55" t="s">
        <v>13147</v>
      </c>
      <c r="D4664" s="55" t="s">
        <v>13148</v>
      </c>
    </row>
    <row r="4665" ht="14.25" customHeight="1">
      <c r="A4665" s="55" t="s">
        <v>9596</v>
      </c>
      <c r="B4665" s="55" t="s">
        <v>41</v>
      </c>
      <c r="C4665" s="55" t="s">
        <v>12238</v>
      </c>
      <c r="D4665" s="55" t="s">
        <v>13149</v>
      </c>
    </row>
    <row r="4666" ht="14.25" customHeight="1">
      <c r="A4666" s="55" t="s">
        <v>9596</v>
      </c>
      <c r="B4666" s="55" t="s">
        <v>41</v>
      </c>
      <c r="C4666" s="55" t="s">
        <v>13150</v>
      </c>
      <c r="D4666" s="55" t="s">
        <v>12573</v>
      </c>
    </row>
    <row r="4667" ht="14.25" customHeight="1">
      <c r="A4667" s="55" t="s">
        <v>9596</v>
      </c>
      <c r="B4667" s="55" t="s">
        <v>41</v>
      </c>
      <c r="C4667" s="55" t="s">
        <v>9713</v>
      </c>
      <c r="D4667" s="55" t="s">
        <v>9714</v>
      </c>
    </row>
    <row r="4668" ht="14.25" customHeight="1">
      <c r="A4668" s="55" t="s">
        <v>9596</v>
      </c>
      <c r="B4668" s="55" t="s">
        <v>41</v>
      </c>
      <c r="C4668" s="55" t="s">
        <v>9313</v>
      </c>
      <c r="D4668" s="55" t="s">
        <v>11018</v>
      </c>
    </row>
    <row r="4669" ht="14.25" customHeight="1">
      <c r="A4669" s="55" t="s">
        <v>9596</v>
      </c>
      <c r="B4669" s="55" t="s">
        <v>41</v>
      </c>
      <c r="C4669" s="55" t="s">
        <v>11019</v>
      </c>
      <c r="D4669" s="55" t="s">
        <v>11020</v>
      </c>
    </row>
    <row r="4670" ht="14.25" customHeight="1">
      <c r="A4670" s="55" t="s">
        <v>9596</v>
      </c>
      <c r="B4670" s="55" t="s">
        <v>41</v>
      </c>
      <c r="C4670" s="55" t="s">
        <v>11021</v>
      </c>
      <c r="D4670" s="55" t="s">
        <v>11022</v>
      </c>
    </row>
    <row r="4671" ht="14.25" customHeight="1">
      <c r="A4671" s="55" t="s">
        <v>9596</v>
      </c>
      <c r="B4671" s="55" t="s">
        <v>41</v>
      </c>
      <c r="C4671" s="55" t="s">
        <v>1889</v>
      </c>
      <c r="D4671" s="55" t="s">
        <v>9746</v>
      </c>
    </row>
    <row r="4672" ht="14.25" customHeight="1">
      <c r="A4672" s="55" t="s">
        <v>9596</v>
      </c>
      <c r="B4672" s="55" t="s">
        <v>41</v>
      </c>
      <c r="C4672" s="55" t="s">
        <v>13151</v>
      </c>
      <c r="D4672" s="55" t="s">
        <v>9705</v>
      </c>
    </row>
    <row r="4673" ht="14.25" customHeight="1">
      <c r="A4673" s="55" t="s">
        <v>9596</v>
      </c>
      <c r="B4673" s="55" t="s">
        <v>41</v>
      </c>
      <c r="C4673" s="55" t="s">
        <v>13152</v>
      </c>
      <c r="D4673" s="55" t="s">
        <v>12573</v>
      </c>
    </row>
    <row r="4674" ht="14.25" customHeight="1">
      <c r="A4674" s="55" t="s">
        <v>9596</v>
      </c>
      <c r="B4674" s="55" t="s">
        <v>41</v>
      </c>
      <c r="C4674" s="55" t="s">
        <v>9572</v>
      </c>
      <c r="D4674" s="55" t="s">
        <v>13153</v>
      </c>
    </row>
    <row r="4675" ht="14.25" customHeight="1">
      <c r="A4675" s="55" t="s">
        <v>9596</v>
      </c>
      <c r="B4675" s="55" t="s">
        <v>41</v>
      </c>
      <c r="C4675" s="55" t="s">
        <v>11023</v>
      </c>
      <c r="D4675" s="55" t="s">
        <v>1948</v>
      </c>
    </row>
    <row r="4676" ht="14.25" customHeight="1">
      <c r="A4676" s="55" t="s">
        <v>9596</v>
      </c>
      <c r="B4676" s="55" t="s">
        <v>41</v>
      </c>
      <c r="C4676" s="55" t="s">
        <v>13154</v>
      </c>
      <c r="D4676" s="55" t="s">
        <v>13155</v>
      </c>
    </row>
    <row r="4677" ht="14.25" customHeight="1">
      <c r="A4677" s="55" t="s">
        <v>9596</v>
      </c>
      <c r="B4677" s="55" t="s">
        <v>41</v>
      </c>
      <c r="C4677" s="55" t="s">
        <v>13156</v>
      </c>
      <c r="D4677" s="55" t="s">
        <v>13157</v>
      </c>
    </row>
    <row r="4678" ht="14.25" customHeight="1">
      <c r="A4678" s="55" t="s">
        <v>9596</v>
      </c>
      <c r="B4678" s="55" t="s">
        <v>41</v>
      </c>
      <c r="C4678" s="55" t="s">
        <v>9626</v>
      </c>
      <c r="D4678" s="55" t="s">
        <v>9216</v>
      </c>
    </row>
    <row r="4679" ht="14.25" customHeight="1">
      <c r="A4679" s="55" t="s">
        <v>9596</v>
      </c>
      <c r="B4679" s="55" t="s">
        <v>41</v>
      </c>
      <c r="C4679" s="55" t="s">
        <v>11024</v>
      </c>
      <c r="D4679" s="55" t="s">
        <v>11025</v>
      </c>
    </row>
    <row r="4680" ht="14.25" customHeight="1">
      <c r="A4680" s="55" t="s">
        <v>9596</v>
      </c>
      <c r="B4680" s="55" t="s">
        <v>41</v>
      </c>
      <c r="C4680" s="55" t="s">
        <v>11026</v>
      </c>
      <c r="D4680" s="55" t="s">
        <v>11027</v>
      </c>
    </row>
    <row r="4681" ht="14.25" customHeight="1">
      <c r="A4681" s="55" t="s">
        <v>9596</v>
      </c>
      <c r="B4681" s="55" t="s">
        <v>41</v>
      </c>
      <c r="C4681" s="55" t="s">
        <v>13158</v>
      </c>
      <c r="D4681" s="55" t="s">
        <v>13159</v>
      </c>
    </row>
    <row r="4682" ht="14.25" customHeight="1">
      <c r="A4682" s="55" t="s">
        <v>9596</v>
      </c>
      <c r="B4682" s="55" t="s">
        <v>41</v>
      </c>
      <c r="C4682" s="55" t="s">
        <v>129</v>
      </c>
      <c r="D4682" s="55" t="s">
        <v>11028</v>
      </c>
    </row>
    <row r="4683" ht="14.25" customHeight="1">
      <c r="A4683" s="55" t="s">
        <v>9596</v>
      </c>
      <c r="B4683" s="55" t="s">
        <v>41</v>
      </c>
      <c r="C4683" s="55" t="s">
        <v>13160</v>
      </c>
      <c r="D4683" s="55" t="s">
        <v>13161</v>
      </c>
    </row>
    <row r="4684" ht="14.25" customHeight="1">
      <c r="A4684" s="55" t="s">
        <v>9596</v>
      </c>
      <c r="B4684" s="55" t="s">
        <v>41</v>
      </c>
      <c r="C4684" s="55" t="s">
        <v>9715</v>
      </c>
      <c r="D4684" s="55" t="s">
        <v>9716</v>
      </c>
    </row>
    <row r="4685" ht="14.25" customHeight="1">
      <c r="A4685" s="55" t="s">
        <v>9596</v>
      </c>
      <c r="B4685" s="55" t="s">
        <v>41</v>
      </c>
      <c r="C4685" s="55" t="s">
        <v>11029</v>
      </c>
      <c r="D4685" s="55" t="s">
        <v>11030</v>
      </c>
    </row>
    <row r="4686" ht="14.25" customHeight="1">
      <c r="A4686" s="55" t="s">
        <v>9596</v>
      </c>
      <c r="B4686" s="55" t="s">
        <v>41</v>
      </c>
      <c r="C4686" s="55" t="s">
        <v>11029</v>
      </c>
      <c r="D4686" s="55" t="s">
        <v>9705</v>
      </c>
    </row>
    <row r="4687" ht="14.25" customHeight="1">
      <c r="A4687" s="55" t="s">
        <v>9596</v>
      </c>
      <c r="B4687" s="55" t="s">
        <v>41</v>
      </c>
      <c r="C4687" s="55" t="s">
        <v>6358</v>
      </c>
      <c r="D4687" s="55" t="s">
        <v>9034</v>
      </c>
    </row>
    <row r="4688" ht="14.25" customHeight="1">
      <c r="A4688" s="55" t="s">
        <v>9596</v>
      </c>
      <c r="B4688" s="55" t="s">
        <v>41</v>
      </c>
      <c r="C4688" s="55" t="s">
        <v>9717</v>
      </c>
      <c r="D4688" s="55" t="s">
        <v>9718</v>
      </c>
    </row>
    <row r="4689" ht="14.25" customHeight="1">
      <c r="A4689" s="55" t="s">
        <v>9596</v>
      </c>
      <c r="B4689" s="55" t="s">
        <v>41</v>
      </c>
      <c r="C4689" s="55" t="s">
        <v>12715</v>
      </c>
      <c r="D4689" s="55" t="s">
        <v>13162</v>
      </c>
    </row>
    <row r="4690" ht="14.25" customHeight="1">
      <c r="A4690" s="55" t="s">
        <v>9596</v>
      </c>
      <c r="B4690" s="55" t="s">
        <v>41</v>
      </c>
      <c r="C4690" s="55" t="s">
        <v>12715</v>
      </c>
      <c r="D4690" s="55" t="s">
        <v>13163</v>
      </c>
    </row>
    <row r="4691" ht="14.25" customHeight="1">
      <c r="A4691" s="55" t="s">
        <v>9596</v>
      </c>
      <c r="B4691" s="55" t="s">
        <v>41</v>
      </c>
      <c r="C4691" s="55" t="s">
        <v>9719</v>
      </c>
      <c r="D4691" s="55" t="s">
        <v>9720</v>
      </c>
    </row>
    <row r="4692" ht="14.25" customHeight="1">
      <c r="A4692" s="55" t="s">
        <v>9596</v>
      </c>
      <c r="B4692" s="55" t="s">
        <v>41</v>
      </c>
      <c r="C4692" s="55" t="s">
        <v>13164</v>
      </c>
      <c r="D4692" s="55" t="s">
        <v>13165</v>
      </c>
    </row>
    <row r="4693" ht="14.25" customHeight="1">
      <c r="A4693" s="55" t="s">
        <v>9596</v>
      </c>
      <c r="B4693" s="55" t="s">
        <v>41</v>
      </c>
      <c r="C4693" s="55" t="s">
        <v>11031</v>
      </c>
      <c r="D4693" s="55" t="s">
        <v>11032</v>
      </c>
    </row>
    <row r="4694" ht="14.25" customHeight="1">
      <c r="A4694" s="55" t="s">
        <v>9596</v>
      </c>
      <c r="B4694" s="55" t="s">
        <v>41</v>
      </c>
      <c r="C4694" s="55" t="s">
        <v>9721</v>
      </c>
      <c r="D4694" s="55" t="s">
        <v>9722</v>
      </c>
    </row>
    <row r="4695" ht="14.25" customHeight="1">
      <c r="A4695" s="55" t="s">
        <v>9596</v>
      </c>
      <c r="B4695" s="55" t="s">
        <v>41</v>
      </c>
      <c r="C4695" s="55" t="s">
        <v>13166</v>
      </c>
      <c r="D4695" s="55" t="s">
        <v>9705</v>
      </c>
    </row>
    <row r="4696" ht="14.25" customHeight="1">
      <c r="A4696" s="55" t="s">
        <v>9596</v>
      </c>
      <c r="B4696" s="55" t="s">
        <v>41</v>
      </c>
      <c r="C4696" s="55" t="s">
        <v>11033</v>
      </c>
      <c r="D4696" s="55" t="s">
        <v>11034</v>
      </c>
    </row>
    <row r="4697" ht="14.25" customHeight="1">
      <c r="A4697" s="55" t="s">
        <v>9596</v>
      </c>
      <c r="B4697" s="55" t="s">
        <v>41</v>
      </c>
      <c r="C4697" s="55" t="s">
        <v>9723</v>
      </c>
      <c r="D4697" s="55" t="s">
        <v>9216</v>
      </c>
    </row>
    <row r="4698" ht="14.25" customHeight="1">
      <c r="A4698" s="55" t="s">
        <v>9596</v>
      </c>
      <c r="B4698" s="55" t="s">
        <v>41</v>
      </c>
      <c r="C4698" s="55" t="s">
        <v>13167</v>
      </c>
      <c r="D4698" s="55" t="s">
        <v>13161</v>
      </c>
    </row>
    <row r="4699" ht="14.25" customHeight="1">
      <c r="A4699" s="55" t="s">
        <v>9596</v>
      </c>
      <c r="B4699" s="55" t="s">
        <v>41</v>
      </c>
      <c r="C4699" s="55" t="s">
        <v>9658</v>
      </c>
      <c r="D4699" s="55" t="s">
        <v>13168</v>
      </c>
    </row>
    <row r="4700" ht="14.25" customHeight="1">
      <c r="A4700" s="55" t="s">
        <v>9596</v>
      </c>
      <c r="B4700" s="55" t="s">
        <v>41</v>
      </c>
      <c r="C4700" s="55" t="s">
        <v>13169</v>
      </c>
      <c r="D4700" s="55" t="s">
        <v>13161</v>
      </c>
    </row>
    <row r="4701" ht="14.25" customHeight="1">
      <c r="A4701" s="55" t="s">
        <v>9596</v>
      </c>
      <c r="B4701" s="55" t="s">
        <v>41</v>
      </c>
      <c r="C4701" s="55" t="s">
        <v>13170</v>
      </c>
      <c r="D4701" s="55" t="s">
        <v>9753</v>
      </c>
    </row>
    <row r="4702" ht="14.25" customHeight="1">
      <c r="A4702" s="55" t="s">
        <v>9596</v>
      </c>
      <c r="B4702" s="55" t="s">
        <v>41</v>
      </c>
      <c r="C4702" s="55" t="s">
        <v>3566</v>
      </c>
      <c r="D4702" s="55" t="s">
        <v>9034</v>
      </c>
    </row>
    <row r="4703" ht="14.25" customHeight="1">
      <c r="A4703" s="55" t="s">
        <v>9596</v>
      </c>
      <c r="B4703" s="55" t="s">
        <v>41</v>
      </c>
      <c r="C4703" s="55" t="s">
        <v>3566</v>
      </c>
      <c r="D4703" s="55" t="s">
        <v>9724</v>
      </c>
    </row>
    <row r="4704" ht="14.25" customHeight="1">
      <c r="A4704" s="55" t="s">
        <v>9596</v>
      </c>
      <c r="B4704" s="55" t="s">
        <v>41</v>
      </c>
      <c r="C4704" s="55" t="s">
        <v>3566</v>
      </c>
      <c r="D4704" s="55" t="s">
        <v>13171</v>
      </c>
    </row>
    <row r="4705" ht="14.25" customHeight="1">
      <c r="A4705" s="55" t="s">
        <v>9596</v>
      </c>
      <c r="B4705" s="55" t="s">
        <v>41</v>
      </c>
      <c r="C4705" s="55" t="s">
        <v>12634</v>
      </c>
      <c r="D4705" s="55" t="s">
        <v>13171</v>
      </c>
    </row>
    <row r="4706" ht="14.25" customHeight="1">
      <c r="A4706" s="55" t="s">
        <v>9596</v>
      </c>
      <c r="B4706" s="55" t="s">
        <v>41</v>
      </c>
      <c r="C4706" s="55" t="s">
        <v>13172</v>
      </c>
      <c r="D4706" s="55" t="s">
        <v>13173</v>
      </c>
    </row>
    <row r="4707" ht="14.25" customHeight="1">
      <c r="A4707" s="55" t="s">
        <v>9596</v>
      </c>
      <c r="B4707" s="55" t="s">
        <v>41</v>
      </c>
      <c r="C4707" s="55" t="s">
        <v>10498</v>
      </c>
      <c r="D4707" s="55" t="s">
        <v>9430</v>
      </c>
    </row>
    <row r="4708" ht="14.25" customHeight="1">
      <c r="A4708" s="55" t="s">
        <v>9596</v>
      </c>
      <c r="B4708" s="55" t="s">
        <v>41</v>
      </c>
      <c r="C4708" s="55" t="s">
        <v>189</v>
      </c>
      <c r="D4708" s="55" t="s">
        <v>9271</v>
      </c>
    </row>
    <row r="4709" ht="14.25" customHeight="1">
      <c r="A4709" s="55" t="s">
        <v>9596</v>
      </c>
      <c r="B4709" s="55" t="s">
        <v>41</v>
      </c>
      <c r="C4709" s="55" t="s">
        <v>13174</v>
      </c>
      <c r="D4709" s="55" t="s">
        <v>13175</v>
      </c>
    </row>
    <row r="4710" ht="14.25" customHeight="1">
      <c r="A4710" s="55" t="s">
        <v>9596</v>
      </c>
      <c r="B4710" s="55" t="s">
        <v>41</v>
      </c>
      <c r="C4710" s="55" t="s">
        <v>9561</v>
      </c>
      <c r="D4710" s="55" t="s">
        <v>13176</v>
      </c>
    </row>
    <row r="4711" ht="14.25" customHeight="1">
      <c r="A4711" s="55" t="s">
        <v>9596</v>
      </c>
      <c r="B4711" s="55" t="s">
        <v>41</v>
      </c>
      <c r="C4711" s="55" t="s">
        <v>13177</v>
      </c>
      <c r="D4711" s="55" t="s">
        <v>13178</v>
      </c>
    </row>
    <row r="4712" ht="14.25" customHeight="1">
      <c r="A4712" s="55" t="s">
        <v>9596</v>
      </c>
      <c r="B4712" s="55" t="s">
        <v>41</v>
      </c>
      <c r="C4712" s="55" t="s">
        <v>13179</v>
      </c>
      <c r="D4712" s="55" t="s">
        <v>13180</v>
      </c>
    </row>
    <row r="4713" ht="14.25" customHeight="1">
      <c r="A4713" s="55" t="s">
        <v>9596</v>
      </c>
      <c r="B4713" s="55" t="s">
        <v>41</v>
      </c>
      <c r="C4713" s="55" t="s">
        <v>9676</v>
      </c>
      <c r="D4713" s="55" t="s">
        <v>10985</v>
      </c>
    </row>
    <row r="4714" ht="14.25" customHeight="1">
      <c r="A4714" s="55" t="s">
        <v>9596</v>
      </c>
      <c r="B4714" s="55" t="s">
        <v>41</v>
      </c>
      <c r="C4714" s="55" t="s">
        <v>9791</v>
      </c>
      <c r="D4714" s="55" t="s">
        <v>13144</v>
      </c>
    </row>
    <row r="4715" ht="14.25" customHeight="1">
      <c r="A4715" s="55" t="s">
        <v>9596</v>
      </c>
      <c r="B4715" s="55" t="s">
        <v>41</v>
      </c>
      <c r="C4715" s="55" t="s">
        <v>13181</v>
      </c>
      <c r="D4715" s="55" t="s">
        <v>13182</v>
      </c>
    </row>
    <row r="4716" ht="14.25" customHeight="1">
      <c r="A4716" s="55" t="s">
        <v>9596</v>
      </c>
      <c r="B4716" s="55" t="s">
        <v>41</v>
      </c>
      <c r="C4716" s="55" t="s">
        <v>13183</v>
      </c>
      <c r="D4716" s="55" t="s">
        <v>13184</v>
      </c>
    </row>
    <row r="4717" ht="14.25" customHeight="1">
      <c r="A4717" s="55" t="s">
        <v>9596</v>
      </c>
      <c r="B4717" s="55" t="s">
        <v>41</v>
      </c>
      <c r="C4717" s="55" t="s">
        <v>13118</v>
      </c>
      <c r="D4717" s="55" t="s">
        <v>9649</v>
      </c>
    </row>
    <row r="4718" ht="14.25" customHeight="1">
      <c r="A4718" s="55" t="s">
        <v>9596</v>
      </c>
      <c r="B4718" s="55" t="s">
        <v>41</v>
      </c>
      <c r="C4718" s="55" t="s">
        <v>10345</v>
      </c>
      <c r="D4718" s="55" t="s">
        <v>13185</v>
      </c>
    </row>
    <row r="4719" ht="14.25" customHeight="1">
      <c r="A4719" s="55" t="s">
        <v>9596</v>
      </c>
      <c r="B4719" s="55" t="s">
        <v>41</v>
      </c>
      <c r="C4719" s="55" t="s">
        <v>11035</v>
      </c>
      <c r="D4719" s="55" t="s">
        <v>11036</v>
      </c>
    </row>
    <row r="4720" ht="14.25" customHeight="1">
      <c r="A4720" s="55" t="s">
        <v>9596</v>
      </c>
      <c r="B4720" s="55" t="s">
        <v>41</v>
      </c>
      <c r="C4720" s="55" t="s">
        <v>13186</v>
      </c>
      <c r="D4720" s="55" t="s">
        <v>13161</v>
      </c>
    </row>
    <row r="4721" ht="14.25" customHeight="1">
      <c r="A4721" s="55" t="s">
        <v>9596</v>
      </c>
      <c r="B4721" s="55" t="s">
        <v>41</v>
      </c>
      <c r="C4721" s="55" t="s">
        <v>13187</v>
      </c>
      <c r="D4721" s="55" t="s">
        <v>9034</v>
      </c>
    </row>
    <row r="4722" ht="14.25" customHeight="1">
      <c r="A4722" s="55" t="s">
        <v>9596</v>
      </c>
      <c r="B4722" s="55" t="s">
        <v>41</v>
      </c>
      <c r="C4722" s="55" t="s">
        <v>13188</v>
      </c>
      <c r="D4722" s="55" t="s">
        <v>9718</v>
      </c>
    </row>
    <row r="4723" ht="14.25" customHeight="1">
      <c r="A4723" s="55" t="s">
        <v>9596</v>
      </c>
      <c r="B4723" s="55" t="s">
        <v>41</v>
      </c>
      <c r="C4723" s="55" t="s">
        <v>10290</v>
      </c>
      <c r="D4723" s="55" t="s">
        <v>13189</v>
      </c>
    </row>
    <row r="4724" ht="14.25" customHeight="1">
      <c r="A4724" s="55" t="s">
        <v>9596</v>
      </c>
      <c r="B4724" s="55" t="s">
        <v>41</v>
      </c>
      <c r="C4724" s="55" t="s">
        <v>11037</v>
      </c>
      <c r="D4724" s="55" t="s">
        <v>11038</v>
      </c>
    </row>
    <row r="4725" ht="14.25" customHeight="1">
      <c r="A4725" s="55" t="s">
        <v>9596</v>
      </c>
      <c r="B4725" s="55" t="s">
        <v>41</v>
      </c>
      <c r="C4725" s="55" t="s">
        <v>13190</v>
      </c>
      <c r="D4725" s="55" t="s">
        <v>9151</v>
      </c>
    </row>
    <row r="4726" ht="14.25" customHeight="1">
      <c r="A4726" s="55" t="s">
        <v>9596</v>
      </c>
      <c r="B4726" s="55" t="s">
        <v>41</v>
      </c>
      <c r="C4726" s="55" t="s">
        <v>13191</v>
      </c>
      <c r="D4726" s="55" t="s">
        <v>10350</v>
      </c>
    </row>
    <row r="4727" ht="14.25" customHeight="1">
      <c r="A4727" s="55" t="s">
        <v>9596</v>
      </c>
      <c r="B4727" s="55" t="s">
        <v>41</v>
      </c>
      <c r="C4727" s="55" t="s">
        <v>11039</v>
      </c>
      <c r="D4727" s="55" t="s">
        <v>11040</v>
      </c>
    </row>
    <row r="4728" ht="14.25" customHeight="1">
      <c r="A4728" s="55" t="s">
        <v>9596</v>
      </c>
      <c r="B4728" s="55" t="s">
        <v>41</v>
      </c>
      <c r="C4728" s="55" t="s">
        <v>9725</v>
      </c>
      <c r="D4728" s="55" t="s">
        <v>9726</v>
      </c>
    </row>
    <row r="4729" ht="14.25" customHeight="1">
      <c r="A4729" s="55" t="s">
        <v>9596</v>
      </c>
      <c r="B4729" s="55" t="s">
        <v>41</v>
      </c>
      <c r="C4729" s="55" t="s">
        <v>4326</v>
      </c>
      <c r="D4729" s="55" t="s">
        <v>11041</v>
      </c>
    </row>
    <row r="4730" ht="14.25" customHeight="1">
      <c r="A4730" s="55" t="s">
        <v>9596</v>
      </c>
      <c r="B4730" s="55" t="s">
        <v>41</v>
      </c>
      <c r="C4730" s="55" t="s">
        <v>9727</v>
      </c>
      <c r="D4730" s="55" t="s">
        <v>9714</v>
      </c>
    </row>
    <row r="4731" ht="14.25" customHeight="1">
      <c r="A4731" s="55" t="s">
        <v>9596</v>
      </c>
      <c r="B4731" s="55" t="s">
        <v>41</v>
      </c>
      <c r="C4731" s="55" t="s">
        <v>11042</v>
      </c>
      <c r="D4731" s="55" t="s">
        <v>11043</v>
      </c>
    </row>
    <row r="4732" ht="14.25" customHeight="1">
      <c r="A4732" s="55" t="s">
        <v>9596</v>
      </c>
      <c r="B4732" s="55" t="s">
        <v>41</v>
      </c>
      <c r="C4732" s="55" t="s">
        <v>9529</v>
      </c>
      <c r="D4732" s="55" t="s">
        <v>8962</v>
      </c>
    </row>
    <row r="4733" ht="14.25" customHeight="1">
      <c r="A4733" s="55" t="s">
        <v>9596</v>
      </c>
      <c r="B4733" s="55" t="s">
        <v>41</v>
      </c>
      <c r="C4733" s="55" t="s">
        <v>13137</v>
      </c>
      <c r="D4733" s="55" t="s">
        <v>12190</v>
      </c>
    </row>
    <row r="4734" ht="14.25" customHeight="1">
      <c r="A4734" s="55" t="s">
        <v>9596</v>
      </c>
      <c r="B4734" s="55" t="s">
        <v>41</v>
      </c>
      <c r="C4734" s="55" t="s">
        <v>13137</v>
      </c>
      <c r="D4734" s="55" t="s">
        <v>13192</v>
      </c>
    </row>
    <row r="4735" ht="14.25" customHeight="1">
      <c r="A4735" s="55" t="s">
        <v>9596</v>
      </c>
      <c r="B4735" s="55" t="s">
        <v>41</v>
      </c>
      <c r="C4735" s="55" t="s">
        <v>11044</v>
      </c>
      <c r="D4735" s="55" t="s">
        <v>9034</v>
      </c>
    </row>
    <row r="4736" ht="14.25" customHeight="1">
      <c r="A4736" s="55" t="s">
        <v>9728</v>
      </c>
      <c r="B4736" s="55" t="s">
        <v>40</v>
      </c>
      <c r="C4736" s="55" t="s">
        <v>9034</v>
      </c>
      <c r="D4736" s="55" t="s">
        <v>8968</v>
      </c>
    </row>
    <row r="4737" ht="14.25" customHeight="1">
      <c r="A4737" s="55" t="s">
        <v>9728</v>
      </c>
      <c r="B4737" s="55" t="s">
        <v>40</v>
      </c>
      <c r="C4737" s="55" t="s">
        <v>9034</v>
      </c>
      <c r="D4737" s="55" t="s">
        <v>9911</v>
      </c>
    </row>
    <row r="4738" ht="14.25" customHeight="1">
      <c r="A4738" s="55" t="s">
        <v>9728</v>
      </c>
      <c r="B4738" s="55" t="s">
        <v>40</v>
      </c>
      <c r="C4738" s="55" t="s">
        <v>9034</v>
      </c>
      <c r="D4738" s="55" t="s">
        <v>9667</v>
      </c>
    </row>
    <row r="4739" ht="14.25" customHeight="1">
      <c r="A4739" s="55" t="s">
        <v>9728</v>
      </c>
      <c r="B4739" s="55" t="s">
        <v>40</v>
      </c>
      <c r="C4739" s="55" t="s">
        <v>9034</v>
      </c>
      <c r="D4739" s="55" t="s">
        <v>11045</v>
      </c>
    </row>
    <row r="4740" ht="14.25" customHeight="1">
      <c r="A4740" s="55" t="s">
        <v>9728</v>
      </c>
      <c r="B4740" s="55" t="s">
        <v>40</v>
      </c>
      <c r="C4740" s="55" t="s">
        <v>9034</v>
      </c>
      <c r="D4740" s="55" t="s">
        <v>9028</v>
      </c>
    </row>
    <row r="4741" ht="14.25" customHeight="1">
      <c r="A4741" s="55" t="s">
        <v>9728</v>
      </c>
      <c r="B4741" s="55" t="s">
        <v>40</v>
      </c>
      <c r="C4741" s="55" t="s">
        <v>9034</v>
      </c>
      <c r="D4741" s="55" t="s">
        <v>9216</v>
      </c>
    </row>
    <row r="4742" ht="14.25" customHeight="1">
      <c r="A4742" s="55" t="s">
        <v>9728</v>
      </c>
      <c r="B4742" s="55" t="s">
        <v>40</v>
      </c>
      <c r="C4742" s="55" t="s">
        <v>9034</v>
      </c>
      <c r="D4742" s="55" t="s">
        <v>10321</v>
      </c>
    </row>
    <row r="4743" ht="14.25" customHeight="1">
      <c r="A4743" s="55" t="s">
        <v>9728</v>
      </c>
      <c r="B4743" s="55" t="s">
        <v>40</v>
      </c>
      <c r="C4743" s="55" t="s">
        <v>10301</v>
      </c>
      <c r="D4743" s="55" t="s">
        <v>10369</v>
      </c>
    </row>
    <row r="4744" ht="14.25" customHeight="1">
      <c r="A4744" s="55" t="s">
        <v>9728</v>
      </c>
      <c r="B4744" s="55" t="s">
        <v>40</v>
      </c>
      <c r="C4744" s="55" t="s">
        <v>9340</v>
      </c>
      <c r="D4744" s="55" t="s">
        <v>9034</v>
      </c>
    </row>
    <row r="4745" ht="14.25" customHeight="1">
      <c r="A4745" s="55" t="s">
        <v>9728</v>
      </c>
      <c r="B4745" s="55" t="s">
        <v>40</v>
      </c>
      <c r="C4745" s="55" t="s">
        <v>9340</v>
      </c>
      <c r="D4745" s="55" t="s">
        <v>13193</v>
      </c>
    </row>
    <row r="4746" ht="14.25" customHeight="1">
      <c r="A4746" s="55" t="s">
        <v>9728</v>
      </c>
      <c r="B4746" s="55" t="s">
        <v>40</v>
      </c>
      <c r="C4746" s="55" t="s">
        <v>9340</v>
      </c>
      <c r="D4746" s="55" t="s">
        <v>13194</v>
      </c>
    </row>
    <row r="4747" ht="14.25" customHeight="1">
      <c r="A4747" s="55" t="s">
        <v>9728</v>
      </c>
      <c r="B4747" s="55" t="s">
        <v>40</v>
      </c>
      <c r="C4747" s="55" t="s">
        <v>11404</v>
      </c>
      <c r="D4747" s="55" t="s">
        <v>9236</v>
      </c>
    </row>
    <row r="4748" ht="14.25" customHeight="1">
      <c r="A4748" s="55" t="s">
        <v>9728</v>
      </c>
      <c r="B4748" s="55" t="s">
        <v>40</v>
      </c>
      <c r="C4748" s="55" t="s">
        <v>13195</v>
      </c>
      <c r="D4748" s="55" t="s">
        <v>13196</v>
      </c>
    </row>
    <row r="4749" ht="14.25" customHeight="1">
      <c r="A4749" s="55" t="s">
        <v>9728</v>
      </c>
      <c r="B4749" s="55" t="s">
        <v>40</v>
      </c>
      <c r="C4749" s="55" t="s">
        <v>2357</v>
      </c>
      <c r="D4749" s="55" t="s">
        <v>12323</v>
      </c>
    </row>
    <row r="4750" ht="14.25" customHeight="1">
      <c r="A4750" s="55" t="s">
        <v>9728</v>
      </c>
      <c r="B4750" s="55" t="s">
        <v>40</v>
      </c>
      <c r="C4750" s="55" t="s">
        <v>2357</v>
      </c>
      <c r="D4750" s="55" t="s">
        <v>12066</v>
      </c>
    </row>
    <row r="4751" ht="14.25" customHeight="1">
      <c r="A4751" s="55" t="s">
        <v>9728</v>
      </c>
      <c r="B4751" s="55" t="s">
        <v>40</v>
      </c>
      <c r="C4751" s="55" t="s">
        <v>9552</v>
      </c>
      <c r="D4751" s="55" t="s">
        <v>9354</v>
      </c>
    </row>
    <row r="4752" ht="14.25" customHeight="1">
      <c r="A4752" s="55" t="s">
        <v>9728</v>
      </c>
      <c r="B4752" s="55" t="s">
        <v>40</v>
      </c>
      <c r="C4752" s="55" t="s">
        <v>12324</v>
      </c>
      <c r="D4752" s="55" t="s">
        <v>9236</v>
      </c>
    </row>
    <row r="4753" ht="14.25" customHeight="1">
      <c r="A4753" s="55" t="s">
        <v>9728</v>
      </c>
      <c r="B4753" s="55" t="s">
        <v>40</v>
      </c>
      <c r="C4753" s="55" t="s">
        <v>12324</v>
      </c>
      <c r="D4753" s="55" t="s">
        <v>12325</v>
      </c>
    </row>
    <row r="4754" ht="14.25" customHeight="1">
      <c r="A4754" s="55" t="s">
        <v>9728</v>
      </c>
      <c r="B4754" s="55" t="s">
        <v>40</v>
      </c>
      <c r="C4754" s="55" t="s">
        <v>8969</v>
      </c>
      <c r="D4754" s="55" t="s">
        <v>10306</v>
      </c>
    </row>
    <row r="4755" ht="14.25" customHeight="1">
      <c r="A4755" s="55" t="s">
        <v>9728</v>
      </c>
      <c r="B4755" s="55" t="s">
        <v>40</v>
      </c>
      <c r="C4755" s="55" t="s">
        <v>8969</v>
      </c>
      <c r="D4755" s="55" t="s">
        <v>9729</v>
      </c>
    </row>
    <row r="4756" ht="14.25" customHeight="1">
      <c r="A4756" s="55" t="s">
        <v>9728</v>
      </c>
      <c r="B4756" s="55" t="s">
        <v>40</v>
      </c>
      <c r="C4756" s="55" t="s">
        <v>8969</v>
      </c>
      <c r="D4756" s="55" t="s">
        <v>10027</v>
      </c>
    </row>
    <row r="4757" ht="14.25" customHeight="1">
      <c r="A4757" s="55" t="s">
        <v>9728</v>
      </c>
      <c r="B4757" s="55" t="s">
        <v>40</v>
      </c>
      <c r="C4757" s="55" t="s">
        <v>8969</v>
      </c>
      <c r="D4757" s="55" t="s">
        <v>12573</v>
      </c>
    </row>
    <row r="4758" ht="14.25" customHeight="1">
      <c r="A4758" s="55" t="s">
        <v>9728</v>
      </c>
      <c r="B4758" s="55" t="s">
        <v>40</v>
      </c>
      <c r="C4758" s="55" t="s">
        <v>8969</v>
      </c>
      <c r="D4758" s="55" t="s">
        <v>12326</v>
      </c>
    </row>
    <row r="4759" ht="14.25" customHeight="1">
      <c r="A4759" s="55" t="s">
        <v>9728</v>
      </c>
      <c r="B4759" s="55" t="s">
        <v>40</v>
      </c>
      <c r="C4759" s="55" t="s">
        <v>8969</v>
      </c>
      <c r="D4759" s="55" t="s">
        <v>9731</v>
      </c>
    </row>
    <row r="4760" ht="14.25" customHeight="1">
      <c r="A4760" s="55" t="s">
        <v>9728</v>
      </c>
      <c r="B4760" s="55" t="s">
        <v>40</v>
      </c>
      <c r="C4760" s="55" t="s">
        <v>60</v>
      </c>
      <c r="D4760" s="55" t="s">
        <v>9028</v>
      </c>
    </row>
    <row r="4761" ht="14.25" customHeight="1">
      <c r="A4761" s="55" t="s">
        <v>9728</v>
      </c>
      <c r="B4761" s="55" t="s">
        <v>40</v>
      </c>
      <c r="C4761" s="55" t="s">
        <v>2379</v>
      </c>
      <c r="D4761" s="55" t="s">
        <v>9730</v>
      </c>
    </row>
    <row r="4762" ht="14.25" customHeight="1">
      <c r="A4762" s="55" t="s">
        <v>9728</v>
      </c>
      <c r="B4762" s="55" t="s">
        <v>40</v>
      </c>
      <c r="C4762" s="55" t="s">
        <v>2379</v>
      </c>
      <c r="D4762" s="55" t="s">
        <v>13842</v>
      </c>
    </row>
    <row r="4763" ht="14.25" customHeight="1">
      <c r="A4763" s="55" t="s">
        <v>9728</v>
      </c>
      <c r="B4763" s="55" t="s">
        <v>40</v>
      </c>
      <c r="C4763" s="55" t="s">
        <v>11046</v>
      </c>
      <c r="D4763" s="55" t="s">
        <v>9034</v>
      </c>
    </row>
    <row r="4764" ht="14.25" customHeight="1">
      <c r="A4764" s="55" t="s">
        <v>9728</v>
      </c>
      <c r="B4764" s="55" t="s">
        <v>40</v>
      </c>
      <c r="C4764" s="55" t="s">
        <v>11046</v>
      </c>
      <c r="D4764" s="55" t="s">
        <v>9075</v>
      </c>
    </row>
    <row r="4765" ht="14.25" customHeight="1">
      <c r="A4765" s="55" t="s">
        <v>9728</v>
      </c>
      <c r="B4765" s="55" t="s">
        <v>40</v>
      </c>
      <c r="C4765" s="55" t="s">
        <v>11684</v>
      </c>
      <c r="D4765" s="55" t="s">
        <v>11685</v>
      </c>
    </row>
    <row r="4766" ht="14.25" customHeight="1">
      <c r="A4766" s="55" t="s">
        <v>9728</v>
      </c>
      <c r="B4766" s="55" t="s">
        <v>40</v>
      </c>
      <c r="C4766" s="55" t="s">
        <v>11684</v>
      </c>
      <c r="D4766" s="55" t="s">
        <v>8978</v>
      </c>
    </row>
    <row r="4767" ht="14.25" customHeight="1">
      <c r="A4767" s="55" t="s">
        <v>9728</v>
      </c>
      <c r="B4767" s="55" t="s">
        <v>40</v>
      </c>
      <c r="C4767" s="55" t="s">
        <v>5785</v>
      </c>
      <c r="D4767" s="55" t="s">
        <v>9118</v>
      </c>
    </row>
    <row r="4768" ht="14.25" customHeight="1">
      <c r="A4768" s="55" t="s">
        <v>9728</v>
      </c>
      <c r="B4768" s="55" t="s">
        <v>40</v>
      </c>
      <c r="C4768" s="55" t="s">
        <v>2408</v>
      </c>
      <c r="D4768" s="55" t="s">
        <v>9664</v>
      </c>
    </row>
    <row r="4769" ht="14.25" customHeight="1">
      <c r="A4769" s="55" t="s">
        <v>9728</v>
      </c>
      <c r="B4769" s="55" t="s">
        <v>40</v>
      </c>
      <c r="C4769" s="55" t="s">
        <v>2408</v>
      </c>
      <c r="D4769" s="55" t="s">
        <v>11815</v>
      </c>
    </row>
    <row r="4770" ht="14.25" customHeight="1">
      <c r="A4770" s="55" t="s">
        <v>9728</v>
      </c>
      <c r="B4770" s="55" t="s">
        <v>40</v>
      </c>
      <c r="C4770" s="55" t="s">
        <v>9172</v>
      </c>
      <c r="D4770" s="55" t="s">
        <v>9151</v>
      </c>
    </row>
    <row r="4771" ht="14.25" customHeight="1">
      <c r="A4771" s="55" t="s">
        <v>9728</v>
      </c>
      <c r="B4771" s="55" t="s">
        <v>40</v>
      </c>
      <c r="C4771" s="55" t="s">
        <v>9172</v>
      </c>
      <c r="D4771" s="55" t="s">
        <v>9071</v>
      </c>
    </row>
    <row r="4772" ht="14.25" customHeight="1">
      <c r="A4772" s="55" t="s">
        <v>9728</v>
      </c>
      <c r="B4772" s="55" t="s">
        <v>40</v>
      </c>
      <c r="C4772" s="55" t="s">
        <v>9172</v>
      </c>
      <c r="D4772" s="55" t="s">
        <v>9731</v>
      </c>
    </row>
    <row r="4773" ht="14.25" customHeight="1">
      <c r="A4773" s="55" t="s">
        <v>9728</v>
      </c>
      <c r="B4773" s="55" t="s">
        <v>40</v>
      </c>
      <c r="C4773" s="55" t="s">
        <v>9172</v>
      </c>
      <c r="D4773" s="55" t="s">
        <v>14351</v>
      </c>
    </row>
    <row r="4774" ht="14.25" customHeight="1">
      <c r="A4774" s="55" t="s">
        <v>9728</v>
      </c>
      <c r="B4774" s="55" t="s">
        <v>40</v>
      </c>
      <c r="C4774" s="55" t="s">
        <v>10000</v>
      </c>
      <c r="D4774" s="55" t="s">
        <v>9667</v>
      </c>
    </row>
    <row r="4775" ht="14.25" customHeight="1">
      <c r="A4775" s="55" t="s">
        <v>9728</v>
      </c>
      <c r="B4775" s="55" t="s">
        <v>40</v>
      </c>
      <c r="C4775" s="55" t="s">
        <v>13843</v>
      </c>
      <c r="D4775" s="55" t="s">
        <v>9216</v>
      </c>
    </row>
    <row r="4776" ht="14.25" customHeight="1">
      <c r="A4776" s="55" t="s">
        <v>9728</v>
      </c>
      <c r="B4776" s="55" t="s">
        <v>40</v>
      </c>
      <c r="C4776" s="55" t="s">
        <v>66</v>
      </c>
      <c r="D4776" s="55" t="s">
        <v>9216</v>
      </c>
    </row>
    <row r="4777" ht="14.25" customHeight="1">
      <c r="A4777" s="55" t="s">
        <v>9728</v>
      </c>
      <c r="B4777" s="55" t="s">
        <v>40</v>
      </c>
      <c r="C4777" s="55" t="s">
        <v>7471</v>
      </c>
      <c r="D4777" s="55" t="s">
        <v>9291</v>
      </c>
    </row>
    <row r="4778" ht="14.25" customHeight="1">
      <c r="A4778" s="55" t="s">
        <v>9728</v>
      </c>
      <c r="B4778" s="55" t="s">
        <v>40</v>
      </c>
      <c r="C4778" s="55" t="s">
        <v>9351</v>
      </c>
      <c r="D4778" s="55" t="s">
        <v>13197</v>
      </c>
    </row>
    <row r="4779" ht="14.25" customHeight="1">
      <c r="A4779" s="55" t="s">
        <v>9728</v>
      </c>
      <c r="B4779" s="55" t="s">
        <v>40</v>
      </c>
      <c r="C4779" s="55" t="s">
        <v>9351</v>
      </c>
      <c r="D4779" s="55" t="s">
        <v>9732</v>
      </c>
    </row>
    <row r="4780" ht="14.25" customHeight="1">
      <c r="A4780" s="55" t="s">
        <v>9728</v>
      </c>
      <c r="B4780" s="55" t="s">
        <v>40</v>
      </c>
      <c r="C4780" s="55" t="s">
        <v>9351</v>
      </c>
      <c r="D4780" s="55" t="s">
        <v>14352</v>
      </c>
    </row>
    <row r="4781" ht="14.25" customHeight="1">
      <c r="A4781" s="55" t="s">
        <v>9728</v>
      </c>
      <c r="B4781" s="55" t="s">
        <v>40</v>
      </c>
      <c r="C4781" s="55" t="s">
        <v>9351</v>
      </c>
      <c r="D4781" s="55" t="s">
        <v>13198</v>
      </c>
    </row>
    <row r="4782" ht="14.25" customHeight="1">
      <c r="A4782" s="55" t="s">
        <v>9728</v>
      </c>
      <c r="B4782" s="55" t="s">
        <v>40</v>
      </c>
      <c r="C4782" s="55" t="s">
        <v>9809</v>
      </c>
      <c r="D4782" s="55" t="s">
        <v>12327</v>
      </c>
    </row>
    <row r="4783" ht="14.25" customHeight="1">
      <c r="A4783" s="55" t="s">
        <v>9728</v>
      </c>
      <c r="B4783" s="55" t="s">
        <v>40</v>
      </c>
      <c r="C4783" s="55" t="s">
        <v>74</v>
      </c>
      <c r="D4783" s="55" t="s">
        <v>10124</v>
      </c>
    </row>
    <row r="4784" ht="14.25" customHeight="1">
      <c r="A4784" s="55" t="s">
        <v>9728</v>
      </c>
      <c r="B4784" s="55" t="s">
        <v>40</v>
      </c>
      <c r="C4784" s="55" t="s">
        <v>9733</v>
      </c>
      <c r="D4784" s="55" t="s">
        <v>405</v>
      </c>
    </row>
    <row r="4785" ht="14.25" customHeight="1">
      <c r="A4785" s="55" t="s">
        <v>9728</v>
      </c>
      <c r="B4785" s="55" t="s">
        <v>40</v>
      </c>
      <c r="C4785" s="55" t="s">
        <v>11686</v>
      </c>
      <c r="D4785" s="55" t="s">
        <v>9071</v>
      </c>
    </row>
    <row r="4786" ht="14.25" customHeight="1">
      <c r="A4786" s="55" t="s">
        <v>9728</v>
      </c>
      <c r="B4786" s="55" t="s">
        <v>40</v>
      </c>
      <c r="C4786" s="55" t="s">
        <v>290</v>
      </c>
      <c r="D4786" s="55" t="s">
        <v>9305</v>
      </c>
    </row>
    <row r="4787" ht="14.25" customHeight="1">
      <c r="A4787" s="55" t="s">
        <v>9728</v>
      </c>
      <c r="B4787" s="55" t="s">
        <v>40</v>
      </c>
      <c r="C4787" s="55" t="s">
        <v>290</v>
      </c>
      <c r="D4787" s="55" t="s">
        <v>9216</v>
      </c>
    </row>
    <row r="4788" ht="14.25" customHeight="1">
      <c r="A4788" s="55" t="s">
        <v>9728</v>
      </c>
      <c r="B4788" s="55" t="s">
        <v>40</v>
      </c>
      <c r="C4788" s="55" t="s">
        <v>2480</v>
      </c>
      <c r="D4788" s="55" t="s">
        <v>9775</v>
      </c>
    </row>
    <row r="4789" ht="14.25" customHeight="1">
      <c r="A4789" s="55" t="s">
        <v>9728</v>
      </c>
      <c r="B4789" s="55" t="s">
        <v>40</v>
      </c>
      <c r="C4789" s="55" t="s">
        <v>4609</v>
      </c>
      <c r="D4789" s="55" t="s">
        <v>13199</v>
      </c>
    </row>
    <row r="4790" ht="14.25" customHeight="1">
      <c r="A4790" s="55" t="s">
        <v>9728</v>
      </c>
      <c r="B4790" s="55" t="s">
        <v>40</v>
      </c>
      <c r="C4790" s="55" t="s">
        <v>4609</v>
      </c>
      <c r="D4790" s="55" t="s">
        <v>9734</v>
      </c>
    </row>
    <row r="4791" ht="14.25" customHeight="1">
      <c r="A4791" s="55" t="s">
        <v>9728</v>
      </c>
      <c r="B4791" s="55" t="s">
        <v>40</v>
      </c>
      <c r="C4791" s="55" t="s">
        <v>9353</v>
      </c>
      <c r="D4791" s="55" t="s">
        <v>9354</v>
      </c>
    </row>
    <row r="4792" ht="14.25" customHeight="1">
      <c r="A4792" s="55" t="s">
        <v>9728</v>
      </c>
      <c r="B4792" s="55" t="s">
        <v>40</v>
      </c>
      <c r="C4792" s="55" t="s">
        <v>10628</v>
      </c>
      <c r="D4792" s="55" t="s">
        <v>9354</v>
      </c>
    </row>
    <row r="4793" ht="14.25" customHeight="1">
      <c r="A4793" s="55" t="s">
        <v>9728</v>
      </c>
      <c r="B4793" s="55" t="s">
        <v>40</v>
      </c>
      <c r="C4793" s="55" t="s">
        <v>11047</v>
      </c>
      <c r="D4793" s="55" t="s">
        <v>11048</v>
      </c>
    </row>
    <row r="4794" ht="14.25" customHeight="1">
      <c r="A4794" s="55" t="s">
        <v>9728</v>
      </c>
      <c r="B4794" s="55" t="s">
        <v>40</v>
      </c>
      <c r="C4794" s="55" t="s">
        <v>77</v>
      </c>
      <c r="D4794" s="55" t="s">
        <v>10321</v>
      </c>
    </row>
    <row r="4795" ht="14.25" customHeight="1">
      <c r="A4795" s="55" t="s">
        <v>9728</v>
      </c>
      <c r="B4795" s="55" t="s">
        <v>40</v>
      </c>
      <c r="C4795" s="55" t="s">
        <v>77</v>
      </c>
      <c r="D4795" s="55" t="s">
        <v>9141</v>
      </c>
    </row>
    <row r="4796" ht="14.25" customHeight="1">
      <c r="A4796" s="55" t="s">
        <v>9728</v>
      </c>
      <c r="B4796" s="55" t="s">
        <v>40</v>
      </c>
      <c r="C4796" s="55" t="s">
        <v>77</v>
      </c>
      <c r="D4796" s="55" t="s">
        <v>11060</v>
      </c>
    </row>
    <row r="4797" ht="14.25" customHeight="1">
      <c r="A4797" s="55" t="s">
        <v>9728</v>
      </c>
      <c r="B4797" s="55" t="s">
        <v>40</v>
      </c>
      <c r="C4797" s="55" t="s">
        <v>11049</v>
      </c>
      <c r="D4797" s="55" t="s">
        <v>9055</v>
      </c>
    </row>
    <row r="4798" ht="14.25" customHeight="1">
      <c r="A4798" s="55" t="s">
        <v>9728</v>
      </c>
      <c r="B4798" s="55" t="s">
        <v>40</v>
      </c>
      <c r="C4798" s="55" t="s">
        <v>9355</v>
      </c>
      <c r="D4798" s="55" t="s">
        <v>9380</v>
      </c>
    </row>
    <row r="4799" ht="14.25" customHeight="1">
      <c r="A4799" s="55" t="s">
        <v>9728</v>
      </c>
      <c r="B4799" s="55" t="s">
        <v>40</v>
      </c>
      <c r="C4799" s="55" t="s">
        <v>9355</v>
      </c>
      <c r="D4799" s="55" t="s">
        <v>11119</v>
      </c>
    </row>
    <row r="4800" ht="14.25" customHeight="1">
      <c r="A4800" s="55" t="s">
        <v>9728</v>
      </c>
      <c r="B4800" s="55" t="s">
        <v>40</v>
      </c>
      <c r="C4800" s="55" t="s">
        <v>10735</v>
      </c>
      <c r="D4800" s="55" t="s">
        <v>13844</v>
      </c>
    </row>
    <row r="4801" ht="14.25" customHeight="1">
      <c r="A4801" s="55" t="s">
        <v>9728</v>
      </c>
      <c r="B4801" s="55" t="s">
        <v>40</v>
      </c>
      <c r="C4801" s="55" t="s">
        <v>10370</v>
      </c>
      <c r="D4801" s="55" t="s">
        <v>10371</v>
      </c>
    </row>
    <row r="4802" ht="14.25" customHeight="1">
      <c r="A4802" s="55" t="s">
        <v>9728</v>
      </c>
      <c r="B4802" s="55" t="s">
        <v>40</v>
      </c>
      <c r="C4802" s="55" t="s">
        <v>9105</v>
      </c>
      <c r="D4802" s="55" t="s">
        <v>12776</v>
      </c>
    </row>
    <row r="4803" ht="14.25" customHeight="1">
      <c r="A4803" s="55" t="s">
        <v>9728</v>
      </c>
      <c r="B4803" s="55" t="s">
        <v>40</v>
      </c>
      <c r="C4803" s="55" t="s">
        <v>9105</v>
      </c>
      <c r="D4803" s="55" t="s">
        <v>9178</v>
      </c>
    </row>
    <row r="4804" ht="14.25" customHeight="1">
      <c r="A4804" s="55" t="s">
        <v>9728</v>
      </c>
      <c r="B4804" s="55" t="s">
        <v>40</v>
      </c>
      <c r="C4804" s="55" t="s">
        <v>13200</v>
      </c>
      <c r="D4804" s="55" t="s">
        <v>14353</v>
      </c>
    </row>
    <row r="4805" ht="14.25" customHeight="1">
      <c r="A4805" s="55" t="s">
        <v>9728</v>
      </c>
      <c r="B4805" s="55" t="s">
        <v>40</v>
      </c>
      <c r="C4805" s="55" t="s">
        <v>13200</v>
      </c>
      <c r="D4805" s="55" t="s">
        <v>13201</v>
      </c>
    </row>
    <row r="4806" ht="14.25" customHeight="1">
      <c r="A4806" s="55" t="s">
        <v>9728</v>
      </c>
      <c r="B4806" s="55" t="s">
        <v>40</v>
      </c>
      <c r="C4806" s="55" t="s">
        <v>9357</v>
      </c>
      <c r="D4806" s="55" t="s">
        <v>9735</v>
      </c>
    </row>
    <row r="4807" ht="14.25" customHeight="1">
      <c r="A4807" s="55" t="s">
        <v>9728</v>
      </c>
      <c r="B4807" s="55" t="s">
        <v>40</v>
      </c>
      <c r="C4807" s="55" t="s">
        <v>82</v>
      </c>
      <c r="D4807" s="55" t="s">
        <v>9570</v>
      </c>
    </row>
    <row r="4808" ht="14.25" customHeight="1">
      <c r="A4808" s="55" t="s">
        <v>9728</v>
      </c>
      <c r="B4808" s="55" t="s">
        <v>40</v>
      </c>
      <c r="C4808" s="55" t="s">
        <v>82</v>
      </c>
      <c r="D4808" s="55" t="s">
        <v>9645</v>
      </c>
    </row>
    <row r="4809" ht="14.25" customHeight="1">
      <c r="A4809" s="55" t="s">
        <v>9728</v>
      </c>
      <c r="B4809" s="55" t="s">
        <v>40</v>
      </c>
      <c r="C4809" s="55" t="s">
        <v>82</v>
      </c>
      <c r="D4809" s="55" t="s">
        <v>11050</v>
      </c>
    </row>
    <row r="4810" ht="14.25" customHeight="1">
      <c r="A4810" s="55" t="s">
        <v>9728</v>
      </c>
      <c r="B4810" s="55" t="s">
        <v>40</v>
      </c>
      <c r="C4810" s="55" t="s">
        <v>82</v>
      </c>
      <c r="D4810" s="55" t="s">
        <v>12697</v>
      </c>
    </row>
    <row r="4811" ht="14.25" customHeight="1">
      <c r="A4811" s="55" t="s">
        <v>9728</v>
      </c>
      <c r="B4811" s="55" t="s">
        <v>40</v>
      </c>
      <c r="C4811" s="55" t="s">
        <v>1889</v>
      </c>
      <c r="D4811" s="55" t="s">
        <v>9667</v>
      </c>
    </row>
    <row r="4812" ht="14.25" customHeight="1">
      <c r="A4812" s="55" t="s">
        <v>9728</v>
      </c>
      <c r="B4812" s="55" t="s">
        <v>40</v>
      </c>
      <c r="C4812" s="55" t="s">
        <v>10372</v>
      </c>
      <c r="D4812" s="55" t="s">
        <v>10373</v>
      </c>
    </row>
    <row r="4813" ht="14.25" customHeight="1">
      <c r="A4813" s="55" t="s">
        <v>9728</v>
      </c>
      <c r="B4813" s="55" t="s">
        <v>40</v>
      </c>
      <c r="C4813" s="55" t="s">
        <v>9300</v>
      </c>
      <c r="D4813" s="55" t="s">
        <v>9736</v>
      </c>
    </row>
    <row r="4814" ht="14.25" customHeight="1">
      <c r="A4814" s="55" t="s">
        <v>9728</v>
      </c>
      <c r="B4814" s="55" t="s">
        <v>40</v>
      </c>
      <c r="C4814" s="55" t="s">
        <v>9300</v>
      </c>
      <c r="D4814" s="55" t="s">
        <v>9737</v>
      </c>
    </row>
    <row r="4815" ht="14.25" customHeight="1">
      <c r="A4815" s="55" t="s">
        <v>9728</v>
      </c>
      <c r="B4815" s="55" t="s">
        <v>40</v>
      </c>
      <c r="C4815" s="55" t="s">
        <v>9738</v>
      </c>
      <c r="D4815" s="55" t="s">
        <v>9216</v>
      </c>
    </row>
    <row r="4816" ht="14.25" customHeight="1">
      <c r="A4816" s="55" t="s">
        <v>9728</v>
      </c>
      <c r="B4816" s="55" t="s">
        <v>40</v>
      </c>
      <c r="C4816" s="55" t="s">
        <v>10374</v>
      </c>
      <c r="D4816" s="55" t="s">
        <v>10375</v>
      </c>
    </row>
    <row r="4817" ht="14.25" customHeight="1">
      <c r="A4817" s="55" t="s">
        <v>9728</v>
      </c>
      <c r="B4817" s="55" t="s">
        <v>40</v>
      </c>
      <c r="C4817" s="55" t="s">
        <v>10376</v>
      </c>
      <c r="D4817" s="55" t="s">
        <v>10377</v>
      </c>
    </row>
    <row r="4818" ht="14.25" customHeight="1">
      <c r="A4818" s="55" t="s">
        <v>9728</v>
      </c>
      <c r="B4818" s="55" t="s">
        <v>40</v>
      </c>
      <c r="C4818" s="55" t="s">
        <v>13845</v>
      </c>
      <c r="D4818" s="55" t="s">
        <v>13846</v>
      </c>
    </row>
    <row r="4819" ht="14.25" customHeight="1">
      <c r="A4819" s="55" t="s">
        <v>9728</v>
      </c>
      <c r="B4819" s="55" t="s">
        <v>40</v>
      </c>
      <c r="C4819" s="55" t="s">
        <v>14354</v>
      </c>
      <c r="D4819" s="55" t="s">
        <v>13702</v>
      </c>
    </row>
    <row r="4820" ht="14.25" customHeight="1">
      <c r="A4820" s="55" t="s">
        <v>9728</v>
      </c>
      <c r="B4820" s="55" t="s">
        <v>40</v>
      </c>
      <c r="C4820" s="55" t="s">
        <v>9739</v>
      </c>
      <c r="D4820" s="55" t="s">
        <v>9430</v>
      </c>
    </row>
    <row r="4821" ht="14.25" customHeight="1">
      <c r="A4821" s="55" t="s">
        <v>9728</v>
      </c>
      <c r="B4821" s="55" t="s">
        <v>40</v>
      </c>
      <c r="C4821" s="55" t="s">
        <v>13202</v>
      </c>
      <c r="D4821" s="55" t="s">
        <v>13203</v>
      </c>
    </row>
    <row r="4822" ht="14.25" customHeight="1">
      <c r="A4822" s="55" t="s">
        <v>9728</v>
      </c>
      <c r="B4822" s="55" t="s">
        <v>40</v>
      </c>
      <c r="C4822" s="55" t="s">
        <v>89</v>
      </c>
      <c r="D4822" s="55" t="s">
        <v>13847</v>
      </c>
    </row>
    <row r="4823" ht="14.25" customHeight="1">
      <c r="A4823" s="55" t="s">
        <v>9728</v>
      </c>
      <c r="B4823" s="55" t="s">
        <v>40</v>
      </c>
      <c r="C4823" s="55" t="s">
        <v>10378</v>
      </c>
      <c r="D4823" s="55" t="s">
        <v>10379</v>
      </c>
    </row>
    <row r="4824" ht="14.25" customHeight="1">
      <c r="A4824" s="55" t="s">
        <v>9728</v>
      </c>
      <c r="B4824" s="55" t="s">
        <v>40</v>
      </c>
      <c r="C4824" s="55" t="s">
        <v>10380</v>
      </c>
      <c r="D4824" s="55" t="s">
        <v>9645</v>
      </c>
    </row>
    <row r="4825" ht="14.25" customHeight="1">
      <c r="A4825" s="55" t="s">
        <v>9728</v>
      </c>
      <c r="B4825" s="55" t="s">
        <v>40</v>
      </c>
      <c r="C4825" s="55" t="s">
        <v>329</v>
      </c>
      <c r="D4825" s="55" t="s">
        <v>13204</v>
      </c>
    </row>
    <row r="4826" ht="14.25" customHeight="1">
      <c r="A4826" s="55" t="s">
        <v>9728</v>
      </c>
      <c r="B4826" s="55" t="s">
        <v>40</v>
      </c>
      <c r="C4826" s="55" t="s">
        <v>14355</v>
      </c>
      <c r="D4826" s="55" t="s">
        <v>9937</v>
      </c>
    </row>
    <row r="4827" ht="14.25" customHeight="1">
      <c r="A4827" s="55" t="s">
        <v>9728</v>
      </c>
      <c r="B4827" s="55" t="s">
        <v>40</v>
      </c>
      <c r="C4827" s="55" t="s">
        <v>14356</v>
      </c>
      <c r="D4827" s="55" t="s">
        <v>9430</v>
      </c>
    </row>
    <row r="4828" ht="14.25" customHeight="1">
      <c r="A4828" s="55" t="s">
        <v>9728</v>
      </c>
      <c r="B4828" s="55" t="s">
        <v>40</v>
      </c>
      <c r="C4828" s="55" t="s">
        <v>2669</v>
      </c>
      <c r="D4828" s="55" t="s">
        <v>9034</v>
      </c>
    </row>
    <row r="4829" ht="14.25" customHeight="1">
      <c r="A4829" s="55" t="s">
        <v>9728</v>
      </c>
      <c r="B4829" s="55" t="s">
        <v>40</v>
      </c>
      <c r="C4829" s="55" t="s">
        <v>2669</v>
      </c>
      <c r="D4829" s="55" t="s">
        <v>9578</v>
      </c>
    </row>
    <row r="4830" ht="14.25" customHeight="1">
      <c r="A4830" s="55" t="s">
        <v>9728</v>
      </c>
      <c r="B4830" s="55" t="s">
        <v>40</v>
      </c>
      <c r="C4830" s="55" t="s">
        <v>776</v>
      </c>
      <c r="D4830" s="55" t="s">
        <v>11051</v>
      </c>
    </row>
    <row r="4831" ht="14.25" customHeight="1">
      <c r="A4831" s="55" t="s">
        <v>9728</v>
      </c>
      <c r="B4831" s="55" t="s">
        <v>40</v>
      </c>
      <c r="C4831" s="55" t="s">
        <v>294</v>
      </c>
      <c r="D4831" s="55" t="s">
        <v>13205</v>
      </c>
    </row>
    <row r="4832" ht="14.25" customHeight="1">
      <c r="A4832" s="55" t="s">
        <v>9728</v>
      </c>
      <c r="B4832" s="55" t="s">
        <v>40</v>
      </c>
      <c r="C4832" s="55" t="s">
        <v>9740</v>
      </c>
      <c r="D4832" s="55" t="s">
        <v>9741</v>
      </c>
    </row>
    <row r="4833" ht="14.25" customHeight="1">
      <c r="A4833" s="55" t="s">
        <v>9728</v>
      </c>
      <c r="B4833" s="55" t="s">
        <v>40</v>
      </c>
      <c r="C4833" s="55" t="s">
        <v>12941</v>
      </c>
      <c r="D4833" s="55" t="s">
        <v>12328</v>
      </c>
    </row>
    <row r="4834" ht="14.25" customHeight="1">
      <c r="A4834" s="55" t="s">
        <v>9728</v>
      </c>
      <c r="B4834" s="55" t="s">
        <v>40</v>
      </c>
      <c r="C4834" s="55" t="s">
        <v>96</v>
      </c>
      <c r="D4834" s="55" t="s">
        <v>12328</v>
      </c>
    </row>
    <row r="4835" ht="14.25" customHeight="1">
      <c r="A4835" s="55" t="s">
        <v>9728</v>
      </c>
      <c r="B4835" s="55" t="s">
        <v>40</v>
      </c>
      <c r="C4835" s="55" t="s">
        <v>10381</v>
      </c>
      <c r="D4835" s="55" t="s">
        <v>10382</v>
      </c>
    </row>
    <row r="4836" ht="14.25" customHeight="1">
      <c r="A4836" s="55" t="s">
        <v>9728</v>
      </c>
      <c r="B4836" s="55" t="s">
        <v>40</v>
      </c>
      <c r="C4836" s="55" t="s">
        <v>14357</v>
      </c>
      <c r="D4836" s="55" t="s">
        <v>9667</v>
      </c>
    </row>
    <row r="4837" ht="14.25" customHeight="1">
      <c r="A4837" s="55" t="s">
        <v>9728</v>
      </c>
      <c r="B4837" s="55" t="s">
        <v>40</v>
      </c>
      <c r="C4837" s="55" t="s">
        <v>9361</v>
      </c>
      <c r="D4837" s="55" t="s">
        <v>9216</v>
      </c>
    </row>
    <row r="4838" ht="14.25" customHeight="1">
      <c r="A4838" s="55" t="s">
        <v>9728</v>
      </c>
      <c r="B4838" s="55" t="s">
        <v>40</v>
      </c>
      <c r="C4838" s="55" t="s">
        <v>98</v>
      </c>
      <c r="D4838" s="55" t="s">
        <v>9404</v>
      </c>
    </row>
    <row r="4839" ht="14.25" customHeight="1">
      <c r="A4839" s="55" t="s">
        <v>9728</v>
      </c>
      <c r="B4839" s="55" t="s">
        <v>40</v>
      </c>
      <c r="C4839" s="55" t="s">
        <v>98</v>
      </c>
      <c r="D4839" s="55" t="s">
        <v>9075</v>
      </c>
    </row>
    <row r="4840" ht="14.25" customHeight="1">
      <c r="A4840" s="55" t="s">
        <v>9728</v>
      </c>
      <c r="B4840" s="55" t="s">
        <v>40</v>
      </c>
      <c r="C4840" s="55" t="s">
        <v>9742</v>
      </c>
      <c r="D4840" s="55" t="s">
        <v>9667</v>
      </c>
    </row>
    <row r="4841" ht="14.25" customHeight="1">
      <c r="A4841" s="55" t="s">
        <v>9728</v>
      </c>
      <c r="B4841" s="55" t="s">
        <v>40</v>
      </c>
      <c r="C4841" s="55" t="s">
        <v>9742</v>
      </c>
      <c r="D4841" s="55" t="s">
        <v>13206</v>
      </c>
    </row>
    <row r="4842" ht="14.25" customHeight="1">
      <c r="A4842" s="55" t="s">
        <v>9728</v>
      </c>
      <c r="B4842" s="55" t="s">
        <v>40</v>
      </c>
      <c r="C4842" s="55" t="s">
        <v>9742</v>
      </c>
      <c r="D4842" s="55" t="s">
        <v>13207</v>
      </c>
    </row>
    <row r="4843" ht="14.25" customHeight="1">
      <c r="A4843" s="55" t="s">
        <v>9728</v>
      </c>
      <c r="B4843" s="55" t="s">
        <v>40</v>
      </c>
      <c r="C4843" s="55" t="s">
        <v>9742</v>
      </c>
      <c r="D4843" s="55" t="s">
        <v>9124</v>
      </c>
    </row>
    <row r="4844" ht="14.25" customHeight="1">
      <c r="A4844" s="55" t="s">
        <v>9728</v>
      </c>
      <c r="B4844" s="55" t="s">
        <v>40</v>
      </c>
      <c r="C4844" s="55" t="s">
        <v>10804</v>
      </c>
      <c r="D4844" s="55" t="s">
        <v>13848</v>
      </c>
    </row>
    <row r="4845" ht="14.25" customHeight="1">
      <c r="A4845" s="55" t="s">
        <v>9728</v>
      </c>
      <c r="B4845" s="55" t="s">
        <v>40</v>
      </c>
      <c r="C4845" s="55" t="s">
        <v>4739</v>
      </c>
      <c r="D4845" s="55" t="s">
        <v>13849</v>
      </c>
    </row>
    <row r="4846" ht="14.25" customHeight="1">
      <c r="A4846" s="55" t="s">
        <v>9728</v>
      </c>
      <c r="B4846" s="55" t="s">
        <v>40</v>
      </c>
      <c r="C4846" s="55" t="s">
        <v>4739</v>
      </c>
      <c r="D4846" s="55" t="s">
        <v>13850</v>
      </c>
    </row>
    <row r="4847" ht="14.25" customHeight="1">
      <c r="A4847" s="55" t="s">
        <v>9728</v>
      </c>
      <c r="B4847" s="55" t="s">
        <v>40</v>
      </c>
      <c r="C4847" s="55" t="s">
        <v>9743</v>
      </c>
      <c r="D4847" s="55" t="s">
        <v>9055</v>
      </c>
    </row>
    <row r="4848" ht="14.25" customHeight="1">
      <c r="A4848" s="55" t="s">
        <v>9728</v>
      </c>
      <c r="B4848" s="55" t="s">
        <v>40</v>
      </c>
      <c r="C4848" s="55" t="s">
        <v>13208</v>
      </c>
      <c r="D4848" s="55" t="s">
        <v>9055</v>
      </c>
    </row>
    <row r="4849" ht="14.25" customHeight="1">
      <c r="A4849" s="55" t="s">
        <v>9728</v>
      </c>
      <c r="B4849" s="55" t="s">
        <v>40</v>
      </c>
      <c r="C4849" s="55" t="s">
        <v>6057</v>
      </c>
      <c r="D4849" s="55" t="s">
        <v>9404</v>
      </c>
    </row>
    <row r="4850" ht="14.25" customHeight="1">
      <c r="A4850" s="55" t="s">
        <v>9728</v>
      </c>
      <c r="B4850" s="55" t="s">
        <v>40</v>
      </c>
      <c r="C4850" s="55" t="s">
        <v>6065</v>
      </c>
      <c r="D4850" s="55" t="s">
        <v>9034</v>
      </c>
    </row>
    <row r="4851" ht="14.25" customHeight="1">
      <c r="A4851" s="55" t="s">
        <v>9728</v>
      </c>
      <c r="B4851" s="55" t="s">
        <v>40</v>
      </c>
      <c r="C4851" s="55" t="s">
        <v>6065</v>
      </c>
      <c r="D4851" s="55" t="s">
        <v>10661</v>
      </c>
    </row>
    <row r="4852" ht="14.25" customHeight="1">
      <c r="A4852" s="55" t="s">
        <v>9728</v>
      </c>
      <c r="B4852" s="55" t="s">
        <v>40</v>
      </c>
      <c r="C4852" s="55" t="s">
        <v>6065</v>
      </c>
      <c r="D4852" s="55" t="s">
        <v>11052</v>
      </c>
    </row>
    <row r="4853" ht="14.25" customHeight="1">
      <c r="A4853" s="55" t="s">
        <v>9728</v>
      </c>
      <c r="B4853" s="55" t="s">
        <v>40</v>
      </c>
      <c r="C4853" s="55" t="s">
        <v>6065</v>
      </c>
      <c r="D4853" s="55" t="s">
        <v>11053</v>
      </c>
    </row>
    <row r="4854" ht="14.25" customHeight="1">
      <c r="A4854" s="55" t="s">
        <v>9728</v>
      </c>
      <c r="B4854" s="55" t="s">
        <v>40</v>
      </c>
      <c r="C4854" s="55" t="s">
        <v>6070</v>
      </c>
      <c r="D4854" s="55" t="s">
        <v>9236</v>
      </c>
    </row>
    <row r="4855" ht="14.25" customHeight="1">
      <c r="A4855" s="55" t="s">
        <v>9728</v>
      </c>
      <c r="B4855" s="55" t="s">
        <v>40</v>
      </c>
      <c r="C4855" s="55" t="s">
        <v>6083</v>
      </c>
      <c r="D4855" s="55" t="s">
        <v>9071</v>
      </c>
    </row>
    <row r="4856" ht="14.25" customHeight="1">
      <c r="A4856" s="55" t="s">
        <v>9728</v>
      </c>
      <c r="B4856" s="55" t="s">
        <v>40</v>
      </c>
      <c r="C4856" s="55" t="s">
        <v>9744</v>
      </c>
      <c r="D4856" s="55" t="s">
        <v>9745</v>
      </c>
    </row>
    <row r="4857" ht="14.25" customHeight="1">
      <c r="A4857" s="55" t="s">
        <v>9728</v>
      </c>
      <c r="B4857" s="55" t="s">
        <v>40</v>
      </c>
      <c r="C4857" s="55" t="s">
        <v>12329</v>
      </c>
      <c r="D4857" s="55" t="s">
        <v>13209</v>
      </c>
    </row>
    <row r="4858" ht="14.25" customHeight="1">
      <c r="A4858" s="55" t="s">
        <v>9728</v>
      </c>
      <c r="B4858" s="55" t="s">
        <v>40</v>
      </c>
      <c r="C4858" s="55" t="s">
        <v>12329</v>
      </c>
      <c r="D4858" s="55" t="s">
        <v>12330</v>
      </c>
    </row>
    <row r="4859" ht="14.25" customHeight="1">
      <c r="A4859" s="55" t="s">
        <v>9728</v>
      </c>
      <c r="B4859" s="55" t="s">
        <v>40</v>
      </c>
      <c r="C4859" s="55" t="s">
        <v>2798</v>
      </c>
      <c r="D4859" s="55" t="s">
        <v>9741</v>
      </c>
    </row>
    <row r="4860" ht="14.25" customHeight="1">
      <c r="A4860" s="55" t="s">
        <v>9728</v>
      </c>
      <c r="B4860" s="55" t="s">
        <v>40</v>
      </c>
      <c r="C4860" s="55" t="s">
        <v>10383</v>
      </c>
      <c r="D4860" s="55" t="s">
        <v>10384</v>
      </c>
    </row>
    <row r="4861" ht="14.25" customHeight="1">
      <c r="A4861" s="55" t="s">
        <v>9728</v>
      </c>
      <c r="B4861" s="55" t="s">
        <v>40</v>
      </c>
      <c r="C4861" s="55" t="s">
        <v>10962</v>
      </c>
      <c r="D4861" s="55" t="s">
        <v>9667</v>
      </c>
    </row>
    <row r="4862" ht="14.25" customHeight="1">
      <c r="A4862" s="55" t="s">
        <v>9728</v>
      </c>
      <c r="B4862" s="55" t="s">
        <v>40</v>
      </c>
      <c r="C4862" s="55" t="s">
        <v>11054</v>
      </c>
      <c r="D4862" s="55" t="s">
        <v>9667</v>
      </c>
    </row>
    <row r="4863" ht="14.25" customHeight="1">
      <c r="A4863" s="55" t="s">
        <v>9728</v>
      </c>
      <c r="B4863" s="55" t="s">
        <v>40</v>
      </c>
      <c r="C4863" s="55" t="s">
        <v>10385</v>
      </c>
      <c r="D4863" s="55" t="s">
        <v>10386</v>
      </c>
    </row>
    <row r="4864" ht="14.25" customHeight="1">
      <c r="A4864" s="55" t="s">
        <v>9728</v>
      </c>
      <c r="B4864" s="55" t="s">
        <v>40</v>
      </c>
      <c r="C4864" s="55" t="s">
        <v>9629</v>
      </c>
      <c r="D4864" s="55" t="s">
        <v>8968</v>
      </c>
    </row>
    <row r="4865" ht="14.25" customHeight="1">
      <c r="A4865" s="55" t="s">
        <v>9728</v>
      </c>
      <c r="B4865" s="55" t="s">
        <v>40</v>
      </c>
      <c r="C4865" s="55" t="s">
        <v>14358</v>
      </c>
      <c r="D4865" s="55" t="s">
        <v>14359</v>
      </c>
    </row>
    <row r="4866" ht="14.25" customHeight="1">
      <c r="A4866" s="55" t="s">
        <v>9728</v>
      </c>
      <c r="B4866" s="55" t="s">
        <v>40</v>
      </c>
      <c r="C4866" s="55" t="s">
        <v>13210</v>
      </c>
      <c r="D4866" s="55" t="s">
        <v>13211</v>
      </c>
    </row>
    <row r="4867" ht="14.25" customHeight="1">
      <c r="A4867" s="55" t="s">
        <v>9728</v>
      </c>
      <c r="B4867" s="55" t="s">
        <v>40</v>
      </c>
      <c r="C4867" s="55" t="s">
        <v>916</v>
      </c>
      <c r="D4867" s="55" t="s">
        <v>13162</v>
      </c>
    </row>
    <row r="4868" ht="14.25" customHeight="1">
      <c r="A4868" s="55" t="s">
        <v>9728</v>
      </c>
      <c r="B4868" s="55" t="s">
        <v>40</v>
      </c>
      <c r="C4868" s="55" t="s">
        <v>916</v>
      </c>
      <c r="D4868" s="55" t="s">
        <v>13851</v>
      </c>
    </row>
    <row r="4869" ht="14.25" customHeight="1">
      <c r="A4869" s="55" t="s">
        <v>9728</v>
      </c>
      <c r="B4869" s="55" t="s">
        <v>40</v>
      </c>
      <c r="C4869" s="55" t="s">
        <v>916</v>
      </c>
      <c r="D4869" s="55" t="s">
        <v>10036</v>
      </c>
    </row>
    <row r="4870" ht="14.25" customHeight="1">
      <c r="A4870" s="55" t="s">
        <v>9728</v>
      </c>
      <c r="B4870" s="55" t="s">
        <v>40</v>
      </c>
      <c r="C4870" s="55" t="s">
        <v>916</v>
      </c>
      <c r="D4870" s="55" t="s">
        <v>9746</v>
      </c>
    </row>
    <row r="4871" ht="14.25" customHeight="1">
      <c r="A4871" s="55" t="s">
        <v>9728</v>
      </c>
      <c r="B4871" s="55" t="s">
        <v>40</v>
      </c>
      <c r="C4871" s="55" t="s">
        <v>9630</v>
      </c>
      <c r="D4871" s="55" t="s">
        <v>9236</v>
      </c>
    </row>
    <row r="4872" ht="14.25" customHeight="1">
      <c r="A4872" s="55" t="s">
        <v>9728</v>
      </c>
      <c r="B4872" s="55" t="s">
        <v>40</v>
      </c>
      <c r="C4872" s="55" t="s">
        <v>9630</v>
      </c>
      <c r="D4872" s="55" t="s">
        <v>12252</v>
      </c>
    </row>
    <row r="4873" ht="14.25" customHeight="1">
      <c r="A4873" s="55" t="s">
        <v>9728</v>
      </c>
      <c r="B4873" s="55" t="s">
        <v>40</v>
      </c>
      <c r="C4873" s="55" t="s">
        <v>9630</v>
      </c>
      <c r="D4873" s="55" t="s">
        <v>14360</v>
      </c>
    </row>
    <row r="4874" ht="14.25" customHeight="1">
      <c r="A4874" s="55" t="s">
        <v>9728</v>
      </c>
      <c r="B4874" s="55" t="s">
        <v>40</v>
      </c>
      <c r="C4874" s="55" t="s">
        <v>9630</v>
      </c>
      <c r="D4874" s="55" t="s">
        <v>13212</v>
      </c>
    </row>
    <row r="4875" ht="14.25" customHeight="1">
      <c r="A4875" s="55" t="s">
        <v>9728</v>
      </c>
      <c r="B4875" s="55" t="s">
        <v>40</v>
      </c>
      <c r="C4875" s="55" t="s">
        <v>9630</v>
      </c>
      <c r="D4875" s="55" t="s">
        <v>11687</v>
      </c>
    </row>
    <row r="4876" ht="14.25" customHeight="1">
      <c r="A4876" s="55" t="s">
        <v>9728</v>
      </c>
      <c r="B4876" s="55" t="s">
        <v>40</v>
      </c>
      <c r="C4876" s="55" t="s">
        <v>9630</v>
      </c>
      <c r="D4876" s="55" t="s">
        <v>11055</v>
      </c>
    </row>
    <row r="4877" ht="14.25" customHeight="1">
      <c r="A4877" s="55" t="s">
        <v>9728</v>
      </c>
      <c r="B4877" s="55" t="s">
        <v>40</v>
      </c>
      <c r="C4877" s="55" t="s">
        <v>10387</v>
      </c>
      <c r="D4877" s="55" t="s">
        <v>9430</v>
      </c>
    </row>
    <row r="4878" ht="14.25" customHeight="1">
      <c r="A4878" s="55" t="s">
        <v>9728</v>
      </c>
      <c r="B4878" s="55" t="s">
        <v>40</v>
      </c>
      <c r="C4878" s="55" t="s">
        <v>11688</v>
      </c>
      <c r="D4878" s="55" t="s">
        <v>8976</v>
      </c>
    </row>
    <row r="4879" ht="14.25" customHeight="1">
      <c r="A4879" s="55" t="s">
        <v>9728</v>
      </c>
      <c r="B4879" s="55" t="s">
        <v>40</v>
      </c>
      <c r="C4879" s="55" t="s">
        <v>10889</v>
      </c>
      <c r="D4879" s="55" t="s">
        <v>9151</v>
      </c>
    </row>
    <row r="4880" ht="14.25" customHeight="1">
      <c r="A4880" s="55" t="s">
        <v>9728</v>
      </c>
      <c r="B4880" s="55" t="s">
        <v>40</v>
      </c>
      <c r="C4880" s="55" t="s">
        <v>11056</v>
      </c>
      <c r="D4880" s="55" t="s">
        <v>10661</v>
      </c>
    </row>
    <row r="4881" ht="14.25" customHeight="1">
      <c r="A4881" s="55" t="s">
        <v>9728</v>
      </c>
      <c r="B4881" s="55" t="s">
        <v>40</v>
      </c>
      <c r="C4881" s="55" t="s">
        <v>13852</v>
      </c>
      <c r="D4881" s="55" t="s">
        <v>9525</v>
      </c>
    </row>
    <row r="4882" ht="14.25" customHeight="1">
      <c r="A4882" s="55" t="s">
        <v>9728</v>
      </c>
      <c r="B4882" s="55" t="s">
        <v>40</v>
      </c>
      <c r="C4882" s="55" t="s">
        <v>9747</v>
      </c>
      <c r="D4882" s="55" t="s">
        <v>9034</v>
      </c>
    </row>
    <row r="4883" ht="14.25" customHeight="1">
      <c r="A4883" s="55" t="s">
        <v>9728</v>
      </c>
      <c r="B4883" s="55" t="s">
        <v>40</v>
      </c>
      <c r="C4883" s="55" t="s">
        <v>9121</v>
      </c>
      <c r="D4883" s="55" t="s">
        <v>12331</v>
      </c>
    </row>
    <row r="4884" ht="14.25" customHeight="1">
      <c r="A4884" s="55" t="s">
        <v>9728</v>
      </c>
      <c r="B4884" s="55" t="s">
        <v>40</v>
      </c>
      <c r="C4884" s="55" t="s">
        <v>9121</v>
      </c>
      <c r="D4884" s="55" t="s">
        <v>13213</v>
      </c>
    </row>
    <row r="4885" ht="14.25" customHeight="1">
      <c r="A4885" s="55" t="s">
        <v>9728</v>
      </c>
      <c r="B4885" s="55" t="s">
        <v>40</v>
      </c>
      <c r="C4885" s="55" t="s">
        <v>9121</v>
      </c>
      <c r="D4885" s="55" t="s">
        <v>14361</v>
      </c>
    </row>
    <row r="4886" ht="14.25" customHeight="1">
      <c r="A4886" s="55" t="s">
        <v>9728</v>
      </c>
      <c r="B4886" s="55" t="s">
        <v>40</v>
      </c>
      <c r="C4886" s="55" t="s">
        <v>6156</v>
      </c>
      <c r="D4886" s="55" t="s">
        <v>13853</v>
      </c>
    </row>
    <row r="4887" ht="14.25" customHeight="1">
      <c r="A4887" s="55" t="s">
        <v>9728</v>
      </c>
      <c r="B4887" s="55" t="s">
        <v>40</v>
      </c>
      <c r="C4887" s="55" t="s">
        <v>13214</v>
      </c>
      <c r="D4887" s="55" t="s">
        <v>9216</v>
      </c>
    </row>
    <row r="4888" ht="14.25" customHeight="1">
      <c r="A4888" s="55" t="s">
        <v>9728</v>
      </c>
      <c r="B4888" s="55" t="s">
        <v>40</v>
      </c>
      <c r="C4888" s="55" t="s">
        <v>112</v>
      </c>
      <c r="D4888" s="55" t="s">
        <v>9216</v>
      </c>
    </row>
    <row r="4889" ht="14.25" customHeight="1">
      <c r="A4889" s="55" t="s">
        <v>9728</v>
      </c>
      <c r="B4889" s="55" t="s">
        <v>40</v>
      </c>
      <c r="C4889" s="55" t="s">
        <v>11057</v>
      </c>
      <c r="D4889" s="55" t="s">
        <v>405</v>
      </c>
    </row>
    <row r="4890" ht="14.25" customHeight="1">
      <c r="A4890" s="55" t="s">
        <v>9728</v>
      </c>
      <c r="B4890" s="55" t="s">
        <v>40</v>
      </c>
      <c r="C4890" s="55" t="s">
        <v>11689</v>
      </c>
      <c r="D4890" s="55" t="s">
        <v>11690</v>
      </c>
    </row>
    <row r="4891" ht="14.25" customHeight="1">
      <c r="A4891" s="55" t="s">
        <v>9728</v>
      </c>
      <c r="B4891" s="55" t="s">
        <v>40</v>
      </c>
      <c r="C4891" s="55" t="s">
        <v>6182</v>
      </c>
      <c r="D4891" s="55" t="s">
        <v>9430</v>
      </c>
    </row>
    <row r="4892" ht="14.25" customHeight="1">
      <c r="A4892" s="55" t="s">
        <v>9728</v>
      </c>
      <c r="B4892" s="55" t="s">
        <v>40</v>
      </c>
      <c r="C4892" s="55" t="s">
        <v>6182</v>
      </c>
      <c r="D4892" s="55" t="s">
        <v>9266</v>
      </c>
    </row>
    <row r="4893" ht="14.25" customHeight="1">
      <c r="A4893" s="55" t="s">
        <v>9728</v>
      </c>
      <c r="B4893" s="55" t="s">
        <v>40</v>
      </c>
      <c r="C4893" s="55" t="s">
        <v>9537</v>
      </c>
      <c r="D4893" s="55" t="s">
        <v>9578</v>
      </c>
    </row>
    <row r="4894" ht="14.25" customHeight="1">
      <c r="A4894" s="55" t="s">
        <v>9728</v>
      </c>
      <c r="B4894" s="55" t="s">
        <v>40</v>
      </c>
      <c r="C4894" s="55" t="s">
        <v>9748</v>
      </c>
      <c r="D4894" s="55" t="s">
        <v>9667</v>
      </c>
    </row>
    <row r="4895" ht="14.25" customHeight="1">
      <c r="A4895" s="55" t="s">
        <v>9728</v>
      </c>
      <c r="B4895" s="55" t="s">
        <v>40</v>
      </c>
      <c r="C4895" s="55" t="s">
        <v>14362</v>
      </c>
      <c r="D4895" s="55" t="s">
        <v>9445</v>
      </c>
    </row>
    <row r="4896" ht="14.25" customHeight="1">
      <c r="A4896" s="55" t="s">
        <v>9728</v>
      </c>
      <c r="B4896" s="55" t="s">
        <v>40</v>
      </c>
      <c r="C4896" s="55" t="s">
        <v>13215</v>
      </c>
      <c r="D4896" s="55" t="s">
        <v>13216</v>
      </c>
    </row>
    <row r="4897" ht="14.25" customHeight="1">
      <c r="A4897" s="55" t="s">
        <v>9728</v>
      </c>
      <c r="B4897" s="55" t="s">
        <v>40</v>
      </c>
      <c r="C4897" s="55" t="s">
        <v>124</v>
      </c>
      <c r="D4897" s="55" t="s">
        <v>9216</v>
      </c>
    </row>
    <row r="4898" ht="14.25" customHeight="1">
      <c r="A4898" s="55" t="s">
        <v>9728</v>
      </c>
      <c r="B4898" s="55" t="s">
        <v>40</v>
      </c>
      <c r="C4898" s="55" t="s">
        <v>124</v>
      </c>
      <c r="D4898" s="55" t="s">
        <v>8982</v>
      </c>
    </row>
    <row r="4899" ht="14.25" customHeight="1">
      <c r="A4899" s="55" t="s">
        <v>9728</v>
      </c>
      <c r="B4899" s="55" t="s">
        <v>40</v>
      </c>
      <c r="C4899" s="55" t="s">
        <v>8981</v>
      </c>
      <c r="D4899" s="55" t="s">
        <v>8982</v>
      </c>
    </row>
    <row r="4900" ht="14.25" customHeight="1">
      <c r="A4900" s="55" t="s">
        <v>9728</v>
      </c>
      <c r="B4900" s="55" t="s">
        <v>40</v>
      </c>
      <c r="C4900" s="55" t="s">
        <v>9268</v>
      </c>
      <c r="D4900" s="55" t="s">
        <v>13217</v>
      </c>
    </row>
    <row r="4901" ht="14.25" customHeight="1">
      <c r="A4901" s="55" t="s">
        <v>9728</v>
      </c>
      <c r="B4901" s="55" t="s">
        <v>40</v>
      </c>
      <c r="C4901" s="55" t="s">
        <v>9455</v>
      </c>
      <c r="D4901" s="55" t="s">
        <v>14363</v>
      </c>
    </row>
    <row r="4902" ht="14.25" customHeight="1">
      <c r="A4902" s="55" t="s">
        <v>9728</v>
      </c>
      <c r="B4902" s="55" t="s">
        <v>40</v>
      </c>
      <c r="C4902" s="55" t="s">
        <v>9455</v>
      </c>
      <c r="D4902" s="55" t="s">
        <v>9749</v>
      </c>
    </row>
    <row r="4903" ht="14.25" customHeight="1">
      <c r="A4903" s="55" t="s">
        <v>9728</v>
      </c>
      <c r="B4903" s="55" t="s">
        <v>40</v>
      </c>
      <c r="C4903" s="55" t="s">
        <v>13854</v>
      </c>
      <c r="D4903" s="55" t="s">
        <v>9216</v>
      </c>
    </row>
    <row r="4904" ht="14.25" customHeight="1">
      <c r="A4904" s="55" t="s">
        <v>9728</v>
      </c>
      <c r="B4904" s="55" t="s">
        <v>40</v>
      </c>
      <c r="C4904" s="55" t="s">
        <v>9133</v>
      </c>
      <c r="D4904" s="55" t="s">
        <v>11058</v>
      </c>
    </row>
    <row r="4905" ht="14.25" customHeight="1">
      <c r="A4905" s="55" t="s">
        <v>9728</v>
      </c>
      <c r="B4905" s="55" t="s">
        <v>40</v>
      </c>
      <c r="C4905" s="55" t="s">
        <v>9133</v>
      </c>
      <c r="D4905" s="55" t="s">
        <v>9099</v>
      </c>
    </row>
    <row r="4906" ht="14.25" customHeight="1">
      <c r="A4906" s="55" t="s">
        <v>9728</v>
      </c>
      <c r="B4906" s="55" t="s">
        <v>40</v>
      </c>
      <c r="C4906" s="55" t="s">
        <v>14364</v>
      </c>
      <c r="D4906" s="55" t="s">
        <v>9649</v>
      </c>
    </row>
    <row r="4907" ht="14.25" customHeight="1">
      <c r="A4907" s="55" t="s">
        <v>9728</v>
      </c>
      <c r="B4907" s="55" t="s">
        <v>40</v>
      </c>
      <c r="C4907" s="55" t="s">
        <v>1066</v>
      </c>
      <c r="D4907" s="55" t="s">
        <v>9034</v>
      </c>
    </row>
    <row r="4908" ht="14.25" customHeight="1">
      <c r="A4908" s="55" t="s">
        <v>9728</v>
      </c>
      <c r="B4908" s="55" t="s">
        <v>40</v>
      </c>
      <c r="C4908" s="55" t="s">
        <v>1066</v>
      </c>
      <c r="D4908" s="55" t="s">
        <v>9750</v>
      </c>
    </row>
    <row r="4909" ht="14.25" customHeight="1">
      <c r="A4909" s="55" t="s">
        <v>9728</v>
      </c>
      <c r="B4909" s="55" t="s">
        <v>40</v>
      </c>
      <c r="C4909" s="55" t="s">
        <v>1066</v>
      </c>
      <c r="D4909" s="55" t="s">
        <v>9075</v>
      </c>
    </row>
    <row r="4910" ht="14.25" customHeight="1">
      <c r="A4910" s="55" t="s">
        <v>9728</v>
      </c>
      <c r="B4910" s="55" t="s">
        <v>40</v>
      </c>
      <c r="C4910" s="55" t="s">
        <v>128</v>
      </c>
      <c r="D4910" s="55" t="s">
        <v>9075</v>
      </c>
    </row>
    <row r="4911" ht="14.25" customHeight="1">
      <c r="A4911" s="55" t="s">
        <v>9728</v>
      </c>
      <c r="B4911" s="55" t="s">
        <v>40</v>
      </c>
      <c r="C4911" s="55" t="s">
        <v>9138</v>
      </c>
      <c r="D4911" s="55" t="s">
        <v>9751</v>
      </c>
    </row>
    <row r="4912" ht="14.25" customHeight="1">
      <c r="A4912" s="55" t="s">
        <v>9728</v>
      </c>
      <c r="B4912" s="55" t="s">
        <v>40</v>
      </c>
      <c r="C4912" s="55" t="s">
        <v>129</v>
      </c>
      <c r="D4912" s="55" t="s">
        <v>12332</v>
      </c>
    </row>
    <row r="4913" ht="14.25" customHeight="1">
      <c r="A4913" s="55" t="s">
        <v>9728</v>
      </c>
      <c r="B4913" s="55" t="s">
        <v>40</v>
      </c>
      <c r="C4913" s="55" t="s">
        <v>129</v>
      </c>
      <c r="D4913" s="55" t="s">
        <v>11691</v>
      </c>
    </row>
    <row r="4914" ht="14.25" customHeight="1">
      <c r="A4914" s="55" t="s">
        <v>9728</v>
      </c>
      <c r="B4914" s="55" t="s">
        <v>40</v>
      </c>
      <c r="C4914" s="55" t="s">
        <v>129</v>
      </c>
      <c r="D4914" s="55" t="s">
        <v>9404</v>
      </c>
    </row>
    <row r="4915" ht="14.25" customHeight="1">
      <c r="A4915" s="55" t="s">
        <v>9728</v>
      </c>
      <c r="B4915" s="55" t="s">
        <v>40</v>
      </c>
      <c r="C4915" s="55" t="s">
        <v>13041</v>
      </c>
      <c r="D4915" s="55" t="s">
        <v>9643</v>
      </c>
    </row>
    <row r="4916" ht="14.25" customHeight="1">
      <c r="A4916" s="55" t="s">
        <v>9728</v>
      </c>
      <c r="B4916" s="55" t="s">
        <v>40</v>
      </c>
      <c r="C4916" s="55" t="s">
        <v>13041</v>
      </c>
      <c r="D4916" s="55" t="s">
        <v>13218</v>
      </c>
    </row>
    <row r="4917" ht="14.25" customHeight="1">
      <c r="A4917" s="55" t="s">
        <v>9728</v>
      </c>
      <c r="B4917" s="55" t="s">
        <v>40</v>
      </c>
      <c r="C4917" s="55" t="s">
        <v>13041</v>
      </c>
      <c r="D4917" s="55" t="s">
        <v>9141</v>
      </c>
    </row>
    <row r="4918" ht="14.25" customHeight="1">
      <c r="A4918" s="55" t="s">
        <v>9728</v>
      </c>
      <c r="B4918" s="55" t="s">
        <v>40</v>
      </c>
      <c r="C4918" s="55" t="s">
        <v>10942</v>
      </c>
      <c r="D4918" s="55" t="s">
        <v>11059</v>
      </c>
    </row>
    <row r="4919" ht="14.25" customHeight="1">
      <c r="A4919" s="55" t="s">
        <v>9728</v>
      </c>
      <c r="B4919" s="55" t="s">
        <v>40</v>
      </c>
      <c r="C4919" s="55" t="s">
        <v>10942</v>
      </c>
      <c r="D4919" s="55" t="s">
        <v>10430</v>
      </c>
    </row>
    <row r="4920" ht="14.25" customHeight="1">
      <c r="A4920" s="55" t="s">
        <v>9728</v>
      </c>
      <c r="B4920" s="55" t="s">
        <v>40</v>
      </c>
      <c r="C4920" s="55" t="s">
        <v>12333</v>
      </c>
      <c r="D4920" s="55" t="s">
        <v>9404</v>
      </c>
    </row>
    <row r="4921" ht="14.25" customHeight="1">
      <c r="A4921" s="55" t="s">
        <v>9728</v>
      </c>
      <c r="B4921" s="55" t="s">
        <v>40</v>
      </c>
      <c r="C4921" s="55" t="s">
        <v>12034</v>
      </c>
      <c r="D4921" s="55" t="s">
        <v>13855</v>
      </c>
    </row>
    <row r="4922" ht="14.25" customHeight="1">
      <c r="A4922" s="55" t="s">
        <v>9728</v>
      </c>
      <c r="B4922" s="55" t="s">
        <v>40</v>
      </c>
      <c r="C4922" s="55" t="s">
        <v>12034</v>
      </c>
      <c r="D4922" s="55" t="s">
        <v>13856</v>
      </c>
    </row>
    <row r="4923" ht="14.25" customHeight="1">
      <c r="A4923" s="55" t="s">
        <v>9728</v>
      </c>
      <c r="B4923" s="55" t="s">
        <v>40</v>
      </c>
      <c r="C4923" s="55" t="s">
        <v>133</v>
      </c>
      <c r="D4923" s="55" t="s">
        <v>11060</v>
      </c>
    </row>
    <row r="4924" ht="14.25" customHeight="1">
      <c r="A4924" s="55" t="s">
        <v>9728</v>
      </c>
      <c r="B4924" s="55" t="s">
        <v>40</v>
      </c>
      <c r="C4924" s="55" t="s">
        <v>3138</v>
      </c>
      <c r="D4924" s="55" t="s">
        <v>10388</v>
      </c>
    </row>
    <row r="4925" ht="14.25" customHeight="1">
      <c r="A4925" s="55" t="s">
        <v>9728</v>
      </c>
      <c r="B4925" s="55" t="s">
        <v>40</v>
      </c>
      <c r="C4925" s="55" t="s">
        <v>13219</v>
      </c>
      <c r="D4925" s="55" t="s">
        <v>13220</v>
      </c>
    </row>
    <row r="4926" ht="14.25" customHeight="1">
      <c r="A4926" s="55" t="s">
        <v>9728</v>
      </c>
      <c r="B4926" s="55" t="s">
        <v>40</v>
      </c>
      <c r="C4926" s="55" t="s">
        <v>14365</v>
      </c>
      <c r="D4926" s="55" t="s">
        <v>9073</v>
      </c>
    </row>
    <row r="4927" ht="14.25" customHeight="1">
      <c r="A4927" s="55" t="s">
        <v>9728</v>
      </c>
      <c r="B4927" s="55" t="s">
        <v>40</v>
      </c>
      <c r="C4927" s="55" t="s">
        <v>13221</v>
      </c>
      <c r="D4927" s="55" t="s">
        <v>11030</v>
      </c>
    </row>
    <row r="4928" ht="14.25" customHeight="1">
      <c r="A4928" s="55" t="s">
        <v>9728</v>
      </c>
      <c r="B4928" s="55" t="s">
        <v>40</v>
      </c>
      <c r="C4928" s="55" t="s">
        <v>14366</v>
      </c>
      <c r="D4928" s="55" t="s">
        <v>14367</v>
      </c>
    </row>
    <row r="4929" ht="14.25" customHeight="1">
      <c r="A4929" s="55" t="s">
        <v>9728</v>
      </c>
      <c r="B4929" s="55" t="s">
        <v>40</v>
      </c>
      <c r="C4929" s="55" t="s">
        <v>9752</v>
      </c>
      <c r="D4929" s="55" t="s">
        <v>9109</v>
      </c>
    </row>
    <row r="4930" ht="14.25" customHeight="1">
      <c r="A4930" s="55" t="s">
        <v>9728</v>
      </c>
      <c r="B4930" s="55" t="s">
        <v>40</v>
      </c>
      <c r="C4930" s="55" t="s">
        <v>9752</v>
      </c>
      <c r="D4930" s="55" t="s">
        <v>9075</v>
      </c>
    </row>
    <row r="4931" ht="14.25" customHeight="1">
      <c r="A4931" s="55" t="s">
        <v>9728</v>
      </c>
      <c r="B4931" s="55" t="s">
        <v>40</v>
      </c>
      <c r="C4931" s="55" t="s">
        <v>141</v>
      </c>
      <c r="D4931" s="55" t="s">
        <v>9034</v>
      </c>
    </row>
    <row r="4932" ht="14.25" customHeight="1">
      <c r="A4932" s="55" t="s">
        <v>9728</v>
      </c>
      <c r="B4932" s="55" t="s">
        <v>40</v>
      </c>
      <c r="C4932" s="55" t="s">
        <v>141</v>
      </c>
      <c r="D4932" s="55" t="s">
        <v>9667</v>
      </c>
    </row>
    <row r="4933" ht="14.25" customHeight="1">
      <c r="A4933" s="55" t="s">
        <v>9728</v>
      </c>
      <c r="B4933" s="55" t="s">
        <v>40</v>
      </c>
      <c r="C4933" s="55" t="s">
        <v>141</v>
      </c>
      <c r="D4933" s="55" t="s">
        <v>9753</v>
      </c>
    </row>
    <row r="4934" ht="14.25" customHeight="1">
      <c r="A4934" s="55" t="s">
        <v>9728</v>
      </c>
      <c r="B4934" s="55" t="s">
        <v>40</v>
      </c>
      <c r="C4934" s="55" t="s">
        <v>141</v>
      </c>
      <c r="D4934" s="55" t="s">
        <v>13222</v>
      </c>
    </row>
    <row r="4935" ht="14.25" customHeight="1">
      <c r="A4935" s="55" t="s">
        <v>9728</v>
      </c>
      <c r="B4935" s="55" t="s">
        <v>40</v>
      </c>
      <c r="C4935" s="55" t="s">
        <v>141</v>
      </c>
      <c r="D4935" s="55" t="s">
        <v>11692</v>
      </c>
    </row>
    <row r="4936" ht="14.25" customHeight="1">
      <c r="A4936" s="55" t="s">
        <v>9728</v>
      </c>
      <c r="B4936" s="55" t="s">
        <v>40</v>
      </c>
      <c r="C4936" s="55" t="s">
        <v>141</v>
      </c>
      <c r="D4936" s="55" t="s">
        <v>9646</v>
      </c>
    </row>
    <row r="4937" ht="14.25" customHeight="1">
      <c r="A4937" s="55" t="s">
        <v>9728</v>
      </c>
      <c r="B4937" s="55" t="s">
        <v>40</v>
      </c>
      <c r="C4937" s="55" t="s">
        <v>141</v>
      </c>
      <c r="D4937" s="55" t="s">
        <v>11061</v>
      </c>
    </row>
    <row r="4938" ht="14.25" customHeight="1">
      <c r="A4938" s="55" t="s">
        <v>9728</v>
      </c>
      <c r="B4938" s="55" t="s">
        <v>40</v>
      </c>
      <c r="C4938" s="55" t="s">
        <v>9754</v>
      </c>
      <c r="D4938" s="55" t="s">
        <v>9755</v>
      </c>
    </row>
    <row r="4939" ht="14.25" customHeight="1">
      <c r="A4939" s="55" t="s">
        <v>9728</v>
      </c>
      <c r="B4939" s="55" t="s">
        <v>40</v>
      </c>
      <c r="C4939" s="55" t="s">
        <v>12334</v>
      </c>
      <c r="D4939" s="55" t="s">
        <v>8968</v>
      </c>
    </row>
    <row r="4940" ht="14.25" customHeight="1">
      <c r="A4940" s="55" t="s">
        <v>9728</v>
      </c>
      <c r="B4940" s="55" t="s">
        <v>40</v>
      </c>
      <c r="C4940" s="55" t="s">
        <v>9756</v>
      </c>
      <c r="D4940" s="55" t="s">
        <v>8978</v>
      </c>
    </row>
    <row r="4941" ht="14.25" customHeight="1">
      <c r="A4941" s="55" t="s">
        <v>9728</v>
      </c>
      <c r="B4941" s="55" t="s">
        <v>40</v>
      </c>
      <c r="C4941" s="55" t="s">
        <v>6405</v>
      </c>
      <c r="D4941" s="55" t="s">
        <v>13223</v>
      </c>
    </row>
    <row r="4942" ht="14.25" customHeight="1">
      <c r="A4942" s="55" t="s">
        <v>9728</v>
      </c>
      <c r="B4942" s="55" t="s">
        <v>40</v>
      </c>
      <c r="C4942" s="55" t="s">
        <v>11693</v>
      </c>
      <c r="D4942" s="55" t="s">
        <v>11694</v>
      </c>
    </row>
    <row r="4943" ht="14.25" customHeight="1">
      <c r="A4943" s="55" t="s">
        <v>9728</v>
      </c>
      <c r="B4943" s="55" t="s">
        <v>40</v>
      </c>
      <c r="C4943" s="55" t="s">
        <v>10745</v>
      </c>
      <c r="D4943" s="55" t="s">
        <v>12335</v>
      </c>
    </row>
    <row r="4944" ht="14.25" customHeight="1">
      <c r="A4944" s="55" t="s">
        <v>9728</v>
      </c>
      <c r="B4944" s="55" t="s">
        <v>40</v>
      </c>
      <c r="C4944" s="55" t="s">
        <v>10745</v>
      </c>
      <c r="D4944" s="55" t="s">
        <v>12336</v>
      </c>
    </row>
    <row r="4945" ht="14.25" customHeight="1">
      <c r="A4945" s="55" t="s">
        <v>9728</v>
      </c>
      <c r="B4945" s="55" t="s">
        <v>40</v>
      </c>
      <c r="C4945" s="55" t="s">
        <v>9272</v>
      </c>
      <c r="D4945" s="55" t="s">
        <v>9066</v>
      </c>
    </row>
    <row r="4946" ht="14.25" customHeight="1">
      <c r="A4946" s="55" t="s">
        <v>9728</v>
      </c>
      <c r="B4946" s="55" t="s">
        <v>40</v>
      </c>
      <c r="C4946" s="55" t="s">
        <v>9272</v>
      </c>
      <c r="D4946" s="55" t="s">
        <v>8976</v>
      </c>
    </row>
    <row r="4947" ht="14.25" customHeight="1">
      <c r="A4947" s="55" t="s">
        <v>9728</v>
      </c>
      <c r="B4947" s="55" t="s">
        <v>40</v>
      </c>
      <c r="C4947" s="55" t="s">
        <v>10462</v>
      </c>
      <c r="D4947" s="55" t="s">
        <v>13224</v>
      </c>
    </row>
    <row r="4948" ht="14.25" customHeight="1">
      <c r="A4948" s="55" t="s">
        <v>9728</v>
      </c>
      <c r="B4948" s="55" t="s">
        <v>40</v>
      </c>
      <c r="C4948" s="55" t="s">
        <v>6428</v>
      </c>
      <c r="D4948" s="55" t="s">
        <v>11062</v>
      </c>
    </row>
    <row r="4949" ht="14.25" customHeight="1">
      <c r="A4949" s="55" t="s">
        <v>9728</v>
      </c>
      <c r="B4949" s="55" t="s">
        <v>40</v>
      </c>
      <c r="C4949" s="55" t="s">
        <v>9757</v>
      </c>
      <c r="D4949" s="55" t="s">
        <v>9649</v>
      </c>
    </row>
    <row r="4950" ht="14.25" customHeight="1">
      <c r="A4950" s="55" t="s">
        <v>9728</v>
      </c>
      <c r="B4950" s="55" t="s">
        <v>40</v>
      </c>
      <c r="C4950" s="55" t="s">
        <v>14368</v>
      </c>
      <c r="D4950" s="55" t="s">
        <v>9759</v>
      </c>
    </row>
    <row r="4951" ht="14.25" customHeight="1">
      <c r="A4951" s="55" t="s">
        <v>9728</v>
      </c>
      <c r="B4951" s="55" t="s">
        <v>40</v>
      </c>
      <c r="C4951" s="55" t="s">
        <v>14368</v>
      </c>
      <c r="D4951" s="55" t="s">
        <v>9667</v>
      </c>
    </row>
    <row r="4952" ht="14.25" customHeight="1">
      <c r="A4952" s="55" t="s">
        <v>9728</v>
      </c>
      <c r="B4952" s="55" t="s">
        <v>40</v>
      </c>
      <c r="C4952" s="55" t="s">
        <v>153</v>
      </c>
      <c r="D4952" s="55" t="s">
        <v>13857</v>
      </c>
    </row>
    <row r="4953" ht="14.25" customHeight="1">
      <c r="A4953" s="55" t="s">
        <v>9728</v>
      </c>
      <c r="B4953" s="55" t="s">
        <v>40</v>
      </c>
      <c r="C4953" s="55" t="s">
        <v>153</v>
      </c>
      <c r="D4953" s="55" t="s">
        <v>9758</v>
      </c>
    </row>
    <row r="4954" ht="14.25" customHeight="1">
      <c r="A4954" s="55" t="s">
        <v>9728</v>
      </c>
      <c r="B4954" s="55" t="s">
        <v>40</v>
      </c>
      <c r="C4954" s="55" t="s">
        <v>153</v>
      </c>
      <c r="D4954" s="55" t="s">
        <v>13081</v>
      </c>
    </row>
    <row r="4955" ht="14.25" customHeight="1">
      <c r="A4955" s="55" t="s">
        <v>9728</v>
      </c>
      <c r="B4955" s="55" t="s">
        <v>40</v>
      </c>
      <c r="C4955" s="55" t="s">
        <v>11063</v>
      </c>
      <c r="D4955" s="55" t="s">
        <v>9034</v>
      </c>
    </row>
    <row r="4956" ht="14.25" customHeight="1">
      <c r="A4956" s="55" t="s">
        <v>9728</v>
      </c>
      <c r="B4956" s="55" t="s">
        <v>40</v>
      </c>
      <c r="C4956" s="55" t="s">
        <v>10389</v>
      </c>
      <c r="D4956" s="55" t="s">
        <v>9055</v>
      </c>
    </row>
    <row r="4957" ht="14.25" customHeight="1">
      <c r="A4957" s="55" t="s">
        <v>9728</v>
      </c>
      <c r="B4957" s="55" t="s">
        <v>40</v>
      </c>
      <c r="C4957" s="55" t="s">
        <v>310</v>
      </c>
      <c r="D4957" s="55" t="s">
        <v>9667</v>
      </c>
    </row>
    <row r="4958" ht="14.25" customHeight="1">
      <c r="A4958" s="55" t="s">
        <v>9728</v>
      </c>
      <c r="B4958" s="55" t="s">
        <v>40</v>
      </c>
      <c r="C4958" s="55" t="s">
        <v>11645</v>
      </c>
      <c r="D4958" s="55" t="s">
        <v>9649</v>
      </c>
    </row>
    <row r="4959" ht="14.25" customHeight="1">
      <c r="A4959" s="55" t="s">
        <v>9728</v>
      </c>
      <c r="B4959" s="55" t="s">
        <v>40</v>
      </c>
      <c r="C4959" s="55" t="s">
        <v>9329</v>
      </c>
      <c r="D4959" s="55" t="s">
        <v>9073</v>
      </c>
    </row>
    <row r="4960" ht="14.25" customHeight="1">
      <c r="A4960" s="55" t="s">
        <v>9728</v>
      </c>
      <c r="B4960" s="55" t="s">
        <v>40</v>
      </c>
      <c r="C4960" s="55" t="s">
        <v>12337</v>
      </c>
      <c r="D4960" s="55" t="s">
        <v>9354</v>
      </c>
    </row>
    <row r="4961" ht="14.25" customHeight="1">
      <c r="A4961" s="55" t="s">
        <v>9728</v>
      </c>
      <c r="B4961" s="55" t="s">
        <v>40</v>
      </c>
      <c r="C4961" s="55" t="s">
        <v>11781</v>
      </c>
      <c r="D4961" s="55" t="s">
        <v>13858</v>
      </c>
    </row>
    <row r="4962" ht="14.25" customHeight="1">
      <c r="A4962" s="55" t="s">
        <v>9728</v>
      </c>
      <c r="B4962" s="55" t="s">
        <v>40</v>
      </c>
      <c r="C4962" s="55" t="s">
        <v>9658</v>
      </c>
      <c r="D4962" s="55" t="s">
        <v>11695</v>
      </c>
    </row>
    <row r="4963" ht="14.25" customHeight="1">
      <c r="A4963" s="55" t="s">
        <v>9728</v>
      </c>
      <c r="B4963" s="55" t="s">
        <v>40</v>
      </c>
      <c r="C4963" s="55" t="s">
        <v>13225</v>
      </c>
      <c r="D4963" s="55" t="s">
        <v>9430</v>
      </c>
    </row>
    <row r="4964" ht="14.25" customHeight="1">
      <c r="A4964" s="55" t="s">
        <v>9728</v>
      </c>
      <c r="B4964" s="55" t="s">
        <v>40</v>
      </c>
      <c r="C4964" s="55" t="s">
        <v>12826</v>
      </c>
      <c r="D4964" s="55" t="s">
        <v>8978</v>
      </c>
    </row>
    <row r="4965" ht="14.25" customHeight="1">
      <c r="A4965" s="55" t="s">
        <v>9728</v>
      </c>
      <c r="B4965" s="55" t="s">
        <v>40</v>
      </c>
      <c r="C4965" s="55" t="s">
        <v>1372</v>
      </c>
      <c r="D4965" s="55" t="s">
        <v>9055</v>
      </c>
    </row>
    <row r="4966" ht="14.25" customHeight="1">
      <c r="A4966" s="55" t="s">
        <v>9728</v>
      </c>
      <c r="B4966" s="55" t="s">
        <v>40</v>
      </c>
      <c r="C4966" s="55" t="s">
        <v>13859</v>
      </c>
      <c r="D4966" s="55" t="s">
        <v>13860</v>
      </c>
    </row>
    <row r="4967" ht="14.25" customHeight="1">
      <c r="A4967" s="55" t="s">
        <v>9728</v>
      </c>
      <c r="B4967" s="55" t="s">
        <v>40</v>
      </c>
      <c r="C4967" s="55" t="s">
        <v>1380</v>
      </c>
      <c r="D4967" s="55" t="s">
        <v>9071</v>
      </c>
    </row>
    <row r="4968" ht="14.25" customHeight="1">
      <c r="A4968" s="55" t="s">
        <v>9728</v>
      </c>
      <c r="B4968" s="55" t="s">
        <v>40</v>
      </c>
      <c r="C4968" s="55" t="s">
        <v>13861</v>
      </c>
      <c r="D4968" s="55" t="s">
        <v>9204</v>
      </c>
    </row>
    <row r="4969" ht="14.25" customHeight="1">
      <c r="A4969" s="55" t="s">
        <v>9728</v>
      </c>
      <c r="B4969" s="55" t="s">
        <v>40</v>
      </c>
      <c r="C4969" s="55" t="s">
        <v>9203</v>
      </c>
      <c r="D4969" s="55" t="s">
        <v>9180</v>
      </c>
    </row>
    <row r="4970" ht="14.25" customHeight="1">
      <c r="A4970" s="55" t="s">
        <v>9728</v>
      </c>
      <c r="B4970" s="55" t="s">
        <v>40</v>
      </c>
      <c r="C4970" s="55" t="s">
        <v>9382</v>
      </c>
      <c r="D4970" s="55" t="s">
        <v>9404</v>
      </c>
    </row>
    <row r="4971" ht="14.25" customHeight="1">
      <c r="A4971" s="55" t="s">
        <v>9728</v>
      </c>
      <c r="B4971" s="55" t="s">
        <v>40</v>
      </c>
      <c r="C4971" s="55" t="s">
        <v>9385</v>
      </c>
      <c r="D4971" s="55" t="s">
        <v>9759</v>
      </c>
    </row>
    <row r="4972" ht="14.25" customHeight="1">
      <c r="A4972" s="55" t="s">
        <v>9728</v>
      </c>
      <c r="B4972" s="55" t="s">
        <v>40</v>
      </c>
      <c r="C4972" s="55" t="s">
        <v>9385</v>
      </c>
      <c r="D4972" s="55" t="s">
        <v>13226</v>
      </c>
    </row>
    <row r="4973" ht="14.25" customHeight="1">
      <c r="A4973" s="55" t="s">
        <v>9728</v>
      </c>
      <c r="B4973" s="55" t="s">
        <v>40</v>
      </c>
      <c r="C4973" s="55" t="s">
        <v>312</v>
      </c>
      <c r="D4973" s="55" t="s">
        <v>9034</v>
      </c>
    </row>
    <row r="4974" ht="14.25" customHeight="1">
      <c r="A4974" s="55" t="s">
        <v>9728</v>
      </c>
      <c r="B4974" s="55" t="s">
        <v>40</v>
      </c>
      <c r="C4974" s="55" t="s">
        <v>312</v>
      </c>
      <c r="D4974" s="55" t="s">
        <v>8976</v>
      </c>
    </row>
    <row r="4975" ht="14.25" customHeight="1">
      <c r="A4975" s="55" t="s">
        <v>9728</v>
      </c>
      <c r="B4975" s="55" t="s">
        <v>40</v>
      </c>
      <c r="C4975" s="55" t="s">
        <v>173</v>
      </c>
      <c r="D4975" s="55" t="s">
        <v>9578</v>
      </c>
    </row>
    <row r="4976" ht="14.25" customHeight="1">
      <c r="A4976" s="55" t="s">
        <v>9728</v>
      </c>
      <c r="B4976" s="55" t="s">
        <v>40</v>
      </c>
      <c r="C4976" s="55" t="s">
        <v>10390</v>
      </c>
      <c r="D4976" s="55" t="s">
        <v>10391</v>
      </c>
    </row>
    <row r="4977" ht="14.25" customHeight="1">
      <c r="A4977" s="55" t="s">
        <v>9728</v>
      </c>
      <c r="B4977" s="55" t="s">
        <v>40</v>
      </c>
      <c r="C4977" s="55" t="s">
        <v>11612</v>
      </c>
      <c r="D4977" s="55" t="s">
        <v>9034</v>
      </c>
    </row>
    <row r="4978" ht="14.25" customHeight="1">
      <c r="A4978" s="55" t="s">
        <v>9728</v>
      </c>
      <c r="B4978" s="55" t="s">
        <v>40</v>
      </c>
      <c r="C4978" s="55" t="s">
        <v>3537</v>
      </c>
      <c r="D4978" s="55" t="s">
        <v>9071</v>
      </c>
    </row>
    <row r="4979" ht="14.25" customHeight="1">
      <c r="A4979" s="55" t="s">
        <v>9728</v>
      </c>
      <c r="B4979" s="55" t="s">
        <v>40</v>
      </c>
      <c r="C4979" s="55" t="s">
        <v>13227</v>
      </c>
      <c r="D4979" s="55" t="s">
        <v>9216</v>
      </c>
    </row>
    <row r="4980" ht="14.25" customHeight="1">
      <c r="A4980" s="55" t="s">
        <v>9728</v>
      </c>
      <c r="B4980" s="55" t="s">
        <v>40</v>
      </c>
      <c r="C4980" s="55" t="s">
        <v>10392</v>
      </c>
      <c r="D4980" s="55" t="s">
        <v>8976</v>
      </c>
    </row>
    <row r="4981" ht="14.25" customHeight="1">
      <c r="A4981" s="55" t="s">
        <v>9728</v>
      </c>
      <c r="B4981" s="55" t="s">
        <v>40</v>
      </c>
      <c r="C4981" s="55" t="s">
        <v>9387</v>
      </c>
      <c r="D4981" s="55" t="s">
        <v>9760</v>
      </c>
    </row>
    <row r="4982" ht="14.25" customHeight="1">
      <c r="A4982" s="55" t="s">
        <v>9728</v>
      </c>
      <c r="B4982" s="55" t="s">
        <v>40</v>
      </c>
      <c r="C4982" s="55" t="s">
        <v>3566</v>
      </c>
      <c r="D4982" s="55" t="s">
        <v>9034</v>
      </c>
    </row>
    <row r="4983" ht="14.25" customHeight="1">
      <c r="A4983" s="55" t="s">
        <v>9728</v>
      </c>
      <c r="B4983" s="55" t="s">
        <v>40</v>
      </c>
      <c r="C4983" s="55" t="s">
        <v>3566</v>
      </c>
      <c r="D4983" s="55" t="s">
        <v>9761</v>
      </c>
    </row>
    <row r="4984" ht="14.25" customHeight="1">
      <c r="A4984" s="55" t="s">
        <v>9728</v>
      </c>
      <c r="B4984" s="55" t="s">
        <v>40</v>
      </c>
      <c r="C4984" s="55" t="s">
        <v>3566</v>
      </c>
      <c r="D4984" s="55" t="s">
        <v>9771</v>
      </c>
    </row>
    <row r="4985" ht="14.25" customHeight="1">
      <c r="A4985" s="55" t="s">
        <v>9728</v>
      </c>
      <c r="B4985" s="55" t="s">
        <v>40</v>
      </c>
      <c r="C4985" s="55" t="s">
        <v>3566</v>
      </c>
      <c r="D4985" s="55" t="s">
        <v>8968</v>
      </c>
    </row>
    <row r="4986" ht="14.25" customHeight="1">
      <c r="A4986" s="55" t="s">
        <v>9728</v>
      </c>
      <c r="B4986" s="55" t="s">
        <v>40</v>
      </c>
      <c r="C4986" s="55" t="s">
        <v>3566</v>
      </c>
      <c r="D4986" s="55" t="s">
        <v>13862</v>
      </c>
    </row>
    <row r="4987" ht="14.25" customHeight="1">
      <c r="A4987" s="55" t="s">
        <v>9728</v>
      </c>
      <c r="B4987" s="55" t="s">
        <v>40</v>
      </c>
      <c r="C4987" s="55" t="s">
        <v>3566</v>
      </c>
      <c r="D4987" s="55" t="s">
        <v>11064</v>
      </c>
    </row>
    <row r="4988" ht="14.25" customHeight="1">
      <c r="A4988" s="55" t="s">
        <v>9728</v>
      </c>
      <c r="B4988" s="55" t="s">
        <v>40</v>
      </c>
      <c r="C4988" s="55" t="s">
        <v>3566</v>
      </c>
      <c r="D4988" s="55" t="s">
        <v>12338</v>
      </c>
    </row>
    <row r="4989" ht="14.25" customHeight="1">
      <c r="A4989" s="55" t="s">
        <v>9728</v>
      </c>
      <c r="B4989" s="55" t="s">
        <v>40</v>
      </c>
      <c r="C4989" s="55" t="s">
        <v>3566</v>
      </c>
      <c r="D4989" s="55" t="s">
        <v>9667</v>
      </c>
    </row>
    <row r="4990" ht="14.25" customHeight="1">
      <c r="A4990" s="55" t="s">
        <v>9728</v>
      </c>
      <c r="B4990" s="55" t="s">
        <v>40</v>
      </c>
      <c r="C4990" s="55" t="s">
        <v>3566</v>
      </c>
      <c r="D4990" s="55" t="s">
        <v>9762</v>
      </c>
    </row>
    <row r="4991" ht="14.25" customHeight="1">
      <c r="A4991" s="55" t="s">
        <v>9728</v>
      </c>
      <c r="B4991" s="55" t="s">
        <v>40</v>
      </c>
      <c r="C4991" s="55" t="s">
        <v>3566</v>
      </c>
      <c r="D4991" s="55" t="s">
        <v>10204</v>
      </c>
    </row>
    <row r="4992" ht="14.25" customHeight="1">
      <c r="A4992" s="55" t="s">
        <v>9728</v>
      </c>
      <c r="B4992" s="55" t="s">
        <v>40</v>
      </c>
      <c r="C4992" s="55" t="s">
        <v>3566</v>
      </c>
      <c r="D4992" s="55" t="s">
        <v>9071</v>
      </c>
    </row>
    <row r="4993" ht="14.25" customHeight="1">
      <c r="A4993" s="55" t="s">
        <v>9728</v>
      </c>
      <c r="B4993" s="55" t="s">
        <v>40</v>
      </c>
      <c r="C4993" s="55" t="s">
        <v>3566</v>
      </c>
      <c r="D4993" s="55" t="s">
        <v>11065</v>
      </c>
    </row>
    <row r="4994" ht="14.25" customHeight="1">
      <c r="A4994" s="55" t="s">
        <v>9728</v>
      </c>
      <c r="B4994" s="55" t="s">
        <v>40</v>
      </c>
      <c r="C4994" s="55" t="s">
        <v>3566</v>
      </c>
      <c r="D4994" s="55" t="s">
        <v>11696</v>
      </c>
    </row>
    <row r="4995" ht="14.25" customHeight="1">
      <c r="A4995" s="55" t="s">
        <v>9728</v>
      </c>
      <c r="B4995" s="55" t="s">
        <v>40</v>
      </c>
      <c r="C4995" s="55" t="s">
        <v>3566</v>
      </c>
      <c r="D4995" s="55" t="s">
        <v>12339</v>
      </c>
    </row>
    <row r="4996" ht="14.25" customHeight="1">
      <c r="A4996" s="55" t="s">
        <v>9728</v>
      </c>
      <c r="B4996" s="55" t="s">
        <v>40</v>
      </c>
      <c r="C4996" s="55" t="s">
        <v>3566</v>
      </c>
      <c r="D4996" s="55" t="s">
        <v>12340</v>
      </c>
    </row>
    <row r="4997" ht="14.25" customHeight="1">
      <c r="A4997" s="55" t="s">
        <v>9728</v>
      </c>
      <c r="B4997" s="55" t="s">
        <v>40</v>
      </c>
      <c r="C4997" s="55" t="s">
        <v>3566</v>
      </c>
      <c r="D4997" s="55" t="s">
        <v>9669</v>
      </c>
    </row>
    <row r="4998" ht="14.25" customHeight="1">
      <c r="A4998" s="55" t="s">
        <v>9728</v>
      </c>
      <c r="B4998" s="55" t="s">
        <v>40</v>
      </c>
      <c r="C4998" s="55" t="s">
        <v>3566</v>
      </c>
      <c r="D4998" s="55" t="s">
        <v>9763</v>
      </c>
    </row>
    <row r="4999" ht="14.25" customHeight="1">
      <c r="A4999" s="55" t="s">
        <v>9728</v>
      </c>
      <c r="B4999" s="55" t="s">
        <v>40</v>
      </c>
      <c r="C4999" s="55" t="s">
        <v>3566</v>
      </c>
      <c r="D4999" s="55" t="s">
        <v>10091</v>
      </c>
    </row>
    <row r="5000" ht="14.25" customHeight="1">
      <c r="A5000" s="55" t="s">
        <v>9728</v>
      </c>
      <c r="B5000" s="55" t="s">
        <v>40</v>
      </c>
      <c r="C5000" s="55" t="s">
        <v>3566</v>
      </c>
      <c r="D5000" s="55" t="s">
        <v>9216</v>
      </c>
    </row>
    <row r="5001" ht="14.25" customHeight="1">
      <c r="A5001" s="55" t="s">
        <v>9728</v>
      </c>
      <c r="B5001" s="55" t="s">
        <v>40</v>
      </c>
      <c r="C5001" s="55" t="s">
        <v>3566</v>
      </c>
      <c r="D5001" s="55" t="s">
        <v>10393</v>
      </c>
    </row>
    <row r="5002" ht="14.25" customHeight="1">
      <c r="A5002" s="55" t="s">
        <v>9728</v>
      </c>
      <c r="B5002" s="55" t="s">
        <v>40</v>
      </c>
      <c r="C5002" s="55" t="s">
        <v>3566</v>
      </c>
      <c r="D5002" s="55" t="s">
        <v>9724</v>
      </c>
    </row>
    <row r="5003" ht="14.25" customHeight="1">
      <c r="A5003" s="55" t="s">
        <v>9728</v>
      </c>
      <c r="B5003" s="55" t="s">
        <v>40</v>
      </c>
      <c r="C5003" s="55" t="s">
        <v>3566</v>
      </c>
      <c r="D5003" s="55" t="s">
        <v>11697</v>
      </c>
    </row>
    <row r="5004" ht="14.25" customHeight="1">
      <c r="A5004" s="55" t="s">
        <v>9728</v>
      </c>
      <c r="B5004" s="55" t="s">
        <v>40</v>
      </c>
      <c r="C5004" s="55" t="s">
        <v>3566</v>
      </c>
      <c r="D5004" s="55" t="s">
        <v>8976</v>
      </c>
    </row>
    <row r="5005" ht="14.25" customHeight="1">
      <c r="A5005" s="55" t="s">
        <v>9728</v>
      </c>
      <c r="B5005" s="55" t="s">
        <v>40</v>
      </c>
      <c r="C5005" s="55" t="s">
        <v>3566</v>
      </c>
      <c r="D5005" s="55" t="s">
        <v>13863</v>
      </c>
    </row>
    <row r="5006" ht="14.25" customHeight="1">
      <c r="A5006" s="55" t="s">
        <v>9728</v>
      </c>
      <c r="B5006" s="55" t="s">
        <v>40</v>
      </c>
      <c r="C5006" s="55" t="s">
        <v>11066</v>
      </c>
      <c r="D5006" s="55" t="s">
        <v>9071</v>
      </c>
    </row>
    <row r="5007" ht="14.25" customHeight="1">
      <c r="A5007" s="55" t="s">
        <v>9728</v>
      </c>
      <c r="B5007" s="55" t="s">
        <v>40</v>
      </c>
      <c r="C5007" s="55" t="s">
        <v>12341</v>
      </c>
      <c r="D5007" s="55" t="s">
        <v>12342</v>
      </c>
    </row>
    <row r="5008" ht="14.25" customHeight="1">
      <c r="A5008" s="55" t="s">
        <v>9728</v>
      </c>
      <c r="B5008" s="55" t="s">
        <v>40</v>
      </c>
      <c r="C5008" s="55" t="s">
        <v>1507</v>
      </c>
      <c r="D5008" s="55" t="s">
        <v>9216</v>
      </c>
    </row>
    <row r="5009" ht="14.25" customHeight="1">
      <c r="A5009" s="55" t="s">
        <v>9728</v>
      </c>
      <c r="B5009" s="55" t="s">
        <v>40</v>
      </c>
      <c r="C5009" s="55" t="s">
        <v>11698</v>
      </c>
      <c r="D5009" s="55" t="s">
        <v>11699</v>
      </c>
    </row>
    <row r="5010" ht="14.25" customHeight="1">
      <c r="A5010" s="55" t="s">
        <v>9728</v>
      </c>
      <c r="B5010" s="55" t="s">
        <v>40</v>
      </c>
      <c r="C5010" s="55" t="s">
        <v>3596</v>
      </c>
      <c r="D5010" s="55" t="s">
        <v>9404</v>
      </c>
    </row>
    <row r="5011" ht="14.25" customHeight="1">
      <c r="A5011" s="55" t="s">
        <v>9728</v>
      </c>
      <c r="B5011" s="55" t="s">
        <v>40</v>
      </c>
      <c r="C5011" s="55" t="s">
        <v>12343</v>
      </c>
      <c r="D5011" s="55" t="s">
        <v>9216</v>
      </c>
    </row>
    <row r="5012" ht="14.25" customHeight="1">
      <c r="A5012" s="55" t="s">
        <v>9728</v>
      </c>
      <c r="B5012" s="55" t="s">
        <v>40</v>
      </c>
      <c r="C5012" s="55" t="s">
        <v>5150</v>
      </c>
      <c r="D5012" s="55" t="s">
        <v>9109</v>
      </c>
    </row>
    <row r="5013" ht="14.25" customHeight="1">
      <c r="A5013" s="55" t="s">
        <v>9728</v>
      </c>
      <c r="B5013" s="55" t="s">
        <v>40</v>
      </c>
      <c r="C5013" s="55" t="s">
        <v>11700</v>
      </c>
      <c r="D5013" s="55" t="s">
        <v>8968</v>
      </c>
    </row>
    <row r="5014" ht="14.25" customHeight="1">
      <c r="A5014" s="55" t="s">
        <v>9728</v>
      </c>
      <c r="B5014" s="55" t="s">
        <v>40</v>
      </c>
      <c r="C5014" s="55" t="s">
        <v>189</v>
      </c>
      <c r="D5014" s="55" t="s">
        <v>9034</v>
      </c>
    </row>
    <row r="5015" ht="14.25" customHeight="1">
      <c r="A5015" s="55" t="s">
        <v>9728</v>
      </c>
      <c r="B5015" s="55" t="s">
        <v>40</v>
      </c>
      <c r="C5015" s="55" t="s">
        <v>189</v>
      </c>
      <c r="D5015" s="55" t="s">
        <v>9430</v>
      </c>
    </row>
    <row r="5016" ht="14.25" customHeight="1">
      <c r="A5016" s="55" t="s">
        <v>9728</v>
      </c>
      <c r="B5016" s="55" t="s">
        <v>40</v>
      </c>
      <c r="C5016" s="55" t="s">
        <v>189</v>
      </c>
      <c r="D5016" s="55" t="s">
        <v>10075</v>
      </c>
    </row>
    <row r="5017" ht="14.25" customHeight="1">
      <c r="A5017" s="55" t="s">
        <v>9728</v>
      </c>
      <c r="B5017" s="55" t="s">
        <v>40</v>
      </c>
      <c r="C5017" s="55" t="s">
        <v>189</v>
      </c>
      <c r="D5017" s="55" t="s">
        <v>9289</v>
      </c>
    </row>
    <row r="5018" ht="14.25" customHeight="1">
      <c r="A5018" s="55" t="s">
        <v>9728</v>
      </c>
      <c r="B5018" s="55" t="s">
        <v>40</v>
      </c>
      <c r="C5018" s="55" t="s">
        <v>189</v>
      </c>
      <c r="D5018" s="55" t="s">
        <v>8978</v>
      </c>
    </row>
    <row r="5019" ht="14.25" customHeight="1">
      <c r="A5019" s="55" t="s">
        <v>9728</v>
      </c>
      <c r="B5019" s="55" t="s">
        <v>40</v>
      </c>
      <c r="C5019" s="55" t="s">
        <v>189</v>
      </c>
      <c r="D5019" s="55" t="s">
        <v>9271</v>
      </c>
    </row>
    <row r="5020" ht="14.25" customHeight="1">
      <c r="A5020" s="55" t="s">
        <v>9728</v>
      </c>
      <c r="B5020" s="55" t="s">
        <v>40</v>
      </c>
      <c r="C5020" s="55" t="s">
        <v>13864</v>
      </c>
      <c r="D5020" s="55" t="s">
        <v>8976</v>
      </c>
    </row>
    <row r="5021" ht="14.25" customHeight="1">
      <c r="A5021" s="55" t="s">
        <v>9728</v>
      </c>
      <c r="B5021" s="55" t="s">
        <v>40</v>
      </c>
      <c r="C5021" s="55" t="s">
        <v>11067</v>
      </c>
      <c r="D5021" s="55" t="s">
        <v>11068</v>
      </c>
    </row>
    <row r="5022" ht="14.25" customHeight="1">
      <c r="A5022" s="55" t="s">
        <v>9728</v>
      </c>
      <c r="B5022" s="55" t="s">
        <v>40</v>
      </c>
      <c r="C5022" s="55" t="s">
        <v>9577</v>
      </c>
      <c r="D5022" s="55" t="s">
        <v>9578</v>
      </c>
    </row>
    <row r="5023" ht="14.25" customHeight="1">
      <c r="A5023" s="55" t="s">
        <v>9728</v>
      </c>
      <c r="B5023" s="55" t="s">
        <v>40</v>
      </c>
      <c r="C5023" s="55" t="s">
        <v>12344</v>
      </c>
      <c r="D5023" s="55" t="s">
        <v>9034</v>
      </c>
    </row>
    <row r="5024" ht="14.25" customHeight="1">
      <c r="A5024" s="55" t="s">
        <v>9728</v>
      </c>
      <c r="B5024" s="55" t="s">
        <v>40</v>
      </c>
      <c r="C5024" s="55" t="s">
        <v>9277</v>
      </c>
      <c r="D5024" s="55" t="s">
        <v>13865</v>
      </c>
    </row>
    <row r="5025" ht="14.25" customHeight="1">
      <c r="A5025" s="55" t="s">
        <v>9728</v>
      </c>
      <c r="B5025" s="55" t="s">
        <v>40</v>
      </c>
      <c r="C5025" s="55" t="s">
        <v>9277</v>
      </c>
      <c r="D5025" s="55" t="s">
        <v>11701</v>
      </c>
    </row>
    <row r="5026" ht="14.25" customHeight="1">
      <c r="A5026" s="55" t="s">
        <v>9728</v>
      </c>
      <c r="B5026" s="55" t="s">
        <v>40</v>
      </c>
      <c r="C5026" s="55" t="s">
        <v>9277</v>
      </c>
      <c r="D5026" s="55" t="s">
        <v>9526</v>
      </c>
    </row>
    <row r="5027" ht="14.25" customHeight="1">
      <c r="A5027" s="55" t="s">
        <v>9728</v>
      </c>
      <c r="B5027" s="55" t="s">
        <v>40</v>
      </c>
      <c r="C5027" s="55" t="s">
        <v>9277</v>
      </c>
      <c r="D5027" s="55" t="s">
        <v>9673</v>
      </c>
    </row>
    <row r="5028" ht="14.25" customHeight="1">
      <c r="A5028" s="55" t="s">
        <v>9728</v>
      </c>
      <c r="B5028" s="55" t="s">
        <v>40</v>
      </c>
      <c r="C5028" s="55" t="s">
        <v>9277</v>
      </c>
      <c r="D5028" s="55" t="s">
        <v>10463</v>
      </c>
    </row>
    <row r="5029" ht="14.25" customHeight="1">
      <c r="A5029" s="55" t="s">
        <v>9728</v>
      </c>
      <c r="B5029" s="55" t="s">
        <v>40</v>
      </c>
      <c r="C5029" s="55" t="s">
        <v>9505</v>
      </c>
      <c r="D5029" s="55" t="s">
        <v>11307</v>
      </c>
    </row>
    <row r="5030" ht="14.25" customHeight="1">
      <c r="A5030" s="55" t="s">
        <v>9728</v>
      </c>
      <c r="B5030" s="55" t="s">
        <v>40</v>
      </c>
      <c r="C5030" s="55" t="s">
        <v>10394</v>
      </c>
      <c r="D5030" s="55" t="s">
        <v>10382</v>
      </c>
    </row>
    <row r="5031" ht="14.25" customHeight="1">
      <c r="A5031" s="55" t="s">
        <v>9728</v>
      </c>
      <c r="B5031" s="55" t="s">
        <v>40</v>
      </c>
      <c r="C5031" s="55" t="s">
        <v>13866</v>
      </c>
      <c r="D5031" s="55" t="s">
        <v>9055</v>
      </c>
    </row>
    <row r="5032" ht="14.25" customHeight="1">
      <c r="A5032" s="55" t="s">
        <v>9728</v>
      </c>
      <c r="B5032" s="55" t="s">
        <v>40</v>
      </c>
      <c r="C5032" s="55" t="s">
        <v>9791</v>
      </c>
      <c r="D5032" s="55" t="s">
        <v>9071</v>
      </c>
    </row>
    <row r="5033" ht="14.25" customHeight="1">
      <c r="A5033" s="55" t="s">
        <v>9728</v>
      </c>
      <c r="B5033" s="55" t="s">
        <v>40</v>
      </c>
      <c r="C5033" s="55" t="s">
        <v>6769</v>
      </c>
      <c r="D5033" s="55" t="s">
        <v>11069</v>
      </c>
    </row>
    <row r="5034" ht="14.25" customHeight="1">
      <c r="A5034" s="55" t="s">
        <v>9728</v>
      </c>
      <c r="B5034" s="55" t="s">
        <v>40</v>
      </c>
      <c r="C5034" s="55" t="s">
        <v>9764</v>
      </c>
      <c r="D5034" s="55" t="s">
        <v>9071</v>
      </c>
    </row>
    <row r="5035" ht="14.25" customHeight="1">
      <c r="A5035" s="55" t="s">
        <v>9728</v>
      </c>
      <c r="B5035" s="55" t="s">
        <v>40</v>
      </c>
      <c r="C5035" s="55" t="s">
        <v>10241</v>
      </c>
      <c r="D5035" s="55" t="s">
        <v>8994</v>
      </c>
    </row>
    <row r="5036" ht="14.25" customHeight="1">
      <c r="A5036" s="55" t="s">
        <v>9728</v>
      </c>
      <c r="B5036" s="55" t="s">
        <v>40</v>
      </c>
      <c r="C5036" s="55" t="s">
        <v>9765</v>
      </c>
      <c r="D5036" s="55" t="s">
        <v>9731</v>
      </c>
    </row>
    <row r="5037" ht="14.25" customHeight="1">
      <c r="A5037" s="55" t="s">
        <v>9728</v>
      </c>
      <c r="B5037" s="55" t="s">
        <v>40</v>
      </c>
      <c r="C5037" s="55" t="s">
        <v>12297</v>
      </c>
      <c r="D5037" s="55" t="s">
        <v>11690</v>
      </c>
    </row>
    <row r="5038" ht="14.25" customHeight="1">
      <c r="A5038" s="55" t="s">
        <v>9728</v>
      </c>
      <c r="B5038" s="55" t="s">
        <v>40</v>
      </c>
      <c r="C5038" s="55" t="s">
        <v>12297</v>
      </c>
      <c r="D5038" s="55" t="s">
        <v>9075</v>
      </c>
    </row>
    <row r="5039" ht="14.25" customHeight="1">
      <c r="A5039" s="55" t="s">
        <v>9728</v>
      </c>
      <c r="B5039" s="55" t="s">
        <v>40</v>
      </c>
      <c r="C5039" s="55" t="s">
        <v>11070</v>
      </c>
      <c r="D5039" s="55" t="s">
        <v>10948</v>
      </c>
    </row>
    <row r="5040" ht="14.25" customHeight="1">
      <c r="A5040" s="55" t="s">
        <v>9728</v>
      </c>
      <c r="B5040" s="55" t="s">
        <v>40</v>
      </c>
      <c r="C5040" s="55" t="s">
        <v>12345</v>
      </c>
      <c r="D5040" s="55" t="s">
        <v>9667</v>
      </c>
    </row>
    <row r="5041" ht="14.25" customHeight="1">
      <c r="A5041" s="55" t="s">
        <v>9728</v>
      </c>
      <c r="B5041" s="55" t="s">
        <v>40</v>
      </c>
      <c r="C5041" s="55" t="s">
        <v>11071</v>
      </c>
      <c r="D5041" s="55" t="s">
        <v>9759</v>
      </c>
    </row>
    <row r="5042" ht="14.25" customHeight="1">
      <c r="A5042" s="55" t="s">
        <v>9728</v>
      </c>
      <c r="B5042" s="55" t="s">
        <v>40</v>
      </c>
      <c r="C5042" s="55" t="s">
        <v>10905</v>
      </c>
      <c r="D5042" s="55" t="s">
        <v>9759</v>
      </c>
    </row>
    <row r="5043" ht="14.25" customHeight="1">
      <c r="A5043" s="55" t="s">
        <v>9728</v>
      </c>
      <c r="B5043" s="55" t="s">
        <v>40</v>
      </c>
      <c r="C5043" s="55" t="s">
        <v>208</v>
      </c>
      <c r="D5043" s="55" t="s">
        <v>9152</v>
      </c>
    </row>
    <row r="5044" ht="14.25" customHeight="1">
      <c r="A5044" s="55" t="s">
        <v>9728</v>
      </c>
      <c r="B5044" s="55" t="s">
        <v>40</v>
      </c>
      <c r="C5044" s="55" t="s">
        <v>12927</v>
      </c>
      <c r="D5044" s="55" t="s">
        <v>9430</v>
      </c>
    </row>
    <row r="5045" ht="14.25" customHeight="1">
      <c r="A5045" s="55" t="s">
        <v>9728</v>
      </c>
      <c r="B5045" s="55" t="s">
        <v>40</v>
      </c>
      <c r="C5045" s="55" t="s">
        <v>12927</v>
      </c>
      <c r="D5045" s="55" t="s">
        <v>14369</v>
      </c>
    </row>
    <row r="5046" ht="14.25" customHeight="1">
      <c r="A5046" s="55" t="s">
        <v>9728</v>
      </c>
      <c r="B5046" s="55" t="s">
        <v>40</v>
      </c>
      <c r="C5046" s="55" t="s">
        <v>9280</v>
      </c>
      <c r="D5046" s="55" t="s">
        <v>9766</v>
      </c>
    </row>
    <row r="5047" ht="14.25" customHeight="1">
      <c r="A5047" s="55" t="s">
        <v>9728</v>
      </c>
      <c r="B5047" s="55" t="s">
        <v>40</v>
      </c>
      <c r="C5047" s="55" t="s">
        <v>13228</v>
      </c>
      <c r="D5047" s="55" t="s">
        <v>9216</v>
      </c>
    </row>
    <row r="5048" ht="14.25" customHeight="1">
      <c r="A5048" s="55" t="s">
        <v>9728</v>
      </c>
      <c r="B5048" s="55" t="s">
        <v>40</v>
      </c>
      <c r="C5048" s="55" t="s">
        <v>3796</v>
      </c>
      <c r="D5048" s="55" t="s">
        <v>9430</v>
      </c>
    </row>
    <row r="5049" ht="14.25" customHeight="1">
      <c r="A5049" s="55" t="s">
        <v>9728</v>
      </c>
      <c r="B5049" s="55" t="s">
        <v>40</v>
      </c>
      <c r="C5049" s="55" t="s">
        <v>3796</v>
      </c>
      <c r="D5049" s="55" t="s">
        <v>12346</v>
      </c>
    </row>
    <row r="5050" ht="14.25" customHeight="1">
      <c r="A5050" s="55" t="s">
        <v>9728</v>
      </c>
      <c r="B5050" s="55" t="s">
        <v>40</v>
      </c>
      <c r="C5050" s="55" t="s">
        <v>11966</v>
      </c>
      <c r="D5050" s="55" t="s">
        <v>12040</v>
      </c>
    </row>
    <row r="5051" ht="14.25" customHeight="1">
      <c r="A5051" s="55" t="s">
        <v>9728</v>
      </c>
      <c r="B5051" s="55" t="s">
        <v>40</v>
      </c>
      <c r="C5051" s="55" t="s">
        <v>9282</v>
      </c>
      <c r="D5051" s="55" t="s">
        <v>9273</v>
      </c>
    </row>
    <row r="5052" ht="14.25" customHeight="1">
      <c r="A5052" s="55" t="s">
        <v>9728</v>
      </c>
      <c r="B5052" s="55" t="s">
        <v>40</v>
      </c>
      <c r="C5052" s="55" t="s">
        <v>3814</v>
      </c>
      <c r="D5052" s="55" t="s">
        <v>12347</v>
      </c>
    </row>
    <row r="5053" ht="14.25" customHeight="1">
      <c r="A5053" s="55" t="s">
        <v>9728</v>
      </c>
      <c r="B5053" s="55" t="s">
        <v>40</v>
      </c>
      <c r="C5053" s="55" t="s">
        <v>3821</v>
      </c>
      <c r="D5053" s="55" t="s">
        <v>11702</v>
      </c>
    </row>
    <row r="5054" ht="14.25" customHeight="1">
      <c r="A5054" s="55" t="s">
        <v>9728</v>
      </c>
      <c r="B5054" s="55" t="s">
        <v>40</v>
      </c>
      <c r="C5054" s="55" t="s">
        <v>12348</v>
      </c>
      <c r="D5054" s="55" t="s">
        <v>12349</v>
      </c>
    </row>
    <row r="5055" ht="14.25" customHeight="1">
      <c r="A5055" s="55" t="s">
        <v>9728</v>
      </c>
      <c r="B5055" s="55" t="s">
        <v>40</v>
      </c>
      <c r="C5055" s="55" t="s">
        <v>10395</v>
      </c>
      <c r="D5055" s="55" t="s">
        <v>10396</v>
      </c>
    </row>
    <row r="5056" ht="14.25" customHeight="1">
      <c r="A5056" s="55" t="s">
        <v>9728</v>
      </c>
      <c r="B5056" s="55" t="s">
        <v>40</v>
      </c>
      <c r="C5056" s="55" t="s">
        <v>3850</v>
      </c>
      <c r="D5056" s="55" t="s">
        <v>14370</v>
      </c>
    </row>
    <row r="5057" ht="14.25" customHeight="1">
      <c r="A5057" s="55" t="s">
        <v>9728</v>
      </c>
      <c r="B5057" s="55" t="s">
        <v>40</v>
      </c>
      <c r="C5057" s="55" t="s">
        <v>6845</v>
      </c>
      <c r="D5057" s="55" t="s">
        <v>9071</v>
      </c>
    </row>
    <row r="5058" ht="14.25" customHeight="1">
      <c r="A5058" s="55" t="s">
        <v>9728</v>
      </c>
      <c r="B5058" s="55" t="s">
        <v>40</v>
      </c>
      <c r="C5058" s="55" t="s">
        <v>149</v>
      </c>
      <c r="D5058" s="55" t="s">
        <v>9305</v>
      </c>
    </row>
    <row r="5059" ht="14.25" customHeight="1">
      <c r="A5059" s="55" t="s">
        <v>9728</v>
      </c>
      <c r="B5059" s="55" t="s">
        <v>40</v>
      </c>
      <c r="C5059" s="55" t="s">
        <v>3861</v>
      </c>
      <c r="D5059" s="55" t="s">
        <v>9265</v>
      </c>
    </row>
    <row r="5060" ht="14.25" customHeight="1">
      <c r="A5060" s="55" t="s">
        <v>9728</v>
      </c>
      <c r="B5060" s="55" t="s">
        <v>40</v>
      </c>
      <c r="C5060" s="55" t="s">
        <v>14371</v>
      </c>
      <c r="D5060" s="55" t="s">
        <v>9034</v>
      </c>
    </row>
    <row r="5061" ht="14.25" customHeight="1">
      <c r="A5061" s="55" t="s">
        <v>9728</v>
      </c>
      <c r="B5061" s="55" t="s">
        <v>40</v>
      </c>
      <c r="C5061" s="55" t="s">
        <v>220</v>
      </c>
      <c r="D5061" s="55" t="s">
        <v>13229</v>
      </c>
    </row>
    <row r="5062" ht="14.25" customHeight="1">
      <c r="A5062" s="55" t="s">
        <v>9728</v>
      </c>
      <c r="B5062" s="55" t="s">
        <v>40</v>
      </c>
      <c r="C5062" s="55" t="s">
        <v>220</v>
      </c>
      <c r="D5062" s="55" t="s">
        <v>10397</v>
      </c>
    </row>
    <row r="5063" ht="14.25" customHeight="1">
      <c r="A5063" s="55" t="s">
        <v>9728</v>
      </c>
      <c r="B5063" s="55" t="s">
        <v>40</v>
      </c>
      <c r="C5063" s="55" t="s">
        <v>220</v>
      </c>
      <c r="D5063" s="55" t="s">
        <v>10321</v>
      </c>
    </row>
    <row r="5064" ht="14.25" customHeight="1">
      <c r="A5064" s="55" t="s">
        <v>9728</v>
      </c>
      <c r="B5064" s="55" t="s">
        <v>40</v>
      </c>
      <c r="C5064" s="55" t="s">
        <v>220</v>
      </c>
      <c r="D5064" s="55" t="s">
        <v>9746</v>
      </c>
    </row>
    <row r="5065" ht="14.25" customHeight="1">
      <c r="A5065" s="55" t="s">
        <v>9728</v>
      </c>
      <c r="B5065" s="55" t="s">
        <v>40</v>
      </c>
      <c r="C5065" s="55" t="s">
        <v>220</v>
      </c>
      <c r="D5065" s="55" t="s">
        <v>9141</v>
      </c>
    </row>
    <row r="5066" ht="14.25" customHeight="1">
      <c r="A5066" s="55" t="s">
        <v>9728</v>
      </c>
      <c r="B5066" s="55" t="s">
        <v>40</v>
      </c>
      <c r="C5066" s="55" t="s">
        <v>220</v>
      </c>
      <c r="D5066" s="55" t="s">
        <v>9731</v>
      </c>
    </row>
    <row r="5067" ht="14.25" customHeight="1">
      <c r="A5067" s="55" t="s">
        <v>9728</v>
      </c>
      <c r="B5067" s="55" t="s">
        <v>40</v>
      </c>
      <c r="C5067" s="55" t="s">
        <v>220</v>
      </c>
      <c r="D5067" s="55" t="s">
        <v>10430</v>
      </c>
    </row>
    <row r="5068" ht="14.25" customHeight="1">
      <c r="A5068" s="55" t="s">
        <v>9728</v>
      </c>
      <c r="B5068" s="55" t="s">
        <v>40</v>
      </c>
      <c r="C5068" s="55" t="s">
        <v>9283</v>
      </c>
      <c r="D5068" s="55" t="s">
        <v>10430</v>
      </c>
    </row>
    <row r="5069" ht="14.25" customHeight="1">
      <c r="A5069" s="55" t="s">
        <v>9728</v>
      </c>
      <c r="B5069" s="55" t="s">
        <v>40</v>
      </c>
      <c r="C5069" s="55" t="s">
        <v>9767</v>
      </c>
      <c r="D5069" s="55" t="s">
        <v>9741</v>
      </c>
    </row>
    <row r="5070" ht="14.25" customHeight="1">
      <c r="A5070" s="55" t="s">
        <v>9728</v>
      </c>
      <c r="B5070" s="55" t="s">
        <v>40</v>
      </c>
      <c r="C5070" s="55" t="s">
        <v>10398</v>
      </c>
      <c r="D5070" s="55" t="s">
        <v>10399</v>
      </c>
    </row>
    <row r="5071" ht="14.25" customHeight="1">
      <c r="A5071" s="55" t="s">
        <v>9728</v>
      </c>
      <c r="B5071" s="55" t="s">
        <v>40</v>
      </c>
      <c r="C5071" s="55" t="s">
        <v>14372</v>
      </c>
      <c r="D5071" s="55" t="s">
        <v>14373</v>
      </c>
    </row>
    <row r="5072" ht="14.25" customHeight="1">
      <c r="A5072" s="55" t="s">
        <v>9728</v>
      </c>
      <c r="B5072" s="55" t="s">
        <v>40</v>
      </c>
      <c r="C5072" s="55" t="s">
        <v>9768</v>
      </c>
      <c r="D5072" s="55" t="s">
        <v>9769</v>
      </c>
    </row>
    <row r="5073" ht="14.25" customHeight="1">
      <c r="A5073" s="55" t="s">
        <v>9728</v>
      </c>
      <c r="B5073" s="55" t="s">
        <v>40</v>
      </c>
      <c r="C5073" s="55" t="s">
        <v>9286</v>
      </c>
      <c r="D5073" s="55" t="s">
        <v>9050</v>
      </c>
    </row>
    <row r="5074" ht="14.25" customHeight="1">
      <c r="A5074" s="55" t="s">
        <v>9728</v>
      </c>
      <c r="B5074" s="55" t="s">
        <v>40</v>
      </c>
      <c r="C5074" s="55" t="s">
        <v>9286</v>
      </c>
      <c r="D5074" s="55" t="s">
        <v>12216</v>
      </c>
    </row>
    <row r="5075" ht="14.25" customHeight="1">
      <c r="A5075" s="55" t="s">
        <v>9728</v>
      </c>
      <c r="B5075" s="55" t="s">
        <v>40</v>
      </c>
      <c r="C5075" s="55" t="s">
        <v>9286</v>
      </c>
      <c r="D5075" s="55" t="s">
        <v>9430</v>
      </c>
    </row>
    <row r="5076" ht="14.25" customHeight="1">
      <c r="A5076" s="55" t="s">
        <v>9728</v>
      </c>
      <c r="B5076" s="55" t="s">
        <v>40</v>
      </c>
      <c r="C5076" s="55" t="s">
        <v>9286</v>
      </c>
      <c r="D5076" s="55" t="s">
        <v>8978</v>
      </c>
    </row>
    <row r="5077" ht="14.25" customHeight="1">
      <c r="A5077" s="55" t="s">
        <v>9728</v>
      </c>
      <c r="B5077" s="55" t="s">
        <v>40</v>
      </c>
      <c r="C5077" s="55" t="s">
        <v>9286</v>
      </c>
      <c r="D5077" s="55" t="s">
        <v>10197</v>
      </c>
    </row>
    <row r="5078" ht="14.25" customHeight="1">
      <c r="A5078" s="55" t="s">
        <v>9728</v>
      </c>
      <c r="B5078" s="55" t="s">
        <v>40</v>
      </c>
      <c r="C5078" s="55" t="s">
        <v>9286</v>
      </c>
      <c r="D5078" s="55" t="s">
        <v>13702</v>
      </c>
    </row>
    <row r="5079" ht="14.25" customHeight="1">
      <c r="A5079" s="55" t="s">
        <v>9728</v>
      </c>
      <c r="B5079" s="55" t="s">
        <v>40</v>
      </c>
      <c r="C5079" s="55" t="s">
        <v>13230</v>
      </c>
      <c r="D5079" s="55" t="s">
        <v>13231</v>
      </c>
    </row>
    <row r="5080" ht="14.25" customHeight="1">
      <c r="A5080" s="55" t="s">
        <v>9728</v>
      </c>
      <c r="B5080" s="55" t="s">
        <v>40</v>
      </c>
      <c r="C5080" s="55" t="s">
        <v>13701</v>
      </c>
      <c r="D5080" s="55" t="s">
        <v>13231</v>
      </c>
    </row>
    <row r="5081" ht="14.25" customHeight="1">
      <c r="A5081" s="55" t="s">
        <v>9728</v>
      </c>
      <c r="B5081" s="55" t="s">
        <v>40</v>
      </c>
      <c r="C5081" s="55" t="s">
        <v>9156</v>
      </c>
      <c r="D5081" s="55" t="s">
        <v>10400</v>
      </c>
    </row>
    <row r="5082" ht="14.25" customHeight="1">
      <c r="A5082" s="55" t="s">
        <v>9728</v>
      </c>
      <c r="B5082" s="55" t="s">
        <v>40</v>
      </c>
      <c r="C5082" s="55" t="s">
        <v>9156</v>
      </c>
      <c r="D5082" s="55" t="s">
        <v>9071</v>
      </c>
    </row>
    <row r="5083" ht="14.25" customHeight="1">
      <c r="A5083" s="55" t="s">
        <v>9728</v>
      </c>
      <c r="B5083" s="55" t="s">
        <v>40</v>
      </c>
      <c r="C5083" s="55" t="s">
        <v>9156</v>
      </c>
      <c r="D5083" s="55" t="s">
        <v>9073</v>
      </c>
    </row>
    <row r="5084" ht="14.25" customHeight="1">
      <c r="A5084" s="55" t="s">
        <v>9728</v>
      </c>
      <c r="B5084" s="55" t="s">
        <v>40</v>
      </c>
      <c r="C5084" s="55" t="s">
        <v>9770</v>
      </c>
      <c r="D5084" s="55" t="s">
        <v>9771</v>
      </c>
    </row>
    <row r="5085" ht="14.25" customHeight="1">
      <c r="A5085" s="55" t="s">
        <v>9728</v>
      </c>
      <c r="B5085" s="55" t="s">
        <v>40</v>
      </c>
      <c r="C5085" s="55" t="s">
        <v>10401</v>
      </c>
      <c r="D5085" s="55" t="s">
        <v>9073</v>
      </c>
    </row>
    <row r="5086" ht="14.25" customHeight="1">
      <c r="A5086" s="55" t="s">
        <v>9728</v>
      </c>
      <c r="B5086" s="55" t="s">
        <v>40</v>
      </c>
      <c r="C5086" s="55" t="s">
        <v>9772</v>
      </c>
      <c r="D5086" s="55" t="s">
        <v>9034</v>
      </c>
    </row>
    <row r="5087" ht="14.25" customHeight="1">
      <c r="A5087" s="55" t="s">
        <v>9728</v>
      </c>
      <c r="B5087" s="55" t="s">
        <v>40</v>
      </c>
      <c r="C5087" s="55" t="s">
        <v>8997</v>
      </c>
      <c r="D5087" s="55" t="s">
        <v>9236</v>
      </c>
    </row>
    <row r="5088" ht="14.25" customHeight="1">
      <c r="A5088" s="55" t="s">
        <v>9728</v>
      </c>
      <c r="B5088" s="55" t="s">
        <v>40</v>
      </c>
      <c r="C5088" s="55" t="s">
        <v>8997</v>
      </c>
      <c r="D5088" s="55" t="s">
        <v>9667</v>
      </c>
    </row>
    <row r="5089" ht="14.25" customHeight="1">
      <c r="A5089" s="55" t="s">
        <v>9728</v>
      </c>
      <c r="B5089" s="55" t="s">
        <v>40</v>
      </c>
      <c r="C5089" s="55" t="s">
        <v>8997</v>
      </c>
      <c r="D5089" s="55" t="s">
        <v>8976</v>
      </c>
    </row>
    <row r="5090" ht="14.25" customHeight="1">
      <c r="A5090" s="55" t="s">
        <v>9728</v>
      </c>
      <c r="B5090" s="55" t="s">
        <v>40</v>
      </c>
      <c r="C5090" s="55" t="s">
        <v>8576</v>
      </c>
      <c r="D5090" s="55" t="s">
        <v>9667</v>
      </c>
    </row>
    <row r="5091" ht="14.25" customHeight="1">
      <c r="A5091" s="55" t="s">
        <v>9728</v>
      </c>
      <c r="B5091" s="55" t="s">
        <v>40</v>
      </c>
      <c r="C5091" s="55" t="s">
        <v>8576</v>
      </c>
      <c r="D5091" s="55" t="s">
        <v>10321</v>
      </c>
    </row>
    <row r="5092" ht="14.25" customHeight="1">
      <c r="A5092" s="55" t="s">
        <v>9728</v>
      </c>
      <c r="B5092" s="55" t="s">
        <v>40</v>
      </c>
      <c r="C5092" s="55" t="s">
        <v>8576</v>
      </c>
      <c r="D5092" s="55" t="s">
        <v>8976</v>
      </c>
    </row>
    <row r="5093" ht="14.25" customHeight="1">
      <c r="A5093" s="55" t="s">
        <v>9728</v>
      </c>
      <c r="B5093" s="55" t="s">
        <v>40</v>
      </c>
      <c r="C5093" s="55" t="s">
        <v>8576</v>
      </c>
      <c r="D5093" s="55" t="s">
        <v>13867</v>
      </c>
    </row>
    <row r="5094" ht="14.25" customHeight="1">
      <c r="A5094" s="55" t="s">
        <v>9728</v>
      </c>
      <c r="B5094" s="55" t="s">
        <v>40</v>
      </c>
      <c r="C5094" s="55" t="s">
        <v>8576</v>
      </c>
      <c r="D5094" s="55" t="s">
        <v>9118</v>
      </c>
    </row>
    <row r="5095" ht="14.25" customHeight="1">
      <c r="A5095" s="55" t="s">
        <v>9728</v>
      </c>
      <c r="B5095" s="55" t="s">
        <v>40</v>
      </c>
      <c r="C5095" s="55" t="s">
        <v>11703</v>
      </c>
      <c r="D5095" s="55" t="s">
        <v>11704</v>
      </c>
    </row>
    <row r="5096" ht="14.25" customHeight="1">
      <c r="A5096" s="55" t="s">
        <v>9728</v>
      </c>
      <c r="B5096" s="55" t="s">
        <v>40</v>
      </c>
      <c r="C5096" s="55" t="s">
        <v>11072</v>
      </c>
      <c r="D5096" s="55" t="s">
        <v>9034</v>
      </c>
    </row>
    <row r="5097" ht="14.25" customHeight="1">
      <c r="A5097" s="55" t="s">
        <v>9728</v>
      </c>
      <c r="B5097" s="55" t="s">
        <v>40</v>
      </c>
      <c r="C5097" s="55" t="s">
        <v>9773</v>
      </c>
      <c r="D5097" s="55" t="s">
        <v>9131</v>
      </c>
    </row>
    <row r="5098" ht="14.25" customHeight="1">
      <c r="A5098" s="55" t="s">
        <v>9728</v>
      </c>
      <c r="B5098" s="55" t="s">
        <v>40</v>
      </c>
      <c r="C5098" s="55" t="s">
        <v>11705</v>
      </c>
      <c r="D5098" s="55" t="s">
        <v>11706</v>
      </c>
    </row>
    <row r="5099" ht="14.25" customHeight="1">
      <c r="A5099" s="55" t="s">
        <v>9728</v>
      </c>
      <c r="B5099" s="55" t="s">
        <v>40</v>
      </c>
      <c r="C5099" s="55" t="s">
        <v>3984</v>
      </c>
      <c r="D5099" s="55" t="s">
        <v>10463</v>
      </c>
    </row>
    <row r="5100" ht="14.25" customHeight="1">
      <c r="A5100" s="55" t="s">
        <v>9728</v>
      </c>
      <c r="B5100" s="55" t="s">
        <v>40</v>
      </c>
      <c r="C5100" s="55" t="s">
        <v>9774</v>
      </c>
      <c r="D5100" s="55" t="s">
        <v>9775</v>
      </c>
    </row>
    <row r="5101" ht="14.25" customHeight="1">
      <c r="A5101" s="55" t="s">
        <v>9728</v>
      </c>
      <c r="B5101" s="55" t="s">
        <v>40</v>
      </c>
      <c r="C5101" s="55" t="s">
        <v>12350</v>
      </c>
      <c r="D5101" s="55" t="s">
        <v>9671</v>
      </c>
    </row>
    <row r="5102" ht="14.25" customHeight="1">
      <c r="A5102" s="55" t="s">
        <v>9728</v>
      </c>
      <c r="B5102" s="55" t="s">
        <v>40</v>
      </c>
      <c r="C5102" s="55" t="s">
        <v>4035</v>
      </c>
      <c r="D5102" s="55" t="s">
        <v>12725</v>
      </c>
    </row>
    <row r="5103" ht="14.25" customHeight="1">
      <c r="A5103" s="55" t="s">
        <v>9728</v>
      </c>
      <c r="B5103" s="55" t="s">
        <v>40</v>
      </c>
      <c r="C5103" s="55" t="s">
        <v>4035</v>
      </c>
      <c r="D5103" s="55" t="s">
        <v>12385</v>
      </c>
    </row>
    <row r="5104" ht="14.25" customHeight="1">
      <c r="A5104" s="55" t="s">
        <v>9728</v>
      </c>
      <c r="B5104" s="55" t="s">
        <v>40</v>
      </c>
      <c r="C5104" s="55" t="s">
        <v>4035</v>
      </c>
      <c r="D5104" s="55" t="s">
        <v>10124</v>
      </c>
    </row>
    <row r="5105" ht="14.25" customHeight="1">
      <c r="A5105" s="55" t="s">
        <v>9728</v>
      </c>
      <c r="B5105" s="55" t="s">
        <v>40</v>
      </c>
      <c r="C5105" s="55" t="s">
        <v>233</v>
      </c>
      <c r="D5105" s="55" t="s">
        <v>9073</v>
      </c>
    </row>
    <row r="5106" ht="14.25" customHeight="1">
      <c r="A5106" s="55" t="s">
        <v>9728</v>
      </c>
      <c r="B5106" s="55" t="s">
        <v>40</v>
      </c>
      <c r="C5106" s="55" t="s">
        <v>233</v>
      </c>
      <c r="D5106" s="55" t="s">
        <v>8976</v>
      </c>
    </row>
    <row r="5107" ht="14.25" customHeight="1">
      <c r="A5107" s="55" t="s">
        <v>9728</v>
      </c>
      <c r="B5107" s="55" t="s">
        <v>40</v>
      </c>
      <c r="C5107" s="55" t="s">
        <v>12848</v>
      </c>
      <c r="D5107" s="55" t="s">
        <v>13232</v>
      </c>
    </row>
    <row r="5108" ht="14.25" customHeight="1">
      <c r="A5108" s="55" t="s">
        <v>9728</v>
      </c>
      <c r="B5108" s="55" t="s">
        <v>40</v>
      </c>
      <c r="C5108" s="55" t="s">
        <v>13233</v>
      </c>
      <c r="D5108" s="55" t="s">
        <v>9430</v>
      </c>
    </row>
    <row r="5109" ht="14.25" customHeight="1">
      <c r="A5109" s="55" t="s">
        <v>9728</v>
      </c>
      <c r="B5109" s="55" t="s">
        <v>40</v>
      </c>
      <c r="C5109" s="55" t="s">
        <v>10290</v>
      </c>
      <c r="D5109" s="55" t="s">
        <v>13234</v>
      </c>
    </row>
    <row r="5110" ht="14.25" customHeight="1">
      <c r="A5110" s="55" t="s">
        <v>9728</v>
      </c>
      <c r="B5110" s="55" t="s">
        <v>40</v>
      </c>
      <c r="C5110" s="55" t="s">
        <v>11707</v>
      </c>
      <c r="D5110" s="55" t="s">
        <v>11708</v>
      </c>
    </row>
    <row r="5111" ht="14.25" customHeight="1">
      <c r="A5111" s="55" t="s">
        <v>9728</v>
      </c>
      <c r="B5111" s="55" t="s">
        <v>40</v>
      </c>
      <c r="C5111" s="55" t="s">
        <v>11073</v>
      </c>
      <c r="D5111" s="55" t="s">
        <v>9055</v>
      </c>
    </row>
    <row r="5112" ht="14.25" customHeight="1">
      <c r="A5112" s="55" t="s">
        <v>9728</v>
      </c>
      <c r="B5112" s="55" t="s">
        <v>40</v>
      </c>
      <c r="C5112" s="55" t="s">
        <v>13868</v>
      </c>
      <c r="D5112" s="55" t="s">
        <v>13869</v>
      </c>
    </row>
    <row r="5113" ht="14.25" customHeight="1">
      <c r="A5113" s="55" t="s">
        <v>9728</v>
      </c>
      <c r="B5113" s="55" t="s">
        <v>40</v>
      </c>
      <c r="C5113" s="55" t="s">
        <v>11709</v>
      </c>
      <c r="D5113" s="55" t="s">
        <v>9354</v>
      </c>
    </row>
    <row r="5114" ht="14.25" customHeight="1">
      <c r="A5114" s="55" t="s">
        <v>9728</v>
      </c>
      <c r="B5114" s="55" t="s">
        <v>40</v>
      </c>
      <c r="C5114" s="55" t="s">
        <v>10252</v>
      </c>
      <c r="D5114" s="55" t="s">
        <v>9352</v>
      </c>
    </row>
    <row r="5115" ht="14.25" customHeight="1">
      <c r="A5115" s="55" t="s">
        <v>9728</v>
      </c>
      <c r="B5115" s="55" t="s">
        <v>40</v>
      </c>
      <c r="C5115" s="55" t="s">
        <v>1906</v>
      </c>
      <c r="D5115" s="55" t="s">
        <v>9776</v>
      </c>
    </row>
    <row r="5116" ht="14.25" customHeight="1">
      <c r="A5116" s="55" t="s">
        <v>9728</v>
      </c>
      <c r="B5116" s="55" t="s">
        <v>40</v>
      </c>
      <c r="C5116" s="55" t="s">
        <v>4109</v>
      </c>
      <c r="D5116" s="55" t="s">
        <v>9034</v>
      </c>
    </row>
    <row r="5117" ht="14.25" customHeight="1">
      <c r="A5117" s="55" t="s">
        <v>9728</v>
      </c>
      <c r="B5117" s="55" t="s">
        <v>40</v>
      </c>
      <c r="C5117" s="55" t="s">
        <v>4109</v>
      </c>
      <c r="D5117" s="55" t="s">
        <v>9071</v>
      </c>
    </row>
    <row r="5118" ht="14.25" customHeight="1">
      <c r="A5118" s="55" t="s">
        <v>9728</v>
      </c>
      <c r="B5118" s="55" t="s">
        <v>40</v>
      </c>
      <c r="C5118" s="55" t="s">
        <v>4109</v>
      </c>
      <c r="D5118" s="55" t="s">
        <v>12351</v>
      </c>
    </row>
    <row r="5119" ht="14.25" customHeight="1">
      <c r="A5119" s="55" t="s">
        <v>9728</v>
      </c>
      <c r="B5119" s="55" t="s">
        <v>40</v>
      </c>
      <c r="C5119" s="55" t="s">
        <v>4109</v>
      </c>
      <c r="D5119" s="55" t="s">
        <v>10402</v>
      </c>
    </row>
    <row r="5120" ht="14.25" customHeight="1">
      <c r="A5120" s="55" t="s">
        <v>9728</v>
      </c>
      <c r="B5120" s="55" t="s">
        <v>40</v>
      </c>
      <c r="C5120" s="55" t="s">
        <v>4109</v>
      </c>
      <c r="D5120" s="55" t="s">
        <v>13235</v>
      </c>
    </row>
    <row r="5121" ht="14.25" customHeight="1">
      <c r="A5121" s="55" t="s">
        <v>9728</v>
      </c>
      <c r="B5121" s="55" t="s">
        <v>40</v>
      </c>
      <c r="C5121" s="55" t="s">
        <v>10640</v>
      </c>
      <c r="D5121" s="55" t="s">
        <v>9034</v>
      </c>
    </row>
    <row r="5122" ht="14.25" customHeight="1">
      <c r="A5122" s="55" t="s">
        <v>9728</v>
      </c>
      <c r="B5122" s="55" t="s">
        <v>40</v>
      </c>
      <c r="C5122" s="55" t="s">
        <v>10640</v>
      </c>
      <c r="D5122" s="55" t="s">
        <v>12352</v>
      </c>
    </row>
    <row r="5123" ht="14.25" customHeight="1">
      <c r="A5123" s="55" t="s">
        <v>9728</v>
      </c>
      <c r="B5123" s="55" t="s">
        <v>40</v>
      </c>
      <c r="C5123" s="55" t="s">
        <v>10640</v>
      </c>
      <c r="D5123" s="55" t="s">
        <v>11238</v>
      </c>
    </row>
    <row r="5124" ht="14.25" customHeight="1">
      <c r="A5124" s="55" t="s">
        <v>9728</v>
      </c>
      <c r="B5124" s="55" t="s">
        <v>40</v>
      </c>
      <c r="C5124" s="55" t="s">
        <v>13236</v>
      </c>
      <c r="D5124" s="55" t="s">
        <v>9775</v>
      </c>
    </row>
    <row r="5125" ht="14.25" customHeight="1">
      <c r="A5125" s="55" t="s">
        <v>9728</v>
      </c>
      <c r="B5125" s="55" t="s">
        <v>40</v>
      </c>
      <c r="C5125" s="55" t="s">
        <v>13237</v>
      </c>
      <c r="D5125" s="55" t="s">
        <v>9667</v>
      </c>
    </row>
    <row r="5126" ht="14.25" customHeight="1">
      <c r="A5126" s="55" t="s">
        <v>9728</v>
      </c>
      <c r="B5126" s="55" t="s">
        <v>40</v>
      </c>
      <c r="C5126" s="55" t="s">
        <v>12353</v>
      </c>
      <c r="D5126" s="55" t="s">
        <v>12354</v>
      </c>
    </row>
    <row r="5127" ht="14.25" customHeight="1">
      <c r="A5127" s="55" t="s">
        <v>9728</v>
      </c>
      <c r="B5127" s="55" t="s">
        <v>40</v>
      </c>
      <c r="C5127" s="55" t="s">
        <v>10403</v>
      </c>
      <c r="D5127" s="55" t="s">
        <v>10404</v>
      </c>
    </row>
    <row r="5128" ht="14.25" customHeight="1">
      <c r="A5128" s="55" t="s">
        <v>9728</v>
      </c>
      <c r="B5128" s="55" t="s">
        <v>40</v>
      </c>
      <c r="C5128" s="55" t="s">
        <v>9215</v>
      </c>
      <c r="D5128" s="55" t="s">
        <v>11710</v>
      </c>
    </row>
    <row r="5129" ht="14.25" customHeight="1">
      <c r="A5129" s="55" t="s">
        <v>9728</v>
      </c>
      <c r="B5129" s="55" t="s">
        <v>40</v>
      </c>
      <c r="C5129" s="55" t="s">
        <v>10405</v>
      </c>
      <c r="D5129" s="55" t="s">
        <v>10406</v>
      </c>
    </row>
    <row r="5130" ht="14.25" customHeight="1">
      <c r="A5130" s="55" t="s">
        <v>9728</v>
      </c>
      <c r="B5130" s="55" t="s">
        <v>40</v>
      </c>
      <c r="C5130" s="55" t="s">
        <v>11711</v>
      </c>
      <c r="D5130" s="55" t="s">
        <v>11712</v>
      </c>
    </row>
    <row r="5131" ht="14.25" customHeight="1">
      <c r="A5131" s="55" t="s">
        <v>9728</v>
      </c>
      <c r="B5131" s="55" t="s">
        <v>40</v>
      </c>
      <c r="C5131" s="55" t="s">
        <v>14374</v>
      </c>
      <c r="D5131" s="55" t="s">
        <v>9073</v>
      </c>
    </row>
    <row r="5132" ht="14.25" customHeight="1">
      <c r="A5132" s="55" t="s">
        <v>9728</v>
      </c>
      <c r="B5132" s="55" t="s">
        <v>40</v>
      </c>
      <c r="C5132" s="55" t="s">
        <v>9777</v>
      </c>
      <c r="D5132" s="55" t="s">
        <v>9026</v>
      </c>
    </row>
    <row r="5133" ht="14.25" customHeight="1">
      <c r="A5133" s="55" t="s">
        <v>9728</v>
      </c>
      <c r="B5133" s="55" t="s">
        <v>40</v>
      </c>
      <c r="C5133" s="55" t="s">
        <v>11074</v>
      </c>
      <c r="D5133" s="55" t="s">
        <v>9055</v>
      </c>
    </row>
    <row r="5134" ht="14.25" customHeight="1">
      <c r="A5134" s="55" t="s">
        <v>9728</v>
      </c>
      <c r="B5134" s="55" t="s">
        <v>40</v>
      </c>
      <c r="C5134" s="55" t="s">
        <v>13238</v>
      </c>
      <c r="D5134" s="55" t="s">
        <v>9667</v>
      </c>
    </row>
    <row r="5135" ht="14.25" customHeight="1">
      <c r="A5135" s="55" t="s">
        <v>9728</v>
      </c>
      <c r="B5135" s="55" t="s">
        <v>40</v>
      </c>
      <c r="C5135" s="55" t="s">
        <v>12355</v>
      </c>
      <c r="D5135" s="55" t="s">
        <v>9667</v>
      </c>
    </row>
    <row r="5136" ht="14.25" customHeight="1">
      <c r="A5136" s="55" t="s">
        <v>9728</v>
      </c>
      <c r="B5136" s="55" t="s">
        <v>40</v>
      </c>
      <c r="C5136" s="55" t="s">
        <v>4231</v>
      </c>
      <c r="D5136" s="55" t="s">
        <v>9578</v>
      </c>
    </row>
    <row r="5137" ht="14.25" customHeight="1">
      <c r="A5137" s="55" t="s">
        <v>9728</v>
      </c>
      <c r="B5137" s="55" t="s">
        <v>40</v>
      </c>
      <c r="C5137" s="55" t="s">
        <v>4231</v>
      </c>
      <c r="D5137" s="55" t="s">
        <v>9778</v>
      </c>
    </row>
    <row r="5138" ht="14.25" customHeight="1">
      <c r="A5138" s="55" t="s">
        <v>9728</v>
      </c>
      <c r="B5138" s="55" t="s">
        <v>40</v>
      </c>
      <c r="C5138" s="55" t="s">
        <v>255</v>
      </c>
      <c r="D5138" s="55" t="s">
        <v>9075</v>
      </c>
    </row>
    <row r="5139" ht="14.25" customHeight="1">
      <c r="A5139" s="55" t="s">
        <v>9728</v>
      </c>
      <c r="B5139" s="55" t="s">
        <v>40</v>
      </c>
      <c r="C5139" s="55" t="s">
        <v>256</v>
      </c>
      <c r="D5139" s="55" t="s">
        <v>14375</v>
      </c>
    </row>
    <row r="5140" ht="14.25" customHeight="1">
      <c r="A5140" s="55" t="s">
        <v>9728</v>
      </c>
      <c r="B5140" s="55" t="s">
        <v>40</v>
      </c>
      <c r="C5140" s="55" t="s">
        <v>256</v>
      </c>
      <c r="D5140" s="55" t="s">
        <v>14376</v>
      </c>
    </row>
    <row r="5141" ht="14.25" customHeight="1">
      <c r="A5141" s="55" t="s">
        <v>9728</v>
      </c>
      <c r="B5141" s="55" t="s">
        <v>40</v>
      </c>
      <c r="C5141" s="55" t="s">
        <v>256</v>
      </c>
      <c r="D5141" s="55" t="s">
        <v>9779</v>
      </c>
    </row>
    <row r="5142" ht="14.25" customHeight="1">
      <c r="A5142" s="55" t="s">
        <v>9728</v>
      </c>
      <c r="B5142" s="55" t="s">
        <v>40</v>
      </c>
      <c r="C5142" s="55" t="s">
        <v>256</v>
      </c>
      <c r="D5142" s="55" t="s">
        <v>9677</v>
      </c>
    </row>
    <row r="5143" ht="14.25" customHeight="1">
      <c r="A5143" s="55" t="s">
        <v>9728</v>
      </c>
      <c r="B5143" s="55" t="s">
        <v>40</v>
      </c>
      <c r="C5143" s="55" t="s">
        <v>9434</v>
      </c>
      <c r="D5143" s="55" t="s">
        <v>9404</v>
      </c>
    </row>
    <row r="5144" ht="14.25" customHeight="1">
      <c r="A5144" s="55" t="s">
        <v>9728</v>
      </c>
      <c r="B5144" s="55" t="s">
        <v>40</v>
      </c>
      <c r="C5144" s="55" t="s">
        <v>9780</v>
      </c>
      <c r="D5144" s="55" t="s">
        <v>9781</v>
      </c>
    </row>
    <row r="5145" ht="14.25" customHeight="1">
      <c r="A5145" s="55" t="s">
        <v>9728</v>
      </c>
      <c r="B5145" s="55" t="s">
        <v>40</v>
      </c>
      <c r="C5145" s="55" t="s">
        <v>13784</v>
      </c>
      <c r="D5145" s="55" t="s">
        <v>13870</v>
      </c>
    </row>
    <row r="5146" ht="14.25" customHeight="1">
      <c r="A5146" s="55" t="s">
        <v>9728</v>
      </c>
      <c r="B5146" s="55" t="s">
        <v>40</v>
      </c>
      <c r="C5146" s="55" t="s">
        <v>9090</v>
      </c>
      <c r="D5146" s="55" t="s">
        <v>9034</v>
      </c>
    </row>
    <row r="5147" ht="14.25" customHeight="1">
      <c r="A5147" s="55" t="s">
        <v>9728</v>
      </c>
      <c r="B5147" s="55" t="s">
        <v>40</v>
      </c>
      <c r="C5147" s="55" t="s">
        <v>9090</v>
      </c>
      <c r="D5147" s="55" t="s">
        <v>11075</v>
      </c>
    </row>
    <row r="5148" ht="14.25" customHeight="1">
      <c r="A5148" s="55" t="s">
        <v>9728</v>
      </c>
      <c r="B5148" s="55" t="s">
        <v>40</v>
      </c>
      <c r="C5148" s="55" t="s">
        <v>13239</v>
      </c>
      <c r="D5148" s="55" t="s">
        <v>9618</v>
      </c>
    </row>
    <row r="5149" ht="14.25" customHeight="1">
      <c r="A5149" s="55" t="s">
        <v>9728</v>
      </c>
      <c r="B5149" s="55" t="s">
        <v>40</v>
      </c>
      <c r="C5149" s="55" t="s">
        <v>261</v>
      </c>
      <c r="D5149" s="55" t="s">
        <v>11076</v>
      </c>
    </row>
    <row r="5150" ht="14.25" customHeight="1">
      <c r="A5150" s="55" t="s">
        <v>9728</v>
      </c>
      <c r="B5150" s="55" t="s">
        <v>40</v>
      </c>
      <c r="C5150" s="55" t="s">
        <v>9160</v>
      </c>
      <c r="D5150" s="55" t="s">
        <v>9667</v>
      </c>
    </row>
    <row r="5151" ht="14.25" customHeight="1">
      <c r="A5151" s="55" t="s">
        <v>9728</v>
      </c>
      <c r="B5151" s="55" t="s">
        <v>40</v>
      </c>
      <c r="C5151" s="55" t="s">
        <v>9160</v>
      </c>
      <c r="D5151" s="55" t="s">
        <v>13240</v>
      </c>
    </row>
    <row r="5152" ht="14.25" customHeight="1">
      <c r="A5152" s="55" t="s">
        <v>9728</v>
      </c>
      <c r="B5152" s="55" t="s">
        <v>40</v>
      </c>
      <c r="C5152" s="55" t="s">
        <v>9160</v>
      </c>
      <c r="D5152" s="55" t="s">
        <v>12359</v>
      </c>
    </row>
    <row r="5153" ht="14.25" customHeight="1">
      <c r="A5153" s="55" t="s">
        <v>9728</v>
      </c>
      <c r="B5153" s="55" t="s">
        <v>40</v>
      </c>
      <c r="C5153" s="55" t="s">
        <v>9160</v>
      </c>
      <c r="D5153" s="55" t="s">
        <v>9526</v>
      </c>
    </row>
    <row r="5154" ht="14.25" customHeight="1">
      <c r="A5154" s="55" t="s">
        <v>9728</v>
      </c>
      <c r="B5154" s="55" t="s">
        <v>40</v>
      </c>
      <c r="C5154" s="55" t="s">
        <v>262</v>
      </c>
      <c r="D5154" s="55" t="s">
        <v>11077</v>
      </c>
    </row>
    <row r="5155" ht="14.25" customHeight="1">
      <c r="A5155" s="55" t="s">
        <v>9728</v>
      </c>
      <c r="B5155" s="55" t="s">
        <v>40</v>
      </c>
      <c r="C5155" s="55" t="s">
        <v>262</v>
      </c>
      <c r="D5155" s="55" t="s">
        <v>11078</v>
      </c>
    </row>
    <row r="5156" ht="14.25" customHeight="1">
      <c r="A5156" s="55" t="s">
        <v>9728</v>
      </c>
      <c r="B5156" s="55" t="s">
        <v>40</v>
      </c>
      <c r="C5156" s="55" t="s">
        <v>262</v>
      </c>
      <c r="D5156" s="55" t="s">
        <v>12356</v>
      </c>
    </row>
    <row r="5157" ht="14.25" customHeight="1">
      <c r="A5157" s="55" t="s">
        <v>9728</v>
      </c>
      <c r="B5157" s="55" t="s">
        <v>40</v>
      </c>
      <c r="C5157" s="55" t="s">
        <v>262</v>
      </c>
      <c r="D5157" s="55" t="s">
        <v>12357</v>
      </c>
    </row>
    <row r="5158" ht="14.25" customHeight="1">
      <c r="A5158" s="55" t="s">
        <v>9728</v>
      </c>
      <c r="B5158" s="55" t="s">
        <v>40</v>
      </c>
      <c r="C5158" s="55" t="s">
        <v>262</v>
      </c>
      <c r="D5158" s="55" t="s">
        <v>9667</v>
      </c>
    </row>
    <row r="5159" ht="14.25" customHeight="1">
      <c r="A5159" s="55" t="s">
        <v>9728</v>
      </c>
      <c r="B5159" s="55" t="s">
        <v>40</v>
      </c>
      <c r="C5159" s="55" t="s">
        <v>262</v>
      </c>
      <c r="D5159" s="55" t="s">
        <v>12358</v>
      </c>
    </row>
    <row r="5160" ht="14.25" customHeight="1">
      <c r="A5160" s="55" t="s">
        <v>9728</v>
      </c>
      <c r="B5160" s="55" t="s">
        <v>40</v>
      </c>
      <c r="C5160" s="55" t="s">
        <v>262</v>
      </c>
      <c r="D5160" s="55" t="s">
        <v>12359</v>
      </c>
    </row>
    <row r="5161" ht="14.25" customHeight="1">
      <c r="A5161" s="55" t="s">
        <v>9728</v>
      </c>
      <c r="B5161" s="55" t="s">
        <v>40</v>
      </c>
      <c r="C5161" s="55" t="s">
        <v>262</v>
      </c>
      <c r="D5161" s="55" t="s">
        <v>9526</v>
      </c>
    </row>
    <row r="5162" ht="14.25" customHeight="1">
      <c r="A5162" s="55" t="s">
        <v>9728</v>
      </c>
      <c r="B5162" s="55" t="s">
        <v>40</v>
      </c>
      <c r="C5162" s="55" t="s">
        <v>262</v>
      </c>
      <c r="D5162" s="55" t="s">
        <v>11713</v>
      </c>
    </row>
    <row r="5163" ht="14.25" customHeight="1">
      <c r="A5163" s="55" t="s">
        <v>9728</v>
      </c>
      <c r="B5163" s="55" t="s">
        <v>40</v>
      </c>
      <c r="C5163" s="55" t="s">
        <v>262</v>
      </c>
      <c r="D5163" s="55" t="s">
        <v>11714</v>
      </c>
    </row>
    <row r="5164" ht="14.25" customHeight="1">
      <c r="A5164" s="55" t="s">
        <v>9728</v>
      </c>
      <c r="B5164" s="55" t="s">
        <v>40</v>
      </c>
      <c r="C5164" s="55" t="s">
        <v>8805</v>
      </c>
      <c r="D5164" s="55" t="s">
        <v>9034</v>
      </c>
    </row>
    <row r="5165" ht="14.25" customHeight="1">
      <c r="A5165" s="55" t="s">
        <v>9728</v>
      </c>
      <c r="B5165" s="55" t="s">
        <v>40</v>
      </c>
      <c r="C5165" s="55" t="s">
        <v>4281</v>
      </c>
      <c r="D5165" s="55" t="s">
        <v>11079</v>
      </c>
    </row>
    <row r="5166" ht="14.25" customHeight="1">
      <c r="A5166" s="55" t="s">
        <v>9728</v>
      </c>
      <c r="B5166" s="55" t="s">
        <v>40</v>
      </c>
      <c r="C5166" s="55" t="s">
        <v>4281</v>
      </c>
      <c r="D5166" s="55" t="s">
        <v>9667</v>
      </c>
    </row>
    <row r="5167" ht="14.25" customHeight="1">
      <c r="A5167" s="55" t="s">
        <v>9728</v>
      </c>
      <c r="B5167" s="55" t="s">
        <v>40</v>
      </c>
      <c r="C5167" s="55" t="s">
        <v>4294</v>
      </c>
      <c r="D5167" s="55" t="s">
        <v>10418</v>
      </c>
    </row>
    <row r="5168" ht="14.25" customHeight="1">
      <c r="A5168" s="55" t="s">
        <v>9728</v>
      </c>
      <c r="B5168" s="55" t="s">
        <v>40</v>
      </c>
      <c r="C5168" s="55" t="s">
        <v>4294</v>
      </c>
      <c r="D5168" s="55" t="s">
        <v>12360</v>
      </c>
    </row>
    <row r="5169" ht="14.25" customHeight="1">
      <c r="A5169" s="55" t="s">
        <v>9728</v>
      </c>
      <c r="B5169" s="55" t="s">
        <v>40</v>
      </c>
      <c r="C5169" s="55" t="s">
        <v>4294</v>
      </c>
      <c r="D5169" s="55" t="s">
        <v>9667</v>
      </c>
    </row>
    <row r="5170" ht="14.25" customHeight="1">
      <c r="A5170" s="55" t="s">
        <v>9728</v>
      </c>
      <c r="B5170" s="55" t="s">
        <v>40</v>
      </c>
      <c r="C5170" s="55" t="s">
        <v>13241</v>
      </c>
      <c r="D5170" s="55" t="s">
        <v>9771</v>
      </c>
    </row>
    <row r="5171" ht="14.25" customHeight="1">
      <c r="A5171" s="55" t="s">
        <v>9728</v>
      </c>
      <c r="B5171" s="55" t="s">
        <v>40</v>
      </c>
      <c r="C5171" s="55" t="s">
        <v>11080</v>
      </c>
      <c r="D5171" s="55" t="s">
        <v>10949</v>
      </c>
    </row>
    <row r="5172" ht="14.25" customHeight="1">
      <c r="A5172" s="55" t="s">
        <v>9728</v>
      </c>
      <c r="B5172" s="55" t="s">
        <v>40</v>
      </c>
      <c r="C5172" s="55" t="s">
        <v>268</v>
      </c>
      <c r="D5172" s="55" t="s">
        <v>9071</v>
      </c>
    </row>
    <row r="5173" ht="14.25" customHeight="1">
      <c r="A5173" s="55" t="s">
        <v>9728</v>
      </c>
      <c r="B5173" s="55" t="s">
        <v>40</v>
      </c>
      <c r="C5173" s="55" t="s">
        <v>4326</v>
      </c>
      <c r="D5173" s="55" t="s">
        <v>9073</v>
      </c>
    </row>
    <row r="5174" ht="14.25" customHeight="1">
      <c r="A5174" s="55" t="s">
        <v>9728</v>
      </c>
      <c r="B5174" s="55" t="s">
        <v>40</v>
      </c>
      <c r="C5174" s="55" t="s">
        <v>4326</v>
      </c>
      <c r="D5174" s="55" t="s">
        <v>12361</v>
      </c>
    </row>
    <row r="5175" ht="14.25" customHeight="1">
      <c r="A5175" s="55" t="s">
        <v>9728</v>
      </c>
      <c r="B5175" s="55" t="s">
        <v>40</v>
      </c>
      <c r="C5175" s="55" t="s">
        <v>4326</v>
      </c>
      <c r="D5175" s="55" t="s">
        <v>10407</v>
      </c>
    </row>
    <row r="5176" ht="14.25" customHeight="1">
      <c r="A5176" s="55" t="s">
        <v>9728</v>
      </c>
      <c r="B5176" s="55" t="s">
        <v>40</v>
      </c>
      <c r="C5176" s="55" t="s">
        <v>4326</v>
      </c>
      <c r="D5176" s="55" t="s">
        <v>13871</v>
      </c>
    </row>
    <row r="5177" ht="14.25" customHeight="1">
      <c r="A5177" s="55" t="s">
        <v>9728</v>
      </c>
      <c r="B5177" s="55" t="s">
        <v>40</v>
      </c>
      <c r="C5177" s="55" t="s">
        <v>4326</v>
      </c>
      <c r="D5177" s="55" t="s">
        <v>12362</v>
      </c>
    </row>
    <row r="5178" ht="14.25" customHeight="1">
      <c r="A5178" s="55" t="s">
        <v>9728</v>
      </c>
      <c r="B5178" s="55" t="s">
        <v>40</v>
      </c>
      <c r="C5178" s="55" t="s">
        <v>11243</v>
      </c>
      <c r="D5178" s="55" t="s">
        <v>10407</v>
      </c>
    </row>
    <row r="5179" ht="14.25" customHeight="1">
      <c r="A5179" s="55" t="s">
        <v>9728</v>
      </c>
      <c r="B5179" s="55" t="s">
        <v>40</v>
      </c>
      <c r="C5179" s="55" t="s">
        <v>9908</v>
      </c>
      <c r="D5179" s="55" t="s">
        <v>9962</v>
      </c>
    </row>
    <row r="5180" ht="14.25" customHeight="1">
      <c r="A5180" s="55" t="s">
        <v>9728</v>
      </c>
      <c r="B5180" s="55" t="s">
        <v>40</v>
      </c>
      <c r="C5180" s="55" t="s">
        <v>9908</v>
      </c>
      <c r="D5180" s="55" t="s">
        <v>10407</v>
      </c>
    </row>
    <row r="5181" ht="14.25" customHeight="1">
      <c r="A5181" s="55" t="s">
        <v>9728</v>
      </c>
      <c r="B5181" s="55" t="s">
        <v>40</v>
      </c>
      <c r="C5181" s="55" t="s">
        <v>269</v>
      </c>
      <c r="D5181" s="55" t="s">
        <v>9705</v>
      </c>
    </row>
    <row r="5182" ht="14.25" customHeight="1">
      <c r="A5182" s="55" t="s">
        <v>9728</v>
      </c>
      <c r="B5182" s="55" t="s">
        <v>40</v>
      </c>
      <c r="C5182" s="55" t="s">
        <v>2115</v>
      </c>
      <c r="D5182" s="55" t="s">
        <v>12364</v>
      </c>
    </row>
    <row r="5183" ht="14.25" customHeight="1">
      <c r="A5183" s="55" t="s">
        <v>9728</v>
      </c>
      <c r="B5183" s="55" t="s">
        <v>40</v>
      </c>
      <c r="C5183" s="55" t="s">
        <v>12363</v>
      </c>
      <c r="D5183" s="55" t="s">
        <v>12364</v>
      </c>
    </row>
    <row r="5184" ht="14.25" customHeight="1">
      <c r="A5184" s="55" t="s">
        <v>9728</v>
      </c>
      <c r="B5184" s="55" t="s">
        <v>40</v>
      </c>
      <c r="C5184" s="55" t="s">
        <v>11081</v>
      </c>
      <c r="D5184" s="55" t="s">
        <v>9055</v>
      </c>
    </row>
    <row r="5185" ht="14.25" customHeight="1">
      <c r="A5185" s="55" t="s">
        <v>9728</v>
      </c>
      <c r="B5185" s="55" t="s">
        <v>40</v>
      </c>
      <c r="C5185" s="55" t="s">
        <v>4354</v>
      </c>
      <c r="D5185" s="55" t="s">
        <v>9782</v>
      </c>
    </row>
    <row r="5186" ht="14.25" customHeight="1">
      <c r="A5186" s="55" t="s">
        <v>9728</v>
      </c>
      <c r="B5186" s="55" t="s">
        <v>40</v>
      </c>
      <c r="C5186" s="55" t="s">
        <v>4354</v>
      </c>
      <c r="D5186" s="55" t="s">
        <v>9002</v>
      </c>
    </row>
    <row r="5187" ht="14.25" customHeight="1">
      <c r="A5187" s="55" t="s">
        <v>9728</v>
      </c>
      <c r="B5187" s="55" t="s">
        <v>40</v>
      </c>
      <c r="C5187" s="55" t="s">
        <v>11715</v>
      </c>
      <c r="D5187" s="55" t="s">
        <v>9775</v>
      </c>
    </row>
    <row r="5188" ht="14.25" customHeight="1">
      <c r="A5188" s="55" t="s">
        <v>9728</v>
      </c>
      <c r="B5188" s="55" t="s">
        <v>40</v>
      </c>
      <c r="C5188" s="55" t="s">
        <v>12365</v>
      </c>
      <c r="D5188" s="55" t="s">
        <v>9236</v>
      </c>
    </row>
    <row r="5189" ht="14.25" customHeight="1">
      <c r="A5189" s="55" t="s">
        <v>9728</v>
      </c>
      <c r="B5189" s="55" t="s">
        <v>40</v>
      </c>
      <c r="C5189" s="55" t="s">
        <v>272</v>
      </c>
      <c r="D5189" s="55" t="s">
        <v>9667</v>
      </c>
    </row>
    <row r="5190" ht="14.25" customHeight="1">
      <c r="A5190" s="55" t="s">
        <v>9728</v>
      </c>
      <c r="B5190" s="55" t="s">
        <v>40</v>
      </c>
      <c r="C5190" s="55" t="s">
        <v>5618</v>
      </c>
      <c r="D5190" s="55" t="s">
        <v>13872</v>
      </c>
    </row>
    <row r="5191" ht="14.25" customHeight="1">
      <c r="A5191" s="55" t="s">
        <v>9728</v>
      </c>
      <c r="B5191" s="55" t="s">
        <v>40</v>
      </c>
      <c r="C5191" s="55" t="s">
        <v>5618</v>
      </c>
      <c r="D5191" s="55" t="s">
        <v>9783</v>
      </c>
    </row>
    <row r="5192" ht="14.25" customHeight="1">
      <c r="A5192" s="55" t="s">
        <v>9728</v>
      </c>
      <c r="B5192" s="55" t="s">
        <v>40</v>
      </c>
      <c r="C5192" s="55" t="s">
        <v>5618</v>
      </c>
      <c r="D5192" s="55" t="s">
        <v>14377</v>
      </c>
    </row>
    <row r="5193" ht="14.25" customHeight="1">
      <c r="A5193" s="55" t="s">
        <v>9728</v>
      </c>
      <c r="B5193" s="55" t="s">
        <v>40</v>
      </c>
      <c r="C5193" s="55" t="s">
        <v>9005</v>
      </c>
      <c r="D5193" s="55" t="s">
        <v>9034</v>
      </c>
    </row>
    <row r="5194" ht="14.25" customHeight="1">
      <c r="A5194" s="55" t="s">
        <v>9728</v>
      </c>
      <c r="B5194" s="55" t="s">
        <v>40</v>
      </c>
      <c r="C5194" s="55" t="s">
        <v>9005</v>
      </c>
      <c r="D5194" s="55" t="s">
        <v>9006</v>
      </c>
    </row>
    <row r="5195" ht="14.25" customHeight="1">
      <c r="A5195" s="55" t="s">
        <v>9728</v>
      </c>
      <c r="B5195" s="55" t="s">
        <v>40</v>
      </c>
      <c r="C5195" s="55" t="s">
        <v>9005</v>
      </c>
      <c r="D5195" s="55" t="s">
        <v>13242</v>
      </c>
    </row>
    <row r="5196" ht="14.25" customHeight="1">
      <c r="A5196" s="55" t="s">
        <v>9728</v>
      </c>
      <c r="B5196" s="55" t="s">
        <v>40</v>
      </c>
      <c r="C5196" s="55" t="s">
        <v>9005</v>
      </c>
      <c r="D5196" s="55" t="s">
        <v>13243</v>
      </c>
    </row>
    <row r="5197" ht="14.25" customHeight="1">
      <c r="A5197" s="55" t="s">
        <v>9728</v>
      </c>
      <c r="B5197" s="55" t="s">
        <v>40</v>
      </c>
      <c r="C5197" s="55" t="s">
        <v>9005</v>
      </c>
      <c r="D5197" s="55" t="s">
        <v>13244</v>
      </c>
    </row>
    <row r="5198" ht="14.25" customHeight="1">
      <c r="A5198" s="55" t="s">
        <v>9728</v>
      </c>
      <c r="B5198" s="55" t="s">
        <v>40</v>
      </c>
      <c r="C5198" s="55" t="s">
        <v>9005</v>
      </c>
      <c r="D5198" s="55" t="s">
        <v>9004</v>
      </c>
    </row>
    <row r="5199" ht="14.25" customHeight="1">
      <c r="A5199" s="55" t="s">
        <v>9728</v>
      </c>
      <c r="B5199" s="55" t="s">
        <v>40</v>
      </c>
      <c r="C5199" s="55" t="s">
        <v>9529</v>
      </c>
      <c r="D5199" s="55" t="s">
        <v>9034</v>
      </c>
    </row>
    <row r="5200" ht="14.25" customHeight="1">
      <c r="A5200" s="55" t="s">
        <v>9728</v>
      </c>
      <c r="B5200" s="55" t="s">
        <v>40</v>
      </c>
      <c r="C5200" s="55" t="s">
        <v>9529</v>
      </c>
      <c r="D5200" s="55" t="s">
        <v>9006</v>
      </c>
    </row>
    <row r="5201" ht="14.25" customHeight="1">
      <c r="A5201" s="55" t="s">
        <v>9728</v>
      </c>
      <c r="B5201" s="55" t="s">
        <v>40</v>
      </c>
      <c r="C5201" s="55" t="s">
        <v>14378</v>
      </c>
      <c r="D5201" s="55" t="s">
        <v>9667</v>
      </c>
    </row>
    <row r="5202" ht="14.25" customHeight="1">
      <c r="A5202" s="55" t="s">
        <v>9728</v>
      </c>
      <c r="B5202" s="55" t="s">
        <v>40</v>
      </c>
      <c r="C5202" s="55" t="s">
        <v>2163</v>
      </c>
      <c r="D5202" s="55" t="s">
        <v>13135</v>
      </c>
    </row>
    <row r="5203" ht="14.25" customHeight="1">
      <c r="A5203" s="55" t="s">
        <v>9728</v>
      </c>
      <c r="B5203" s="55" t="s">
        <v>40</v>
      </c>
      <c r="C5203" s="55" t="s">
        <v>10408</v>
      </c>
      <c r="D5203" s="55" t="s">
        <v>9667</v>
      </c>
    </row>
    <row r="5204" ht="14.25" customHeight="1">
      <c r="A5204" s="55" t="s">
        <v>9728</v>
      </c>
      <c r="B5204" s="55" t="s">
        <v>40</v>
      </c>
      <c r="C5204" s="55" t="s">
        <v>13245</v>
      </c>
      <c r="D5204" s="55" t="s">
        <v>13246</v>
      </c>
    </row>
    <row r="5205" ht="14.25" customHeight="1">
      <c r="A5205" s="55" t="s">
        <v>9728</v>
      </c>
      <c r="B5205" s="55" t="s">
        <v>40</v>
      </c>
      <c r="C5205" s="55" t="s">
        <v>11716</v>
      </c>
      <c r="D5205" s="55" t="s">
        <v>9649</v>
      </c>
    </row>
    <row r="5206" ht="14.25" customHeight="1">
      <c r="A5206" s="55" t="s">
        <v>9728</v>
      </c>
      <c r="B5206" s="55" t="s">
        <v>40</v>
      </c>
      <c r="C5206" s="55" t="s">
        <v>12366</v>
      </c>
      <c r="D5206" s="55" t="s">
        <v>9055</v>
      </c>
    </row>
    <row r="5207" ht="14.25" customHeight="1">
      <c r="A5207" s="55" t="s">
        <v>9728</v>
      </c>
      <c r="B5207" s="55" t="s">
        <v>40</v>
      </c>
      <c r="C5207" s="55" t="s">
        <v>11082</v>
      </c>
      <c r="D5207" s="55" t="s">
        <v>9354</v>
      </c>
    </row>
    <row r="5208" ht="14.25" customHeight="1">
      <c r="A5208" s="55" t="s">
        <v>9728</v>
      </c>
      <c r="B5208" s="55" t="s">
        <v>40</v>
      </c>
      <c r="C5208" s="55" t="s">
        <v>11083</v>
      </c>
      <c r="D5208" s="55" t="s">
        <v>11084</v>
      </c>
    </row>
    <row r="5209" ht="14.25" customHeight="1">
      <c r="A5209" s="55" t="s">
        <v>9728</v>
      </c>
      <c r="B5209" s="55" t="s">
        <v>40</v>
      </c>
      <c r="C5209" s="55" t="s">
        <v>13873</v>
      </c>
      <c r="D5209" s="55" t="s">
        <v>13874</v>
      </c>
    </row>
    <row r="5210" ht="14.25" customHeight="1">
      <c r="A5210" s="55" t="s">
        <v>9728</v>
      </c>
      <c r="B5210" s="55" t="s">
        <v>40</v>
      </c>
      <c r="C5210" s="55" t="s">
        <v>7310</v>
      </c>
      <c r="D5210" s="55" t="s">
        <v>9784</v>
      </c>
    </row>
    <row r="5211" ht="14.25" customHeight="1">
      <c r="A5211" s="55" t="s">
        <v>9728</v>
      </c>
      <c r="B5211" s="55" t="s">
        <v>40</v>
      </c>
      <c r="C5211" s="55" t="s">
        <v>11085</v>
      </c>
      <c r="D5211" s="55" t="s">
        <v>9055</v>
      </c>
    </row>
    <row r="5212" ht="14.25" customHeight="1">
      <c r="A5212" s="55" t="s">
        <v>9728</v>
      </c>
      <c r="B5212" s="55" t="s">
        <v>40</v>
      </c>
      <c r="C5212" s="55" t="s">
        <v>9785</v>
      </c>
      <c r="D5212" s="55" t="s">
        <v>9786</v>
      </c>
    </row>
    <row r="5213" ht="14.25" customHeight="1">
      <c r="A5213" s="55" t="s">
        <v>9728</v>
      </c>
      <c r="B5213" s="55" t="s">
        <v>40</v>
      </c>
      <c r="C5213" s="55" t="s">
        <v>9787</v>
      </c>
      <c r="D5213" s="55" t="s">
        <v>9236</v>
      </c>
    </row>
    <row r="5214" ht="14.25" customHeight="1">
      <c r="A5214" s="55" t="s">
        <v>9728</v>
      </c>
      <c r="B5214" s="55" t="s">
        <v>40</v>
      </c>
      <c r="C5214" s="55" t="s">
        <v>9787</v>
      </c>
      <c r="D5214" s="55" t="s">
        <v>9729</v>
      </c>
    </row>
    <row r="5215" ht="14.25" customHeight="1">
      <c r="A5215" s="55" t="s">
        <v>9728</v>
      </c>
      <c r="B5215" s="55" t="s">
        <v>40</v>
      </c>
      <c r="C5215" s="55" t="s">
        <v>9787</v>
      </c>
      <c r="D5215" s="55" t="s">
        <v>9788</v>
      </c>
    </row>
    <row r="5216" ht="14.25" customHeight="1">
      <c r="A5216" s="55" t="s">
        <v>9728</v>
      </c>
      <c r="B5216" s="55" t="s">
        <v>40</v>
      </c>
      <c r="C5216" s="55" t="s">
        <v>9787</v>
      </c>
      <c r="D5216" s="55" t="s">
        <v>9073</v>
      </c>
    </row>
    <row r="5217" ht="14.25" customHeight="1">
      <c r="A5217" s="55" t="s">
        <v>9728</v>
      </c>
      <c r="B5217" s="55" t="s">
        <v>40</v>
      </c>
      <c r="C5217" s="55" t="s">
        <v>9787</v>
      </c>
      <c r="D5217" s="55" t="s">
        <v>9574</v>
      </c>
    </row>
    <row r="5218" ht="14.25" customHeight="1">
      <c r="A5218" s="55" t="s">
        <v>9728</v>
      </c>
      <c r="B5218" s="55" t="s">
        <v>40</v>
      </c>
      <c r="C5218" s="55" t="s">
        <v>9787</v>
      </c>
      <c r="D5218" s="55" t="s">
        <v>9731</v>
      </c>
    </row>
    <row r="5219" ht="14.25" customHeight="1">
      <c r="A5219" s="55" t="s">
        <v>9728</v>
      </c>
      <c r="B5219" s="55" t="s">
        <v>40</v>
      </c>
      <c r="C5219" s="55" t="s">
        <v>280</v>
      </c>
      <c r="D5219" s="55" t="s">
        <v>9151</v>
      </c>
    </row>
    <row r="5220" ht="14.25" customHeight="1">
      <c r="A5220" s="55" t="s">
        <v>9728</v>
      </c>
      <c r="B5220" s="55" t="s">
        <v>40</v>
      </c>
      <c r="C5220" s="55" t="s">
        <v>11086</v>
      </c>
      <c r="D5220" s="55" t="s">
        <v>11087</v>
      </c>
    </row>
    <row r="5221" ht="14.25" customHeight="1">
      <c r="A5221" s="55" t="s">
        <v>9728</v>
      </c>
      <c r="B5221" s="55" t="s">
        <v>40</v>
      </c>
      <c r="C5221" s="55" t="s">
        <v>10409</v>
      </c>
      <c r="D5221" s="55" t="s">
        <v>9667</v>
      </c>
    </row>
    <row r="5222" ht="14.25" customHeight="1">
      <c r="A5222" s="55" t="s">
        <v>9728</v>
      </c>
      <c r="B5222" s="55" t="s">
        <v>40</v>
      </c>
      <c r="C5222" s="55" t="s">
        <v>11088</v>
      </c>
      <c r="D5222" s="55" t="s">
        <v>9034</v>
      </c>
    </row>
    <row r="5223" ht="14.25" customHeight="1">
      <c r="A5223" s="55" t="s">
        <v>9728</v>
      </c>
      <c r="B5223" s="55" t="s">
        <v>40</v>
      </c>
      <c r="C5223" s="55" t="s">
        <v>13875</v>
      </c>
      <c r="D5223" s="55" t="s">
        <v>13876</v>
      </c>
    </row>
    <row r="5224" ht="14.25" customHeight="1">
      <c r="A5224" s="55" t="s">
        <v>9728</v>
      </c>
      <c r="B5224" s="55" t="s">
        <v>40</v>
      </c>
      <c r="C5224" s="55" t="s">
        <v>13877</v>
      </c>
      <c r="D5224" s="55" t="s">
        <v>13878</v>
      </c>
    </row>
    <row r="5225" ht="14.25" customHeight="1">
      <c r="A5225" s="55" t="s">
        <v>9728</v>
      </c>
      <c r="B5225" s="55" t="s">
        <v>40</v>
      </c>
      <c r="C5225" s="55" t="s">
        <v>14379</v>
      </c>
      <c r="D5225" s="55" t="s">
        <v>9216</v>
      </c>
    </row>
    <row r="5226" ht="14.25" customHeight="1">
      <c r="A5226" s="55" t="s">
        <v>9728</v>
      </c>
      <c r="B5226" s="55" t="s">
        <v>41</v>
      </c>
      <c r="C5226" s="55" t="s">
        <v>9034</v>
      </c>
      <c r="D5226" s="55" t="s">
        <v>9050</v>
      </c>
    </row>
    <row r="5227" ht="14.25" customHeight="1">
      <c r="A5227" s="55" t="s">
        <v>9728</v>
      </c>
      <c r="B5227" s="55" t="s">
        <v>41</v>
      </c>
      <c r="C5227" s="55" t="s">
        <v>9034</v>
      </c>
      <c r="D5227" s="55" t="s">
        <v>9667</v>
      </c>
    </row>
    <row r="5228" ht="14.25" customHeight="1">
      <c r="A5228" s="55" t="s">
        <v>9728</v>
      </c>
      <c r="B5228" s="55" t="s">
        <v>41</v>
      </c>
      <c r="C5228" s="55" t="s">
        <v>9034</v>
      </c>
      <c r="D5228" s="55" t="s">
        <v>9071</v>
      </c>
    </row>
    <row r="5229" ht="14.25" customHeight="1">
      <c r="A5229" s="55" t="s">
        <v>9728</v>
      </c>
      <c r="B5229" s="55" t="s">
        <v>41</v>
      </c>
      <c r="C5229" s="55" t="s">
        <v>12367</v>
      </c>
      <c r="D5229" s="55" t="s">
        <v>12368</v>
      </c>
    </row>
    <row r="5230" ht="14.25" customHeight="1">
      <c r="A5230" s="55" t="s">
        <v>9728</v>
      </c>
      <c r="B5230" s="55" t="s">
        <v>41</v>
      </c>
      <c r="C5230" s="55" t="s">
        <v>12367</v>
      </c>
      <c r="D5230" s="55" t="s">
        <v>11184</v>
      </c>
    </row>
    <row r="5231" ht="14.25" customHeight="1">
      <c r="A5231" s="55" t="s">
        <v>9728</v>
      </c>
      <c r="B5231" s="55" t="s">
        <v>41</v>
      </c>
      <c r="C5231" s="55" t="s">
        <v>12367</v>
      </c>
      <c r="D5231" s="55" t="s">
        <v>9574</v>
      </c>
    </row>
    <row r="5232" ht="14.25" customHeight="1">
      <c r="A5232" s="55" t="s">
        <v>9728</v>
      </c>
      <c r="B5232" s="55" t="s">
        <v>41</v>
      </c>
      <c r="C5232" s="55" t="s">
        <v>9597</v>
      </c>
      <c r="D5232" s="55" t="s">
        <v>9099</v>
      </c>
    </row>
    <row r="5233" ht="14.25" customHeight="1">
      <c r="A5233" s="55" t="s">
        <v>9728</v>
      </c>
      <c r="B5233" s="55" t="s">
        <v>41</v>
      </c>
      <c r="C5233" s="55" t="s">
        <v>53</v>
      </c>
      <c r="D5233" s="55" t="s">
        <v>11089</v>
      </c>
    </row>
    <row r="5234" ht="14.25" customHeight="1">
      <c r="A5234" s="55" t="s">
        <v>9728</v>
      </c>
      <c r="B5234" s="55" t="s">
        <v>41</v>
      </c>
      <c r="C5234" s="55" t="s">
        <v>11390</v>
      </c>
      <c r="D5234" s="55" t="s">
        <v>10350</v>
      </c>
    </row>
    <row r="5235" ht="14.25" customHeight="1">
      <c r="A5235" s="55" t="s">
        <v>9728</v>
      </c>
      <c r="B5235" s="55" t="s">
        <v>41</v>
      </c>
      <c r="C5235" s="55" t="s">
        <v>58</v>
      </c>
      <c r="D5235" s="55" t="s">
        <v>8976</v>
      </c>
    </row>
    <row r="5236" ht="14.25" customHeight="1">
      <c r="A5236" s="55" t="s">
        <v>9728</v>
      </c>
      <c r="B5236" s="55" t="s">
        <v>41</v>
      </c>
      <c r="C5236" s="55" t="s">
        <v>2342</v>
      </c>
      <c r="D5236" s="55" t="s">
        <v>11717</v>
      </c>
    </row>
    <row r="5237" ht="14.25" customHeight="1">
      <c r="A5237" s="55" t="s">
        <v>9728</v>
      </c>
      <c r="B5237" s="55" t="s">
        <v>41</v>
      </c>
      <c r="C5237" s="55" t="s">
        <v>11090</v>
      </c>
      <c r="D5237" s="55" t="s">
        <v>9071</v>
      </c>
    </row>
    <row r="5238" ht="14.25" customHeight="1">
      <c r="A5238" s="55" t="s">
        <v>9728</v>
      </c>
      <c r="B5238" s="55" t="s">
        <v>41</v>
      </c>
      <c r="C5238" s="55" t="s">
        <v>8969</v>
      </c>
      <c r="D5238" s="55" t="s">
        <v>13879</v>
      </c>
    </row>
    <row r="5239" ht="14.25" customHeight="1">
      <c r="A5239" s="55" t="s">
        <v>9728</v>
      </c>
      <c r="B5239" s="55" t="s">
        <v>41</v>
      </c>
      <c r="C5239" s="55" t="s">
        <v>8969</v>
      </c>
      <c r="D5239" s="55" t="s">
        <v>11718</v>
      </c>
    </row>
    <row r="5240" ht="14.25" customHeight="1">
      <c r="A5240" s="55" t="s">
        <v>9728</v>
      </c>
      <c r="B5240" s="55" t="s">
        <v>41</v>
      </c>
      <c r="C5240" s="55" t="s">
        <v>2379</v>
      </c>
      <c r="D5240" s="55" t="s">
        <v>12369</v>
      </c>
    </row>
    <row r="5241" ht="14.25" customHeight="1">
      <c r="A5241" s="55" t="s">
        <v>9728</v>
      </c>
      <c r="B5241" s="55" t="s">
        <v>41</v>
      </c>
      <c r="C5241" s="55" t="s">
        <v>5785</v>
      </c>
      <c r="D5241" s="55" t="s">
        <v>9746</v>
      </c>
    </row>
    <row r="5242" ht="14.25" customHeight="1">
      <c r="A5242" s="55" t="s">
        <v>9728</v>
      </c>
      <c r="B5242" s="55" t="s">
        <v>41</v>
      </c>
      <c r="C5242" s="55" t="s">
        <v>9313</v>
      </c>
      <c r="D5242" s="55" t="s">
        <v>12370</v>
      </c>
    </row>
    <row r="5243" ht="14.25" customHeight="1">
      <c r="A5243" s="55" t="s">
        <v>9728</v>
      </c>
      <c r="B5243" s="55" t="s">
        <v>41</v>
      </c>
      <c r="C5243" s="55" t="s">
        <v>2408</v>
      </c>
      <c r="D5243" s="55" t="s">
        <v>13880</v>
      </c>
    </row>
    <row r="5244" ht="14.25" customHeight="1">
      <c r="A5244" s="55" t="s">
        <v>9728</v>
      </c>
      <c r="B5244" s="55" t="s">
        <v>41</v>
      </c>
      <c r="C5244" s="55" t="s">
        <v>9172</v>
      </c>
      <c r="D5244" s="55" t="s">
        <v>11034</v>
      </c>
    </row>
    <row r="5245" ht="14.25" customHeight="1">
      <c r="A5245" s="55" t="s">
        <v>9728</v>
      </c>
      <c r="B5245" s="55" t="s">
        <v>41</v>
      </c>
      <c r="C5245" s="55" t="s">
        <v>5809</v>
      </c>
      <c r="D5245" s="55" t="s">
        <v>12371</v>
      </c>
    </row>
    <row r="5246" ht="14.25" customHeight="1">
      <c r="A5246" s="55" t="s">
        <v>9728</v>
      </c>
      <c r="B5246" s="55" t="s">
        <v>41</v>
      </c>
      <c r="C5246" s="55" t="s">
        <v>13881</v>
      </c>
      <c r="D5246" s="55" t="s">
        <v>13882</v>
      </c>
    </row>
    <row r="5247" ht="14.25" customHeight="1">
      <c r="A5247" s="55" t="s">
        <v>9728</v>
      </c>
      <c r="B5247" s="55" t="s">
        <v>41</v>
      </c>
      <c r="C5247" s="55" t="s">
        <v>14380</v>
      </c>
      <c r="D5247" s="55" t="s">
        <v>14381</v>
      </c>
    </row>
    <row r="5248" ht="14.25" customHeight="1">
      <c r="A5248" s="55" t="s">
        <v>9728</v>
      </c>
      <c r="B5248" s="55" t="s">
        <v>41</v>
      </c>
      <c r="C5248" s="55" t="s">
        <v>11091</v>
      </c>
      <c r="D5248" s="55" t="s">
        <v>9526</v>
      </c>
    </row>
    <row r="5249" ht="14.25" customHeight="1">
      <c r="A5249" s="55" t="s">
        <v>9728</v>
      </c>
      <c r="B5249" s="55" t="s">
        <v>41</v>
      </c>
      <c r="C5249" s="55" t="s">
        <v>2480</v>
      </c>
      <c r="D5249" s="55" t="s">
        <v>9073</v>
      </c>
    </row>
    <row r="5250" ht="14.25" customHeight="1">
      <c r="A5250" s="55" t="s">
        <v>9728</v>
      </c>
      <c r="B5250" s="55" t="s">
        <v>41</v>
      </c>
      <c r="C5250" s="55" t="s">
        <v>12372</v>
      </c>
      <c r="D5250" s="55" t="s">
        <v>12373</v>
      </c>
    </row>
    <row r="5251" ht="14.25" customHeight="1">
      <c r="A5251" s="55" t="s">
        <v>9728</v>
      </c>
      <c r="B5251" s="55" t="s">
        <v>41</v>
      </c>
      <c r="C5251" s="55" t="s">
        <v>11719</v>
      </c>
      <c r="D5251" s="55" t="s">
        <v>11720</v>
      </c>
    </row>
    <row r="5252" ht="14.25" customHeight="1">
      <c r="A5252" s="55" t="s">
        <v>9728</v>
      </c>
      <c r="B5252" s="55" t="s">
        <v>41</v>
      </c>
      <c r="C5252" s="55" t="s">
        <v>12374</v>
      </c>
      <c r="D5252" s="55" t="s">
        <v>9071</v>
      </c>
    </row>
    <row r="5253" ht="14.25" customHeight="1">
      <c r="A5253" s="55" t="s">
        <v>9728</v>
      </c>
      <c r="B5253" s="55" t="s">
        <v>41</v>
      </c>
      <c r="C5253" s="55" t="s">
        <v>1889</v>
      </c>
      <c r="D5253" s="55" t="s">
        <v>10418</v>
      </c>
    </row>
    <row r="5254" ht="14.25" customHeight="1">
      <c r="A5254" s="55" t="s">
        <v>9728</v>
      </c>
      <c r="B5254" s="55" t="s">
        <v>41</v>
      </c>
      <c r="C5254" s="55" t="s">
        <v>12375</v>
      </c>
      <c r="D5254" s="55" t="s">
        <v>12376</v>
      </c>
    </row>
    <row r="5255" ht="14.25" customHeight="1">
      <c r="A5255" s="55" t="s">
        <v>9728</v>
      </c>
      <c r="B5255" s="55" t="s">
        <v>41</v>
      </c>
      <c r="C5255" s="55" t="s">
        <v>11721</v>
      </c>
      <c r="D5255" s="55" t="s">
        <v>9073</v>
      </c>
    </row>
    <row r="5256" ht="14.25" customHeight="1">
      <c r="A5256" s="55" t="s">
        <v>9728</v>
      </c>
      <c r="B5256" s="55" t="s">
        <v>41</v>
      </c>
      <c r="C5256" s="55" t="s">
        <v>11092</v>
      </c>
      <c r="D5256" s="55" t="s">
        <v>9404</v>
      </c>
    </row>
    <row r="5257" ht="14.25" customHeight="1">
      <c r="A5257" s="55" t="s">
        <v>9728</v>
      </c>
      <c r="B5257" s="55" t="s">
        <v>41</v>
      </c>
      <c r="C5257" s="55" t="s">
        <v>9469</v>
      </c>
      <c r="D5257" s="55" t="s">
        <v>9319</v>
      </c>
    </row>
    <row r="5258" ht="14.25" customHeight="1">
      <c r="A5258" s="55" t="s">
        <v>9728</v>
      </c>
      <c r="B5258" s="55" t="s">
        <v>41</v>
      </c>
      <c r="C5258" s="55" t="s">
        <v>9742</v>
      </c>
      <c r="D5258" s="55" t="s">
        <v>13207</v>
      </c>
    </row>
    <row r="5259" ht="14.25" customHeight="1">
      <c r="A5259" s="55" t="s">
        <v>9728</v>
      </c>
      <c r="B5259" s="55" t="s">
        <v>41</v>
      </c>
      <c r="C5259" s="55" t="s">
        <v>12377</v>
      </c>
      <c r="D5259" s="55" t="s">
        <v>12378</v>
      </c>
    </row>
    <row r="5260" ht="14.25" customHeight="1">
      <c r="A5260" s="55" t="s">
        <v>9728</v>
      </c>
      <c r="B5260" s="55" t="s">
        <v>41</v>
      </c>
      <c r="C5260" s="55" t="s">
        <v>12377</v>
      </c>
      <c r="D5260" s="55" t="s">
        <v>9380</v>
      </c>
    </row>
    <row r="5261" ht="14.25" customHeight="1">
      <c r="A5261" s="55" t="s">
        <v>9728</v>
      </c>
      <c r="B5261" s="55" t="s">
        <v>41</v>
      </c>
      <c r="C5261" s="55" t="s">
        <v>10737</v>
      </c>
      <c r="D5261" s="55" t="s">
        <v>11568</v>
      </c>
    </row>
    <row r="5262" ht="14.25" customHeight="1">
      <c r="A5262" s="55" t="s">
        <v>9728</v>
      </c>
      <c r="B5262" s="55" t="s">
        <v>41</v>
      </c>
      <c r="C5262" s="55" t="s">
        <v>11093</v>
      </c>
      <c r="D5262" s="55" t="s">
        <v>8968</v>
      </c>
    </row>
    <row r="5263" ht="14.25" customHeight="1">
      <c r="A5263" s="55" t="s">
        <v>9728</v>
      </c>
      <c r="B5263" s="55" t="s">
        <v>41</v>
      </c>
      <c r="C5263" s="55" t="s">
        <v>11584</v>
      </c>
      <c r="D5263" s="55" t="s">
        <v>11722</v>
      </c>
    </row>
    <row r="5264" ht="14.25" customHeight="1">
      <c r="A5264" s="55" t="s">
        <v>9728</v>
      </c>
      <c r="B5264" s="55" t="s">
        <v>41</v>
      </c>
      <c r="C5264" s="55" t="s">
        <v>11133</v>
      </c>
      <c r="D5264" s="55" t="s">
        <v>9071</v>
      </c>
    </row>
    <row r="5265" ht="14.25" customHeight="1">
      <c r="A5265" s="55" t="s">
        <v>9728</v>
      </c>
      <c r="B5265" s="55" t="s">
        <v>41</v>
      </c>
      <c r="C5265" s="55" t="s">
        <v>11133</v>
      </c>
      <c r="D5265" s="55" t="s">
        <v>12379</v>
      </c>
    </row>
    <row r="5266" ht="14.25" customHeight="1">
      <c r="A5266" s="55" t="s">
        <v>9728</v>
      </c>
      <c r="B5266" s="55" t="s">
        <v>41</v>
      </c>
      <c r="C5266" s="55" t="s">
        <v>916</v>
      </c>
      <c r="D5266" s="55" t="s">
        <v>11061</v>
      </c>
    </row>
    <row r="5267" ht="14.25" customHeight="1">
      <c r="A5267" s="55" t="s">
        <v>9728</v>
      </c>
      <c r="B5267" s="55" t="s">
        <v>41</v>
      </c>
      <c r="C5267" s="55" t="s">
        <v>12380</v>
      </c>
      <c r="D5267" s="55" t="s">
        <v>12381</v>
      </c>
    </row>
    <row r="5268" ht="14.25" customHeight="1">
      <c r="A5268" s="55" t="s">
        <v>9728</v>
      </c>
      <c r="B5268" s="55" t="s">
        <v>41</v>
      </c>
      <c r="C5268" s="55" t="s">
        <v>11723</v>
      </c>
      <c r="D5268" s="55" t="s">
        <v>9771</v>
      </c>
    </row>
    <row r="5269" ht="14.25" customHeight="1">
      <c r="A5269" s="55" t="s">
        <v>9728</v>
      </c>
      <c r="B5269" s="55" t="s">
        <v>41</v>
      </c>
      <c r="C5269" s="55" t="s">
        <v>11094</v>
      </c>
      <c r="D5269" s="55" t="s">
        <v>9812</v>
      </c>
    </row>
    <row r="5270" ht="14.25" customHeight="1">
      <c r="A5270" s="55" t="s">
        <v>9728</v>
      </c>
      <c r="B5270" s="55" t="s">
        <v>41</v>
      </c>
      <c r="C5270" s="55" t="s">
        <v>11095</v>
      </c>
      <c r="D5270" s="55" t="s">
        <v>9071</v>
      </c>
    </row>
    <row r="5271" ht="14.25" customHeight="1">
      <c r="A5271" s="55" t="s">
        <v>9728</v>
      </c>
      <c r="B5271" s="55" t="s">
        <v>41</v>
      </c>
      <c r="C5271" s="55" t="s">
        <v>1009</v>
      </c>
      <c r="D5271" s="55" t="s">
        <v>11096</v>
      </c>
    </row>
    <row r="5272" ht="14.25" customHeight="1">
      <c r="A5272" s="55" t="s">
        <v>9728</v>
      </c>
      <c r="B5272" s="55" t="s">
        <v>41</v>
      </c>
      <c r="C5272" s="55" t="s">
        <v>9455</v>
      </c>
      <c r="D5272" s="55" t="s">
        <v>14382</v>
      </c>
    </row>
    <row r="5273" ht="14.25" customHeight="1">
      <c r="A5273" s="55" t="s">
        <v>9728</v>
      </c>
      <c r="B5273" s="55" t="s">
        <v>41</v>
      </c>
      <c r="C5273" s="55" t="s">
        <v>11724</v>
      </c>
      <c r="D5273" s="55" t="s">
        <v>9793</v>
      </c>
    </row>
    <row r="5274" ht="14.25" customHeight="1">
      <c r="A5274" s="55" t="s">
        <v>9728</v>
      </c>
      <c r="B5274" s="55" t="s">
        <v>41</v>
      </c>
      <c r="C5274" s="55" t="s">
        <v>14383</v>
      </c>
      <c r="D5274" s="55" t="s">
        <v>14384</v>
      </c>
    </row>
    <row r="5275" ht="14.25" customHeight="1">
      <c r="A5275" s="55" t="s">
        <v>9728</v>
      </c>
      <c r="B5275" s="55" t="s">
        <v>41</v>
      </c>
      <c r="C5275" s="55" t="s">
        <v>14383</v>
      </c>
      <c r="D5275" s="55" t="s">
        <v>14385</v>
      </c>
    </row>
    <row r="5276" ht="14.25" customHeight="1">
      <c r="A5276" s="55" t="s">
        <v>9728</v>
      </c>
      <c r="B5276" s="55" t="s">
        <v>41</v>
      </c>
      <c r="C5276" s="55" t="s">
        <v>11097</v>
      </c>
      <c r="D5276" s="55" t="s">
        <v>11098</v>
      </c>
    </row>
    <row r="5277" ht="14.25" customHeight="1">
      <c r="A5277" s="55" t="s">
        <v>9728</v>
      </c>
      <c r="B5277" s="55" t="s">
        <v>41</v>
      </c>
      <c r="C5277" s="55" t="s">
        <v>11725</v>
      </c>
      <c r="D5277" s="55" t="s">
        <v>11726</v>
      </c>
    </row>
    <row r="5278" ht="14.25" customHeight="1">
      <c r="A5278" s="55" t="s">
        <v>9728</v>
      </c>
      <c r="B5278" s="55" t="s">
        <v>41</v>
      </c>
      <c r="C5278" s="55" t="s">
        <v>10410</v>
      </c>
      <c r="D5278" s="55" t="s">
        <v>9525</v>
      </c>
    </row>
    <row r="5279" ht="14.25" customHeight="1">
      <c r="A5279" s="55" t="s">
        <v>9728</v>
      </c>
      <c r="B5279" s="55" t="s">
        <v>41</v>
      </c>
      <c r="C5279" s="55" t="s">
        <v>10411</v>
      </c>
      <c r="D5279" s="55" t="s">
        <v>10412</v>
      </c>
    </row>
    <row r="5280" ht="14.25" customHeight="1">
      <c r="A5280" s="55" t="s">
        <v>9728</v>
      </c>
      <c r="B5280" s="55" t="s">
        <v>41</v>
      </c>
      <c r="C5280" s="55" t="s">
        <v>12382</v>
      </c>
      <c r="D5280" s="55" t="s">
        <v>9073</v>
      </c>
    </row>
    <row r="5281" ht="14.25" customHeight="1">
      <c r="A5281" s="55" t="s">
        <v>9728</v>
      </c>
      <c r="B5281" s="55" t="s">
        <v>41</v>
      </c>
      <c r="C5281" s="55" t="s">
        <v>14071</v>
      </c>
      <c r="D5281" s="55" t="s">
        <v>14386</v>
      </c>
    </row>
    <row r="5282" ht="14.25" customHeight="1">
      <c r="A5282" s="55" t="s">
        <v>9728</v>
      </c>
      <c r="B5282" s="55" t="s">
        <v>41</v>
      </c>
      <c r="C5282" s="55" t="s">
        <v>11099</v>
      </c>
      <c r="D5282" s="55" t="s">
        <v>9771</v>
      </c>
    </row>
    <row r="5283" ht="14.25" customHeight="1">
      <c r="A5283" s="55" t="s">
        <v>9728</v>
      </c>
      <c r="B5283" s="55" t="s">
        <v>41</v>
      </c>
      <c r="C5283" s="55" t="s">
        <v>11100</v>
      </c>
      <c r="D5283" s="55" t="s">
        <v>11101</v>
      </c>
    </row>
    <row r="5284" ht="14.25" customHeight="1">
      <c r="A5284" s="55" t="s">
        <v>9728</v>
      </c>
      <c r="B5284" s="55" t="s">
        <v>41</v>
      </c>
      <c r="C5284" s="55" t="s">
        <v>13883</v>
      </c>
      <c r="D5284" s="55" t="s">
        <v>9236</v>
      </c>
    </row>
    <row r="5285" ht="14.25" customHeight="1">
      <c r="A5285" s="55" t="s">
        <v>9728</v>
      </c>
      <c r="B5285" s="55" t="s">
        <v>41</v>
      </c>
      <c r="C5285" s="55" t="s">
        <v>9490</v>
      </c>
      <c r="D5285" s="55" t="s">
        <v>11568</v>
      </c>
    </row>
    <row r="5286" ht="14.25" customHeight="1">
      <c r="A5286" s="55" t="s">
        <v>9728</v>
      </c>
      <c r="B5286" s="55" t="s">
        <v>41</v>
      </c>
      <c r="C5286" s="55" t="s">
        <v>3313</v>
      </c>
      <c r="D5286" s="55" t="s">
        <v>11102</v>
      </c>
    </row>
    <row r="5287" ht="14.25" customHeight="1">
      <c r="A5287" s="55" t="s">
        <v>9728</v>
      </c>
      <c r="B5287" s="55" t="s">
        <v>41</v>
      </c>
      <c r="C5287" s="55" t="s">
        <v>9329</v>
      </c>
      <c r="D5287" s="55" t="s">
        <v>9667</v>
      </c>
    </row>
    <row r="5288" ht="14.25" customHeight="1">
      <c r="A5288" s="55" t="s">
        <v>9728</v>
      </c>
      <c r="B5288" s="55" t="s">
        <v>41</v>
      </c>
      <c r="C5288" s="55" t="s">
        <v>14387</v>
      </c>
      <c r="D5288" s="55" t="s">
        <v>9071</v>
      </c>
    </row>
    <row r="5289" ht="14.25" customHeight="1">
      <c r="A5289" s="55" t="s">
        <v>9728</v>
      </c>
      <c r="B5289" s="55" t="s">
        <v>41</v>
      </c>
      <c r="C5289" s="55" t="s">
        <v>12061</v>
      </c>
      <c r="D5289" s="55" t="s">
        <v>13884</v>
      </c>
    </row>
    <row r="5290" ht="14.25" customHeight="1">
      <c r="A5290" s="55" t="s">
        <v>9728</v>
      </c>
      <c r="B5290" s="55" t="s">
        <v>41</v>
      </c>
      <c r="C5290" s="55" t="s">
        <v>1421</v>
      </c>
      <c r="D5290" s="55" t="s">
        <v>12280</v>
      </c>
    </row>
    <row r="5291" ht="14.25" customHeight="1">
      <c r="A5291" s="55" t="s">
        <v>9728</v>
      </c>
      <c r="B5291" s="55" t="s">
        <v>41</v>
      </c>
      <c r="C5291" s="55" t="s">
        <v>13885</v>
      </c>
      <c r="D5291" s="55" t="s">
        <v>9055</v>
      </c>
    </row>
    <row r="5292" ht="14.25" customHeight="1">
      <c r="A5292" s="55" t="s">
        <v>9728</v>
      </c>
      <c r="B5292" s="55" t="s">
        <v>41</v>
      </c>
      <c r="C5292" s="55" t="s">
        <v>10413</v>
      </c>
      <c r="D5292" s="55" t="s">
        <v>10414</v>
      </c>
    </row>
    <row r="5293" ht="14.25" customHeight="1">
      <c r="A5293" s="55" t="s">
        <v>9728</v>
      </c>
      <c r="B5293" s="55" t="s">
        <v>41</v>
      </c>
      <c r="C5293" s="55" t="s">
        <v>9789</v>
      </c>
      <c r="D5293" s="55" t="s">
        <v>9790</v>
      </c>
    </row>
    <row r="5294" ht="14.25" customHeight="1">
      <c r="A5294" s="55" t="s">
        <v>9728</v>
      </c>
      <c r="B5294" s="55" t="s">
        <v>41</v>
      </c>
      <c r="C5294" s="55" t="s">
        <v>3537</v>
      </c>
      <c r="D5294" s="55" t="s">
        <v>9380</v>
      </c>
    </row>
    <row r="5295" ht="14.25" customHeight="1">
      <c r="A5295" s="55" t="s">
        <v>9728</v>
      </c>
      <c r="B5295" s="55" t="s">
        <v>41</v>
      </c>
      <c r="C5295" s="55" t="s">
        <v>11103</v>
      </c>
      <c r="D5295" s="55" t="s">
        <v>11104</v>
      </c>
    </row>
    <row r="5296" ht="14.25" customHeight="1">
      <c r="A5296" s="55" t="s">
        <v>9728</v>
      </c>
      <c r="B5296" s="55" t="s">
        <v>41</v>
      </c>
      <c r="C5296" s="55" t="s">
        <v>178</v>
      </c>
      <c r="D5296" s="55" t="s">
        <v>9075</v>
      </c>
    </row>
    <row r="5297" ht="14.25" customHeight="1">
      <c r="A5297" s="55" t="s">
        <v>9728</v>
      </c>
      <c r="B5297" s="55" t="s">
        <v>41</v>
      </c>
      <c r="C5297" s="55" t="s">
        <v>3566</v>
      </c>
      <c r="D5297" s="55" t="s">
        <v>8976</v>
      </c>
    </row>
    <row r="5298" ht="14.25" customHeight="1">
      <c r="A5298" s="55" t="s">
        <v>9728</v>
      </c>
      <c r="B5298" s="55" t="s">
        <v>41</v>
      </c>
      <c r="C5298" s="55" t="s">
        <v>13886</v>
      </c>
      <c r="D5298" s="55" t="s">
        <v>9771</v>
      </c>
    </row>
    <row r="5299" ht="14.25" customHeight="1">
      <c r="A5299" s="55" t="s">
        <v>9728</v>
      </c>
      <c r="B5299" s="55" t="s">
        <v>41</v>
      </c>
      <c r="C5299" s="55" t="s">
        <v>9543</v>
      </c>
      <c r="D5299" s="55" t="s">
        <v>11105</v>
      </c>
    </row>
    <row r="5300" ht="14.25" customHeight="1">
      <c r="A5300" s="55" t="s">
        <v>9728</v>
      </c>
      <c r="B5300" s="55" t="s">
        <v>41</v>
      </c>
      <c r="C5300" s="55" t="s">
        <v>12383</v>
      </c>
      <c r="D5300" s="55" t="s">
        <v>12384</v>
      </c>
    </row>
    <row r="5301" ht="14.25" customHeight="1">
      <c r="A5301" s="55" t="s">
        <v>9728</v>
      </c>
      <c r="B5301" s="55" t="s">
        <v>41</v>
      </c>
      <c r="C5301" s="55" t="s">
        <v>11106</v>
      </c>
      <c r="D5301" s="55" t="s">
        <v>11107</v>
      </c>
    </row>
    <row r="5302" ht="14.25" customHeight="1">
      <c r="A5302" s="55" t="s">
        <v>9728</v>
      </c>
      <c r="B5302" s="55" t="s">
        <v>41</v>
      </c>
      <c r="C5302" s="55" t="s">
        <v>3664</v>
      </c>
      <c r="D5302" s="55" t="s">
        <v>13247</v>
      </c>
    </row>
    <row r="5303" ht="14.25" customHeight="1">
      <c r="A5303" s="55" t="s">
        <v>9728</v>
      </c>
      <c r="B5303" s="55" t="s">
        <v>41</v>
      </c>
      <c r="C5303" s="55" t="s">
        <v>12665</v>
      </c>
      <c r="D5303" s="55" t="s">
        <v>11112</v>
      </c>
    </row>
    <row r="5304" ht="14.25" customHeight="1">
      <c r="A5304" s="55" t="s">
        <v>9728</v>
      </c>
      <c r="B5304" s="55" t="s">
        <v>41</v>
      </c>
      <c r="C5304" s="55" t="s">
        <v>10182</v>
      </c>
      <c r="D5304" s="55" t="s">
        <v>9034</v>
      </c>
    </row>
    <row r="5305" ht="14.25" customHeight="1">
      <c r="A5305" s="55" t="s">
        <v>9728</v>
      </c>
      <c r="B5305" s="55" t="s">
        <v>41</v>
      </c>
      <c r="C5305" s="55" t="s">
        <v>10182</v>
      </c>
      <c r="D5305" s="55" t="s">
        <v>10415</v>
      </c>
    </row>
    <row r="5306" ht="14.25" customHeight="1">
      <c r="A5306" s="55" t="s">
        <v>9728</v>
      </c>
      <c r="B5306" s="55" t="s">
        <v>41</v>
      </c>
      <c r="C5306" s="55" t="s">
        <v>314</v>
      </c>
      <c r="D5306" s="55" t="s">
        <v>11108</v>
      </c>
    </row>
    <row r="5307" ht="14.25" customHeight="1">
      <c r="A5307" s="55" t="s">
        <v>9728</v>
      </c>
      <c r="B5307" s="55" t="s">
        <v>41</v>
      </c>
      <c r="C5307" s="55" t="s">
        <v>314</v>
      </c>
      <c r="D5307" s="55" t="s">
        <v>9667</v>
      </c>
    </row>
    <row r="5308" ht="14.25" customHeight="1">
      <c r="A5308" s="55" t="s">
        <v>9728</v>
      </c>
      <c r="B5308" s="55" t="s">
        <v>41</v>
      </c>
      <c r="C5308" s="55" t="s">
        <v>314</v>
      </c>
      <c r="D5308" s="55" t="s">
        <v>13887</v>
      </c>
    </row>
    <row r="5309" ht="14.25" customHeight="1">
      <c r="A5309" s="55" t="s">
        <v>9728</v>
      </c>
      <c r="B5309" s="55" t="s">
        <v>41</v>
      </c>
      <c r="C5309" s="55" t="s">
        <v>314</v>
      </c>
      <c r="D5309" s="55" t="s">
        <v>9731</v>
      </c>
    </row>
    <row r="5310" ht="14.25" customHeight="1">
      <c r="A5310" s="55" t="s">
        <v>9728</v>
      </c>
      <c r="B5310" s="55" t="s">
        <v>41</v>
      </c>
      <c r="C5310" s="55" t="s">
        <v>10727</v>
      </c>
      <c r="D5310" s="55" t="s">
        <v>9055</v>
      </c>
    </row>
    <row r="5311" ht="14.25" customHeight="1">
      <c r="A5311" s="55" t="s">
        <v>9728</v>
      </c>
      <c r="B5311" s="55" t="s">
        <v>41</v>
      </c>
      <c r="C5311" s="55" t="s">
        <v>9791</v>
      </c>
      <c r="D5311" s="55" t="s">
        <v>9792</v>
      </c>
    </row>
    <row r="5312" ht="14.25" customHeight="1">
      <c r="A5312" s="55" t="s">
        <v>9728</v>
      </c>
      <c r="B5312" s="55" t="s">
        <v>41</v>
      </c>
      <c r="C5312" s="55" t="s">
        <v>11727</v>
      </c>
      <c r="D5312" s="55" t="s">
        <v>9771</v>
      </c>
    </row>
    <row r="5313" ht="14.25" customHeight="1">
      <c r="A5313" s="55" t="s">
        <v>9728</v>
      </c>
      <c r="B5313" s="55" t="s">
        <v>41</v>
      </c>
      <c r="C5313" s="55" t="s">
        <v>13248</v>
      </c>
      <c r="D5313" s="55" t="s">
        <v>11651</v>
      </c>
    </row>
    <row r="5314" ht="14.25" customHeight="1">
      <c r="A5314" s="55" t="s">
        <v>9728</v>
      </c>
      <c r="B5314" s="55" t="s">
        <v>41</v>
      </c>
      <c r="C5314" s="55" t="s">
        <v>210</v>
      </c>
      <c r="D5314" s="55" t="s">
        <v>9034</v>
      </c>
    </row>
    <row r="5315" ht="14.25" customHeight="1">
      <c r="A5315" s="55" t="s">
        <v>9728</v>
      </c>
      <c r="B5315" s="55" t="s">
        <v>41</v>
      </c>
      <c r="C5315" s="55" t="s">
        <v>210</v>
      </c>
      <c r="D5315" s="55" t="s">
        <v>11728</v>
      </c>
    </row>
    <row r="5316" ht="14.25" customHeight="1">
      <c r="A5316" s="55" t="s">
        <v>9728</v>
      </c>
      <c r="B5316" s="55" t="s">
        <v>41</v>
      </c>
      <c r="C5316" s="55" t="s">
        <v>210</v>
      </c>
      <c r="D5316" s="55" t="s">
        <v>11109</v>
      </c>
    </row>
    <row r="5317" ht="14.25" customHeight="1">
      <c r="A5317" s="55" t="s">
        <v>9728</v>
      </c>
      <c r="B5317" s="55" t="s">
        <v>41</v>
      </c>
      <c r="C5317" s="55" t="s">
        <v>14388</v>
      </c>
      <c r="D5317" s="55" t="s">
        <v>14389</v>
      </c>
    </row>
    <row r="5318" ht="14.25" customHeight="1">
      <c r="A5318" s="55" t="s">
        <v>9728</v>
      </c>
      <c r="B5318" s="55" t="s">
        <v>41</v>
      </c>
      <c r="C5318" s="55" t="s">
        <v>14390</v>
      </c>
      <c r="D5318" s="55" t="s">
        <v>14391</v>
      </c>
    </row>
    <row r="5319" ht="14.25" customHeight="1">
      <c r="A5319" s="55" t="s">
        <v>9728</v>
      </c>
      <c r="B5319" s="55" t="s">
        <v>41</v>
      </c>
      <c r="C5319" s="55" t="s">
        <v>11729</v>
      </c>
      <c r="D5319" s="55" t="s">
        <v>9073</v>
      </c>
    </row>
    <row r="5320" ht="14.25" customHeight="1">
      <c r="A5320" s="55" t="s">
        <v>9728</v>
      </c>
      <c r="B5320" s="55" t="s">
        <v>41</v>
      </c>
      <c r="C5320" s="55" t="s">
        <v>11110</v>
      </c>
      <c r="D5320" s="55" t="s">
        <v>9879</v>
      </c>
    </row>
    <row r="5321" ht="14.25" customHeight="1">
      <c r="A5321" s="55" t="s">
        <v>9728</v>
      </c>
      <c r="B5321" s="55" t="s">
        <v>41</v>
      </c>
      <c r="C5321" s="55" t="s">
        <v>11111</v>
      </c>
      <c r="D5321" s="55" t="s">
        <v>11112</v>
      </c>
    </row>
    <row r="5322" ht="14.25" customHeight="1">
      <c r="A5322" s="55" t="s">
        <v>9728</v>
      </c>
      <c r="B5322" s="55" t="s">
        <v>41</v>
      </c>
      <c r="C5322" s="55" t="s">
        <v>11113</v>
      </c>
      <c r="D5322" s="55" t="s">
        <v>9430</v>
      </c>
    </row>
    <row r="5323" ht="14.25" customHeight="1">
      <c r="A5323" s="55" t="s">
        <v>9728</v>
      </c>
      <c r="B5323" s="55" t="s">
        <v>41</v>
      </c>
      <c r="C5323" s="55" t="s">
        <v>10993</v>
      </c>
      <c r="D5323" s="55" t="s">
        <v>9050</v>
      </c>
    </row>
    <row r="5324" ht="14.25" customHeight="1">
      <c r="A5324" s="55" t="s">
        <v>9728</v>
      </c>
      <c r="B5324" s="55" t="s">
        <v>41</v>
      </c>
      <c r="C5324" s="55" t="s">
        <v>9926</v>
      </c>
      <c r="D5324" s="55" t="s">
        <v>9771</v>
      </c>
    </row>
    <row r="5325" ht="14.25" customHeight="1">
      <c r="A5325" s="55" t="s">
        <v>9728</v>
      </c>
      <c r="B5325" s="55" t="s">
        <v>41</v>
      </c>
      <c r="C5325" s="55" t="s">
        <v>9926</v>
      </c>
      <c r="D5325" s="55" t="s">
        <v>9157</v>
      </c>
    </row>
    <row r="5326" ht="14.25" customHeight="1">
      <c r="A5326" s="55" t="s">
        <v>9728</v>
      </c>
      <c r="B5326" s="55" t="s">
        <v>41</v>
      </c>
      <c r="C5326" s="55" t="s">
        <v>9926</v>
      </c>
      <c r="D5326" s="55" t="s">
        <v>9404</v>
      </c>
    </row>
    <row r="5327" ht="14.25" customHeight="1">
      <c r="A5327" s="55" t="s">
        <v>9728</v>
      </c>
      <c r="B5327" s="55" t="s">
        <v>41</v>
      </c>
      <c r="C5327" s="55" t="s">
        <v>9926</v>
      </c>
      <c r="D5327" s="55" t="s">
        <v>9731</v>
      </c>
    </row>
    <row r="5328" ht="14.25" customHeight="1">
      <c r="A5328" s="55" t="s">
        <v>9728</v>
      </c>
      <c r="B5328" s="55" t="s">
        <v>41</v>
      </c>
      <c r="C5328" s="55" t="s">
        <v>10911</v>
      </c>
      <c r="D5328" s="55" t="s">
        <v>9380</v>
      </c>
    </row>
    <row r="5329" ht="14.25" customHeight="1">
      <c r="A5329" s="55" t="s">
        <v>9728</v>
      </c>
      <c r="B5329" s="55" t="s">
        <v>41</v>
      </c>
      <c r="C5329" s="55" t="s">
        <v>4035</v>
      </c>
      <c r="D5329" s="55" t="s">
        <v>12385</v>
      </c>
    </row>
    <row r="5330" ht="14.25" customHeight="1">
      <c r="A5330" s="55" t="s">
        <v>9728</v>
      </c>
      <c r="B5330" s="55" t="s">
        <v>41</v>
      </c>
      <c r="C5330" s="55" t="s">
        <v>4035</v>
      </c>
      <c r="D5330" s="55" t="s">
        <v>9071</v>
      </c>
    </row>
    <row r="5331" ht="14.25" customHeight="1">
      <c r="A5331" s="55" t="s">
        <v>9728</v>
      </c>
      <c r="B5331" s="55" t="s">
        <v>41</v>
      </c>
      <c r="C5331" s="55" t="s">
        <v>11730</v>
      </c>
      <c r="D5331" s="55" t="s">
        <v>11538</v>
      </c>
    </row>
    <row r="5332" ht="14.25" customHeight="1">
      <c r="A5332" s="55" t="s">
        <v>9728</v>
      </c>
      <c r="B5332" s="55" t="s">
        <v>41</v>
      </c>
      <c r="C5332" s="55" t="s">
        <v>10290</v>
      </c>
      <c r="D5332" s="55" t="s">
        <v>9071</v>
      </c>
    </row>
    <row r="5333" ht="14.25" customHeight="1">
      <c r="A5333" s="55" t="s">
        <v>9728</v>
      </c>
      <c r="B5333" s="55" t="s">
        <v>41</v>
      </c>
      <c r="C5333" s="55" t="s">
        <v>9691</v>
      </c>
      <c r="D5333" s="55" t="s">
        <v>9578</v>
      </c>
    </row>
    <row r="5334" ht="14.25" customHeight="1">
      <c r="A5334" s="55" t="s">
        <v>9728</v>
      </c>
      <c r="B5334" s="55" t="s">
        <v>41</v>
      </c>
      <c r="C5334" s="55" t="s">
        <v>9691</v>
      </c>
      <c r="D5334" s="55" t="s">
        <v>9404</v>
      </c>
    </row>
    <row r="5335" ht="14.25" customHeight="1">
      <c r="A5335" s="55" t="s">
        <v>9728</v>
      </c>
      <c r="B5335" s="55" t="s">
        <v>41</v>
      </c>
      <c r="C5335" s="55" t="s">
        <v>4109</v>
      </c>
      <c r="D5335" s="55" t="s">
        <v>9034</v>
      </c>
    </row>
    <row r="5336" ht="14.25" customHeight="1">
      <c r="A5336" s="55" t="s">
        <v>9728</v>
      </c>
      <c r="B5336" s="55" t="s">
        <v>41</v>
      </c>
      <c r="C5336" s="55" t="s">
        <v>4131</v>
      </c>
      <c r="D5336" s="55" t="s">
        <v>11731</v>
      </c>
    </row>
    <row r="5337" ht="14.25" customHeight="1">
      <c r="A5337" s="55" t="s">
        <v>9728</v>
      </c>
      <c r="B5337" s="55" t="s">
        <v>41</v>
      </c>
      <c r="C5337" s="55" t="s">
        <v>4131</v>
      </c>
      <c r="D5337" s="55" t="s">
        <v>9404</v>
      </c>
    </row>
    <row r="5338" ht="14.25" customHeight="1">
      <c r="A5338" s="55" t="s">
        <v>9728</v>
      </c>
      <c r="B5338" s="55" t="s">
        <v>41</v>
      </c>
      <c r="C5338" s="55" t="s">
        <v>10254</v>
      </c>
      <c r="D5338" s="55" t="s">
        <v>9578</v>
      </c>
    </row>
    <row r="5339" ht="14.25" customHeight="1">
      <c r="A5339" s="55" t="s">
        <v>9728</v>
      </c>
      <c r="B5339" s="55" t="s">
        <v>41</v>
      </c>
      <c r="C5339" s="55" t="s">
        <v>10640</v>
      </c>
      <c r="D5339" s="55" t="s">
        <v>9034</v>
      </c>
    </row>
    <row r="5340" ht="14.25" customHeight="1">
      <c r="A5340" s="55" t="s">
        <v>9728</v>
      </c>
      <c r="B5340" s="55" t="s">
        <v>41</v>
      </c>
      <c r="C5340" s="55" t="s">
        <v>10640</v>
      </c>
      <c r="D5340" s="55" t="s">
        <v>9151</v>
      </c>
    </row>
    <row r="5341" ht="14.25" customHeight="1">
      <c r="A5341" s="55" t="s">
        <v>9728</v>
      </c>
      <c r="B5341" s="55" t="s">
        <v>41</v>
      </c>
      <c r="C5341" s="55" t="s">
        <v>10640</v>
      </c>
      <c r="D5341" s="55" t="s">
        <v>11065</v>
      </c>
    </row>
    <row r="5342" ht="14.25" customHeight="1">
      <c r="A5342" s="55" t="s">
        <v>9728</v>
      </c>
      <c r="B5342" s="55" t="s">
        <v>41</v>
      </c>
      <c r="C5342" s="55" t="s">
        <v>9215</v>
      </c>
      <c r="D5342" s="55" t="s">
        <v>9109</v>
      </c>
    </row>
    <row r="5343" ht="14.25" customHeight="1">
      <c r="A5343" s="55" t="s">
        <v>9728</v>
      </c>
      <c r="B5343" s="55" t="s">
        <v>41</v>
      </c>
      <c r="C5343" s="55" t="s">
        <v>11114</v>
      </c>
      <c r="D5343" s="55" t="s">
        <v>9034</v>
      </c>
    </row>
    <row r="5344" ht="14.25" customHeight="1">
      <c r="A5344" s="55" t="s">
        <v>9728</v>
      </c>
      <c r="B5344" s="55" t="s">
        <v>41</v>
      </c>
      <c r="C5344" s="55" t="s">
        <v>13888</v>
      </c>
      <c r="D5344" s="55" t="s">
        <v>13889</v>
      </c>
    </row>
    <row r="5345" ht="14.25" customHeight="1">
      <c r="A5345" s="55" t="s">
        <v>9728</v>
      </c>
      <c r="B5345" s="55" t="s">
        <v>41</v>
      </c>
      <c r="C5345" s="55" t="s">
        <v>12386</v>
      </c>
      <c r="D5345" s="55" t="s">
        <v>12387</v>
      </c>
    </row>
    <row r="5346" ht="14.25" customHeight="1">
      <c r="A5346" s="55" t="s">
        <v>9728</v>
      </c>
      <c r="B5346" s="55" t="s">
        <v>41</v>
      </c>
      <c r="C5346" s="55" t="s">
        <v>14392</v>
      </c>
      <c r="D5346" s="55" t="s">
        <v>11116</v>
      </c>
    </row>
    <row r="5347" ht="14.25" customHeight="1">
      <c r="A5347" s="55" t="s">
        <v>9728</v>
      </c>
      <c r="B5347" s="55" t="s">
        <v>41</v>
      </c>
      <c r="C5347" s="55" t="s">
        <v>9434</v>
      </c>
      <c r="D5347" s="55" t="s">
        <v>9162</v>
      </c>
    </row>
    <row r="5348" ht="14.25" customHeight="1">
      <c r="A5348" s="55" t="s">
        <v>9728</v>
      </c>
      <c r="B5348" s="55" t="s">
        <v>41</v>
      </c>
      <c r="C5348" s="55" t="s">
        <v>9434</v>
      </c>
      <c r="D5348" s="55" t="s">
        <v>12388</v>
      </c>
    </row>
    <row r="5349" ht="14.25" customHeight="1">
      <c r="A5349" s="55" t="s">
        <v>9728</v>
      </c>
      <c r="B5349" s="55" t="s">
        <v>41</v>
      </c>
      <c r="C5349" s="55" t="s">
        <v>9434</v>
      </c>
      <c r="D5349" s="55" t="s">
        <v>9771</v>
      </c>
    </row>
    <row r="5350" ht="14.25" customHeight="1">
      <c r="A5350" s="55" t="s">
        <v>9728</v>
      </c>
      <c r="B5350" s="55" t="s">
        <v>41</v>
      </c>
      <c r="C5350" s="55" t="s">
        <v>9434</v>
      </c>
      <c r="D5350" s="55" t="s">
        <v>11115</v>
      </c>
    </row>
    <row r="5351" ht="14.25" customHeight="1">
      <c r="A5351" s="55" t="s">
        <v>9728</v>
      </c>
      <c r="B5351" s="55" t="s">
        <v>41</v>
      </c>
      <c r="C5351" s="55" t="s">
        <v>9434</v>
      </c>
      <c r="D5351" s="55" t="s">
        <v>9667</v>
      </c>
    </row>
    <row r="5352" ht="14.25" customHeight="1">
      <c r="A5352" s="55" t="s">
        <v>9728</v>
      </c>
      <c r="B5352" s="55" t="s">
        <v>41</v>
      </c>
      <c r="C5352" s="55" t="s">
        <v>9434</v>
      </c>
      <c r="D5352" s="55" t="s">
        <v>10594</v>
      </c>
    </row>
    <row r="5353" ht="14.25" customHeight="1">
      <c r="A5353" s="55" t="s">
        <v>9728</v>
      </c>
      <c r="B5353" s="55" t="s">
        <v>41</v>
      </c>
      <c r="C5353" s="55" t="s">
        <v>9434</v>
      </c>
      <c r="D5353" s="55" t="s">
        <v>13890</v>
      </c>
    </row>
    <row r="5354" ht="14.25" customHeight="1">
      <c r="A5354" s="55" t="s">
        <v>9728</v>
      </c>
      <c r="B5354" s="55" t="s">
        <v>41</v>
      </c>
      <c r="C5354" s="55" t="s">
        <v>9434</v>
      </c>
      <c r="D5354" s="55" t="s">
        <v>9071</v>
      </c>
    </row>
    <row r="5355" ht="14.25" customHeight="1">
      <c r="A5355" s="55" t="s">
        <v>9728</v>
      </c>
      <c r="B5355" s="55" t="s">
        <v>41</v>
      </c>
      <c r="C5355" s="55" t="s">
        <v>9434</v>
      </c>
      <c r="D5355" s="55" t="s">
        <v>12389</v>
      </c>
    </row>
    <row r="5356" ht="14.25" customHeight="1">
      <c r="A5356" s="55" t="s">
        <v>9728</v>
      </c>
      <c r="B5356" s="55" t="s">
        <v>41</v>
      </c>
      <c r="C5356" s="55" t="s">
        <v>9434</v>
      </c>
      <c r="D5356" s="55" t="s">
        <v>9793</v>
      </c>
    </row>
    <row r="5357" ht="14.25" customHeight="1">
      <c r="A5357" s="55" t="s">
        <v>9728</v>
      </c>
      <c r="B5357" s="55" t="s">
        <v>41</v>
      </c>
      <c r="C5357" s="55" t="s">
        <v>9434</v>
      </c>
      <c r="D5357" s="55" t="s">
        <v>9073</v>
      </c>
    </row>
    <row r="5358" ht="14.25" customHeight="1">
      <c r="A5358" s="55" t="s">
        <v>9728</v>
      </c>
      <c r="B5358" s="55" t="s">
        <v>41</v>
      </c>
      <c r="C5358" s="55" t="s">
        <v>9434</v>
      </c>
      <c r="D5358" s="55" t="s">
        <v>9055</v>
      </c>
    </row>
    <row r="5359" ht="14.25" customHeight="1">
      <c r="A5359" s="55" t="s">
        <v>9728</v>
      </c>
      <c r="B5359" s="55" t="s">
        <v>41</v>
      </c>
      <c r="C5359" s="55" t="s">
        <v>9434</v>
      </c>
      <c r="D5359" s="55" t="s">
        <v>9404</v>
      </c>
    </row>
    <row r="5360" ht="14.25" customHeight="1">
      <c r="A5360" s="55" t="s">
        <v>9728</v>
      </c>
      <c r="B5360" s="55" t="s">
        <v>41</v>
      </c>
      <c r="C5360" s="55" t="s">
        <v>9434</v>
      </c>
      <c r="D5360" s="55" t="s">
        <v>13891</v>
      </c>
    </row>
    <row r="5361" ht="14.25" customHeight="1">
      <c r="A5361" s="55" t="s">
        <v>9728</v>
      </c>
      <c r="B5361" s="55" t="s">
        <v>41</v>
      </c>
      <c r="C5361" s="55" t="s">
        <v>9434</v>
      </c>
      <c r="D5361" s="55" t="s">
        <v>11116</v>
      </c>
    </row>
    <row r="5362" ht="14.25" customHeight="1">
      <c r="A5362" s="55" t="s">
        <v>9728</v>
      </c>
      <c r="B5362" s="55" t="s">
        <v>41</v>
      </c>
      <c r="C5362" s="55" t="s">
        <v>9434</v>
      </c>
      <c r="D5362" s="55" t="s">
        <v>13892</v>
      </c>
    </row>
    <row r="5363" ht="14.25" customHeight="1">
      <c r="A5363" s="55" t="s">
        <v>9728</v>
      </c>
      <c r="B5363" s="55" t="s">
        <v>41</v>
      </c>
      <c r="C5363" s="55" t="s">
        <v>9434</v>
      </c>
      <c r="D5363" s="55" t="s">
        <v>9731</v>
      </c>
    </row>
    <row r="5364" ht="14.25" customHeight="1">
      <c r="A5364" s="55" t="s">
        <v>9728</v>
      </c>
      <c r="B5364" s="55" t="s">
        <v>41</v>
      </c>
      <c r="C5364" s="55" t="s">
        <v>9434</v>
      </c>
      <c r="D5364" s="55" t="s">
        <v>11061</v>
      </c>
    </row>
    <row r="5365" ht="14.25" customHeight="1">
      <c r="A5365" s="55" t="s">
        <v>9728</v>
      </c>
      <c r="B5365" s="55" t="s">
        <v>41</v>
      </c>
      <c r="C5365" s="55" t="s">
        <v>9434</v>
      </c>
      <c r="D5365" s="55" t="s">
        <v>12390</v>
      </c>
    </row>
    <row r="5366" ht="14.25" customHeight="1">
      <c r="A5366" s="55" t="s">
        <v>9728</v>
      </c>
      <c r="B5366" s="55" t="s">
        <v>41</v>
      </c>
      <c r="C5366" s="55" t="s">
        <v>9434</v>
      </c>
      <c r="D5366" s="55" t="s">
        <v>11732</v>
      </c>
    </row>
    <row r="5367" ht="14.25" customHeight="1">
      <c r="A5367" s="55" t="s">
        <v>9728</v>
      </c>
      <c r="B5367" s="55" t="s">
        <v>41</v>
      </c>
      <c r="C5367" s="55" t="s">
        <v>9434</v>
      </c>
      <c r="D5367" s="55" t="s">
        <v>12370</v>
      </c>
    </row>
    <row r="5368" ht="14.25" customHeight="1">
      <c r="A5368" s="55" t="s">
        <v>9728</v>
      </c>
      <c r="B5368" s="55" t="s">
        <v>41</v>
      </c>
      <c r="C5368" s="55" t="s">
        <v>10256</v>
      </c>
      <c r="D5368" s="55" t="s">
        <v>10416</v>
      </c>
    </row>
    <row r="5369" ht="14.25" customHeight="1">
      <c r="A5369" s="55" t="s">
        <v>9728</v>
      </c>
      <c r="B5369" s="55" t="s">
        <v>41</v>
      </c>
      <c r="C5369" s="55" t="s">
        <v>10256</v>
      </c>
      <c r="D5369" s="55" t="s">
        <v>9162</v>
      </c>
    </row>
    <row r="5370" ht="14.25" customHeight="1">
      <c r="A5370" s="55" t="s">
        <v>9728</v>
      </c>
      <c r="B5370" s="55" t="s">
        <v>41</v>
      </c>
      <c r="C5370" s="55" t="s">
        <v>10256</v>
      </c>
      <c r="D5370" s="55" t="s">
        <v>9073</v>
      </c>
    </row>
    <row r="5371" ht="14.25" customHeight="1">
      <c r="A5371" s="55" t="s">
        <v>9728</v>
      </c>
      <c r="B5371" s="55" t="s">
        <v>41</v>
      </c>
      <c r="C5371" s="55" t="s">
        <v>10256</v>
      </c>
      <c r="D5371" s="55" t="s">
        <v>9404</v>
      </c>
    </row>
    <row r="5372" ht="14.25" customHeight="1">
      <c r="A5372" s="55" t="s">
        <v>9728</v>
      </c>
      <c r="B5372" s="55" t="s">
        <v>41</v>
      </c>
      <c r="C5372" s="55" t="s">
        <v>12731</v>
      </c>
      <c r="D5372" s="55" t="s">
        <v>13249</v>
      </c>
    </row>
    <row r="5373" ht="14.25" customHeight="1">
      <c r="A5373" s="55" t="s">
        <v>9728</v>
      </c>
      <c r="B5373" s="55" t="s">
        <v>41</v>
      </c>
      <c r="C5373" s="55" t="s">
        <v>12731</v>
      </c>
      <c r="D5373" s="55" t="s">
        <v>14393</v>
      </c>
    </row>
    <row r="5374" ht="14.25" customHeight="1">
      <c r="A5374" s="55" t="s">
        <v>9728</v>
      </c>
      <c r="B5374" s="55" t="s">
        <v>41</v>
      </c>
      <c r="C5374" s="55" t="s">
        <v>9090</v>
      </c>
      <c r="D5374" s="55" t="s">
        <v>11117</v>
      </c>
    </row>
    <row r="5375" ht="14.25" customHeight="1">
      <c r="A5375" s="55" t="s">
        <v>9728</v>
      </c>
      <c r="B5375" s="55" t="s">
        <v>41</v>
      </c>
      <c r="C5375" s="55" t="s">
        <v>9160</v>
      </c>
      <c r="D5375" s="55" t="s">
        <v>9667</v>
      </c>
    </row>
    <row r="5376" ht="14.25" customHeight="1">
      <c r="A5376" s="55" t="s">
        <v>9728</v>
      </c>
      <c r="B5376" s="55" t="s">
        <v>41</v>
      </c>
      <c r="C5376" s="55" t="s">
        <v>13893</v>
      </c>
      <c r="D5376" s="55" t="s">
        <v>13894</v>
      </c>
    </row>
    <row r="5377" ht="14.25" customHeight="1">
      <c r="A5377" s="55" t="s">
        <v>9728</v>
      </c>
      <c r="B5377" s="55" t="s">
        <v>41</v>
      </c>
      <c r="C5377" s="55" t="s">
        <v>11864</v>
      </c>
      <c r="D5377" s="55" t="s">
        <v>13573</v>
      </c>
    </row>
    <row r="5378" ht="14.25" customHeight="1">
      <c r="A5378" s="55" t="s">
        <v>9728</v>
      </c>
      <c r="B5378" s="55" t="s">
        <v>41</v>
      </c>
      <c r="C5378" s="55" t="s">
        <v>271</v>
      </c>
      <c r="D5378" s="55" t="s">
        <v>8968</v>
      </c>
    </row>
    <row r="5379" ht="14.25" customHeight="1">
      <c r="A5379" s="55" t="s">
        <v>9728</v>
      </c>
      <c r="B5379" s="55" t="s">
        <v>41</v>
      </c>
      <c r="C5379" s="55" t="s">
        <v>271</v>
      </c>
      <c r="D5379" s="55" t="s">
        <v>9782</v>
      </c>
    </row>
    <row r="5380" ht="14.25" customHeight="1">
      <c r="A5380" s="55" t="s">
        <v>9728</v>
      </c>
      <c r="B5380" s="55" t="s">
        <v>41</v>
      </c>
      <c r="C5380" s="55" t="s">
        <v>9005</v>
      </c>
      <c r="D5380" s="55" t="s">
        <v>13244</v>
      </c>
    </row>
    <row r="5381" ht="14.25" customHeight="1">
      <c r="A5381" s="55" t="s">
        <v>9728</v>
      </c>
      <c r="B5381" s="55" t="s">
        <v>41</v>
      </c>
      <c r="C5381" s="55" t="s">
        <v>4393</v>
      </c>
      <c r="D5381" s="55" t="s">
        <v>9794</v>
      </c>
    </row>
    <row r="5382" ht="14.25" customHeight="1">
      <c r="A5382" s="55" t="s">
        <v>9728</v>
      </c>
      <c r="B5382" s="55" t="s">
        <v>41</v>
      </c>
      <c r="C5382" s="55" t="s">
        <v>4393</v>
      </c>
      <c r="D5382" s="55" t="s">
        <v>11733</v>
      </c>
    </row>
    <row r="5383" ht="14.25" customHeight="1">
      <c r="A5383" s="55" t="s">
        <v>9728</v>
      </c>
      <c r="B5383" s="55" t="s">
        <v>41</v>
      </c>
      <c r="C5383" s="55" t="s">
        <v>11118</v>
      </c>
      <c r="D5383" s="55" t="s">
        <v>11119</v>
      </c>
    </row>
    <row r="5384" ht="14.25" customHeight="1">
      <c r="A5384" s="55" t="s">
        <v>9728</v>
      </c>
      <c r="B5384" s="55" t="s">
        <v>41</v>
      </c>
      <c r="C5384" s="55" t="s">
        <v>10867</v>
      </c>
      <c r="D5384" s="55" t="s">
        <v>12391</v>
      </c>
    </row>
    <row r="5385" ht="14.25" customHeight="1">
      <c r="A5385" s="55" t="s">
        <v>9728</v>
      </c>
      <c r="B5385" s="55" t="s">
        <v>41</v>
      </c>
      <c r="C5385" s="55" t="s">
        <v>9795</v>
      </c>
      <c r="D5385" s="55" t="s">
        <v>9775</v>
      </c>
    </row>
    <row r="5386" ht="14.25" customHeight="1">
      <c r="A5386" s="55" t="s">
        <v>9728</v>
      </c>
      <c r="B5386" s="55" t="s">
        <v>41</v>
      </c>
      <c r="C5386" s="55" t="s">
        <v>9787</v>
      </c>
      <c r="D5386" s="55" t="s">
        <v>9034</v>
      </c>
    </row>
    <row r="5387" ht="14.25" customHeight="1">
      <c r="A5387" s="55" t="s">
        <v>9728</v>
      </c>
      <c r="B5387" s="55" t="s">
        <v>41</v>
      </c>
      <c r="C5387" s="55" t="s">
        <v>11734</v>
      </c>
      <c r="D5387" s="55" t="s">
        <v>9667</v>
      </c>
    </row>
    <row r="5388" ht="14.25" customHeight="1">
      <c r="A5388" s="55" t="s">
        <v>9728</v>
      </c>
      <c r="B5388" s="55" t="s">
        <v>41</v>
      </c>
      <c r="C5388" s="55" t="s">
        <v>12392</v>
      </c>
      <c r="D5388" s="55" t="s">
        <v>9034</v>
      </c>
    </row>
    <row r="5389" ht="14.25" customHeight="1">
      <c r="A5389" s="55" t="s">
        <v>9728</v>
      </c>
      <c r="B5389" s="55" t="s">
        <v>41</v>
      </c>
      <c r="C5389" s="55" t="s">
        <v>12392</v>
      </c>
      <c r="D5389" s="55" t="s">
        <v>9071</v>
      </c>
    </row>
    <row r="5390" ht="14.25" customHeight="1">
      <c r="A5390" s="55" t="s">
        <v>9728</v>
      </c>
      <c r="B5390" s="55" t="s">
        <v>41</v>
      </c>
      <c r="C5390" s="55" t="s">
        <v>8954</v>
      </c>
      <c r="D5390" s="55" t="s">
        <v>11735</v>
      </c>
    </row>
    <row r="5391" ht="14.25" customHeight="1">
      <c r="A5391" s="55" t="s">
        <v>9728</v>
      </c>
      <c r="B5391" s="55" t="s">
        <v>41</v>
      </c>
      <c r="C5391" s="55" t="s">
        <v>8954</v>
      </c>
      <c r="D5391" s="55" t="s">
        <v>11736</v>
      </c>
    </row>
    <row r="5392" ht="14.25" customHeight="1">
      <c r="A5392" s="55" t="s">
        <v>9728</v>
      </c>
      <c r="B5392" s="55" t="s">
        <v>13</v>
      </c>
      <c r="C5392" s="55" t="s">
        <v>11120</v>
      </c>
      <c r="D5392" s="55" t="s">
        <v>9249</v>
      </c>
    </row>
    <row r="5393" ht="14.25" customHeight="1">
      <c r="A5393" s="55" t="s">
        <v>9728</v>
      </c>
      <c r="B5393" s="55" t="s">
        <v>13</v>
      </c>
      <c r="C5393" s="55" t="s">
        <v>13250</v>
      </c>
      <c r="D5393" s="55" t="s">
        <v>13251</v>
      </c>
    </row>
    <row r="5394" ht="14.25" customHeight="1">
      <c r="A5394" s="55" t="s">
        <v>9728</v>
      </c>
      <c r="B5394" s="55" t="s">
        <v>13</v>
      </c>
      <c r="C5394" s="55" t="s">
        <v>2379</v>
      </c>
      <c r="D5394" s="55" t="s">
        <v>9236</v>
      </c>
    </row>
    <row r="5395" ht="14.25" customHeight="1">
      <c r="A5395" s="55" t="s">
        <v>9728</v>
      </c>
      <c r="B5395" s="55" t="s">
        <v>13</v>
      </c>
      <c r="C5395" s="55" t="s">
        <v>11121</v>
      </c>
      <c r="D5395" s="55" t="s">
        <v>9380</v>
      </c>
    </row>
    <row r="5396" ht="14.25" customHeight="1">
      <c r="A5396" s="55" t="s">
        <v>9728</v>
      </c>
      <c r="B5396" s="55" t="s">
        <v>13</v>
      </c>
      <c r="C5396" s="55" t="s">
        <v>11122</v>
      </c>
      <c r="D5396" s="55" t="s">
        <v>9249</v>
      </c>
    </row>
    <row r="5397" ht="14.25" customHeight="1">
      <c r="A5397" s="55" t="s">
        <v>9728</v>
      </c>
      <c r="B5397" s="55" t="s">
        <v>13</v>
      </c>
      <c r="C5397" s="55" t="s">
        <v>10417</v>
      </c>
      <c r="D5397" s="55" t="s">
        <v>10418</v>
      </c>
    </row>
    <row r="5398" ht="14.25" customHeight="1">
      <c r="A5398" s="55" t="s">
        <v>9728</v>
      </c>
      <c r="B5398" s="55" t="s">
        <v>13</v>
      </c>
      <c r="C5398" s="55" t="s">
        <v>11123</v>
      </c>
      <c r="D5398" s="55" t="s">
        <v>9380</v>
      </c>
    </row>
    <row r="5399" ht="14.25" customHeight="1">
      <c r="A5399" s="55" t="s">
        <v>9728</v>
      </c>
      <c r="B5399" s="55" t="s">
        <v>13</v>
      </c>
      <c r="C5399" s="55" t="s">
        <v>10419</v>
      </c>
      <c r="D5399" s="55" t="s">
        <v>9430</v>
      </c>
    </row>
    <row r="5400" ht="14.25" customHeight="1">
      <c r="A5400" s="55" t="s">
        <v>9728</v>
      </c>
      <c r="B5400" s="55" t="s">
        <v>13</v>
      </c>
      <c r="C5400" s="55" t="s">
        <v>9577</v>
      </c>
      <c r="D5400" s="55" t="s">
        <v>9354</v>
      </c>
    </row>
    <row r="5401" ht="14.25" customHeight="1">
      <c r="A5401" s="55" t="s">
        <v>9728</v>
      </c>
      <c r="B5401" s="55" t="s">
        <v>13</v>
      </c>
      <c r="C5401" s="55" t="s">
        <v>13252</v>
      </c>
      <c r="D5401" s="55" t="s">
        <v>9380</v>
      </c>
    </row>
    <row r="5402" ht="14.25" customHeight="1">
      <c r="A5402" s="55" t="s">
        <v>9728</v>
      </c>
      <c r="B5402" s="55" t="s">
        <v>13</v>
      </c>
      <c r="C5402" s="55" t="s">
        <v>11124</v>
      </c>
      <c r="D5402" s="55" t="s">
        <v>11125</v>
      </c>
    </row>
    <row r="5403" ht="14.25" customHeight="1">
      <c r="A5403" s="55" t="s">
        <v>9728</v>
      </c>
      <c r="B5403" s="55" t="s">
        <v>13</v>
      </c>
      <c r="C5403" s="55" t="s">
        <v>11126</v>
      </c>
      <c r="D5403" s="55" t="s">
        <v>10608</v>
      </c>
    </row>
    <row r="5404" ht="14.25" customHeight="1">
      <c r="A5404" s="55" t="s">
        <v>9728</v>
      </c>
      <c r="B5404" s="55" t="s">
        <v>13</v>
      </c>
      <c r="C5404" s="55" t="s">
        <v>9090</v>
      </c>
      <c r="D5404" s="55" t="s">
        <v>9174</v>
      </c>
    </row>
    <row r="5405" ht="14.25" customHeight="1">
      <c r="A5405" s="55" t="s">
        <v>9728</v>
      </c>
      <c r="B5405" s="55" t="s">
        <v>13</v>
      </c>
      <c r="C5405" s="55" t="s">
        <v>9090</v>
      </c>
      <c r="D5405" s="55" t="s">
        <v>13895</v>
      </c>
    </row>
    <row r="5406" ht="14.25" customHeight="1">
      <c r="A5406" s="55" t="s">
        <v>9728</v>
      </c>
      <c r="B5406" s="55" t="s">
        <v>13</v>
      </c>
      <c r="C5406" s="55" t="s">
        <v>9090</v>
      </c>
      <c r="D5406" s="55" t="s">
        <v>10794</v>
      </c>
    </row>
    <row r="5407" ht="14.25" customHeight="1">
      <c r="A5407" s="55" t="s">
        <v>9728</v>
      </c>
      <c r="B5407" s="55" t="s">
        <v>13</v>
      </c>
      <c r="C5407" s="55" t="s">
        <v>13896</v>
      </c>
      <c r="D5407" s="55" t="s">
        <v>13897</v>
      </c>
    </row>
    <row r="5408" ht="14.25" customHeight="1">
      <c r="A5408" s="55" t="s">
        <v>9728</v>
      </c>
      <c r="B5408" s="55" t="s">
        <v>13</v>
      </c>
      <c r="C5408" s="55" t="s">
        <v>13898</v>
      </c>
      <c r="D5408" s="55" t="s">
        <v>13899</v>
      </c>
    </row>
    <row r="5409" ht="14.25" customHeight="1">
      <c r="A5409" s="55" t="s">
        <v>9728</v>
      </c>
      <c r="B5409" s="55" t="s">
        <v>13</v>
      </c>
      <c r="C5409" s="55" t="s">
        <v>13900</v>
      </c>
      <c r="D5409" s="55" t="s">
        <v>9028</v>
      </c>
    </row>
    <row r="5410" ht="14.25" customHeight="1">
      <c r="A5410" s="55" t="s">
        <v>9728</v>
      </c>
      <c r="B5410" s="55" t="s">
        <v>13</v>
      </c>
      <c r="C5410" s="55" t="s">
        <v>10201</v>
      </c>
      <c r="D5410" s="55" t="s">
        <v>12387</v>
      </c>
    </row>
    <row r="5411" ht="14.25" customHeight="1">
      <c r="A5411" s="55" t="s">
        <v>9796</v>
      </c>
      <c r="B5411" s="55" t="s">
        <v>40</v>
      </c>
      <c r="C5411" s="55" t="s">
        <v>2301</v>
      </c>
      <c r="D5411" s="55" t="s">
        <v>9075</v>
      </c>
    </row>
    <row r="5412" ht="14.25" customHeight="1">
      <c r="A5412" s="55" t="s">
        <v>9796</v>
      </c>
      <c r="B5412" s="55" t="s">
        <v>40</v>
      </c>
      <c r="C5412" s="55" t="s">
        <v>10420</v>
      </c>
      <c r="D5412" s="55" t="s">
        <v>9922</v>
      </c>
    </row>
    <row r="5413" ht="14.25" customHeight="1">
      <c r="A5413" s="55" t="s">
        <v>9796</v>
      </c>
      <c r="B5413" s="55" t="s">
        <v>40</v>
      </c>
      <c r="C5413" s="55" t="s">
        <v>13253</v>
      </c>
      <c r="D5413" s="55" t="s">
        <v>9236</v>
      </c>
    </row>
    <row r="5414" ht="14.25" customHeight="1">
      <c r="A5414" s="55" t="s">
        <v>9796</v>
      </c>
      <c r="B5414" s="55" t="s">
        <v>40</v>
      </c>
      <c r="C5414" s="55" t="s">
        <v>8969</v>
      </c>
      <c r="D5414" s="55" t="s">
        <v>12393</v>
      </c>
    </row>
    <row r="5415" ht="14.25" customHeight="1">
      <c r="A5415" s="55" t="s">
        <v>9796</v>
      </c>
      <c r="B5415" s="55" t="s">
        <v>40</v>
      </c>
      <c r="C5415" s="55" t="s">
        <v>8969</v>
      </c>
      <c r="D5415" s="55" t="s">
        <v>10189</v>
      </c>
    </row>
    <row r="5416" ht="14.25" customHeight="1">
      <c r="A5416" s="55" t="s">
        <v>9796</v>
      </c>
      <c r="B5416" s="55" t="s">
        <v>40</v>
      </c>
      <c r="C5416" s="55" t="s">
        <v>78</v>
      </c>
      <c r="D5416" s="55" t="s">
        <v>12394</v>
      </c>
    </row>
    <row r="5417" ht="14.25" customHeight="1">
      <c r="A5417" s="55" t="s">
        <v>9796</v>
      </c>
      <c r="B5417" s="55" t="s">
        <v>40</v>
      </c>
      <c r="C5417" s="55" t="s">
        <v>9261</v>
      </c>
      <c r="D5417" s="55" t="s">
        <v>9797</v>
      </c>
    </row>
    <row r="5418" ht="14.25" customHeight="1">
      <c r="A5418" s="55" t="s">
        <v>9796</v>
      </c>
      <c r="B5418" s="55" t="s">
        <v>40</v>
      </c>
      <c r="C5418" s="55" t="s">
        <v>11737</v>
      </c>
      <c r="D5418" s="55" t="s">
        <v>11738</v>
      </c>
    </row>
    <row r="5419" ht="14.25" customHeight="1">
      <c r="A5419" s="55" t="s">
        <v>9796</v>
      </c>
      <c r="B5419" s="55" t="s">
        <v>40</v>
      </c>
      <c r="C5419" s="55" t="s">
        <v>916</v>
      </c>
      <c r="D5419" s="55" t="s">
        <v>9028</v>
      </c>
    </row>
    <row r="5420" ht="14.25" customHeight="1">
      <c r="A5420" s="55" t="s">
        <v>9796</v>
      </c>
      <c r="B5420" s="55" t="s">
        <v>40</v>
      </c>
      <c r="C5420" s="55" t="s">
        <v>6182</v>
      </c>
      <c r="D5420" s="55" t="s">
        <v>9266</v>
      </c>
    </row>
    <row r="5421" ht="14.25" customHeight="1">
      <c r="A5421" s="55" t="s">
        <v>9796</v>
      </c>
      <c r="B5421" s="55" t="s">
        <v>40</v>
      </c>
      <c r="C5421" s="55" t="s">
        <v>9374</v>
      </c>
      <c r="D5421" s="55" t="s">
        <v>8978</v>
      </c>
    </row>
    <row r="5422" ht="14.25" customHeight="1">
      <c r="A5422" s="55" t="s">
        <v>9796</v>
      </c>
      <c r="B5422" s="55" t="s">
        <v>40</v>
      </c>
      <c r="C5422" s="55" t="s">
        <v>3499</v>
      </c>
      <c r="D5422" s="55" t="s">
        <v>13254</v>
      </c>
    </row>
    <row r="5423" ht="14.25" customHeight="1">
      <c r="A5423" s="55" t="s">
        <v>9796</v>
      </c>
      <c r="B5423" s="55" t="s">
        <v>40</v>
      </c>
      <c r="C5423" s="55" t="s">
        <v>170</v>
      </c>
      <c r="D5423" s="55" t="s">
        <v>9028</v>
      </c>
    </row>
    <row r="5424" ht="14.25" customHeight="1">
      <c r="A5424" s="55" t="s">
        <v>9796</v>
      </c>
      <c r="B5424" s="55" t="s">
        <v>40</v>
      </c>
      <c r="C5424" s="55" t="s">
        <v>170</v>
      </c>
      <c r="D5424" s="55" t="s">
        <v>9525</v>
      </c>
    </row>
    <row r="5425" ht="14.25" customHeight="1">
      <c r="A5425" s="55" t="s">
        <v>9796</v>
      </c>
      <c r="B5425" s="55" t="s">
        <v>40</v>
      </c>
      <c r="C5425" s="55" t="s">
        <v>11612</v>
      </c>
      <c r="D5425" s="55" t="s">
        <v>10486</v>
      </c>
    </row>
    <row r="5426" ht="14.25" customHeight="1">
      <c r="A5426" s="55" t="s">
        <v>9796</v>
      </c>
      <c r="B5426" s="55" t="s">
        <v>40</v>
      </c>
      <c r="C5426" s="55" t="s">
        <v>3566</v>
      </c>
      <c r="D5426" s="55" t="s">
        <v>9798</v>
      </c>
    </row>
    <row r="5427" ht="14.25" customHeight="1">
      <c r="A5427" s="55" t="s">
        <v>9796</v>
      </c>
      <c r="B5427" s="55" t="s">
        <v>40</v>
      </c>
      <c r="C5427" s="55" t="s">
        <v>3596</v>
      </c>
      <c r="D5427" s="55" t="s">
        <v>11739</v>
      </c>
    </row>
    <row r="5428" ht="14.25" customHeight="1">
      <c r="A5428" s="55" t="s">
        <v>9796</v>
      </c>
      <c r="B5428" s="55" t="s">
        <v>40</v>
      </c>
      <c r="C5428" s="55" t="s">
        <v>9277</v>
      </c>
      <c r="D5428" s="55" t="s">
        <v>9574</v>
      </c>
    </row>
    <row r="5429" ht="14.25" customHeight="1">
      <c r="A5429" s="55" t="s">
        <v>9796</v>
      </c>
      <c r="B5429" s="55" t="s">
        <v>40</v>
      </c>
      <c r="C5429" s="55" t="s">
        <v>9277</v>
      </c>
      <c r="D5429" s="55" t="s">
        <v>8978</v>
      </c>
    </row>
    <row r="5430" ht="14.25" customHeight="1">
      <c r="A5430" s="55" t="s">
        <v>9796</v>
      </c>
      <c r="B5430" s="55" t="s">
        <v>40</v>
      </c>
      <c r="C5430" s="55" t="s">
        <v>3984</v>
      </c>
      <c r="D5430" s="55" t="s">
        <v>10463</v>
      </c>
    </row>
    <row r="5431" ht="14.25" customHeight="1">
      <c r="A5431" s="55" t="s">
        <v>9796</v>
      </c>
      <c r="B5431" s="55" t="s">
        <v>40</v>
      </c>
      <c r="C5431" s="55" t="s">
        <v>9799</v>
      </c>
      <c r="D5431" s="55" t="s">
        <v>9800</v>
      </c>
    </row>
    <row r="5432" ht="14.25" customHeight="1">
      <c r="A5432" s="55" t="s">
        <v>9796</v>
      </c>
      <c r="B5432" s="55" t="s">
        <v>40</v>
      </c>
      <c r="C5432" s="55" t="s">
        <v>12395</v>
      </c>
      <c r="D5432" s="55" t="s">
        <v>12396</v>
      </c>
    </row>
    <row r="5433" ht="14.25" customHeight="1">
      <c r="A5433" s="55" t="s">
        <v>9796</v>
      </c>
      <c r="B5433" s="55" t="s">
        <v>40</v>
      </c>
      <c r="C5433" s="55" t="s">
        <v>9005</v>
      </c>
      <c r="D5433" s="55" t="s">
        <v>9006</v>
      </c>
    </row>
    <row r="5434" ht="14.25" customHeight="1">
      <c r="A5434" s="55" t="s">
        <v>9796</v>
      </c>
      <c r="B5434" s="55" t="s">
        <v>40</v>
      </c>
      <c r="C5434" s="55" t="s">
        <v>12397</v>
      </c>
      <c r="D5434" s="55" t="s">
        <v>11538</v>
      </c>
    </row>
    <row r="5435" ht="14.25" customHeight="1">
      <c r="A5435" s="55" t="s">
        <v>9796</v>
      </c>
      <c r="B5435" s="55" t="s">
        <v>41</v>
      </c>
      <c r="C5435" s="55" t="s">
        <v>8975</v>
      </c>
      <c r="D5435" s="55" t="s">
        <v>13901</v>
      </c>
    </row>
    <row r="5436" ht="14.25" customHeight="1">
      <c r="A5436" s="55" t="s">
        <v>9796</v>
      </c>
      <c r="B5436" s="55" t="s">
        <v>41</v>
      </c>
      <c r="C5436" s="55" t="s">
        <v>14071</v>
      </c>
      <c r="D5436" s="55" t="s">
        <v>11793</v>
      </c>
    </row>
    <row r="5437" ht="14.25" customHeight="1">
      <c r="A5437" s="55" t="s">
        <v>9796</v>
      </c>
      <c r="B5437" s="55" t="s">
        <v>13</v>
      </c>
      <c r="C5437" s="55" t="s">
        <v>9458</v>
      </c>
      <c r="D5437" s="55" t="s">
        <v>9332</v>
      </c>
    </row>
    <row r="5438" ht="14.25" customHeight="1">
      <c r="A5438" s="55" t="s">
        <v>9796</v>
      </c>
      <c r="B5438" s="55" t="s">
        <v>13</v>
      </c>
      <c r="C5438" s="55" t="s">
        <v>9801</v>
      </c>
      <c r="D5438" s="55" t="s">
        <v>9802</v>
      </c>
    </row>
    <row r="5439" ht="14.25" customHeight="1">
      <c r="A5439" s="55" t="s">
        <v>9796</v>
      </c>
      <c r="B5439" s="55" t="s">
        <v>13</v>
      </c>
      <c r="C5439" s="55" t="s">
        <v>9803</v>
      </c>
      <c r="D5439" s="55" t="s">
        <v>9242</v>
      </c>
    </row>
    <row r="5440" ht="14.25" customHeight="1">
      <c r="A5440" s="55" t="s">
        <v>9796</v>
      </c>
      <c r="B5440" s="55" t="s">
        <v>13</v>
      </c>
      <c r="C5440" s="55" t="s">
        <v>12398</v>
      </c>
      <c r="D5440" s="55" t="s">
        <v>9034</v>
      </c>
    </row>
    <row r="5441" ht="14.25" customHeight="1">
      <c r="A5441" s="55" t="s">
        <v>9796</v>
      </c>
      <c r="B5441" s="55" t="s">
        <v>13</v>
      </c>
      <c r="C5441" s="55" t="s">
        <v>9804</v>
      </c>
      <c r="D5441" s="55" t="s">
        <v>9805</v>
      </c>
    </row>
    <row r="5442" ht="14.25" customHeight="1">
      <c r="A5442" s="55" t="s">
        <v>9796</v>
      </c>
      <c r="B5442" s="55" t="s">
        <v>13</v>
      </c>
      <c r="C5442" s="55" t="s">
        <v>9577</v>
      </c>
      <c r="D5442" s="55" t="s">
        <v>9050</v>
      </c>
    </row>
    <row r="5443" ht="14.25" customHeight="1">
      <c r="A5443" s="55" t="s">
        <v>9796</v>
      </c>
      <c r="B5443" s="55" t="s">
        <v>13</v>
      </c>
      <c r="C5443" s="55" t="s">
        <v>13255</v>
      </c>
      <c r="D5443" s="55" t="s">
        <v>13256</v>
      </c>
    </row>
    <row r="5444" ht="14.25" customHeight="1">
      <c r="A5444" s="55" t="s">
        <v>9796</v>
      </c>
      <c r="B5444" s="55" t="s">
        <v>13</v>
      </c>
      <c r="C5444" s="55" t="s">
        <v>12399</v>
      </c>
      <c r="D5444" s="55" t="s">
        <v>9380</v>
      </c>
    </row>
    <row r="5445" ht="14.25" customHeight="1">
      <c r="A5445" s="55" t="s">
        <v>9806</v>
      </c>
      <c r="B5445" s="55" t="s">
        <v>40</v>
      </c>
      <c r="C5445" s="55" t="s">
        <v>9034</v>
      </c>
      <c r="D5445" s="55" t="s">
        <v>9071</v>
      </c>
    </row>
    <row r="5446" ht="14.25" customHeight="1">
      <c r="A5446" s="55" t="s">
        <v>9806</v>
      </c>
      <c r="B5446" s="55" t="s">
        <v>40</v>
      </c>
      <c r="C5446" s="55" t="s">
        <v>14394</v>
      </c>
      <c r="D5446" s="55" t="s">
        <v>14395</v>
      </c>
    </row>
    <row r="5447" ht="14.25" customHeight="1">
      <c r="A5447" s="55" t="s">
        <v>9806</v>
      </c>
      <c r="B5447" s="55" t="s">
        <v>40</v>
      </c>
      <c r="C5447" s="55" t="s">
        <v>9597</v>
      </c>
      <c r="D5447" s="55" t="s">
        <v>10576</v>
      </c>
    </row>
    <row r="5448" ht="14.25" customHeight="1">
      <c r="A5448" s="55" t="s">
        <v>9806</v>
      </c>
      <c r="B5448" s="55" t="s">
        <v>40</v>
      </c>
      <c r="C5448" s="55" t="s">
        <v>9597</v>
      </c>
      <c r="D5448" s="55" t="s">
        <v>14396</v>
      </c>
    </row>
    <row r="5449" ht="14.25" customHeight="1">
      <c r="A5449" s="55" t="s">
        <v>9806</v>
      </c>
      <c r="B5449" s="55" t="s">
        <v>40</v>
      </c>
      <c r="C5449" s="55" t="s">
        <v>14397</v>
      </c>
      <c r="D5449" s="55" t="s">
        <v>9131</v>
      </c>
    </row>
    <row r="5450" ht="14.25" customHeight="1">
      <c r="A5450" s="55" t="s">
        <v>9806</v>
      </c>
      <c r="B5450" s="55" t="s">
        <v>40</v>
      </c>
      <c r="C5450" s="55" t="s">
        <v>13257</v>
      </c>
      <c r="D5450" s="55" t="s">
        <v>8978</v>
      </c>
    </row>
    <row r="5451" ht="14.25" customHeight="1">
      <c r="A5451" s="55" t="s">
        <v>9806</v>
      </c>
      <c r="B5451" s="55" t="s">
        <v>40</v>
      </c>
      <c r="C5451" s="55" t="s">
        <v>14398</v>
      </c>
      <c r="D5451" s="55" t="s">
        <v>14399</v>
      </c>
    </row>
    <row r="5452" ht="14.25" customHeight="1">
      <c r="A5452" s="55" t="s">
        <v>9806</v>
      </c>
      <c r="B5452" s="55" t="s">
        <v>40</v>
      </c>
      <c r="C5452" s="55" t="s">
        <v>13258</v>
      </c>
      <c r="D5452" s="55" t="s">
        <v>9028</v>
      </c>
    </row>
    <row r="5453" ht="14.25" customHeight="1">
      <c r="A5453" s="55" t="s">
        <v>9806</v>
      </c>
      <c r="B5453" s="55" t="s">
        <v>40</v>
      </c>
      <c r="C5453" s="55" t="s">
        <v>12400</v>
      </c>
      <c r="D5453" s="55" t="s">
        <v>9071</v>
      </c>
    </row>
    <row r="5454" ht="14.25" customHeight="1">
      <c r="A5454" s="55" t="s">
        <v>9806</v>
      </c>
      <c r="B5454" s="55" t="s">
        <v>40</v>
      </c>
      <c r="C5454" s="55" t="s">
        <v>14400</v>
      </c>
      <c r="D5454" s="55" t="s">
        <v>9071</v>
      </c>
    </row>
    <row r="5455" ht="14.25" customHeight="1">
      <c r="A5455" s="55" t="s">
        <v>9806</v>
      </c>
      <c r="B5455" s="55" t="s">
        <v>40</v>
      </c>
      <c r="C5455" s="55" t="s">
        <v>14084</v>
      </c>
      <c r="D5455" s="55" t="s">
        <v>14401</v>
      </c>
    </row>
    <row r="5456" ht="14.25" customHeight="1">
      <c r="A5456" s="55" t="s">
        <v>9806</v>
      </c>
      <c r="B5456" s="55" t="s">
        <v>40</v>
      </c>
      <c r="C5456" s="55" t="s">
        <v>8969</v>
      </c>
      <c r="D5456" s="55" t="s">
        <v>14402</v>
      </c>
    </row>
    <row r="5457" ht="14.25" customHeight="1">
      <c r="A5457" s="55" t="s">
        <v>9806</v>
      </c>
      <c r="B5457" s="55" t="s">
        <v>40</v>
      </c>
      <c r="C5457" s="55" t="s">
        <v>8969</v>
      </c>
      <c r="D5457" s="55" t="s">
        <v>14403</v>
      </c>
    </row>
    <row r="5458" ht="14.25" customHeight="1">
      <c r="A5458" s="55" t="s">
        <v>9806</v>
      </c>
      <c r="B5458" s="55" t="s">
        <v>40</v>
      </c>
      <c r="C5458" s="55" t="s">
        <v>9807</v>
      </c>
      <c r="D5458" s="55" t="s">
        <v>9034</v>
      </c>
    </row>
    <row r="5459" ht="14.25" customHeight="1">
      <c r="A5459" s="55" t="s">
        <v>9806</v>
      </c>
      <c r="B5459" s="55" t="s">
        <v>40</v>
      </c>
      <c r="C5459" s="55" t="s">
        <v>10421</v>
      </c>
      <c r="D5459" s="55" t="s">
        <v>9071</v>
      </c>
    </row>
    <row r="5460" ht="14.25" customHeight="1">
      <c r="A5460" s="55" t="s">
        <v>9806</v>
      </c>
      <c r="B5460" s="55" t="s">
        <v>40</v>
      </c>
      <c r="C5460" s="55" t="s">
        <v>2408</v>
      </c>
      <c r="D5460" s="55" t="s">
        <v>9034</v>
      </c>
    </row>
    <row r="5461" ht="14.25" customHeight="1">
      <c r="A5461" s="55" t="s">
        <v>9806</v>
      </c>
      <c r="B5461" s="55" t="s">
        <v>40</v>
      </c>
      <c r="C5461" s="55" t="s">
        <v>2408</v>
      </c>
      <c r="D5461" s="55" t="s">
        <v>11127</v>
      </c>
    </row>
    <row r="5462" ht="14.25" customHeight="1">
      <c r="A5462" s="55" t="s">
        <v>9806</v>
      </c>
      <c r="B5462" s="55" t="s">
        <v>40</v>
      </c>
      <c r="C5462" s="55" t="s">
        <v>9172</v>
      </c>
      <c r="D5462" s="55" t="s">
        <v>9028</v>
      </c>
    </row>
    <row r="5463" ht="14.25" customHeight="1">
      <c r="A5463" s="55" t="s">
        <v>9806</v>
      </c>
      <c r="B5463" s="55" t="s">
        <v>40</v>
      </c>
      <c r="C5463" s="55" t="s">
        <v>9808</v>
      </c>
      <c r="D5463" s="55" t="s">
        <v>9028</v>
      </c>
    </row>
    <row r="5464" ht="14.25" customHeight="1">
      <c r="A5464" s="55" t="s">
        <v>9806</v>
      </c>
      <c r="B5464" s="55" t="s">
        <v>40</v>
      </c>
      <c r="C5464" s="55" t="s">
        <v>9809</v>
      </c>
      <c r="D5464" s="55" t="s">
        <v>8968</v>
      </c>
    </row>
    <row r="5465" ht="14.25" customHeight="1">
      <c r="A5465" s="55" t="s">
        <v>9806</v>
      </c>
      <c r="B5465" s="55" t="s">
        <v>40</v>
      </c>
      <c r="C5465" s="55" t="s">
        <v>14404</v>
      </c>
      <c r="D5465" s="55" t="s">
        <v>9168</v>
      </c>
    </row>
    <row r="5466" ht="14.25" customHeight="1">
      <c r="A5466" s="55" t="s">
        <v>9806</v>
      </c>
      <c r="B5466" s="55" t="s">
        <v>40</v>
      </c>
      <c r="C5466" s="55" t="s">
        <v>10307</v>
      </c>
      <c r="D5466" s="55" t="s">
        <v>9291</v>
      </c>
    </row>
    <row r="5467" ht="14.25" customHeight="1">
      <c r="A5467" s="55" t="s">
        <v>9806</v>
      </c>
      <c r="B5467" s="55" t="s">
        <v>40</v>
      </c>
      <c r="C5467" s="55" t="s">
        <v>11373</v>
      </c>
      <c r="D5467" s="55" t="s">
        <v>9109</v>
      </c>
    </row>
    <row r="5468" ht="14.25" customHeight="1">
      <c r="A5468" s="55" t="s">
        <v>9806</v>
      </c>
      <c r="B5468" s="55" t="s">
        <v>40</v>
      </c>
      <c r="C5468" s="55" t="s">
        <v>11373</v>
      </c>
      <c r="D5468" s="55" t="s">
        <v>9131</v>
      </c>
    </row>
    <row r="5469" ht="14.25" customHeight="1">
      <c r="A5469" s="55" t="s">
        <v>9806</v>
      </c>
      <c r="B5469" s="55" t="s">
        <v>40</v>
      </c>
      <c r="C5469" s="55" t="s">
        <v>2494</v>
      </c>
      <c r="D5469" s="55" t="s">
        <v>11128</v>
      </c>
    </row>
    <row r="5470" ht="14.25" customHeight="1">
      <c r="A5470" s="55" t="s">
        <v>9806</v>
      </c>
      <c r="B5470" s="55" t="s">
        <v>40</v>
      </c>
      <c r="C5470" s="55" t="s">
        <v>9810</v>
      </c>
      <c r="D5470" s="55" t="s">
        <v>9071</v>
      </c>
    </row>
    <row r="5471" ht="14.25" customHeight="1">
      <c r="A5471" s="55" t="s">
        <v>9806</v>
      </c>
      <c r="B5471" s="55" t="s">
        <v>40</v>
      </c>
      <c r="C5471" s="55" t="s">
        <v>9810</v>
      </c>
      <c r="D5471" s="55" t="s">
        <v>14405</v>
      </c>
    </row>
    <row r="5472" ht="14.25" customHeight="1">
      <c r="A5472" s="55" t="s">
        <v>9806</v>
      </c>
      <c r="B5472" s="55" t="s">
        <v>40</v>
      </c>
      <c r="C5472" s="55" t="s">
        <v>9810</v>
      </c>
      <c r="D5472" s="55" t="s">
        <v>9404</v>
      </c>
    </row>
    <row r="5473" ht="14.25" customHeight="1">
      <c r="A5473" s="55" t="s">
        <v>9806</v>
      </c>
      <c r="B5473" s="55" t="s">
        <v>40</v>
      </c>
      <c r="C5473" s="55" t="s">
        <v>8974</v>
      </c>
      <c r="D5473" s="55" t="s">
        <v>8973</v>
      </c>
    </row>
    <row r="5474" ht="14.25" customHeight="1">
      <c r="A5474" s="55" t="s">
        <v>9806</v>
      </c>
      <c r="B5474" s="55" t="s">
        <v>40</v>
      </c>
      <c r="C5474" s="55" t="s">
        <v>8974</v>
      </c>
      <c r="D5474" s="55" t="s">
        <v>9071</v>
      </c>
    </row>
    <row r="5475" ht="14.25" customHeight="1">
      <c r="A5475" s="55" t="s">
        <v>9806</v>
      </c>
      <c r="B5475" s="55" t="s">
        <v>40</v>
      </c>
      <c r="C5475" s="55" t="s">
        <v>12401</v>
      </c>
      <c r="D5475" s="55" t="s">
        <v>9649</v>
      </c>
    </row>
    <row r="5476" ht="14.25" customHeight="1">
      <c r="A5476" s="55" t="s">
        <v>9806</v>
      </c>
      <c r="B5476" s="55" t="s">
        <v>40</v>
      </c>
      <c r="C5476" s="55" t="s">
        <v>13200</v>
      </c>
      <c r="D5476" s="55" t="s">
        <v>13201</v>
      </c>
    </row>
    <row r="5477" ht="14.25" customHeight="1">
      <c r="A5477" s="55" t="s">
        <v>9806</v>
      </c>
      <c r="B5477" s="55" t="s">
        <v>40</v>
      </c>
      <c r="C5477" s="55" t="s">
        <v>81</v>
      </c>
      <c r="D5477" s="55" t="s">
        <v>9028</v>
      </c>
    </row>
    <row r="5478" ht="14.25" customHeight="1">
      <c r="A5478" s="55" t="s">
        <v>9806</v>
      </c>
      <c r="B5478" s="55" t="s">
        <v>40</v>
      </c>
      <c r="C5478" s="55" t="s">
        <v>11129</v>
      </c>
      <c r="D5478" s="55" t="s">
        <v>10514</v>
      </c>
    </row>
    <row r="5479" ht="14.25" customHeight="1">
      <c r="A5479" s="55" t="s">
        <v>9806</v>
      </c>
      <c r="B5479" s="55" t="s">
        <v>40</v>
      </c>
      <c r="C5479" s="55" t="s">
        <v>9811</v>
      </c>
      <c r="D5479" s="55" t="s">
        <v>9812</v>
      </c>
    </row>
    <row r="5480" ht="14.25" customHeight="1">
      <c r="A5480" s="55" t="s">
        <v>9806</v>
      </c>
      <c r="B5480" s="55" t="s">
        <v>40</v>
      </c>
      <c r="C5480" s="55" t="s">
        <v>294</v>
      </c>
      <c r="D5480" s="55" t="s">
        <v>9813</v>
      </c>
    </row>
    <row r="5481" ht="14.25" customHeight="1">
      <c r="A5481" s="55" t="s">
        <v>9806</v>
      </c>
      <c r="B5481" s="55" t="s">
        <v>40</v>
      </c>
      <c r="C5481" s="55" t="s">
        <v>10422</v>
      </c>
      <c r="D5481" s="55" t="s">
        <v>10423</v>
      </c>
    </row>
    <row r="5482" ht="14.25" customHeight="1">
      <c r="A5482" s="55" t="s">
        <v>9806</v>
      </c>
      <c r="B5482" s="55" t="s">
        <v>40</v>
      </c>
      <c r="C5482" s="55" t="s">
        <v>10885</v>
      </c>
      <c r="D5482" s="55" t="s">
        <v>11130</v>
      </c>
    </row>
    <row r="5483" ht="14.25" customHeight="1">
      <c r="A5483" s="55" t="s">
        <v>9806</v>
      </c>
      <c r="B5483" s="55" t="s">
        <v>40</v>
      </c>
      <c r="C5483" s="55" t="s">
        <v>11131</v>
      </c>
      <c r="D5483" s="55" t="s">
        <v>11132</v>
      </c>
    </row>
    <row r="5484" ht="14.25" customHeight="1">
      <c r="A5484" s="55" t="s">
        <v>9806</v>
      </c>
      <c r="B5484" s="55" t="s">
        <v>40</v>
      </c>
      <c r="C5484" s="55" t="s">
        <v>6057</v>
      </c>
      <c r="D5484" s="55" t="s">
        <v>9028</v>
      </c>
    </row>
    <row r="5485" ht="14.25" customHeight="1">
      <c r="A5485" s="55" t="s">
        <v>9806</v>
      </c>
      <c r="B5485" s="55" t="s">
        <v>40</v>
      </c>
      <c r="C5485" s="55" t="s">
        <v>2780</v>
      </c>
      <c r="D5485" s="55" t="s">
        <v>9071</v>
      </c>
    </row>
    <row r="5486" ht="14.25" customHeight="1">
      <c r="A5486" s="55" t="s">
        <v>9806</v>
      </c>
      <c r="B5486" s="55" t="s">
        <v>40</v>
      </c>
      <c r="C5486" s="55" t="s">
        <v>11133</v>
      </c>
      <c r="D5486" s="55" t="s">
        <v>9131</v>
      </c>
    </row>
    <row r="5487" ht="14.25" customHeight="1">
      <c r="A5487" s="55" t="s">
        <v>9806</v>
      </c>
      <c r="B5487" s="55" t="s">
        <v>40</v>
      </c>
      <c r="C5487" s="55" t="s">
        <v>10962</v>
      </c>
      <c r="D5487" s="55" t="s">
        <v>9131</v>
      </c>
    </row>
    <row r="5488" ht="14.25" customHeight="1">
      <c r="A5488" s="55" t="s">
        <v>9806</v>
      </c>
      <c r="B5488" s="55" t="s">
        <v>40</v>
      </c>
      <c r="C5488" s="55" t="s">
        <v>10962</v>
      </c>
      <c r="D5488" s="55" t="s">
        <v>9002</v>
      </c>
    </row>
    <row r="5489" ht="14.25" customHeight="1">
      <c r="A5489" s="55" t="s">
        <v>9806</v>
      </c>
      <c r="B5489" s="55" t="s">
        <v>40</v>
      </c>
      <c r="C5489" s="55" t="s">
        <v>10962</v>
      </c>
      <c r="D5489" s="55" t="s">
        <v>9404</v>
      </c>
    </row>
    <row r="5490" ht="14.25" customHeight="1">
      <c r="A5490" s="55" t="s">
        <v>9806</v>
      </c>
      <c r="B5490" s="55" t="s">
        <v>40</v>
      </c>
      <c r="C5490" s="55" t="s">
        <v>10424</v>
      </c>
      <c r="D5490" s="55" t="s">
        <v>9755</v>
      </c>
    </row>
    <row r="5491" ht="14.25" customHeight="1">
      <c r="A5491" s="55" t="s">
        <v>9806</v>
      </c>
      <c r="B5491" s="55" t="s">
        <v>40</v>
      </c>
      <c r="C5491" s="55" t="s">
        <v>10424</v>
      </c>
      <c r="D5491" s="55" t="s">
        <v>9152</v>
      </c>
    </row>
    <row r="5492" ht="14.25" customHeight="1">
      <c r="A5492" s="55" t="s">
        <v>9806</v>
      </c>
      <c r="B5492" s="55" t="s">
        <v>40</v>
      </c>
      <c r="C5492" s="55" t="s">
        <v>13259</v>
      </c>
      <c r="D5492" s="55" t="s">
        <v>9131</v>
      </c>
    </row>
    <row r="5493" ht="14.25" customHeight="1">
      <c r="A5493" s="55" t="s">
        <v>9806</v>
      </c>
      <c r="B5493" s="55" t="s">
        <v>40</v>
      </c>
      <c r="C5493" s="55" t="s">
        <v>13260</v>
      </c>
      <c r="D5493" s="55" t="s">
        <v>9649</v>
      </c>
    </row>
    <row r="5494" ht="14.25" customHeight="1">
      <c r="A5494" s="55" t="s">
        <v>9806</v>
      </c>
      <c r="B5494" s="55" t="s">
        <v>40</v>
      </c>
      <c r="C5494" s="55" t="s">
        <v>112</v>
      </c>
      <c r="D5494" s="55" t="s">
        <v>9216</v>
      </c>
    </row>
    <row r="5495" ht="14.25" customHeight="1">
      <c r="A5495" s="55" t="s">
        <v>9806</v>
      </c>
      <c r="B5495" s="55" t="s">
        <v>40</v>
      </c>
      <c r="C5495" s="55" t="s">
        <v>9748</v>
      </c>
      <c r="D5495" s="55" t="s">
        <v>9028</v>
      </c>
    </row>
    <row r="5496" ht="14.25" customHeight="1">
      <c r="A5496" s="55" t="s">
        <v>9806</v>
      </c>
      <c r="B5496" s="55" t="s">
        <v>40</v>
      </c>
      <c r="C5496" s="55" t="s">
        <v>2928</v>
      </c>
      <c r="D5496" s="55" t="s">
        <v>11740</v>
      </c>
    </row>
    <row r="5497" ht="14.25" customHeight="1">
      <c r="A5497" s="55" t="s">
        <v>9806</v>
      </c>
      <c r="B5497" s="55" t="s">
        <v>40</v>
      </c>
      <c r="C5497" s="55" t="s">
        <v>6197</v>
      </c>
      <c r="D5497" s="55" t="s">
        <v>9075</v>
      </c>
    </row>
    <row r="5498" ht="14.25" customHeight="1">
      <c r="A5498" s="55" t="s">
        <v>9806</v>
      </c>
      <c r="B5498" s="55" t="s">
        <v>40</v>
      </c>
      <c r="C5498" s="55" t="s">
        <v>13261</v>
      </c>
      <c r="D5498" s="55" t="s">
        <v>9291</v>
      </c>
    </row>
    <row r="5499" ht="14.25" customHeight="1">
      <c r="A5499" s="55" t="s">
        <v>9806</v>
      </c>
      <c r="B5499" s="55" t="s">
        <v>40</v>
      </c>
      <c r="C5499" s="55" t="s">
        <v>13262</v>
      </c>
      <c r="D5499" s="55" t="s">
        <v>13263</v>
      </c>
    </row>
    <row r="5500" ht="14.25" customHeight="1">
      <c r="A5500" s="55" t="s">
        <v>9806</v>
      </c>
      <c r="B5500" s="55" t="s">
        <v>40</v>
      </c>
      <c r="C5500" s="55" t="s">
        <v>9133</v>
      </c>
      <c r="D5500" s="55" t="s">
        <v>10425</v>
      </c>
    </row>
    <row r="5501" ht="14.25" customHeight="1">
      <c r="A5501" s="55" t="s">
        <v>9806</v>
      </c>
      <c r="B5501" s="55" t="s">
        <v>40</v>
      </c>
      <c r="C5501" s="55" t="s">
        <v>9133</v>
      </c>
      <c r="D5501" s="55" t="s">
        <v>9814</v>
      </c>
    </row>
    <row r="5502" ht="14.25" customHeight="1">
      <c r="A5502" s="55" t="s">
        <v>9806</v>
      </c>
      <c r="B5502" s="55" t="s">
        <v>40</v>
      </c>
      <c r="C5502" s="55" t="s">
        <v>13264</v>
      </c>
      <c r="D5502" s="55" t="s">
        <v>9875</v>
      </c>
    </row>
    <row r="5503" ht="14.25" customHeight="1">
      <c r="A5503" s="55" t="s">
        <v>9806</v>
      </c>
      <c r="B5503" s="55" t="s">
        <v>40</v>
      </c>
      <c r="C5503" s="55" t="s">
        <v>9862</v>
      </c>
      <c r="D5503" s="55" t="s">
        <v>9525</v>
      </c>
    </row>
    <row r="5504" ht="14.25" customHeight="1">
      <c r="A5504" s="55" t="s">
        <v>9806</v>
      </c>
      <c r="B5504" s="55" t="s">
        <v>40</v>
      </c>
      <c r="C5504" s="55" t="s">
        <v>1066</v>
      </c>
      <c r="D5504" s="55" t="s">
        <v>13265</v>
      </c>
    </row>
    <row r="5505" ht="14.25" customHeight="1">
      <c r="A5505" s="55" t="s">
        <v>9806</v>
      </c>
      <c r="B5505" s="55" t="s">
        <v>40</v>
      </c>
      <c r="C5505" s="55" t="s">
        <v>13266</v>
      </c>
      <c r="D5505" s="55" t="s">
        <v>9131</v>
      </c>
    </row>
    <row r="5506" ht="14.25" customHeight="1">
      <c r="A5506" s="55" t="s">
        <v>9806</v>
      </c>
      <c r="B5506" s="55" t="s">
        <v>40</v>
      </c>
      <c r="C5506" s="55" t="s">
        <v>13902</v>
      </c>
      <c r="D5506" s="55" t="s">
        <v>9583</v>
      </c>
    </row>
    <row r="5507" ht="14.25" customHeight="1">
      <c r="A5507" s="55" t="s">
        <v>9806</v>
      </c>
      <c r="B5507" s="55" t="s">
        <v>40</v>
      </c>
      <c r="C5507" s="55" t="s">
        <v>11167</v>
      </c>
      <c r="D5507" s="55" t="s">
        <v>9034</v>
      </c>
    </row>
    <row r="5508" ht="14.25" customHeight="1">
      <c r="A5508" s="55" t="s">
        <v>9806</v>
      </c>
      <c r="B5508" s="55" t="s">
        <v>40</v>
      </c>
      <c r="C5508" s="55" t="s">
        <v>11167</v>
      </c>
      <c r="D5508" s="55" t="s">
        <v>11741</v>
      </c>
    </row>
    <row r="5509" ht="14.25" customHeight="1">
      <c r="A5509" s="55" t="s">
        <v>9806</v>
      </c>
      <c r="B5509" s="55" t="s">
        <v>40</v>
      </c>
      <c r="C5509" s="55" t="s">
        <v>13267</v>
      </c>
      <c r="D5509" s="55" t="s">
        <v>9034</v>
      </c>
    </row>
    <row r="5510" ht="14.25" customHeight="1">
      <c r="A5510" s="55" t="s">
        <v>9806</v>
      </c>
      <c r="B5510" s="55" t="s">
        <v>40</v>
      </c>
      <c r="C5510" s="55" t="s">
        <v>9815</v>
      </c>
      <c r="D5510" s="55" t="s">
        <v>9816</v>
      </c>
    </row>
    <row r="5511" ht="14.25" customHeight="1">
      <c r="A5511" s="55" t="s">
        <v>9806</v>
      </c>
      <c r="B5511" s="55" t="s">
        <v>40</v>
      </c>
      <c r="C5511" s="55" t="s">
        <v>141</v>
      </c>
      <c r="D5511" s="55" t="s">
        <v>13268</v>
      </c>
    </row>
    <row r="5512" ht="14.25" customHeight="1">
      <c r="A5512" s="55" t="s">
        <v>9806</v>
      </c>
      <c r="B5512" s="55" t="s">
        <v>40</v>
      </c>
      <c r="C5512" s="55" t="s">
        <v>141</v>
      </c>
      <c r="D5512" s="55" t="s">
        <v>9646</v>
      </c>
    </row>
    <row r="5513" ht="14.25" customHeight="1">
      <c r="A5513" s="55" t="s">
        <v>9806</v>
      </c>
      <c r="B5513" s="55" t="s">
        <v>40</v>
      </c>
      <c r="C5513" s="55" t="s">
        <v>14406</v>
      </c>
      <c r="D5513" s="55" t="s">
        <v>9404</v>
      </c>
    </row>
    <row r="5514" ht="14.25" customHeight="1">
      <c r="A5514" s="55" t="s">
        <v>9806</v>
      </c>
      <c r="B5514" s="55" t="s">
        <v>40</v>
      </c>
      <c r="C5514" s="55" t="s">
        <v>6405</v>
      </c>
      <c r="D5514" s="55" t="s">
        <v>13903</v>
      </c>
    </row>
    <row r="5515" ht="14.25" customHeight="1">
      <c r="A5515" s="55" t="s">
        <v>9806</v>
      </c>
      <c r="B5515" s="55" t="s">
        <v>40</v>
      </c>
      <c r="C5515" s="55" t="s">
        <v>3313</v>
      </c>
      <c r="D5515" s="55" t="s">
        <v>9055</v>
      </c>
    </row>
    <row r="5516" ht="14.25" customHeight="1">
      <c r="A5516" s="55" t="s">
        <v>9806</v>
      </c>
      <c r="B5516" s="55" t="s">
        <v>40</v>
      </c>
      <c r="C5516" s="55" t="s">
        <v>14368</v>
      </c>
      <c r="D5516" s="55" t="s">
        <v>14407</v>
      </c>
    </row>
    <row r="5517" ht="14.25" customHeight="1">
      <c r="A5517" s="55" t="s">
        <v>9806</v>
      </c>
      <c r="B5517" s="55" t="s">
        <v>40</v>
      </c>
      <c r="C5517" s="55" t="s">
        <v>9650</v>
      </c>
      <c r="D5517" s="55" t="s">
        <v>9034</v>
      </c>
    </row>
    <row r="5518" ht="14.25" customHeight="1">
      <c r="A5518" s="55" t="s">
        <v>9806</v>
      </c>
      <c r="B5518" s="55" t="s">
        <v>40</v>
      </c>
      <c r="C5518" s="55" t="s">
        <v>9650</v>
      </c>
      <c r="D5518" s="55" t="s">
        <v>9649</v>
      </c>
    </row>
    <row r="5519" ht="14.25" customHeight="1">
      <c r="A5519" s="55" t="s">
        <v>9806</v>
      </c>
      <c r="B5519" s="55" t="s">
        <v>40</v>
      </c>
      <c r="C5519" s="55" t="s">
        <v>12402</v>
      </c>
      <c r="D5519" s="55" t="s">
        <v>9028</v>
      </c>
    </row>
    <row r="5520" ht="14.25" customHeight="1">
      <c r="A5520" s="55" t="s">
        <v>9806</v>
      </c>
      <c r="B5520" s="55" t="s">
        <v>40</v>
      </c>
      <c r="C5520" s="55" t="s">
        <v>13269</v>
      </c>
      <c r="D5520" s="55" t="s">
        <v>9071</v>
      </c>
    </row>
    <row r="5521" ht="14.25" customHeight="1">
      <c r="A5521" s="55" t="s">
        <v>9806</v>
      </c>
      <c r="B5521" s="55" t="s">
        <v>40</v>
      </c>
      <c r="C5521" s="55" t="s">
        <v>12403</v>
      </c>
      <c r="D5521" s="55" t="s">
        <v>9131</v>
      </c>
    </row>
    <row r="5522" ht="14.25" customHeight="1">
      <c r="A5522" s="55" t="s">
        <v>9806</v>
      </c>
      <c r="B5522" s="55" t="s">
        <v>40</v>
      </c>
      <c r="C5522" s="55" t="s">
        <v>13904</v>
      </c>
      <c r="D5522" s="55" t="s">
        <v>9055</v>
      </c>
    </row>
    <row r="5523" ht="14.25" customHeight="1">
      <c r="A5523" s="55" t="s">
        <v>9806</v>
      </c>
      <c r="B5523" s="55" t="s">
        <v>40</v>
      </c>
      <c r="C5523" s="55" t="s">
        <v>11781</v>
      </c>
      <c r="D5523" s="55" t="s">
        <v>9404</v>
      </c>
    </row>
    <row r="5524" ht="14.25" customHeight="1">
      <c r="A5524" s="55" t="s">
        <v>9806</v>
      </c>
      <c r="B5524" s="55" t="s">
        <v>40</v>
      </c>
      <c r="C5524" s="55" t="s">
        <v>166</v>
      </c>
      <c r="D5524" s="55" t="s">
        <v>9817</v>
      </c>
    </row>
    <row r="5525" ht="14.25" customHeight="1">
      <c r="A5525" s="55" t="s">
        <v>9806</v>
      </c>
      <c r="B5525" s="55" t="s">
        <v>40</v>
      </c>
      <c r="C5525" s="55" t="s">
        <v>166</v>
      </c>
      <c r="D5525" s="55" t="s">
        <v>9151</v>
      </c>
    </row>
    <row r="5526" ht="14.25" customHeight="1">
      <c r="A5526" s="55" t="s">
        <v>9806</v>
      </c>
      <c r="B5526" s="55" t="s">
        <v>40</v>
      </c>
      <c r="C5526" s="55" t="s">
        <v>1417</v>
      </c>
      <c r="D5526" s="55" t="s">
        <v>9880</v>
      </c>
    </row>
    <row r="5527" ht="14.25" customHeight="1">
      <c r="A5527" s="55" t="s">
        <v>9806</v>
      </c>
      <c r="B5527" s="55" t="s">
        <v>40</v>
      </c>
      <c r="C5527" s="55" t="s">
        <v>9203</v>
      </c>
      <c r="D5527" s="55" t="s">
        <v>9204</v>
      </c>
    </row>
    <row r="5528" ht="14.25" customHeight="1">
      <c r="A5528" s="55" t="s">
        <v>9806</v>
      </c>
      <c r="B5528" s="55" t="s">
        <v>40</v>
      </c>
      <c r="C5528" s="55" t="s">
        <v>170</v>
      </c>
      <c r="D5528" s="55" t="s">
        <v>9152</v>
      </c>
    </row>
    <row r="5529" ht="14.25" customHeight="1">
      <c r="A5529" s="55" t="s">
        <v>9806</v>
      </c>
      <c r="B5529" s="55" t="s">
        <v>40</v>
      </c>
      <c r="C5529" s="55" t="s">
        <v>13905</v>
      </c>
      <c r="D5529" s="55" t="s">
        <v>9071</v>
      </c>
    </row>
    <row r="5530" ht="14.25" customHeight="1">
      <c r="A5530" s="55" t="s">
        <v>9806</v>
      </c>
      <c r="B5530" s="55" t="s">
        <v>40</v>
      </c>
      <c r="C5530" s="55" t="s">
        <v>312</v>
      </c>
      <c r="D5530" s="55" t="s">
        <v>9051</v>
      </c>
    </row>
    <row r="5531" ht="14.25" customHeight="1">
      <c r="A5531" s="55" t="s">
        <v>9806</v>
      </c>
      <c r="B5531" s="55" t="s">
        <v>40</v>
      </c>
      <c r="C5531" s="55" t="s">
        <v>9818</v>
      </c>
      <c r="D5531" s="55" t="s">
        <v>9055</v>
      </c>
    </row>
    <row r="5532" ht="14.25" customHeight="1">
      <c r="A5532" s="55" t="s">
        <v>9806</v>
      </c>
      <c r="B5532" s="55" t="s">
        <v>40</v>
      </c>
      <c r="C5532" s="55" t="s">
        <v>13906</v>
      </c>
      <c r="D5532" s="55" t="s">
        <v>11900</v>
      </c>
    </row>
    <row r="5533" ht="14.25" customHeight="1">
      <c r="A5533" s="55" t="s">
        <v>9806</v>
      </c>
      <c r="B5533" s="55" t="s">
        <v>40</v>
      </c>
      <c r="C5533" s="55" t="s">
        <v>8263</v>
      </c>
      <c r="D5533" s="55" t="s">
        <v>14408</v>
      </c>
    </row>
    <row r="5534" ht="14.25" customHeight="1">
      <c r="A5534" s="55" t="s">
        <v>9806</v>
      </c>
      <c r="B5534" s="55" t="s">
        <v>40</v>
      </c>
      <c r="C5534" s="55" t="s">
        <v>11134</v>
      </c>
      <c r="D5534" s="55" t="s">
        <v>9151</v>
      </c>
    </row>
    <row r="5535" ht="14.25" customHeight="1">
      <c r="A5535" s="55" t="s">
        <v>9806</v>
      </c>
      <c r="B5535" s="55" t="s">
        <v>40</v>
      </c>
      <c r="C5535" s="55" t="s">
        <v>11135</v>
      </c>
      <c r="D5535" s="55" t="s">
        <v>9118</v>
      </c>
    </row>
    <row r="5536" ht="14.25" customHeight="1">
      <c r="A5536" s="55" t="s">
        <v>9806</v>
      </c>
      <c r="B5536" s="55" t="s">
        <v>40</v>
      </c>
      <c r="C5536" s="55" t="s">
        <v>3566</v>
      </c>
      <c r="D5536" s="55" t="s">
        <v>9034</v>
      </c>
    </row>
    <row r="5537" ht="14.25" customHeight="1">
      <c r="A5537" s="55" t="s">
        <v>9806</v>
      </c>
      <c r="B5537" s="55" t="s">
        <v>40</v>
      </c>
      <c r="C5537" s="55" t="s">
        <v>3566</v>
      </c>
      <c r="D5537" s="55" t="s">
        <v>8989</v>
      </c>
    </row>
    <row r="5538" ht="14.25" customHeight="1">
      <c r="A5538" s="55" t="s">
        <v>9806</v>
      </c>
      <c r="B5538" s="55" t="s">
        <v>40</v>
      </c>
      <c r="C5538" s="55" t="s">
        <v>3566</v>
      </c>
      <c r="D5538" s="55" t="s">
        <v>11742</v>
      </c>
    </row>
    <row r="5539" ht="14.25" customHeight="1">
      <c r="A5539" s="55" t="s">
        <v>9806</v>
      </c>
      <c r="B5539" s="55" t="s">
        <v>40</v>
      </c>
      <c r="C5539" s="55" t="s">
        <v>3566</v>
      </c>
      <c r="D5539" s="55" t="s">
        <v>9071</v>
      </c>
    </row>
    <row r="5540" ht="14.25" customHeight="1">
      <c r="A5540" s="55" t="s">
        <v>9806</v>
      </c>
      <c r="B5540" s="55" t="s">
        <v>40</v>
      </c>
      <c r="C5540" s="55" t="s">
        <v>3566</v>
      </c>
      <c r="D5540" s="55" t="s">
        <v>13340</v>
      </c>
    </row>
    <row r="5541" ht="14.25" customHeight="1">
      <c r="A5541" s="55" t="s">
        <v>9806</v>
      </c>
      <c r="B5541" s="55" t="s">
        <v>40</v>
      </c>
      <c r="C5541" s="55" t="s">
        <v>3566</v>
      </c>
      <c r="D5541" s="55" t="s">
        <v>10426</v>
      </c>
    </row>
    <row r="5542" ht="14.25" customHeight="1">
      <c r="A5542" s="55" t="s">
        <v>9806</v>
      </c>
      <c r="B5542" s="55" t="s">
        <v>40</v>
      </c>
      <c r="C5542" s="55" t="s">
        <v>3566</v>
      </c>
      <c r="D5542" s="55" t="s">
        <v>9886</v>
      </c>
    </row>
    <row r="5543" ht="14.25" customHeight="1">
      <c r="A5543" s="55" t="s">
        <v>9806</v>
      </c>
      <c r="B5543" s="55" t="s">
        <v>40</v>
      </c>
      <c r="C5543" s="55" t="s">
        <v>3566</v>
      </c>
      <c r="D5543" s="55" t="s">
        <v>9028</v>
      </c>
    </row>
    <row r="5544" ht="14.25" customHeight="1">
      <c r="A5544" s="55" t="s">
        <v>9806</v>
      </c>
      <c r="B5544" s="55" t="s">
        <v>40</v>
      </c>
      <c r="C5544" s="55" t="s">
        <v>14409</v>
      </c>
      <c r="D5544" s="55" t="s">
        <v>9151</v>
      </c>
    </row>
    <row r="5545" ht="14.25" customHeight="1">
      <c r="A5545" s="55" t="s">
        <v>9806</v>
      </c>
      <c r="B5545" s="55" t="s">
        <v>40</v>
      </c>
      <c r="C5545" s="55" t="s">
        <v>10427</v>
      </c>
      <c r="D5545" s="55" t="s">
        <v>10428</v>
      </c>
    </row>
    <row r="5546" ht="14.25" customHeight="1">
      <c r="A5546" s="55" t="s">
        <v>9806</v>
      </c>
      <c r="B5546" s="55" t="s">
        <v>40</v>
      </c>
      <c r="C5546" s="55" t="s">
        <v>9804</v>
      </c>
      <c r="D5546" s="55" t="s">
        <v>10018</v>
      </c>
    </row>
    <row r="5547" ht="14.25" customHeight="1">
      <c r="A5547" s="55" t="s">
        <v>9806</v>
      </c>
      <c r="B5547" s="55" t="s">
        <v>40</v>
      </c>
      <c r="C5547" s="55" t="s">
        <v>9804</v>
      </c>
      <c r="D5547" s="55" t="s">
        <v>13270</v>
      </c>
    </row>
    <row r="5548" ht="14.25" customHeight="1">
      <c r="A5548" s="55" t="s">
        <v>9806</v>
      </c>
      <c r="B5548" s="55" t="s">
        <v>40</v>
      </c>
      <c r="C5548" s="55" t="s">
        <v>9804</v>
      </c>
      <c r="D5548" s="55" t="s">
        <v>10429</v>
      </c>
    </row>
    <row r="5549" ht="14.25" customHeight="1">
      <c r="A5549" s="55" t="s">
        <v>9806</v>
      </c>
      <c r="B5549" s="55" t="s">
        <v>40</v>
      </c>
      <c r="C5549" s="55" t="s">
        <v>3596</v>
      </c>
      <c r="D5549" s="55" t="s">
        <v>9034</v>
      </c>
    </row>
    <row r="5550" ht="14.25" customHeight="1">
      <c r="A5550" s="55" t="s">
        <v>9806</v>
      </c>
      <c r="B5550" s="55" t="s">
        <v>40</v>
      </c>
      <c r="C5550" s="55" t="s">
        <v>3596</v>
      </c>
      <c r="D5550" s="55" t="s">
        <v>12404</v>
      </c>
    </row>
    <row r="5551" ht="14.25" customHeight="1">
      <c r="A5551" s="55" t="s">
        <v>9806</v>
      </c>
      <c r="B5551" s="55" t="s">
        <v>40</v>
      </c>
      <c r="C5551" s="55" t="s">
        <v>3596</v>
      </c>
      <c r="D5551" s="55" t="s">
        <v>10018</v>
      </c>
    </row>
    <row r="5552" ht="14.25" customHeight="1">
      <c r="A5552" s="55" t="s">
        <v>9806</v>
      </c>
      <c r="B5552" s="55" t="s">
        <v>40</v>
      </c>
      <c r="C5552" s="55" t="s">
        <v>3596</v>
      </c>
      <c r="D5552" s="55" t="s">
        <v>11743</v>
      </c>
    </row>
    <row r="5553" ht="14.25" customHeight="1">
      <c r="A5553" s="55" t="s">
        <v>9806</v>
      </c>
      <c r="B5553" s="55" t="s">
        <v>40</v>
      </c>
      <c r="C5553" s="55" t="s">
        <v>11136</v>
      </c>
      <c r="D5553" s="55" t="s">
        <v>8976</v>
      </c>
    </row>
    <row r="5554" ht="14.25" customHeight="1">
      <c r="A5554" s="55" t="s">
        <v>9806</v>
      </c>
      <c r="B5554" s="55" t="s">
        <v>40</v>
      </c>
      <c r="C5554" s="55" t="s">
        <v>11744</v>
      </c>
      <c r="D5554" s="55" t="s">
        <v>11568</v>
      </c>
    </row>
    <row r="5555" ht="14.25" customHeight="1">
      <c r="A5555" s="55" t="s">
        <v>9806</v>
      </c>
      <c r="B5555" s="55" t="s">
        <v>40</v>
      </c>
      <c r="C5555" s="55" t="s">
        <v>9819</v>
      </c>
      <c r="D5555" s="55" t="s">
        <v>9820</v>
      </c>
    </row>
    <row r="5556" ht="14.25" customHeight="1">
      <c r="A5556" s="55" t="s">
        <v>9806</v>
      </c>
      <c r="B5556" s="55" t="s">
        <v>40</v>
      </c>
      <c r="C5556" s="55" t="s">
        <v>10900</v>
      </c>
      <c r="D5556" s="55" t="s">
        <v>13907</v>
      </c>
    </row>
    <row r="5557" ht="14.25" customHeight="1">
      <c r="A5557" s="55" t="s">
        <v>9806</v>
      </c>
      <c r="B5557" s="55" t="s">
        <v>40</v>
      </c>
      <c r="C5557" s="55" t="s">
        <v>9674</v>
      </c>
      <c r="D5557" s="55" t="s">
        <v>10986</v>
      </c>
    </row>
    <row r="5558" ht="14.25" customHeight="1">
      <c r="A5558" s="55" t="s">
        <v>9806</v>
      </c>
      <c r="B5558" s="55" t="s">
        <v>40</v>
      </c>
      <c r="C5558" s="55" t="s">
        <v>14410</v>
      </c>
      <c r="D5558" s="55" t="s">
        <v>9055</v>
      </c>
    </row>
    <row r="5559" ht="14.25" customHeight="1">
      <c r="A5559" s="55" t="s">
        <v>9806</v>
      </c>
      <c r="B5559" s="55" t="s">
        <v>40</v>
      </c>
      <c r="C5559" s="55" t="s">
        <v>14411</v>
      </c>
      <c r="D5559" s="55" t="s">
        <v>9131</v>
      </c>
    </row>
    <row r="5560" ht="14.25" customHeight="1">
      <c r="A5560" s="55" t="s">
        <v>9806</v>
      </c>
      <c r="B5560" s="55" t="s">
        <v>40</v>
      </c>
      <c r="C5560" s="55" t="s">
        <v>9821</v>
      </c>
      <c r="D5560" s="55" t="s">
        <v>9131</v>
      </c>
    </row>
    <row r="5561" ht="14.25" customHeight="1">
      <c r="A5561" s="55" t="s">
        <v>9806</v>
      </c>
      <c r="B5561" s="55" t="s">
        <v>40</v>
      </c>
      <c r="C5561" s="55" t="s">
        <v>9821</v>
      </c>
      <c r="D5561" s="55" t="s">
        <v>8968</v>
      </c>
    </row>
    <row r="5562" ht="14.25" customHeight="1">
      <c r="A5562" s="55" t="s">
        <v>9806</v>
      </c>
      <c r="B5562" s="55" t="s">
        <v>40</v>
      </c>
      <c r="C5562" s="55" t="s">
        <v>13908</v>
      </c>
      <c r="D5562" s="55" t="s">
        <v>13909</v>
      </c>
    </row>
    <row r="5563" ht="14.25" customHeight="1">
      <c r="A5563" s="55" t="s">
        <v>9806</v>
      </c>
      <c r="B5563" s="55" t="s">
        <v>40</v>
      </c>
      <c r="C5563" s="55" t="s">
        <v>9791</v>
      </c>
      <c r="D5563" s="55" t="s">
        <v>9028</v>
      </c>
    </row>
    <row r="5564" ht="14.25" customHeight="1">
      <c r="A5564" s="55" t="s">
        <v>9806</v>
      </c>
      <c r="B5564" s="55" t="s">
        <v>40</v>
      </c>
      <c r="C5564" s="55" t="s">
        <v>6769</v>
      </c>
      <c r="D5564" s="55" t="s">
        <v>9071</v>
      </c>
    </row>
    <row r="5565" ht="14.25" customHeight="1">
      <c r="A5565" s="55" t="s">
        <v>9806</v>
      </c>
      <c r="B5565" s="55" t="s">
        <v>40</v>
      </c>
      <c r="C5565" s="55" t="s">
        <v>6769</v>
      </c>
      <c r="D5565" s="55" t="s">
        <v>9028</v>
      </c>
    </row>
    <row r="5566" ht="14.25" customHeight="1">
      <c r="A5566" s="55" t="s">
        <v>9806</v>
      </c>
      <c r="B5566" s="55" t="s">
        <v>40</v>
      </c>
      <c r="C5566" s="55" t="s">
        <v>11745</v>
      </c>
      <c r="D5566" s="55" t="s">
        <v>11746</v>
      </c>
    </row>
    <row r="5567" ht="14.25" customHeight="1">
      <c r="A5567" s="55" t="s">
        <v>9806</v>
      </c>
      <c r="B5567" s="55" t="s">
        <v>40</v>
      </c>
      <c r="C5567" s="55" t="s">
        <v>13271</v>
      </c>
      <c r="D5567" s="55" t="s">
        <v>9855</v>
      </c>
    </row>
    <row r="5568" ht="14.25" customHeight="1">
      <c r="A5568" s="55" t="s">
        <v>9806</v>
      </c>
      <c r="B5568" s="55" t="s">
        <v>40</v>
      </c>
      <c r="C5568" s="55" t="s">
        <v>208</v>
      </c>
      <c r="D5568" s="55" t="s">
        <v>9071</v>
      </c>
    </row>
    <row r="5569" ht="14.25" customHeight="1">
      <c r="A5569" s="55" t="s">
        <v>9806</v>
      </c>
      <c r="B5569" s="55" t="s">
        <v>40</v>
      </c>
      <c r="C5569" s="55" t="s">
        <v>3763</v>
      </c>
      <c r="D5569" s="55" t="s">
        <v>9028</v>
      </c>
    </row>
    <row r="5570" ht="14.25" customHeight="1">
      <c r="A5570" s="55" t="s">
        <v>9806</v>
      </c>
      <c r="B5570" s="55" t="s">
        <v>40</v>
      </c>
      <c r="C5570" s="55" t="s">
        <v>210</v>
      </c>
      <c r="D5570" s="55" t="s">
        <v>9073</v>
      </c>
    </row>
    <row r="5571" ht="14.25" customHeight="1">
      <c r="A5571" s="55" t="s">
        <v>9806</v>
      </c>
      <c r="B5571" s="55" t="s">
        <v>40</v>
      </c>
      <c r="C5571" s="55" t="s">
        <v>12405</v>
      </c>
      <c r="D5571" s="55" t="s">
        <v>9055</v>
      </c>
    </row>
    <row r="5572" ht="14.25" customHeight="1">
      <c r="A5572" s="55" t="s">
        <v>9806</v>
      </c>
      <c r="B5572" s="55" t="s">
        <v>40</v>
      </c>
      <c r="C5572" s="55" t="s">
        <v>10713</v>
      </c>
      <c r="D5572" s="55" t="s">
        <v>9073</v>
      </c>
    </row>
    <row r="5573" ht="14.25" customHeight="1">
      <c r="A5573" s="55" t="s">
        <v>9806</v>
      </c>
      <c r="B5573" s="55" t="s">
        <v>40</v>
      </c>
      <c r="C5573" s="55" t="s">
        <v>3850</v>
      </c>
      <c r="D5573" s="55" t="s">
        <v>9822</v>
      </c>
    </row>
    <row r="5574" ht="14.25" customHeight="1">
      <c r="A5574" s="55" t="s">
        <v>9806</v>
      </c>
      <c r="B5574" s="55" t="s">
        <v>40</v>
      </c>
      <c r="C5574" s="55" t="s">
        <v>3850</v>
      </c>
      <c r="D5574" s="55" t="s">
        <v>9636</v>
      </c>
    </row>
    <row r="5575" ht="14.25" customHeight="1">
      <c r="A5575" s="55" t="s">
        <v>9806</v>
      </c>
      <c r="B5575" s="55" t="s">
        <v>40</v>
      </c>
      <c r="C5575" s="55" t="s">
        <v>3850</v>
      </c>
      <c r="D5575" s="55" t="s">
        <v>9525</v>
      </c>
    </row>
    <row r="5576" ht="14.25" customHeight="1">
      <c r="A5576" s="55" t="s">
        <v>9806</v>
      </c>
      <c r="B5576" s="55" t="s">
        <v>40</v>
      </c>
      <c r="C5576" s="55" t="s">
        <v>6845</v>
      </c>
      <c r="D5576" s="55" t="s">
        <v>9071</v>
      </c>
    </row>
    <row r="5577" ht="14.25" customHeight="1">
      <c r="A5577" s="55" t="s">
        <v>9806</v>
      </c>
      <c r="B5577" s="55" t="s">
        <v>40</v>
      </c>
      <c r="C5577" s="55" t="s">
        <v>1722</v>
      </c>
      <c r="D5577" s="55" t="s">
        <v>9583</v>
      </c>
    </row>
    <row r="5578" ht="14.25" customHeight="1">
      <c r="A5578" s="55" t="s">
        <v>9806</v>
      </c>
      <c r="B5578" s="55" t="s">
        <v>40</v>
      </c>
      <c r="C5578" s="55" t="s">
        <v>9283</v>
      </c>
      <c r="D5578" s="55" t="s">
        <v>9731</v>
      </c>
    </row>
    <row r="5579" ht="14.25" customHeight="1">
      <c r="A5579" s="55" t="s">
        <v>9806</v>
      </c>
      <c r="B5579" s="55" t="s">
        <v>40</v>
      </c>
      <c r="C5579" s="55" t="s">
        <v>9283</v>
      </c>
      <c r="D5579" s="55" t="s">
        <v>10430</v>
      </c>
    </row>
    <row r="5580" ht="14.25" customHeight="1">
      <c r="A5580" s="55" t="s">
        <v>9806</v>
      </c>
      <c r="B5580" s="55" t="s">
        <v>40</v>
      </c>
      <c r="C5580" s="55" t="s">
        <v>13910</v>
      </c>
      <c r="D5580" s="55" t="s">
        <v>13911</v>
      </c>
    </row>
    <row r="5581" ht="14.25" customHeight="1">
      <c r="A5581" s="55" t="s">
        <v>9806</v>
      </c>
      <c r="B5581" s="55" t="s">
        <v>40</v>
      </c>
      <c r="C5581" s="55" t="s">
        <v>14372</v>
      </c>
      <c r="D5581" s="55" t="s">
        <v>9236</v>
      </c>
    </row>
    <row r="5582" ht="14.25" customHeight="1">
      <c r="A5582" s="55" t="s">
        <v>9806</v>
      </c>
      <c r="B5582" s="55" t="s">
        <v>40</v>
      </c>
      <c r="C5582" s="55" t="s">
        <v>13272</v>
      </c>
      <c r="D5582" s="55" t="s">
        <v>9071</v>
      </c>
    </row>
    <row r="5583" ht="14.25" customHeight="1">
      <c r="A5583" s="55" t="s">
        <v>9806</v>
      </c>
      <c r="B5583" s="55" t="s">
        <v>40</v>
      </c>
      <c r="C5583" s="55" t="s">
        <v>13273</v>
      </c>
      <c r="D5583" s="55" t="s">
        <v>9071</v>
      </c>
    </row>
    <row r="5584" ht="14.25" customHeight="1">
      <c r="A5584" s="55" t="s">
        <v>9806</v>
      </c>
      <c r="B5584" s="55" t="s">
        <v>40</v>
      </c>
      <c r="C5584" s="55" t="s">
        <v>13274</v>
      </c>
      <c r="D5584" s="55" t="s">
        <v>9071</v>
      </c>
    </row>
    <row r="5585" ht="14.25" customHeight="1">
      <c r="A5585" s="55" t="s">
        <v>9806</v>
      </c>
      <c r="B5585" s="55" t="s">
        <v>40</v>
      </c>
      <c r="C5585" s="55" t="s">
        <v>14412</v>
      </c>
      <c r="D5585" s="55" t="s">
        <v>9525</v>
      </c>
    </row>
    <row r="5586" ht="14.25" customHeight="1">
      <c r="A5586" s="55" t="s">
        <v>9806</v>
      </c>
      <c r="B5586" s="55" t="s">
        <v>40</v>
      </c>
      <c r="C5586" s="55" t="s">
        <v>1743</v>
      </c>
      <c r="D5586" s="55" t="s">
        <v>9516</v>
      </c>
    </row>
    <row r="5587" ht="14.25" customHeight="1">
      <c r="A5587" s="55" t="s">
        <v>9806</v>
      </c>
      <c r="B5587" s="55" t="s">
        <v>40</v>
      </c>
      <c r="C5587" s="55" t="s">
        <v>10431</v>
      </c>
      <c r="D5587" s="55" t="s">
        <v>9151</v>
      </c>
    </row>
    <row r="5588" ht="14.25" customHeight="1">
      <c r="A5588" s="55" t="s">
        <v>9806</v>
      </c>
      <c r="B5588" s="55" t="s">
        <v>40</v>
      </c>
      <c r="C5588" s="55" t="s">
        <v>11747</v>
      </c>
      <c r="D5588" s="55" t="s">
        <v>9525</v>
      </c>
    </row>
    <row r="5589" ht="14.25" customHeight="1">
      <c r="A5589" s="55" t="s">
        <v>9806</v>
      </c>
      <c r="B5589" s="55" t="s">
        <v>40</v>
      </c>
      <c r="C5589" s="55" t="s">
        <v>11748</v>
      </c>
      <c r="D5589" s="55" t="s">
        <v>9131</v>
      </c>
    </row>
    <row r="5590" ht="14.25" customHeight="1">
      <c r="A5590" s="55" t="s">
        <v>9806</v>
      </c>
      <c r="B5590" s="55" t="s">
        <v>40</v>
      </c>
      <c r="C5590" s="55" t="s">
        <v>11749</v>
      </c>
      <c r="D5590" s="55" t="s">
        <v>9071</v>
      </c>
    </row>
    <row r="5591" ht="14.25" customHeight="1">
      <c r="A5591" s="55" t="s">
        <v>9806</v>
      </c>
      <c r="B5591" s="55" t="s">
        <v>40</v>
      </c>
      <c r="C5591" s="55" t="s">
        <v>11750</v>
      </c>
      <c r="D5591" s="55" t="s">
        <v>9028</v>
      </c>
    </row>
    <row r="5592" ht="14.25" customHeight="1">
      <c r="A5592" s="55" t="s">
        <v>9806</v>
      </c>
      <c r="B5592" s="55" t="s">
        <v>40</v>
      </c>
      <c r="C5592" s="55" t="s">
        <v>11751</v>
      </c>
      <c r="D5592" s="55" t="s">
        <v>9291</v>
      </c>
    </row>
    <row r="5593" ht="14.25" customHeight="1">
      <c r="A5593" s="55" t="s">
        <v>9806</v>
      </c>
      <c r="B5593" s="55" t="s">
        <v>40</v>
      </c>
      <c r="C5593" s="55" t="s">
        <v>14413</v>
      </c>
      <c r="D5593" s="55" t="s">
        <v>8976</v>
      </c>
    </row>
    <row r="5594" ht="14.25" customHeight="1">
      <c r="A5594" s="55" t="s">
        <v>9806</v>
      </c>
      <c r="B5594" s="55" t="s">
        <v>40</v>
      </c>
      <c r="C5594" s="55" t="s">
        <v>10432</v>
      </c>
      <c r="D5594" s="55" t="s">
        <v>8968</v>
      </c>
    </row>
    <row r="5595" ht="14.25" customHeight="1">
      <c r="A5595" s="55" t="s">
        <v>9806</v>
      </c>
      <c r="B5595" s="55" t="s">
        <v>40</v>
      </c>
      <c r="C5595" s="55" t="s">
        <v>14414</v>
      </c>
      <c r="D5595" s="55" t="s">
        <v>12419</v>
      </c>
    </row>
    <row r="5596" ht="14.25" customHeight="1">
      <c r="A5596" s="55" t="s">
        <v>9806</v>
      </c>
      <c r="B5596" s="55" t="s">
        <v>40</v>
      </c>
      <c r="C5596" s="55" t="s">
        <v>4056</v>
      </c>
      <c r="D5596" s="55" t="s">
        <v>12600</v>
      </c>
    </row>
    <row r="5597" ht="14.25" customHeight="1">
      <c r="A5597" s="55" t="s">
        <v>9806</v>
      </c>
      <c r="B5597" s="55" t="s">
        <v>40</v>
      </c>
      <c r="C5597" s="55" t="s">
        <v>14415</v>
      </c>
      <c r="D5597" s="55" t="s">
        <v>9649</v>
      </c>
    </row>
    <row r="5598" ht="14.25" customHeight="1">
      <c r="A5598" s="55" t="s">
        <v>9806</v>
      </c>
      <c r="B5598" s="55" t="s">
        <v>40</v>
      </c>
      <c r="C5598" s="55" t="s">
        <v>10640</v>
      </c>
      <c r="D5598" s="55" t="s">
        <v>9071</v>
      </c>
    </row>
    <row r="5599" ht="14.25" customHeight="1">
      <c r="A5599" s="55" t="s">
        <v>9806</v>
      </c>
      <c r="B5599" s="55" t="s">
        <v>40</v>
      </c>
      <c r="C5599" s="55" t="s">
        <v>13275</v>
      </c>
      <c r="D5599" s="55" t="s">
        <v>9291</v>
      </c>
    </row>
    <row r="5600" ht="14.25" customHeight="1">
      <c r="A5600" s="55" t="s">
        <v>9806</v>
      </c>
      <c r="B5600" s="55" t="s">
        <v>40</v>
      </c>
      <c r="C5600" s="55" t="s">
        <v>10433</v>
      </c>
      <c r="D5600" s="55" t="s">
        <v>10434</v>
      </c>
    </row>
    <row r="5601" ht="14.25" customHeight="1">
      <c r="A5601" s="55" t="s">
        <v>9806</v>
      </c>
      <c r="B5601" s="55" t="s">
        <v>40</v>
      </c>
      <c r="C5601" s="55" t="s">
        <v>10435</v>
      </c>
      <c r="D5601" s="55" t="s">
        <v>9131</v>
      </c>
    </row>
    <row r="5602" ht="14.25" customHeight="1">
      <c r="A5602" s="55" t="s">
        <v>9806</v>
      </c>
      <c r="B5602" s="55" t="s">
        <v>40</v>
      </c>
      <c r="C5602" s="55" t="s">
        <v>251</v>
      </c>
      <c r="D5602" s="55" t="s">
        <v>9028</v>
      </c>
    </row>
    <row r="5603" ht="14.25" customHeight="1">
      <c r="A5603" s="55" t="s">
        <v>9806</v>
      </c>
      <c r="B5603" s="55" t="s">
        <v>40</v>
      </c>
      <c r="C5603" s="55" t="s">
        <v>251</v>
      </c>
      <c r="D5603" s="55" t="s">
        <v>11137</v>
      </c>
    </row>
    <row r="5604" ht="14.25" customHeight="1">
      <c r="A5604" s="55" t="s">
        <v>9806</v>
      </c>
      <c r="B5604" s="55" t="s">
        <v>40</v>
      </c>
      <c r="C5604" s="55" t="s">
        <v>11138</v>
      </c>
      <c r="D5604" s="55" t="s">
        <v>11139</v>
      </c>
    </row>
    <row r="5605" ht="14.25" customHeight="1">
      <c r="A5605" s="55" t="s">
        <v>9806</v>
      </c>
      <c r="B5605" s="55" t="s">
        <v>40</v>
      </c>
      <c r="C5605" s="55" t="s">
        <v>11140</v>
      </c>
      <c r="D5605" s="55" t="s">
        <v>9071</v>
      </c>
    </row>
    <row r="5606" ht="14.25" customHeight="1">
      <c r="A5606" s="55" t="s">
        <v>9806</v>
      </c>
      <c r="B5606" s="55" t="s">
        <v>40</v>
      </c>
      <c r="C5606" s="55" t="s">
        <v>11141</v>
      </c>
      <c r="D5606" s="55" t="s">
        <v>9151</v>
      </c>
    </row>
    <row r="5607" ht="14.25" customHeight="1">
      <c r="A5607" s="55" t="s">
        <v>9806</v>
      </c>
      <c r="B5607" s="55" t="s">
        <v>40</v>
      </c>
      <c r="C5607" s="55" t="s">
        <v>14416</v>
      </c>
      <c r="D5607" s="55" t="s">
        <v>14417</v>
      </c>
    </row>
    <row r="5608" ht="14.25" customHeight="1">
      <c r="A5608" s="55" t="s">
        <v>9806</v>
      </c>
      <c r="B5608" s="55" t="s">
        <v>40</v>
      </c>
      <c r="C5608" s="55" t="s">
        <v>12406</v>
      </c>
      <c r="D5608" s="55" t="s">
        <v>8968</v>
      </c>
    </row>
    <row r="5609" ht="14.25" customHeight="1">
      <c r="A5609" s="55" t="s">
        <v>9806</v>
      </c>
      <c r="B5609" s="55" t="s">
        <v>40</v>
      </c>
      <c r="C5609" s="55" t="s">
        <v>13912</v>
      </c>
      <c r="D5609" s="55" t="s">
        <v>13913</v>
      </c>
    </row>
    <row r="5610" ht="14.25" customHeight="1">
      <c r="A5610" s="55" t="s">
        <v>9806</v>
      </c>
      <c r="B5610" s="55" t="s">
        <v>40</v>
      </c>
      <c r="C5610" s="55" t="s">
        <v>254</v>
      </c>
      <c r="D5610" s="55" t="s">
        <v>10317</v>
      </c>
    </row>
    <row r="5611" ht="14.25" customHeight="1">
      <c r="A5611" s="55" t="s">
        <v>9806</v>
      </c>
      <c r="B5611" s="55" t="s">
        <v>40</v>
      </c>
      <c r="C5611" s="55" t="s">
        <v>255</v>
      </c>
      <c r="D5611" s="55" t="s">
        <v>9075</v>
      </c>
    </row>
    <row r="5612" ht="14.25" customHeight="1">
      <c r="A5612" s="55" t="s">
        <v>9806</v>
      </c>
      <c r="B5612" s="55" t="s">
        <v>40</v>
      </c>
      <c r="C5612" s="55" t="s">
        <v>9434</v>
      </c>
      <c r="D5612" s="55" t="s">
        <v>9583</v>
      </c>
    </row>
    <row r="5613" ht="14.25" customHeight="1">
      <c r="A5613" s="55" t="s">
        <v>9806</v>
      </c>
      <c r="B5613" s="55" t="s">
        <v>40</v>
      </c>
      <c r="C5613" s="55" t="s">
        <v>9160</v>
      </c>
      <c r="D5613" s="55" t="s">
        <v>9817</v>
      </c>
    </row>
    <row r="5614" ht="14.25" customHeight="1">
      <c r="A5614" s="55" t="s">
        <v>9806</v>
      </c>
      <c r="B5614" s="55" t="s">
        <v>40</v>
      </c>
      <c r="C5614" s="55" t="s">
        <v>262</v>
      </c>
      <c r="D5614" s="55" t="s">
        <v>9817</v>
      </c>
    </row>
    <row r="5615" ht="14.25" customHeight="1">
      <c r="A5615" s="55" t="s">
        <v>9806</v>
      </c>
      <c r="B5615" s="55" t="s">
        <v>40</v>
      </c>
      <c r="C5615" s="55" t="s">
        <v>14418</v>
      </c>
      <c r="D5615" s="55" t="s">
        <v>14419</v>
      </c>
    </row>
    <row r="5616" ht="14.25" customHeight="1">
      <c r="A5616" s="55" t="s">
        <v>9806</v>
      </c>
      <c r="B5616" s="55" t="s">
        <v>40</v>
      </c>
      <c r="C5616" s="55" t="s">
        <v>11142</v>
      </c>
      <c r="D5616" s="55" t="s">
        <v>11143</v>
      </c>
    </row>
    <row r="5617" ht="14.25" customHeight="1">
      <c r="A5617" s="55" t="s">
        <v>9806</v>
      </c>
      <c r="B5617" s="55" t="s">
        <v>40</v>
      </c>
      <c r="C5617" s="55" t="s">
        <v>263</v>
      </c>
      <c r="D5617" s="55" t="s">
        <v>9618</v>
      </c>
    </row>
    <row r="5618" ht="14.25" customHeight="1">
      <c r="A5618" s="55" t="s">
        <v>9806</v>
      </c>
      <c r="B5618" s="55" t="s">
        <v>40</v>
      </c>
      <c r="C5618" s="55" t="s">
        <v>263</v>
      </c>
      <c r="D5618" s="55" t="s">
        <v>11144</v>
      </c>
    </row>
    <row r="5619" ht="14.25" customHeight="1">
      <c r="A5619" s="55" t="s">
        <v>9806</v>
      </c>
      <c r="B5619" s="55" t="s">
        <v>40</v>
      </c>
      <c r="C5619" s="55" t="s">
        <v>12407</v>
      </c>
      <c r="D5619" s="55" t="s">
        <v>12408</v>
      </c>
    </row>
    <row r="5620" ht="14.25" customHeight="1">
      <c r="A5620" s="55" t="s">
        <v>9806</v>
      </c>
      <c r="B5620" s="55" t="s">
        <v>40</v>
      </c>
      <c r="C5620" s="55" t="s">
        <v>264</v>
      </c>
      <c r="D5620" s="55" t="s">
        <v>11752</v>
      </c>
    </row>
    <row r="5621" ht="14.25" customHeight="1">
      <c r="A5621" s="55" t="s">
        <v>9806</v>
      </c>
      <c r="B5621" s="55" t="s">
        <v>40</v>
      </c>
      <c r="C5621" s="55" t="s">
        <v>14420</v>
      </c>
      <c r="D5621" s="55" t="s">
        <v>14421</v>
      </c>
    </row>
    <row r="5622" ht="14.25" customHeight="1">
      <c r="A5622" s="55" t="s">
        <v>9806</v>
      </c>
      <c r="B5622" s="55" t="s">
        <v>40</v>
      </c>
      <c r="C5622" s="55" t="s">
        <v>13914</v>
      </c>
      <c r="D5622" s="55" t="s">
        <v>9071</v>
      </c>
    </row>
    <row r="5623" ht="14.25" customHeight="1">
      <c r="A5623" s="55" t="s">
        <v>9806</v>
      </c>
      <c r="B5623" s="55" t="s">
        <v>40</v>
      </c>
      <c r="C5623" s="55" t="s">
        <v>4326</v>
      </c>
      <c r="D5623" s="55" t="s">
        <v>9404</v>
      </c>
    </row>
    <row r="5624" ht="14.25" customHeight="1">
      <c r="A5624" s="55" t="s">
        <v>9806</v>
      </c>
      <c r="B5624" s="55" t="s">
        <v>40</v>
      </c>
      <c r="C5624" s="55" t="s">
        <v>13276</v>
      </c>
      <c r="D5624" s="55" t="s">
        <v>9583</v>
      </c>
    </row>
    <row r="5625" ht="14.25" customHeight="1">
      <c r="A5625" s="55" t="s">
        <v>9806</v>
      </c>
      <c r="B5625" s="55" t="s">
        <v>40</v>
      </c>
      <c r="C5625" s="55" t="s">
        <v>12316</v>
      </c>
      <c r="D5625" s="55" t="s">
        <v>9404</v>
      </c>
    </row>
    <row r="5626" ht="14.25" customHeight="1">
      <c r="A5626" s="55" t="s">
        <v>9806</v>
      </c>
      <c r="B5626" s="55" t="s">
        <v>40</v>
      </c>
      <c r="C5626" s="55" t="s">
        <v>12409</v>
      </c>
      <c r="D5626" s="55" t="s">
        <v>9071</v>
      </c>
    </row>
    <row r="5627" ht="14.25" customHeight="1">
      <c r="A5627" s="55" t="s">
        <v>9806</v>
      </c>
      <c r="B5627" s="55" t="s">
        <v>40</v>
      </c>
      <c r="C5627" s="55" t="s">
        <v>12410</v>
      </c>
      <c r="D5627" s="55" t="s">
        <v>9071</v>
      </c>
    </row>
    <row r="5628" ht="14.25" customHeight="1">
      <c r="A5628" s="55" t="s">
        <v>9806</v>
      </c>
      <c r="B5628" s="55" t="s">
        <v>40</v>
      </c>
      <c r="C5628" s="55" t="s">
        <v>11145</v>
      </c>
      <c r="D5628" s="55" t="s">
        <v>10457</v>
      </c>
    </row>
    <row r="5629" ht="14.25" customHeight="1">
      <c r="A5629" s="55" t="s">
        <v>9806</v>
      </c>
      <c r="B5629" s="55" t="s">
        <v>40</v>
      </c>
      <c r="C5629" s="55" t="s">
        <v>9005</v>
      </c>
      <c r="D5629" s="55" t="s">
        <v>9006</v>
      </c>
    </row>
    <row r="5630" ht="14.25" customHeight="1">
      <c r="A5630" s="55" t="s">
        <v>9806</v>
      </c>
      <c r="B5630" s="55" t="s">
        <v>40</v>
      </c>
      <c r="C5630" s="55" t="s">
        <v>9005</v>
      </c>
      <c r="D5630" s="55" t="s">
        <v>11146</v>
      </c>
    </row>
    <row r="5631" ht="14.25" customHeight="1">
      <c r="A5631" s="55" t="s">
        <v>9806</v>
      </c>
      <c r="B5631" s="55" t="s">
        <v>40</v>
      </c>
      <c r="C5631" s="55" t="s">
        <v>9529</v>
      </c>
      <c r="D5631" s="55" t="s">
        <v>9970</v>
      </c>
    </row>
    <row r="5632" ht="14.25" customHeight="1">
      <c r="A5632" s="55" t="s">
        <v>9806</v>
      </c>
      <c r="B5632" s="55" t="s">
        <v>40</v>
      </c>
      <c r="C5632" s="55" t="s">
        <v>9007</v>
      </c>
      <c r="D5632" s="55" t="s">
        <v>9006</v>
      </c>
    </row>
    <row r="5633" ht="14.25" customHeight="1">
      <c r="A5633" s="55" t="s">
        <v>9806</v>
      </c>
      <c r="B5633" s="55" t="s">
        <v>40</v>
      </c>
      <c r="C5633" s="55" t="s">
        <v>2163</v>
      </c>
      <c r="D5633" s="55" t="s">
        <v>9021</v>
      </c>
    </row>
    <row r="5634" ht="14.25" customHeight="1">
      <c r="A5634" s="55" t="s">
        <v>9806</v>
      </c>
      <c r="B5634" s="55" t="s">
        <v>40</v>
      </c>
      <c r="C5634" s="55" t="s">
        <v>2163</v>
      </c>
      <c r="D5634" s="55" t="s">
        <v>14422</v>
      </c>
    </row>
    <row r="5635" ht="14.25" customHeight="1">
      <c r="A5635" s="55" t="s">
        <v>9806</v>
      </c>
      <c r="B5635" s="55" t="s">
        <v>40</v>
      </c>
      <c r="C5635" s="55" t="s">
        <v>11753</v>
      </c>
      <c r="D5635" s="55" t="s">
        <v>12411</v>
      </c>
    </row>
    <row r="5636" ht="14.25" customHeight="1">
      <c r="A5636" s="55" t="s">
        <v>9806</v>
      </c>
      <c r="B5636" s="55" t="s">
        <v>40</v>
      </c>
      <c r="C5636" s="55" t="s">
        <v>11753</v>
      </c>
      <c r="D5636" s="55" t="s">
        <v>9071</v>
      </c>
    </row>
    <row r="5637" ht="14.25" customHeight="1">
      <c r="A5637" s="55" t="s">
        <v>9806</v>
      </c>
      <c r="B5637" s="55" t="s">
        <v>40</v>
      </c>
      <c r="C5637" s="55" t="s">
        <v>13277</v>
      </c>
      <c r="D5637" s="55" t="s">
        <v>9741</v>
      </c>
    </row>
    <row r="5638" ht="14.25" customHeight="1">
      <c r="A5638" s="55" t="s">
        <v>9806</v>
      </c>
      <c r="B5638" s="55" t="s">
        <v>40</v>
      </c>
      <c r="C5638" s="55" t="s">
        <v>10436</v>
      </c>
      <c r="D5638" s="55" t="s">
        <v>9028</v>
      </c>
    </row>
    <row r="5639" ht="14.25" customHeight="1">
      <c r="A5639" s="55" t="s">
        <v>9806</v>
      </c>
      <c r="B5639" s="55" t="s">
        <v>40</v>
      </c>
      <c r="C5639" s="55" t="s">
        <v>11147</v>
      </c>
      <c r="D5639" s="55" t="s">
        <v>9131</v>
      </c>
    </row>
    <row r="5640" ht="14.25" customHeight="1">
      <c r="A5640" s="55" t="s">
        <v>9806</v>
      </c>
      <c r="B5640" s="55" t="s">
        <v>40</v>
      </c>
      <c r="C5640" s="55" t="s">
        <v>9823</v>
      </c>
      <c r="D5640" s="55" t="s">
        <v>9055</v>
      </c>
    </row>
    <row r="5641" ht="14.25" customHeight="1">
      <c r="A5641" s="55" t="s">
        <v>9806</v>
      </c>
      <c r="B5641" s="55" t="s">
        <v>40</v>
      </c>
      <c r="C5641" s="55" t="s">
        <v>14423</v>
      </c>
      <c r="D5641" s="55" t="s">
        <v>14424</v>
      </c>
    </row>
    <row r="5642" ht="14.25" customHeight="1">
      <c r="A5642" s="55" t="s">
        <v>9806</v>
      </c>
      <c r="B5642" s="55" t="s">
        <v>40</v>
      </c>
      <c r="C5642" s="55" t="s">
        <v>9165</v>
      </c>
      <c r="D5642" s="55" t="s">
        <v>10486</v>
      </c>
    </row>
    <row r="5643" ht="14.25" customHeight="1">
      <c r="A5643" s="55" t="s">
        <v>9806</v>
      </c>
      <c r="B5643" s="55" t="s">
        <v>40</v>
      </c>
      <c r="C5643" s="55" t="s">
        <v>14425</v>
      </c>
      <c r="D5643" s="55" t="s">
        <v>14426</v>
      </c>
    </row>
    <row r="5644" ht="14.25" customHeight="1">
      <c r="A5644" s="55" t="s">
        <v>9824</v>
      </c>
      <c r="B5644" s="55" t="s">
        <v>40</v>
      </c>
      <c r="C5644" s="55" t="s">
        <v>9034</v>
      </c>
      <c r="D5644" s="55" t="s">
        <v>12412</v>
      </c>
    </row>
    <row r="5645" ht="14.25" customHeight="1">
      <c r="A5645" s="55" t="s">
        <v>9824</v>
      </c>
      <c r="B5645" s="55" t="s">
        <v>40</v>
      </c>
      <c r="C5645" s="55" t="s">
        <v>9034</v>
      </c>
      <c r="D5645" s="55" t="s">
        <v>11867</v>
      </c>
    </row>
    <row r="5646" ht="14.25" customHeight="1">
      <c r="A5646" s="55" t="s">
        <v>9824</v>
      </c>
      <c r="B5646" s="55" t="s">
        <v>40</v>
      </c>
      <c r="C5646" s="55" t="s">
        <v>9458</v>
      </c>
      <c r="D5646" s="55" t="s">
        <v>8968</v>
      </c>
    </row>
    <row r="5647" ht="14.25" customHeight="1">
      <c r="A5647" s="55" t="s">
        <v>9824</v>
      </c>
      <c r="B5647" s="55" t="s">
        <v>40</v>
      </c>
      <c r="C5647" s="55" t="s">
        <v>62</v>
      </c>
      <c r="D5647" s="55" t="s">
        <v>9249</v>
      </c>
    </row>
    <row r="5648" ht="14.25" customHeight="1">
      <c r="A5648" s="55" t="s">
        <v>9824</v>
      </c>
      <c r="B5648" s="55" t="s">
        <v>40</v>
      </c>
      <c r="C5648" s="55" t="s">
        <v>2408</v>
      </c>
      <c r="D5648" s="55" t="s">
        <v>9875</v>
      </c>
    </row>
    <row r="5649" ht="14.25" customHeight="1">
      <c r="A5649" s="55" t="s">
        <v>9824</v>
      </c>
      <c r="B5649" s="55" t="s">
        <v>40</v>
      </c>
      <c r="C5649" s="55" t="s">
        <v>2408</v>
      </c>
      <c r="D5649" s="55" t="s">
        <v>9836</v>
      </c>
    </row>
    <row r="5650" ht="14.25" customHeight="1">
      <c r="A5650" s="55" t="s">
        <v>9824</v>
      </c>
      <c r="B5650" s="55" t="s">
        <v>40</v>
      </c>
      <c r="C5650" s="55" t="s">
        <v>2408</v>
      </c>
      <c r="D5650" s="55" t="s">
        <v>13915</v>
      </c>
    </row>
    <row r="5651" ht="14.25" customHeight="1">
      <c r="A5651" s="55" t="s">
        <v>9824</v>
      </c>
      <c r="B5651" s="55" t="s">
        <v>40</v>
      </c>
      <c r="C5651" s="55" t="s">
        <v>13278</v>
      </c>
      <c r="D5651" s="55" t="s">
        <v>13279</v>
      </c>
    </row>
    <row r="5652" ht="14.25" customHeight="1">
      <c r="A5652" s="55" t="s">
        <v>9824</v>
      </c>
      <c r="B5652" s="55" t="s">
        <v>40</v>
      </c>
      <c r="C5652" s="55" t="s">
        <v>9603</v>
      </c>
      <c r="D5652" s="55" t="s">
        <v>9825</v>
      </c>
    </row>
    <row r="5653" ht="14.25" customHeight="1">
      <c r="A5653" s="55" t="s">
        <v>9824</v>
      </c>
      <c r="B5653" s="55" t="s">
        <v>40</v>
      </c>
      <c r="C5653" s="55" t="s">
        <v>4609</v>
      </c>
      <c r="D5653" s="55" t="s">
        <v>9669</v>
      </c>
    </row>
    <row r="5654" ht="14.25" customHeight="1">
      <c r="A5654" s="55" t="s">
        <v>9824</v>
      </c>
      <c r="B5654" s="55" t="s">
        <v>40</v>
      </c>
      <c r="C5654" s="55" t="s">
        <v>1889</v>
      </c>
      <c r="D5654" s="55" t="s">
        <v>14089</v>
      </c>
    </row>
    <row r="5655" ht="14.25" customHeight="1">
      <c r="A5655" s="55" t="s">
        <v>9824</v>
      </c>
      <c r="B5655" s="55" t="s">
        <v>40</v>
      </c>
      <c r="C5655" s="55" t="s">
        <v>9826</v>
      </c>
      <c r="D5655" s="55" t="s">
        <v>9073</v>
      </c>
    </row>
    <row r="5656" ht="14.25" customHeight="1">
      <c r="A5656" s="55" t="s">
        <v>9824</v>
      </c>
      <c r="B5656" s="55" t="s">
        <v>40</v>
      </c>
      <c r="C5656" s="55" t="s">
        <v>11023</v>
      </c>
      <c r="D5656" s="55" t="s">
        <v>9075</v>
      </c>
    </row>
    <row r="5657" ht="14.25" customHeight="1">
      <c r="A5657" s="55" t="s">
        <v>9824</v>
      </c>
      <c r="B5657" s="55" t="s">
        <v>40</v>
      </c>
      <c r="C5657" s="55" t="s">
        <v>776</v>
      </c>
      <c r="D5657" s="55" t="s">
        <v>12413</v>
      </c>
    </row>
    <row r="5658" ht="14.25" customHeight="1">
      <c r="A5658" s="55" t="s">
        <v>9824</v>
      </c>
      <c r="B5658" s="55" t="s">
        <v>40</v>
      </c>
      <c r="C5658" s="55" t="s">
        <v>11754</v>
      </c>
      <c r="D5658" s="55" t="s">
        <v>11755</v>
      </c>
    </row>
    <row r="5659" ht="14.25" customHeight="1">
      <c r="A5659" s="55" t="s">
        <v>9824</v>
      </c>
      <c r="B5659" s="55" t="s">
        <v>40</v>
      </c>
      <c r="C5659" s="55" t="s">
        <v>13280</v>
      </c>
      <c r="D5659" s="55" t="s">
        <v>13281</v>
      </c>
    </row>
    <row r="5660" ht="14.25" customHeight="1">
      <c r="A5660" s="55" t="s">
        <v>9824</v>
      </c>
      <c r="B5660" s="55" t="s">
        <v>40</v>
      </c>
      <c r="C5660" s="55" t="s">
        <v>9121</v>
      </c>
      <c r="D5660" s="55" t="s">
        <v>9827</v>
      </c>
    </row>
    <row r="5661" ht="14.25" customHeight="1">
      <c r="A5661" s="55" t="s">
        <v>9824</v>
      </c>
      <c r="B5661" s="55" t="s">
        <v>40</v>
      </c>
      <c r="C5661" s="55" t="s">
        <v>9828</v>
      </c>
      <c r="D5661" s="55" t="s">
        <v>9829</v>
      </c>
    </row>
    <row r="5662" ht="14.25" customHeight="1">
      <c r="A5662" s="55" t="s">
        <v>9824</v>
      </c>
      <c r="B5662" s="55" t="s">
        <v>40</v>
      </c>
      <c r="C5662" s="55" t="s">
        <v>2928</v>
      </c>
      <c r="D5662" s="55" t="s">
        <v>9404</v>
      </c>
    </row>
    <row r="5663" ht="14.25" customHeight="1">
      <c r="A5663" s="55" t="s">
        <v>9824</v>
      </c>
      <c r="B5663" s="55" t="s">
        <v>40</v>
      </c>
      <c r="C5663" s="55" t="s">
        <v>11148</v>
      </c>
      <c r="D5663" s="55" t="s">
        <v>11149</v>
      </c>
    </row>
    <row r="5664" ht="14.25" customHeight="1">
      <c r="A5664" s="55" t="s">
        <v>9824</v>
      </c>
      <c r="B5664" s="55" t="s">
        <v>40</v>
      </c>
      <c r="C5664" s="55" t="s">
        <v>1009</v>
      </c>
      <c r="D5664" s="55" t="s">
        <v>11150</v>
      </c>
    </row>
    <row r="5665" ht="14.25" customHeight="1">
      <c r="A5665" s="55" t="s">
        <v>9824</v>
      </c>
      <c r="B5665" s="55" t="s">
        <v>40</v>
      </c>
      <c r="C5665" s="55" t="s">
        <v>13282</v>
      </c>
      <c r="D5665" s="55" t="s">
        <v>13283</v>
      </c>
    </row>
    <row r="5666" ht="14.25" customHeight="1">
      <c r="A5666" s="55" t="s">
        <v>9824</v>
      </c>
      <c r="B5666" s="55" t="s">
        <v>40</v>
      </c>
      <c r="C5666" s="55" t="s">
        <v>9139</v>
      </c>
      <c r="D5666" s="55" t="s">
        <v>13284</v>
      </c>
    </row>
    <row r="5667" ht="14.25" customHeight="1">
      <c r="A5667" s="55" t="s">
        <v>9824</v>
      </c>
      <c r="B5667" s="55" t="s">
        <v>40</v>
      </c>
      <c r="C5667" s="55" t="s">
        <v>11151</v>
      </c>
      <c r="D5667" s="55" t="s">
        <v>11152</v>
      </c>
    </row>
    <row r="5668" ht="14.25" customHeight="1">
      <c r="A5668" s="55" t="s">
        <v>9824</v>
      </c>
      <c r="B5668" s="55" t="s">
        <v>40</v>
      </c>
      <c r="C5668" s="55" t="s">
        <v>7967</v>
      </c>
      <c r="D5668" s="55" t="s">
        <v>11153</v>
      </c>
    </row>
    <row r="5669" ht="14.25" customHeight="1">
      <c r="A5669" s="55" t="s">
        <v>9824</v>
      </c>
      <c r="B5669" s="55" t="s">
        <v>40</v>
      </c>
      <c r="C5669" s="55" t="s">
        <v>9830</v>
      </c>
      <c r="D5669" s="55" t="s">
        <v>9831</v>
      </c>
    </row>
    <row r="5670" ht="14.25" customHeight="1">
      <c r="A5670" s="55" t="s">
        <v>9824</v>
      </c>
      <c r="B5670" s="55" t="s">
        <v>40</v>
      </c>
      <c r="C5670" s="55" t="s">
        <v>9832</v>
      </c>
      <c r="D5670" s="55" t="s">
        <v>9778</v>
      </c>
    </row>
    <row r="5671" ht="14.25" customHeight="1">
      <c r="A5671" s="55" t="s">
        <v>9824</v>
      </c>
      <c r="B5671" s="55" t="s">
        <v>40</v>
      </c>
      <c r="C5671" s="55" t="s">
        <v>9832</v>
      </c>
      <c r="D5671" s="55" t="s">
        <v>9075</v>
      </c>
    </row>
    <row r="5672" ht="14.25" customHeight="1">
      <c r="A5672" s="55" t="s">
        <v>9824</v>
      </c>
      <c r="B5672" s="55" t="s">
        <v>40</v>
      </c>
      <c r="C5672" s="55" t="s">
        <v>6354</v>
      </c>
      <c r="D5672" s="55" t="s">
        <v>9034</v>
      </c>
    </row>
    <row r="5673" ht="14.25" customHeight="1">
      <c r="A5673" s="55" t="s">
        <v>9824</v>
      </c>
      <c r="B5673" s="55" t="s">
        <v>40</v>
      </c>
      <c r="C5673" s="55" t="s">
        <v>13285</v>
      </c>
      <c r="D5673" s="55" t="s">
        <v>13286</v>
      </c>
    </row>
    <row r="5674" ht="14.25" customHeight="1">
      <c r="A5674" s="55" t="s">
        <v>9824</v>
      </c>
      <c r="B5674" s="55" t="s">
        <v>40</v>
      </c>
      <c r="C5674" s="55" t="s">
        <v>11154</v>
      </c>
      <c r="D5674" s="55" t="s">
        <v>9404</v>
      </c>
    </row>
    <row r="5675" ht="14.25" customHeight="1">
      <c r="A5675" s="55" t="s">
        <v>9824</v>
      </c>
      <c r="B5675" s="55" t="s">
        <v>40</v>
      </c>
      <c r="C5675" s="55" t="s">
        <v>9833</v>
      </c>
      <c r="D5675" s="55" t="s">
        <v>9834</v>
      </c>
    </row>
    <row r="5676" ht="14.25" customHeight="1">
      <c r="A5676" s="55" t="s">
        <v>9824</v>
      </c>
      <c r="B5676" s="55" t="s">
        <v>40</v>
      </c>
      <c r="C5676" s="55" t="s">
        <v>8053</v>
      </c>
      <c r="D5676" s="55" t="s">
        <v>9825</v>
      </c>
    </row>
    <row r="5677" ht="14.25" customHeight="1">
      <c r="A5677" s="55" t="s">
        <v>9824</v>
      </c>
      <c r="B5677" s="55" t="s">
        <v>40</v>
      </c>
      <c r="C5677" s="55" t="s">
        <v>13287</v>
      </c>
      <c r="D5677" s="55" t="s">
        <v>9073</v>
      </c>
    </row>
    <row r="5678" ht="14.25" customHeight="1">
      <c r="A5678" s="55" t="s">
        <v>9824</v>
      </c>
      <c r="B5678" s="55" t="s">
        <v>40</v>
      </c>
      <c r="C5678" s="55" t="s">
        <v>9835</v>
      </c>
      <c r="D5678" s="55" t="s">
        <v>9075</v>
      </c>
    </row>
    <row r="5679" ht="14.25" customHeight="1">
      <c r="A5679" s="55" t="s">
        <v>9824</v>
      </c>
      <c r="B5679" s="55" t="s">
        <v>40</v>
      </c>
      <c r="C5679" s="55" t="s">
        <v>310</v>
      </c>
      <c r="D5679" s="55" t="s">
        <v>9075</v>
      </c>
    </row>
    <row r="5680" ht="14.25" customHeight="1">
      <c r="A5680" s="55" t="s">
        <v>9824</v>
      </c>
      <c r="B5680" s="55" t="s">
        <v>40</v>
      </c>
      <c r="C5680" s="55" t="s">
        <v>13916</v>
      </c>
      <c r="D5680" s="55" t="s">
        <v>13917</v>
      </c>
    </row>
    <row r="5681" ht="14.25" customHeight="1">
      <c r="A5681" s="55" t="s">
        <v>9824</v>
      </c>
      <c r="B5681" s="55" t="s">
        <v>40</v>
      </c>
      <c r="C5681" s="55" t="s">
        <v>11155</v>
      </c>
      <c r="D5681" s="55" t="s">
        <v>11156</v>
      </c>
    </row>
    <row r="5682" ht="14.25" customHeight="1">
      <c r="A5682" s="55" t="s">
        <v>9824</v>
      </c>
      <c r="B5682" s="55" t="s">
        <v>40</v>
      </c>
      <c r="C5682" s="55" t="s">
        <v>11756</v>
      </c>
      <c r="D5682" s="55" t="s">
        <v>9109</v>
      </c>
    </row>
    <row r="5683" ht="14.25" customHeight="1">
      <c r="A5683" s="55" t="s">
        <v>9824</v>
      </c>
      <c r="B5683" s="55" t="s">
        <v>40</v>
      </c>
      <c r="C5683" s="55" t="s">
        <v>167</v>
      </c>
      <c r="D5683" s="55" t="s">
        <v>12414</v>
      </c>
    </row>
    <row r="5684" ht="14.25" customHeight="1">
      <c r="A5684" s="55" t="s">
        <v>9824</v>
      </c>
      <c r="B5684" s="55" t="s">
        <v>40</v>
      </c>
      <c r="C5684" s="55" t="s">
        <v>3517</v>
      </c>
      <c r="D5684" s="55" t="s">
        <v>13288</v>
      </c>
    </row>
    <row r="5685" ht="14.25" customHeight="1">
      <c r="A5685" s="55" t="s">
        <v>9824</v>
      </c>
      <c r="B5685" s="55" t="s">
        <v>40</v>
      </c>
      <c r="C5685" s="55" t="s">
        <v>11612</v>
      </c>
      <c r="D5685" s="55" t="s">
        <v>12415</v>
      </c>
    </row>
    <row r="5686" ht="14.25" customHeight="1">
      <c r="A5686" s="55" t="s">
        <v>9824</v>
      </c>
      <c r="B5686" s="55" t="s">
        <v>40</v>
      </c>
      <c r="C5686" s="55" t="s">
        <v>3566</v>
      </c>
      <c r="D5686" s="55" t="s">
        <v>9825</v>
      </c>
    </row>
    <row r="5687" ht="14.25" customHeight="1">
      <c r="A5687" s="55" t="s">
        <v>9824</v>
      </c>
      <c r="B5687" s="55" t="s">
        <v>40</v>
      </c>
      <c r="C5687" s="55" t="s">
        <v>3566</v>
      </c>
      <c r="D5687" s="55" t="s">
        <v>12416</v>
      </c>
    </row>
    <row r="5688" ht="14.25" customHeight="1">
      <c r="A5688" s="55" t="s">
        <v>9824</v>
      </c>
      <c r="B5688" s="55" t="s">
        <v>40</v>
      </c>
      <c r="C5688" s="55" t="s">
        <v>3566</v>
      </c>
      <c r="D5688" s="55" t="s">
        <v>9028</v>
      </c>
    </row>
    <row r="5689" ht="14.25" customHeight="1">
      <c r="A5689" s="55" t="s">
        <v>9824</v>
      </c>
      <c r="B5689" s="55" t="s">
        <v>40</v>
      </c>
      <c r="C5689" s="55" t="s">
        <v>3566</v>
      </c>
      <c r="D5689" s="55" t="s">
        <v>9836</v>
      </c>
    </row>
    <row r="5690" ht="14.25" customHeight="1">
      <c r="A5690" s="55" t="s">
        <v>9824</v>
      </c>
      <c r="B5690" s="55" t="s">
        <v>40</v>
      </c>
      <c r="C5690" s="55" t="s">
        <v>3596</v>
      </c>
      <c r="D5690" s="55" t="s">
        <v>9073</v>
      </c>
    </row>
    <row r="5691" ht="14.25" customHeight="1">
      <c r="A5691" s="55" t="s">
        <v>9824</v>
      </c>
      <c r="B5691" s="55" t="s">
        <v>40</v>
      </c>
      <c r="C5691" s="55" t="s">
        <v>3596</v>
      </c>
      <c r="D5691" s="55" t="s">
        <v>11560</v>
      </c>
    </row>
    <row r="5692" ht="14.25" customHeight="1">
      <c r="A5692" s="55" t="s">
        <v>9824</v>
      </c>
      <c r="B5692" s="55" t="s">
        <v>40</v>
      </c>
      <c r="C5692" s="55" t="s">
        <v>13289</v>
      </c>
      <c r="D5692" s="55" t="s">
        <v>9034</v>
      </c>
    </row>
    <row r="5693" ht="14.25" customHeight="1">
      <c r="A5693" s="55" t="s">
        <v>9824</v>
      </c>
      <c r="B5693" s="55" t="s">
        <v>40</v>
      </c>
      <c r="C5693" s="55" t="s">
        <v>9392</v>
      </c>
      <c r="D5693" s="55" t="s">
        <v>11757</v>
      </c>
    </row>
    <row r="5694" ht="14.25" customHeight="1">
      <c r="A5694" s="55" t="s">
        <v>9824</v>
      </c>
      <c r="B5694" s="55" t="s">
        <v>40</v>
      </c>
      <c r="C5694" s="55" t="s">
        <v>332</v>
      </c>
      <c r="D5694" s="55" t="s">
        <v>9837</v>
      </c>
    </row>
    <row r="5695" ht="14.25" customHeight="1">
      <c r="A5695" s="55" t="s">
        <v>9824</v>
      </c>
      <c r="B5695" s="55" t="s">
        <v>40</v>
      </c>
      <c r="C5695" s="55" t="s">
        <v>11157</v>
      </c>
      <c r="D5695" s="55" t="s">
        <v>11158</v>
      </c>
    </row>
    <row r="5696" ht="14.25" customHeight="1">
      <c r="A5696" s="55" t="s">
        <v>9824</v>
      </c>
      <c r="B5696" s="55" t="s">
        <v>40</v>
      </c>
      <c r="C5696" s="55" t="s">
        <v>10437</v>
      </c>
      <c r="D5696" s="55" t="s">
        <v>10438</v>
      </c>
    </row>
    <row r="5697" ht="14.25" customHeight="1">
      <c r="A5697" s="55" t="s">
        <v>9824</v>
      </c>
      <c r="B5697" s="55" t="s">
        <v>40</v>
      </c>
      <c r="C5697" s="55" t="s">
        <v>13290</v>
      </c>
      <c r="D5697" s="55" t="s">
        <v>13291</v>
      </c>
    </row>
    <row r="5698" ht="14.25" customHeight="1">
      <c r="A5698" s="55" t="s">
        <v>9824</v>
      </c>
      <c r="B5698" s="55" t="s">
        <v>40</v>
      </c>
      <c r="C5698" s="55" t="s">
        <v>11758</v>
      </c>
      <c r="D5698" s="55" t="s">
        <v>11759</v>
      </c>
    </row>
    <row r="5699" ht="14.25" customHeight="1">
      <c r="A5699" s="55" t="s">
        <v>9824</v>
      </c>
      <c r="B5699" s="55" t="s">
        <v>40</v>
      </c>
      <c r="C5699" s="55" t="s">
        <v>9562</v>
      </c>
      <c r="D5699" s="55" t="s">
        <v>405</v>
      </c>
    </row>
    <row r="5700" ht="14.25" customHeight="1">
      <c r="A5700" s="55" t="s">
        <v>9824</v>
      </c>
      <c r="B5700" s="55" t="s">
        <v>40</v>
      </c>
      <c r="C5700" s="55" t="s">
        <v>215</v>
      </c>
      <c r="D5700" s="55" t="s">
        <v>9109</v>
      </c>
    </row>
    <row r="5701" ht="14.25" customHeight="1">
      <c r="A5701" s="55" t="s">
        <v>9824</v>
      </c>
      <c r="B5701" s="55" t="s">
        <v>40</v>
      </c>
      <c r="C5701" s="55" t="s">
        <v>9156</v>
      </c>
      <c r="D5701" s="55" t="s">
        <v>9152</v>
      </c>
    </row>
    <row r="5702" ht="14.25" customHeight="1">
      <c r="A5702" s="55" t="s">
        <v>9824</v>
      </c>
      <c r="B5702" s="55" t="s">
        <v>40</v>
      </c>
      <c r="C5702" s="55" t="s">
        <v>11159</v>
      </c>
      <c r="D5702" s="55" t="s">
        <v>10457</v>
      </c>
    </row>
    <row r="5703" ht="14.25" customHeight="1">
      <c r="A5703" s="55" t="s">
        <v>9824</v>
      </c>
      <c r="B5703" s="55" t="s">
        <v>40</v>
      </c>
      <c r="C5703" s="55" t="s">
        <v>8576</v>
      </c>
      <c r="D5703" s="55" t="s">
        <v>12417</v>
      </c>
    </row>
    <row r="5704" ht="14.25" customHeight="1">
      <c r="A5704" s="55" t="s">
        <v>9824</v>
      </c>
      <c r="B5704" s="55" t="s">
        <v>40</v>
      </c>
      <c r="C5704" s="55" t="s">
        <v>8576</v>
      </c>
      <c r="D5704" s="55" t="s">
        <v>11160</v>
      </c>
    </row>
    <row r="5705" ht="14.25" customHeight="1">
      <c r="A5705" s="55" t="s">
        <v>9824</v>
      </c>
      <c r="B5705" s="55" t="s">
        <v>40</v>
      </c>
      <c r="C5705" s="55" t="s">
        <v>11161</v>
      </c>
      <c r="D5705" s="55" t="s">
        <v>11162</v>
      </c>
    </row>
    <row r="5706" ht="14.25" customHeight="1">
      <c r="A5706" s="55" t="s">
        <v>9824</v>
      </c>
      <c r="B5706" s="55" t="s">
        <v>40</v>
      </c>
      <c r="C5706" s="55" t="s">
        <v>4035</v>
      </c>
      <c r="D5706" s="55" t="s">
        <v>11970</v>
      </c>
    </row>
    <row r="5707" ht="14.25" customHeight="1">
      <c r="A5707" s="55" t="s">
        <v>9824</v>
      </c>
      <c r="B5707" s="55" t="s">
        <v>40</v>
      </c>
      <c r="C5707" s="55" t="s">
        <v>4035</v>
      </c>
      <c r="D5707" s="55" t="s">
        <v>8968</v>
      </c>
    </row>
    <row r="5708" ht="14.25" customHeight="1">
      <c r="A5708" s="55" t="s">
        <v>9824</v>
      </c>
      <c r="B5708" s="55" t="s">
        <v>40</v>
      </c>
      <c r="C5708" s="55" t="s">
        <v>12418</v>
      </c>
      <c r="D5708" s="55" t="s">
        <v>12419</v>
      </c>
    </row>
    <row r="5709" ht="14.25" customHeight="1">
      <c r="A5709" s="55" t="s">
        <v>9824</v>
      </c>
      <c r="B5709" s="55" t="s">
        <v>40</v>
      </c>
      <c r="C5709" s="55" t="s">
        <v>11163</v>
      </c>
      <c r="D5709" s="55" t="s">
        <v>9055</v>
      </c>
    </row>
    <row r="5710" ht="14.25" customHeight="1">
      <c r="A5710" s="55" t="s">
        <v>9824</v>
      </c>
      <c r="B5710" s="55" t="s">
        <v>40</v>
      </c>
      <c r="C5710" s="55" t="s">
        <v>13292</v>
      </c>
      <c r="D5710" s="55" t="s">
        <v>9825</v>
      </c>
    </row>
    <row r="5711" ht="14.25" customHeight="1">
      <c r="A5711" s="55" t="s">
        <v>9824</v>
      </c>
      <c r="B5711" s="55" t="s">
        <v>40</v>
      </c>
      <c r="C5711" s="55" t="s">
        <v>13918</v>
      </c>
      <c r="D5711" s="55" t="s">
        <v>13919</v>
      </c>
    </row>
    <row r="5712" ht="14.25" customHeight="1">
      <c r="A5712" s="55" t="s">
        <v>9824</v>
      </c>
      <c r="B5712" s="55" t="s">
        <v>40</v>
      </c>
      <c r="C5712" s="55" t="s">
        <v>11164</v>
      </c>
      <c r="D5712" s="55" t="s">
        <v>9055</v>
      </c>
    </row>
    <row r="5713" ht="14.25" customHeight="1">
      <c r="A5713" s="55" t="s">
        <v>9824</v>
      </c>
      <c r="B5713" s="55" t="s">
        <v>40</v>
      </c>
      <c r="C5713" s="55" t="s">
        <v>254</v>
      </c>
      <c r="D5713" s="55" t="s">
        <v>12025</v>
      </c>
    </row>
    <row r="5714" ht="14.25" customHeight="1">
      <c r="A5714" s="55" t="s">
        <v>9824</v>
      </c>
      <c r="B5714" s="55" t="s">
        <v>40</v>
      </c>
      <c r="C5714" s="55" t="s">
        <v>257</v>
      </c>
      <c r="D5714" s="55" t="s">
        <v>9151</v>
      </c>
    </row>
    <row r="5715" ht="14.25" customHeight="1">
      <c r="A5715" s="55" t="s">
        <v>9824</v>
      </c>
      <c r="B5715" s="55" t="s">
        <v>40</v>
      </c>
      <c r="C5715" s="55" t="s">
        <v>12731</v>
      </c>
      <c r="D5715" s="55" t="s">
        <v>9073</v>
      </c>
    </row>
    <row r="5716" ht="14.25" customHeight="1">
      <c r="A5716" s="55" t="s">
        <v>9824</v>
      </c>
      <c r="B5716" s="55" t="s">
        <v>40</v>
      </c>
      <c r="C5716" s="55" t="s">
        <v>9090</v>
      </c>
      <c r="D5716" s="55" t="s">
        <v>10439</v>
      </c>
    </row>
    <row r="5717" ht="14.25" customHeight="1">
      <c r="A5717" s="55" t="s">
        <v>9824</v>
      </c>
      <c r="B5717" s="55" t="s">
        <v>40</v>
      </c>
      <c r="C5717" s="55" t="s">
        <v>12782</v>
      </c>
      <c r="D5717" s="55" t="s">
        <v>11076</v>
      </c>
    </row>
    <row r="5718" ht="14.25" customHeight="1">
      <c r="A5718" s="55" t="s">
        <v>9824</v>
      </c>
      <c r="B5718" s="55" t="s">
        <v>40</v>
      </c>
      <c r="C5718" s="55" t="s">
        <v>261</v>
      </c>
      <c r="D5718" s="55" t="s">
        <v>11076</v>
      </c>
    </row>
    <row r="5719" ht="14.25" customHeight="1">
      <c r="A5719" s="55" t="s">
        <v>9824</v>
      </c>
      <c r="B5719" s="55" t="s">
        <v>40</v>
      </c>
      <c r="C5719" s="55" t="s">
        <v>9160</v>
      </c>
      <c r="D5719" s="55" t="s">
        <v>9073</v>
      </c>
    </row>
    <row r="5720" ht="14.25" customHeight="1">
      <c r="A5720" s="55" t="s">
        <v>9824</v>
      </c>
      <c r="B5720" s="55" t="s">
        <v>40</v>
      </c>
      <c r="C5720" s="55" t="s">
        <v>262</v>
      </c>
      <c r="D5720" s="55" t="s">
        <v>9071</v>
      </c>
    </row>
    <row r="5721" ht="14.25" customHeight="1">
      <c r="A5721" s="55" t="s">
        <v>9824</v>
      </c>
      <c r="B5721" s="55" t="s">
        <v>40</v>
      </c>
      <c r="C5721" s="55" t="s">
        <v>262</v>
      </c>
      <c r="D5721" s="55" t="s">
        <v>11089</v>
      </c>
    </row>
    <row r="5722" ht="14.25" customHeight="1">
      <c r="A5722" s="55" t="s">
        <v>9824</v>
      </c>
      <c r="B5722" s="55" t="s">
        <v>40</v>
      </c>
      <c r="C5722" s="55" t="s">
        <v>11165</v>
      </c>
      <c r="D5722" s="55" t="s">
        <v>10973</v>
      </c>
    </row>
    <row r="5723" ht="14.25" customHeight="1">
      <c r="A5723" s="55" t="s">
        <v>9824</v>
      </c>
      <c r="B5723" s="55" t="s">
        <v>40</v>
      </c>
      <c r="C5723" s="55" t="s">
        <v>11166</v>
      </c>
      <c r="D5723" s="55" t="s">
        <v>9034</v>
      </c>
    </row>
    <row r="5724" ht="14.25" customHeight="1">
      <c r="A5724" s="55" t="s">
        <v>9824</v>
      </c>
      <c r="B5724" s="55" t="s">
        <v>40</v>
      </c>
      <c r="C5724" s="55" t="s">
        <v>9005</v>
      </c>
      <c r="D5724" s="55" t="s">
        <v>9006</v>
      </c>
    </row>
    <row r="5725" ht="14.25" customHeight="1">
      <c r="A5725" s="55" t="s">
        <v>9824</v>
      </c>
      <c r="B5725" s="55" t="s">
        <v>40</v>
      </c>
      <c r="C5725" s="55" t="s">
        <v>2163</v>
      </c>
      <c r="D5725" s="55" t="s">
        <v>9021</v>
      </c>
    </row>
    <row r="5726" ht="14.25" customHeight="1">
      <c r="A5726" s="55" t="s">
        <v>9824</v>
      </c>
      <c r="B5726" s="55" t="s">
        <v>41</v>
      </c>
      <c r="C5726" s="55" t="s">
        <v>9172</v>
      </c>
      <c r="D5726" s="55" t="s">
        <v>9836</v>
      </c>
    </row>
    <row r="5727" ht="14.25" customHeight="1">
      <c r="A5727" s="55" t="s">
        <v>9824</v>
      </c>
      <c r="B5727" s="55" t="s">
        <v>41</v>
      </c>
      <c r="C5727" s="55" t="s">
        <v>13920</v>
      </c>
      <c r="D5727" s="55" t="s">
        <v>8968</v>
      </c>
    </row>
    <row r="5728" ht="14.25" customHeight="1">
      <c r="A5728" s="55" t="s">
        <v>9824</v>
      </c>
      <c r="B5728" s="55" t="s">
        <v>41</v>
      </c>
      <c r="C5728" s="55" t="s">
        <v>13293</v>
      </c>
      <c r="D5728" s="55" t="s">
        <v>9131</v>
      </c>
    </row>
    <row r="5729" ht="14.25" customHeight="1">
      <c r="A5729" s="55" t="s">
        <v>9824</v>
      </c>
      <c r="B5729" s="55" t="s">
        <v>41</v>
      </c>
      <c r="C5729" s="55" t="s">
        <v>129</v>
      </c>
      <c r="D5729" s="55" t="s">
        <v>10819</v>
      </c>
    </row>
    <row r="5730" ht="14.25" customHeight="1">
      <c r="A5730" s="55" t="s">
        <v>9824</v>
      </c>
      <c r="B5730" s="55" t="s">
        <v>41</v>
      </c>
      <c r="C5730" s="55" t="s">
        <v>10440</v>
      </c>
      <c r="D5730" s="55" t="s">
        <v>10441</v>
      </c>
    </row>
    <row r="5731" ht="14.25" customHeight="1">
      <c r="A5731" s="55" t="s">
        <v>9824</v>
      </c>
      <c r="B5731" s="55" t="s">
        <v>41</v>
      </c>
      <c r="C5731" s="55" t="s">
        <v>11167</v>
      </c>
      <c r="D5731" s="55" t="s">
        <v>8968</v>
      </c>
    </row>
    <row r="5732" ht="14.25" customHeight="1">
      <c r="A5732" s="55" t="s">
        <v>9824</v>
      </c>
      <c r="B5732" s="55" t="s">
        <v>41</v>
      </c>
      <c r="C5732" s="55" t="s">
        <v>8053</v>
      </c>
      <c r="D5732" s="55" t="s">
        <v>11160</v>
      </c>
    </row>
    <row r="5733" ht="14.25" customHeight="1">
      <c r="A5733" s="55" t="s">
        <v>9824</v>
      </c>
      <c r="B5733" s="55" t="s">
        <v>41</v>
      </c>
      <c r="C5733" s="55" t="s">
        <v>153</v>
      </c>
      <c r="D5733" s="55" t="s">
        <v>10080</v>
      </c>
    </row>
    <row r="5734" ht="14.25" customHeight="1">
      <c r="A5734" s="55" t="s">
        <v>9824</v>
      </c>
      <c r="B5734" s="55" t="s">
        <v>41</v>
      </c>
      <c r="C5734" s="55" t="s">
        <v>10683</v>
      </c>
      <c r="D5734" s="55" t="s">
        <v>8968</v>
      </c>
    </row>
    <row r="5735" ht="14.25" customHeight="1">
      <c r="A5735" s="55" t="s">
        <v>9824</v>
      </c>
      <c r="B5735" s="55" t="s">
        <v>41</v>
      </c>
      <c r="C5735" s="55" t="s">
        <v>10683</v>
      </c>
      <c r="D5735" s="55" t="s">
        <v>9073</v>
      </c>
    </row>
    <row r="5736" ht="14.25" customHeight="1">
      <c r="A5736" s="55" t="s">
        <v>9824</v>
      </c>
      <c r="B5736" s="55" t="s">
        <v>41</v>
      </c>
      <c r="C5736" s="55" t="s">
        <v>11612</v>
      </c>
      <c r="D5736" s="55" t="s">
        <v>13921</v>
      </c>
    </row>
    <row r="5737" ht="14.25" customHeight="1">
      <c r="A5737" s="55" t="s">
        <v>9824</v>
      </c>
      <c r="B5737" s="55" t="s">
        <v>41</v>
      </c>
      <c r="C5737" s="55" t="s">
        <v>3566</v>
      </c>
      <c r="D5737" s="55" t="s">
        <v>11160</v>
      </c>
    </row>
    <row r="5738" ht="14.25" customHeight="1">
      <c r="A5738" s="55" t="s">
        <v>9824</v>
      </c>
      <c r="B5738" s="55" t="s">
        <v>41</v>
      </c>
      <c r="C5738" s="55" t="s">
        <v>8398</v>
      </c>
      <c r="D5738" s="55" t="s">
        <v>13294</v>
      </c>
    </row>
    <row r="5739" ht="14.25" customHeight="1">
      <c r="A5739" s="55" t="s">
        <v>9824</v>
      </c>
      <c r="B5739" s="55" t="s">
        <v>41</v>
      </c>
      <c r="C5739" s="55" t="s">
        <v>10586</v>
      </c>
      <c r="D5739" s="55" t="s">
        <v>8968</v>
      </c>
    </row>
    <row r="5740" ht="14.25" customHeight="1">
      <c r="A5740" s="55" t="s">
        <v>9824</v>
      </c>
      <c r="B5740" s="55" t="s">
        <v>41</v>
      </c>
      <c r="C5740" s="55" t="s">
        <v>4035</v>
      </c>
      <c r="D5740" s="55" t="s">
        <v>13922</v>
      </c>
    </row>
    <row r="5741" ht="14.25" customHeight="1">
      <c r="A5741" s="55" t="s">
        <v>9824</v>
      </c>
      <c r="B5741" s="55" t="s">
        <v>41</v>
      </c>
      <c r="C5741" s="55" t="s">
        <v>4035</v>
      </c>
      <c r="D5741" s="55" t="s">
        <v>10124</v>
      </c>
    </row>
    <row r="5742" ht="14.25" customHeight="1">
      <c r="A5742" s="55" t="s">
        <v>9824</v>
      </c>
      <c r="B5742" s="55" t="s">
        <v>41</v>
      </c>
      <c r="C5742" s="55" t="s">
        <v>10442</v>
      </c>
      <c r="D5742" s="55" t="s">
        <v>10443</v>
      </c>
    </row>
    <row r="5743" ht="14.25" customHeight="1">
      <c r="A5743" s="55" t="s">
        <v>9824</v>
      </c>
      <c r="B5743" s="55" t="s">
        <v>13</v>
      </c>
      <c r="C5743" s="55" t="s">
        <v>2408</v>
      </c>
      <c r="D5743" s="55" t="s">
        <v>13923</v>
      </c>
    </row>
    <row r="5744" ht="14.25" customHeight="1">
      <c r="A5744" s="55" t="s">
        <v>9824</v>
      </c>
      <c r="B5744" s="55" t="s">
        <v>13</v>
      </c>
      <c r="C5744" s="55" t="s">
        <v>10444</v>
      </c>
      <c r="D5744" s="55" t="s">
        <v>10445</v>
      </c>
    </row>
    <row r="5745" ht="14.25" customHeight="1">
      <c r="A5745" s="55" t="s">
        <v>9824</v>
      </c>
      <c r="B5745" s="55" t="s">
        <v>13</v>
      </c>
      <c r="C5745" s="55" t="s">
        <v>13295</v>
      </c>
      <c r="D5745" s="55" t="s">
        <v>12743</v>
      </c>
    </row>
    <row r="5746" ht="14.25" customHeight="1">
      <c r="A5746" s="55" t="s">
        <v>9824</v>
      </c>
      <c r="B5746" s="55" t="s">
        <v>13</v>
      </c>
      <c r="C5746" s="55" t="s">
        <v>9121</v>
      </c>
      <c r="D5746" s="55" t="s">
        <v>12420</v>
      </c>
    </row>
    <row r="5747" ht="14.25" customHeight="1">
      <c r="A5747" s="55" t="s">
        <v>9824</v>
      </c>
      <c r="B5747" s="55" t="s">
        <v>13</v>
      </c>
      <c r="C5747" s="55" t="s">
        <v>13924</v>
      </c>
      <c r="D5747" s="55" t="s">
        <v>13925</v>
      </c>
    </row>
    <row r="5748" ht="14.25" customHeight="1">
      <c r="A5748" s="55" t="s">
        <v>9824</v>
      </c>
      <c r="B5748" s="55" t="s">
        <v>13</v>
      </c>
      <c r="C5748" s="55" t="s">
        <v>13926</v>
      </c>
      <c r="D5748" s="55" t="s">
        <v>13298</v>
      </c>
    </row>
    <row r="5749" ht="14.25" customHeight="1">
      <c r="A5749" s="55" t="s">
        <v>9824</v>
      </c>
      <c r="B5749" s="55" t="s">
        <v>13</v>
      </c>
      <c r="C5749" s="55" t="s">
        <v>9329</v>
      </c>
      <c r="D5749" s="55" t="s">
        <v>13927</v>
      </c>
    </row>
    <row r="5750" ht="14.25" customHeight="1">
      <c r="A5750" s="55" t="s">
        <v>9824</v>
      </c>
      <c r="B5750" s="55" t="s">
        <v>13</v>
      </c>
      <c r="C5750" s="55" t="s">
        <v>9329</v>
      </c>
      <c r="D5750" s="55" t="s">
        <v>9073</v>
      </c>
    </row>
    <row r="5751" ht="14.25" customHeight="1">
      <c r="A5751" s="55" t="s">
        <v>9824</v>
      </c>
      <c r="B5751" s="55" t="s">
        <v>13</v>
      </c>
      <c r="C5751" s="55" t="s">
        <v>9329</v>
      </c>
      <c r="D5751" s="55" t="s">
        <v>13928</v>
      </c>
    </row>
    <row r="5752" ht="14.25" customHeight="1">
      <c r="A5752" s="55" t="s">
        <v>9824</v>
      </c>
      <c r="B5752" s="55" t="s">
        <v>13</v>
      </c>
      <c r="C5752" s="55" t="s">
        <v>10683</v>
      </c>
      <c r="D5752" s="55" t="s">
        <v>11168</v>
      </c>
    </row>
    <row r="5753" ht="14.25" customHeight="1">
      <c r="A5753" s="55" t="s">
        <v>9824</v>
      </c>
      <c r="B5753" s="55" t="s">
        <v>13</v>
      </c>
      <c r="C5753" s="55" t="s">
        <v>10683</v>
      </c>
      <c r="D5753" s="55" t="s">
        <v>9073</v>
      </c>
    </row>
    <row r="5754" ht="14.25" customHeight="1">
      <c r="A5754" s="55" t="s">
        <v>9824</v>
      </c>
      <c r="B5754" s="55" t="s">
        <v>13</v>
      </c>
      <c r="C5754" s="55" t="s">
        <v>10683</v>
      </c>
      <c r="D5754" s="55" t="s">
        <v>11169</v>
      </c>
    </row>
    <row r="5755" ht="14.25" customHeight="1">
      <c r="A5755" s="55" t="s">
        <v>9824</v>
      </c>
      <c r="B5755" s="55" t="s">
        <v>13</v>
      </c>
      <c r="C5755" s="55" t="s">
        <v>13296</v>
      </c>
      <c r="D5755" s="55" t="s">
        <v>9176</v>
      </c>
    </row>
    <row r="5756" ht="14.25" customHeight="1">
      <c r="A5756" s="55" t="s">
        <v>9824</v>
      </c>
      <c r="B5756" s="55" t="s">
        <v>13</v>
      </c>
      <c r="C5756" s="55" t="s">
        <v>3566</v>
      </c>
      <c r="D5756" s="55" t="s">
        <v>9440</v>
      </c>
    </row>
    <row r="5757" ht="14.25" customHeight="1">
      <c r="A5757" s="55" t="s">
        <v>9824</v>
      </c>
      <c r="B5757" s="55" t="s">
        <v>13</v>
      </c>
      <c r="C5757" s="55" t="s">
        <v>9804</v>
      </c>
      <c r="D5757" s="55" t="s">
        <v>10608</v>
      </c>
    </row>
    <row r="5758" ht="14.25" customHeight="1">
      <c r="A5758" s="55" t="s">
        <v>9824</v>
      </c>
      <c r="B5758" s="55" t="s">
        <v>13</v>
      </c>
      <c r="C5758" s="55" t="s">
        <v>11170</v>
      </c>
      <c r="D5758" s="55" t="s">
        <v>10608</v>
      </c>
    </row>
    <row r="5759" ht="14.25" customHeight="1">
      <c r="A5759" s="55" t="s">
        <v>9824</v>
      </c>
      <c r="B5759" s="55" t="s">
        <v>13</v>
      </c>
      <c r="C5759" s="55" t="s">
        <v>9390</v>
      </c>
      <c r="D5759" s="55" t="s">
        <v>9440</v>
      </c>
    </row>
    <row r="5760" ht="14.25" customHeight="1">
      <c r="A5760" s="55" t="s">
        <v>9824</v>
      </c>
      <c r="B5760" s="55" t="s">
        <v>13</v>
      </c>
      <c r="C5760" s="55" t="s">
        <v>202</v>
      </c>
      <c r="D5760" s="55" t="s">
        <v>9838</v>
      </c>
    </row>
    <row r="5761" ht="14.25" customHeight="1">
      <c r="A5761" s="55" t="s">
        <v>9824</v>
      </c>
      <c r="B5761" s="55" t="s">
        <v>13</v>
      </c>
      <c r="C5761" s="55" t="s">
        <v>8398</v>
      </c>
      <c r="D5761" s="55" t="s">
        <v>9825</v>
      </c>
    </row>
    <row r="5762" ht="14.25" customHeight="1">
      <c r="A5762" s="55" t="s">
        <v>9824</v>
      </c>
      <c r="B5762" s="55" t="s">
        <v>13</v>
      </c>
      <c r="C5762" s="55" t="s">
        <v>11820</v>
      </c>
      <c r="D5762" s="55" t="s">
        <v>9249</v>
      </c>
    </row>
    <row r="5763" ht="14.25" customHeight="1">
      <c r="A5763" s="55" t="s">
        <v>9824</v>
      </c>
      <c r="B5763" s="55" t="s">
        <v>13</v>
      </c>
      <c r="C5763" s="55" t="s">
        <v>1702</v>
      </c>
      <c r="D5763" s="55" t="s">
        <v>13655</v>
      </c>
    </row>
    <row r="5764" ht="14.25" customHeight="1">
      <c r="A5764" s="55" t="s">
        <v>9824</v>
      </c>
      <c r="B5764" s="55" t="s">
        <v>13</v>
      </c>
      <c r="C5764" s="55" t="s">
        <v>12421</v>
      </c>
      <c r="D5764" s="55" t="s">
        <v>12422</v>
      </c>
    </row>
    <row r="5765" ht="14.25" customHeight="1">
      <c r="A5765" s="55" t="s">
        <v>9824</v>
      </c>
      <c r="B5765" s="55" t="s">
        <v>13</v>
      </c>
      <c r="C5765" s="55" t="s">
        <v>233</v>
      </c>
      <c r="D5765" s="55" t="s">
        <v>10608</v>
      </c>
    </row>
    <row r="5766" ht="14.25" customHeight="1">
      <c r="A5766" s="55" t="s">
        <v>9824</v>
      </c>
      <c r="B5766" s="55" t="s">
        <v>13</v>
      </c>
      <c r="C5766" s="55" t="s">
        <v>233</v>
      </c>
      <c r="D5766" s="55" t="s">
        <v>11171</v>
      </c>
    </row>
    <row r="5767" ht="14.25" customHeight="1">
      <c r="A5767" s="55" t="s">
        <v>9824</v>
      </c>
      <c r="B5767" s="55" t="s">
        <v>13</v>
      </c>
      <c r="C5767" s="55" t="s">
        <v>12423</v>
      </c>
      <c r="D5767" s="55" t="s">
        <v>10080</v>
      </c>
    </row>
    <row r="5768" ht="14.25" customHeight="1">
      <c r="A5768" s="55" t="s">
        <v>9824</v>
      </c>
      <c r="B5768" s="55" t="s">
        <v>13</v>
      </c>
      <c r="C5768" s="55" t="s">
        <v>13929</v>
      </c>
      <c r="D5768" s="55" t="s">
        <v>9176</v>
      </c>
    </row>
    <row r="5769" ht="14.25" customHeight="1">
      <c r="A5769" s="55" t="s">
        <v>9824</v>
      </c>
      <c r="B5769" s="55" t="s">
        <v>13</v>
      </c>
      <c r="C5769" s="55" t="s">
        <v>321</v>
      </c>
      <c r="D5769" s="55" t="s">
        <v>10441</v>
      </c>
    </row>
    <row r="5770" ht="14.25" customHeight="1">
      <c r="A5770" s="55" t="s">
        <v>9824</v>
      </c>
      <c r="B5770" s="55" t="s">
        <v>13</v>
      </c>
      <c r="C5770" s="55" t="s">
        <v>9839</v>
      </c>
      <c r="D5770" s="55" t="s">
        <v>8968</v>
      </c>
    </row>
    <row r="5771" ht="14.25" customHeight="1">
      <c r="A5771" s="55" t="s">
        <v>9824</v>
      </c>
      <c r="B5771" s="55" t="s">
        <v>13</v>
      </c>
      <c r="C5771" s="55" t="s">
        <v>13930</v>
      </c>
      <c r="D5771" s="55" t="s">
        <v>13528</v>
      </c>
    </row>
    <row r="5772" ht="14.25" customHeight="1">
      <c r="A5772" s="55" t="s">
        <v>9824</v>
      </c>
      <c r="B5772" s="55" t="s">
        <v>13</v>
      </c>
      <c r="C5772" s="55" t="s">
        <v>13931</v>
      </c>
      <c r="D5772" s="55" t="s">
        <v>13932</v>
      </c>
    </row>
    <row r="5773" ht="14.25" customHeight="1">
      <c r="A5773" s="55" t="s">
        <v>9824</v>
      </c>
      <c r="B5773" s="55" t="s">
        <v>13</v>
      </c>
      <c r="C5773" s="55" t="s">
        <v>9090</v>
      </c>
      <c r="D5773" s="55" t="s">
        <v>10446</v>
      </c>
    </row>
    <row r="5774" ht="14.25" customHeight="1">
      <c r="A5774" s="55" t="s">
        <v>9824</v>
      </c>
      <c r="B5774" s="55" t="s">
        <v>13</v>
      </c>
      <c r="C5774" s="55" t="s">
        <v>9090</v>
      </c>
      <c r="D5774" s="55" t="s">
        <v>13528</v>
      </c>
    </row>
    <row r="5775" ht="14.25" customHeight="1">
      <c r="A5775" s="55" t="s">
        <v>9824</v>
      </c>
      <c r="B5775" s="55" t="s">
        <v>13</v>
      </c>
      <c r="C5775" s="55" t="s">
        <v>262</v>
      </c>
      <c r="D5775" s="55" t="s">
        <v>12424</v>
      </c>
    </row>
    <row r="5776" ht="14.25" customHeight="1">
      <c r="A5776" s="55" t="s">
        <v>9824</v>
      </c>
      <c r="B5776" s="55" t="s">
        <v>13</v>
      </c>
      <c r="C5776" s="55" t="s">
        <v>262</v>
      </c>
      <c r="D5776" s="55" t="s">
        <v>11736</v>
      </c>
    </row>
    <row r="5777" ht="14.25" customHeight="1">
      <c r="A5777" s="55" t="s">
        <v>9824</v>
      </c>
      <c r="B5777" s="55" t="s">
        <v>13</v>
      </c>
      <c r="C5777" s="55" t="s">
        <v>271</v>
      </c>
      <c r="D5777" s="55" t="s">
        <v>11172</v>
      </c>
    </row>
    <row r="5778" ht="14.25" customHeight="1">
      <c r="A5778" s="55" t="s">
        <v>9824</v>
      </c>
      <c r="B5778" s="55" t="s">
        <v>13</v>
      </c>
      <c r="C5778" s="55" t="s">
        <v>10447</v>
      </c>
      <c r="D5778" s="55" t="s">
        <v>10448</v>
      </c>
    </row>
    <row r="5779" ht="14.25" customHeight="1">
      <c r="A5779" s="55" t="s">
        <v>9824</v>
      </c>
      <c r="B5779" s="55" t="s">
        <v>13</v>
      </c>
      <c r="C5779" s="55" t="s">
        <v>13297</v>
      </c>
      <c r="D5779" s="55" t="s">
        <v>13298</v>
      </c>
    </row>
    <row r="5780" ht="14.25" customHeight="1">
      <c r="A5780" s="55" t="s">
        <v>9840</v>
      </c>
      <c r="B5780" s="55" t="s">
        <v>40</v>
      </c>
      <c r="C5780" s="55" t="s">
        <v>9034</v>
      </c>
      <c r="D5780" s="55" t="s">
        <v>8989</v>
      </c>
    </row>
    <row r="5781" ht="14.25" customHeight="1">
      <c r="A5781" s="55" t="s">
        <v>9840</v>
      </c>
      <c r="B5781" s="55" t="s">
        <v>40</v>
      </c>
      <c r="C5781" s="55" t="s">
        <v>9034</v>
      </c>
      <c r="D5781" s="55" t="s">
        <v>11900</v>
      </c>
    </row>
    <row r="5782" ht="14.25" customHeight="1">
      <c r="A5782" s="55" t="s">
        <v>9840</v>
      </c>
      <c r="B5782" s="55" t="s">
        <v>40</v>
      </c>
      <c r="C5782" s="55" t="s">
        <v>9034</v>
      </c>
      <c r="D5782" s="55" t="s">
        <v>9028</v>
      </c>
    </row>
    <row r="5783" ht="14.25" customHeight="1">
      <c r="A5783" s="55" t="s">
        <v>9840</v>
      </c>
      <c r="B5783" s="55" t="s">
        <v>40</v>
      </c>
      <c r="C5783" s="55" t="s">
        <v>9034</v>
      </c>
      <c r="D5783" s="55" t="s">
        <v>9525</v>
      </c>
    </row>
    <row r="5784" ht="14.25" customHeight="1">
      <c r="A5784" s="55" t="s">
        <v>9840</v>
      </c>
      <c r="B5784" s="55" t="s">
        <v>40</v>
      </c>
      <c r="C5784" s="55" t="s">
        <v>9034</v>
      </c>
      <c r="D5784" s="55" t="s">
        <v>11173</v>
      </c>
    </row>
    <row r="5785" ht="14.25" customHeight="1">
      <c r="A5785" s="55" t="s">
        <v>9840</v>
      </c>
      <c r="B5785" s="55" t="s">
        <v>40</v>
      </c>
      <c r="C5785" s="55" t="s">
        <v>9597</v>
      </c>
      <c r="D5785" s="55" t="s">
        <v>9841</v>
      </c>
    </row>
    <row r="5786" ht="14.25" customHeight="1">
      <c r="A5786" s="55" t="s">
        <v>9840</v>
      </c>
      <c r="B5786" s="55" t="s">
        <v>40</v>
      </c>
      <c r="C5786" s="55" t="s">
        <v>9597</v>
      </c>
      <c r="D5786" s="55" t="s">
        <v>11690</v>
      </c>
    </row>
    <row r="5787" ht="14.25" customHeight="1">
      <c r="A5787" s="55" t="s">
        <v>9840</v>
      </c>
      <c r="B5787" s="55" t="s">
        <v>40</v>
      </c>
      <c r="C5787" s="55" t="s">
        <v>11390</v>
      </c>
      <c r="D5787" s="55" t="s">
        <v>9583</v>
      </c>
    </row>
    <row r="5788" ht="14.25" customHeight="1">
      <c r="A5788" s="55" t="s">
        <v>9840</v>
      </c>
      <c r="B5788" s="55" t="s">
        <v>40</v>
      </c>
      <c r="C5788" s="55" t="s">
        <v>9340</v>
      </c>
      <c r="D5788" s="55" t="s">
        <v>11055</v>
      </c>
    </row>
    <row r="5789" ht="14.25" customHeight="1">
      <c r="A5789" s="55" t="s">
        <v>9840</v>
      </c>
      <c r="B5789" s="55" t="s">
        <v>40</v>
      </c>
      <c r="C5789" s="55" t="s">
        <v>11404</v>
      </c>
      <c r="D5789" s="55" t="s">
        <v>11055</v>
      </c>
    </row>
    <row r="5790" ht="14.25" customHeight="1">
      <c r="A5790" s="55" t="s">
        <v>9840</v>
      </c>
      <c r="B5790" s="55" t="s">
        <v>40</v>
      </c>
      <c r="C5790" s="55" t="s">
        <v>12425</v>
      </c>
      <c r="D5790" s="55" t="s">
        <v>9168</v>
      </c>
    </row>
    <row r="5791" ht="14.25" customHeight="1">
      <c r="A5791" s="55" t="s">
        <v>9840</v>
      </c>
      <c r="B5791" s="55" t="s">
        <v>40</v>
      </c>
      <c r="C5791" s="55" t="s">
        <v>11760</v>
      </c>
      <c r="D5791" s="55" t="s">
        <v>9028</v>
      </c>
    </row>
    <row r="5792" ht="14.25" customHeight="1">
      <c r="A5792" s="55" t="s">
        <v>9840</v>
      </c>
      <c r="B5792" s="55" t="s">
        <v>40</v>
      </c>
      <c r="C5792" s="55" t="s">
        <v>11760</v>
      </c>
      <c r="D5792" s="55" t="s">
        <v>11761</v>
      </c>
    </row>
    <row r="5793" ht="14.25" customHeight="1">
      <c r="A5793" s="55" t="s">
        <v>9840</v>
      </c>
      <c r="B5793" s="55" t="s">
        <v>40</v>
      </c>
      <c r="C5793" s="55" t="s">
        <v>12426</v>
      </c>
      <c r="D5793" s="55" t="s">
        <v>9034</v>
      </c>
    </row>
    <row r="5794" ht="14.25" customHeight="1">
      <c r="A5794" s="55" t="s">
        <v>9840</v>
      </c>
      <c r="B5794" s="55" t="s">
        <v>40</v>
      </c>
      <c r="C5794" s="55" t="s">
        <v>10767</v>
      </c>
      <c r="D5794" s="55" t="s">
        <v>10219</v>
      </c>
    </row>
    <row r="5795" ht="14.25" customHeight="1">
      <c r="A5795" s="55" t="s">
        <v>9840</v>
      </c>
      <c r="B5795" s="55" t="s">
        <v>40</v>
      </c>
      <c r="C5795" s="55" t="s">
        <v>2319</v>
      </c>
      <c r="D5795" s="55" t="s">
        <v>9028</v>
      </c>
    </row>
    <row r="5796" ht="14.25" customHeight="1">
      <c r="A5796" s="55" t="s">
        <v>9840</v>
      </c>
      <c r="B5796" s="55" t="s">
        <v>40</v>
      </c>
      <c r="C5796" s="55" t="s">
        <v>57</v>
      </c>
      <c r="D5796" s="55" t="s">
        <v>9034</v>
      </c>
    </row>
    <row r="5797" ht="14.25" customHeight="1">
      <c r="A5797" s="55" t="s">
        <v>9840</v>
      </c>
      <c r="B5797" s="55" t="s">
        <v>40</v>
      </c>
      <c r="C5797" s="55" t="s">
        <v>57</v>
      </c>
      <c r="D5797" s="55" t="s">
        <v>11174</v>
      </c>
    </row>
    <row r="5798" ht="14.25" customHeight="1">
      <c r="A5798" s="55" t="s">
        <v>9840</v>
      </c>
      <c r="B5798" s="55" t="s">
        <v>40</v>
      </c>
      <c r="C5798" s="55" t="s">
        <v>57</v>
      </c>
      <c r="D5798" s="55" t="s">
        <v>9883</v>
      </c>
    </row>
    <row r="5799" ht="14.25" customHeight="1">
      <c r="A5799" s="55" t="s">
        <v>9840</v>
      </c>
      <c r="B5799" s="55" t="s">
        <v>40</v>
      </c>
      <c r="C5799" s="55" t="s">
        <v>57</v>
      </c>
      <c r="D5799" s="55" t="s">
        <v>9075</v>
      </c>
    </row>
    <row r="5800" ht="14.25" customHeight="1">
      <c r="A5800" s="55" t="s">
        <v>9840</v>
      </c>
      <c r="B5800" s="55" t="s">
        <v>40</v>
      </c>
      <c r="C5800" s="55" t="s">
        <v>5749</v>
      </c>
      <c r="D5800" s="55" t="s">
        <v>9216</v>
      </c>
    </row>
    <row r="5801" ht="14.25" customHeight="1">
      <c r="A5801" s="55" t="s">
        <v>9840</v>
      </c>
      <c r="B5801" s="55" t="s">
        <v>40</v>
      </c>
      <c r="C5801" s="55" t="s">
        <v>11762</v>
      </c>
      <c r="D5801" s="55" t="s">
        <v>11763</v>
      </c>
    </row>
    <row r="5802" ht="14.25" customHeight="1">
      <c r="A5802" s="55" t="s">
        <v>9840</v>
      </c>
      <c r="B5802" s="55" t="s">
        <v>40</v>
      </c>
      <c r="C5802" s="55" t="s">
        <v>58</v>
      </c>
      <c r="D5802" s="55" t="s">
        <v>9028</v>
      </c>
    </row>
    <row r="5803" ht="14.25" customHeight="1">
      <c r="A5803" s="55" t="s">
        <v>9840</v>
      </c>
      <c r="B5803" s="55" t="s">
        <v>40</v>
      </c>
      <c r="C5803" s="55" t="s">
        <v>58</v>
      </c>
      <c r="D5803" s="55" t="s">
        <v>8976</v>
      </c>
    </row>
    <row r="5804" ht="14.25" customHeight="1">
      <c r="A5804" s="55" t="s">
        <v>9840</v>
      </c>
      <c r="B5804" s="55" t="s">
        <v>40</v>
      </c>
      <c r="C5804" s="55" t="s">
        <v>9552</v>
      </c>
      <c r="D5804" s="55" t="s">
        <v>9050</v>
      </c>
    </row>
    <row r="5805" ht="14.25" customHeight="1">
      <c r="A5805" s="55" t="s">
        <v>9840</v>
      </c>
      <c r="B5805" s="55" t="s">
        <v>40</v>
      </c>
      <c r="C5805" s="55" t="s">
        <v>9552</v>
      </c>
      <c r="D5805" s="55" t="s">
        <v>14427</v>
      </c>
    </row>
    <row r="5806" ht="14.25" customHeight="1">
      <c r="A5806" s="55" t="s">
        <v>9840</v>
      </c>
      <c r="B5806" s="55" t="s">
        <v>40</v>
      </c>
      <c r="C5806" s="55" t="s">
        <v>9552</v>
      </c>
      <c r="D5806" s="55" t="s">
        <v>9553</v>
      </c>
    </row>
    <row r="5807" ht="14.25" customHeight="1">
      <c r="A5807" s="55" t="s">
        <v>9840</v>
      </c>
      <c r="B5807" s="55" t="s">
        <v>40</v>
      </c>
      <c r="C5807" s="55" t="s">
        <v>11764</v>
      </c>
      <c r="D5807" s="55" t="s">
        <v>11765</v>
      </c>
    </row>
    <row r="5808" ht="14.25" customHeight="1">
      <c r="A5808" s="55" t="s">
        <v>9840</v>
      </c>
      <c r="B5808" s="55" t="s">
        <v>40</v>
      </c>
      <c r="C5808" s="55" t="s">
        <v>11766</v>
      </c>
      <c r="D5808" s="55" t="s">
        <v>11767</v>
      </c>
    </row>
    <row r="5809" ht="14.25" customHeight="1">
      <c r="A5809" s="55" t="s">
        <v>9840</v>
      </c>
      <c r="B5809" s="55" t="s">
        <v>40</v>
      </c>
      <c r="C5809" s="55" t="s">
        <v>13299</v>
      </c>
      <c r="D5809" s="55" t="s">
        <v>9583</v>
      </c>
    </row>
    <row r="5810" ht="14.25" customHeight="1">
      <c r="A5810" s="55" t="s">
        <v>9840</v>
      </c>
      <c r="B5810" s="55" t="s">
        <v>40</v>
      </c>
      <c r="C5810" s="55" t="s">
        <v>8969</v>
      </c>
      <c r="D5810" s="55" t="s">
        <v>9755</v>
      </c>
    </row>
    <row r="5811" ht="14.25" customHeight="1">
      <c r="A5811" s="55" t="s">
        <v>9840</v>
      </c>
      <c r="B5811" s="55" t="s">
        <v>40</v>
      </c>
      <c r="C5811" s="55" t="s">
        <v>2379</v>
      </c>
      <c r="D5811" s="55" t="s">
        <v>13300</v>
      </c>
    </row>
    <row r="5812" ht="14.25" customHeight="1">
      <c r="A5812" s="55" t="s">
        <v>9840</v>
      </c>
      <c r="B5812" s="55" t="s">
        <v>40</v>
      </c>
      <c r="C5812" s="55" t="s">
        <v>9458</v>
      </c>
      <c r="D5812" s="55" t="s">
        <v>9842</v>
      </c>
    </row>
    <row r="5813" ht="14.25" customHeight="1">
      <c r="A5813" s="55" t="s">
        <v>9840</v>
      </c>
      <c r="B5813" s="55" t="s">
        <v>40</v>
      </c>
      <c r="C5813" s="55" t="s">
        <v>9458</v>
      </c>
      <c r="D5813" s="55" t="s">
        <v>8968</v>
      </c>
    </row>
    <row r="5814" ht="14.25" customHeight="1">
      <c r="A5814" s="55" t="s">
        <v>9840</v>
      </c>
      <c r="B5814" s="55" t="s">
        <v>40</v>
      </c>
      <c r="C5814" s="55" t="s">
        <v>9458</v>
      </c>
      <c r="D5814" s="55" t="s">
        <v>9075</v>
      </c>
    </row>
    <row r="5815" ht="14.25" customHeight="1">
      <c r="A5815" s="55" t="s">
        <v>9840</v>
      </c>
      <c r="B5815" s="55" t="s">
        <v>40</v>
      </c>
      <c r="C5815" s="55" t="s">
        <v>11046</v>
      </c>
      <c r="D5815" s="55" t="s">
        <v>9075</v>
      </c>
    </row>
    <row r="5816" ht="14.25" customHeight="1">
      <c r="A5816" s="55" t="s">
        <v>9840</v>
      </c>
      <c r="B5816" s="55" t="s">
        <v>40</v>
      </c>
      <c r="C5816" s="55" t="s">
        <v>62</v>
      </c>
      <c r="D5816" s="55" t="s">
        <v>13933</v>
      </c>
    </row>
    <row r="5817" ht="14.25" customHeight="1">
      <c r="A5817" s="55" t="s">
        <v>9840</v>
      </c>
      <c r="B5817" s="55" t="s">
        <v>40</v>
      </c>
      <c r="C5817" s="55" t="s">
        <v>62</v>
      </c>
      <c r="D5817" s="55" t="s">
        <v>9075</v>
      </c>
    </row>
    <row r="5818" ht="14.25" customHeight="1">
      <c r="A5818" s="55" t="s">
        <v>9840</v>
      </c>
      <c r="B5818" s="55" t="s">
        <v>40</v>
      </c>
      <c r="C5818" s="55" t="s">
        <v>10449</v>
      </c>
      <c r="D5818" s="55" t="s">
        <v>9034</v>
      </c>
    </row>
    <row r="5819" ht="14.25" customHeight="1">
      <c r="A5819" s="55" t="s">
        <v>9840</v>
      </c>
      <c r="B5819" s="55" t="s">
        <v>40</v>
      </c>
      <c r="C5819" s="55" t="s">
        <v>13934</v>
      </c>
      <c r="D5819" s="55" t="s">
        <v>9831</v>
      </c>
    </row>
    <row r="5820" ht="14.25" customHeight="1">
      <c r="A5820" s="55" t="s">
        <v>9840</v>
      </c>
      <c r="B5820" s="55" t="s">
        <v>40</v>
      </c>
      <c r="C5820" s="55" t="s">
        <v>10450</v>
      </c>
      <c r="D5820" s="55" t="s">
        <v>10451</v>
      </c>
    </row>
    <row r="5821" ht="14.25" customHeight="1">
      <c r="A5821" s="55" t="s">
        <v>9840</v>
      </c>
      <c r="B5821" s="55" t="s">
        <v>40</v>
      </c>
      <c r="C5821" s="55" t="s">
        <v>9313</v>
      </c>
      <c r="D5821" s="55" t="s">
        <v>9131</v>
      </c>
    </row>
    <row r="5822" ht="14.25" customHeight="1">
      <c r="A5822" s="55" t="s">
        <v>9840</v>
      </c>
      <c r="B5822" s="55" t="s">
        <v>40</v>
      </c>
      <c r="C5822" s="55" t="s">
        <v>2408</v>
      </c>
      <c r="D5822" s="55" t="s">
        <v>9071</v>
      </c>
    </row>
    <row r="5823" ht="14.25" customHeight="1">
      <c r="A5823" s="55" t="s">
        <v>9840</v>
      </c>
      <c r="B5823" s="55" t="s">
        <v>40</v>
      </c>
      <c r="C5823" s="55" t="s">
        <v>2408</v>
      </c>
      <c r="D5823" s="55" t="s">
        <v>9073</v>
      </c>
    </row>
    <row r="5824" ht="14.25" customHeight="1">
      <c r="A5824" s="55" t="s">
        <v>9840</v>
      </c>
      <c r="B5824" s="55" t="s">
        <v>40</v>
      </c>
      <c r="C5824" s="55" t="s">
        <v>9172</v>
      </c>
      <c r="D5824" s="55" t="s">
        <v>9028</v>
      </c>
    </row>
    <row r="5825" ht="14.25" customHeight="1">
      <c r="A5825" s="55" t="s">
        <v>9840</v>
      </c>
      <c r="B5825" s="55" t="s">
        <v>40</v>
      </c>
      <c r="C5825" s="55" t="s">
        <v>500</v>
      </c>
      <c r="D5825" s="55" t="s">
        <v>9843</v>
      </c>
    </row>
    <row r="5826" ht="14.25" customHeight="1">
      <c r="A5826" s="55" t="s">
        <v>9840</v>
      </c>
      <c r="B5826" s="55" t="s">
        <v>40</v>
      </c>
      <c r="C5826" s="55" t="s">
        <v>9844</v>
      </c>
      <c r="D5826" s="55" t="s">
        <v>9118</v>
      </c>
    </row>
    <row r="5827" ht="14.25" customHeight="1">
      <c r="A5827" s="55" t="s">
        <v>9840</v>
      </c>
      <c r="B5827" s="55" t="s">
        <v>40</v>
      </c>
      <c r="C5827" s="55" t="s">
        <v>12642</v>
      </c>
      <c r="D5827" s="55" t="s">
        <v>9216</v>
      </c>
    </row>
    <row r="5828" ht="14.25" customHeight="1">
      <c r="A5828" s="55" t="s">
        <v>9840</v>
      </c>
      <c r="B5828" s="55" t="s">
        <v>40</v>
      </c>
      <c r="C5828" s="55" t="s">
        <v>14428</v>
      </c>
      <c r="D5828" s="55" t="s">
        <v>9034</v>
      </c>
    </row>
    <row r="5829" ht="14.25" customHeight="1">
      <c r="A5829" s="55" t="s">
        <v>9840</v>
      </c>
      <c r="B5829" s="55" t="s">
        <v>40</v>
      </c>
      <c r="C5829" s="55" t="s">
        <v>9025</v>
      </c>
      <c r="D5829" s="55" t="s">
        <v>9028</v>
      </c>
    </row>
    <row r="5830" ht="14.25" customHeight="1">
      <c r="A5830" s="55" t="s">
        <v>9840</v>
      </c>
      <c r="B5830" s="55" t="s">
        <v>40</v>
      </c>
      <c r="C5830" s="55" t="s">
        <v>5828</v>
      </c>
      <c r="D5830" s="55" t="s">
        <v>9914</v>
      </c>
    </row>
    <row r="5831" ht="14.25" customHeight="1">
      <c r="A5831" s="55" t="s">
        <v>9840</v>
      </c>
      <c r="B5831" s="55" t="s">
        <v>40</v>
      </c>
      <c r="C5831" s="55" t="s">
        <v>10916</v>
      </c>
      <c r="D5831" s="55" t="s">
        <v>10124</v>
      </c>
    </row>
    <row r="5832" ht="14.25" customHeight="1">
      <c r="A5832" s="55" t="s">
        <v>9840</v>
      </c>
      <c r="B5832" s="55" t="s">
        <v>40</v>
      </c>
      <c r="C5832" s="55" t="s">
        <v>14429</v>
      </c>
      <c r="D5832" s="55" t="s">
        <v>10124</v>
      </c>
    </row>
    <row r="5833" ht="14.25" customHeight="1">
      <c r="A5833" s="55" t="s">
        <v>9840</v>
      </c>
      <c r="B5833" s="55" t="s">
        <v>40</v>
      </c>
      <c r="C5833" s="55" t="s">
        <v>13935</v>
      </c>
      <c r="D5833" s="55" t="s">
        <v>10124</v>
      </c>
    </row>
    <row r="5834" ht="14.25" customHeight="1">
      <c r="A5834" s="55" t="s">
        <v>9840</v>
      </c>
      <c r="B5834" s="55" t="s">
        <v>40</v>
      </c>
      <c r="C5834" s="55" t="s">
        <v>5834</v>
      </c>
      <c r="D5834" s="55" t="s">
        <v>9034</v>
      </c>
    </row>
    <row r="5835" ht="14.25" customHeight="1">
      <c r="A5835" s="55" t="s">
        <v>9840</v>
      </c>
      <c r="B5835" s="55" t="s">
        <v>40</v>
      </c>
      <c r="C5835" s="55" t="s">
        <v>5834</v>
      </c>
      <c r="D5835" s="55" t="s">
        <v>10124</v>
      </c>
    </row>
    <row r="5836" ht="14.25" customHeight="1">
      <c r="A5836" s="55" t="s">
        <v>9840</v>
      </c>
      <c r="B5836" s="55" t="s">
        <v>40</v>
      </c>
      <c r="C5836" s="55" t="s">
        <v>7471</v>
      </c>
      <c r="D5836" s="55" t="s">
        <v>13936</v>
      </c>
    </row>
    <row r="5837" ht="14.25" customHeight="1">
      <c r="A5837" s="55" t="s">
        <v>9840</v>
      </c>
      <c r="B5837" s="55" t="s">
        <v>40</v>
      </c>
      <c r="C5837" s="55" t="s">
        <v>11175</v>
      </c>
      <c r="D5837" s="55" t="s">
        <v>11176</v>
      </c>
    </row>
    <row r="5838" ht="14.25" customHeight="1">
      <c r="A5838" s="55" t="s">
        <v>9840</v>
      </c>
      <c r="B5838" s="55" t="s">
        <v>40</v>
      </c>
      <c r="C5838" s="55" t="s">
        <v>9845</v>
      </c>
      <c r="D5838" s="55" t="s">
        <v>9846</v>
      </c>
    </row>
    <row r="5839" ht="14.25" customHeight="1">
      <c r="A5839" s="55" t="s">
        <v>9840</v>
      </c>
      <c r="B5839" s="55" t="s">
        <v>40</v>
      </c>
      <c r="C5839" s="55" t="s">
        <v>10628</v>
      </c>
      <c r="D5839" s="55" t="s">
        <v>9354</v>
      </c>
    </row>
    <row r="5840" ht="14.25" customHeight="1">
      <c r="A5840" s="55" t="s">
        <v>9840</v>
      </c>
      <c r="B5840" s="55" t="s">
        <v>40</v>
      </c>
      <c r="C5840" s="55" t="s">
        <v>75</v>
      </c>
      <c r="D5840" s="55" t="s">
        <v>11177</v>
      </c>
    </row>
    <row r="5841" ht="14.25" customHeight="1">
      <c r="A5841" s="55" t="s">
        <v>9840</v>
      </c>
      <c r="B5841" s="55" t="s">
        <v>40</v>
      </c>
      <c r="C5841" s="55" t="s">
        <v>2494</v>
      </c>
      <c r="D5841" s="55" t="s">
        <v>12427</v>
      </c>
    </row>
    <row r="5842" ht="14.25" customHeight="1">
      <c r="A5842" s="55" t="s">
        <v>9840</v>
      </c>
      <c r="B5842" s="55" t="s">
        <v>40</v>
      </c>
      <c r="C5842" s="55" t="s">
        <v>77</v>
      </c>
      <c r="D5842" s="55" t="s">
        <v>13301</v>
      </c>
    </row>
    <row r="5843" ht="14.25" customHeight="1">
      <c r="A5843" s="55" t="s">
        <v>9840</v>
      </c>
      <c r="B5843" s="55" t="s">
        <v>40</v>
      </c>
      <c r="C5843" s="55" t="s">
        <v>77</v>
      </c>
      <c r="D5843" s="55" t="s">
        <v>12428</v>
      </c>
    </row>
    <row r="5844" ht="14.25" customHeight="1">
      <c r="A5844" s="55" t="s">
        <v>9840</v>
      </c>
      <c r="B5844" s="55" t="s">
        <v>40</v>
      </c>
      <c r="C5844" s="55" t="s">
        <v>77</v>
      </c>
      <c r="D5844" s="55" t="s">
        <v>9778</v>
      </c>
    </row>
    <row r="5845" ht="14.25" customHeight="1">
      <c r="A5845" s="55" t="s">
        <v>9840</v>
      </c>
      <c r="B5845" s="55" t="s">
        <v>40</v>
      </c>
      <c r="C5845" s="55" t="s">
        <v>12429</v>
      </c>
      <c r="D5845" s="55" t="s">
        <v>9875</v>
      </c>
    </row>
    <row r="5846" ht="14.25" customHeight="1">
      <c r="A5846" s="55" t="s">
        <v>9840</v>
      </c>
      <c r="B5846" s="55" t="s">
        <v>40</v>
      </c>
      <c r="C5846" s="55" t="s">
        <v>12430</v>
      </c>
      <c r="D5846" s="55" t="s">
        <v>9216</v>
      </c>
    </row>
    <row r="5847" ht="14.25" customHeight="1">
      <c r="A5847" s="55" t="s">
        <v>9840</v>
      </c>
      <c r="B5847" s="55" t="s">
        <v>40</v>
      </c>
      <c r="C5847" s="55" t="s">
        <v>10452</v>
      </c>
      <c r="D5847" s="55" t="s">
        <v>10453</v>
      </c>
    </row>
    <row r="5848" ht="14.25" customHeight="1">
      <c r="A5848" s="55" t="s">
        <v>9840</v>
      </c>
      <c r="B5848" s="55" t="s">
        <v>40</v>
      </c>
      <c r="C5848" s="55" t="s">
        <v>10656</v>
      </c>
      <c r="D5848" s="55" t="s">
        <v>12431</v>
      </c>
    </row>
    <row r="5849" ht="14.25" customHeight="1">
      <c r="A5849" s="55" t="s">
        <v>9840</v>
      </c>
      <c r="B5849" s="55" t="s">
        <v>40</v>
      </c>
      <c r="C5849" s="55" t="s">
        <v>10656</v>
      </c>
      <c r="D5849" s="55" t="s">
        <v>11788</v>
      </c>
    </row>
    <row r="5850" ht="14.25" customHeight="1">
      <c r="A5850" s="55" t="s">
        <v>9840</v>
      </c>
      <c r="B5850" s="55" t="s">
        <v>40</v>
      </c>
      <c r="C5850" s="55" t="s">
        <v>78</v>
      </c>
      <c r="D5850" s="55" t="s">
        <v>9305</v>
      </c>
    </row>
    <row r="5851" ht="14.25" customHeight="1">
      <c r="A5851" s="55" t="s">
        <v>9840</v>
      </c>
      <c r="B5851" s="55" t="s">
        <v>40</v>
      </c>
      <c r="C5851" s="55" t="s">
        <v>9810</v>
      </c>
      <c r="D5851" s="55" t="s">
        <v>13302</v>
      </c>
    </row>
    <row r="5852" ht="14.25" customHeight="1">
      <c r="A5852" s="55" t="s">
        <v>9840</v>
      </c>
      <c r="B5852" s="55" t="s">
        <v>40</v>
      </c>
      <c r="C5852" s="55" t="s">
        <v>9810</v>
      </c>
      <c r="D5852" s="55" t="s">
        <v>9028</v>
      </c>
    </row>
    <row r="5853" ht="14.25" customHeight="1">
      <c r="A5853" s="55" t="s">
        <v>9840</v>
      </c>
      <c r="B5853" s="55" t="s">
        <v>40</v>
      </c>
      <c r="C5853" s="55" t="s">
        <v>9810</v>
      </c>
      <c r="D5853" s="55" t="s">
        <v>10486</v>
      </c>
    </row>
    <row r="5854" ht="14.25" customHeight="1">
      <c r="A5854" s="55" t="s">
        <v>9840</v>
      </c>
      <c r="B5854" s="55" t="s">
        <v>40</v>
      </c>
      <c r="C5854" s="55" t="s">
        <v>9810</v>
      </c>
      <c r="D5854" s="55" t="s">
        <v>11178</v>
      </c>
    </row>
    <row r="5855" ht="14.25" customHeight="1">
      <c r="A5855" s="55" t="s">
        <v>9840</v>
      </c>
      <c r="B5855" s="55" t="s">
        <v>40</v>
      </c>
      <c r="C5855" s="55" t="s">
        <v>8974</v>
      </c>
      <c r="D5855" s="55" t="s">
        <v>9583</v>
      </c>
    </row>
    <row r="5856" ht="14.25" customHeight="1">
      <c r="A5856" s="55" t="s">
        <v>9840</v>
      </c>
      <c r="B5856" s="55" t="s">
        <v>40</v>
      </c>
      <c r="C5856" s="55" t="s">
        <v>8974</v>
      </c>
      <c r="D5856" s="55" t="s">
        <v>9028</v>
      </c>
    </row>
    <row r="5857" ht="14.25" customHeight="1">
      <c r="A5857" s="55" t="s">
        <v>9840</v>
      </c>
      <c r="B5857" s="55" t="s">
        <v>40</v>
      </c>
      <c r="C5857" s="55" t="s">
        <v>9015</v>
      </c>
      <c r="D5857" s="55" t="s">
        <v>9028</v>
      </c>
    </row>
    <row r="5858" ht="14.25" customHeight="1">
      <c r="A5858" s="55" t="s">
        <v>9840</v>
      </c>
      <c r="B5858" s="55" t="s">
        <v>40</v>
      </c>
      <c r="C5858" s="55" t="s">
        <v>11179</v>
      </c>
      <c r="D5858" s="55" t="s">
        <v>11180</v>
      </c>
    </row>
    <row r="5859" ht="14.25" customHeight="1">
      <c r="A5859" s="55" t="s">
        <v>9840</v>
      </c>
      <c r="B5859" s="55" t="s">
        <v>40</v>
      </c>
      <c r="C5859" s="55" t="s">
        <v>11179</v>
      </c>
      <c r="D5859" s="55" t="s">
        <v>9028</v>
      </c>
    </row>
    <row r="5860" ht="14.25" customHeight="1">
      <c r="A5860" s="55" t="s">
        <v>9840</v>
      </c>
      <c r="B5860" s="55" t="s">
        <v>40</v>
      </c>
      <c r="C5860" s="55" t="s">
        <v>81</v>
      </c>
      <c r="D5860" s="55" t="s">
        <v>10486</v>
      </c>
    </row>
    <row r="5861" ht="14.25" customHeight="1">
      <c r="A5861" s="55" t="s">
        <v>9840</v>
      </c>
      <c r="B5861" s="55" t="s">
        <v>40</v>
      </c>
      <c r="C5861" s="55" t="s">
        <v>14430</v>
      </c>
      <c r="D5861" s="55" t="s">
        <v>14431</v>
      </c>
    </row>
    <row r="5862" ht="14.25" customHeight="1">
      <c r="A5862" s="55" t="s">
        <v>9840</v>
      </c>
      <c r="B5862" s="55" t="s">
        <v>40</v>
      </c>
      <c r="C5862" s="55" t="s">
        <v>8975</v>
      </c>
      <c r="D5862" s="55" t="s">
        <v>9118</v>
      </c>
    </row>
    <row r="5863" ht="14.25" customHeight="1">
      <c r="A5863" s="55" t="s">
        <v>9840</v>
      </c>
      <c r="B5863" s="55" t="s">
        <v>40</v>
      </c>
      <c r="C5863" s="55" t="s">
        <v>1889</v>
      </c>
      <c r="D5863" s="55" t="s">
        <v>13303</v>
      </c>
    </row>
    <row r="5864" ht="14.25" customHeight="1">
      <c r="A5864" s="55" t="s">
        <v>9840</v>
      </c>
      <c r="B5864" s="55" t="s">
        <v>40</v>
      </c>
      <c r="C5864" s="55" t="s">
        <v>1889</v>
      </c>
      <c r="D5864" s="55" t="s">
        <v>9071</v>
      </c>
    </row>
    <row r="5865" ht="14.25" customHeight="1">
      <c r="A5865" s="55" t="s">
        <v>9840</v>
      </c>
      <c r="B5865" s="55" t="s">
        <v>40</v>
      </c>
      <c r="C5865" s="55" t="s">
        <v>1889</v>
      </c>
      <c r="D5865" s="55" t="s">
        <v>9812</v>
      </c>
    </row>
    <row r="5866" ht="14.25" customHeight="1">
      <c r="A5866" s="55" t="s">
        <v>9840</v>
      </c>
      <c r="B5866" s="55" t="s">
        <v>40</v>
      </c>
      <c r="C5866" s="55" t="s">
        <v>1889</v>
      </c>
      <c r="D5866" s="55" t="s">
        <v>8978</v>
      </c>
    </row>
    <row r="5867" ht="14.25" customHeight="1">
      <c r="A5867" s="55" t="s">
        <v>9840</v>
      </c>
      <c r="B5867" s="55" t="s">
        <v>40</v>
      </c>
      <c r="C5867" s="55" t="s">
        <v>1889</v>
      </c>
      <c r="D5867" s="55" t="s">
        <v>10577</v>
      </c>
    </row>
    <row r="5868" ht="14.25" customHeight="1">
      <c r="A5868" s="55" t="s">
        <v>9840</v>
      </c>
      <c r="B5868" s="55" t="s">
        <v>40</v>
      </c>
      <c r="C5868" s="55" t="s">
        <v>1889</v>
      </c>
      <c r="D5868" s="55" t="s">
        <v>8994</v>
      </c>
    </row>
    <row r="5869" ht="14.25" customHeight="1">
      <c r="A5869" s="55" t="s">
        <v>9840</v>
      </c>
      <c r="B5869" s="55" t="s">
        <v>40</v>
      </c>
      <c r="C5869" s="55" t="s">
        <v>1889</v>
      </c>
      <c r="D5869" s="55" t="s">
        <v>8976</v>
      </c>
    </row>
    <row r="5870" ht="14.25" customHeight="1">
      <c r="A5870" s="55" t="s">
        <v>9840</v>
      </c>
      <c r="B5870" s="55" t="s">
        <v>40</v>
      </c>
      <c r="C5870" s="55" t="s">
        <v>12432</v>
      </c>
      <c r="D5870" s="55" t="s">
        <v>9034</v>
      </c>
    </row>
    <row r="5871" ht="14.25" customHeight="1">
      <c r="A5871" s="55" t="s">
        <v>9840</v>
      </c>
      <c r="B5871" s="55" t="s">
        <v>40</v>
      </c>
      <c r="C5871" s="55" t="s">
        <v>11181</v>
      </c>
      <c r="D5871" s="55" t="s">
        <v>9354</v>
      </c>
    </row>
    <row r="5872" ht="14.25" customHeight="1">
      <c r="A5872" s="55" t="s">
        <v>9840</v>
      </c>
      <c r="B5872" s="55" t="s">
        <v>40</v>
      </c>
      <c r="C5872" s="55" t="s">
        <v>9300</v>
      </c>
      <c r="D5872" s="55" t="s">
        <v>9028</v>
      </c>
    </row>
    <row r="5873" ht="14.25" customHeight="1">
      <c r="A5873" s="55" t="s">
        <v>9840</v>
      </c>
      <c r="B5873" s="55" t="s">
        <v>40</v>
      </c>
      <c r="C5873" s="55" t="s">
        <v>9300</v>
      </c>
      <c r="D5873" s="55" t="s">
        <v>9055</v>
      </c>
    </row>
    <row r="5874" ht="14.25" customHeight="1">
      <c r="A5874" s="55" t="s">
        <v>9840</v>
      </c>
      <c r="B5874" s="55" t="s">
        <v>40</v>
      </c>
      <c r="C5874" s="55" t="s">
        <v>10879</v>
      </c>
      <c r="D5874" s="55" t="s">
        <v>11768</v>
      </c>
    </row>
    <row r="5875" ht="14.25" customHeight="1">
      <c r="A5875" s="55" t="s">
        <v>9840</v>
      </c>
      <c r="B5875" s="55" t="s">
        <v>40</v>
      </c>
      <c r="C5875" s="55" t="s">
        <v>13304</v>
      </c>
      <c r="D5875" s="55" t="s">
        <v>10124</v>
      </c>
    </row>
    <row r="5876" ht="14.25" customHeight="1">
      <c r="A5876" s="55" t="s">
        <v>9840</v>
      </c>
      <c r="B5876" s="55" t="s">
        <v>40</v>
      </c>
      <c r="C5876" s="55" t="s">
        <v>85</v>
      </c>
      <c r="D5876" s="55" t="s">
        <v>9618</v>
      </c>
    </row>
    <row r="5877" ht="14.25" customHeight="1">
      <c r="A5877" s="55" t="s">
        <v>9840</v>
      </c>
      <c r="B5877" s="55" t="s">
        <v>40</v>
      </c>
      <c r="C5877" s="55" t="s">
        <v>9572</v>
      </c>
      <c r="D5877" s="55" t="s">
        <v>9034</v>
      </c>
    </row>
    <row r="5878" ht="14.25" customHeight="1">
      <c r="A5878" s="55" t="s">
        <v>9840</v>
      </c>
      <c r="B5878" s="55" t="s">
        <v>40</v>
      </c>
      <c r="C5878" s="55" t="s">
        <v>9572</v>
      </c>
      <c r="D5878" s="55" t="s">
        <v>9075</v>
      </c>
    </row>
    <row r="5879" ht="14.25" customHeight="1">
      <c r="A5879" s="55" t="s">
        <v>9840</v>
      </c>
      <c r="B5879" s="55" t="s">
        <v>40</v>
      </c>
      <c r="C5879" s="55" t="s">
        <v>10376</v>
      </c>
      <c r="D5879" s="55" t="s">
        <v>10454</v>
      </c>
    </row>
    <row r="5880" ht="14.25" customHeight="1">
      <c r="A5880" s="55" t="s">
        <v>9840</v>
      </c>
      <c r="B5880" s="55" t="s">
        <v>40</v>
      </c>
      <c r="C5880" s="55" t="s">
        <v>86</v>
      </c>
      <c r="D5880" s="55" t="s">
        <v>9525</v>
      </c>
    </row>
    <row r="5881" ht="14.25" customHeight="1">
      <c r="A5881" s="55" t="s">
        <v>9840</v>
      </c>
      <c r="B5881" s="55" t="s">
        <v>40</v>
      </c>
      <c r="C5881" s="55" t="s">
        <v>86</v>
      </c>
      <c r="D5881" s="55" t="s">
        <v>11182</v>
      </c>
    </row>
    <row r="5882" ht="14.25" customHeight="1">
      <c r="A5882" s="55" t="s">
        <v>9840</v>
      </c>
      <c r="B5882" s="55" t="s">
        <v>40</v>
      </c>
      <c r="C5882" s="55" t="s">
        <v>86</v>
      </c>
      <c r="D5882" s="55" t="s">
        <v>9604</v>
      </c>
    </row>
    <row r="5883" ht="14.25" customHeight="1">
      <c r="A5883" s="55" t="s">
        <v>9840</v>
      </c>
      <c r="B5883" s="55" t="s">
        <v>40</v>
      </c>
      <c r="C5883" s="55" t="s">
        <v>87</v>
      </c>
      <c r="D5883" s="55" t="s">
        <v>13937</v>
      </c>
    </row>
    <row r="5884" ht="14.25" customHeight="1">
      <c r="A5884" s="55" t="s">
        <v>9840</v>
      </c>
      <c r="B5884" s="55" t="s">
        <v>40</v>
      </c>
      <c r="C5884" s="55" t="s">
        <v>292</v>
      </c>
      <c r="D5884" s="55" t="s">
        <v>12228</v>
      </c>
    </row>
    <row r="5885" ht="14.25" customHeight="1">
      <c r="A5885" s="55" t="s">
        <v>9840</v>
      </c>
      <c r="B5885" s="55" t="s">
        <v>40</v>
      </c>
      <c r="C5885" s="55" t="s">
        <v>89</v>
      </c>
      <c r="D5885" s="55" t="s">
        <v>9236</v>
      </c>
    </row>
    <row r="5886" ht="14.25" customHeight="1">
      <c r="A5886" s="55" t="s">
        <v>9840</v>
      </c>
      <c r="B5886" s="55" t="s">
        <v>40</v>
      </c>
      <c r="C5886" s="55" t="s">
        <v>89</v>
      </c>
      <c r="D5886" s="55" t="s">
        <v>11769</v>
      </c>
    </row>
    <row r="5887" ht="14.25" customHeight="1">
      <c r="A5887" s="55" t="s">
        <v>9840</v>
      </c>
      <c r="B5887" s="55" t="s">
        <v>40</v>
      </c>
      <c r="C5887" s="55" t="s">
        <v>89</v>
      </c>
      <c r="D5887" s="55" t="s">
        <v>13305</v>
      </c>
    </row>
    <row r="5888" ht="14.25" customHeight="1">
      <c r="A5888" s="55" t="s">
        <v>9840</v>
      </c>
      <c r="B5888" s="55" t="s">
        <v>40</v>
      </c>
      <c r="C5888" s="55" t="s">
        <v>89</v>
      </c>
      <c r="D5888" s="55" t="s">
        <v>9028</v>
      </c>
    </row>
    <row r="5889" ht="14.25" customHeight="1">
      <c r="A5889" s="55" t="s">
        <v>9840</v>
      </c>
      <c r="B5889" s="55" t="s">
        <v>40</v>
      </c>
      <c r="C5889" s="55" t="s">
        <v>329</v>
      </c>
      <c r="D5889" s="55" t="s">
        <v>11900</v>
      </c>
    </row>
    <row r="5890" ht="14.25" customHeight="1">
      <c r="A5890" s="55" t="s">
        <v>9840</v>
      </c>
      <c r="B5890" s="55" t="s">
        <v>40</v>
      </c>
      <c r="C5890" s="55" t="s">
        <v>14432</v>
      </c>
      <c r="D5890" s="55" t="s">
        <v>14433</v>
      </c>
    </row>
    <row r="5891" ht="14.25" customHeight="1">
      <c r="A5891" s="55" t="s">
        <v>9840</v>
      </c>
      <c r="B5891" s="55" t="s">
        <v>40</v>
      </c>
      <c r="C5891" s="55" t="s">
        <v>90</v>
      </c>
      <c r="D5891" s="55" t="s">
        <v>11183</v>
      </c>
    </row>
    <row r="5892" ht="14.25" customHeight="1">
      <c r="A5892" s="55" t="s">
        <v>9840</v>
      </c>
      <c r="B5892" s="55" t="s">
        <v>40</v>
      </c>
      <c r="C5892" s="55" t="s">
        <v>8977</v>
      </c>
      <c r="D5892" s="55" t="s">
        <v>9583</v>
      </c>
    </row>
    <row r="5893" ht="14.25" customHeight="1">
      <c r="A5893" s="55" t="s">
        <v>9840</v>
      </c>
      <c r="B5893" s="55" t="s">
        <v>40</v>
      </c>
      <c r="C5893" s="55" t="s">
        <v>8977</v>
      </c>
      <c r="D5893" s="55" t="s">
        <v>9028</v>
      </c>
    </row>
    <row r="5894" ht="14.25" customHeight="1">
      <c r="A5894" s="55" t="s">
        <v>9840</v>
      </c>
      <c r="B5894" s="55" t="s">
        <v>40</v>
      </c>
      <c r="C5894" s="55" t="s">
        <v>91</v>
      </c>
      <c r="D5894" s="55" t="s">
        <v>12330</v>
      </c>
    </row>
    <row r="5895" ht="14.25" customHeight="1">
      <c r="A5895" s="55" t="s">
        <v>9840</v>
      </c>
      <c r="B5895" s="55" t="s">
        <v>40</v>
      </c>
      <c r="C5895" s="55" t="s">
        <v>14434</v>
      </c>
      <c r="D5895" s="55" t="s">
        <v>14435</v>
      </c>
    </row>
    <row r="5896" ht="14.25" customHeight="1">
      <c r="A5896" s="55" t="s">
        <v>9840</v>
      </c>
      <c r="B5896" s="55" t="s">
        <v>40</v>
      </c>
      <c r="C5896" s="55" t="s">
        <v>2669</v>
      </c>
      <c r="D5896" s="55" t="s">
        <v>9578</v>
      </c>
    </row>
    <row r="5897" ht="14.25" customHeight="1">
      <c r="A5897" s="55" t="s">
        <v>9840</v>
      </c>
      <c r="B5897" s="55" t="s">
        <v>40</v>
      </c>
      <c r="C5897" s="55" t="s">
        <v>2669</v>
      </c>
      <c r="D5897" s="55" t="s">
        <v>9574</v>
      </c>
    </row>
    <row r="5898" ht="14.25" customHeight="1">
      <c r="A5898" s="55" t="s">
        <v>9840</v>
      </c>
      <c r="B5898" s="55" t="s">
        <v>40</v>
      </c>
      <c r="C5898" s="55" t="s">
        <v>2669</v>
      </c>
      <c r="D5898" s="55" t="s">
        <v>9258</v>
      </c>
    </row>
    <row r="5899" ht="14.25" customHeight="1">
      <c r="A5899" s="55" t="s">
        <v>9840</v>
      </c>
      <c r="B5899" s="55" t="s">
        <v>40</v>
      </c>
      <c r="C5899" s="55" t="s">
        <v>2682</v>
      </c>
      <c r="D5899" s="55" t="s">
        <v>11184</v>
      </c>
    </row>
    <row r="5900" ht="14.25" customHeight="1">
      <c r="A5900" s="55" t="s">
        <v>9840</v>
      </c>
      <c r="B5900" s="55" t="s">
        <v>40</v>
      </c>
      <c r="C5900" s="55" t="s">
        <v>11185</v>
      </c>
      <c r="D5900" s="55" t="s">
        <v>11186</v>
      </c>
    </row>
    <row r="5901" ht="14.25" customHeight="1">
      <c r="A5901" s="55" t="s">
        <v>9840</v>
      </c>
      <c r="B5901" s="55" t="s">
        <v>40</v>
      </c>
      <c r="C5901" s="55" t="s">
        <v>763</v>
      </c>
      <c r="D5901" s="55" t="s">
        <v>8968</v>
      </c>
    </row>
    <row r="5902" ht="14.25" customHeight="1">
      <c r="A5902" s="55" t="s">
        <v>9840</v>
      </c>
      <c r="B5902" s="55" t="s">
        <v>40</v>
      </c>
      <c r="C5902" s="55" t="s">
        <v>12701</v>
      </c>
      <c r="D5902" s="55" t="s">
        <v>12702</v>
      </c>
    </row>
    <row r="5903" ht="14.25" customHeight="1">
      <c r="A5903" s="55" t="s">
        <v>9840</v>
      </c>
      <c r="B5903" s="55" t="s">
        <v>40</v>
      </c>
      <c r="C5903" s="55" t="s">
        <v>13938</v>
      </c>
      <c r="D5903" s="55" t="s">
        <v>13939</v>
      </c>
    </row>
    <row r="5904" ht="14.25" customHeight="1">
      <c r="A5904" s="55" t="s">
        <v>9840</v>
      </c>
      <c r="B5904" s="55" t="s">
        <v>40</v>
      </c>
      <c r="C5904" s="55" t="s">
        <v>776</v>
      </c>
      <c r="D5904" s="55" t="s">
        <v>9034</v>
      </c>
    </row>
    <row r="5905" ht="14.25" customHeight="1">
      <c r="A5905" s="55" t="s">
        <v>9840</v>
      </c>
      <c r="B5905" s="55" t="s">
        <v>40</v>
      </c>
      <c r="C5905" s="55" t="s">
        <v>776</v>
      </c>
      <c r="D5905" s="55" t="s">
        <v>9109</v>
      </c>
    </row>
    <row r="5906" ht="14.25" customHeight="1">
      <c r="A5906" s="55" t="s">
        <v>9840</v>
      </c>
      <c r="B5906" s="55" t="s">
        <v>40</v>
      </c>
      <c r="C5906" s="55" t="s">
        <v>776</v>
      </c>
      <c r="D5906" s="55" t="s">
        <v>12433</v>
      </c>
    </row>
    <row r="5907" ht="14.25" customHeight="1">
      <c r="A5907" s="55" t="s">
        <v>9840</v>
      </c>
      <c r="B5907" s="55" t="s">
        <v>40</v>
      </c>
      <c r="C5907" s="55" t="s">
        <v>776</v>
      </c>
      <c r="D5907" s="55" t="s">
        <v>12434</v>
      </c>
    </row>
    <row r="5908" ht="14.25" customHeight="1">
      <c r="A5908" s="55" t="s">
        <v>9840</v>
      </c>
      <c r="B5908" s="55" t="s">
        <v>40</v>
      </c>
      <c r="C5908" s="55" t="s">
        <v>776</v>
      </c>
      <c r="D5908" s="55" t="s">
        <v>9071</v>
      </c>
    </row>
    <row r="5909" ht="14.25" customHeight="1">
      <c r="A5909" s="55" t="s">
        <v>9840</v>
      </c>
      <c r="B5909" s="55" t="s">
        <v>40</v>
      </c>
      <c r="C5909" s="55" t="s">
        <v>776</v>
      </c>
      <c r="D5909" s="55" t="s">
        <v>9583</v>
      </c>
    </row>
    <row r="5910" ht="14.25" customHeight="1">
      <c r="A5910" s="55" t="s">
        <v>9840</v>
      </c>
      <c r="B5910" s="55" t="s">
        <v>40</v>
      </c>
      <c r="C5910" s="55" t="s">
        <v>776</v>
      </c>
      <c r="D5910" s="55" t="s">
        <v>11233</v>
      </c>
    </row>
    <row r="5911" ht="14.25" customHeight="1">
      <c r="A5911" s="55" t="s">
        <v>9840</v>
      </c>
      <c r="B5911" s="55" t="s">
        <v>40</v>
      </c>
      <c r="C5911" s="55" t="s">
        <v>776</v>
      </c>
      <c r="D5911" s="55" t="s">
        <v>12435</v>
      </c>
    </row>
    <row r="5912" ht="14.25" customHeight="1">
      <c r="A5912" s="55" t="s">
        <v>9840</v>
      </c>
      <c r="B5912" s="55" t="s">
        <v>40</v>
      </c>
      <c r="C5912" s="55" t="s">
        <v>776</v>
      </c>
      <c r="D5912" s="55" t="s">
        <v>9075</v>
      </c>
    </row>
    <row r="5913" ht="14.25" customHeight="1">
      <c r="A5913" s="55" t="s">
        <v>9840</v>
      </c>
      <c r="B5913" s="55" t="s">
        <v>40</v>
      </c>
      <c r="C5913" s="55" t="s">
        <v>776</v>
      </c>
      <c r="D5913" s="55" t="s">
        <v>9066</v>
      </c>
    </row>
    <row r="5914" ht="14.25" customHeight="1">
      <c r="A5914" s="55" t="s">
        <v>9840</v>
      </c>
      <c r="B5914" s="55" t="s">
        <v>40</v>
      </c>
      <c r="C5914" s="55" t="s">
        <v>294</v>
      </c>
      <c r="D5914" s="55" t="s">
        <v>14436</v>
      </c>
    </row>
    <row r="5915" ht="14.25" customHeight="1">
      <c r="A5915" s="55" t="s">
        <v>9840</v>
      </c>
      <c r="B5915" s="55" t="s">
        <v>40</v>
      </c>
      <c r="C5915" s="55" t="s">
        <v>294</v>
      </c>
      <c r="D5915" s="55" t="s">
        <v>10455</v>
      </c>
    </row>
    <row r="5916" ht="14.25" customHeight="1">
      <c r="A5916" s="55" t="s">
        <v>9840</v>
      </c>
      <c r="B5916" s="55" t="s">
        <v>40</v>
      </c>
      <c r="C5916" s="55" t="s">
        <v>294</v>
      </c>
      <c r="D5916" s="55" t="s">
        <v>10219</v>
      </c>
    </row>
    <row r="5917" ht="14.25" customHeight="1">
      <c r="A5917" s="55" t="s">
        <v>9840</v>
      </c>
      <c r="B5917" s="55" t="s">
        <v>40</v>
      </c>
      <c r="C5917" s="55" t="s">
        <v>294</v>
      </c>
      <c r="D5917" s="55" t="s">
        <v>9066</v>
      </c>
    </row>
    <row r="5918" ht="14.25" customHeight="1">
      <c r="A5918" s="55" t="s">
        <v>9840</v>
      </c>
      <c r="B5918" s="55" t="s">
        <v>40</v>
      </c>
      <c r="C5918" s="55" t="s">
        <v>7652</v>
      </c>
      <c r="D5918" s="55" t="s">
        <v>9755</v>
      </c>
    </row>
    <row r="5919" ht="14.25" customHeight="1">
      <c r="A5919" s="55" t="s">
        <v>9840</v>
      </c>
      <c r="B5919" s="55" t="s">
        <v>40</v>
      </c>
      <c r="C5919" s="55" t="s">
        <v>7652</v>
      </c>
      <c r="D5919" s="55" t="s">
        <v>9028</v>
      </c>
    </row>
    <row r="5920" ht="14.25" customHeight="1">
      <c r="A5920" s="55" t="s">
        <v>9840</v>
      </c>
      <c r="B5920" s="55" t="s">
        <v>40</v>
      </c>
      <c r="C5920" s="55" t="s">
        <v>96</v>
      </c>
      <c r="D5920" s="55" t="s">
        <v>11770</v>
      </c>
    </row>
    <row r="5921" ht="14.25" customHeight="1">
      <c r="A5921" s="55" t="s">
        <v>9840</v>
      </c>
      <c r="B5921" s="55" t="s">
        <v>40</v>
      </c>
      <c r="C5921" s="55" t="s">
        <v>96</v>
      </c>
      <c r="D5921" s="55" t="s">
        <v>11187</v>
      </c>
    </row>
    <row r="5922" ht="14.25" customHeight="1">
      <c r="A5922" s="55" t="s">
        <v>9840</v>
      </c>
      <c r="B5922" s="55" t="s">
        <v>40</v>
      </c>
      <c r="C5922" s="55" t="s">
        <v>97</v>
      </c>
      <c r="D5922" s="55" t="s">
        <v>9755</v>
      </c>
    </row>
    <row r="5923" ht="14.25" customHeight="1">
      <c r="A5923" s="55" t="s">
        <v>9840</v>
      </c>
      <c r="B5923" s="55" t="s">
        <v>40</v>
      </c>
      <c r="C5923" s="55" t="s">
        <v>10456</v>
      </c>
      <c r="D5923" s="55" t="s">
        <v>10377</v>
      </c>
    </row>
    <row r="5924" ht="14.25" customHeight="1">
      <c r="A5924" s="55" t="s">
        <v>9840</v>
      </c>
      <c r="B5924" s="55" t="s">
        <v>40</v>
      </c>
      <c r="C5924" s="55" t="s">
        <v>98</v>
      </c>
      <c r="D5924" s="55" t="s">
        <v>9075</v>
      </c>
    </row>
    <row r="5925" ht="14.25" customHeight="1">
      <c r="A5925" s="55" t="s">
        <v>9840</v>
      </c>
      <c r="B5925" s="55" t="s">
        <v>40</v>
      </c>
      <c r="C5925" s="55" t="s">
        <v>12436</v>
      </c>
      <c r="D5925" s="55" t="s">
        <v>10486</v>
      </c>
    </row>
    <row r="5926" ht="14.25" customHeight="1">
      <c r="A5926" s="55" t="s">
        <v>9840</v>
      </c>
      <c r="B5926" s="55" t="s">
        <v>40</v>
      </c>
      <c r="C5926" s="55" t="s">
        <v>11188</v>
      </c>
      <c r="D5926" s="55" t="s">
        <v>9151</v>
      </c>
    </row>
    <row r="5927" ht="14.25" customHeight="1">
      <c r="A5927" s="55" t="s">
        <v>9840</v>
      </c>
      <c r="B5927" s="55" t="s">
        <v>40</v>
      </c>
      <c r="C5927" s="55" t="s">
        <v>9469</v>
      </c>
      <c r="D5927" s="55" t="s">
        <v>9131</v>
      </c>
    </row>
    <row r="5928" ht="14.25" customHeight="1">
      <c r="A5928" s="55" t="s">
        <v>9840</v>
      </c>
      <c r="B5928" s="55" t="s">
        <v>40</v>
      </c>
      <c r="C5928" s="55" t="s">
        <v>9469</v>
      </c>
      <c r="D5928" s="55" t="s">
        <v>9051</v>
      </c>
    </row>
    <row r="5929" ht="14.25" customHeight="1">
      <c r="A5929" s="55" t="s">
        <v>9840</v>
      </c>
      <c r="B5929" s="55" t="s">
        <v>40</v>
      </c>
      <c r="C5929" s="55" t="s">
        <v>10660</v>
      </c>
      <c r="D5929" s="55" t="s">
        <v>9051</v>
      </c>
    </row>
    <row r="5930" ht="14.25" customHeight="1">
      <c r="A5930" s="55" t="s">
        <v>9840</v>
      </c>
      <c r="B5930" s="55" t="s">
        <v>40</v>
      </c>
      <c r="C5930" s="55" t="s">
        <v>10660</v>
      </c>
      <c r="D5930" s="55" t="s">
        <v>10459</v>
      </c>
    </row>
    <row r="5931" ht="14.25" customHeight="1">
      <c r="A5931" s="55" t="s">
        <v>9840</v>
      </c>
      <c r="B5931" s="55" t="s">
        <v>40</v>
      </c>
      <c r="C5931" s="55" t="s">
        <v>10660</v>
      </c>
      <c r="D5931" s="55" t="s">
        <v>11189</v>
      </c>
    </row>
    <row r="5932" ht="14.25" customHeight="1">
      <c r="A5932" s="55" t="s">
        <v>9840</v>
      </c>
      <c r="B5932" s="55" t="s">
        <v>40</v>
      </c>
      <c r="C5932" s="55" t="s">
        <v>10660</v>
      </c>
      <c r="D5932" s="55" t="s">
        <v>9028</v>
      </c>
    </row>
    <row r="5933" ht="14.25" customHeight="1">
      <c r="A5933" s="55" t="s">
        <v>9840</v>
      </c>
      <c r="B5933" s="55" t="s">
        <v>40</v>
      </c>
      <c r="C5933" s="55" t="s">
        <v>9110</v>
      </c>
      <c r="D5933" s="55" t="s">
        <v>10457</v>
      </c>
    </row>
    <row r="5934" ht="14.25" customHeight="1">
      <c r="A5934" s="55" t="s">
        <v>9840</v>
      </c>
      <c r="B5934" s="55" t="s">
        <v>40</v>
      </c>
      <c r="C5934" s="55" t="s">
        <v>9110</v>
      </c>
      <c r="D5934" s="55" t="s">
        <v>11190</v>
      </c>
    </row>
    <row r="5935" ht="14.25" customHeight="1">
      <c r="A5935" s="55" t="s">
        <v>9840</v>
      </c>
      <c r="B5935" s="55" t="s">
        <v>40</v>
      </c>
      <c r="C5935" s="55" t="s">
        <v>9110</v>
      </c>
      <c r="D5935" s="55" t="s">
        <v>14437</v>
      </c>
    </row>
    <row r="5936" ht="14.25" customHeight="1">
      <c r="A5936" s="55" t="s">
        <v>9840</v>
      </c>
      <c r="B5936" s="55" t="s">
        <v>40</v>
      </c>
      <c r="C5936" s="55" t="s">
        <v>13306</v>
      </c>
      <c r="D5936" s="55" t="s">
        <v>11877</v>
      </c>
    </row>
    <row r="5937" ht="14.25" customHeight="1">
      <c r="A5937" s="55" t="s">
        <v>9840</v>
      </c>
      <c r="B5937" s="55" t="s">
        <v>40</v>
      </c>
      <c r="C5937" s="55" t="s">
        <v>9847</v>
      </c>
      <c r="D5937" s="55" t="s">
        <v>8968</v>
      </c>
    </row>
    <row r="5938" ht="14.25" customHeight="1">
      <c r="A5938" s="55" t="s">
        <v>9840</v>
      </c>
      <c r="B5938" s="55" t="s">
        <v>40</v>
      </c>
      <c r="C5938" s="55" t="s">
        <v>13307</v>
      </c>
      <c r="D5938" s="55" t="s">
        <v>9037</v>
      </c>
    </row>
    <row r="5939" ht="14.25" customHeight="1">
      <c r="A5939" s="55" t="s">
        <v>9840</v>
      </c>
      <c r="B5939" s="55" t="s">
        <v>40</v>
      </c>
      <c r="C5939" s="55" t="s">
        <v>9848</v>
      </c>
      <c r="D5939" s="55" t="s">
        <v>9028</v>
      </c>
    </row>
    <row r="5940" ht="14.25" customHeight="1">
      <c r="A5940" s="55" t="s">
        <v>9840</v>
      </c>
      <c r="B5940" s="55" t="s">
        <v>40</v>
      </c>
      <c r="C5940" s="55" t="s">
        <v>10458</v>
      </c>
      <c r="D5940" s="55" t="s">
        <v>9055</v>
      </c>
    </row>
    <row r="5941" ht="14.25" customHeight="1">
      <c r="A5941" s="55" t="s">
        <v>9840</v>
      </c>
      <c r="B5941" s="55" t="s">
        <v>40</v>
      </c>
      <c r="C5941" s="55" t="s">
        <v>6057</v>
      </c>
      <c r="D5941" s="55" t="s">
        <v>9131</v>
      </c>
    </row>
    <row r="5942" ht="14.25" customHeight="1">
      <c r="A5942" s="55" t="s">
        <v>9840</v>
      </c>
      <c r="B5942" s="55" t="s">
        <v>40</v>
      </c>
      <c r="C5942" s="55" t="s">
        <v>6057</v>
      </c>
      <c r="D5942" s="55" t="s">
        <v>13940</v>
      </c>
    </row>
    <row r="5943" ht="14.25" customHeight="1">
      <c r="A5943" s="55" t="s">
        <v>9840</v>
      </c>
      <c r="B5943" s="55" t="s">
        <v>40</v>
      </c>
      <c r="C5943" s="55" t="s">
        <v>6057</v>
      </c>
      <c r="D5943" s="55" t="s">
        <v>9583</v>
      </c>
    </row>
    <row r="5944" ht="14.25" customHeight="1">
      <c r="A5944" s="55" t="s">
        <v>9840</v>
      </c>
      <c r="B5944" s="55" t="s">
        <v>40</v>
      </c>
      <c r="C5944" s="55" t="s">
        <v>14438</v>
      </c>
      <c r="D5944" s="55" t="s">
        <v>8968</v>
      </c>
    </row>
    <row r="5945" ht="14.25" customHeight="1">
      <c r="A5945" s="55" t="s">
        <v>9840</v>
      </c>
      <c r="B5945" s="55" t="s">
        <v>40</v>
      </c>
      <c r="C5945" s="55" t="s">
        <v>9113</v>
      </c>
      <c r="D5945" s="55" t="s">
        <v>9075</v>
      </c>
    </row>
    <row r="5946" ht="14.25" customHeight="1">
      <c r="A5946" s="55" t="s">
        <v>9840</v>
      </c>
      <c r="B5946" s="55" t="s">
        <v>40</v>
      </c>
      <c r="C5946" s="55" t="s">
        <v>12437</v>
      </c>
      <c r="D5946" s="55" t="s">
        <v>9131</v>
      </c>
    </row>
    <row r="5947" ht="14.25" customHeight="1">
      <c r="A5947" s="55" t="s">
        <v>9840</v>
      </c>
      <c r="B5947" s="55" t="s">
        <v>40</v>
      </c>
      <c r="C5947" s="55" t="s">
        <v>2786</v>
      </c>
      <c r="D5947" s="55" t="s">
        <v>9075</v>
      </c>
    </row>
    <row r="5948" ht="14.25" customHeight="1">
      <c r="A5948" s="55" t="s">
        <v>9840</v>
      </c>
      <c r="B5948" s="55" t="s">
        <v>40</v>
      </c>
      <c r="C5948" s="55" t="s">
        <v>6099</v>
      </c>
      <c r="D5948" s="55" t="s">
        <v>9034</v>
      </c>
    </row>
    <row r="5949" ht="14.25" customHeight="1">
      <c r="A5949" s="55" t="s">
        <v>9840</v>
      </c>
      <c r="B5949" s="55" t="s">
        <v>40</v>
      </c>
      <c r="C5949" s="55" t="s">
        <v>2798</v>
      </c>
      <c r="D5949" s="55" t="s">
        <v>9741</v>
      </c>
    </row>
    <row r="5950" ht="14.25" customHeight="1">
      <c r="A5950" s="55" t="s">
        <v>9840</v>
      </c>
      <c r="B5950" s="55" t="s">
        <v>40</v>
      </c>
      <c r="C5950" s="55" t="s">
        <v>2798</v>
      </c>
      <c r="D5950" s="55" t="s">
        <v>9637</v>
      </c>
    </row>
    <row r="5951" ht="14.25" customHeight="1">
      <c r="A5951" s="55" t="s">
        <v>9840</v>
      </c>
      <c r="B5951" s="55" t="s">
        <v>40</v>
      </c>
      <c r="C5951" s="55" t="s">
        <v>13308</v>
      </c>
      <c r="D5951" s="55" t="s">
        <v>9055</v>
      </c>
    </row>
    <row r="5952" ht="14.25" customHeight="1">
      <c r="A5952" s="55" t="s">
        <v>9840</v>
      </c>
      <c r="B5952" s="55" t="s">
        <v>40</v>
      </c>
      <c r="C5952" s="55" t="s">
        <v>14439</v>
      </c>
      <c r="D5952" s="55" t="s">
        <v>9034</v>
      </c>
    </row>
    <row r="5953" ht="14.25" customHeight="1">
      <c r="A5953" s="55" t="s">
        <v>9840</v>
      </c>
      <c r="B5953" s="55" t="s">
        <v>40</v>
      </c>
      <c r="C5953" s="55" t="s">
        <v>9626</v>
      </c>
      <c r="D5953" s="55" t="s">
        <v>9028</v>
      </c>
    </row>
    <row r="5954" ht="14.25" customHeight="1">
      <c r="A5954" s="55" t="s">
        <v>9840</v>
      </c>
      <c r="B5954" s="55" t="s">
        <v>40</v>
      </c>
      <c r="C5954" s="55" t="s">
        <v>11133</v>
      </c>
      <c r="D5954" s="55" t="s">
        <v>9118</v>
      </c>
    </row>
    <row r="5955" ht="14.25" customHeight="1">
      <c r="A5955" s="55" t="s">
        <v>9840</v>
      </c>
      <c r="B5955" s="55" t="s">
        <v>40</v>
      </c>
      <c r="C5955" s="55" t="s">
        <v>11754</v>
      </c>
      <c r="D5955" s="55" t="s">
        <v>9151</v>
      </c>
    </row>
    <row r="5956" ht="14.25" customHeight="1">
      <c r="A5956" s="55" t="s">
        <v>9840</v>
      </c>
      <c r="B5956" s="55" t="s">
        <v>40</v>
      </c>
      <c r="C5956" s="55" t="s">
        <v>12438</v>
      </c>
      <c r="D5956" s="55" t="s">
        <v>8976</v>
      </c>
    </row>
    <row r="5957" ht="14.25" customHeight="1">
      <c r="A5957" s="55" t="s">
        <v>9840</v>
      </c>
      <c r="B5957" s="55" t="s">
        <v>40</v>
      </c>
      <c r="C5957" s="55" t="s">
        <v>9849</v>
      </c>
      <c r="D5957" s="55" t="s">
        <v>9850</v>
      </c>
    </row>
    <row r="5958" ht="14.25" customHeight="1">
      <c r="A5958" s="55" t="s">
        <v>9840</v>
      </c>
      <c r="B5958" s="55" t="s">
        <v>40</v>
      </c>
      <c r="C5958" s="55" t="s">
        <v>10962</v>
      </c>
      <c r="D5958" s="55" t="s">
        <v>9131</v>
      </c>
    </row>
    <row r="5959" ht="14.25" customHeight="1">
      <c r="A5959" s="55" t="s">
        <v>9840</v>
      </c>
      <c r="B5959" s="55" t="s">
        <v>40</v>
      </c>
      <c r="C5959" s="55" t="s">
        <v>916</v>
      </c>
      <c r="D5959" s="55" t="s">
        <v>8978</v>
      </c>
    </row>
    <row r="5960" ht="14.25" customHeight="1">
      <c r="A5960" s="55" t="s">
        <v>9840</v>
      </c>
      <c r="B5960" s="55" t="s">
        <v>40</v>
      </c>
      <c r="C5960" s="55" t="s">
        <v>916</v>
      </c>
      <c r="D5960" s="55" t="s">
        <v>8976</v>
      </c>
    </row>
    <row r="5961" ht="14.25" customHeight="1">
      <c r="A5961" s="55" t="s">
        <v>9840</v>
      </c>
      <c r="B5961" s="55" t="s">
        <v>40</v>
      </c>
      <c r="C5961" s="55" t="s">
        <v>9630</v>
      </c>
      <c r="D5961" s="55" t="s">
        <v>14440</v>
      </c>
    </row>
    <row r="5962" ht="14.25" customHeight="1">
      <c r="A5962" s="55" t="s">
        <v>9840</v>
      </c>
      <c r="B5962" s="55" t="s">
        <v>40</v>
      </c>
      <c r="C5962" s="55" t="s">
        <v>9630</v>
      </c>
      <c r="D5962" s="55" t="s">
        <v>12439</v>
      </c>
    </row>
    <row r="5963" ht="14.25" customHeight="1">
      <c r="A5963" s="55" t="s">
        <v>9840</v>
      </c>
      <c r="B5963" s="55" t="s">
        <v>40</v>
      </c>
      <c r="C5963" s="55" t="s">
        <v>9630</v>
      </c>
      <c r="D5963" s="55" t="s">
        <v>11687</v>
      </c>
    </row>
    <row r="5964" ht="14.25" customHeight="1">
      <c r="A5964" s="55" t="s">
        <v>9840</v>
      </c>
      <c r="B5964" s="55" t="s">
        <v>40</v>
      </c>
      <c r="C5964" s="55" t="s">
        <v>9630</v>
      </c>
      <c r="D5964" s="55" t="s">
        <v>9430</v>
      </c>
    </row>
    <row r="5965" ht="14.25" customHeight="1">
      <c r="A5965" s="55" t="s">
        <v>9840</v>
      </c>
      <c r="B5965" s="55" t="s">
        <v>40</v>
      </c>
      <c r="C5965" s="55" t="s">
        <v>9630</v>
      </c>
      <c r="D5965" s="55" t="s">
        <v>13309</v>
      </c>
    </row>
    <row r="5966" ht="14.25" customHeight="1">
      <c r="A5966" s="55" t="s">
        <v>9840</v>
      </c>
      <c r="B5966" s="55" t="s">
        <v>40</v>
      </c>
      <c r="C5966" s="55" t="s">
        <v>10387</v>
      </c>
      <c r="D5966" s="55" t="s">
        <v>12107</v>
      </c>
    </row>
    <row r="5967" ht="14.25" customHeight="1">
      <c r="A5967" s="55" t="s">
        <v>9840</v>
      </c>
      <c r="B5967" s="55" t="s">
        <v>40</v>
      </c>
      <c r="C5967" s="55" t="s">
        <v>12108</v>
      </c>
      <c r="D5967" s="55" t="s">
        <v>12440</v>
      </c>
    </row>
    <row r="5968" ht="14.25" customHeight="1">
      <c r="A5968" s="55" t="s">
        <v>9840</v>
      </c>
      <c r="B5968" s="55" t="s">
        <v>40</v>
      </c>
      <c r="C5968" s="55" t="s">
        <v>9851</v>
      </c>
      <c r="D5968" s="55" t="s">
        <v>9109</v>
      </c>
    </row>
    <row r="5969" ht="14.25" customHeight="1">
      <c r="A5969" s="55" t="s">
        <v>9840</v>
      </c>
      <c r="B5969" s="55" t="s">
        <v>40</v>
      </c>
      <c r="C5969" s="55" t="s">
        <v>9852</v>
      </c>
      <c r="D5969" s="55" t="s">
        <v>9853</v>
      </c>
    </row>
    <row r="5970" ht="14.25" customHeight="1">
      <c r="A5970" s="55" t="s">
        <v>9840</v>
      </c>
      <c r="B5970" s="55" t="s">
        <v>40</v>
      </c>
      <c r="C5970" s="55" t="s">
        <v>12166</v>
      </c>
      <c r="D5970" s="55" t="s">
        <v>9055</v>
      </c>
    </row>
    <row r="5971" ht="14.25" customHeight="1">
      <c r="A5971" s="55" t="s">
        <v>9840</v>
      </c>
      <c r="B5971" s="55" t="s">
        <v>40</v>
      </c>
      <c r="C5971" s="55" t="s">
        <v>13310</v>
      </c>
      <c r="D5971" s="55" t="s">
        <v>13311</v>
      </c>
    </row>
    <row r="5972" ht="14.25" customHeight="1">
      <c r="A5972" s="55" t="s">
        <v>9840</v>
      </c>
      <c r="B5972" s="55" t="s">
        <v>40</v>
      </c>
      <c r="C5972" s="55" t="s">
        <v>9747</v>
      </c>
      <c r="D5972" s="55" t="s">
        <v>13573</v>
      </c>
    </row>
    <row r="5973" ht="14.25" customHeight="1">
      <c r="A5973" s="55" t="s">
        <v>9840</v>
      </c>
      <c r="B5973" s="55" t="s">
        <v>40</v>
      </c>
      <c r="C5973" s="55" t="s">
        <v>11771</v>
      </c>
      <c r="D5973" s="55" t="s">
        <v>9028</v>
      </c>
    </row>
    <row r="5974" ht="14.25" customHeight="1">
      <c r="A5974" s="55" t="s">
        <v>9840</v>
      </c>
      <c r="B5974" s="55" t="s">
        <v>40</v>
      </c>
      <c r="C5974" s="55" t="s">
        <v>14441</v>
      </c>
      <c r="D5974" s="55" t="s">
        <v>8976</v>
      </c>
    </row>
    <row r="5975" ht="14.25" customHeight="1">
      <c r="A5975" s="55" t="s">
        <v>9840</v>
      </c>
      <c r="B5975" s="55" t="s">
        <v>40</v>
      </c>
      <c r="C5975" s="55" t="s">
        <v>11191</v>
      </c>
      <c r="D5975" s="55" t="s">
        <v>11192</v>
      </c>
    </row>
    <row r="5976" ht="14.25" customHeight="1">
      <c r="A5976" s="55" t="s">
        <v>9840</v>
      </c>
      <c r="B5976" s="55" t="s">
        <v>40</v>
      </c>
      <c r="C5976" s="55" t="s">
        <v>9121</v>
      </c>
      <c r="D5976" s="55" t="s">
        <v>13312</v>
      </c>
    </row>
    <row r="5977" ht="14.25" customHeight="1">
      <c r="A5977" s="55" t="s">
        <v>9840</v>
      </c>
      <c r="B5977" s="55" t="s">
        <v>40</v>
      </c>
      <c r="C5977" s="55" t="s">
        <v>9121</v>
      </c>
      <c r="D5977" s="55" t="s">
        <v>9827</v>
      </c>
    </row>
    <row r="5978" ht="14.25" customHeight="1">
      <c r="A5978" s="55" t="s">
        <v>9840</v>
      </c>
      <c r="B5978" s="55" t="s">
        <v>40</v>
      </c>
      <c r="C5978" s="55" t="s">
        <v>11193</v>
      </c>
      <c r="D5978" s="55" t="s">
        <v>9131</v>
      </c>
    </row>
    <row r="5979" ht="14.25" customHeight="1">
      <c r="A5979" s="55" t="s">
        <v>9840</v>
      </c>
      <c r="B5979" s="55" t="s">
        <v>40</v>
      </c>
      <c r="C5979" s="55" t="s">
        <v>11772</v>
      </c>
      <c r="D5979" s="55" t="s">
        <v>9034</v>
      </c>
    </row>
    <row r="5980" ht="14.25" customHeight="1">
      <c r="A5980" s="55" t="s">
        <v>9840</v>
      </c>
      <c r="B5980" s="55" t="s">
        <v>40</v>
      </c>
      <c r="C5980" s="55" t="s">
        <v>13313</v>
      </c>
      <c r="D5980" s="55" t="s">
        <v>13314</v>
      </c>
    </row>
    <row r="5981" ht="14.25" customHeight="1">
      <c r="A5981" s="55" t="s">
        <v>9840</v>
      </c>
      <c r="B5981" s="55" t="s">
        <v>40</v>
      </c>
      <c r="C5981" s="55" t="s">
        <v>112</v>
      </c>
      <c r="D5981" s="55" t="s">
        <v>9216</v>
      </c>
    </row>
    <row r="5982" ht="14.25" customHeight="1">
      <c r="A5982" s="55" t="s">
        <v>9840</v>
      </c>
      <c r="B5982" s="55" t="s">
        <v>40</v>
      </c>
      <c r="C5982" s="55" t="s">
        <v>9854</v>
      </c>
      <c r="D5982" s="55" t="s">
        <v>9216</v>
      </c>
    </row>
    <row r="5983" ht="14.25" customHeight="1">
      <c r="A5983" s="55" t="s">
        <v>9840</v>
      </c>
      <c r="B5983" s="55" t="s">
        <v>40</v>
      </c>
      <c r="C5983" s="55" t="s">
        <v>298</v>
      </c>
      <c r="D5983" s="55" t="s">
        <v>9028</v>
      </c>
    </row>
    <row r="5984" ht="14.25" customHeight="1">
      <c r="A5984" s="55" t="s">
        <v>9840</v>
      </c>
      <c r="B5984" s="55" t="s">
        <v>40</v>
      </c>
      <c r="C5984" s="55" t="s">
        <v>2894</v>
      </c>
      <c r="D5984" s="55" t="s">
        <v>9002</v>
      </c>
    </row>
    <row r="5985" ht="14.25" customHeight="1">
      <c r="A5985" s="55" t="s">
        <v>9840</v>
      </c>
      <c r="B5985" s="55" t="s">
        <v>40</v>
      </c>
      <c r="C5985" s="55" t="s">
        <v>2894</v>
      </c>
      <c r="D5985" s="55" t="s">
        <v>9855</v>
      </c>
    </row>
    <row r="5986" ht="14.25" customHeight="1">
      <c r="A5986" s="55" t="s">
        <v>9840</v>
      </c>
      <c r="B5986" s="55" t="s">
        <v>40</v>
      </c>
      <c r="C5986" s="55" t="s">
        <v>11194</v>
      </c>
      <c r="D5986" s="55" t="s">
        <v>9118</v>
      </c>
    </row>
    <row r="5987" ht="14.25" customHeight="1">
      <c r="A5987" s="55" t="s">
        <v>9840</v>
      </c>
      <c r="B5987" s="55" t="s">
        <v>40</v>
      </c>
      <c r="C5987" s="55" t="s">
        <v>13315</v>
      </c>
      <c r="D5987" s="55" t="s">
        <v>9291</v>
      </c>
    </row>
    <row r="5988" ht="14.25" customHeight="1">
      <c r="A5988" s="55" t="s">
        <v>9840</v>
      </c>
      <c r="B5988" s="55" t="s">
        <v>40</v>
      </c>
      <c r="C5988" s="55" t="s">
        <v>9856</v>
      </c>
      <c r="D5988" s="55" t="s">
        <v>9028</v>
      </c>
    </row>
    <row r="5989" ht="14.25" customHeight="1">
      <c r="A5989" s="55" t="s">
        <v>9840</v>
      </c>
      <c r="B5989" s="55" t="s">
        <v>40</v>
      </c>
      <c r="C5989" s="55" t="s">
        <v>9748</v>
      </c>
      <c r="D5989" s="55" t="s">
        <v>9028</v>
      </c>
    </row>
    <row r="5990" ht="14.25" customHeight="1">
      <c r="A5990" s="55" t="s">
        <v>9840</v>
      </c>
      <c r="B5990" s="55" t="s">
        <v>40</v>
      </c>
      <c r="C5990" s="55" t="s">
        <v>14442</v>
      </c>
      <c r="D5990" s="55" t="s">
        <v>14443</v>
      </c>
    </row>
    <row r="5991" ht="14.25" customHeight="1">
      <c r="A5991" s="55" t="s">
        <v>9840</v>
      </c>
      <c r="B5991" s="55" t="s">
        <v>40</v>
      </c>
      <c r="C5991" s="55" t="s">
        <v>11773</v>
      </c>
      <c r="D5991" s="55" t="s">
        <v>9034</v>
      </c>
    </row>
    <row r="5992" ht="14.25" customHeight="1">
      <c r="A5992" s="55" t="s">
        <v>9840</v>
      </c>
      <c r="B5992" s="55" t="s">
        <v>40</v>
      </c>
      <c r="C5992" s="55" t="s">
        <v>11773</v>
      </c>
      <c r="D5992" s="55" t="s">
        <v>10229</v>
      </c>
    </row>
    <row r="5993" ht="14.25" customHeight="1">
      <c r="A5993" s="55" t="s">
        <v>9840</v>
      </c>
      <c r="B5993" s="55" t="s">
        <v>40</v>
      </c>
      <c r="C5993" s="55" t="s">
        <v>13316</v>
      </c>
      <c r="D5993" s="55" t="s">
        <v>9131</v>
      </c>
    </row>
    <row r="5994" ht="14.25" customHeight="1">
      <c r="A5994" s="55" t="s">
        <v>9840</v>
      </c>
      <c r="B5994" s="55" t="s">
        <v>40</v>
      </c>
      <c r="C5994" s="55" t="s">
        <v>9478</v>
      </c>
      <c r="D5994" s="55" t="s">
        <v>9873</v>
      </c>
    </row>
    <row r="5995" ht="14.25" customHeight="1">
      <c r="A5995" s="55" t="s">
        <v>9840</v>
      </c>
      <c r="B5995" s="55" t="s">
        <v>40</v>
      </c>
      <c r="C5995" s="55" t="s">
        <v>9478</v>
      </c>
      <c r="D5995" s="55" t="s">
        <v>9857</v>
      </c>
    </row>
    <row r="5996" ht="14.25" customHeight="1">
      <c r="A5996" s="55" t="s">
        <v>9840</v>
      </c>
      <c r="B5996" s="55" t="s">
        <v>40</v>
      </c>
      <c r="C5996" s="55" t="s">
        <v>9858</v>
      </c>
      <c r="D5996" s="55" t="s">
        <v>9859</v>
      </c>
    </row>
    <row r="5997" ht="14.25" customHeight="1">
      <c r="A5997" s="55" t="s">
        <v>9840</v>
      </c>
      <c r="B5997" s="55" t="s">
        <v>40</v>
      </c>
      <c r="C5997" s="55" t="s">
        <v>300</v>
      </c>
      <c r="D5997" s="55" t="s">
        <v>9109</v>
      </c>
    </row>
    <row r="5998" ht="14.25" customHeight="1">
      <c r="A5998" s="55" t="s">
        <v>9840</v>
      </c>
      <c r="B5998" s="55" t="s">
        <v>40</v>
      </c>
      <c r="C5998" s="55" t="s">
        <v>300</v>
      </c>
      <c r="D5998" s="55" t="s">
        <v>11774</v>
      </c>
    </row>
    <row r="5999" ht="14.25" customHeight="1">
      <c r="A5999" s="55" t="s">
        <v>9840</v>
      </c>
      <c r="B5999" s="55" t="s">
        <v>40</v>
      </c>
      <c r="C5999" s="55" t="s">
        <v>300</v>
      </c>
      <c r="D5999" s="55" t="s">
        <v>11195</v>
      </c>
    </row>
    <row r="6000" ht="14.25" customHeight="1">
      <c r="A6000" s="55" t="s">
        <v>9840</v>
      </c>
      <c r="B6000" s="55" t="s">
        <v>40</v>
      </c>
      <c r="C6000" s="55" t="s">
        <v>9132</v>
      </c>
      <c r="D6000" s="55" t="s">
        <v>9151</v>
      </c>
    </row>
    <row r="6001" ht="14.25" customHeight="1">
      <c r="A6001" s="55" t="s">
        <v>9840</v>
      </c>
      <c r="B6001" s="55" t="s">
        <v>40</v>
      </c>
      <c r="C6001" s="55" t="s">
        <v>123</v>
      </c>
      <c r="D6001" s="55" t="s">
        <v>11775</v>
      </c>
    </row>
    <row r="6002" ht="14.25" customHeight="1">
      <c r="A6002" s="55" t="s">
        <v>9840</v>
      </c>
      <c r="B6002" s="55" t="s">
        <v>40</v>
      </c>
      <c r="C6002" s="55" t="s">
        <v>9860</v>
      </c>
      <c r="D6002" s="55" t="s">
        <v>9861</v>
      </c>
    </row>
    <row r="6003" ht="14.25" customHeight="1">
      <c r="A6003" s="55" t="s">
        <v>9840</v>
      </c>
      <c r="B6003" s="55" t="s">
        <v>40</v>
      </c>
      <c r="C6003" s="55" t="s">
        <v>124</v>
      </c>
      <c r="D6003" s="55" t="s">
        <v>9034</v>
      </c>
    </row>
    <row r="6004" ht="14.25" customHeight="1">
      <c r="A6004" s="55" t="s">
        <v>9840</v>
      </c>
      <c r="B6004" s="55" t="s">
        <v>40</v>
      </c>
      <c r="C6004" s="55" t="s">
        <v>124</v>
      </c>
      <c r="D6004" s="55" t="s">
        <v>8982</v>
      </c>
    </row>
    <row r="6005" ht="14.25" customHeight="1">
      <c r="A6005" s="55" t="s">
        <v>9840</v>
      </c>
      <c r="B6005" s="55" t="s">
        <v>40</v>
      </c>
      <c r="C6005" s="55" t="s">
        <v>8981</v>
      </c>
      <c r="D6005" s="55" t="s">
        <v>8982</v>
      </c>
    </row>
    <row r="6006" ht="14.25" customHeight="1">
      <c r="A6006" s="55" t="s">
        <v>9840</v>
      </c>
      <c r="B6006" s="55" t="s">
        <v>40</v>
      </c>
      <c r="C6006" s="55" t="s">
        <v>2967</v>
      </c>
      <c r="D6006" s="55" t="s">
        <v>9131</v>
      </c>
    </row>
    <row r="6007" ht="14.25" customHeight="1">
      <c r="A6007" s="55" t="s">
        <v>9840</v>
      </c>
      <c r="B6007" s="55" t="s">
        <v>40</v>
      </c>
      <c r="C6007" s="55" t="s">
        <v>12441</v>
      </c>
      <c r="D6007" s="55" t="s">
        <v>12442</v>
      </c>
    </row>
    <row r="6008" ht="14.25" customHeight="1">
      <c r="A6008" s="55" t="s">
        <v>9840</v>
      </c>
      <c r="B6008" s="55" t="s">
        <v>40</v>
      </c>
      <c r="C6008" s="55" t="s">
        <v>11724</v>
      </c>
      <c r="D6008" s="55" t="s">
        <v>13941</v>
      </c>
    </row>
    <row r="6009" ht="14.25" customHeight="1">
      <c r="A6009" s="55" t="s">
        <v>9840</v>
      </c>
      <c r="B6009" s="55" t="s">
        <v>40</v>
      </c>
      <c r="C6009" s="55" t="s">
        <v>9133</v>
      </c>
      <c r="D6009" s="55" t="s">
        <v>11196</v>
      </c>
    </row>
    <row r="6010" ht="14.25" customHeight="1">
      <c r="A6010" s="55" t="s">
        <v>9840</v>
      </c>
      <c r="B6010" s="55" t="s">
        <v>40</v>
      </c>
      <c r="C6010" s="55" t="s">
        <v>9133</v>
      </c>
      <c r="D6010" s="55" t="s">
        <v>10541</v>
      </c>
    </row>
    <row r="6011" ht="14.25" customHeight="1">
      <c r="A6011" s="55" t="s">
        <v>9840</v>
      </c>
      <c r="B6011" s="55" t="s">
        <v>40</v>
      </c>
      <c r="C6011" s="55" t="s">
        <v>9133</v>
      </c>
      <c r="D6011" s="55" t="s">
        <v>9051</v>
      </c>
    </row>
    <row r="6012" ht="14.25" customHeight="1">
      <c r="A6012" s="55" t="s">
        <v>9840</v>
      </c>
      <c r="B6012" s="55" t="s">
        <v>40</v>
      </c>
      <c r="C6012" s="55" t="s">
        <v>9133</v>
      </c>
      <c r="D6012" s="55" t="s">
        <v>9151</v>
      </c>
    </row>
    <row r="6013" ht="14.25" customHeight="1">
      <c r="A6013" s="55" t="s">
        <v>9840</v>
      </c>
      <c r="B6013" s="55" t="s">
        <v>40</v>
      </c>
      <c r="C6013" s="55" t="s">
        <v>9133</v>
      </c>
      <c r="D6013" s="55" t="s">
        <v>13317</v>
      </c>
    </row>
    <row r="6014" ht="14.25" customHeight="1">
      <c r="A6014" s="55" t="s">
        <v>9840</v>
      </c>
      <c r="B6014" s="55" t="s">
        <v>40</v>
      </c>
      <c r="C6014" s="55" t="s">
        <v>9133</v>
      </c>
      <c r="D6014" s="55" t="s">
        <v>13942</v>
      </c>
    </row>
    <row r="6015" ht="14.25" customHeight="1">
      <c r="A6015" s="55" t="s">
        <v>9840</v>
      </c>
      <c r="B6015" s="55" t="s">
        <v>40</v>
      </c>
      <c r="C6015" s="55" t="s">
        <v>9133</v>
      </c>
      <c r="D6015" s="55" t="s">
        <v>14444</v>
      </c>
    </row>
    <row r="6016" ht="14.25" customHeight="1">
      <c r="A6016" s="55" t="s">
        <v>9840</v>
      </c>
      <c r="B6016" s="55" t="s">
        <v>40</v>
      </c>
      <c r="C6016" s="55" t="s">
        <v>9133</v>
      </c>
      <c r="D6016" s="55" t="s">
        <v>11197</v>
      </c>
    </row>
    <row r="6017" ht="14.25" customHeight="1">
      <c r="A6017" s="55" t="s">
        <v>9840</v>
      </c>
      <c r="B6017" s="55" t="s">
        <v>40</v>
      </c>
      <c r="C6017" s="55" t="s">
        <v>9133</v>
      </c>
      <c r="D6017" s="55" t="s">
        <v>13318</v>
      </c>
    </row>
    <row r="6018" ht="14.25" customHeight="1">
      <c r="A6018" s="55" t="s">
        <v>9840</v>
      </c>
      <c r="B6018" s="55" t="s">
        <v>40</v>
      </c>
      <c r="C6018" s="55" t="s">
        <v>9133</v>
      </c>
      <c r="D6018" s="55" t="s">
        <v>10425</v>
      </c>
    </row>
    <row r="6019" ht="14.25" customHeight="1">
      <c r="A6019" s="55" t="s">
        <v>9840</v>
      </c>
      <c r="B6019" s="55" t="s">
        <v>40</v>
      </c>
      <c r="C6019" s="55" t="s">
        <v>9133</v>
      </c>
      <c r="D6019" s="55" t="s">
        <v>11776</v>
      </c>
    </row>
    <row r="6020" ht="14.25" customHeight="1">
      <c r="A6020" s="55" t="s">
        <v>9840</v>
      </c>
      <c r="B6020" s="55" t="s">
        <v>40</v>
      </c>
      <c r="C6020" s="55" t="s">
        <v>11198</v>
      </c>
      <c r="D6020" s="55" t="s">
        <v>11199</v>
      </c>
    </row>
    <row r="6021" ht="14.25" customHeight="1">
      <c r="A6021" s="55" t="s">
        <v>9840</v>
      </c>
      <c r="B6021" s="55" t="s">
        <v>40</v>
      </c>
      <c r="C6021" s="55" t="s">
        <v>2987</v>
      </c>
      <c r="D6021" s="55" t="s">
        <v>11200</v>
      </c>
    </row>
    <row r="6022" ht="14.25" customHeight="1">
      <c r="A6022" s="55" t="s">
        <v>9840</v>
      </c>
      <c r="B6022" s="55" t="s">
        <v>40</v>
      </c>
      <c r="C6022" s="55" t="s">
        <v>12058</v>
      </c>
      <c r="D6022" s="55" t="s">
        <v>12443</v>
      </c>
    </row>
    <row r="6023" ht="14.25" customHeight="1">
      <c r="A6023" s="55" t="s">
        <v>9840</v>
      </c>
      <c r="B6023" s="55" t="s">
        <v>40</v>
      </c>
      <c r="C6023" s="55" t="s">
        <v>12444</v>
      </c>
      <c r="D6023" s="55" t="s">
        <v>12445</v>
      </c>
    </row>
    <row r="6024" ht="14.25" customHeight="1">
      <c r="A6024" s="55" t="s">
        <v>9840</v>
      </c>
      <c r="B6024" s="55" t="s">
        <v>40</v>
      </c>
      <c r="C6024" s="55" t="s">
        <v>126</v>
      </c>
      <c r="D6024" s="55" t="s">
        <v>9151</v>
      </c>
    </row>
    <row r="6025" ht="14.25" customHeight="1">
      <c r="A6025" s="55" t="s">
        <v>9840</v>
      </c>
      <c r="B6025" s="55" t="s">
        <v>40</v>
      </c>
      <c r="C6025" s="55" t="s">
        <v>12446</v>
      </c>
      <c r="D6025" s="55" t="s">
        <v>12447</v>
      </c>
    </row>
    <row r="6026" ht="14.25" customHeight="1">
      <c r="A6026" s="55" t="s">
        <v>9840</v>
      </c>
      <c r="B6026" s="55" t="s">
        <v>40</v>
      </c>
      <c r="C6026" s="55" t="s">
        <v>9640</v>
      </c>
      <c r="D6026" s="55" t="s">
        <v>11415</v>
      </c>
    </row>
    <row r="6027" ht="14.25" customHeight="1">
      <c r="A6027" s="55" t="s">
        <v>9840</v>
      </c>
      <c r="B6027" s="55" t="s">
        <v>40</v>
      </c>
      <c r="C6027" s="55" t="s">
        <v>1058</v>
      </c>
      <c r="D6027" s="55" t="s">
        <v>9118</v>
      </c>
    </row>
    <row r="6028" ht="14.25" customHeight="1">
      <c r="A6028" s="55" t="s">
        <v>9840</v>
      </c>
      <c r="B6028" s="55" t="s">
        <v>40</v>
      </c>
      <c r="C6028" s="55" t="s">
        <v>9862</v>
      </c>
      <c r="D6028" s="55" t="s">
        <v>9073</v>
      </c>
    </row>
    <row r="6029" ht="14.25" customHeight="1">
      <c r="A6029" s="55" t="s">
        <v>9840</v>
      </c>
      <c r="B6029" s="55" t="s">
        <v>40</v>
      </c>
      <c r="C6029" s="55" t="s">
        <v>9862</v>
      </c>
      <c r="D6029" s="55" t="s">
        <v>9525</v>
      </c>
    </row>
    <row r="6030" ht="14.25" customHeight="1">
      <c r="A6030" s="55" t="s">
        <v>9840</v>
      </c>
      <c r="B6030" s="55" t="s">
        <v>40</v>
      </c>
      <c r="C6030" s="55" t="s">
        <v>3059</v>
      </c>
      <c r="D6030" s="55" t="s">
        <v>9883</v>
      </c>
    </row>
    <row r="6031" ht="14.25" customHeight="1">
      <c r="A6031" s="55" t="s">
        <v>9840</v>
      </c>
      <c r="B6031" s="55" t="s">
        <v>40</v>
      </c>
      <c r="C6031" s="55" t="s">
        <v>1066</v>
      </c>
      <c r="D6031" s="55" t="s">
        <v>9055</v>
      </c>
    </row>
    <row r="6032" ht="14.25" customHeight="1">
      <c r="A6032" s="55" t="s">
        <v>9840</v>
      </c>
      <c r="B6032" s="55" t="s">
        <v>40</v>
      </c>
      <c r="C6032" s="55" t="s">
        <v>128</v>
      </c>
      <c r="D6032" s="55" t="s">
        <v>9864</v>
      </c>
    </row>
    <row r="6033" ht="14.25" customHeight="1">
      <c r="A6033" s="55" t="s">
        <v>9840</v>
      </c>
      <c r="B6033" s="55" t="s">
        <v>40</v>
      </c>
      <c r="C6033" s="55" t="s">
        <v>129</v>
      </c>
      <c r="D6033" s="55" t="s">
        <v>9034</v>
      </c>
    </row>
    <row r="6034" ht="14.25" customHeight="1">
      <c r="A6034" s="55" t="s">
        <v>9840</v>
      </c>
      <c r="B6034" s="55" t="s">
        <v>40</v>
      </c>
      <c r="C6034" s="55" t="s">
        <v>129</v>
      </c>
      <c r="D6034" s="55" t="s">
        <v>11201</v>
      </c>
    </row>
    <row r="6035" ht="14.25" customHeight="1">
      <c r="A6035" s="55" t="s">
        <v>9840</v>
      </c>
      <c r="B6035" s="55" t="s">
        <v>40</v>
      </c>
      <c r="C6035" s="55" t="s">
        <v>129</v>
      </c>
      <c r="D6035" s="55" t="s">
        <v>11202</v>
      </c>
    </row>
    <row r="6036" ht="14.25" customHeight="1">
      <c r="A6036" s="55" t="s">
        <v>9840</v>
      </c>
      <c r="B6036" s="55" t="s">
        <v>40</v>
      </c>
      <c r="C6036" s="55" t="s">
        <v>10094</v>
      </c>
      <c r="D6036" s="55" t="s">
        <v>10095</v>
      </c>
    </row>
    <row r="6037" ht="14.25" customHeight="1">
      <c r="A6037" s="55" t="s">
        <v>9840</v>
      </c>
      <c r="B6037" s="55" t="s">
        <v>40</v>
      </c>
      <c r="C6037" s="55" t="s">
        <v>9641</v>
      </c>
      <c r="D6037" s="55" t="s">
        <v>13943</v>
      </c>
    </row>
    <row r="6038" ht="14.25" customHeight="1">
      <c r="A6038" s="55" t="s">
        <v>9840</v>
      </c>
      <c r="B6038" s="55" t="s">
        <v>40</v>
      </c>
      <c r="C6038" s="55" t="s">
        <v>9863</v>
      </c>
      <c r="D6038" s="55" t="s">
        <v>9864</v>
      </c>
    </row>
    <row r="6039" ht="14.25" customHeight="1">
      <c r="A6039" s="55" t="s">
        <v>9840</v>
      </c>
      <c r="B6039" s="55" t="s">
        <v>40</v>
      </c>
      <c r="C6039" s="55" t="s">
        <v>12448</v>
      </c>
      <c r="D6039" s="55" t="s">
        <v>12449</v>
      </c>
    </row>
    <row r="6040" ht="14.25" customHeight="1">
      <c r="A6040" s="55" t="s">
        <v>9840</v>
      </c>
      <c r="B6040" s="55" t="s">
        <v>40</v>
      </c>
      <c r="C6040" s="55" t="s">
        <v>12450</v>
      </c>
      <c r="D6040" s="55" t="s">
        <v>9002</v>
      </c>
    </row>
    <row r="6041" ht="14.25" customHeight="1">
      <c r="A6041" s="55" t="s">
        <v>9840</v>
      </c>
      <c r="B6041" s="55" t="s">
        <v>40</v>
      </c>
      <c r="C6041" s="55" t="s">
        <v>13319</v>
      </c>
      <c r="D6041" s="55" t="s">
        <v>13320</v>
      </c>
    </row>
    <row r="6042" ht="14.25" customHeight="1">
      <c r="A6042" s="55" t="s">
        <v>9840</v>
      </c>
      <c r="B6042" s="55" t="s">
        <v>40</v>
      </c>
      <c r="C6042" s="55" t="s">
        <v>13321</v>
      </c>
      <c r="D6042" s="55" t="s">
        <v>13322</v>
      </c>
    </row>
    <row r="6043" ht="14.25" customHeight="1">
      <c r="A6043" s="55" t="s">
        <v>9840</v>
      </c>
      <c r="B6043" s="55" t="s">
        <v>40</v>
      </c>
      <c r="C6043" s="55" t="s">
        <v>131</v>
      </c>
      <c r="D6043" s="55" t="s">
        <v>10124</v>
      </c>
    </row>
    <row r="6044" ht="14.25" customHeight="1">
      <c r="A6044" s="55" t="s">
        <v>9840</v>
      </c>
      <c r="B6044" s="55" t="s">
        <v>40</v>
      </c>
      <c r="C6044" s="55" t="s">
        <v>131</v>
      </c>
      <c r="D6044" s="55" t="s">
        <v>12451</v>
      </c>
    </row>
    <row r="6045" ht="14.25" customHeight="1">
      <c r="A6045" s="55" t="s">
        <v>9840</v>
      </c>
      <c r="B6045" s="55" t="s">
        <v>40</v>
      </c>
      <c r="C6045" s="55" t="s">
        <v>10699</v>
      </c>
      <c r="D6045" s="55" t="s">
        <v>8968</v>
      </c>
    </row>
    <row r="6046" ht="14.25" customHeight="1">
      <c r="A6046" s="55" t="s">
        <v>9840</v>
      </c>
      <c r="B6046" s="55" t="s">
        <v>40</v>
      </c>
      <c r="C6046" s="55" t="s">
        <v>9589</v>
      </c>
      <c r="D6046" s="55" t="s">
        <v>10124</v>
      </c>
    </row>
    <row r="6047" ht="14.25" customHeight="1">
      <c r="A6047" s="55" t="s">
        <v>9840</v>
      </c>
      <c r="B6047" s="55" t="s">
        <v>40</v>
      </c>
      <c r="C6047" s="55" t="s">
        <v>14445</v>
      </c>
      <c r="D6047" s="55" t="s">
        <v>13196</v>
      </c>
    </row>
    <row r="6048" ht="14.25" customHeight="1">
      <c r="A6048" s="55" t="s">
        <v>9840</v>
      </c>
      <c r="B6048" s="55" t="s">
        <v>40</v>
      </c>
      <c r="C6048" s="55" t="s">
        <v>12452</v>
      </c>
      <c r="D6048" s="55" t="s">
        <v>9055</v>
      </c>
    </row>
    <row r="6049" ht="14.25" customHeight="1">
      <c r="A6049" s="55" t="s">
        <v>9840</v>
      </c>
      <c r="B6049" s="55" t="s">
        <v>40</v>
      </c>
      <c r="C6049" s="55" t="s">
        <v>10942</v>
      </c>
      <c r="D6049" s="55" t="s">
        <v>11777</v>
      </c>
    </row>
    <row r="6050" ht="14.25" customHeight="1">
      <c r="A6050" s="55" t="s">
        <v>9840</v>
      </c>
      <c r="B6050" s="55" t="s">
        <v>40</v>
      </c>
      <c r="C6050" s="55" t="s">
        <v>10942</v>
      </c>
      <c r="D6050" s="55" t="s">
        <v>9141</v>
      </c>
    </row>
    <row r="6051" ht="14.25" customHeight="1">
      <c r="A6051" s="55" t="s">
        <v>9840</v>
      </c>
      <c r="B6051" s="55" t="s">
        <v>40</v>
      </c>
      <c r="C6051" s="55" t="s">
        <v>132</v>
      </c>
      <c r="D6051" s="55" t="s">
        <v>9430</v>
      </c>
    </row>
    <row r="6052" ht="14.25" customHeight="1">
      <c r="A6052" s="55" t="s">
        <v>9840</v>
      </c>
      <c r="B6052" s="55" t="s">
        <v>40</v>
      </c>
      <c r="C6052" s="55" t="s">
        <v>13266</v>
      </c>
      <c r="D6052" s="55" t="s">
        <v>14446</v>
      </c>
    </row>
    <row r="6053" ht="14.25" customHeight="1">
      <c r="A6053" s="55" t="s">
        <v>9840</v>
      </c>
      <c r="B6053" s="55" t="s">
        <v>40</v>
      </c>
      <c r="C6053" s="55" t="s">
        <v>9865</v>
      </c>
      <c r="D6053" s="55" t="s">
        <v>12683</v>
      </c>
    </row>
    <row r="6054" ht="14.25" customHeight="1">
      <c r="A6054" s="55" t="s">
        <v>9840</v>
      </c>
      <c r="B6054" s="55" t="s">
        <v>40</v>
      </c>
      <c r="C6054" s="55" t="s">
        <v>9865</v>
      </c>
      <c r="D6054" s="55" t="s">
        <v>9866</v>
      </c>
    </row>
    <row r="6055" ht="14.25" customHeight="1">
      <c r="A6055" s="55" t="s">
        <v>9840</v>
      </c>
      <c r="B6055" s="55" t="s">
        <v>40</v>
      </c>
      <c r="C6055" s="55" t="s">
        <v>1127</v>
      </c>
      <c r="D6055" s="55" t="s">
        <v>10459</v>
      </c>
    </row>
    <row r="6056" ht="14.25" customHeight="1">
      <c r="A6056" s="55" t="s">
        <v>9840</v>
      </c>
      <c r="B6056" s="55" t="s">
        <v>40</v>
      </c>
      <c r="C6056" s="55" t="s">
        <v>135</v>
      </c>
      <c r="D6056" s="55" t="s">
        <v>8994</v>
      </c>
    </row>
    <row r="6057" ht="14.25" customHeight="1">
      <c r="A6057" s="55" t="s">
        <v>9840</v>
      </c>
      <c r="B6057" s="55" t="s">
        <v>40</v>
      </c>
      <c r="C6057" s="55" t="s">
        <v>11167</v>
      </c>
      <c r="D6057" s="55" t="s">
        <v>8968</v>
      </c>
    </row>
    <row r="6058" ht="14.25" customHeight="1">
      <c r="A6058" s="55" t="s">
        <v>9840</v>
      </c>
      <c r="B6058" s="55" t="s">
        <v>40</v>
      </c>
      <c r="C6058" s="55" t="s">
        <v>3138</v>
      </c>
      <c r="D6058" s="55" t="s">
        <v>9034</v>
      </c>
    </row>
    <row r="6059" ht="14.25" customHeight="1">
      <c r="A6059" s="55" t="s">
        <v>9840</v>
      </c>
      <c r="B6059" s="55" t="s">
        <v>40</v>
      </c>
      <c r="C6059" s="55" t="s">
        <v>3138</v>
      </c>
      <c r="D6059" s="55" t="s">
        <v>8968</v>
      </c>
    </row>
    <row r="6060" ht="14.25" customHeight="1">
      <c r="A6060" s="55" t="s">
        <v>9840</v>
      </c>
      <c r="B6060" s="55" t="s">
        <v>40</v>
      </c>
      <c r="C6060" s="55" t="s">
        <v>3138</v>
      </c>
      <c r="D6060" s="55" t="s">
        <v>9867</v>
      </c>
    </row>
    <row r="6061" ht="14.25" customHeight="1">
      <c r="A6061" s="55" t="s">
        <v>9840</v>
      </c>
      <c r="B6061" s="55" t="s">
        <v>40</v>
      </c>
      <c r="C6061" s="55" t="s">
        <v>3138</v>
      </c>
      <c r="D6061" s="55" t="s">
        <v>9071</v>
      </c>
    </row>
    <row r="6062" ht="14.25" customHeight="1">
      <c r="A6062" s="55" t="s">
        <v>9840</v>
      </c>
      <c r="B6062" s="55" t="s">
        <v>40</v>
      </c>
      <c r="C6062" s="55" t="s">
        <v>3138</v>
      </c>
      <c r="D6062" s="55" t="s">
        <v>9868</v>
      </c>
    </row>
    <row r="6063" ht="14.25" customHeight="1">
      <c r="A6063" s="55" t="s">
        <v>9840</v>
      </c>
      <c r="B6063" s="55" t="s">
        <v>40</v>
      </c>
      <c r="C6063" s="55" t="s">
        <v>3138</v>
      </c>
      <c r="D6063" s="55" t="s">
        <v>13323</v>
      </c>
    </row>
    <row r="6064" ht="14.25" customHeight="1">
      <c r="A6064" s="55" t="s">
        <v>9840</v>
      </c>
      <c r="B6064" s="55" t="s">
        <v>40</v>
      </c>
      <c r="C6064" s="55" t="s">
        <v>3138</v>
      </c>
      <c r="D6064" s="55" t="s">
        <v>11690</v>
      </c>
    </row>
    <row r="6065" ht="14.25" customHeight="1">
      <c r="A6065" s="55" t="s">
        <v>9840</v>
      </c>
      <c r="B6065" s="55" t="s">
        <v>40</v>
      </c>
      <c r="C6065" s="55" t="s">
        <v>3138</v>
      </c>
      <c r="D6065" s="55" t="s">
        <v>13324</v>
      </c>
    </row>
    <row r="6066" ht="14.25" customHeight="1">
      <c r="A6066" s="55" t="s">
        <v>9840</v>
      </c>
      <c r="B6066" s="55" t="s">
        <v>40</v>
      </c>
      <c r="C6066" s="55" t="s">
        <v>9869</v>
      </c>
      <c r="D6066" s="55" t="s">
        <v>9870</v>
      </c>
    </row>
    <row r="6067" ht="14.25" customHeight="1">
      <c r="A6067" s="55" t="s">
        <v>9840</v>
      </c>
      <c r="B6067" s="55" t="s">
        <v>40</v>
      </c>
      <c r="C6067" s="55" t="s">
        <v>11203</v>
      </c>
      <c r="D6067" s="55" t="s">
        <v>9073</v>
      </c>
    </row>
    <row r="6068" ht="14.25" customHeight="1">
      <c r="A6068" s="55" t="s">
        <v>9840</v>
      </c>
      <c r="B6068" s="55" t="s">
        <v>40</v>
      </c>
      <c r="C6068" s="55" t="s">
        <v>7967</v>
      </c>
      <c r="D6068" s="55" t="s">
        <v>9528</v>
      </c>
    </row>
    <row r="6069" ht="14.25" customHeight="1">
      <c r="A6069" s="55" t="s">
        <v>9840</v>
      </c>
      <c r="B6069" s="55" t="s">
        <v>40</v>
      </c>
      <c r="C6069" s="55" t="s">
        <v>9303</v>
      </c>
      <c r="D6069" s="55" t="s">
        <v>12453</v>
      </c>
    </row>
    <row r="6070" ht="14.25" customHeight="1">
      <c r="A6070" s="55" t="s">
        <v>9840</v>
      </c>
      <c r="B6070" s="55" t="s">
        <v>40</v>
      </c>
      <c r="C6070" s="55" t="s">
        <v>13325</v>
      </c>
      <c r="D6070" s="55" t="s">
        <v>9055</v>
      </c>
    </row>
    <row r="6071" ht="14.25" customHeight="1">
      <c r="A6071" s="55" t="s">
        <v>9840</v>
      </c>
      <c r="B6071" s="55" t="s">
        <v>40</v>
      </c>
      <c r="C6071" s="55" t="s">
        <v>137</v>
      </c>
      <c r="D6071" s="55" t="s">
        <v>9916</v>
      </c>
    </row>
    <row r="6072" ht="14.25" customHeight="1">
      <c r="A6072" s="55" t="s">
        <v>9840</v>
      </c>
      <c r="B6072" s="55" t="s">
        <v>40</v>
      </c>
      <c r="C6072" s="55" t="s">
        <v>6354</v>
      </c>
      <c r="D6072" s="55" t="s">
        <v>9075</v>
      </c>
    </row>
    <row r="6073" ht="14.25" customHeight="1">
      <c r="A6073" s="55" t="s">
        <v>9840</v>
      </c>
      <c r="B6073" s="55" t="s">
        <v>40</v>
      </c>
      <c r="C6073" s="55" t="s">
        <v>13944</v>
      </c>
      <c r="D6073" s="55" t="s">
        <v>13945</v>
      </c>
    </row>
    <row r="6074" ht="14.25" customHeight="1">
      <c r="A6074" s="55" t="s">
        <v>9840</v>
      </c>
      <c r="B6074" s="55" t="s">
        <v>40</v>
      </c>
      <c r="C6074" s="55" t="s">
        <v>6362</v>
      </c>
      <c r="D6074" s="55" t="s">
        <v>8968</v>
      </c>
    </row>
    <row r="6075" ht="14.25" customHeight="1">
      <c r="A6075" s="55" t="s">
        <v>9840</v>
      </c>
      <c r="B6075" s="55" t="s">
        <v>40</v>
      </c>
      <c r="C6075" s="55" t="s">
        <v>13326</v>
      </c>
      <c r="D6075" s="55" t="s">
        <v>10186</v>
      </c>
    </row>
    <row r="6076" ht="14.25" customHeight="1">
      <c r="A6076" s="55" t="s">
        <v>9840</v>
      </c>
      <c r="B6076" s="55" t="s">
        <v>40</v>
      </c>
      <c r="C6076" s="55" t="s">
        <v>303</v>
      </c>
      <c r="D6076" s="55" t="s">
        <v>9109</v>
      </c>
    </row>
    <row r="6077" ht="14.25" customHeight="1">
      <c r="A6077" s="55" t="s">
        <v>9840</v>
      </c>
      <c r="B6077" s="55" t="s">
        <v>40</v>
      </c>
      <c r="C6077" s="55" t="s">
        <v>141</v>
      </c>
      <c r="D6077" s="55" t="s">
        <v>9859</v>
      </c>
    </row>
    <row r="6078" ht="14.25" customHeight="1">
      <c r="A6078" s="55" t="s">
        <v>9840</v>
      </c>
      <c r="B6078" s="55" t="s">
        <v>40</v>
      </c>
      <c r="C6078" s="55" t="s">
        <v>141</v>
      </c>
      <c r="D6078" s="55" t="s">
        <v>10457</v>
      </c>
    </row>
    <row r="6079" ht="14.25" customHeight="1">
      <c r="A6079" s="55" t="s">
        <v>9840</v>
      </c>
      <c r="B6079" s="55" t="s">
        <v>40</v>
      </c>
      <c r="C6079" s="55" t="s">
        <v>141</v>
      </c>
      <c r="D6079" s="55" t="s">
        <v>9871</v>
      </c>
    </row>
    <row r="6080" ht="14.25" customHeight="1">
      <c r="A6080" s="55" t="s">
        <v>9840</v>
      </c>
      <c r="B6080" s="55" t="s">
        <v>40</v>
      </c>
      <c r="C6080" s="55" t="s">
        <v>141</v>
      </c>
      <c r="D6080" s="55" t="s">
        <v>9872</v>
      </c>
    </row>
    <row r="6081" ht="14.25" customHeight="1">
      <c r="A6081" s="55" t="s">
        <v>9840</v>
      </c>
      <c r="B6081" s="55" t="s">
        <v>40</v>
      </c>
      <c r="C6081" s="55" t="s">
        <v>141</v>
      </c>
      <c r="D6081" s="55" t="s">
        <v>11204</v>
      </c>
    </row>
    <row r="6082" ht="14.25" customHeight="1">
      <c r="A6082" s="55" t="s">
        <v>9840</v>
      </c>
      <c r="B6082" s="55" t="s">
        <v>40</v>
      </c>
      <c r="C6082" s="55" t="s">
        <v>141</v>
      </c>
      <c r="D6082" s="55" t="s">
        <v>9028</v>
      </c>
    </row>
    <row r="6083" ht="14.25" customHeight="1">
      <c r="A6083" s="55" t="s">
        <v>9840</v>
      </c>
      <c r="B6083" s="55" t="s">
        <v>40</v>
      </c>
      <c r="C6083" s="55" t="s">
        <v>141</v>
      </c>
      <c r="D6083" s="55" t="s">
        <v>9873</v>
      </c>
    </row>
    <row r="6084" ht="14.25" customHeight="1">
      <c r="A6084" s="55" t="s">
        <v>9840</v>
      </c>
      <c r="B6084" s="55" t="s">
        <v>40</v>
      </c>
      <c r="C6084" s="55" t="s">
        <v>141</v>
      </c>
      <c r="D6084" s="55" t="s">
        <v>14447</v>
      </c>
    </row>
    <row r="6085" ht="14.25" customHeight="1">
      <c r="A6085" s="55" t="s">
        <v>9840</v>
      </c>
      <c r="B6085" s="55" t="s">
        <v>40</v>
      </c>
      <c r="C6085" s="55" t="s">
        <v>141</v>
      </c>
      <c r="D6085" s="55" t="s">
        <v>9753</v>
      </c>
    </row>
    <row r="6086" ht="14.25" customHeight="1">
      <c r="A6086" s="55" t="s">
        <v>9840</v>
      </c>
      <c r="B6086" s="55" t="s">
        <v>40</v>
      </c>
      <c r="C6086" s="55" t="s">
        <v>141</v>
      </c>
      <c r="D6086" s="55" t="s">
        <v>11061</v>
      </c>
    </row>
    <row r="6087" ht="14.25" customHeight="1">
      <c r="A6087" s="55" t="s">
        <v>9840</v>
      </c>
      <c r="B6087" s="55" t="s">
        <v>40</v>
      </c>
      <c r="C6087" s="55" t="s">
        <v>12454</v>
      </c>
      <c r="D6087" s="55" t="s">
        <v>9649</v>
      </c>
    </row>
    <row r="6088" ht="14.25" customHeight="1">
      <c r="A6088" s="55" t="s">
        <v>9840</v>
      </c>
      <c r="B6088" s="55" t="s">
        <v>40</v>
      </c>
      <c r="C6088" s="55" t="s">
        <v>10460</v>
      </c>
      <c r="D6088" s="55" t="s">
        <v>10461</v>
      </c>
    </row>
    <row r="6089" ht="14.25" customHeight="1">
      <c r="A6089" s="55" t="s">
        <v>9840</v>
      </c>
      <c r="B6089" s="55" t="s">
        <v>40</v>
      </c>
      <c r="C6089" s="55" t="s">
        <v>12455</v>
      </c>
      <c r="D6089" s="55" t="s">
        <v>12456</v>
      </c>
    </row>
    <row r="6090" ht="14.25" customHeight="1">
      <c r="A6090" s="55" t="s">
        <v>9840</v>
      </c>
      <c r="B6090" s="55" t="s">
        <v>40</v>
      </c>
      <c r="C6090" s="55" t="s">
        <v>10462</v>
      </c>
      <c r="D6090" s="55" t="s">
        <v>10463</v>
      </c>
    </row>
    <row r="6091" ht="14.25" customHeight="1">
      <c r="A6091" s="55" t="s">
        <v>9840</v>
      </c>
      <c r="B6091" s="55" t="s">
        <v>40</v>
      </c>
      <c r="C6091" s="55" t="s">
        <v>9874</v>
      </c>
      <c r="D6091" s="55" t="s">
        <v>9216</v>
      </c>
    </row>
    <row r="6092" ht="14.25" customHeight="1">
      <c r="A6092" s="55" t="s">
        <v>9840</v>
      </c>
      <c r="B6092" s="55" t="s">
        <v>40</v>
      </c>
      <c r="C6092" s="55" t="s">
        <v>147</v>
      </c>
      <c r="D6092" s="55" t="s">
        <v>8968</v>
      </c>
    </row>
    <row r="6093" ht="14.25" customHeight="1">
      <c r="A6093" s="55" t="s">
        <v>9840</v>
      </c>
      <c r="B6093" s="55" t="s">
        <v>40</v>
      </c>
      <c r="C6093" s="55" t="s">
        <v>11205</v>
      </c>
      <c r="D6093" s="55" t="s">
        <v>9002</v>
      </c>
    </row>
    <row r="6094" ht="14.25" customHeight="1">
      <c r="A6094" s="55" t="s">
        <v>9840</v>
      </c>
      <c r="B6094" s="55" t="s">
        <v>40</v>
      </c>
      <c r="C6094" s="55" t="s">
        <v>3313</v>
      </c>
      <c r="D6094" s="55" t="s">
        <v>9875</v>
      </c>
    </row>
    <row r="6095" ht="14.25" customHeight="1">
      <c r="A6095" s="55" t="s">
        <v>9840</v>
      </c>
      <c r="B6095" s="55" t="s">
        <v>40</v>
      </c>
      <c r="C6095" s="55" t="s">
        <v>3313</v>
      </c>
      <c r="D6095" s="55" t="s">
        <v>9055</v>
      </c>
    </row>
    <row r="6096" ht="14.25" customHeight="1">
      <c r="A6096" s="55" t="s">
        <v>9840</v>
      </c>
      <c r="B6096" s="55" t="s">
        <v>40</v>
      </c>
      <c r="C6096" s="55" t="s">
        <v>12607</v>
      </c>
      <c r="D6096" s="55" t="s">
        <v>14448</v>
      </c>
    </row>
    <row r="6097" ht="14.25" customHeight="1">
      <c r="A6097" s="55" t="s">
        <v>9840</v>
      </c>
      <c r="B6097" s="55" t="s">
        <v>40</v>
      </c>
      <c r="C6097" s="55" t="s">
        <v>12607</v>
      </c>
      <c r="D6097" s="55" t="s">
        <v>11366</v>
      </c>
    </row>
    <row r="6098" ht="14.25" customHeight="1">
      <c r="A6098" s="55" t="s">
        <v>9840</v>
      </c>
      <c r="B6098" s="55" t="s">
        <v>40</v>
      </c>
      <c r="C6098" s="55" t="s">
        <v>9650</v>
      </c>
      <c r="D6098" s="55" t="s">
        <v>9649</v>
      </c>
    </row>
    <row r="6099" ht="14.25" customHeight="1">
      <c r="A6099" s="55" t="s">
        <v>9840</v>
      </c>
      <c r="B6099" s="55" t="s">
        <v>40</v>
      </c>
      <c r="C6099" s="55" t="s">
        <v>5036</v>
      </c>
      <c r="D6099" s="55" t="s">
        <v>9028</v>
      </c>
    </row>
    <row r="6100" ht="14.25" customHeight="1">
      <c r="A6100" s="55" t="s">
        <v>9840</v>
      </c>
      <c r="B6100" s="55" t="s">
        <v>40</v>
      </c>
      <c r="C6100" s="55" t="s">
        <v>9145</v>
      </c>
      <c r="D6100" s="55" t="s">
        <v>361</v>
      </c>
    </row>
    <row r="6101" ht="14.25" customHeight="1">
      <c r="A6101" s="55" t="s">
        <v>9840</v>
      </c>
      <c r="B6101" s="55" t="s">
        <v>40</v>
      </c>
      <c r="C6101" s="55" t="s">
        <v>9145</v>
      </c>
      <c r="D6101" s="55" t="s">
        <v>9028</v>
      </c>
    </row>
    <row r="6102" ht="14.25" customHeight="1">
      <c r="A6102" s="55" t="s">
        <v>9840</v>
      </c>
      <c r="B6102" s="55" t="s">
        <v>40</v>
      </c>
      <c r="C6102" s="55" t="s">
        <v>9145</v>
      </c>
      <c r="D6102" s="55" t="s">
        <v>13950</v>
      </c>
    </row>
    <row r="6103" ht="14.25" customHeight="1">
      <c r="A6103" s="55" t="s">
        <v>9840</v>
      </c>
      <c r="B6103" s="55" t="s">
        <v>40</v>
      </c>
      <c r="C6103" s="55" t="s">
        <v>157</v>
      </c>
      <c r="D6103" s="55" t="s">
        <v>9028</v>
      </c>
    </row>
    <row r="6104" ht="14.25" customHeight="1">
      <c r="A6104" s="55" t="s">
        <v>9840</v>
      </c>
      <c r="B6104" s="55" t="s">
        <v>40</v>
      </c>
      <c r="C6104" s="55" t="s">
        <v>310</v>
      </c>
      <c r="D6104" s="55" t="s">
        <v>12457</v>
      </c>
    </row>
    <row r="6105" ht="14.25" customHeight="1">
      <c r="A6105" s="55" t="s">
        <v>9840</v>
      </c>
      <c r="B6105" s="55" t="s">
        <v>40</v>
      </c>
      <c r="C6105" s="55" t="s">
        <v>12458</v>
      </c>
      <c r="D6105" s="55" t="s">
        <v>9055</v>
      </c>
    </row>
    <row r="6106" ht="14.25" customHeight="1">
      <c r="A6106" s="55" t="s">
        <v>9840</v>
      </c>
      <c r="B6106" s="55" t="s">
        <v>40</v>
      </c>
      <c r="C6106" s="55" t="s">
        <v>9876</v>
      </c>
      <c r="D6106" s="55" t="s">
        <v>9583</v>
      </c>
    </row>
    <row r="6107" ht="14.25" customHeight="1">
      <c r="A6107" s="55" t="s">
        <v>9840</v>
      </c>
      <c r="B6107" s="55" t="s">
        <v>40</v>
      </c>
      <c r="C6107" s="55" t="s">
        <v>13327</v>
      </c>
      <c r="D6107" s="55" t="s">
        <v>13328</v>
      </c>
    </row>
    <row r="6108" ht="14.25" customHeight="1">
      <c r="A6108" s="55" t="s">
        <v>9840</v>
      </c>
      <c r="B6108" s="55" t="s">
        <v>40</v>
      </c>
      <c r="C6108" s="55" t="s">
        <v>9329</v>
      </c>
      <c r="D6108" s="55" t="s">
        <v>9051</v>
      </c>
    </row>
    <row r="6109" ht="14.25" customHeight="1">
      <c r="A6109" s="55" t="s">
        <v>9840</v>
      </c>
      <c r="B6109" s="55" t="s">
        <v>40</v>
      </c>
      <c r="C6109" s="55" t="s">
        <v>9329</v>
      </c>
      <c r="D6109" s="55" t="s">
        <v>9073</v>
      </c>
    </row>
    <row r="6110" ht="14.25" customHeight="1">
      <c r="A6110" s="55" t="s">
        <v>9840</v>
      </c>
      <c r="B6110" s="55" t="s">
        <v>40</v>
      </c>
      <c r="C6110" s="55" t="s">
        <v>10683</v>
      </c>
      <c r="D6110" s="55" t="s">
        <v>9073</v>
      </c>
    </row>
    <row r="6111" ht="14.25" customHeight="1">
      <c r="A6111" s="55" t="s">
        <v>9840</v>
      </c>
      <c r="B6111" s="55" t="s">
        <v>40</v>
      </c>
      <c r="C6111" s="55" t="s">
        <v>11778</v>
      </c>
      <c r="D6111" s="55" t="s">
        <v>9073</v>
      </c>
    </row>
    <row r="6112" ht="14.25" customHeight="1">
      <c r="A6112" s="55" t="s">
        <v>9840</v>
      </c>
      <c r="B6112" s="55" t="s">
        <v>40</v>
      </c>
      <c r="C6112" s="55" t="s">
        <v>11206</v>
      </c>
      <c r="D6112" s="55" t="s">
        <v>9152</v>
      </c>
    </row>
    <row r="6113" ht="14.25" customHeight="1">
      <c r="A6113" s="55" t="s">
        <v>9840</v>
      </c>
      <c r="B6113" s="55" t="s">
        <v>40</v>
      </c>
      <c r="C6113" s="55" t="s">
        <v>11207</v>
      </c>
      <c r="D6113" s="55" t="s">
        <v>14449</v>
      </c>
    </row>
    <row r="6114" ht="14.25" customHeight="1">
      <c r="A6114" s="55" t="s">
        <v>9840</v>
      </c>
      <c r="B6114" s="55" t="s">
        <v>40</v>
      </c>
      <c r="C6114" s="55" t="s">
        <v>11207</v>
      </c>
      <c r="D6114" s="55" t="s">
        <v>9151</v>
      </c>
    </row>
    <row r="6115" ht="14.25" customHeight="1">
      <c r="A6115" s="55" t="s">
        <v>9840</v>
      </c>
      <c r="B6115" s="55" t="s">
        <v>40</v>
      </c>
      <c r="C6115" s="55" t="s">
        <v>13329</v>
      </c>
      <c r="D6115" s="55" t="s">
        <v>9055</v>
      </c>
    </row>
    <row r="6116" ht="14.25" customHeight="1">
      <c r="A6116" s="55" t="s">
        <v>9840</v>
      </c>
      <c r="B6116" s="55" t="s">
        <v>40</v>
      </c>
      <c r="C6116" s="55" t="s">
        <v>159</v>
      </c>
      <c r="D6116" s="55" t="s">
        <v>11208</v>
      </c>
    </row>
    <row r="6117" ht="14.25" customHeight="1">
      <c r="A6117" s="55" t="s">
        <v>9840</v>
      </c>
      <c r="B6117" s="55" t="s">
        <v>40</v>
      </c>
      <c r="C6117" s="55" t="s">
        <v>9201</v>
      </c>
      <c r="D6117" s="55" t="s">
        <v>13330</v>
      </c>
    </row>
    <row r="6118" ht="14.25" customHeight="1">
      <c r="A6118" s="55" t="s">
        <v>9840</v>
      </c>
      <c r="B6118" s="55" t="s">
        <v>40</v>
      </c>
      <c r="C6118" s="55" t="s">
        <v>9201</v>
      </c>
      <c r="D6118" s="55" t="s">
        <v>13331</v>
      </c>
    </row>
    <row r="6119" ht="14.25" customHeight="1">
      <c r="A6119" s="55" t="s">
        <v>9840</v>
      </c>
      <c r="B6119" s="55" t="s">
        <v>40</v>
      </c>
      <c r="C6119" s="55" t="s">
        <v>11209</v>
      </c>
      <c r="D6119" s="55" t="s">
        <v>9028</v>
      </c>
    </row>
    <row r="6120" ht="14.25" customHeight="1">
      <c r="A6120" s="55" t="s">
        <v>9840</v>
      </c>
      <c r="B6120" s="55" t="s">
        <v>40</v>
      </c>
      <c r="C6120" s="55" t="s">
        <v>160</v>
      </c>
      <c r="D6120" s="55" t="s">
        <v>11779</v>
      </c>
    </row>
    <row r="6121" ht="14.25" customHeight="1">
      <c r="A6121" s="55" t="s">
        <v>9840</v>
      </c>
      <c r="B6121" s="55" t="s">
        <v>40</v>
      </c>
      <c r="C6121" s="55" t="s">
        <v>13332</v>
      </c>
      <c r="D6121" s="55" t="s">
        <v>9028</v>
      </c>
    </row>
    <row r="6122" ht="14.25" customHeight="1">
      <c r="A6122" s="55" t="s">
        <v>9840</v>
      </c>
      <c r="B6122" s="55" t="s">
        <v>40</v>
      </c>
      <c r="C6122" s="55" t="s">
        <v>11780</v>
      </c>
      <c r="D6122" s="55" t="s">
        <v>9034</v>
      </c>
    </row>
    <row r="6123" ht="14.25" customHeight="1">
      <c r="A6123" s="55" t="s">
        <v>9840</v>
      </c>
      <c r="B6123" s="55" t="s">
        <v>40</v>
      </c>
      <c r="C6123" s="55" t="s">
        <v>11781</v>
      </c>
      <c r="D6123" s="55" t="s">
        <v>9151</v>
      </c>
    </row>
    <row r="6124" ht="14.25" customHeight="1">
      <c r="A6124" s="55" t="s">
        <v>9840</v>
      </c>
      <c r="B6124" s="55" t="s">
        <v>40</v>
      </c>
      <c r="C6124" s="55" t="s">
        <v>162</v>
      </c>
      <c r="D6124" s="55" t="s">
        <v>405</v>
      </c>
    </row>
    <row r="6125" ht="14.25" customHeight="1">
      <c r="A6125" s="55" t="s">
        <v>9840</v>
      </c>
      <c r="B6125" s="55" t="s">
        <v>40</v>
      </c>
      <c r="C6125" s="55" t="s">
        <v>162</v>
      </c>
      <c r="D6125" s="55" t="s">
        <v>12459</v>
      </c>
    </row>
    <row r="6126" ht="14.25" customHeight="1">
      <c r="A6126" s="55" t="s">
        <v>9840</v>
      </c>
      <c r="B6126" s="55" t="s">
        <v>40</v>
      </c>
      <c r="C6126" s="55" t="s">
        <v>11782</v>
      </c>
      <c r="D6126" s="55" t="s">
        <v>9583</v>
      </c>
    </row>
    <row r="6127" ht="14.25" customHeight="1">
      <c r="A6127" s="55" t="s">
        <v>9840</v>
      </c>
      <c r="B6127" s="55" t="s">
        <v>40</v>
      </c>
      <c r="C6127" s="55" t="s">
        <v>12826</v>
      </c>
      <c r="D6127" s="55" t="s">
        <v>8978</v>
      </c>
    </row>
    <row r="6128" ht="14.25" customHeight="1">
      <c r="A6128" s="55" t="s">
        <v>9840</v>
      </c>
      <c r="B6128" s="55" t="s">
        <v>40</v>
      </c>
      <c r="C6128" s="55" t="s">
        <v>10818</v>
      </c>
      <c r="D6128" s="55" t="s">
        <v>11210</v>
      </c>
    </row>
    <row r="6129" ht="14.25" customHeight="1">
      <c r="A6129" s="55" t="s">
        <v>9840</v>
      </c>
      <c r="B6129" s="55" t="s">
        <v>40</v>
      </c>
      <c r="C6129" s="55" t="s">
        <v>13946</v>
      </c>
      <c r="D6129" s="55" t="s">
        <v>13947</v>
      </c>
    </row>
    <row r="6130" ht="14.25" customHeight="1">
      <c r="A6130" s="55" t="s">
        <v>9840</v>
      </c>
      <c r="B6130" s="55" t="s">
        <v>40</v>
      </c>
      <c r="C6130" s="55" t="s">
        <v>10464</v>
      </c>
      <c r="D6130" s="55" t="s">
        <v>9028</v>
      </c>
    </row>
    <row r="6131" ht="14.25" customHeight="1">
      <c r="A6131" s="55" t="s">
        <v>9840</v>
      </c>
      <c r="B6131" s="55" t="s">
        <v>40</v>
      </c>
      <c r="C6131" s="55" t="s">
        <v>10515</v>
      </c>
      <c r="D6131" s="55" t="s">
        <v>9055</v>
      </c>
    </row>
    <row r="6132" ht="14.25" customHeight="1">
      <c r="A6132" s="55" t="s">
        <v>9840</v>
      </c>
      <c r="B6132" s="55" t="s">
        <v>40</v>
      </c>
      <c r="C6132" s="55" t="s">
        <v>6538</v>
      </c>
      <c r="D6132" s="55" t="s">
        <v>12460</v>
      </c>
    </row>
    <row r="6133" ht="14.25" customHeight="1">
      <c r="A6133" s="55" t="s">
        <v>9840</v>
      </c>
      <c r="B6133" s="55" t="s">
        <v>40</v>
      </c>
      <c r="C6133" s="55" t="s">
        <v>11211</v>
      </c>
      <c r="D6133" s="55" t="s">
        <v>9028</v>
      </c>
    </row>
    <row r="6134" ht="14.25" customHeight="1">
      <c r="A6134" s="55" t="s">
        <v>9840</v>
      </c>
      <c r="B6134" s="55" t="s">
        <v>40</v>
      </c>
      <c r="C6134" s="55" t="s">
        <v>3466</v>
      </c>
      <c r="D6134" s="55" t="s">
        <v>9877</v>
      </c>
    </row>
    <row r="6135" ht="14.25" customHeight="1">
      <c r="A6135" s="55" t="s">
        <v>9840</v>
      </c>
      <c r="B6135" s="55" t="s">
        <v>40</v>
      </c>
      <c r="C6135" s="55" t="s">
        <v>10335</v>
      </c>
      <c r="D6135" s="55" t="s">
        <v>12278</v>
      </c>
    </row>
    <row r="6136" ht="14.25" customHeight="1">
      <c r="A6136" s="55" t="s">
        <v>9840</v>
      </c>
      <c r="B6136" s="55" t="s">
        <v>40</v>
      </c>
      <c r="C6136" s="55" t="s">
        <v>9878</v>
      </c>
      <c r="D6136" s="55" t="s">
        <v>9879</v>
      </c>
    </row>
    <row r="6137" ht="14.25" customHeight="1">
      <c r="A6137" s="55" t="s">
        <v>9840</v>
      </c>
      <c r="B6137" s="55" t="s">
        <v>40</v>
      </c>
      <c r="C6137" s="55" t="s">
        <v>166</v>
      </c>
      <c r="D6137" s="55" t="s">
        <v>9151</v>
      </c>
    </row>
    <row r="6138" ht="14.25" customHeight="1">
      <c r="A6138" s="55" t="s">
        <v>9840</v>
      </c>
      <c r="B6138" s="55" t="s">
        <v>40</v>
      </c>
      <c r="C6138" s="55" t="s">
        <v>166</v>
      </c>
      <c r="D6138" s="55" t="s">
        <v>9028</v>
      </c>
    </row>
    <row r="6139" ht="14.25" customHeight="1">
      <c r="A6139" s="55" t="s">
        <v>9840</v>
      </c>
      <c r="B6139" s="55" t="s">
        <v>40</v>
      </c>
      <c r="C6139" s="55" t="s">
        <v>166</v>
      </c>
      <c r="D6139" s="55" t="s">
        <v>10819</v>
      </c>
    </row>
    <row r="6140" ht="14.25" customHeight="1">
      <c r="A6140" s="55" t="s">
        <v>9840</v>
      </c>
      <c r="B6140" s="55" t="s">
        <v>40</v>
      </c>
      <c r="C6140" s="55" t="s">
        <v>166</v>
      </c>
      <c r="D6140" s="55" t="s">
        <v>12461</v>
      </c>
    </row>
    <row r="6141" ht="14.25" customHeight="1">
      <c r="A6141" s="55" t="s">
        <v>9840</v>
      </c>
      <c r="B6141" s="55" t="s">
        <v>40</v>
      </c>
      <c r="C6141" s="55" t="s">
        <v>168</v>
      </c>
      <c r="D6141" s="55" t="s">
        <v>9204</v>
      </c>
    </row>
    <row r="6142" ht="14.25" customHeight="1">
      <c r="A6142" s="55" t="s">
        <v>9840</v>
      </c>
      <c r="B6142" s="55" t="s">
        <v>40</v>
      </c>
      <c r="C6142" s="55" t="s">
        <v>168</v>
      </c>
      <c r="D6142" s="55" t="s">
        <v>14450</v>
      </c>
    </row>
    <row r="6143" ht="14.25" customHeight="1">
      <c r="A6143" s="55" t="s">
        <v>9840</v>
      </c>
      <c r="B6143" s="55" t="s">
        <v>40</v>
      </c>
      <c r="C6143" s="55" t="s">
        <v>1417</v>
      </c>
      <c r="D6143" s="55" t="s">
        <v>9204</v>
      </c>
    </row>
    <row r="6144" ht="14.25" customHeight="1">
      <c r="A6144" s="55" t="s">
        <v>9840</v>
      </c>
      <c r="B6144" s="55" t="s">
        <v>40</v>
      </c>
      <c r="C6144" s="55" t="s">
        <v>1417</v>
      </c>
      <c r="D6144" s="55" t="s">
        <v>11438</v>
      </c>
    </row>
    <row r="6145" ht="14.25" customHeight="1">
      <c r="A6145" s="55" t="s">
        <v>9840</v>
      </c>
      <c r="B6145" s="55" t="s">
        <v>40</v>
      </c>
      <c r="C6145" s="55" t="s">
        <v>1417</v>
      </c>
      <c r="D6145" s="55" t="s">
        <v>9880</v>
      </c>
    </row>
    <row r="6146" ht="14.25" customHeight="1">
      <c r="A6146" s="55" t="s">
        <v>9840</v>
      </c>
      <c r="B6146" s="55" t="s">
        <v>40</v>
      </c>
      <c r="C6146" s="55" t="s">
        <v>1417</v>
      </c>
      <c r="D6146" s="55" t="s">
        <v>11212</v>
      </c>
    </row>
    <row r="6147" ht="14.25" customHeight="1">
      <c r="A6147" s="55" t="s">
        <v>9840</v>
      </c>
      <c r="B6147" s="55" t="s">
        <v>40</v>
      </c>
      <c r="C6147" s="55" t="s">
        <v>1417</v>
      </c>
      <c r="D6147" s="55" t="s">
        <v>11213</v>
      </c>
    </row>
    <row r="6148" ht="14.25" customHeight="1">
      <c r="A6148" s="55" t="s">
        <v>9840</v>
      </c>
      <c r="B6148" s="55" t="s">
        <v>40</v>
      </c>
      <c r="C6148" s="55" t="s">
        <v>9203</v>
      </c>
      <c r="D6148" s="55" t="s">
        <v>9204</v>
      </c>
    </row>
    <row r="6149" ht="14.25" customHeight="1">
      <c r="A6149" s="55" t="s">
        <v>9840</v>
      </c>
      <c r="B6149" s="55" t="s">
        <v>40</v>
      </c>
      <c r="C6149" s="55" t="s">
        <v>9203</v>
      </c>
      <c r="D6149" s="55" t="s">
        <v>9180</v>
      </c>
    </row>
    <row r="6150" ht="14.25" customHeight="1">
      <c r="A6150" s="55" t="s">
        <v>9840</v>
      </c>
      <c r="B6150" s="55" t="s">
        <v>40</v>
      </c>
      <c r="C6150" s="55" t="s">
        <v>9203</v>
      </c>
      <c r="D6150" s="55" t="s">
        <v>9880</v>
      </c>
    </row>
    <row r="6151" ht="14.25" customHeight="1">
      <c r="A6151" s="55" t="s">
        <v>9840</v>
      </c>
      <c r="B6151" s="55" t="s">
        <v>40</v>
      </c>
      <c r="C6151" s="55" t="s">
        <v>9203</v>
      </c>
      <c r="D6151" s="55" t="s">
        <v>9189</v>
      </c>
    </row>
    <row r="6152" ht="14.25" customHeight="1">
      <c r="A6152" s="55" t="s">
        <v>9840</v>
      </c>
      <c r="B6152" s="55" t="s">
        <v>40</v>
      </c>
      <c r="C6152" s="55" t="s">
        <v>3499</v>
      </c>
      <c r="D6152" s="55" t="s">
        <v>9881</v>
      </c>
    </row>
    <row r="6153" ht="14.25" customHeight="1">
      <c r="A6153" s="55" t="s">
        <v>9840</v>
      </c>
      <c r="B6153" s="55" t="s">
        <v>40</v>
      </c>
      <c r="C6153" s="55" t="s">
        <v>3499</v>
      </c>
      <c r="D6153" s="55" t="s">
        <v>11214</v>
      </c>
    </row>
    <row r="6154" ht="14.25" customHeight="1">
      <c r="A6154" s="55" t="s">
        <v>9840</v>
      </c>
      <c r="B6154" s="55" t="s">
        <v>40</v>
      </c>
      <c r="C6154" s="55" t="s">
        <v>3499</v>
      </c>
      <c r="D6154" s="55" t="s">
        <v>12462</v>
      </c>
    </row>
    <row r="6155" ht="14.25" customHeight="1">
      <c r="A6155" s="55" t="s">
        <v>9840</v>
      </c>
      <c r="B6155" s="55" t="s">
        <v>40</v>
      </c>
      <c r="C6155" s="55" t="s">
        <v>170</v>
      </c>
      <c r="D6155" s="55" t="s">
        <v>9034</v>
      </c>
    </row>
    <row r="6156" ht="14.25" customHeight="1">
      <c r="A6156" s="55" t="s">
        <v>9840</v>
      </c>
      <c r="B6156" s="55" t="s">
        <v>40</v>
      </c>
      <c r="C6156" s="55" t="s">
        <v>170</v>
      </c>
      <c r="D6156" s="55" t="s">
        <v>9636</v>
      </c>
    </row>
    <row r="6157" ht="14.25" customHeight="1">
      <c r="A6157" s="55" t="s">
        <v>9840</v>
      </c>
      <c r="B6157" s="55" t="s">
        <v>40</v>
      </c>
      <c r="C6157" s="55" t="s">
        <v>170</v>
      </c>
      <c r="D6157" s="55" t="s">
        <v>9028</v>
      </c>
    </row>
    <row r="6158" ht="14.25" customHeight="1">
      <c r="A6158" s="55" t="s">
        <v>9840</v>
      </c>
      <c r="B6158" s="55" t="s">
        <v>40</v>
      </c>
      <c r="C6158" s="55" t="s">
        <v>170</v>
      </c>
      <c r="D6158" s="55" t="s">
        <v>9525</v>
      </c>
    </row>
    <row r="6159" ht="14.25" customHeight="1">
      <c r="A6159" s="55" t="s">
        <v>9840</v>
      </c>
      <c r="B6159" s="55" t="s">
        <v>40</v>
      </c>
      <c r="C6159" s="55" t="s">
        <v>9882</v>
      </c>
      <c r="D6159" s="55" t="s">
        <v>9034</v>
      </c>
    </row>
    <row r="6160" ht="14.25" customHeight="1">
      <c r="A6160" s="55" t="s">
        <v>9840</v>
      </c>
      <c r="B6160" s="55" t="s">
        <v>40</v>
      </c>
      <c r="C6160" s="55" t="s">
        <v>9882</v>
      </c>
      <c r="D6160" s="55" t="s">
        <v>9883</v>
      </c>
    </row>
    <row r="6161" ht="14.25" customHeight="1">
      <c r="A6161" s="55" t="s">
        <v>9840</v>
      </c>
      <c r="B6161" s="55" t="s">
        <v>40</v>
      </c>
      <c r="C6161" s="55" t="s">
        <v>9882</v>
      </c>
      <c r="D6161" s="55" t="s">
        <v>9055</v>
      </c>
    </row>
    <row r="6162" ht="14.25" customHeight="1">
      <c r="A6162" s="55" t="s">
        <v>9840</v>
      </c>
      <c r="B6162" s="55" t="s">
        <v>40</v>
      </c>
      <c r="C6162" s="55" t="s">
        <v>171</v>
      </c>
      <c r="D6162" s="55" t="s">
        <v>11783</v>
      </c>
    </row>
    <row r="6163" ht="14.25" customHeight="1">
      <c r="A6163" s="55" t="s">
        <v>9840</v>
      </c>
      <c r="B6163" s="55" t="s">
        <v>40</v>
      </c>
      <c r="C6163" s="55" t="s">
        <v>13333</v>
      </c>
      <c r="D6163" s="55" t="s">
        <v>10131</v>
      </c>
    </row>
    <row r="6164" ht="14.25" customHeight="1">
      <c r="A6164" s="55" t="s">
        <v>9840</v>
      </c>
      <c r="B6164" s="55" t="s">
        <v>40</v>
      </c>
      <c r="C6164" s="55" t="s">
        <v>9385</v>
      </c>
      <c r="D6164" s="55" t="s">
        <v>9028</v>
      </c>
    </row>
    <row r="6165" ht="14.25" customHeight="1">
      <c r="A6165" s="55" t="s">
        <v>9840</v>
      </c>
      <c r="B6165" s="55" t="s">
        <v>40</v>
      </c>
      <c r="C6165" s="55" t="s">
        <v>9385</v>
      </c>
      <c r="D6165" s="55" t="s">
        <v>10486</v>
      </c>
    </row>
    <row r="6166" ht="14.25" customHeight="1">
      <c r="A6166" s="55" t="s">
        <v>9840</v>
      </c>
      <c r="B6166" s="55" t="s">
        <v>40</v>
      </c>
      <c r="C6166" s="55" t="s">
        <v>9385</v>
      </c>
      <c r="D6166" s="55" t="s">
        <v>8994</v>
      </c>
    </row>
    <row r="6167" ht="14.25" customHeight="1">
      <c r="A6167" s="55" t="s">
        <v>9840</v>
      </c>
      <c r="B6167" s="55" t="s">
        <v>40</v>
      </c>
      <c r="C6167" s="55" t="s">
        <v>312</v>
      </c>
      <c r="D6167" s="55" t="s">
        <v>9369</v>
      </c>
    </row>
    <row r="6168" ht="14.25" customHeight="1">
      <c r="A6168" s="55" t="s">
        <v>9840</v>
      </c>
      <c r="B6168" s="55" t="s">
        <v>40</v>
      </c>
      <c r="C6168" s="55" t="s">
        <v>312</v>
      </c>
      <c r="D6168" s="55" t="s">
        <v>9583</v>
      </c>
    </row>
    <row r="6169" ht="14.25" customHeight="1">
      <c r="A6169" s="55" t="s">
        <v>9840</v>
      </c>
      <c r="B6169" s="55" t="s">
        <v>40</v>
      </c>
      <c r="C6169" s="55" t="s">
        <v>312</v>
      </c>
      <c r="D6169" s="55" t="s">
        <v>8994</v>
      </c>
    </row>
    <row r="6170" ht="14.25" customHeight="1">
      <c r="A6170" s="55" t="s">
        <v>9840</v>
      </c>
      <c r="B6170" s="55" t="s">
        <v>40</v>
      </c>
      <c r="C6170" s="55" t="s">
        <v>312</v>
      </c>
      <c r="D6170" s="55" t="s">
        <v>12463</v>
      </c>
    </row>
    <row r="6171" ht="14.25" customHeight="1">
      <c r="A6171" s="55" t="s">
        <v>9840</v>
      </c>
      <c r="B6171" s="55" t="s">
        <v>40</v>
      </c>
      <c r="C6171" s="55" t="s">
        <v>312</v>
      </c>
      <c r="D6171" s="55" t="s">
        <v>14451</v>
      </c>
    </row>
    <row r="6172" ht="14.25" customHeight="1">
      <c r="A6172" s="55" t="s">
        <v>9840</v>
      </c>
      <c r="B6172" s="55" t="s">
        <v>40</v>
      </c>
      <c r="C6172" s="55" t="s">
        <v>14452</v>
      </c>
      <c r="D6172" s="55" t="s">
        <v>12426</v>
      </c>
    </row>
    <row r="6173" ht="14.25" customHeight="1">
      <c r="A6173" s="55" t="s">
        <v>9840</v>
      </c>
      <c r="B6173" s="55" t="s">
        <v>40</v>
      </c>
      <c r="C6173" s="55" t="s">
        <v>11612</v>
      </c>
      <c r="D6173" s="55" t="s">
        <v>12464</v>
      </c>
    </row>
    <row r="6174" ht="14.25" customHeight="1">
      <c r="A6174" s="55" t="s">
        <v>9840</v>
      </c>
      <c r="B6174" s="55" t="s">
        <v>40</v>
      </c>
      <c r="C6174" s="55" t="s">
        <v>11612</v>
      </c>
      <c r="D6174" s="55" t="s">
        <v>9028</v>
      </c>
    </row>
    <row r="6175" ht="14.25" customHeight="1">
      <c r="A6175" s="55" t="s">
        <v>9840</v>
      </c>
      <c r="B6175" s="55" t="s">
        <v>40</v>
      </c>
      <c r="C6175" s="55" t="s">
        <v>13334</v>
      </c>
      <c r="D6175" s="55" t="s">
        <v>13335</v>
      </c>
    </row>
    <row r="6176" ht="14.25" customHeight="1">
      <c r="A6176" s="55" t="s">
        <v>9840</v>
      </c>
      <c r="B6176" s="55" t="s">
        <v>40</v>
      </c>
      <c r="C6176" s="55" t="s">
        <v>13336</v>
      </c>
      <c r="D6176" s="55" t="s">
        <v>9028</v>
      </c>
    </row>
    <row r="6177" ht="14.25" customHeight="1">
      <c r="A6177" s="55" t="s">
        <v>9840</v>
      </c>
      <c r="B6177" s="55" t="s">
        <v>40</v>
      </c>
      <c r="C6177" s="55" t="s">
        <v>8249</v>
      </c>
      <c r="D6177" s="55" t="s">
        <v>9884</v>
      </c>
    </row>
    <row r="6178" ht="14.25" customHeight="1">
      <c r="A6178" s="55" t="s">
        <v>9840</v>
      </c>
      <c r="B6178" s="55" t="s">
        <v>40</v>
      </c>
      <c r="C6178" s="55" t="s">
        <v>175</v>
      </c>
      <c r="D6178" s="55" t="s">
        <v>9028</v>
      </c>
    </row>
    <row r="6179" ht="14.25" customHeight="1">
      <c r="A6179" s="55" t="s">
        <v>9840</v>
      </c>
      <c r="B6179" s="55" t="s">
        <v>40</v>
      </c>
      <c r="C6179" s="55" t="s">
        <v>12465</v>
      </c>
      <c r="D6179" s="55" t="s">
        <v>9073</v>
      </c>
    </row>
    <row r="6180" ht="14.25" customHeight="1">
      <c r="A6180" s="55" t="s">
        <v>9840</v>
      </c>
      <c r="B6180" s="55" t="s">
        <v>40</v>
      </c>
      <c r="C6180" s="55" t="s">
        <v>9150</v>
      </c>
      <c r="D6180" s="55" t="s">
        <v>9151</v>
      </c>
    </row>
    <row r="6181" ht="14.25" customHeight="1">
      <c r="A6181" s="55" t="s">
        <v>9840</v>
      </c>
      <c r="B6181" s="55" t="s">
        <v>40</v>
      </c>
      <c r="C6181" s="55" t="s">
        <v>179</v>
      </c>
      <c r="D6181" s="55" t="s">
        <v>11215</v>
      </c>
    </row>
    <row r="6182" ht="14.25" customHeight="1">
      <c r="A6182" s="55" t="s">
        <v>9840</v>
      </c>
      <c r="B6182" s="55" t="s">
        <v>40</v>
      </c>
      <c r="C6182" s="55" t="s">
        <v>3566</v>
      </c>
      <c r="D6182" s="55" t="s">
        <v>9034</v>
      </c>
    </row>
    <row r="6183" ht="14.25" customHeight="1">
      <c r="A6183" s="55" t="s">
        <v>9840</v>
      </c>
      <c r="B6183" s="55" t="s">
        <v>40</v>
      </c>
      <c r="C6183" s="55" t="s">
        <v>3566</v>
      </c>
      <c r="D6183" s="55" t="s">
        <v>8989</v>
      </c>
    </row>
    <row r="6184" ht="14.25" customHeight="1">
      <c r="A6184" s="55" t="s">
        <v>9840</v>
      </c>
      <c r="B6184" s="55" t="s">
        <v>40</v>
      </c>
      <c r="C6184" s="55" t="s">
        <v>3566</v>
      </c>
      <c r="D6184" s="55" t="s">
        <v>9885</v>
      </c>
    </row>
    <row r="6185" ht="14.25" customHeight="1">
      <c r="A6185" s="55" t="s">
        <v>9840</v>
      </c>
      <c r="B6185" s="55" t="s">
        <v>40</v>
      </c>
      <c r="C6185" s="55" t="s">
        <v>3566</v>
      </c>
      <c r="D6185" s="55" t="s">
        <v>13948</v>
      </c>
    </row>
    <row r="6186" ht="14.25" customHeight="1">
      <c r="A6186" s="55" t="s">
        <v>9840</v>
      </c>
      <c r="B6186" s="55" t="s">
        <v>40</v>
      </c>
      <c r="C6186" s="55" t="s">
        <v>3566</v>
      </c>
      <c r="D6186" s="55" t="s">
        <v>13337</v>
      </c>
    </row>
    <row r="6187" ht="14.25" customHeight="1">
      <c r="A6187" s="55" t="s">
        <v>9840</v>
      </c>
      <c r="B6187" s="55" t="s">
        <v>40</v>
      </c>
      <c r="C6187" s="55" t="s">
        <v>3566</v>
      </c>
      <c r="D6187" s="55" t="s">
        <v>8968</v>
      </c>
    </row>
    <row r="6188" ht="14.25" customHeight="1">
      <c r="A6188" s="55" t="s">
        <v>9840</v>
      </c>
      <c r="B6188" s="55" t="s">
        <v>40</v>
      </c>
      <c r="C6188" s="55" t="s">
        <v>3566</v>
      </c>
      <c r="D6188" s="55" t="s">
        <v>10124</v>
      </c>
    </row>
    <row r="6189" ht="14.25" customHeight="1">
      <c r="A6189" s="55" t="s">
        <v>9840</v>
      </c>
      <c r="B6189" s="55" t="s">
        <v>40</v>
      </c>
      <c r="C6189" s="55" t="s">
        <v>3566</v>
      </c>
      <c r="D6189" s="55" t="s">
        <v>13338</v>
      </c>
    </row>
    <row r="6190" ht="14.25" customHeight="1">
      <c r="A6190" s="55" t="s">
        <v>9840</v>
      </c>
      <c r="B6190" s="55" t="s">
        <v>40</v>
      </c>
      <c r="C6190" s="55" t="s">
        <v>3566</v>
      </c>
      <c r="D6190" s="55" t="s">
        <v>13339</v>
      </c>
    </row>
    <row r="6191" ht="14.25" customHeight="1">
      <c r="A6191" s="55" t="s">
        <v>9840</v>
      </c>
      <c r="B6191" s="55" t="s">
        <v>40</v>
      </c>
      <c r="C6191" s="55" t="s">
        <v>3566</v>
      </c>
      <c r="D6191" s="55" t="s">
        <v>9071</v>
      </c>
    </row>
    <row r="6192" ht="14.25" customHeight="1">
      <c r="A6192" s="55" t="s">
        <v>9840</v>
      </c>
      <c r="B6192" s="55" t="s">
        <v>40</v>
      </c>
      <c r="C6192" s="55" t="s">
        <v>3566</v>
      </c>
      <c r="D6192" s="55" t="s">
        <v>13340</v>
      </c>
    </row>
    <row r="6193" ht="14.25" customHeight="1">
      <c r="A6193" s="55" t="s">
        <v>9840</v>
      </c>
      <c r="B6193" s="55" t="s">
        <v>40</v>
      </c>
      <c r="C6193" s="55" t="s">
        <v>3566</v>
      </c>
      <c r="D6193" s="55" t="s">
        <v>9886</v>
      </c>
    </row>
    <row r="6194" ht="14.25" customHeight="1">
      <c r="A6194" s="55" t="s">
        <v>9840</v>
      </c>
      <c r="B6194" s="55" t="s">
        <v>40</v>
      </c>
      <c r="C6194" s="55" t="s">
        <v>3566</v>
      </c>
      <c r="D6194" s="55" t="s">
        <v>9583</v>
      </c>
    </row>
    <row r="6195" ht="14.25" customHeight="1">
      <c r="A6195" s="55" t="s">
        <v>9840</v>
      </c>
      <c r="B6195" s="55" t="s">
        <v>40</v>
      </c>
      <c r="C6195" s="55" t="s">
        <v>3566</v>
      </c>
      <c r="D6195" s="55" t="s">
        <v>9028</v>
      </c>
    </row>
    <row r="6196" ht="14.25" customHeight="1">
      <c r="A6196" s="55" t="s">
        <v>9840</v>
      </c>
      <c r="B6196" s="55" t="s">
        <v>40</v>
      </c>
      <c r="C6196" s="55" t="s">
        <v>3566</v>
      </c>
      <c r="D6196" s="55" t="s">
        <v>12466</v>
      </c>
    </row>
    <row r="6197" ht="14.25" customHeight="1">
      <c r="A6197" s="55" t="s">
        <v>9840</v>
      </c>
      <c r="B6197" s="55" t="s">
        <v>40</v>
      </c>
      <c r="C6197" s="55" t="s">
        <v>3566</v>
      </c>
      <c r="D6197" s="55" t="s">
        <v>9669</v>
      </c>
    </row>
    <row r="6198" ht="14.25" customHeight="1">
      <c r="A6198" s="55" t="s">
        <v>9840</v>
      </c>
      <c r="B6198" s="55" t="s">
        <v>40</v>
      </c>
      <c r="C6198" s="55" t="s">
        <v>3566</v>
      </c>
      <c r="D6198" s="55" t="s">
        <v>9404</v>
      </c>
    </row>
    <row r="6199" ht="14.25" customHeight="1">
      <c r="A6199" s="55" t="s">
        <v>9840</v>
      </c>
      <c r="B6199" s="55" t="s">
        <v>40</v>
      </c>
      <c r="C6199" s="55" t="s">
        <v>3566</v>
      </c>
      <c r="D6199" s="55" t="s">
        <v>13341</v>
      </c>
    </row>
    <row r="6200" ht="14.25" customHeight="1">
      <c r="A6200" s="55" t="s">
        <v>9840</v>
      </c>
      <c r="B6200" s="55" t="s">
        <v>40</v>
      </c>
      <c r="C6200" s="55" t="s">
        <v>3566</v>
      </c>
      <c r="D6200" s="55" t="s">
        <v>11784</v>
      </c>
    </row>
    <row r="6201" ht="14.25" customHeight="1">
      <c r="A6201" s="55" t="s">
        <v>9840</v>
      </c>
      <c r="B6201" s="55" t="s">
        <v>40</v>
      </c>
      <c r="C6201" s="55" t="s">
        <v>3566</v>
      </c>
      <c r="D6201" s="55" t="s">
        <v>13949</v>
      </c>
    </row>
    <row r="6202" ht="14.25" customHeight="1">
      <c r="A6202" s="55" t="s">
        <v>9840</v>
      </c>
      <c r="B6202" s="55" t="s">
        <v>40</v>
      </c>
      <c r="C6202" s="55" t="s">
        <v>3566</v>
      </c>
      <c r="D6202" s="55" t="s">
        <v>8976</v>
      </c>
    </row>
    <row r="6203" ht="14.25" customHeight="1">
      <c r="A6203" s="55" t="s">
        <v>9840</v>
      </c>
      <c r="B6203" s="55" t="s">
        <v>40</v>
      </c>
      <c r="C6203" s="55" t="s">
        <v>3566</v>
      </c>
      <c r="D6203" s="55" t="s">
        <v>9118</v>
      </c>
    </row>
    <row r="6204" ht="14.25" customHeight="1">
      <c r="A6204" s="55" t="s">
        <v>9840</v>
      </c>
      <c r="B6204" s="55" t="s">
        <v>40</v>
      </c>
      <c r="C6204" s="55" t="s">
        <v>3566</v>
      </c>
      <c r="D6204" s="55" t="s">
        <v>11216</v>
      </c>
    </row>
    <row r="6205" ht="14.25" customHeight="1">
      <c r="A6205" s="55" t="s">
        <v>9840</v>
      </c>
      <c r="B6205" s="55" t="s">
        <v>40</v>
      </c>
      <c r="C6205" s="55" t="s">
        <v>10465</v>
      </c>
      <c r="D6205" s="55" t="s">
        <v>10466</v>
      </c>
    </row>
    <row r="6206" ht="14.25" customHeight="1">
      <c r="A6206" s="55" t="s">
        <v>9840</v>
      </c>
      <c r="B6206" s="55" t="s">
        <v>40</v>
      </c>
      <c r="C6206" s="55" t="s">
        <v>10465</v>
      </c>
      <c r="D6206" s="55" t="s">
        <v>10467</v>
      </c>
    </row>
    <row r="6207" ht="14.25" customHeight="1">
      <c r="A6207" s="55" t="s">
        <v>9840</v>
      </c>
      <c r="B6207" s="55" t="s">
        <v>40</v>
      </c>
      <c r="C6207" s="55" t="s">
        <v>12634</v>
      </c>
      <c r="D6207" s="55" t="s">
        <v>8989</v>
      </c>
    </row>
    <row r="6208" ht="14.25" customHeight="1">
      <c r="A6208" s="55" t="s">
        <v>9840</v>
      </c>
      <c r="B6208" s="55" t="s">
        <v>40</v>
      </c>
      <c r="C6208" s="55" t="s">
        <v>180</v>
      </c>
      <c r="D6208" s="55" t="s">
        <v>11217</v>
      </c>
    </row>
    <row r="6209" ht="14.25" customHeight="1">
      <c r="A6209" s="55" t="s">
        <v>9840</v>
      </c>
      <c r="B6209" s="55" t="s">
        <v>40</v>
      </c>
      <c r="C6209" s="55" t="s">
        <v>9804</v>
      </c>
      <c r="D6209" s="55" t="s">
        <v>8968</v>
      </c>
    </row>
    <row r="6210" ht="14.25" customHeight="1">
      <c r="A6210" s="55" t="s">
        <v>9840</v>
      </c>
      <c r="B6210" s="55" t="s">
        <v>40</v>
      </c>
      <c r="C6210" s="55" t="s">
        <v>9804</v>
      </c>
      <c r="D6210" s="55" t="s">
        <v>10080</v>
      </c>
    </row>
    <row r="6211" ht="14.25" customHeight="1">
      <c r="A6211" s="55" t="s">
        <v>9840</v>
      </c>
      <c r="B6211" s="55" t="s">
        <v>40</v>
      </c>
      <c r="C6211" s="55" t="s">
        <v>9804</v>
      </c>
      <c r="D6211" s="55" t="s">
        <v>10576</v>
      </c>
    </row>
    <row r="6212" ht="14.25" customHeight="1">
      <c r="A6212" s="55" t="s">
        <v>9840</v>
      </c>
      <c r="B6212" s="55" t="s">
        <v>40</v>
      </c>
      <c r="C6212" s="55" t="s">
        <v>9804</v>
      </c>
      <c r="D6212" s="55" t="s">
        <v>9887</v>
      </c>
    </row>
    <row r="6213" ht="14.25" customHeight="1">
      <c r="A6213" s="55" t="s">
        <v>9840</v>
      </c>
      <c r="B6213" s="55" t="s">
        <v>40</v>
      </c>
      <c r="C6213" s="55" t="s">
        <v>3596</v>
      </c>
      <c r="D6213" s="55" t="s">
        <v>12467</v>
      </c>
    </row>
    <row r="6214" ht="14.25" customHeight="1">
      <c r="A6214" s="55" t="s">
        <v>9840</v>
      </c>
      <c r="B6214" s="55" t="s">
        <v>40</v>
      </c>
      <c r="C6214" s="55" t="s">
        <v>3596</v>
      </c>
      <c r="D6214" s="55" t="s">
        <v>9131</v>
      </c>
    </row>
    <row r="6215" ht="14.25" customHeight="1">
      <c r="A6215" s="55" t="s">
        <v>9840</v>
      </c>
      <c r="B6215" s="55" t="s">
        <v>40</v>
      </c>
      <c r="C6215" s="55" t="s">
        <v>3596</v>
      </c>
      <c r="D6215" s="55" t="s">
        <v>8968</v>
      </c>
    </row>
    <row r="6216" ht="14.25" customHeight="1">
      <c r="A6216" s="55" t="s">
        <v>9840</v>
      </c>
      <c r="B6216" s="55" t="s">
        <v>40</v>
      </c>
      <c r="C6216" s="55" t="s">
        <v>3596</v>
      </c>
      <c r="D6216" s="55" t="s">
        <v>10124</v>
      </c>
    </row>
    <row r="6217" ht="14.25" customHeight="1">
      <c r="A6217" s="55" t="s">
        <v>9840</v>
      </c>
      <c r="B6217" s="55" t="s">
        <v>40</v>
      </c>
      <c r="C6217" s="55" t="s">
        <v>3596</v>
      </c>
      <c r="D6217" s="55" t="s">
        <v>12468</v>
      </c>
    </row>
    <row r="6218" ht="14.25" customHeight="1">
      <c r="A6218" s="55" t="s">
        <v>9840</v>
      </c>
      <c r="B6218" s="55" t="s">
        <v>40</v>
      </c>
      <c r="C6218" s="55" t="s">
        <v>3596</v>
      </c>
      <c r="D6218" s="55" t="s">
        <v>11785</v>
      </c>
    </row>
    <row r="6219" ht="14.25" customHeight="1">
      <c r="A6219" s="55" t="s">
        <v>9840</v>
      </c>
      <c r="B6219" s="55" t="s">
        <v>40</v>
      </c>
      <c r="C6219" s="55" t="s">
        <v>3596</v>
      </c>
      <c r="D6219" s="55" t="s">
        <v>11596</v>
      </c>
    </row>
    <row r="6220" ht="14.25" customHeight="1">
      <c r="A6220" s="55" t="s">
        <v>9840</v>
      </c>
      <c r="B6220" s="55" t="s">
        <v>40</v>
      </c>
      <c r="C6220" s="55" t="s">
        <v>3596</v>
      </c>
      <c r="D6220" s="55" t="s">
        <v>9055</v>
      </c>
    </row>
    <row r="6221" ht="14.25" customHeight="1">
      <c r="A6221" s="55" t="s">
        <v>9840</v>
      </c>
      <c r="B6221" s="55" t="s">
        <v>40</v>
      </c>
      <c r="C6221" s="55" t="s">
        <v>3596</v>
      </c>
      <c r="D6221" s="55" t="s">
        <v>10080</v>
      </c>
    </row>
    <row r="6222" ht="14.25" customHeight="1">
      <c r="A6222" s="55" t="s">
        <v>9840</v>
      </c>
      <c r="B6222" s="55" t="s">
        <v>40</v>
      </c>
      <c r="C6222" s="55" t="s">
        <v>3596</v>
      </c>
      <c r="D6222" s="55" t="s">
        <v>12618</v>
      </c>
    </row>
    <row r="6223" ht="14.25" customHeight="1">
      <c r="A6223" s="55" t="s">
        <v>9840</v>
      </c>
      <c r="B6223" s="55" t="s">
        <v>40</v>
      </c>
      <c r="C6223" s="55" t="s">
        <v>14453</v>
      </c>
      <c r="D6223" s="55" t="s">
        <v>9055</v>
      </c>
    </row>
    <row r="6224" ht="14.25" customHeight="1">
      <c r="A6224" s="55" t="s">
        <v>9840</v>
      </c>
      <c r="B6224" s="55" t="s">
        <v>40</v>
      </c>
      <c r="C6224" s="55" t="s">
        <v>9888</v>
      </c>
      <c r="D6224" s="55" t="s">
        <v>9889</v>
      </c>
    </row>
    <row r="6225" ht="14.25" customHeight="1">
      <c r="A6225" s="55" t="s">
        <v>9840</v>
      </c>
      <c r="B6225" s="55" t="s">
        <v>40</v>
      </c>
      <c r="C6225" s="55" t="s">
        <v>5165</v>
      </c>
      <c r="D6225" s="55" t="s">
        <v>9109</v>
      </c>
    </row>
    <row r="6226" ht="14.25" customHeight="1">
      <c r="A6226" s="55" t="s">
        <v>9840</v>
      </c>
      <c r="B6226" s="55" t="s">
        <v>40</v>
      </c>
      <c r="C6226" s="55" t="s">
        <v>6654</v>
      </c>
      <c r="D6226" s="55" t="s">
        <v>9873</v>
      </c>
    </row>
    <row r="6227" ht="14.25" customHeight="1">
      <c r="A6227" s="55" t="s">
        <v>9840</v>
      </c>
      <c r="B6227" s="55" t="s">
        <v>40</v>
      </c>
      <c r="C6227" s="55" t="s">
        <v>10498</v>
      </c>
      <c r="D6227" s="55" t="s">
        <v>9109</v>
      </c>
    </row>
    <row r="6228" ht="14.25" customHeight="1">
      <c r="A6228" s="55" t="s">
        <v>9840</v>
      </c>
      <c r="B6228" s="55" t="s">
        <v>40</v>
      </c>
      <c r="C6228" s="55" t="s">
        <v>184</v>
      </c>
      <c r="D6228" s="55" t="s">
        <v>9109</v>
      </c>
    </row>
    <row r="6229" ht="14.25" customHeight="1">
      <c r="A6229" s="55" t="s">
        <v>9840</v>
      </c>
      <c r="B6229" s="55" t="s">
        <v>40</v>
      </c>
      <c r="C6229" s="55" t="s">
        <v>184</v>
      </c>
      <c r="D6229" s="55" t="s">
        <v>13950</v>
      </c>
    </row>
    <row r="6230" ht="14.25" customHeight="1">
      <c r="A6230" s="55" t="s">
        <v>9840</v>
      </c>
      <c r="B6230" s="55" t="s">
        <v>40</v>
      </c>
      <c r="C6230" s="55" t="s">
        <v>11218</v>
      </c>
      <c r="D6230" s="55" t="s">
        <v>10527</v>
      </c>
    </row>
    <row r="6231" ht="14.25" customHeight="1">
      <c r="A6231" s="55" t="s">
        <v>9840</v>
      </c>
      <c r="B6231" s="55" t="s">
        <v>40</v>
      </c>
      <c r="C6231" s="55" t="s">
        <v>189</v>
      </c>
      <c r="D6231" s="55" t="s">
        <v>9271</v>
      </c>
    </row>
    <row r="6232" ht="14.25" customHeight="1">
      <c r="A6232" s="55" t="s">
        <v>9840</v>
      </c>
      <c r="B6232" s="55" t="s">
        <v>40</v>
      </c>
      <c r="C6232" s="55" t="s">
        <v>13342</v>
      </c>
      <c r="D6232" s="55" t="s">
        <v>9271</v>
      </c>
    </row>
    <row r="6233" ht="14.25" customHeight="1">
      <c r="A6233" s="55" t="s">
        <v>9840</v>
      </c>
      <c r="B6233" s="55" t="s">
        <v>40</v>
      </c>
      <c r="C6233" s="55" t="s">
        <v>9890</v>
      </c>
      <c r="D6233" s="55" t="s">
        <v>9891</v>
      </c>
    </row>
    <row r="6234" ht="14.25" customHeight="1">
      <c r="A6234" s="55" t="s">
        <v>9840</v>
      </c>
      <c r="B6234" s="55" t="s">
        <v>40</v>
      </c>
      <c r="C6234" s="55" t="s">
        <v>9890</v>
      </c>
      <c r="D6234" s="55" t="s">
        <v>8968</v>
      </c>
    </row>
    <row r="6235" ht="14.25" customHeight="1">
      <c r="A6235" s="55" t="s">
        <v>9840</v>
      </c>
      <c r="B6235" s="55" t="s">
        <v>40</v>
      </c>
      <c r="C6235" s="55" t="s">
        <v>191</v>
      </c>
      <c r="D6235" s="55" t="s">
        <v>9891</v>
      </c>
    </row>
    <row r="6236" ht="14.25" customHeight="1">
      <c r="A6236" s="55" t="s">
        <v>9840</v>
      </c>
      <c r="B6236" s="55" t="s">
        <v>40</v>
      </c>
      <c r="C6236" s="55" t="s">
        <v>191</v>
      </c>
      <c r="D6236" s="55" t="s">
        <v>9028</v>
      </c>
    </row>
    <row r="6237" ht="14.25" customHeight="1">
      <c r="A6237" s="55" t="s">
        <v>9840</v>
      </c>
      <c r="B6237" s="55" t="s">
        <v>40</v>
      </c>
      <c r="C6237" s="55" t="s">
        <v>191</v>
      </c>
      <c r="D6237" s="55" t="s">
        <v>13951</v>
      </c>
    </row>
    <row r="6238" ht="14.25" customHeight="1">
      <c r="A6238" s="55" t="s">
        <v>9840</v>
      </c>
      <c r="B6238" s="55" t="s">
        <v>40</v>
      </c>
      <c r="C6238" s="55" t="s">
        <v>191</v>
      </c>
      <c r="D6238" s="55" t="s">
        <v>11219</v>
      </c>
    </row>
    <row r="6239" ht="14.25" customHeight="1">
      <c r="A6239" s="55" t="s">
        <v>9840</v>
      </c>
      <c r="B6239" s="55" t="s">
        <v>40</v>
      </c>
      <c r="C6239" s="55" t="s">
        <v>193</v>
      </c>
      <c r="D6239" s="55" t="s">
        <v>9152</v>
      </c>
    </row>
    <row r="6240" ht="14.25" customHeight="1">
      <c r="A6240" s="55" t="s">
        <v>9840</v>
      </c>
      <c r="B6240" s="55" t="s">
        <v>40</v>
      </c>
      <c r="C6240" s="55" t="s">
        <v>193</v>
      </c>
      <c r="D6240" s="55" t="s">
        <v>12469</v>
      </c>
    </row>
    <row r="6241" ht="14.25" customHeight="1">
      <c r="A6241" s="55" t="s">
        <v>9840</v>
      </c>
      <c r="B6241" s="55" t="s">
        <v>40</v>
      </c>
      <c r="C6241" s="55" t="s">
        <v>9577</v>
      </c>
      <c r="D6241" s="55" t="s">
        <v>9578</v>
      </c>
    </row>
    <row r="6242" ht="14.25" customHeight="1">
      <c r="A6242" s="55" t="s">
        <v>9840</v>
      </c>
      <c r="B6242" s="55" t="s">
        <v>40</v>
      </c>
      <c r="C6242" s="55" t="s">
        <v>11786</v>
      </c>
      <c r="D6242" s="55" t="s">
        <v>11227</v>
      </c>
    </row>
    <row r="6243" ht="14.25" customHeight="1">
      <c r="A6243" s="55" t="s">
        <v>9840</v>
      </c>
      <c r="B6243" s="55" t="s">
        <v>40</v>
      </c>
      <c r="C6243" s="55" t="s">
        <v>12665</v>
      </c>
      <c r="D6243" s="55" t="s">
        <v>13343</v>
      </c>
    </row>
    <row r="6244" ht="14.25" customHeight="1">
      <c r="A6244" s="55" t="s">
        <v>9840</v>
      </c>
      <c r="B6244" s="55" t="s">
        <v>40</v>
      </c>
      <c r="C6244" s="55" t="s">
        <v>12470</v>
      </c>
      <c r="D6244" s="55" t="s">
        <v>12471</v>
      </c>
    </row>
    <row r="6245" ht="14.25" customHeight="1">
      <c r="A6245" s="55" t="s">
        <v>9840</v>
      </c>
      <c r="B6245" s="55" t="s">
        <v>40</v>
      </c>
      <c r="C6245" s="55" t="s">
        <v>6698</v>
      </c>
      <c r="D6245" s="55" t="s">
        <v>10001</v>
      </c>
    </row>
    <row r="6246" ht="14.25" customHeight="1">
      <c r="A6246" s="55" t="s">
        <v>9840</v>
      </c>
      <c r="B6246" s="55" t="s">
        <v>40</v>
      </c>
      <c r="C6246" s="55" t="s">
        <v>11220</v>
      </c>
      <c r="D6246" s="55" t="s">
        <v>9028</v>
      </c>
    </row>
    <row r="6247" ht="14.25" customHeight="1">
      <c r="A6247" s="55" t="s">
        <v>9840</v>
      </c>
      <c r="B6247" s="55" t="s">
        <v>40</v>
      </c>
      <c r="C6247" s="55" t="s">
        <v>9277</v>
      </c>
      <c r="D6247" s="55" t="s">
        <v>11221</v>
      </c>
    </row>
    <row r="6248" ht="14.25" customHeight="1">
      <c r="A6248" s="55" t="s">
        <v>9840</v>
      </c>
      <c r="B6248" s="55" t="s">
        <v>40</v>
      </c>
      <c r="C6248" s="55" t="s">
        <v>9277</v>
      </c>
      <c r="D6248" s="55" t="s">
        <v>8978</v>
      </c>
    </row>
    <row r="6249" ht="14.25" customHeight="1">
      <c r="A6249" s="55" t="s">
        <v>9840</v>
      </c>
      <c r="B6249" s="55" t="s">
        <v>40</v>
      </c>
      <c r="C6249" s="55" t="s">
        <v>10468</v>
      </c>
      <c r="D6249" s="55" t="s">
        <v>9131</v>
      </c>
    </row>
    <row r="6250" ht="14.25" customHeight="1">
      <c r="A6250" s="55" t="s">
        <v>9840</v>
      </c>
      <c r="B6250" s="55" t="s">
        <v>40</v>
      </c>
      <c r="C6250" s="55" t="s">
        <v>11222</v>
      </c>
      <c r="D6250" s="55" t="s">
        <v>9151</v>
      </c>
    </row>
    <row r="6251" ht="14.25" customHeight="1">
      <c r="A6251" s="55" t="s">
        <v>9840</v>
      </c>
      <c r="B6251" s="55" t="s">
        <v>40</v>
      </c>
      <c r="C6251" s="55" t="s">
        <v>200</v>
      </c>
      <c r="D6251" s="55" t="s">
        <v>9151</v>
      </c>
    </row>
    <row r="6252" ht="14.25" customHeight="1">
      <c r="A6252" s="55" t="s">
        <v>9840</v>
      </c>
      <c r="B6252" s="55" t="s">
        <v>40</v>
      </c>
      <c r="C6252" s="55" t="s">
        <v>9505</v>
      </c>
      <c r="D6252" s="55" t="s">
        <v>12472</v>
      </c>
    </row>
    <row r="6253" ht="14.25" customHeight="1">
      <c r="A6253" s="55" t="s">
        <v>9840</v>
      </c>
      <c r="B6253" s="55" t="s">
        <v>40</v>
      </c>
      <c r="C6253" s="55" t="s">
        <v>14454</v>
      </c>
      <c r="D6253" s="55" t="s">
        <v>9168</v>
      </c>
    </row>
    <row r="6254" ht="14.25" customHeight="1">
      <c r="A6254" s="55" t="s">
        <v>9840</v>
      </c>
      <c r="B6254" s="55" t="s">
        <v>40</v>
      </c>
      <c r="C6254" s="55" t="s">
        <v>11223</v>
      </c>
      <c r="D6254" s="55" t="s">
        <v>11224</v>
      </c>
    </row>
    <row r="6255" ht="14.25" customHeight="1">
      <c r="A6255" s="55" t="s">
        <v>9840</v>
      </c>
      <c r="B6255" s="55" t="s">
        <v>40</v>
      </c>
      <c r="C6255" s="55" t="s">
        <v>8398</v>
      </c>
      <c r="D6255" s="55" t="s">
        <v>9892</v>
      </c>
    </row>
    <row r="6256" ht="14.25" customHeight="1">
      <c r="A6256" s="55" t="s">
        <v>9840</v>
      </c>
      <c r="B6256" s="55" t="s">
        <v>40</v>
      </c>
      <c r="C6256" s="55" t="s">
        <v>5224</v>
      </c>
      <c r="D6256" s="55" t="s">
        <v>11877</v>
      </c>
    </row>
    <row r="6257" ht="14.25" customHeight="1">
      <c r="A6257" s="55" t="s">
        <v>9840</v>
      </c>
      <c r="B6257" s="55" t="s">
        <v>40</v>
      </c>
      <c r="C6257" s="55" t="s">
        <v>13344</v>
      </c>
      <c r="D6257" s="55" t="s">
        <v>9583</v>
      </c>
    </row>
    <row r="6258" ht="14.25" customHeight="1">
      <c r="A6258" s="55" t="s">
        <v>9840</v>
      </c>
      <c r="B6258" s="55" t="s">
        <v>40</v>
      </c>
      <c r="C6258" s="55" t="s">
        <v>9506</v>
      </c>
      <c r="D6258" s="55" t="s">
        <v>9028</v>
      </c>
    </row>
    <row r="6259" ht="14.25" customHeight="1">
      <c r="A6259" s="55" t="s">
        <v>9840</v>
      </c>
      <c r="B6259" s="55" t="s">
        <v>40</v>
      </c>
      <c r="C6259" s="55" t="s">
        <v>9791</v>
      </c>
      <c r="D6259" s="55" t="s">
        <v>9893</v>
      </c>
    </row>
    <row r="6260" ht="14.25" customHeight="1">
      <c r="A6260" s="55" t="s">
        <v>9840</v>
      </c>
      <c r="B6260" s="55" t="s">
        <v>40</v>
      </c>
      <c r="C6260" s="55" t="s">
        <v>204</v>
      </c>
      <c r="D6260" s="55" t="s">
        <v>13952</v>
      </c>
    </row>
    <row r="6261" ht="14.25" customHeight="1">
      <c r="A6261" s="55" t="s">
        <v>9840</v>
      </c>
      <c r="B6261" s="55" t="s">
        <v>40</v>
      </c>
      <c r="C6261" s="55" t="s">
        <v>10057</v>
      </c>
      <c r="D6261" s="55" t="s">
        <v>10469</v>
      </c>
    </row>
    <row r="6262" ht="14.25" customHeight="1">
      <c r="A6262" s="55" t="s">
        <v>9840</v>
      </c>
      <c r="B6262" s="55" t="s">
        <v>40</v>
      </c>
      <c r="C6262" s="55" t="s">
        <v>11787</v>
      </c>
      <c r="D6262" s="55" t="s">
        <v>11788</v>
      </c>
    </row>
    <row r="6263" ht="14.25" customHeight="1">
      <c r="A6263" s="55" t="s">
        <v>9840</v>
      </c>
      <c r="B6263" s="55" t="s">
        <v>40</v>
      </c>
      <c r="C6263" s="55" t="s">
        <v>3742</v>
      </c>
      <c r="D6263" s="55" t="s">
        <v>9216</v>
      </c>
    </row>
    <row r="6264" ht="14.25" customHeight="1">
      <c r="A6264" s="55" t="s">
        <v>9840</v>
      </c>
      <c r="B6264" s="55" t="s">
        <v>40</v>
      </c>
      <c r="C6264" s="55" t="s">
        <v>10470</v>
      </c>
      <c r="D6264" s="55" t="s">
        <v>10471</v>
      </c>
    </row>
    <row r="6265" ht="14.25" customHeight="1">
      <c r="A6265" s="55" t="s">
        <v>9840</v>
      </c>
      <c r="B6265" s="55" t="s">
        <v>40</v>
      </c>
      <c r="C6265" s="55" t="s">
        <v>13345</v>
      </c>
      <c r="D6265" s="55" t="s">
        <v>9055</v>
      </c>
    </row>
    <row r="6266" ht="14.25" customHeight="1">
      <c r="A6266" s="55" t="s">
        <v>9840</v>
      </c>
      <c r="B6266" s="55" t="s">
        <v>40</v>
      </c>
      <c r="C6266" s="55" t="s">
        <v>9993</v>
      </c>
      <c r="D6266" s="55" t="s">
        <v>9028</v>
      </c>
    </row>
    <row r="6267" ht="14.25" customHeight="1">
      <c r="A6267" s="55" t="s">
        <v>9840</v>
      </c>
      <c r="B6267" s="55" t="s">
        <v>40</v>
      </c>
      <c r="C6267" s="55" t="s">
        <v>10905</v>
      </c>
      <c r="D6267" s="55" t="s">
        <v>12473</v>
      </c>
    </row>
    <row r="6268" ht="14.25" customHeight="1">
      <c r="A6268" s="55" t="s">
        <v>9840</v>
      </c>
      <c r="B6268" s="55" t="s">
        <v>40</v>
      </c>
      <c r="C6268" s="55" t="s">
        <v>315</v>
      </c>
      <c r="D6268" s="55" t="s">
        <v>12474</v>
      </c>
    </row>
    <row r="6269" ht="14.25" customHeight="1">
      <c r="A6269" s="55" t="s">
        <v>9840</v>
      </c>
      <c r="B6269" s="55" t="s">
        <v>40</v>
      </c>
      <c r="C6269" s="55" t="s">
        <v>315</v>
      </c>
      <c r="D6269" s="55" t="s">
        <v>9075</v>
      </c>
    </row>
    <row r="6270" ht="14.25" customHeight="1">
      <c r="A6270" s="55" t="s">
        <v>9840</v>
      </c>
      <c r="B6270" s="55" t="s">
        <v>40</v>
      </c>
      <c r="C6270" s="55" t="s">
        <v>208</v>
      </c>
      <c r="D6270" s="55" t="s">
        <v>9131</v>
      </c>
    </row>
    <row r="6271" ht="14.25" customHeight="1">
      <c r="A6271" s="55" t="s">
        <v>9840</v>
      </c>
      <c r="B6271" s="55" t="s">
        <v>40</v>
      </c>
      <c r="C6271" s="55" t="s">
        <v>208</v>
      </c>
      <c r="D6271" s="55" t="s">
        <v>10486</v>
      </c>
    </row>
    <row r="6272" ht="14.25" customHeight="1">
      <c r="A6272" s="55" t="s">
        <v>9840</v>
      </c>
      <c r="B6272" s="55" t="s">
        <v>40</v>
      </c>
      <c r="C6272" s="55" t="s">
        <v>3763</v>
      </c>
      <c r="D6272" s="55" t="s">
        <v>9028</v>
      </c>
    </row>
    <row r="6273" ht="14.25" customHeight="1">
      <c r="A6273" s="55" t="s">
        <v>9840</v>
      </c>
      <c r="B6273" s="55" t="s">
        <v>40</v>
      </c>
      <c r="C6273" s="55" t="s">
        <v>3763</v>
      </c>
      <c r="D6273" s="55" t="s">
        <v>11225</v>
      </c>
    </row>
    <row r="6274" ht="14.25" customHeight="1">
      <c r="A6274" s="55" t="s">
        <v>9840</v>
      </c>
      <c r="B6274" s="55" t="s">
        <v>40</v>
      </c>
      <c r="C6274" s="55" t="s">
        <v>13953</v>
      </c>
      <c r="D6274" s="55" t="s">
        <v>9319</v>
      </c>
    </row>
    <row r="6275" ht="14.25" customHeight="1">
      <c r="A6275" s="55" t="s">
        <v>9840</v>
      </c>
      <c r="B6275" s="55" t="s">
        <v>40</v>
      </c>
      <c r="C6275" s="55" t="s">
        <v>332</v>
      </c>
      <c r="D6275" s="55" t="s">
        <v>9073</v>
      </c>
    </row>
    <row r="6276" ht="14.25" customHeight="1">
      <c r="A6276" s="55" t="s">
        <v>9840</v>
      </c>
      <c r="B6276" s="55" t="s">
        <v>40</v>
      </c>
      <c r="C6276" s="55" t="s">
        <v>11157</v>
      </c>
      <c r="D6276" s="55" t="s">
        <v>9028</v>
      </c>
    </row>
    <row r="6277" ht="14.25" customHeight="1">
      <c r="A6277" s="55" t="s">
        <v>9840</v>
      </c>
      <c r="B6277" s="55" t="s">
        <v>40</v>
      </c>
      <c r="C6277" s="55" t="s">
        <v>210</v>
      </c>
      <c r="D6277" s="55" t="s">
        <v>9073</v>
      </c>
    </row>
    <row r="6278" ht="14.25" customHeight="1">
      <c r="A6278" s="55" t="s">
        <v>9840</v>
      </c>
      <c r="B6278" s="55" t="s">
        <v>40</v>
      </c>
      <c r="C6278" s="55" t="s">
        <v>11226</v>
      </c>
      <c r="D6278" s="55" t="s">
        <v>11227</v>
      </c>
    </row>
    <row r="6279" ht="14.25" customHeight="1">
      <c r="A6279" s="55" t="s">
        <v>9840</v>
      </c>
      <c r="B6279" s="55" t="s">
        <v>40</v>
      </c>
      <c r="C6279" s="55" t="s">
        <v>11421</v>
      </c>
      <c r="D6279" s="55" t="s">
        <v>11789</v>
      </c>
    </row>
    <row r="6280" ht="14.25" customHeight="1">
      <c r="A6280" s="55" t="s">
        <v>9840</v>
      </c>
      <c r="B6280" s="55" t="s">
        <v>40</v>
      </c>
      <c r="C6280" s="55" t="s">
        <v>211</v>
      </c>
      <c r="D6280" s="55" t="s">
        <v>9075</v>
      </c>
    </row>
    <row r="6281" ht="14.25" customHeight="1">
      <c r="A6281" s="55" t="s">
        <v>9840</v>
      </c>
      <c r="B6281" s="55" t="s">
        <v>40</v>
      </c>
      <c r="C6281" s="55" t="s">
        <v>10673</v>
      </c>
      <c r="D6281" s="55" t="s">
        <v>9827</v>
      </c>
    </row>
    <row r="6282" ht="14.25" customHeight="1">
      <c r="A6282" s="55" t="s">
        <v>9840</v>
      </c>
      <c r="B6282" s="55" t="s">
        <v>40</v>
      </c>
      <c r="C6282" s="55" t="s">
        <v>214</v>
      </c>
      <c r="D6282" s="55" t="s">
        <v>8968</v>
      </c>
    </row>
    <row r="6283" ht="14.25" customHeight="1">
      <c r="A6283" s="55" t="s">
        <v>9840</v>
      </c>
      <c r="B6283" s="55" t="s">
        <v>40</v>
      </c>
      <c r="C6283" s="55" t="s">
        <v>214</v>
      </c>
      <c r="D6283" s="55" t="s">
        <v>9583</v>
      </c>
    </row>
    <row r="6284" ht="14.25" customHeight="1">
      <c r="A6284" s="55" t="s">
        <v>9840</v>
      </c>
      <c r="B6284" s="55" t="s">
        <v>40</v>
      </c>
      <c r="C6284" s="55" t="s">
        <v>9562</v>
      </c>
      <c r="D6284" s="55" t="s">
        <v>9028</v>
      </c>
    </row>
    <row r="6285" ht="14.25" customHeight="1">
      <c r="A6285" s="55" t="s">
        <v>9840</v>
      </c>
      <c r="B6285" s="55" t="s">
        <v>40</v>
      </c>
      <c r="C6285" s="55" t="s">
        <v>215</v>
      </c>
      <c r="D6285" s="55" t="s">
        <v>9109</v>
      </c>
    </row>
    <row r="6286" ht="14.25" customHeight="1">
      <c r="A6286" s="55" t="s">
        <v>9840</v>
      </c>
      <c r="B6286" s="55" t="s">
        <v>40</v>
      </c>
      <c r="C6286" s="55" t="s">
        <v>14455</v>
      </c>
      <c r="D6286" s="55" t="s">
        <v>9034</v>
      </c>
    </row>
    <row r="6287" ht="14.25" customHeight="1">
      <c r="A6287" s="55" t="s">
        <v>9840</v>
      </c>
      <c r="B6287" s="55" t="s">
        <v>40</v>
      </c>
      <c r="C6287" s="55" t="s">
        <v>3796</v>
      </c>
      <c r="D6287" s="55" t="s">
        <v>11228</v>
      </c>
    </row>
    <row r="6288" ht="14.25" customHeight="1">
      <c r="A6288" s="55" t="s">
        <v>9840</v>
      </c>
      <c r="B6288" s="55" t="s">
        <v>40</v>
      </c>
      <c r="C6288" s="55" t="s">
        <v>13346</v>
      </c>
      <c r="D6288" s="55" t="s">
        <v>9055</v>
      </c>
    </row>
    <row r="6289" ht="14.25" customHeight="1">
      <c r="A6289" s="55" t="s">
        <v>9840</v>
      </c>
      <c r="B6289" s="55" t="s">
        <v>40</v>
      </c>
      <c r="C6289" s="55" t="s">
        <v>14456</v>
      </c>
      <c r="D6289" s="55" t="s">
        <v>13108</v>
      </c>
    </row>
    <row r="6290" ht="14.25" customHeight="1">
      <c r="A6290" s="55" t="s">
        <v>9840</v>
      </c>
      <c r="B6290" s="55" t="s">
        <v>40</v>
      </c>
      <c r="C6290" s="55" t="s">
        <v>5305</v>
      </c>
      <c r="D6290" s="55" t="s">
        <v>11596</v>
      </c>
    </row>
    <row r="6291" ht="14.25" customHeight="1">
      <c r="A6291" s="55" t="s">
        <v>9840</v>
      </c>
      <c r="B6291" s="55" t="s">
        <v>40</v>
      </c>
      <c r="C6291" s="55" t="s">
        <v>3804</v>
      </c>
      <c r="D6291" s="55" t="s">
        <v>9151</v>
      </c>
    </row>
    <row r="6292" ht="14.25" customHeight="1">
      <c r="A6292" s="55" t="s">
        <v>9840</v>
      </c>
      <c r="B6292" s="55" t="s">
        <v>40</v>
      </c>
      <c r="C6292" s="55" t="s">
        <v>3814</v>
      </c>
      <c r="D6292" s="55" t="s">
        <v>11229</v>
      </c>
    </row>
    <row r="6293" ht="14.25" customHeight="1">
      <c r="A6293" s="55" t="s">
        <v>9840</v>
      </c>
      <c r="B6293" s="55" t="s">
        <v>40</v>
      </c>
      <c r="C6293" s="55" t="s">
        <v>3814</v>
      </c>
      <c r="D6293" s="55" t="s">
        <v>10541</v>
      </c>
    </row>
    <row r="6294" ht="14.25" customHeight="1">
      <c r="A6294" s="55" t="s">
        <v>9840</v>
      </c>
      <c r="B6294" s="55" t="s">
        <v>40</v>
      </c>
      <c r="C6294" s="55" t="s">
        <v>3814</v>
      </c>
      <c r="D6294" s="55" t="s">
        <v>9827</v>
      </c>
    </row>
    <row r="6295" ht="14.25" customHeight="1">
      <c r="A6295" s="55" t="s">
        <v>9840</v>
      </c>
      <c r="B6295" s="55" t="s">
        <v>40</v>
      </c>
      <c r="C6295" s="55" t="s">
        <v>3821</v>
      </c>
      <c r="D6295" s="55" t="s">
        <v>9034</v>
      </c>
    </row>
    <row r="6296" ht="14.25" customHeight="1">
      <c r="A6296" s="55" t="s">
        <v>9840</v>
      </c>
      <c r="B6296" s="55" t="s">
        <v>40</v>
      </c>
      <c r="C6296" s="55" t="s">
        <v>3821</v>
      </c>
      <c r="D6296" s="55" t="s">
        <v>12475</v>
      </c>
    </row>
    <row r="6297" ht="14.25" customHeight="1">
      <c r="A6297" s="55" t="s">
        <v>9840</v>
      </c>
      <c r="B6297" s="55" t="s">
        <v>40</v>
      </c>
      <c r="C6297" s="55" t="s">
        <v>3821</v>
      </c>
      <c r="D6297" s="55" t="s">
        <v>9071</v>
      </c>
    </row>
    <row r="6298" ht="14.25" customHeight="1">
      <c r="A6298" s="55" t="s">
        <v>9840</v>
      </c>
      <c r="B6298" s="55" t="s">
        <v>40</v>
      </c>
      <c r="C6298" s="55" t="s">
        <v>3821</v>
      </c>
      <c r="D6298" s="55" t="s">
        <v>9073</v>
      </c>
    </row>
    <row r="6299" ht="14.25" customHeight="1">
      <c r="A6299" s="55" t="s">
        <v>9840</v>
      </c>
      <c r="B6299" s="55" t="s">
        <v>40</v>
      </c>
      <c r="C6299" s="55" t="s">
        <v>13347</v>
      </c>
      <c r="D6299" s="55" t="s">
        <v>13348</v>
      </c>
    </row>
    <row r="6300" ht="14.25" customHeight="1">
      <c r="A6300" s="55" t="s">
        <v>9840</v>
      </c>
      <c r="B6300" s="55" t="s">
        <v>40</v>
      </c>
      <c r="C6300" s="55" t="s">
        <v>11790</v>
      </c>
      <c r="D6300" s="55" t="s">
        <v>9028</v>
      </c>
    </row>
    <row r="6301" ht="14.25" customHeight="1">
      <c r="A6301" s="55" t="s">
        <v>9840</v>
      </c>
      <c r="B6301" s="55" t="s">
        <v>40</v>
      </c>
      <c r="C6301" s="55" t="s">
        <v>12476</v>
      </c>
      <c r="D6301" s="55" t="s">
        <v>12477</v>
      </c>
    </row>
    <row r="6302" ht="14.25" customHeight="1">
      <c r="A6302" s="55" t="s">
        <v>9840</v>
      </c>
      <c r="B6302" s="55" t="s">
        <v>40</v>
      </c>
      <c r="C6302" s="55" t="s">
        <v>11378</v>
      </c>
      <c r="D6302" s="55" t="s">
        <v>11791</v>
      </c>
    </row>
    <row r="6303" ht="14.25" customHeight="1">
      <c r="A6303" s="55" t="s">
        <v>9840</v>
      </c>
      <c r="B6303" s="55" t="s">
        <v>40</v>
      </c>
      <c r="C6303" s="55" t="s">
        <v>3850</v>
      </c>
      <c r="D6303" s="55" t="s">
        <v>10472</v>
      </c>
    </row>
    <row r="6304" ht="14.25" customHeight="1">
      <c r="A6304" s="55" t="s">
        <v>9840</v>
      </c>
      <c r="B6304" s="55" t="s">
        <v>40</v>
      </c>
      <c r="C6304" s="55" t="s">
        <v>13349</v>
      </c>
      <c r="D6304" s="55" t="s">
        <v>13350</v>
      </c>
    </row>
    <row r="6305" ht="14.25" customHeight="1">
      <c r="A6305" s="55" t="s">
        <v>9840</v>
      </c>
      <c r="B6305" s="55" t="s">
        <v>40</v>
      </c>
      <c r="C6305" s="55" t="s">
        <v>149</v>
      </c>
      <c r="D6305" s="55" t="s">
        <v>9983</v>
      </c>
    </row>
    <row r="6306" ht="14.25" customHeight="1">
      <c r="A6306" s="55" t="s">
        <v>9840</v>
      </c>
      <c r="B6306" s="55" t="s">
        <v>40</v>
      </c>
      <c r="C6306" s="55" t="s">
        <v>149</v>
      </c>
      <c r="D6306" s="55" t="s">
        <v>9055</v>
      </c>
    </row>
    <row r="6307" ht="14.25" customHeight="1">
      <c r="A6307" s="55" t="s">
        <v>9840</v>
      </c>
      <c r="B6307" s="55" t="s">
        <v>40</v>
      </c>
      <c r="C6307" s="55" t="s">
        <v>5327</v>
      </c>
      <c r="D6307" s="55" t="s">
        <v>11230</v>
      </c>
    </row>
    <row r="6308" ht="14.25" customHeight="1">
      <c r="A6308" s="55" t="s">
        <v>9840</v>
      </c>
      <c r="B6308" s="55" t="s">
        <v>40</v>
      </c>
      <c r="C6308" s="55" t="s">
        <v>5327</v>
      </c>
      <c r="D6308" s="55" t="s">
        <v>11231</v>
      </c>
    </row>
    <row r="6309" ht="14.25" customHeight="1">
      <c r="A6309" s="55" t="s">
        <v>9840</v>
      </c>
      <c r="B6309" s="55" t="s">
        <v>40</v>
      </c>
      <c r="C6309" s="55" t="s">
        <v>5327</v>
      </c>
      <c r="D6309" s="55" t="s">
        <v>9055</v>
      </c>
    </row>
    <row r="6310" ht="14.25" customHeight="1">
      <c r="A6310" s="55" t="s">
        <v>9840</v>
      </c>
      <c r="B6310" s="55" t="s">
        <v>40</v>
      </c>
      <c r="C6310" s="55" t="s">
        <v>11792</v>
      </c>
      <c r="D6310" s="55" t="s">
        <v>11793</v>
      </c>
    </row>
    <row r="6311" ht="14.25" customHeight="1">
      <c r="A6311" s="55" t="s">
        <v>9840</v>
      </c>
      <c r="B6311" s="55" t="s">
        <v>40</v>
      </c>
      <c r="C6311" s="55" t="s">
        <v>220</v>
      </c>
      <c r="D6311" s="55" t="s">
        <v>9034</v>
      </c>
    </row>
    <row r="6312" ht="14.25" customHeight="1">
      <c r="A6312" s="55" t="s">
        <v>9840</v>
      </c>
      <c r="B6312" s="55" t="s">
        <v>40</v>
      </c>
      <c r="C6312" s="55" t="s">
        <v>220</v>
      </c>
      <c r="D6312" s="55" t="s">
        <v>9109</v>
      </c>
    </row>
    <row r="6313" ht="14.25" customHeight="1">
      <c r="A6313" s="55" t="s">
        <v>9840</v>
      </c>
      <c r="B6313" s="55" t="s">
        <v>40</v>
      </c>
      <c r="C6313" s="55" t="s">
        <v>220</v>
      </c>
      <c r="D6313" s="55" t="s">
        <v>9141</v>
      </c>
    </row>
    <row r="6314" ht="14.25" customHeight="1">
      <c r="A6314" s="55" t="s">
        <v>9840</v>
      </c>
      <c r="B6314" s="55" t="s">
        <v>40</v>
      </c>
      <c r="C6314" s="55" t="s">
        <v>220</v>
      </c>
      <c r="D6314" s="55" t="s">
        <v>9731</v>
      </c>
    </row>
    <row r="6315" ht="14.25" customHeight="1">
      <c r="A6315" s="55" t="s">
        <v>9840</v>
      </c>
      <c r="B6315" s="55" t="s">
        <v>40</v>
      </c>
      <c r="C6315" s="55" t="s">
        <v>9894</v>
      </c>
      <c r="D6315" s="55" t="s">
        <v>9141</v>
      </c>
    </row>
    <row r="6316" ht="14.25" customHeight="1">
      <c r="A6316" s="55" t="s">
        <v>9840</v>
      </c>
      <c r="B6316" s="55" t="s">
        <v>40</v>
      </c>
      <c r="C6316" s="55" t="s">
        <v>10473</v>
      </c>
      <c r="D6316" s="55" t="s">
        <v>10474</v>
      </c>
    </row>
    <row r="6317" ht="14.25" customHeight="1">
      <c r="A6317" s="55" t="s">
        <v>9840</v>
      </c>
      <c r="B6317" s="55" t="s">
        <v>40</v>
      </c>
      <c r="C6317" s="55" t="s">
        <v>6881</v>
      </c>
      <c r="D6317" s="55" t="s">
        <v>11201</v>
      </c>
    </row>
    <row r="6318" ht="14.25" customHeight="1">
      <c r="A6318" s="55" t="s">
        <v>9840</v>
      </c>
      <c r="B6318" s="55" t="s">
        <v>40</v>
      </c>
      <c r="C6318" s="55" t="s">
        <v>13351</v>
      </c>
      <c r="D6318" s="55" t="s">
        <v>9055</v>
      </c>
    </row>
    <row r="6319" ht="14.25" customHeight="1">
      <c r="A6319" s="55" t="s">
        <v>9840</v>
      </c>
      <c r="B6319" s="55" t="s">
        <v>40</v>
      </c>
      <c r="C6319" s="55" t="s">
        <v>10990</v>
      </c>
      <c r="D6319" s="55" t="s">
        <v>11795</v>
      </c>
    </row>
    <row r="6320" ht="14.25" customHeight="1">
      <c r="A6320" s="55" t="s">
        <v>9840</v>
      </c>
      <c r="B6320" s="55" t="s">
        <v>40</v>
      </c>
      <c r="C6320" s="55" t="s">
        <v>10990</v>
      </c>
      <c r="D6320" s="55" t="s">
        <v>9055</v>
      </c>
    </row>
    <row r="6321" ht="14.25" customHeight="1">
      <c r="A6321" s="55" t="s">
        <v>9840</v>
      </c>
      <c r="B6321" s="55" t="s">
        <v>40</v>
      </c>
      <c r="C6321" s="55" t="s">
        <v>10990</v>
      </c>
      <c r="D6321" s="55" t="s">
        <v>9877</v>
      </c>
    </row>
    <row r="6322" ht="14.25" customHeight="1">
      <c r="A6322" s="55" t="s">
        <v>9840</v>
      </c>
      <c r="B6322" s="55" t="s">
        <v>40</v>
      </c>
      <c r="C6322" s="55" t="s">
        <v>12478</v>
      </c>
      <c r="D6322" s="55" t="s">
        <v>9131</v>
      </c>
    </row>
    <row r="6323" ht="14.25" customHeight="1">
      <c r="A6323" s="55" t="s">
        <v>9840</v>
      </c>
      <c r="B6323" s="55" t="s">
        <v>40</v>
      </c>
      <c r="C6323" s="55" t="s">
        <v>11794</v>
      </c>
      <c r="D6323" s="55" t="s">
        <v>10064</v>
      </c>
    </row>
    <row r="6324" ht="14.25" customHeight="1">
      <c r="A6324" s="55" t="s">
        <v>9840</v>
      </c>
      <c r="B6324" s="55" t="s">
        <v>40</v>
      </c>
      <c r="C6324" s="55" t="s">
        <v>11794</v>
      </c>
      <c r="D6324" s="55" t="s">
        <v>11795</v>
      </c>
    </row>
    <row r="6325" ht="14.25" customHeight="1">
      <c r="A6325" s="55" t="s">
        <v>9840</v>
      </c>
      <c r="B6325" s="55" t="s">
        <v>40</v>
      </c>
      <c r="C6325" s="55" t="s">
        <v>9895</v>
      </c>
      <c r="D6325" s="55" t="s">
        <v>9618</v>
      </c>
    </row>
    <row r="6326" ht="14.25" customHeight="1">
      <c r="A6326" s="55" t="s">
        <v>9840</v>
      </c>
      <c r="B6326" s="55" t="s">
        <v>40</v>
      </c>
      <c r="C6326" s="55" t="s">
        <v>9896</v>
      </c>
      <c r="D6326" s="55" t="s">
        <v>13352</v>
      </c>
    </row>
    <row r="6327" ht="14.25" customHeight="1">
      <c r="A6327" s="55" t="s">
        <v>9840</v>
      </c>
      <c r="B6327" s="55" t="s">
        <v>40</v>
      </c>
      <c r="C6327" s="55" t="s">
        <v>9896</v>
      </c>
      <c r="D6327" s="55" t="s">
        <v>9073</v>
      </c>
    </row>
    <row r="6328" ht="14.25" customHeight="1">
      <c r="A6328" s="55" t="s">
        <v>9840</v>
      </c>
      <c r="B6328" s="55" t="s">
        <v>40</v>
      </c>
      <c r="C6328" s="55" t="s">
        <v>12479</v>
      </c>
      <c r="D6328" s="55" t="s">
        <v>12480</v>
      </c>
    </row>
    <row r="6329" ht="14.25" customHeight="1">
      <c r="A6329" s="55" t="s">
        <v>9840</v>
      </c>
      <c r="B6329" s="55" t="s">
        <v>40</v>
      </c>
      <c r="C6329" s="55" t="s">
        <v>9897</v>
      </c>
      <c r="D6329" s="55" t="s">
        <v>9028</v>
      </c>
    </row>
    <row r="6330" ht="14.25" customHeight="1">
      <c r="A6330" s="55" t="s">
        <v>9840</v>
      </c>
      <c r="B6330" s="55" t="s">
        <v>40</v>
      </c>
      <c r="C6330" s="55" t="s">
        <v>1743</v>
      </c>
      <c r="D6330" s="55" t="s">
        <v>9168</v>
      </c>
    </row>
    <row r="6331" ht="14.25" customHeight="1">
      <c r="A6331" s="55" t="s">
        <v>9840</v>
      </c>
      <c r="B6331" s="55" t="s">
        <v>40</v>
      </c>
      <c r="C6331" s="55" t="s">
        <v>12481</v>
      </c>
      <c r="D6331" s="55" t="s">
        <v>9028</v>
      </c>
    </row>
    <row r="6332" ht="14.25" customHeight="1">
      <c r="A6332" s="55" t="s">
        <v>9840</v>
      </c>
      <c r="B6332" s="55" t="s">
        <v>40</v>
      </c>
      <c r="C6332" s="55" t="s">
        <v>9156</v>
      </c>
      <c r="D6332" s="55" t="s">
        <v>8968</v>
      </c>
    </row>
    <row r="6333" ht="14.25" customHeight="1">
      <c r="A6333" s="55" t="s">
        <v>9840</v>
      </c>
      <c r="B6333" s="55" t="s">
        <v>40</v>
      </c>
      <c r="C6333" s="55" t="s">
        <v>9156</v>
      </c>
      <c r="D6333" s="55" t="s">
        <v>9071</v>
      </c>
    </row>
    <row r="6334" ht="14.25" customHeight="1">
      <c r="A6334" s="55" t="s">
        <v>9840</v>
      </c>
      <c r="B6334" s="55" t="s">
        <v>40</v>
      </c>
      <c r="C6334" s="55" t="s">
        <v>9156</v>
      </c>
      <c r="D6334" s="55" t="s">
        <v>11089</v>
      </c>
    </row>
    <row r="6335" ht="14.25" customHeight="1">
      <c r="A6335" s="55" t="s">
        <v>9840</v>
      </c>
      <c r="B6335" s="55" t="s">
        <v>40</v>
      </c>
      <c r="C6335" s="55" t="s">
        <v>9156</v>
      </c>
      <c r="D6335" s="55" t="s">
        <v>13353</v>
      </c>
    </row>
    <row r="6336" ht="14.25" customHeight="1">
      <c r="A6336" s="55" t="s">
        <v>9840</v>
      </c>
      <c r="B6336" s="55" t="s">
        <v>40</v>
      </c>
      <c r="C6336" s="55" t="s">
        <v>9156</v>
      </c>
      <c r="D6336" s="55" t="s">
        <v>9073</v>
      </c>
    </row>
    <row r="6337" ht="14.25" customHeight="1">
      <c r="A6337" s="55" t="s">
        <v>9840</v>
      </c>
      <c r="B6337" s="55" t="s">
        <v>40</v>
      </c>
      <c r="C6337" s="55" t="s">
        <v>13354</v>
      </c>
      <c r="D6337" s="55" t="s">
        <v>13355</v>
      </c>
    </row>
    <row r="6338" ht="14.25" customHeight="1">
      <c r="A6338" s="55" t="s">
        <v>9840</v>
      </c>
      <c r="B6338" s="55" t="s">
        <v>40</v>
      </c>
      <c r="C6338" s="55" t="s">
        <v>11232</v>
      </c>
      <c r="D6338" s="55" t="s">
        <v>11233</v>
      </c>
    </row>
    <row r="6339" ht="14.25" customHeight="1">
      <c r="A6339" s="55" t="s">
        <v>9840</v>
      </c>
      <c r="B6339" s="55" t="s">
        <v>40</v>
      </c>
      <c r="C6339" s="55" t="s">
        <v>12482</v>
      </c>
      <c r="D6339" s="55" t="s">
        <v>11900</v>
      </c>
    </row>
    <row r="6340" ht="14.25" customHeight="1">
      <c r="A6340" s="55" t="s">
        <v>9840</v>
      </c>
      <c r="B6340" s="55" t="s">
        <v>40</v>
      </c>
      <c r="C6340" s="55" t="s">
        <v>224</v>
      </c>
      <c r="D6340" s="55" t="s">
        <v>8968</v>
      </c>
    </row>
    <row r="6341" ht="14.25" customHeight="1">
      <c r="A6341" s="55" t="s">
        <v>9840</v>
      </c>
      <c r="B6341" s="55" t="s">
        <v>40</v>
      </c>
      <c r="C6341" s="55" t="s">
        <v>14457</v>
      </c>
      <c r="D6341" s="55" t="s">
        <v>14458</v>
      </c>
    </row>
    <row r="6342" ht="14.25" customHeight="1">
      <c r="A6342" s="55" t="s">
        <v>9840</v>
      </c>
      <c r="B6342" s="55" t="s">
        <v>40</v>
      </c>
      <c r="C6342" s="55" t="s">
        <v>12670</v>
      </c>
      <c r="D6342" s="55" t="s">
        <v>9430</v>
      </c>
    </row>
    <row r="6343" ht="14.25" customHeight="1">
      <c r="A6343" s="55" t="s">
        <v>9840</v>
      </c>
      <c r="B6343" s="55" t="s">
        <v>40</v>
      </c>
      <c r="C6343" s="55" t="s">
        <v>9898</v>
      </c>
      <c r="D6343" s="55" t="s">
        <v>405</v>
      </c>
    </row>
    <row r="6344" ht="14.25" customHeight="1">
      <c r="A6344" s="55" t="s">
        <v>9840</v>
      </c>
      <c r="B6344" s="55" t="s">
        <v>40</v>
      </c>
      <c r="C6344" s="55" t="s">
        <v>13356</v>
      </c>
      <c r="D6344" s="55" t="s">
        <v>10486</v>
      </c>
    </row>
    <row r="6345" ht="14.25" customHeight="1">
      <c r="A6345" s="55" t="s">
        <v>9840</v>
      </c>
      <c r="B6345" s="55" t="s">
        <v>40</v>
      </c>
      <c r="C6345" s="55" t="s">
        <v>10475</v>
      </c>
      <c r="D6345" s="55" t="s">
        <v>9028</v>
      </c>
    </row>
    <row r="6346" ht="14.25" customHeight="1">
      <c r="A6346" s="55" t="s">
        <v>9840</v>
      </c>
      <c r="B6346" s="55" t="s">
        <v>40</v>
      </c>
      <c r="C6346" s="55" t="s">
        <v>8997</v>
      </c>
      <c r="D6346" s="55" t="s">
        <v>9073</v>
      </c>
    </row>
    <row r="6347" ht="14.25" customHeight="1">
      <c r="A6347" s="55" t="s">
        <v>9840</v>
      </c>
      <c r="B6347" s="55" t="s">
        <v>40</v>
      </c>
      <c r="C6347" s="55" t="s">
        <v>8576</v>
      </c>
      <c r="D6347" s="55" t="s">
        <v>9034</v>
      </c>
    </row>
    <row r="6348" ht="14.25" customHeight="1">
      <c r="A6348" s="55" t="s">
        <v>9840</v>
      </c>
      <c r="B6348" s="55" t="s">
        <v>40</v>
      </c>
      <c r="C6348" s="55" t="s">
        <v>8576</v>
      </c>
      <c r="D6348" s="55" t="s">
        <v>10486</v>
      </c>
    </row>
    <row r="6349" ht="14.25" customHeight="1">
      <c r="A6349" s="55" t="s">
        <v>9840</v>
      </c>
      <c r="B6349" s="55" t="s">
        <v>40</v>
      </c>
      <c r="C6349" s="55" t="s">
        <v>8576</v>
      </c>
      <c r="D6349" s="55" t="s">
        <v>9073</v>
      </c>
    </row>
    <row r="6350" ht="14.25" customHeight="1">
      <c r="A6350" s="55" t="s">
        <v>9840</v>
      </c>
      <c r="B6350" s="55" t="s">
        <v>40</v>
      </c>
      <c r="C6350" s="55" t="s">
        <v>8576</v>
      </c>
      <c r="D6350" s="55" t="s">
        <v>8976</v>
      </c>
    </row>
    <row r="6351" ht="14.25" customHeight="1">
      <c r="A6351" s="55" t="s">
        <v>9840</v>
      </c>
      <c r="B6351" s="55" t="s">
        <v>40</v>
      </c>
      <c r="C6351" s="55" t="s">
        <v>8576</v>
      </c>
      <c r="D6351" s="55" t="s">
        <v>12483</v>
      </c>
    </row>
    <row r="6352" ht="14.25" customHeight="1">
      <c r="A6352" s="55" t="s">
        <v>9840</v>
      </c>
      <c r="B6352" s="55" t="s">
        <v>40</v>
      </c>
      <c r="C6352" s="55" t="s">
        <v>11234</v>
      </c>
      <c r="D6352" s="55" t="s">
        <v>11235</v>
      </c>
    </row>
    <row r="6353" ht="14.25" customHeight="1">
      <c r="A6353" s="55" t="s">
        <v>9840</v>
      </c>
      <c r="B6353" s="55" t="s">
        <v>40</v>
      </c>
      <c r="C6353" s="55" t="s">
        <v>14459</v>
      </c>
      <c r="D6353" s="55" t="s">
        <v>9071</v>
      </c>
    </row>
    <row r="6354" ht="14.25" customHeight="1">
      <c r="A6354" s="55" t="s">
        <v>9840</v>
      </c>
      <c r="B6354" s="55" t="s">
        <v>40</v>
      </c>
      <c r="C6354" s="55" t="s">
        <v>11749</v>
      </c>
      <c r="D6354" s="55" t="s">
        <v>9649</v>
      </c>
    </row>
    <row r="6355" ht="14.25" customHeight="1">
      <c r="A6355" s="55" t="s">
        <v>9840</v>
      </c>
      <c r="B6355" s="55" t="s">
        <v>40</v>
      </c>
      <c r="C6355" s="55" t="s">
        <v>12484</v>
      </c>
      <c r="D6355" s="55" t="s">
        <v>9249</v>
      </c>
    </row>
    <row r="6356" ht="14.25" customHeight="1">
      <c r="A6356" s="55" t="s">
        <v>9840</v>
      </c>
      <c r="B6356" s="55" t="s">
        <v>40</v>
      </c>
      <c r="C6356" s="55" t="s">
        <v>13357</v>
      </c>
      <c r="D6356" s="55" t="s">
        <v>13358</v>
      </c>
    </row>
    <row r="6357" ht="14.25" customHeight="1">
      <c r="A6357" s="55" t="s">
        <v>9840</v>
      </c>
      <c r="B6357" s="55" t="s">
        <v>40</v>
      </c>
      <c r="C6357" s="55" t="s">
        <v>9899</v>
      </c>
      <c r="D6357" s="55" t="s">
        <v>9028</v>
      </c>
    </row>
    <row r="6358" ht="14.25" customHeight="1">
      <c r="A6358" s="55" t="s">
        <v>9840</v>
      </c>
      <c r="B6358" s="55" t="s">
        <v>40</v>
      </c>
      <c r="C6358" s="55" t="s">
        <v>13954</v>
      </c>
      <c r="D6358" s="55" t="s">
        <v>9168</v>
      </c>
    </row>
    <row r="6359" ht="14.25" customHeight="1">
      <c r="A6359" s="55" t="s">
        <v>9840</v>
      </c>
      <c r="B6359" s="55" t="s">
        <v>40</v>
      </c>
      <c r="C6359" s="55" t="s">
        <v>11236</v>
      </c>
      <c r="D6359" s="55" t="s">
        <v>9028</v>
      </c>
    </row>
    <row r="6360" ht="14.25" customHeight="1">
      <c r="A6360" s="55" t="s">
        <v>9840</v>
      </c>
      <c r="B6360" s="55" t="s">
        <v>40</v>
      </c>
      <c r="C6360" s="55" t="s">
        <v>229</v>
      </c>
      <c r="D6360" s="55" t="s">
        <v>13470</v>
      </c>
    </row>
    <row r="6361" ht="14.25" customHeight="1">
      <c r="A6361" s="55" t="s">
        <v>9840</v>
      </c>
      <c r="B6361" s="55" t="s">
        <v>40</v>
      </c>
      <c r="C6361" s="55" t="s">
        <v>230</v>
      </c>
      <c r="D6361" s="55" t="s">
        <v>8976</v>
      </c>
    </row>
    <row r="6362" ht="14.25" customHeight="1">
      <c r="A6362" s="55" t="s">
        <v>9840</v>
      </c>
      <c r="B6362" s="55" t="s">
        <v>40</v>
      </c>
      <c r="C6362" s="55" t="s">
        <v>13359</v>
      </c>
      <c r="D6362" s="55" t="s">
        <v>13360</v>
      </c>
    </row>
    <row r="6363" ht="14.25" customHeight="1">
      <c r="A6363" s="55" t="s">
        <v>9840</v>
      </c>
      <c r="B6363" s="55" t="s">
        <v>40</v>
      </c>
      <c r="C6363" s="55" t="s">
        <v>9515</v>
      </c>
      <c r="D6363" s="55" t="s">
        <v>14460</v>
      </c>
    </row>
    <row r="6364" ht="14.25" customHeight="1">
      <c r="A6364" s="55" t="s">
        <v>9840</v>
      </c>
      <c r="B6364" s="55" t="s">
        <v>40</v>
      </c>
      <c r="C6364" s="55" t="s">
        <v>14461</v>
      </c>
      <c r="D6364" s="55" t="s">
        <v>9028</v>
      </c>
    </row>
    <row r="6365" ht="14.25" customHeight="1">
      <c r="A6365" s="55" t="s">
        <v>9840</v>
      </c>
      <c r="B6365" s="55" t="s">
        <v>40</v>
      </c>
      <c r="C6365" s="55" t="s">
        <v>13955</v>
      </c>
      <c r="D6365" s="55" t="s">
        <v>9152</v>
      </c>
    </row>
    <row r="6366" ht="14.25" customHeight="1">
      <c r="A6366" s="55" t="s">
        <v>9840</v>
      </c>
      <c r="B6366" s="55" t="s">
        <v>40</v>
      </c>
      <c r="C6366" s="55" t="s">
        <v>12485</v>
      </c>
      <c r="D6366" s="55" t="s">
        <v>9131</v>
      </c>
    </row>
    <row r="6367" ht="14.25" customHeight="1">
      <c r="A6367" s="55" t="s">
        <v>9840</v>
      </c>
      <c r="B6367" s="55" t="s">
        <v>40</v>
      </c>
      <c r="C6367" s="55" t="s">
        <v>14462</v>
      </c>
      <c r="D6367" s="55" t="s">
        <v>14463</v>
      </c>
    </row>
    <row r="6368" ht="14.25" customHeight="1">
      <c r="A6368" s="55" t="s">
        <v>9840</v>
      </c>
      <c r="B6368" s="55" t="s">
        <v>40</v>
      </c>
      <c r="C6368" s="55" t="s">
        <v>10911</v>
      </c>
      <c r="D6368" s="55" t="s">
        <v>9075</v>
      </c>
    </row>
    <row r="6369" ht="14.25" customHeight="1">
      <c r="A6369" s="55" t="s">
        <v>9840</v>
      </c>
      <c r="B6369" s="55" t="s">
        <v>40</v>
      </c>
      <c r="C6369" s="55" t="s">
        <v>4035</v>
      </c>
      <c r="D6369" s="55" t="s">
        <v>8968</v>
      </c>
    </row>
    <row r="6370" ht="14.25" customHeight="1">
      <c r="A6370" s="55" t="s">
        <v>9840</v>
      </c>
      <c r="B6370" s="55" t="s">
        <v>40</v>
      </c>
      <c r="C6370" s="55" t="s">
        <v>4035</v>
      </c>
      <c r="D6370" s="55" t="s">
        <v>10124</v>
      </c>
    </row>
    <row r="6371" ht="14.25" customHeight="1">
      <c r="A6371" s="55" t="s">
        <v>9840</v>
      </c>
      <c r="B6371" s="55" t="s">
        <v>40</v>
      </c>
      <c r="C6371" s="55" t="s">
        <v>4035</v>
      </c>
      <c r="D6371" s="55" t="s">
        <v>13361</v>
      </c>
    </row>
    <row r="6372" ht="14.25" customHeight="1">
      <c r="A6372" s="55" t="s">
        <v>9840</v>
      </c>
      <c r="B6372" s="55" t="s">
        <v>40</v>
      </c>
      <c r="C6372" s="55" t="s">
        <v>233</v>
      </c>
      <c r="D6372" s="55" t="s">
        <v>14464</v>
      </c>
    </row>
    <row r="6373" ht="14.25" customHeight="1">
      <c r="A6373" s="55" t="s">
        <v>9840</v>
      </c>
      <c r="B6373" s="55" t="s">
        <v>40</v>
      </c>
      <c r="C6373" s="55" t="s">
        <v>12486</v>
      </c>
      <c r="D6373" s="55" t="s">
        <v>12487</v>
      </c>
    </row>
    <row r="6374" ht="14.25" customHeight="1">
      <c r="A6374" s="55" t="s">
        <v>9840</v>
      </c>
      <c r="B6374" s="55" t="s">
        <v>40</v>
      </c>
      <c r="C6374" s="55" t="s">
        <v>4056</v>
      </c>
      <c r="D6374" s="55" t="s">
        <v>9028</v>
      </c>
    </row>
    <row r="6375" ht="14.25" customHeight="1">
      <c r="A6375" s="55" t="s">
        <v>9840</v>
      </c>
      <c r="B6375" s="55" t="s">
        <v>40</v>
      </c>
      <c r="C6375" s="55" t="s">
        <v>9900</v>
      </c>
      <c r="D6375" s="55" t="s">
        <v>9901</v>
      </c>
    </row>
    <row r="6376" ht="14.25" customHeight="1">
      <c r="A6376" s="55" t="s">
        <v>9840</v>
      </c>
      <c r="B6376" s="55" t="s">
        <v>40</v>
      </c>
      <c r="C6376" s="55" t="s">
        <v>10290</v>
      </c>
      <c r="D6376" s="55" t="s">
        <v>9034</v>
      </c>
    </row>
    <row r="6377" ht="14.25" customHeight="1">
      <c r="A6377" s="55" t="s">
        <v>9840</v>
      </c>
      <c r="B6377" s="55" t="s">
        <v>40</v>
      </c>
      <c r="C6377" s="55" t="s">
        <v>10290</v>
      </c>
      <c r="D6377" s="55" t="s">
        <v>9131</v>
      </c>
    </row>
    <row r="6378" ht="14.25" customHeight="1">
      <c r="A6378" s="55" t="s">
        <v>9840</v>
      </c>
      <c r="B6378" s="55" t="s">
        <v>40</v>
      </c>
      <c r="C6378" s="55" t="s">
        <v>10290</v>
      </c>
      <c r="D6378" s="55" t="s">
        <v>13362</v>
      </c>
    </row>
    <row r="6379" ht="14.25" customHeight="1">
      <c r="A6379" s="55" t="s">
        <v>9840</v>
      </c>
      <c r="B6379" s="55" t="s">
        <v>40</v>
      </c>
      <c r="C6379" s="55" t="s">
        <v>10290</v>
      </c>
      <c r="D6379" s="55" t="s">
        <v>9075</v>
      </c>
    </row>
    <row r="6380" ht="14.25" customHeight="1">
      <c r="A6380" s="55" t="s">
        <v>9840</v>
      </c>
      <c r="B6380" s="55" t="s">
        <v>40</v>
      </c>
      <c r="C6380" s="55" t="s">
        <v>10290</v>
      </c>
      <c r="D6380" s="55" t="s">
        <v>13363</v>
      </c>
    </row>
    <row r="6381" ht="14.25" customHeight="1">
      <c r="A6381" s="55" t="s">
        <v>9840</v>
      </c>
      <c r="B6381" s="55" t="s">
        <v>40</v>
      </c>
      <c r="C6381" s="55" t="s">
        <v>9402</v>
      </c>
      <c r="D6381" s="55" t="s">
        <v>9034</v>
      </c>
    </row>
    <row r="6382" ht="14.25" customHeight="1">
      <c r="A6382" s="55" t="s">
        <v>9840</v>
      </c>
      <c r="B6382" s="55" t="s">
        <v>40</v>
      </c>
      <c r="C6382" s="55" t="s">
        <v>9402</v>
      </c>
      <c r="D6382" s="55" t="s">
        <v>405</v>
      </c>
    </row>
    <row r="6383" ht="14.25" customHeight="1">
      <c r="A6383" s="55" t="s">
        <v>9840</v>
      </c>
      <c r="B6383" s="55" t="s">
        <v>40</v>
      </c>
      <c r="C6383" s="55" t="s">
        <v>9402</v>
      </c>
      <c r="D6383" s="55" t="s">
        <v>9071</v>
      </c>
    </row>
    <row r="6384" ht="14.25" customHeight="1">
      <c r="A6384" s="55" t="s">
        <v>9840</v>
      </c>
      <c r="B6384" s="55" t="s">
        <v>40</v>
      </c>
      <c r="C6384" s="55" t="s">
        <v>9691</v>
      </c>
      <c r="D6384" s="55" t="s">
        <v>9291</v>
      </c>
    </row>
    <row r="6385" ht="14.25" customHeight="1">
      <c r="A6385" s="55" t="s">
        <v>9840</v>
      </c>
      <c r="B6385" s="55" t="s">
        <v>40</v>
      </c>
      <c r="C6385" s="55" t="s">
        <v>9691</v>
      </c>
      <c r="D6385" s="55" t="s">
        <v>11087</v>
      </c>
    </row>
    <row r="6386" ht="14.25" customHeight="1">
      <c r="A6386" s="55" t="s">
        <v>9840</v>
      </c>
      <c r="B6386" s="55" t="s">
        <v>40</v>
      </c>
      <c r="C6386" s="55" t="s">
        <v>9691</v>
      </c>
      <c r="D6386" s="55" t="s">
        <v>11796</v>
      </c>
    </row>
    <row r="6387" ht="14.25" customHeight="1">
      <c r="A6387" s="55" t="s">
        <v>9840</v>
      </c>
      <c r="B6387" s="55" t="s">
        <v>40</v>
      </c>
      <c r="C6387" s="55" t="s">
        <v>11237</v>
      </c>
      <c r="D6387" s="55" t="s">
        <v>9055</v>
      </c>
    </row>
    <row r="6388" ht="14.25" customHeight="1">
      <c r="A6388" s="55" t="s">
        <v>9840</v>
      </c>
      <c r="B6388" s="55" t="s">
        <v>40</v>
      </c>
      <c r="C6388" s="55" t="s">
        <v>13364</v>
      </c>
      <c r="D6388" s="55" t="s">
        <v>9034</v>
      </c>
    </row>
    <row r="6389" ht="14.25" customHeight="1">
      <c r="A6389" s="55" t="s">
        <v>9840</v>
      </c>
      <c r="B6389" s="55" t="s">
        <v>40</v>
      </c>
      <c r="C6389" s="55" t="s">
        <v>9902</v>
      </c>
      <c r="D6389" s="55" t="s">
        <v>9037</v>
      </c>
    </row>
    <row r="6390" ht="14.25" customHeight="1">
      <c r="A6390" s="55" t="s">
        <v>9840</v>
      </c>
      <c r="B6390" s="55" t="s">
        <v>40</v>
      </c>
      <c r="C6390" s="55" t="s">
        <v>240</v>
      </c>
      <c r="D6390" s="55" t="s">
        <v>9026</v>
      </c>
    </row>
    <row r="6391" ht="14.25" customHeight="1">
      <c r="A6391" s="55" t="s">
        <v>9840</v>
      </c>
      <c r="B6391" s="55" t="s">
        <v>40</v>
      </c>
      <c r="C6391" s="55" t="s">
        <v>240</v>
      </c>
      <c r="D6391" s="55" t="s">
        <v>11177</v>
      </c>
    </row>
    <row r="6392" ht="14.25" customHeight="1">
      <c r="A6392" s="55" t="s">
        <v>9840</v>
      </c>
      <c r="B6392" s="55" t="s">
        <v>40</v>
      </c>
      <c r="C6392" s="55" t="s">
        <v>240</v>
      </c>
      <c r="D6392" s="55" t="s">
        <v>9028</v>
      </c>
    </row>
    <row r="6393" ht="14.25" customHeight="1">
      <c r="A6393" s="55" t="s">
        <v>9840</v>
      </c>
      <c r="B6393" s="55" t="s">
        <v>40</v>
      </c>
      <c r="C6393" s="55" t="s">
        <v>10252</v>
      </c>
      <c r="D6393" s="55" t="s">
        <v>13956</v>
      </c>
    </row>
    <row r="6394" ht="14.25" customHeight="1">
      <c r="A6394" s="55" t="s">
        <v>9840</v>
      </c>
      <c r="B6394" s="55" t="s">
        <v>40</v>
      </c>
      <c r="C6394" s="55" t="s">
        <v>4109</v>
      </c>
      <c r="D6394" s="55" t="s">
        <v>9314</v>
      </c>
    </row>
    <row r="6395" ht="14.25" customHeight="1">
      <c r="A6395" s="55" t="s">
        <v>9840</v>
      </c>
      <c r="B6395" s="55" t="s">
        <v>40</v>
      </c>
      <c r="C6395" s="55" t="s">
        <v>4109</v>
      </c>
      <c r="D6395" s="55" t="s">
        <v>13365</v>
      </c>
    </row>
    <row r="6396" ht="14.25" customHeight="1">
      <c r="A6396" s="55" t="s">
        <v>9840</v>
      </c>
      <c r="B6396" s="55" t="s">
        <v>40</v>
      </c>
      <c r="C6396" s="55" t="s">
        <v>4109</v>
      </c>
      <c r="D6396" s="55" t="s">
        <v>13366</v>
      </c>
    </row>
    <row r="6397" ht="14.25" customHeight="1">
      <c r="A6397" s="55" t="s">
        <v>9840</v>
      </c>
      <c r="B6397" s="55" t="s">
        <v>40</v>
      </c>
      <c r="C6397" s="55" t="s">
        <v>241</v>
      </c>
      <c r="D6397" s="55" t="s">
        <v>13366</v>
      </c>
    </row>
    <row r="6398" ht="14.25" customHeight="1">
      <c r="A6398" s="55" t="s">
        <v>9840</v>
      </c>
      <c r="B6398" s="55" t="s">
        <v>40</v>
      </c>
      <c r="C6398" s="55" t="s">
        <v>13367</v>
      </c>
      <c r="D6398" s="55" t="s">
        <v>13368</v>
      </c>
    </row>
    <row r="6399" ht="14.25" customHeight="1">
      <c r="A6399" s="55" t="s">
        <v>9840</v>
      </c>
      <c r="B6399" s="55" t="s">
        <v>40</v>
      </c>
      <c r="C6399" s="55" t="s">
        <v>10717</v>
      </c>
      <c r="D6399" s="55" t="s">
        <v>9055</v>
      </c>
    </row>
    <row r="6400" ht="14.25" customHeight="1">
      <c r="A6400" s="55" t="s">
        <v>9840</v>
      </c>
      <c r="B6400" s="55" t="s">
        <v>40</v>
      </c>
      <c r="C6400" s="55" t="s">
        <v>10640</v>
      </c>
      <c r="D6400" s="55" t="s">
        <v>9131</v>
      </c>
    </row>
    <row r="6401" ht="14.25" customHeight="1">
      <c r="A6401" s="55" t="s">
        <v>9840</v>
      </c>
      <c r="B6401" s="55" t="s">
        <v>40</v>
      </c>
      <c r="C6401" s="55" t="s">
        <v>10640</v>
      </c>
      <c r="D6401" s="55" t="s">
        <v>11238</v>
      </c>
    </row>
    <row r="6402" ht="14.25" customHeight="1">
      <c r="A6402" s="55" t="s">
        <v>9840</v>
      </c>
      <c r="B6402" s="55" t="s">
        <v>40</v>
      </c>
      <c r="C6402" s="55" t="s">
        <v>10640</v>
      </c>
      <c r="D6402" s="55" t="s">
        <v>9827</v>
      </c>
    </row>
    <row r="6403" ht="14.25" customHeight="1">
      <c r="A6403" s="55" t="s">
        <v>9840</v>
      </c>
      <c r="B6403" s="55" t="s">
        <v>40</v>
      </c>
      <c r="C6403" s="55" t="s">
        <v>10640</v>
      </c>
      <c r="D6403" s="55" t="s">
        <v>11602</v>
      </c>
    </row>
    <row r="6404" ht="14.25" customHeight="1">
      <c r="A6404" s="55" t="s">
        <v>9840</v>
      </c>
      <c r="B6404" s="55" t="s">
        <v>40</v>
      </c>
      <c r="C6404" s="55" t="s">
        <v>4139</v>
      </c>
      <c r="D6404" s="55" t="s">
        <v>8968</v>
      </c>
    </row>
    <row r="6405" ht="14.25" customHeight="1">
      <c r="A6405" s="55" t="s">
        <v>9840</v>
      </c>
      <c r="B6405" s="55" t="s">
        <v>40</v>
      </c>
      <c r="C6405" s="55" t="s">
        <v>4139</v>
      </c>
      <c r="D6405" s="55" t="s">
        <v>9999</v>
      </c>
    </row>
    <row r="6406" ht="14.25" customHeight="1">
      <c r="A6406" s="55" t="s">
        <v>9840</v>
      </c>
      <c r="B6406" s="55" t="s">
        <v>40</v>
      </c>
      <c r="C6406" s="55" t="s">
        <v>13957</v>
      </c>
      <c r="D6406" s="55" t="s">
        <v>9875</v>
      </c>
    </row>
    <row r="6407" ht="14.25" customHeight="1">
      <c r="A6407" s="55" t="s">
        <v>9840</v>
      </c>
      <c r="B6407" s="55" t="s">
        <v>40</v>
      </c>
      <c r="C6407" s="55" t="s">
        <v>14465</v>
      </c>
      <c r="D6407" s="55" t="s">
        <v>14466</v>
      </c>
    </row>
    <row r="6408" ht="14.25" customHeight="1">
      <c r="A6408" s="55" t="s">
        <v>9840</v>
      </c>
      <c r="B6408" s="55" t="s">
        <v>40</v>
      </c>
      <c r="C6408" s="55" t="s">
        <v>4153</v>
      </c>
      <c r="D6408" s="55" t="s">
        <v>11239</v>
      </c>
    </row>
    <row r="6409" ht="14.25" customHeight="1">
      <c r="A6409" s="55" t="s">
        <v>9840</v>
      </c>
      <c r="B6409" s="55" t="s">
        <v>40</v>
      </c>
      <c r="C6409" s="55" t="s">
        <v>10476</v>
      </c>
      <c r="D6409" s="55" t="s">
        <v>10477</v>
      </c>
    </row>
    <row r="6410" ht="14.25" customHeight="1">
      <c r="A6410" s="55" t="s">
        <v>9840</v>
      </c>
      <c r="B6410" s="55" t="s">
        <v>40</v>
      </c>
      <c r="C6410" s="55" t="s">
        <v>244</v>
      </c>
      <c r="D6410" s="55" t="s">
        <v>9028</v>
      </c>
    </row>
    <row r="6411" ht="14.25" customHeight="1">
      <c r="A6411" s="55" t="s">
        <v>9840</v>
      </c>
      <c r="B6411" s="55" t="s">
        <v>40</v>
      </c>
      <c r="C6411" s="55" t="s">
        <v>244</v>
      </c>
      <c r="D6411" s="55" t="s">
        <v>9249</v>
      </c>
    </row>
    <row r="6412" ht="14.25" customHeight="1">
      <c r="A6412" s="55" t="s">
        <v>9840</v>
      </c>
      <c r="B6412" s="55" t="s">
        <v>40</v>
      </c>
      <c r="C6412" s="55" t="s">
        <v>9903</v>
      </c>
      <c r="D6412" s="55" t="s">
        <v>8976</v>
      </c>
    </row>
    <row r="6413" ht="14.25" customHeight="1">
      <c r="A6413" s="55" t="s">
        <v>9840</v>
      </c>
      <c r="B6413" s="55" t="s">
        <v>40</v>
      </c>
      <c r="C6413" s="55" t="s">
        <v>9215</v>
      </c>
      <c r="D6413" s="55" t="s">
        <v>13369</v>
      </c>
    </row>
    <row r="6414" ht="14.25" customHeight="1">
      <c r="A6414" s="55" t="s">
        <v>9840</v>
      </c>
      <c r="B6414" s="55" t="s">
        <v>40</v>
      </c>
      <c r="C6414" s="55" t="s">
        <v>9215</v>
      </c>
      <c r="D6414" s="55" t="s">
        <v>12488</v>
      </c>
    </row>
    <row r="6415" ht="14.25" customHeight="1">
      <c r="A6415" s="55" t="s">
        <v>9840</v>
      </c>
      <c r="B6415" s="55" t="s">
        <v>40</v>
      </c>
      <c r="C6415" s="55" t="s">
        <v>9215</v>
      </c>
      <c r="D6415" s="55" t="s">
        <v>9583</v>
      </c>
    </row>
    <row r="6416" ht="14.25" customHeight="1">
      <c r="A6416" s="55" t="s">
        <v>9840</v>
      </c>
      <c r="B6416" s="55" t="s">
        <v>40</v>
      </c>
      <c r="C6416" s="55" t="s">
        <v>9215</v>
      </c>
      <c r="D6416" s="55" t="s">
        <v>9904</v>
      </c>
    </row>
    <row r="6417" ht="14.25" customHeight="1">
      <c r="A6417" s="55" t="s">
        <v>9840</v>
      </c>
      <c r="B6417" s="55" t="s">
        <v>40</v>
      </c>
      <c r="C6417" s="55" t="s">
        <v>9215</v>
      </c>
      <c r="D6417" s="55" t="s">
        <v>11240</v>
      </c>
    </row>
    <row r="6418" ht="14.25" customHeight="1">
      <c r="A6418" s="55" t="s">
        <v>9840</v>
      </c>
      <c r="B6418" s="55" t="s">
        <v>40</v>
      </c>
      <c r="C6418" s="55" t="s">
        <v>9215</v>
      </c>
      <c r="D6418" s="55" t="s">
        <v>13958</v>
      </c>
    </row>
    <row r="6419" ht="14.25" customHeight="1">
      <c r="A6419" s="55" t="s">
        <v>9840</v>
      </c>
      <c r="B6419" s="55" t="s">
        <v>40</v>
      </c>
      <c r="C6419" s="55" t="s">
        <v>246</v>
      </c>
      <c r="D6419" s="55" t="s">
        <v>9028</v>
      </c>
    </row>
    <row r="6420" ht="14.25" customHeight="1">
      <c r="A6420" s="55" t="s">
        <v>9840</v>
      </c>
      <c r="B6420" s="55" t="s">
        <v>40</v>
      </c>
      <c r="C6420" s="55" t="s">
        <v>248</v>
      </c>
      <c r="D6420" s="55" t="s">
        <v>12489</v>
      </c>
    </row>
    <row r="6421" ht="14.25" customHeight="1">
      <c r="A6421" s="55" t="s">
        <v>9840</v>
      </c>
      <c r="B6421" s="55" t="s">
        <v>40</v>
      </c>
      <c r="C6421" s="55" t="s">
        <v>321</v>
      </c>
      <c r="D6421" s="55" t="s">
        <v>9055</v>
      </c>
    </row>
    <row r="6422" ht="14.25" customHeight="1">
      <c r="A6422" s="55" t="s">
        <v>9840</v>
      </c>
      <c r="B6422" s="55" t="s">
        <v>40</v>
      </c>
      <c r="C6422" s="55" t="s">
        <v>4187</v>
      </c>
      <c r="D6422" s="55" t="s">
        <v>9026</v>
      </c>
    </row>
    <row r="6423" ht="14.25" customHeight="1">
      <c r="A6423" s="55" t="s">
        <v>9840</v>
      </c>
      <c r="B6423" s="55" t="s">
        <v>40</v>
      </c>
      <c r="C6423" s="55" t="s">
        <v>4187</v>
      </c>
      <c r="D6423" s="55" t="s">
        <v>12490</v>
      </c>
    </row>
    <row r="6424" ht="14.25" customHeight="1">
      <c r="A6424" s="55" t="s">
        <v>9840</v>
      </c>
      <c r="B6424" s="55" t="s">
        <v>40</v>
      </c>
      <c r="C6424" s="55" t="s">
        <v>11797</v>
      </c>
      <c r="D6424" s="55" t="s">
        <v>9002</v>
      </c>
    </row>
    <row r="6425" ht="14.25" customHeight="1">
      <c r="A6425" s="55" t="s">
        <v>9840</v>
      </c>
      <c r="B6425" s="55" t="s">
        <v>40</v>
      </c>
      <c r="C6425" s="55" t="s">
        <v>11797</v>
      </c>
      <c r="D6425" s="55" t="s">
        <v>9914</v>
      </c>
    </row>
    <row r="6426" ht="14.25" customHeight="1">
      <c r="A6426" s="55" t="s">
        <v>9840</v>
      </c>
      <c r="B6426" s="55" t="s">
        <v>40</v>
      </c>
      <c r="C6426" s="55" t="s">
        <v>11797</v>
      </c>
      <c r="D6426" s="55" t="s">
        <v>11137</v>
      </c>
    </row>
    <row r="6427" ht="14.25" customHeight="1">
      <c r="A6427" s="55" t="s">
        <v>9840</v>
      </c>
      <c r="B6427" s="55" t="s">
        <v>40</v>
      </c>
      <c r="C6427" s="55" t="s">
        <v>251</v>
      </c>
      <c r="D6427" s="55" t="s">
        <v>10478</v>
      </c>
    </row>
    <row r="6428" ht="14.25" customHeight="1">
      <c r="A6428" s="55" t="s">
        <v>9840</v>
      </c>
      <c r="B6428" s="55" t="s">
        <v>40</v>
      </c>
      <c r="C6428" s="55" t="s">
        <v>14467</v>
      </c>
      <c r="D6428" s="55" t="s">
        <v>9291</v>
      </c>
    </row>
    <row r="6429" ht="14.25" customHeight="1">
      <c r="A6429" s="55" t="s">
        <v>9840</v>
      </c>
      <c r="B6429" s="55" t="s">
        <v>40</v>
      </c>
      <c r="C6429" s="55" t="s">
        <v>13959</v>
      </c>
      <c r="D6429" s="55" t="s">
        <v>13960</v>
      </c>
    </row>
    <row r="6430" ht="14.25" customHeight="1">
      <c r="A6430" s="55" t="s">
        <v>9840</v>
      </c>
      <c r="B6430" s="55" t="s">
        <v>40</v>
      </c>
      <c r="C6430" s="55" t="s">
        <v>9523</v>
      </c>
      <c r="D6430" s="55" t="s">
        <v>9118</v>
      </c>
    </row>
    <row r="6431" ht="14.25" customHeight="1">
      <c r="A6431" s="55" t="s">
        <v>9840</v>
      </c>
      <c r="B6431" s="55" t="s">
        <v>40</v>
      </c>
      <c r="C6431" s="55" t="s">
        <v>11798</v>
      </c>
      <c r="D6431" s="55" t="s">
        <v>9028</v>
      </c>
    </row>
    <row r="6432" ht="14.25" customHeight="1">
      <c r="A6432" s="55" t="s">
        <v>9840</v>
      </c>
      <c r="B6432" s="55" t="s">
        <v>40</v>
      </c>
      <c r="C6432" s="55" t="s">
        <v>4231</v>
      </c>
      <c r="D6432" s="55" t="s">
        <v>12491</v>
      </c>
    </row>
    <row r="6433" ht="14.25" customHeight="1">
      <c r="A6433" s="55" t="s">
        <v>9840</v>
      </c>
      <c r="B6433" s="55" t="s">
        <v>40</v>
      </c>
      <c r="C6433" s="55" t="s">
        <v>13961</v>
      </c>
      <c r="D6433" s="55" t="s">
        <v>9618</v>
      </c>
    </row>
    <row r="6434" ht="14.25" customHeight="1">
      <c r="A6434" s="55" t="s">
        <v>9840</v>
      </c>
      <c r="B6434" s="55" t="s">
        <v>40</v>
      </c>
      <c r="C6434" s="55" t="s">
        <v>14416</v>
      </c>
      <c r="D6434" s="55" t="s">
        <v>9216</v>
      </c>
    </row>
    <row r="6435" ht="14.25" customHeight="1">
      <c r="A6435" s="55" t="s">
        <v>9840</v>
      </c>
      <c r="B6435" s="55" t="s">
        <v>40</v>
      </c>
      <c r="C6435" s="55" t="s">
        <v>9905</v>
      </c>
      <c r="D6435" s="55" t="s">
        <v>9034</v>
      </c>
    </row>
    <row r="6436" ht="14.25" customHeight="1">
      <c r="A6436" s="55" t="s">
        <v>9840</v>
      </c>
      <c r="B6436" s="55" t="s">
        <v>40</v>
      </c>
      <c r="C6436" s="55" t="s">
        <v>9905</v>
      </c>
      <c r="D6436" s="55" t="s">
        <v>9618</v>
      </c>
    </row>
    <row r="6437" ht="14.25" customHeight="1">
      <c r="A6437" s="55" t="s">
        <v>9840</v>
      </c>
      <c r="B6437" s="55" t="s">
        <v>40</v>
      </c>
      <c r="C6437" s="55" t="s">
        <v>254</v>
      </c>
      <c r="D6437" s="55" t="s">
        <v>10124</v>
      </c>
    </row>
    <row r="6438" ht="14.25" customHeight="1">
      <c r="A6438" s="55" t="s">
        <v>9840</v>
      </c>
      <c r="B6438" s="55" t="s">
        <v>40</v>
      </c>
      <c r="C6438" s="55" t="s">
        <v>13370</v>
      </c>
      <c r="D6438" s="55" t="s">
        <v>9075</v>
      </c>
    </row>
    <row r="6439" ht="14.25" customHeight="1">
      <c r="A6439" s="55" t="s">
        <v>9840</v>
      </c>
      <c r="B6439" s="55" t="s">
        <v>40</v>
      </c>
      <c r="C6439" s="55" t="s">
        <v>255</v>
      </c>
      <c r="D6439" s="55" t="s">
        <v>9034</v>
      </c>
    </row>
    <row r="6440" ht="14.25" customHeight="1">
      <c r="A6440" s="55" t="s">
        <v>9840</v>
      </c>
      <c r="B6440" s="55" t="s">
        <v>40</v>
      </c>
      <c r="C6440" s="55" t="s">
        <v>255</v>
      </c>
      <c r="D6440" s="55" t="s">
        <v>9028</v>
      </c>
    </row>
    <row r="6441" ht="14.25" customHeight="1">
      <c r="A6441" s="55" t="s">
        <v>9840</v>
      </c>
      <c r="B6441" s="55" t="s">
        <v>40</v>
      </c>
      <c r="C6441" s="55" t="s">
        <v>255</v>
      </c>
      <c r="D6441" s="55" t="s">
        <v>9778</v>
      </c>
    </row>
    <row r="6442" ht="14.25" customHeight="1">
      <c r="A6442" s="55" t="s">
        <v>9840</v>
      </c>
      <c r="B6442" s="55" t="s">
        <v>40</v>
      </c>
      <c r="C6442" s="55" t="s">
        <v>255</v>
      </c>
      <c r="D6442" s="55" t="s">
        <v>9075</v>
      </c>
    </row>
    <row r="6443" ht="14.25" customHeight="1">
      <c r="A6443" s="55" t="s">
        <v>9840</v>
      </c>
      <c r="B6443" s="55" t="s">
        <v>40</v>
      </c>
      <c r="C6443" s="55" t="s">
        <v>10479</v>
      </c>
      <c r="D6443" s="55" t="s">
        <v>9055</v>
      </c>
    </row>
    <row r="6444" ht="14.25" customHeight="1">
      <c r="A6444" s="55" t="s">
        <v>9840</v>
      </c>
      <c r="B6444" s="55" t="s">
        <v>40</v>
      </c>
      <c r="C6444" s="55" t="s">
        <v>4247</v>
      </c>
      <c r="D6444" s="55" t="s">
        <v>9028</v>
      </c>
    </row>
    <row r="6445" ht="14.25" customHeight="1">
      <c r="A6445" s="55" t="s">
        <v>9840</v>
      </c>
      <c r="B6445" s="55" t="s">
        <v>40</v>
      </c>
      <c r="C6445" s="55" t="s">
        <v>13371</v>
      </c>
      <c r="D6445" s="55" t="s">
        <v>9055</v>
      </c>
    </row>
    <row r="6446" ht="14.25" customHeight="1">
      <c r="A6446" s="55" t="s">
        <v>9840</v>
      </c>
      <c r="B6446" s="55" t="s">
        <v>40</v>
      </c>
      <c r="C6446" s="55" t="s">
        <v>8771</v>
      </c>
      <c r="D6446" s="55" t="s">
        <v>11799</v>
      </c>
    </row>
    <row r="6447" ht="14.25" customHeight="1">
      <c r="A6447" s="55" t="s">
        <v>9840</v>
      </c>
      <c r="B6447" s="55" t="s">
        <v>40</v>
      </c>
      <c r="C6447" s="55" t="s">
        <v>9251</v>
      </c>
      <c r="D6447" s="55" t="s">
        <v>9151</v>
      </c>
    </row>
    <row r="6448" ht="14.25" customHeight="1">
      <c r="A6448" s="55" t="s">
        <v>9840</v>
      </c>
      <c r="B6448" s="55" t="s">
        <v>40</v>
      </c>
      <c r="C6448" s="55" t="s">
        <v>9434</v>
      </c>
      <c r="D6448" s="55" t="s">
        <v>13962</v>
      </c>
    </row>
    <row r="6449" ht="14.25" customHeight="1">
      <c r="A6449" s="55" t="s">
        <v>9840</v>
      </c>
      <c r="B6449" s="55" t="s">
        <v>40</v>
      </c>
      <c r="C6449" s="55" t="s">
        <v>9434</v>
      </c>
      <c r="D6449" s="55" t="s">
        <v>9071</v>
      </c>
    </row>
    <row r="6450" ht="14.25" customHeight="1">
      <c r="A6450" s="55" t="s">
        <v>9840</v>
      </c>
      <c r="B6450" s="55" t="s">
        <v>40</v>
      </c>
      <c r="C6450" s="55" t="s">
        <v>9434</v>
      </c>
      <c r="D6450" s="55" t="s">
        <v>13963</v>
      </c>
    </row>
    <row r="6451" ht="14.25" customHeight="1">
      <c r="A6451" s="55" t="s">
        <v>9840</v>
      </c>
      <c r="B6451" s="55" t="s">
        <v>40</v>
      </c>
      <c r="C6451" s="55" t="s">
        <v>10256</v>
      </c>
      <c r="D6451" s="55" t="s">
        <v>10480</v>
      </c>
    </row>
    <row r="6452" ht="14.25" customHeight="1">
      <c r="A6452" s="55" t="s">
        <v>9840</v>
      </c>
      <c r="B6452" s="55" t="s">
        <v>40</v>
      </c>
      <c r="C6452" s="55" t="s">
        <v>12731</v>
      </c>
      <c r="D6452" s="55" t="s">
        <v>13372</v>
      </c>
    </row>
    <row r="6453" ht="14.25" customHeight="1">
      <c r="A6453" s="55" t="s">
        <v>9840</v>
      </c>
      <c r="B6453" s="55" t="s">
        <v>40</v>
      </c>
      <c r="C6453" s="55" t="s">
        <v>12731</v>
      </c>
      <c r="D6453" s="55" t="s">
        <v>13373</v>
      </c>
    </row>
    <row r="6454" ht="14.25" customHeight="1">
      <c r="A6454" s="55" t="s">
        <v>9840</v>
      </c>
      <c r="B6454" s="55" t="s">
        <v>40</v>
      </c>
      <c r="C6454" s="55" t="s">
        <v>11241</v>
      </c>
      <c r="D6454" s="55" t="s">
        <v>11242</v>
      </c>
    </row>
    <row r="6455" ht="14.25" customHeight="1">
      <c r="A6455" s="55" t="s">
        <v>9840</v>
      </c>
      <c r="B6455" s="55" t="s">
        <v>40</v>
      </c>
      <c r="C6455" s="55" t="s">
        <v>9906</v>
      </c>
      <c r="D6455" s="55" t="s">
        <v>9249</v>
      </c>
    </row>
    <row r="6456" ht="14.25" customHeight="1">
      <c r="A6456" s="55" t="s">
        <v>9840</v>
      </c>
      <c r="B6456" s="55" t="s">
        <v>40</v>
      </c>
      <c r="C6456" s="55" t="s">
        <v>9703</v>
      </c>
      <c r="D6456" s="55" t="s">
        <v>9618</v>
      </c>
    </row>
    <row r="6457" ht="14.25" customHeight="1">
      <c r="A6457" s="55" t="s">
        <v>9840</v>
      </c>
      <c r="B6457" s="55" t="s">
        <v>40</v>
      </c>
      <c r="C6457" s="55" t="s">
        <v>11006</v>
      </c>
      <c r="D6457" s="55" t="s">
        <v>9055</v>
      </c>
    </row>
    <row r="6458" ht="14.25" customHeight="1">
      <c r="A6458" s="55" t="s">
        <v>9840</v>
      </c>
      <c r="B6458" s="55" t="s">
        <v>40</v>
      </c>
      <c r="C6458" s="55" t="s">
        <v>11006</v>
      </c>
      <c r="D6458" s="55" t="s">
        <v>9216</v>
      </c>
    </row>
    <row r="6459" ht="14.25" customHeight="1">
      <c r="A6459" s="55" t="s">
        <v>9840</v>
      </c>
      <c r="B6459" s="55" t="s">
        <v>40</v>
      </c>
      <c r="C6459" s="55" t="s">
        <v>261</v>
      </c>
      <c r="D6459" s="55" t="s">
        <v>8968</v>
      </c>
    </row>
    <row r="6460" ht="14.25" customHeight="1">
      <c r="A6460" s="55" t="s">
        <v>9840</v>
      </c>
      <c r="B6460" s="55" t="s">
        <v>40</v>
      </c>
      <c r="C6460" s="55" t="s">
        <v>9160</v>
      </c>
      <c r="D6460" s="55" t="s">
        <v>9817</v>
      </c>
    </row>
    <row r="6461" ht="14.25" customHeight="1">
      <c r="A6461" s="55" t="s">
        <v>9840</v>
      </c>
      <c r="B6461" s="55" t="s">
        <v>40</v>
      </c>
      <c r="C6461" s="55" t="s">
        <v>9160</v>
      </c>
      <c r="D6461" s="55" t="s">
        <v>14468</v>
      </c>
    </row>
    <row r="6462" ht="14.25" customHeight="1">
      <c r="A6462" s="55" t="s">
        <v>9840</v>
      </c>
      <c r="B6462" s="55" t="s">
        <v>40</v>
      </c>
      <c r="C6462" s="55" t="s">
        <v>9160</v>
      </c>
      <c r="D6462" s="55" t="s">
        <v>9907</v>
      </c>
    </row>
    <row r="6463" ht="14.25" customHeight="1">
      <c r="A6463" s="55" t="s">
        <v>9840</v>
      </c>
      <c r="B6463" s="55" t="s">
        <v>40</v>
      </c>
      <c r="C6463" s="55" t="s">
        <v>9160</v>
      </c>
      <c r="D6463" s="55" t="s">
        <v>9071</v>
      </c>
    </row>
    <row r="6464" ht="14.25" customHeight="1">
      <c r="A6464" s="55" t="s">
        <v>9840</v>
      </c>
      <c r="B6464" s="55" t="s">
        <v>40</v>
      </c>
      <c r="C6464" s="55" t="s">
        <v>10481</v>
      </c>
      <c r="D6464" s="55" t="s">
        <v>10482</v>
      </c>
    </row>
    <row r="6465" ht="14.25" customHeight="1">
      <c r="A6465" s="55" t="s">
        <v>9840</v>
      </c>
      <c r="B6465" s="55" t="s">
        <v>40</v>
      </c>
      <c r="C6465" s="55" t="s">
        <v>262</v>
      </c>
      <c r="D6465" s="55" t="s">
        <v>9755</v>
      </c>
    </row>
    <row r="6466" ht="14.25" customHeight="1">
      <c r="A6466" s="55" t="s">
        <v>9840</v>
      </c>
      <c r="B6466" s="55" t="s">
        <v>40</v>
      </c>
      <c r="C6466" s="55" t="s">
        <v>262</v>
      </c>
      <c r="D6466" s="55" t="s">
        <v>9817</v>
      </c>
    </row>
    <row r="6467" ht="14.25" customHeight="1">
      <c r="A6467" s="55" t="s">
        <v>9840</v>
      </c>
      <c r="B6467" s="55" t="s">
        <v>40</v>
      </c>
      <c r="C6467" s="55" t="s">
        <v>262</v>
      </c>
      <c r="D6467" s="55" t="s">
        <v>9051</v>
      </c>
    </row>
    <row r="6468" ht="14.25" customHeight="1">
      <c r="A6468" s="55" t="s">
        <v>9840</v>
      </c>
      <c r="B6468" s="55" t="s">
        <v>40</v>
      </c>
      <c r="C6468" s="55" t="s">
        <v>262</v>
      </c>
      <c r="D6468" s="55" t="s">
        <v>11800</v>
      </c>
    </row>
    <row r="6469" ht="14.25" customHeight="1">
      <c r="A6469" s="55" t="s">
        <v>9840</v>
      </c>
      <c r="B6469" s="55" t="s">
        <v>40</v>
      </c>
      <c r="C6469" s="55" t="s">
        <v>262</v>
      </c>
      <c r="D6469" s="55" t="s">
        <v>11172</v>
      </c>
    </row>
    <row r="6470" ht="14.25" customHeight="1">
      <c r="A6470" s="55" t="s">
        <v>9840</v>
      </c>
      <c r="B6470" s="55" t="s">
        <v>40</v>
      </c>
      <c r="C6470" s="55" t="s">
        <v>4281</v>
      </c>
      <c r="D6470" s="55" t="s">
        <v>9636</v>
      </c>
    </row>
    <row r="6471" ht="14.25" customHeight="1">
      <c r="A6471" s="55" t="s">
        <v>9840</v>
      </c>
      <c r="B6471" s="55" t="s">
        <v>40</v>
      </c>
      <c r="C6471" s="55" t="s">
        <v>4294</v>
      </c>
      <c r="D6471" s="55" t="s">
        <v>9012</v>
      </c>
    </row>
    <row r="6472" ht="14.25" customHeight="1">
      <c r="A6472" s="55" t="s">
        <v>9840</v>
      </c>
      <c r="B6472" s="55" t="s">
        <v>40</v>
      </c>
      <c r="C6472" s="55" t="s">
        <v>4294</v>
      </c>
      <c r="D6472" s="55" t="s">
        <v>8994</v>
      </c>
    </row>
    <row r="6473" ht="14.25" customHeight="1">
      <c r="A6473" s="55" t="s">
        <v>9840</v>
      </c>
      <c r="B6473" s="55" t="s">
        <v>40</v>
      </c>
      <c r="C6473" s="55" t="s">
        <v>4294</v>
      </c>
      <c r="D6473" s="55" t="s">
        <v>13374</v>
      </c>
    </row>
    <row r="6474" ht="14.25" customHeight="1">
      <c r="A6474" s="55" t="s">
        <v>9840</v>
      </c>
      <c r="B6474" s="55" t="s">
        <v>40</v>
      </c>
      <c r="C6474" s="55" t="s">
        <v>13375</v>
      </c>
      <c r="D6474" s="55" t="s">
        <v>9028</v>
      </c>
    </row>
    <row r="6475" ht="14.25" customHeight="1">
      <c r="A6475" s="55" t="s">
        <v>9840</v>
      </c>
      <c r="B6475" s="55" t="s">
        <v>40</v>
      </c>
      <c r="C6475" s="55" t="s">
        <v>264</v>
      </c>
      <c r="D6475" s="55" t="s">
        <v>9066</v>
      </c>
    </row>
    <row r="6476" ht="14.25" customHeight="1">
      <c r="A6476" s="55" t="s">
        <v>9840</v>
      </c>
      <c r="B6476" s="55" t="s">
        <v>40</v>
      </c>
      <c r="C6476" s="55" t="s">
        <v>11801</v>
      </c>
      <c r="D6476" s="55" t="s">
        <v>9075</v>
      </c>
    </row>
    <row r="6477" ht="14.25" customHeight="1">
      <c r="A6477" s="55" t="s">
        <v>9840</v>
      </c>
      <c r="B6477" s="55" t="s">
        <v>40</v>
      </c>
      <c r="C6477" s="55" t="s">
        <v>4326</v>
      </c>
      <c r="D6477" s="55" t="s">
        <v>9002</v>
      </c>
    </row>
    <row r="6478" ht="14.25" customHeight="1">
      <c r="A6478" s="55" t="s">
        <v>9840</v>
      </c>
      <c r="B6478" s="55" t="s">
        <v>40</v>
      </c>
      <c r="C6478" s="55" t="s">
        <v>4326</v>
      </c>
      <c r="D6478" s="55" t="s">
        <v>13964</v>
      </c>
    </row>
    <row r="6479" ht="14.25" customHeight="1">
      <c r="A6479" s="55" t="s">
        <v>9840</v>
      </c>
      <c r="B6479" s="55" t="s">
        <v>40</v>
      </c>
      <c r="C6479" s="55" t="s">
        <v>11243</v>
      </c>
      <c r="D6479" s="55" t="s">
        <v>9002</v>
      </c>
    </row>
    <row r="6480" ht="14.25" customHeight="1">
      <c r="A6480" s="55" t="s">
        <v>9840</v>
      </c>
      <c r="B6480" s="55" t="s">
        <v>40</v>
      </c>
      <c r="C6480" s="55" t="s">
        <v>9908</v>
      </c>
      <c r="D6480" s="55" t="s">
        <v>8968</v>
      </c>
    </row>
    <row r="6481" ht="14.25" customHeight="1">
      <c r="A6481" s="55" t="s">
        <v>9840</v>
      </c>
      <c r="B6481" s="55" t="s">
        <v>40</v>
      </c>
      <c r="C6481" s="55" t="s">
        <v>11802</v>
      </c>
      <c r="D6481" s="55" t="s">
        <v>13376</v>
      </c>
    </row>
    <row r="6482" ht="14.25" customHeight="1">
      <c r="A6482" s="55" t="s">
        <v>9840</v>
      </c>
      <c r="B6482" s="55" t="s">
        <v>40</v>
      </c>
      <c r="C6482" s="55" t="s">
        <v>11802</v>
      </c>
      <c r="D6482" s="55" t="s">
        <v>11803</v>
      </c>
    </row>
    <row r="6483" ht="14.25" customHeight="1">
      <c r="A6483" s="55" t="s">
        <v>9840</v>
      </c>
      <c r="B6483" s="55" t="s">
        <v>40</v>
      </c>
      <c r="C6483" s="55" t="s">
        <v>11010</v>
      </c>
      <c r="D6483" s="55" t="s">
        <v>9671</v>
      </c>
    </row>
    <row r="6484" ht="14.25" customHeight="1">
      <c r="A6484" s="55" t="s">
        <v>9840</v>
      </c>
      <c r="B6484" s="55" t="s">
        <v>40</v>
      </c>
      <c r="C6484" s="55" t="s">
        <v>269</v>
      </c>
      <c r="D6484" s="55" t="s">
        <v>9028</v>
      </c>
    </row>
    <row r="6485" ht="14.25" customHeight="1">
      <c r="A6485" s="55" t="s">
        <v>9840</v>
      </c>
      <c r="B6485" s="55" t="s">
        <v>40</v>
      </c>
      <c r="C6485" s="55" t="s">
        <v>9909</v>
      </c>
      <c r="D6485" s="55" t="s">
        <v>9910</v>
      </c>
    </row>
    <row r="6486" ht="14.25" customHeight="1">
      <c r="A6486" s="55" t="s">
        <v>9840</v>
      </c>
      <c r="B6486" s="55" t="s">
        <v>40</v>
      </c>
      <c r="C6486" s="55" t="s">
        <v>11244</v>
      </c>
      <c r="D6486" s="55" t="s">
        <v>9073</v>
      </c>
    </row>
    <row r="6487" ht="14.25" customHeight="1">
      <c r="A6487" s="55" t="s">
        <v>9840</v>
      </c>
      <c r="B6487" s="55" t="s">
        <v>40</v>
      </c>
      <c r="C6487" s="55" t="s">
        <v>4349</v>
      </c>
      <c r="D6487" s="55" t="s">
        <v>9587</v>
      </c>
    </row>
    <row r="6488" ht="14.25" customHeight="1">
      <c r="A6488" s="55" t="s">
        <v>9840</v>
      </c>
      <c r="B6488" s="55" t="s">
        <v>40</v>
      </c>
      <c r="C6488" s="55" t="s">
        <v>14469</v>
      </c>
      <c r="D6488" s="55" t="s">
        <v>14470</v>
      </c>
    </row>
    <row r="6489" ht="14.25" customHeight="1">
      <c r="A6489" s="55" t="s">
        <v>9840</v>
      </c>
      <c r="B6489" s="55" t="s">
        <v>40</v>
      </c>
      <c r="C6489" s="55" t="s">
        <v>4354</v>
      </c>
      <c r="D6489" s="55" t="s">
        <v>9911</v>
      </c>
    </row>
    <row r="6490" ht="14.25" customHeight="1">
      <c r="A6490" s="55" t="s">
        <v>9840</v>
      </c>
      <c r="B6490" s="55" t="s">
        <v>40</v>
      </c>
      <c r="C6490" s="55" t="s">
        <v>4354</v>
      </c>
      <c r="D6490" s="55" t="s">
        <v>9817</v>
      </c>
    </row>
    <row r="6491" ht="14.25" customHeight="1">
      <c r="A6491" s="55" t="s">
        <v>9840</v>
      </c>
      <c r="B6491" s="55" t="s">
        <v>40</v>
      </c>
      <c r="C6491" s="55" t="s">
        <v>9912</v>
      </c>
      <c r="D6491" s="55" t="s">
        <v>9875</v>
      </c>
    </row>
    <row r="6492" ht="14.25" customHeight="1">
      <c r="A6492" s="55" t="s">
        <v>9840</v>
      </c>
      <c r="B6492" s="55" t="s">
        <v>40</v>
      </c>
      <c r="C6492" s="55" t="s">
        <v>12492</v>
      </c>
      <c r="D6492" s="55" t="s">
        <v>9109</v>
      </c>
    </row>
    <row r="6493" ht="14.25" customHeight="1">
      <c r="A6493" s="55" t="s">
        <v>9840</v>
      </c>
      <c r="B6493" s="55" t="s">
        <v>40</v>
      </c>
      <c r="C6493" s="55" t="s">
        <v>14471</v>
      </c>
      <c r="D6493" s="55" t="s">
        <v>14472</v>
      </c>
    </row>
    <row r="6494" ht="14.25" customHeight="1">
      <c r="A6494" s="55" t="s">
        <v>9840</v>
      </c>
      <c r="B6494" s="55" t="s">
        <v>40</v>
      </c>
      <c r="C6494" s="55" t="s">
        <v>9005</v>
      </c>
      <c r="D6494" s="55" t="s">
        <v>9006</v>
      </c>
    </row>
    <row r="6495" ht="14.25" customHeight="1">
      <c r="A6495" s="55" t="s">
        <v>9840</v>
      </c>
      <c r="B6495" s="55" t="s">
        <v>40</v>
      </c>
      <c r="C6495" s="55" t="s">
        <v>9005</v>
      </c>
      <c r="D6495" s="55" t="s">
        <v>12851</v>
      </c>
    </row>
    <row r="6496" ht="14.25" customHeight="1">
      <c r="A6496" s="55" t="s">
        <v>9840</v>
      </c>
      <c r="B6496" s="55" t="s">
        <v>40</v>
      </c>
      <c r="C6496" s="55" t="s">
        <v>9005</v>
      </c>
      <c r="D6496" s="55" t="s">
        <v>14473</v>
      </c>
    </row>
    <row r="6497" ht="14.25" customHeight="1">
      <c r="A6497" s="55" t="s">
        <v>9840</v>
      </c>
      <c r="B6497" s="55" t="s">
        <v>40</v>
      </c>
      <c r="C6497" s="55" t="s">
        <v>9005</v>
      </c>
      <c r="D6497" s="55" t="s">
        <v>10062</v>
      </c>
    </row>
    <row r="6498" ht="14.25" customHeight="1">
      <c r="A6498" s="55" t="s">
        <v>9840</v>
      </c>
      <c r="B6498" s="55" t="s">
        <v>40</v>
      </c>
      <c r="C6498" s="55" t="s">
        <v>9529</v>
      </c>
      <c r="D6498" s="55" t="s">
        <v>11804</v>
      </c>
    </row>
    <row r="6499" ht="14.25" customHeight="1">
      <c r="A6499" s="55" t="s">
        <v>9840</v>
      </c>
      <c r="B6499" s="55" t="s">
        <v>40</v>
      </c>
      <c r="C6499" s="55" t="s">
        <v>9529</v>
      </c>
      <c r="D6499" s="55" t="s">
        <v>11382</v>
      </c>
    </row>
    <row r="6500" ht="14.25" customHeight="1">
      <c r="A6500" s="55" t="s">
        <v>9840</v>
      </c>
      <c r="B6500" s="55" t="s">
        <v>40</v>
      </c>
      <c r="C6500" s="55" t="s">
        <v>13377</v>
      </c>
      <c r="D6500" s="55" t="s">
        <v>9028</v>
      </c>
    </row>
    <row r="6501" ht="14.25" customHeight="1">
      <c r="A6501" s="55" t="s">
        <v>9840</v>
      </c>
      <c r="B6501" s="55" t="s">
        <v>40</v>
      </c>
      <c r="C6501" s="55" t="s">
        <v>2163</v>
      </c>
      <c r="D6501" s="55" t="s">
        <v>11805</v>
      </c>
    </row>
    <row r="6502" ht="14.25" customHeight="1">
      <c r="A6502" s="55" t="s">
        <v>9840</v>
      </c>
      <c r="B6502" s="55" t="s">
        <v>40</v>
      </c>
      <c r="C6502" s="55" t="s">
        <v>2163</v>
      </c>
      <c r="D6502" s="55" t="s">
        <v>9021</v>
      </c>
    </row>
    <row r="6503" ht="14.25" customHeight="1">
      <c r="A6503" s="55" t="s">
        <v>9840</v>
      </c>
      <c r="B6503" s="55" t="s">
        <v>40</v>
      </c>
      <c r="C6503" s="55" t="s">
        <v>2163</v>
      </c>
      <c r="D6503" s="55" t="s">
        <v>9294</v>
      </c>
    </row>
    <row r="6504" ht="14.25" customHeight="1">
      <c r="A6504" s="55" t="s">
        <v>9840</v>
      </c>
      <c r="B6504" s="55" t="s">
        <v>40</v>
      </c>
      <c r="C6504" s="55" t="s">
        <v>13378</v>
      </c>
      <c r="D6504" s="55" t="s">
        <v>13379</v>
      </c>
    </row>
    <row r="6505" ht="14.25" customHeight="1">
      <c r="A6505" s="55" t="s">
        <v>9840</v>
      </c>
      <c r="B6505" s="55" t="s">
        <v>40</v>
      </c>
      <c r="C6505" s="55" t="s">
        <v>13380</v>
      </c>
      <c r="D6505" s="55" t="s">
        <v>9216</v>
      </c>
    </row>
    <row r="6506" ht="14.25" customHeight="1">
      <c r="A6506" s="55" t="s">
        <v>9840</v>
      </c>
      <c r="B6506" s="55" t="s">
        <v>40</v>
      </c>
      <c r="C6506" s="55" t="s">
        <v>324</v>
      </c>
      <c r="D6506" s="55" t="s">
        <v>9913</v>
      </c>
    </row>
    <row r="6507" ht="14.25" customHeight="1">
      <c r="A6507" s="55" t="s">
        <v>9840</v>
      </c>
      <c r="B6507" s="55" t="s">
        <v>40</v>
      </c>
      <c r="C6507" s="55" t="s">
        <v>324</v>
      </c>
      <c r="D6507" s="55" t="s">
        <v>11806</v>
      </c>
    </row>
    <row r="6508" ht="14.25" customHeight="1">
      <c r="A6508" s="55" t="s">
        <v>9840</v>
      </c>
      <c r="B6508" s="55" t="s">
        <v>40</v>
      </c>
      <c r="C6508" s="55" t="s">
        <v>324</v>
      </c>
      <c r="D6508" s="55" t="s">
        <v>11807</v>
      </c>
    </row>
    <row r="6509" ht="14.25" customHeight="1">
      <c r="A6509" s="55" t="s">
        <v>9840</v>
      </c>
      <c r="B6509" s="55" t="s">
        <v>40</v>
      </c>
      <c r="C6509" s="55" t="s">
        <v>324</v>
      </c>
      <c r="D6509" s="55" t="s">
        <v>9877</v>
      </c>
    </row>
    <row r="6510" ht="14.25" customHeight="1">
      <c r="A6510" s="55" t="s">
        <v>9840</v>
      </c>
      <c r="B6510" s="55" t="s">
        <v>40</v>
      </c>
      <c r="C6510" s="55" t="s">
        <v>324</v>
      </c>
      <c r="D6510" s="55" t="s">
        <v>9914</v>
      </c>
    </row>
    <row r="6511" ht="14.25" customHeight="1">
      <c r="A6511" s="55" t="s">
        <v>9840</v>
      </c>
      <c r="B6511" s="55" t="s">
        <v>40</v>
      </c>
      <c r="C6511" s="55" t="s">
        <v>14474</v>
      </c>
      <c r="D6511" s="55" t="s">
        <v>11233</v>
      </c>
    </row>
    <row r="6512" ht="14.25" customHeight="1">
      <c r="A6512" s="55" t="s">
        <v>9840</v>
      </c>
      <c r="B6512" s="55" t="s">
        <v>40</v>
      </c>
      <c r="C6512" s="55" t="s">
        <v>10851</v>
      </c>
      <c r="D6512" s="55" t="s">
        <v>12493</v>
      </c>
    </row>
    <row r="6513" ht="14.25" customHeight="1">
      <c r="A6513" s="55" t="s">
        <v>9840</v>
      </c>
      <c r="B6513" s="55" t="s">
        <v>40</v>
      </c>
      <c r="C6513" s="55" t="s">
        <v>13965</v>
      </c>
      <c r="D6513" s="55" t="s">
        <v>13966</v>
      </c>
    </row>
    <row r="6514" ht="14.25" customHeight="1">
      <c r="A6514" s="55" t="s">
        <v>9840</v>
      </c>
      <c r="B6514" s="55" t="s">
        <v>40</v>
      </c>
      <c r="C6514" s="55" t="s">
        <v>13381</v>
      </c>
      <c r="D6514" s="55" t="s">
        <v>9071</v>
      </c>
    </row>
    <row r="6515" ht="14.25" customHeight="1">
      <c r="A6515" s="55" t="s">
        <v>9840</v>
      </c>
      <c r="B6515" s="55" t="s">
        <v>40</v>
      </c>
      <c r="C6515" s="55" t="s">
        <v>9915</v>
      </c>
      <c r="D6515" s="55" t="s">
        <v>9916</v>
      </c>
    </row>
    <row r="6516" ht="14.25" customHeight="1">
      <c r="A6516" s="55" t="s">
        <v>9840</v>
      </c>
      <c r="B6516" s="55" t="s">
        <v>40</v>
      </c>
      <c r="C6516" s="55" t="s">
        <v>10545</v>
      </c>
      <c r="D6516" s="55" t="s">
        <v>11245</v>
      </c>
    </row>
    <row r="6517" ht="14.25" customHeight="1">
      <c r="A6517" s="55" t="s">
        <v>9840</v>
      </c>
      <c r="B6517" s="55" t="s">
        <v>40</v>
      </c>
      <c r="C6517" s="55" t="s">
        <v>9917</v>
      </c>
      <c r="D6517" s="55" t="s">
        <v>9131</v>
      </c>
    </row>
    <row r="6518" ht="14.25" customHeight="1">
      <c r="A6518" s="55" t="s">
        <v>9840</v>
      </c>
      <c r="B6518" s="55" t="s">
        <v>40</v>
      </c>
      <c r="C6518" s="55" t="s">
        <v>11808</v>
      </c>
      <c r="D6518" s="55" t="s">
        <v>9151</v>
      </c>
    </row>
    <row r="6519" ht="14.25" customHeight="1">
      <c r="A6519" s="55" t="s">
        <v>9840</v>
      </c>
      <c r="B6519" s="55" t="s">
        <v>40</v>
      </c>
      <c r="C6519" s="55" t="s">
        <v>10758</v>
      </c>
      <c r="D6519" s="55" t="s">
        <v>9430</v>
      </c>
    </row>
    <row r="6520" ht="14.25" customHeight="1">
      <c r="A6520" s="55" t="s">
        <v>9840</v>
      </c>
      <c r="B6520" s="55" t="s">
        <v>40</v>
      </c>
      <c r="C6520" s="55" t="s">
        <v>10758</v>
      </c>
      <c r="D6520" s="55" t="s">
        <v>9741</v>
      </c>
    </row>
    <row r="6521" ht="14.25" customHeight="1">
      <c r="A6521" s="55" t="s">
        <v>9840</v>
      </c>
      <c r="B6521" s="55" t="s">
        <v>40</v>
      </c>
      <c r="C6521" s="55" t="s">
        <v>12494</v>
      </c>
      <c r="D6521" s="55" t="s">
        <v>12495</v>
      </c>
    </row>
    <row r="6522" ht="14.25" customHeight="1">
      <c r="A6522" s="55" t="s">
        <v>9840</v>
      </c>
      <c r="B6522" s="55" t="s">
        <v>40</v>
      </c>
      <c r="C6522" s="55" t="s">
        <v>11809</v>
      </c>
      <c r="D6522" s="55" t="s">
        <v>9028</v>
      </c>
    </row>
    <row r="6523" ht="14.25" customHeight="1">
      <c r="A6523" s="55" t="s">
        <v>9840</v>
      </c>
      <c r="B6523" s="55" t="s">
        <v>40</v>
      </c>
      <c r="C6523" s="55" t="s">
        <v>7351</v>
      </c>
      <c r="D6523" s="55" t="s">
        <v>11810</v>
      </c>
    </row>
    <row r="6524" ht="14.25" customHeight="1">
      <c r="A6524" s="55" t="s">
        <v>9840</v>
      </c>
      <c r="B6524" s="55" t="s">
        <v>40</v>
      </c>
      <c r="C6524" s="55" t="s">
        <v>13382</v>
      </c>
      <c r="D6524" s="55" t="s">
        <v>9291</v>
      </c>
    </row>
    <row r="6525" ht="14.25" customHeight="1">
      <c r="A6525" s="55" t="s">
        <v>9840</v>
      </c>
      <c r="B6525" s="55" t="s">
        <v>40</v>
      </c>
      <c r="C6525" s="55" t="s">
        <v>9165</v>
      </c>
      <c r="D6525" s="55" t="s">
        <v>9028</v>
      </c>
    </row>
    <row r="6526" ht="14.25" customHeight="1">
      <c r="A6526" s="55" t="s">
        <v>9840</v>
      </c>
      <c r="B6526" s="55" t="s">
        <v>40</v>
      </c>
      <c r="C6526" s="55" t="s">
        <v>9929</v>
      </c>
      <c r="D6526" s="55" t="s">
        <v>11246</v>
      </c>
    </row>
    <row r="6527" ht="14.25" customHeight="1">
      <c r="A6527" s="55" t="s">
        <v>9840</v>
      </c>
      <c r="B6527" s="55" t="s">
        <v>40</v>
      </c>
      <c r="C6527" s="55" t="s">
        <v>9929</v>
      </c>
      <c r="D6527" s="55" t="s">
        <v>11247</v>
      </c>
    </row>
    <row r="6528" ht="14.25" customHeight="1">
      <c r="A6528" s="55" t="s">
        <v>9840</v>
      </c>
      <c r="B6528" s="55" t="s">
        <v>40</v>
      </c>
      <c r="C6528" s="55" t="s">
        <v>9929</v>
      </c>
      <c r="D6528" s="55" t="s">
        <v>9028</v>
      </c>
    </row>
    <row r="6529" ht="14.25" customHeight="1">
      <c r="A6529" s="55" t="s">
        <v>9840</v>
      </c>
      <c r="B6529" s="55" t="s">
        <v>40</v>
      </c>
      <c r="C6529" s="55" t="s">
        <v>13967</v>
      </c>
      <c r="D6529" s="55" t="s">
        <v>9485</v>
      </c>
    </row>
    <row r="6530" ht="14.25" customHeight="1">
      <c r="A6530" s="55" t="s">
        <v>9840</v>
      </c>
      <c r="B6530" s="55" t="s">
        <v>40</v>
      </c>
      <c r="C6530" s="55" t="s">
        <v>286</v>
      </c>
      <c r="D6530" s="55" t="s">
        <v>11811</v>
      </c>
    </row>
    <row r="6531" ht="14.25" customHeight="1">
      <c r="A6531" s="55" t="s">
        <v>9840</v>
      </c>
      <c r="B6531" s="55" t="s">
        <v>40</v>
      </c>
      <c r="C6531" s="55" t="s">
        <v>9246</v>
      </c>
      <c r="D6531" s="55" t="s">
        <v>9028</v>
      </c>
    </row>
    <row r="6532" ht="14.25" customHeight="1">
      <c r="A6532" s="55" t="s">
        <v>9840</v>
      </c>
      <c r="B6532" s="55" t="s">
        <v>40</v>
      </c>
      <c r="C6532" s="55" t="s">
        <v>14425</v>
      </c>
      <c r="D6532" s="55" t="s">
        <v>14475</v>
      </c>
    </row>
    <row r="6533" ht="14.25" customHeight="1">
      <c r="A6533" s="55" t="s">
        <v>9840</v>
      </c>
      <c r="B6533" s="55" t="s">
        <v>40</v>
      </c>
      <c r="C6533" s="55" t="s">
        <v>5700</v>
      </c>
      <c r="D6533" s="55" t="s">
        <v>10486</v>
      </c>
    </row>
    <row r="6534" ht="14.25" customHeight="1">
      <c r="A6534" s="55" t="s">
        <v>9840</v>
      </c>
      <c r="B6534" s="55" t="s">
        <v>40</v>
      </c>
      <c r="C6534" s="55" t="s">
        <v>8954</v>
      </c>
      <c r="D6534" s="55" t="s">
        <v>9028</v>
      </c>
    </row>
    <row r="6535" ht="14.25" customHeight="1">
      <c r="A6535" s="55" t="s">
        <v>9840</v>
      </c>
      <c r="B6535" s="55" t="s">
        <v>40</v>
      </c>
      <c r="C6535" s="55" t="s">
        <v>12496</v>
      </c>
      <c r="D6535" s="55" t="s">
        <v>11900</v>
      </c>
    </row>
    <row r="6536" ht="14.25" customHeight="1">
      <c r="A6536" s="55" t="s">
        <v>9840</v>
      </c>
      <c r="B6536" s="55" t="s">
        <v>41</v>
      </c>
      <c r="C6536" s="55" t="s">
        <v>9034</v>
      </c>
      <c r="D6536" s="55" t="s">
        <v>9028</v>
      </c>
    </row>
    <row r="6537" ht="14.25" customHeight="1">
      <c r="A6537" s="55" t="s">
        <v>9840</v>
      </c>
      <c r="B6537" s="55" t="s">
        <v>41</v>
      </c>
      <c r="C6537" s="55" t="s">
        <v>14476</v>
      </c>
      <c r="D6537" s="55" t="s">
        <v>14477</v>
      </c>
    </row>
    <row r="6538" ht="14.25" customHeight="1">
      <c r="A6538" s="55" t="s">
        <v>9840</v>
      </c>
      <c r="B6538" s="55" t="s">
        <v>41</v>
      </c>
      <c r="C6538" s="55" t="s">
        <v>9340</v>
      </c>
      <c r="D6538" s="55" t="s">
        <v>14478</v>
      </c>
    </row>
    <row r="6539" ht="14.25" customHeight="1">
      <c r="A6539" s="55" t="s">
        <v>9840</v>
      </c>
      <c r="B6539" s="55" t="s">
        <v>41</v>
      </c>
      <c r="C6539" s="55" t="s">
        <v>13968</v>
      </c>
      <c r="D6539" s="55" t="s">
        <v>13969</v>
      </c>
    </row>
    <row r="6540" ht="14.25" customHeight="1">
      <c r="A6540" s="55" t="s">
        <v>9840</v>
      </c>
      <c r="B6540" s="55" t="s">
        <v>41</v>
      </c>
      <c r="C6540" s="55" t="s">
        <v>14479</v>
      </c>
      <c r="D6540" s="55" t="s">
        <v>8968</v>
      </c>
    </row>
    <row r="6541" ht="14.25" customHeight="1">
      <c r="A6541" s="55" t="s">
        <v>9840</v>
      </c>
      <c r="B6541" s="55" t="s">
        <v>41</v>
      </c>
      <c r="C6541" s="55" t="s">
        <v>11248</v>
      </c>
      <c r="D6541" s="55" t="s">
        <v>9028</v>
      </c>
    </row>
    <row r="6542" ht="14.25" customHeight="1">
      <c r="A6542" s="55" t="s">
        <v>9840</v>
      </c>
      <c r="B6542" s="55" t="s">
        <v>41</v>
      </c>
      <c r="C6542" s="55" t="s">
        <v>10655</v>
      </c>
      <c r="D6542" s="55" t="s">
        <v>11812</v>
      </c>
    </row>
    <row r="6543" ht="14.25" customHeight="1">
      <c r="A6543" s="55" t="s">
        <v>9840</v>
      </c>
      <c r="B6543" s="55" t="s">
        <v>41</v>
      </c>
      <c r="C6543" s="55" t="s">
        <v>2357</v>
      </c>
      <c r="D6543" s="55" t="s">
        <v>11249</v>
      </c>
    </row>
    <row r="6544" ht="14.25" customHeight="1">
      <c r="A6544" s="55" t="s">
        <v>9840</v>
      </c>
      <c r="B6544" s="55" t="s">
        <v>41</v>
      </c>
      <c r="C6544" s="55" t="s">
        <v>10483</v>
      </c>
      <c r="D6544" s="55" t="s">
        <v>10484</v>
      </c>
    </row>
    <row r="6545" ht="14.25" customHeight="1">
      <c r="A6545" s="55" t="s">
        <v>9840</v>
      </c>
      <c r="B6545" s="55" t="s">
        <v>41</v>
      </c>
      <c r="C6545" s="55" t="s">
        <v>12076</v>
      </c>
      <c r="D6545" s="55" t="s">
        <v>9867</v>
      </c>
    </row>
    <row r="6546" ht="14.25" customHeight="1">
      <c r="A6546" s="55" t="s">
        <v>9840</v>
      </c>
      <c r="B6546" s="55" t="s">
        <v>41</v>
      </c>
      <c r="C6546" s="55" t="s">
        <v>9313</v>
      </c>
      <c r="D6546" s="55" t="s">
        <v>9918</v>
      </c>
    </row>
    <row r="6547" ht="14.25" customHeight="1">
      <c r="A6547" s="55" t="s">
        <v>9840</v>
      </c>
      <c r="B6547" s="55" t="s">
        <v>41</v>
      </c>
      <c r="C6547" s="55" t="s">
        <v>9172</v>
      </c>
      <c r="D6547" s="55" t="s">
        <v>9071</v>
      </c>
    </row>
    <row r="6548" ht="14.25" customHeight="1">
      <c r="A6548" s="55" t="s">
        <v>9840</v>
      </c>
      <c r="B6548" s="55" t="s">
        <v>41</v>
      </c>
      <c r="C6548" s="55" t="s">
        <v>9172</v>
      </c>
      <c r="D6548" s="55" t="s">
        <v>14480</v>
      </c>
    </row>
    <row r="6549" ht="14.25" customHeight="1">
      <c r="A6549" s="55" t="s">
        <v>9840</v>
      </c>
      <c r="B6549" s="55" t="s">
        <v>41</v>
      </c>
      <c r="C6549" s="55" t="s">
        <v>5834</v>
      </c>
      <c r="D6549" s="55" t="s">
        <v>9028</v>
      </c>
    </row>
    <row r="6550" ht="14.25" customHeight="1">
      <c r="A6550" s="55" t="s">
        <v>9840</v>
      </c>
      <c r="B6550" s="55" t="s">
        <v>41</v>
      </c>
      <c r="C6550" s="55" t="s">
        <v>10485</v>
      </c>
      <c r="D6550" s="55" t="s">
        <v>10486</v>
      </c>
    </row>
    <row r="6551" ht="14.25" customHeight="1">
      <c r="A6551" s="55" t="s">
        <v>9840</v>
      </c>
      <c r="B6551" s="55" t="s">
        <v>41</v>
      </c>
      <c r="C6551" s="55" t="s">
        <v>7471</v>
      </c>
      <c r="D6551" s="55" t="s">
        <v>10487</v>
      </c>
    </row>
    <row r="6552" ht="14.25" customHeight="1">
      <c r="A6552" s="55" t="s">
        <v>9840</v>
      </c>
      <c r="B6552" s="55" t="s">
        <v>41</v>
      </c>
      <c r="C6552" s="55" t="s">
        <v>11250</v>
      </c>
      <c r="D6552" s="55" t="s">
        <v>10819</v>
      </c>
    </row>
    <row r="6553" ht="14.25" customHeight="1">
      <c r="A6553" s="55" t="s">
        <v>9840</v>
      </c>
      <c r="B6553" s="55" t="s">
        <v>41</v>
      </c>
      <c r="C6553" s="55" t="s">
        <v>13383</v>
      </c>
      <c r="D6553" s="55" t="s">
        <v>9037</v>
      </c>
    </row>
    <row r="6554" ht="14.25" customHeight="1">
      <c r="A6554" s="55" t="s">
        <v>9840</v>
      </c>
      <c r="B6554" s="55" t="s">
        <v>41</v>
      </c>
      <c r="C6554" s="55" t="s">
        <v>10735</v>
      </c>
      <c r="D6554" s="55" t="s">
        <v>9055</v>
      </c>
    </row>
    <row r="6555" ht="14.25" customHeight="1">
      <c r="A6555" s="55" t="s">
        <v>9840</v>
      </c>
      <c r="B6555" s="55" t="s">
        <v>41</v>
      </c>
      <c r="C6555" s="55" t="s">
        <v>9919</v>
      </c>
      <c r="D6555" s="55" t="s">
        <v>9920</v>
      </c>
    </row>
    <row r="6556" ht="14.25" customHeight="1">
      <c r="A6556" s="55" t="s">
        <v>9840</v>
      </c>
      <c r="B6556" s="55" t="s">
        <v>41</v>
      </c>
      <c r="C6556" s="55" t="s">
        <v>1889</v>
      </c>
      <c r="D6556" s="55" t="s">
        <v>9018</v>
      </c>
    </row>
    <row r="6557" ht="14.25" customHeight="1">
      <c r="A6557" s="55" t="s">
        <v>9840</v>
      </c>
      <c r="B6557" s="55" t="s">
        <v>41</v>
      </c>
      <c r="C6557" s="55" t="s">
        <v>1889</v>
      </c>
      <c r="D6557" s="55" t="s">
        <v>9583</v>
      </c>
    </row>
    <row r="6558" ht="14.25" customHeight="1">
      <c r="A6558" s="55" t="s">
        <v>9840</v>
      </c>
      <c r="B6558" s="55" t="s">
        <v>41</v>
      </c>
      <c r="C6558" s="55" t="s">
        <v>13970</v>
      </c>
      <c r="D6558" s="55" t="s">
        <v>9034</v>
      </c>
    </row>
    <row r="6559" ht="14.25" customHeight="1">
      <c r="A6559" s="55" t="s">
        <v>9840</v>
      </c>
      <c r="B6559" s="55" t="s">
        <v>41</v>
      </c>
      <c r="C6559" s="55" t="s">
        <v>11251</v>
      </c>
      <c r="D6559" s="55" t="s">
        <v>11252</v>
      </c>
    </row>
    <row r="6560" ht="14.25" customHeight="1">
      <c r="A6560" s="55" t="s">
        <v>9840</v>
      </c>
      <c r="B6560" s="55" t="s">
        <v>41</v>
      </c>
      <c r="C6560" s="55" t="s">
        <v>14481</v>
      </c>
      <c r="D6560" s="55" t="s">
        <v>9180</v>
      </c>
    </row>
    <row r="6561" ht="14.25" customHeight="1">
      <c r="A6561" s="55" t="s">
        <v>9840</v>
      </c>
      <c r="B6561" s="55" t="s">
        <v>41</v>
      </c>
      <c r="C6561" s="55" t="s">
        <v>89</v>
      </c>
      <c r="D6561" s="55" t="s">
        <v>10488</v>
      </c>
    </row>
    <row r="6562" ht="14.25" customHeight="1">
      <c r="A6562" s="55" t="s">
        <v>9840</v>
      </c>
      <c r="B6562" s="55" t="s">
        <v>41</v>
      </c>
      <c r="C6562" s="55" t="s">
        <v>89</v>
      </c>
      <c r="D6562" s="55" t="s">
        <v>13971</v>
      </c>
    </row>
    <row r="6563" ht="14.25" customHeight="1">
      <c r="A6563" s="55" t="s">
        <v>9840</v>
      </c>
      <c r="B6563" s="55" t="s">
        <v>41</v>
      </c>
      <c r="C6563" s="55" t="s">
        <v>89</v>
      </c>
      <c r="D6563" s="55" t="s">
        <v>12497</v>
      </c>
    </row>
    <row r="6564" ht="14.25" customHeight="1">
      <c r="A6564" s="55" t="s">
        <v>9840</v>
      </c>
      <c r="B6564" s="55" t="s">
        <v>41</v>
      </c>
      <c r="C6564" s="55" t="s">
        <v>10650</v>
      </c>
      <c r="D6564" s="55" t="s">
        <v>10080</v>
      </c>
    </row>
    <row r="6565" ht="14.25" customHeight="1">
      <c r="A6565" s="55" t="s">
        <v>9840</v>
      </c>
      <c r="B6565" s="55" t="s">
        <v>41</v>
      </c>
      <c r="C6565" s="55" t="s">
        <v>776</v>
      </c>
      <c r="D6565" s="55" t="s">
        <v>9875</v>
      </c>
    </row>
    <row r="6566" ht="14.25" customHeight="1">
      <c r="A6566" s="55" t="s">
        <v>9840</v>
      </c>
      <c r="B6566" s="55" t="s">
        <v>41</v>
      </c>
      <c r="C6566" s="55" t="s">
        <v>294</v>
      </c>
      <c r="D6566" s="55" t="s">
        <v>9305</v>
      </c>
    </row>
    <row r="6567" ht="14.25" customHeight="1">
      <c r="A6567" s="55" t="s">
        <v>9840</v>
      </c>
      <c r="B6567" s="55" t="s">
        <v>41</v>
      </c>
      <c r="C6567" s="55" t="s">
        <v>14482</v>
      </c>
      <c r="D6567" s="55" t="s">
        <v>9258</v>
      </c>
    </row>
    <row r="6568" ht="14.25" customHeight="1">
      <c r="A6568" s="55" t="s">
        <v>9840</v>
      </c>
      <c r="B6568" s="55" t="s">
        <v>41</v>
      </c>
      <c r="C6568" s="55" t="s">
        <v>98</v>
      </c>
      <c r="D6568" s="55" t="s">
        <v>9034</v>
      </c>
    </row>
    <row r="6569" ht="14.25" customHeight="1">
      <c r="A6569" s="55" t="s">
        <v>9840</v>
      </c>
      <c r="B6569" s="55" t="s">
        <v>41</v>
      </c>
      <c r="C6569" s="55" t="s">
        <v>10660</v>
      </c>
      <c r="D6569" s="55" t="s">
        <v>11189</v>
      </c>
    </row>
    <row r="6570" ht="14.25" customHeight="1">
      <c r="A6570" s="55" t="s">
        <v>9840</v>
      </c>
      <c r="B6570" s="55" t="s">
        <v>41</v>
      </c>
      <c r="C6570" s="55" t="s">
        <v>9110</v>
      </c>
      <c r="D6570" s="55" t="s">
        <v>9122</v>
      </c>
    </row>
    <row r="6571" ht="14.25" customHeight="1">
      <c r="A6571" s="55" t="s">
        <v>9840</v>
      </c>
      <c r="B6571" s="55" t="s">
        <v>41</v>
      </c>
      <c r="C6571" s="55" t="s">
        <v>10489</v>
      </c>
      <c r="D6571" s="55" t="s">
        <v>8968</v>
      </c>
    </row>
    <row r="6572" ht="14.25" customHeight="1">
      <c r="A6572" s="55" t="s">
        <v>9840</v>
      </c>
      <c r="B6572" s="55" t="s">
        <v>41</v>
      </c>
      <c r="C6572" s="55" t="s">
        <v>12498</v>
      </c>
      <c r="D6572" s="55" t="s">
        <v>11087</v>
      </c>
    </row>
    <row r="6573" ht="14.25" customHeight="1">
      <c r="A6573" s="55" t="s">
        <v>9840</v>
      </c>
      <c r="B6573" s="55" t="s">
        <v>41</v>
      </c>
      <c r="C6573" s="55" t="s">
        <v>9921</v>
      </c>
      <c r="D6573" s="55" t="s">
        <v>9922</v>
      </c>
    </row>
    <row r="6574" ht="14.25" customHeight="1">
      <c r="A6574" s="55" t="s">
        <v>9840</v>
      </c>
      <c r="B6574" s="55" t="s">
        <v>41</v>
      </c>
      <c r="C6574" s="55" t="s">
        <v>10490</v>
      </c>
      <c r="D6574" s="55" t="s">
        <v>10491</v>
      </c>
    </row>
    <row r="6575" ht="14.25" customHeight="1">
      <c r="A6575" s="55" t="s">
        <v>9840</v>
      </c>
      <c r="B6575" s="55" t="s">
        <v>41</v>
      </c>
      <c r="C6575" s="55" t="s">
        <v>11813</v>
      </c>
      <c r="D6575" s="55" t="s">
        <v>9028</v>
      </c>
    </row>
    <row r="6576" ht="14.25" customHeight="1">
      <c r="A6576" s="55" t="s">
        <v>9840</v>
      </c>
      <c r="B6576" s="55" t="s">
        <v>41</v>
      </c>
      <c r="C6576" s="55" t="s">
        <v>11133</v>
      </c>
      <c r="D6576" s="55" t="s">
        <v>12499</v>
      </c>
    </row>
    <row r="6577" ht="14.25" customHeight="1">
      <c r="A6577" s="55" t="s">
        <v>9840</v>
      </c>
      <c r="B6577" s="55" t="s">
        <v>41</v>
      </c>
      <c r="C6577" s="55" t="s">
        <v>11253</v>
      </c>
      <c r="D6577" s="55" t="s">
        <v>11254</v>
      </c>
    </row>
    <row r="6578" ht="14.25" customHeight="1">
      <c r="A6578" s="55" t="s">
        <v>9840</v>
      </c>
      <c r="B6578" s="55" t="s">
        <v>41</v>
      </c>
      <c r="C6578" s="55" t="s">
        <v>13972</v>
      </c>
      <c r="D6578" s="55" t="s">
        <v>9404</v>
      </c>
    </row>
    <row r="6579" ht="14.25" customHeight="1">
      <c r="A6579" s="55" t="s">
        <v>9840</v>
      </c>
      <c r="B6579" s="55" t="s">
        <v>41</v>
      </c>
      <c r="C6579" s="55" t="s">
        <v>916</v>
      </c>
      <c r="D6579" s="55" t="s">
        <v>9867</v>
      </c>
    </row>
    <row r="6580" ht="14.25" customHeight="1">
      <c r="A6580" s="55" t="s">
        <v>9840</v>
      </c>
      <c r="B6580" s="55" t="s">
        <v>41</v>
      </c>
      <c r="C6580" s="55" t="s">
        <v>916</v>
      </c>
      <c r="D6580" s="55" t="s">
        <v>10486</v>
      </c>
    </row>
    <row r="6581" ht="14.25" customHeight="1">
      <c r="A6581" s="55" t="s">
        <v>9840</v>
      </c>
      <c r="B6581" s="55" t="s">
        <v>41</v>
      </c>
      <c r="C6581" s="55" t="s">
        <v>9121</v>
      </c>
      <c r="D6581" s="55" t="s">
        <v>9827</v>
      </c>
    </row>
    <row r="6582" ht="14.25" customHeight="1">
      <c r="A6582" s="55" t="s">
        <v>9840</v>
      </c>
      <c r="B6582" s="55" t="s">
        <v>41</v>
      </c>
      <c r="C6582" s="55" t="s">
        <v>13384</v>
      </c>
      <c r="D6582" s="55" t="s">
        <v>8976</v>
      </c>
    </row>
    <row r="6583" ht="14.25" customHeight="1">
      <c r="A6583" s="55" t="s">
        <v>9840</v>
      </c>
      <c r="B6583" s="55" t="s">
        <v>41</v>
      </c>
      <c r="C6583" s="55" t="s">
        <v>11255</v>
      </c>
      <c r="D6583" s="55" t="s">
        <v>11256</v>
      </c>
    </row>
    <row r="6584" ht="14.25" customHeight="1">
      <c r="A6584" s="55" t="s">
        <v>9840</v>
      </c>
      <c r="B6584" s="55" t="s">
        <v>41</v>
      </c>
      <c r="C6584" s="55" t="s">
        <v>9478</v>
      </c>
      <c r="D6584" s="55" t="s">
        <v>9028</v>
      </c>
    </row>
    <row r="6585" ht="14.25" customHeight="1">
      <c r="A6585" s="55" t="s">
        <v>9840</v>
      </c>
      <c r="B6585" s="55" t="s">
        <v>41</v>
      </c>
      <c r="C6585" s="55" t="s">
        <v>12500</v>
      </c>
      <c r="D6585" s="55" t="s">
        <v>9028</v>
      </c>
    </row>
    <row r="6586" ht="14.25" customHeight="1">
      <c r="A6586" s="55" t="s">
        <v>9840</v>
      </c>
      <c r="B6586" s="55" t="s">
        <v>41</v>
      </c>
      <c r="C6586" s="55" t="s">
        <v>9132</v>
      </c>
      <c r="D6586" s="55" t="s">
        <v>9034</v>
      </c>
    </row>
    <row r="6587" ht="14.25" customHeight="1">
      <c r="A6587" s="55" t="s">
        <v>9840</v>
      </c>
      <c r="B6587" s="55" t="s">
        <v>41</v>
      </c>
      <c r="C6587" s="55" t="s">
        <v>11257</v>
      </c>
      <c r="D6587" s="55" t="s">
        <v>9131</v>
      </c>
    </row>
    <row r="6588" ht="14.25" customHeight="1">
      <c r="A6588" s="55" t="s">
        <v>9840</v>
      </c>
      <c r="B6588" s="55" t="s">
        <v>41</v>
      </c>
      <c r="C6588" s="55" t="s">
        <v>10492</v>
      </c>
      <c r="D6588" s="55" t="s">
        <v>10493</v>
      </c>
    </row>
    <row r="6589" ht="14.25" customHeight="1">
      <c r="A6589" s="55" t="s">
        <v>9840</v>
      </c>
      <c r="B6589" s="55" t="s">
        <v>41</v>
      </c>
      <c r="C6589" s="55" t="s">
        <v>9133</v>
      </c>
      <c r="D6589" s="55" t="s">
        <v>10090</v>
      </c>
    </row>
    <row r="6590" ht="14.25" customHeight="1">
      <c r="A6590" s="55" t="s">
        <v>9840</v>
      </c>
      <c r="B6590" s="55" t="s">
        <v>41</v>
      </c>
      <c r="C6590" s="55" t="s">
        <v>14483</v>
      </c>
      <c r="D6590" s="55" t="s">
        <v>14484</v>
      </c>
    </row>
    <row r="6591" ht="14.25" customHeight="1">
      <c r="A6591" s="55" t="s">
        <v>9840</v>
      </c>
      <c r="B6591" s="55" t="s">
        <v>41</v>
      </c>
      <c r="C6591" s="55" t="s">
        <v>14485</v>
      </c>
      <c r="D6591" s="55" t="s">
        <v>14486</v>
      </c>
    </row>
    <row r="6592" ht="14.25" customHeight="1">
      <c r="A6592" s="55" t="s">
        <v>9840</v>
      </c>
      <c r="B6592" s="55" t="s">
        <v>41</v>
      </c>
      <c r="C6592" s="55" t="s">
        <v>11814</v>
      </c>
      <c r="D6592" s="55" t="s">
        <v>8978</v>
      </c>
    </row>
    <row r="6593" ht="14.25" customHeight="1">
      <c r="A6593" s="55" t="s">
        <v>9840</v>
      </c>
      <c r="B6593" s="55" t="s">
        <v>41</v>
      </c>
      <c r="C6593" s="55" t="s">
        <v>12501</v>
      </c>
      <c r="D6593" s="55" t="s">
        <v>9012</v>
      </c>
    </row>
    <row r="6594" ht="14.25" customHeight="1">
      <c r="A6594" s="55" t="s">
        <v>9840</v>
      </c>
      <c r="B6594" s="55" t="s">
        <v>41</v>
      </c>
      <c r="C6594" s="55" t="s">
        <v>3138</v>
      </c>
      <c r="D6594" s="55" t="s">
        <v>14487</v>
      </c>
    </row>
    <row r="6595" ht="14.25" customHeight="1">
      <c r="A6595" s="55" t="s">
        <v>9840</v>
      </c>
      <c r="B6595" s="55" t="s">
        <v>41</v>
      </c>
      <c r="C6595" s="55" t="s">
        <v>3138</v>
      </c>
      <c r="D6595" s="55" t="s">
        <v>10494</v>
      </c>
    </row>
    <row r="6596" ht="14.25" customHeight="1">
      <c r="A6596" s="55" t="s">
        <v>9840</v>
      </c>
      <c r="B6596" s="55" t="s">
        <v>41</v>
      </c>
      <c r="C6596" s="55" t="s">
        <v>7967</v>
      </c>
      <c r="D6596" s="55" t="s">
        <v>8968</v>
      </c>
    </row>
    <row r="6597" ht="14.25" customHeight="1">
      <c r="A6597" s="55" t="s">
        <v>9840</v>
      </c>
      <c r="B6597" s="55" t="s">
        <v>41</v>
      </c>
      <c r="C6597" s="55" t="s">
        <v>3205</v>
      </c>
      <c r="D6597" s="55" t="s">
        <v>11815</v>
      </c>
    </row>
    <row r="6598" ht="14.25" customHeight="1">
      <c r="A6598" s="55" t="s">
        <v>9840</v>
      </c>
      <c r="B6598" s="55" t="s">
        <v>41</v>
      </c>
      <c r="C6598" s="55" t="s">
        <v>141</v>
      </c>
      <c r="D6598" s="55" t="s">
        <v>9859</v>
      </c>
    </row>
    <row r="6599" ht="14.25" customHeight="1">
      <c r="A6599" s="55" t="s">
        <v>9840</v>
      </c>
      <c r="B6599" s="55" t="s">
        <v>41</v>
      </c>
      <c r="C6599" s="55" t="s">
        <v>10702</v>
      </c>
      <c r="D6599" s="55" t="s">
        <v>11816</v>
      </c>
    </row>
    <row r="6600" ht="14.25" customHeight="1">
      <c r="A6600" s="55" t="s">
        <v>9840</v>
      </c>
      <c r="B6600" s="55" t="s">
        <v>41</v>
      </c>
      <c r="C6600" s="55" t="s">
        <v>13973</v>
      </c>
      <c r="D6600" s="55" t="s">
        <v>13974</v>
      </c>
    </row>
    <row r="6601" ht="14.25" customHeight="1">
      <c r="A6601" s="55" t="s">
        <v>9840</v>
      </c>
      <c r="B6601" s="55" t="s">
        <v>41</v>
      </c>
      <c r="C6601" s="55" t="s">
        <v>13975</v>
      </c>
      <c r="D6601" s="55" t="s">
        <v>9583</v>
      </c>
    </row>
    <row r="6602" ht="14.25" customHeight="1">
      <c r="A6602" s="55" t="s">
        <v>9840</v>
      </c>
      <c r="B6602" s="55" t="s">
        <v>41</v>
      </c>
      <c r="C6602" s="55" t="s">
        <v>3313</v>
      </c>
      <c r="D6602" s="55" t="s">
        <v>13976</v>
      </c>
    </row>
    <row r="6603" ht="14.25" customHeight="1">
      <c r="A6603" s="55" t="s">
        <v>9840</v>
      </c>
      <c r="B6603" s="55" t="s">
        <v>41</v>
      </c>
      <c r="C6603" s="55" t="s">
        <v>3313</v>
      </c>
      <c r="D6603" s="55" t="s">
        <v>9044</v>
      </c>
    </row>
    <row r="6604" ht="14.25" customHeight="1">
      <c r="A6604" s="55" t="s">
        <v>9840</v>
      </c>
      <c r="B6604" s="55" t="s">
        <v>41</v>
      </c>
      <c r="C6604" s="55" t="s">
        <v>12502</v>
      </c>
      <c r="D6604" s="55" t="s">
        <v>9579</v>
      </c>
    </row>
    <row r="6605" ht="14.25" customHeight="1">
      <c r="A6605" s="55" t="s">
        <v>9840</v>
      </c>
      <c r="B6605" s="55" t="s">
        <v>41</v>
      </c>
      <c r="C6605" s="55" t="s">
        <v>9923</v>
      </c>
      <c r="D6605" s="55" t="s">
        <v>8968</v>
      </c>
    </row>
    <row r="6606" ht="14.25" customHeight="1">
      <c r="A6606" s="55" t="s">
        <v>9840</v>
      </c>
      <c r="B6606" s="55" t="s">
        <v>41</v>
      </c>
      <c r="C6606" s="55" t="s">
        <v>13977</v>
      </c>
      <c r="D6606" s="55" t="s">
        <v>13328</v>
      </c>
    </row>
    <row r="6607" ht="14.25" customHeight="1">
      <c r="A6607" s="55" t="s">
        <v>9840</v>
      </c>
      <c r="B6607" s="55" t="s">
        <v>41</v>
      </c>
      <c r="C6607" s="55" t="s">
        <v>13977</v>
      </c>
      <c r="D6607" s="55" t="s">
        <v>11087</v>
      </c>
    </row>
    <row r="6608" ht="14.25" customHeight="1">
      <c r="A6608" s="55" t="s">
        <v>9840</v>
      </c>
      <c r="B6608" s="55" t="s">
        <v>41</v>
      </c>
      <c r="C6608" s="55" t="s">
        <v>9329</v>
      </c>
      <c r="D6608" s="55" t="s">
        <v>14488</v>
      </c>
    </row>
    <row r="6609" ht="14.25" customHeight="1">
      <c r="A6609" s="55" t="s">
        <v>9840</v>
      </c>
      <c r="B6609" s="55" t="s">
        <v>41</v>
      </c>
      <c r="C6609" s="55" t="s">
        <v>9329</v>
      </c>
      <c r="D6609" s="55" t="s">
        <v>13927</v>
      </c>
    </row>
    <row r="6610" ht="14.25" customHeight="1">
      <c r="A6610" s="55" t="s">
        <v>9840</v>
      </c>
      <c r="B6610" s="55" t="s">
        <v>41</v>
      </c>
      <c r="C6610" s="55" t="s">
        <v>9329</v>
      </c>
      <c r="D6610" s="55" t="s">
        <v>9073</v>
      </c>
    </row>
    <row r="6611" ht="14.25" customHeight="1">
      <c r="A6611" s="55" t="s">
        <v>9840</v>
      </c>
      <c r="B6611" s="55" t="s">
        <v>41</v>
      </c>
      <c r="C6611" s="55" t="s">
        <v>10683</v>
      </c>
      <c r="D6611" s="55" t="s">
        <v>11258</v>
      </c>
    </row>
    <row r="6612" ht="14.25" customHeight="1">
      <c r="A6612" s="55" t="s">
        <v>9840</v>
      </c>
      <c r="B6612" s="55" t="s">
        <v>41</v>
      </c>
      <c r="C6612" s="55" t="s">
        <v>11259</v>
      </c>
      <c r="D6612" s="55" t="s">
        <v>9817</v>
      </c>
    </row>
    <row r="6613" ht="14.25" customHeight="1">
      <c r="A6613" s="55" t="s">
        <v>9840</v>
      </c>
      <c r="B6613" s="55" t="s">
        <v>41</v>
      </c>
      <c r="C6613" s="55" t="s">
        <v>9658</v>
      </c>
      <c r="D6613" s="55" t="s">
        <v>9168</v>
      </c>
    </row>
    <row r="6614" ht="14.25" customHeight="1">
      <c r="A6614" s="55" t="s">
        <v>9840</v>
      </c>
      <c r="B6614" s="55" t="s">
        <v>41</v>
      </c>
      <c r="C6614" s="55" t="s">
        <v>9658</v>
      </c>
      <c r="D6614" s="55" t="s">
        <v>11444</v>
      </c>
    </row>
    <row r="6615" ht="14.25" customHeight="1">
      <c r="A6615" s="55" t="s">
        <v>9840</v>
      </c>
      <c r="B6615" s="55" t="s">
        <v>41</v>
      </c>
      <c r="C6615" s="55" t="s">
        <v>11260</v>
      </c>
      <c r="D6615" s="55" t="s">
        <v>9525</v>
      </c>
    </row>
    <row r="6616" ht="14.25" customHeight="1">
      <c r="A6616" s="55" t="s">
        <v>9840</v>
      </c>
      <c r="B6616" s="55" t="s">
        <v>41</v>
      </c>
      <c r="C6616" s="55" t="s">
        <v>11261</v>
      </c>
      <c r="D6616" s="55" t="s">
        <v>9525</v>
      </c>
    </row>
    <row r="6617" ht="14.25" customHeight="1">
      <c r="A6617" s="55" t="s">
        <v>9840</v>
      </c>
      <c r="B6617" s="55" t="s">
        <v>41</v>
      </c>
      <c r="C6617" s="55" t="s">
        <v>11262</v>
      </c>
      <c r="D6617" s="55" t="s">
        <v>9034</v>
      </c>
    </row>
    <row r="6618" ht="14.25" customHeight="1">
      <c r="A6618" s="55" t="s">
        <v>9840</v>
      </c>
      <c r="B6618" s="55" t="s">
        <v>41</v>
      </c>
      <c r="C6618" s="55" t="s">
        <v>312</v>
      </c>
      <c r="D6618" s="55" t="s">
        <v>11817</v>
      </c>
    </row>
    <row r="6619" ht="14.25" customHeight="1">
      <c r="A6619" s="55" t="s">
        <v>9840</v>
      </c>
      <c r="B6619" s="55" t="s">
        <v>41</v>
      </c>
      <c r="C6619" s="55" t="s">
        <v>13978</v>
      </c>
      <c r="D6619" s="55" t="s">
        <v>9583</v>
      </c>
    </row>
    <row r="6620" ht="14.25" customHeight="1">
      <c r="A6620" s="55" t="s">
        <v>9840</v>
      </c>
      <c r="B6620" s="55" t="s">
        <v>41</v>
      </c>
      <c r="C6620" s="55" t="s">
        <v>10495</v>
      </c>
      <c r="D6620" s="55" t="s">
        <v>10496</v>
      </c>
    </row>
    <row r="6621" ht="14.25" customHeight="1">
      <c r="A6621" s="55" t="s">
        <v>9840</v>
      </c>
      <c r="B6621" s="55" t="s">
        <v>41</v>
      </c>
      <c r="C6621" s="55" t="s">
        <v>12503</v>
      </c>
      <c r="D6621" s="55" t="s">
        <v>9028</v>
      </c>
    </row>
    <row r="6622" ht="14.25" customHeight="1">
      <c r="A6622" s="55" t="s">
        <v>9840</v>
      </c>
      <c r="B6622" s="55" t="s">
        <v>41</v>
      </c>
      <c r="C6622" s="55" t="s">
        <v>178</v>
      </c>
      <c r="D6622" s="55" t="s">
        <v>11818</v>
      </c>
    </row>
    <row r="6623" ht="14.25" customHeight="1">
      <c r="A6623" s="55" t="s">
        <v>9840</v>
      </c>
      <c r="B6623" s="55" t="s">
        <v>41</v>
      </c>
      <c r="C6623" s="55" t="s">
        <v>3566</v>
      </c>
      <c r="D6623" s="55" t="s">
        <v>9034</v>
      </c>
    </row>
    <row r="6624" ht="14.25" customHeight="1">
      <c r="A6624" s="55" t="s">
        <v>9840</v>
      </c>
      <c r="B6624" s="55" t="s">
        <v>41</v>
      </c>
      <c r="C6624" s="55" t="s">
        <v>3566</v>
      </c>
      <c r="D6624" s="55" t="s">
        <v>8989</v>
      </c>
    </row>
    <row r="6625" ht="14.25" customHeight="1">
      <c r="A6625" s="55" t="s">
        <v>9840</v>
      </c>
      <c r="B6625" s="55" t="s">
        <v>41</v>
      </c>
      <c r="C6625" s="55" t="s">
        <v>3566</v>
      </c>
      <c r="D6625" s="55" t="s">
        <v>13979</v>
      </c>
    </row>
    <row r="6626" ht="14.25" customHeight="1">
      <c r="A6626" s="55" t="s">
        <v>9840</v>
      </c>
      <c r="B6626" s="55" t="s">
        <v>41</v>
      </c>
      <c r="C6626" s="55" t="s">
        <v>3566</v>
      </c>
      <c r="D6626" s="55" t="s">
        <v>9131</v>
      </c>
    </row>
    <row r="6627" ht="14.25" customHeight="1">
      <c r="A6627" s="55" t="s">
        <v>9840</v>
      </c>
      <c r="B6627" s="55" t="s">
        <v>41</v>
      </c>
      <c r="C6627" s="55" t="s">
        <v>3566</v>
      </c>
      <c r="D6627" s="55" t="s">
        <v>14489</v>
      </c>
    </row>
    <row r="6628" ht="14.25" customHeight="1">
      <c r="A6628" s="55" t="s">
        <v>9840</v>
      </c>
      <c r="B6628" s="55" t="s">
        <v>41</v>
      </c>
      <c r="C6628" s="55" t="s">
        <v>3566</v>
      </c>
      <c r="D6628" s="55" t="s">
        <v>8968</v>
      </c>
    </row>
    <row r="6629" ht="14.25" customHeight="1">
      <c r="A6629" s="55" t="s">
        <v>9840</v>
      </c>
      <c r="B6629" s="55" t="s">
        <v>41</v>
      </c>
      <c r="C6629" s="55" t="s">
        <v>3566</v>
      </c>
      <c r="D6629" s="55" t="s">
        <v>9071</v>
      </c>
    </row>
    <row r="6630" ht="14.25" customHeight="1">
      <c r="A6630" s="55" t="s">
        <v>9840</v>
      </c>
      <c r="B6630" s="55" t="s">
        <v>41</v>
      </c>
      <c r="C6630" s="55" t="s">
        <v>3566</v>
      </c>
      <c r="D6630" s="55" t="s">
        <v>11263</v>
      </c>
    </row>
    <row r="6631" ht="14.25" customHeight="1">
      <c r="A6631" s="55" t="s">
        <v>9840</v>
      </c>
      <c r="B6631" s="55" t="s">
        <v>41</v>
      </c>
      <c r="C6631" s="55" t="s">
        <v>3596</v>
      </c>
      <c r="D6631" s="55" t="s">
        <v>10576</v>
      </c>
    </row>
    <row r="6632" ht="14.25" customHeight="1">
      <c r="A6632" s="55" t="s">
        <v>9840</v>
      </c>
      <c r="B6632" s="55" t="s">
        <v>41</v>
      </c>
      <c r="C6632" s="55" t="s">
        <v>9543</v>
      </c>
      <c r="D6632" s="55" t="s">
        <v>13980</v>
      </c>
    </row>
    <row r="6633" ht="14.25" customHeight="1">
      <c r="A6633" s="55" t="s">
        <v>9840</v>
      </c>
      <c r="B6633" s="55" t="s">
        <v>41</v>
      </c>
      <c r="C6633" s="55" t="s">
        <v>9543</v>
      </c>
      <c r="D6633" s="55" t="s">
        <v>10497</v>
      </c>
    </row>
    <row r="6634" ht="14.25" customHeight="1">
      <c r="A6634" s="55" t="s">
        <v>9840</v>
      </c>
      <c r="B6634" s="55" t="s">
        <v>41</v>
      </c>
      <c r="C6634" s="55" t="s">
        <v>9543</v>
      </c>
      <c r="D6634" s="55" t="s">
        <v>9086</v>
      </c>
    </row>
    <row r="6635" ht="14.25" customHeight="1">
      <c r="A6635" s="55" t="s">
        <v>9840</v>
      </c>
      <c r="B6635" s="55" t="s">
        <v>41</v>
      </c>
      <c r="C6635" s="55" t="s">
        <v>10498</v>
      </c>
      <c r="D6635" s="55" t="s">
        <v>9877</v>
      </c>
    </row>
    <row r="6636" ht="14.25" customHeight="1">
      <c r="A6636" s="55" t="s">
        <v>9840</v>
      </c>
      <c r="B6636" s="55" t="s">
        <v>41</v>
      </c>
      <c r="C6636" s="55" t="s">
        <v>12891</v>
      </c>
      <c r="D6636" s="55" t="s">
        <v>14490</v>
      </c>
    </row>
    <row r="6637" ht="14.25" customHeight="1">
      <c r="A6637" s="55" t="s">
        <v>9840</v>
      </c>
      <c r="B6637" s="55" t="s">
        <v>41</v>
      </c>
      <c r="C6637" s="55" t="s">
        <v>12891</v>
      </c>
      <c r="D6637" s="55" t="s">
        <v>13385</v>
      </c>
    </row>
    <row r="6638" ht="14.25" customHeight="1">
      <c r="A6638" s="55" t="s">
        <v>9840</v>
      </c>
      <c r="B6638" s="55" t="s">
        <v>41</v>
      </c>
      <c r="C6638" s="55" t="s">
        <v>10636</v>
      </c>
      <c r="D6638" s="55" t="s">
        <v>10080</v>
      </c>
    </row>
    <row r="6639" ht="14.25" customHeight="1">
      <c r="A6639" s="55" t="s">
        <v>9840</v>
      </c>
      <c r="B6639" s="55" t="s">
        <v>41</v>
      </c>
      <c r="C6639" s="55" t="s">
        <v>10499</v>
      </c>
      <c r="D6639" s="55" t="s">
        <v>9028</v>
      </c>
    </row>
    <row r="6640" ht="14.25" customHeight="1">
      <c r="A6640" s="55" t="s">
        <v>9840</v>
      </c>
      <c r="B6640" s="55" t="s">
        <v>41</v>
      </c>
      <c r="C6640" s="55" t="s">
        <v>11819</v>
      </c>
      <c r="D6640" s="55" t="s">
        <v>9913</v>
      </c>
    </row>
    <row r="6641" ht="14.25" customHeight="1">
      <c r="A6641" s="55" t="s">
        <v>9840</v>
      </c>
      <c r="B6641" s="55" t="s">
        <v>41</v>
      </c>
      <c r="C6641" s="55" t="s">
        <v>202</v>
      </c>
      <c r="D6641" s="55" t="s">
        <v>11824</v>
      </c>
    </row>
    <row r="6642" ht="14.25" customHeight="1">
      <c r="A6642" s="55" t="s">
        <v>9840</v>
      </c>
      <c r="B6642" s="55" t="s">
        <v>41</v>
      </c>
      <c r="C6642" s="55" t="s">
        <v>9791</v>
      </c>
      <c r="D6642" s="55" t="s">
        <v>9028</v>
      </c>
    </row>
    <row r="6643" ht="14.25" customHeight="1">
      <c r="A6643" s="55" t="s">
        <v>9840</v>
      </c>
      <c r="B6643" s="55" t="s">
        <v>41</v>
      </c>
      <c r="C6643" s="55" t="s">
        <v>9924</v>
      </c>
      <c r="D6643" s="55" t="s">
        <v>9371</v>
      </c>
    </row>
    <row r="6644" ht="14.25" customHeight="1">
      <c r="A6644" s="55" t="s">
        <v>9840</v>
      </c>
      <c r="B6644" s="55" t="s">
        <v>41</v>
      </c>
      <c r="C6644" s="55" t="s">
        <v>204</v>
      </c>
      <c r="D6644" s="55" t="s">
        <v>9028</v>
      </c>
    </row>
    <row r="6645" ht="14.25" customHeight="1">
      <c r="A6645" s="55" t="s">
        <v>9840</v>
      </c>
      <c r="B6645" s="55" t="s">
        <v>41</v>
      </c>
      <c r="C6645" s="55" t="s">
        <v>204</v>
      </c>
      <c r="D6645" s="55" t="s">
        <v>13386</v>
      </c>
    </row>
    <row r="6646" ht="14.25" customHeight="1">
      <c r="A6646" s="55" t="s">
        <v>9840</v>
      </c>
      <c r="B6646" s="55" t="s">
        <v>41</v>
      </c>
      <c r="C6646" s="55" t="s">
        <v>11264</v>
      </c>
      <c r="D6646" s="55" t="s">
        <v>9055</v>
      </c>
    </row>
    <row r="6647" ht="14.25" customHeight="1">
      <c r="A6647" s="55" t="s">
        <v>9840</v>
      </c>
      <c r="B6647" s="55" t="s">
        <v>41</v>
      </c>
      <c r="C6647" s="55" t="s">
        <v>9331</v>
      </c>
      <c r="D6647" s="55" t="s">
        <v>11265</v>
      </c>
    </row>
    <row r="6648" ht="14.25" customHeight="1">
      <c r="A6648" s="55" t="s">
        <v>9840</v>
      </c>
      <c r="B6648" s="55" t="s">
        <v>41</v>
      </c>
      <c r="C6648" s="55" t="s">
        <v>10905</v>
      </c>
      <c r="D6648" s="55" t="s">
        <v>11266</v>
      </c>
    </row>
    <row r="6649" ht="14.25" customHeight="1">
      <c r="A6649" s="55" t="s">
        <v>9840</v>
      </c>
      <c r="B6649" s="55" t="s">
        <v>41</v>
      </c>
      <c r="C6649" s="55" t="s">
        <v>10905</v>
      </c>
      <c r="D6649" s="55" t="s">
        <v>13981</v>
      </c>
    </row>
    <row r="6650" ht="14.25" customHeight="1">
      <c r="A6650" s="55" t="s">
        <v>9840</v>
      </c>
      <c r="B6650" s="55" t="s">
        <v>41</v>
      </c>
      <c r="C6650" s="55" t="s">
        <v>11820</v>
      </c>
      <c r="D6650" s="55" t="s">
        <v>11821</v>
      </c>
    </row>
    <row r="6651" ht="14.25" customHeight="1">
      <c r="A6651" s="55" t="s">
        <v>9840</v>
      </c>
      <c r="B6651" s="55" t="s">
        <v>41</v>
      </c>
      <c r="C6651" s="55" t="s">
        <v>211</v>
      </c>
      <c r="D6651" s="55" t="s">
        <v>9778</v>
      </c>
    </row>
    <row r="6652" ht="14.25" customHeight="1">
      <c r="A6652" s="55" t="s">
        <v>9840</v>
      </c>
      <c r="B6652" s="55" t="s">
        <v>41</v>
      </c>
      <c r="C6652" s="55" t="s">
        <v>12504</v>
      </c>
      <c r="D6652" s="55" t="s">
        <v>9118</v>
      </c>
    </row>
    <row r="6653" ht="14.25" customHeight="1">
      <c r="A6653" s="55" t="s">
        <v>9840</v>
      </c>
      <c r="B6653" s="55" t="s">
        <v>41</v>
      </c>
      <c r="C6653" s="55" t="s">
        <v>3814</v>
      </c>
      <c r="D6653" s="55" t="s">
        <v>9827</v>
      </c>
    </row>
    <row r="6654" ht="14.25" customHeight="1">
      <c r="A6654" s="55" t="s">
        <v>9840</v>
      </c>
      <c r="B6654" s="55" t="s">
        <v>41</v>
      </c>
      <c r="C6654" s="55" t="s">
        <v>3861</v>
      </c>
      <c r="D6654" s="55" t="s">
        <v>9168</v>
      </c>
    </row>
    <row r="6655" ht="14.25" customHeight="1">
      <c r="A6655" s="55" t="s">
        <v>9840</v>
      </c>
      <c r="B6655" s="55" t="s">
        <v>41</v>
      </c>
      <c r="C6655" s="55" t="s">
        <v>12505</v>
      </c>
      <c r="D6655" s="55" t="s">
        <v>9380</v>
      </c>
    </row>
    <row r="6656" ht="14.25" customHeight="1">
      <c r="A6656" s="55" t="s">
        <v>9840</v>
      </c>
      <c r="B6656" s="55" t="s">
        <v>41</v>
      </c>
      <c r="C6656" s="55" t="s">
        <v>9896</v>
      </c>
      <c r="D6656" s="55" t="s">
        <v>9028</v>
      </c>
    </row>
    <row r="6657" ht="14.25" customHeight="1">
      <c r="A6657" s="55" t="s">
        <v>9840</v>
      </c>
      <c r="B6657" s="55" t="s">
        <v>41</v>
      </c>
      <c r="C6657" s="55" t="s">
        <v>11822</v>
      </c>
      <c r="D6657" s="55" t="s">
        <v>9071</v>
      </c>
    </row>
    <row r="6658" ht="14.25" customHeight="1">
      <c r="A6658" s="55" t="s">
        <v>9840</v>
      </c>
      <c r="B6658" s="55" t="s">
        <v>41</v>
      </c>
      <c r="C6658" s="55" t="s">
        <v>10500</v>
      </c>
      <c r="D6658" s="55" t="s">
        <v>8978</v>
      </c>
    </row>
    <row r="6659" ht="14.25" customHeight="1">
      <c r="A6659" s="55" t="s">
        <v>9840</v>
      </c>
      <c r="B6659" s="55" t="s">
        <v>41</v>
      </c>
      <c r="C6659" s="55" t="s">
        <v>9156</v>
      </c>
      <c r="D6659" s="55" t="s">
        <v>9071</v>
      </c>
    </row>
    <row r="6660" ht="14.25" customHeight="1">
      <c r="A6660" s="55" t="s">
        <v>9840</v>
      </c>
      <c r="B6660" s="55" t="s">
        <v>41</v>
      </c>
      <c r="C6660" s="55" t="s">
        <v>9156</v>
      </c>
      <c r="D6660" s="55" t="s">
        <v>9073</v>
      </c>
    </row>
    <row r="6661" ht="14.25" customHeight="1">
      <c r="A6661" s="55" t="s">
        <v>9840</v>
      </c>
      <c r="B6661" s="55" t="s">
        <v>41</v>
      </c>
      <c r="C6661" s="55" t="s">
        <v>3922</v>
      </c>
      <c r="D6661" s="55" t="s">
        <v>9925</v>
      </c>
    </row>
    <row r="6662" ht="14.25" customHeight="1">
      <c r="A6662" s="55" t="s">
        <v>9840</v>
      </c>
      <c r="B6662" s="55" t="s">
        <v>41</v>
      </c>
      <c r="C6662" s="55" t="s">
        <v>9333</v>
      </c>
      <c r="D6662" s="55" t="s">
        <v>11172</v>
      </c>
    </row>
    <row r="6663" ht="14.25" customHeight="1">
      <c r="A6663" s="55" t="s">
        <v>9840</v>
      </c>
      <c r="B6663" s="55" t="s">
        <v>41</v>
      </c>
      <c r="C6663" s="55" t="s">
        <v>11823</v>
      </c>
      <c r="D6663" s="55" t="s">
        <v>9216</v>
      </c>
    </row>
    <row r="6664" ht="14.25" customHeight="1">
      <c r="A6664" s="55" t="s">
        <v>9840</v>
      </c>
      <c r="B6664" s="55" t="s">
        <v>41</v>
      </c>
      <c r="C6664" s="55" t="s">
        <v>8997</v>
      </c>
      <c r="D6664" s="55" t="s">
        <v>10298</v>
      </c>
    </row>
    <row r="6665" ht="14.25" customHeight="1">
      <c r="A6665" s="55" t="s">
        <v>9840</v>
      </c>
      <c r="B6665" s="55" t="s">
        <v>41</v>
      </c>
      <c r="C6665" s="55" t="s">
        <v>12506</v>
      </c>
      <c r="D6665" s="55" t="s">
        <v>9583</v>
      </c>
    </row>
    <row r="6666" ht="14.25" customHeight="1">
      <c r="A6666" s="55" t="s">
        <v>9840</v>
      </c>
      <c r="B6666" s="55" t="s">
        <v>41</v>
      </c>
      <c r="C6666" s="55" t="s">
        <v>3970</v>
      </c>
      <c r="D6666" s="55" t="s">
        <v>9055</v>
      </c>
    </row>
    <row r="6667" ht="14.25" customHeight="1">
      <c r="A6667" s="55" t="s">
        <v>9840</v>
      </c>
      <c r="B6667" s="55" t="s">
        <v>41</v>
      </c>
      <c r="C6667" s="55" t="s">
        <v>9926</v>
      </c>
      <c r="D6667" s="55" t="s">
        <v>9118</v>
      </c>
    </row>
    <row r="6668" ht="14.25" customHeight="1">
      <c r="A6668" s="55" t="s">
        <v>9840</v>
      </c>
      <c r="B6668" s="55" t="s">
        <v>41</v>
      </c>
      <c r="C6668" s="55" t="s">
        <v>9926</v>
      </c>
      <c r="D6668" s="55" t="s">
        <v>14491</v>
      </c>
    </row>
    <row r="6669" ht="14.25" customHeight="1">
      <c r="A6669" s="55" t="s">
        <v>9840</v>
      </c>
      <c r="B6669" s="55" t="s">
        <v>41</v>
      </c>
      <c r="C6669" s="55" t="s">
        <v>4035</v>
      </c>
      <c r="D6669" s="55" t="s">
        <v>10124</v>
      </c>
    </row>
    <row r="6670" ht="14.25" customHeight="1">
      <c r="A6670" s="55" t="s">
        <v>9840</v>
      </c>
      <c r="B6670" s="55" t="s">
        <v>41</v>
      </c>
      <c r="C6670" s="55" t="s">
        <v>14492</v>
      </c>
      <c r="D6670" s="55" t="s">
        <v>14493</v>
      </c>
    </row>
    <row r="6671" ht="14.25" customHeight="1">
      <c r="A6671" s="55" t="s">
        <v>9840</v>
      </c>
      <c r="B6671" s="55" t="s">
        <v>41</v>
      </c>
      <c r="C6671" s="55" t="s">
        <v>14494</v>
      </c>
      <c r="D6671" s="55" t="s">
        <v>11444</v>
      </c>
    </row>
    <row r="6672" ht="14.25" customHeight="1">
      <c r="A6672" s="55" t="s">
        <v>9840</v>
      </c>
      <c r="B6672" s="55" t="s">
        <v>41</v>
      </c>
      <c r="C6672" s="55" t="s">
        <v>10290</v>
      </c>
      <c r="D6672" s="55" t="s">
        <v>9071</v>
      </c>
    </row>
    <row r="6673" ht="14.25" customHeight="1">
      <c r="A6673" s="55" t="s">
        <v>9840</v>
      </c>
      <c r="B6673" s="55" t="s">
        <v>41</v>
      </c>
      <c r="C6673" s="55" t="s">
        <v>10290</v>
      </c>
      <c r="D6673" s="55" t="s">
        <v>9028</v>
      </c>
    </row>
    <row r="6674" ht="14.25" customHeight="1">
      <c r="A6674" s="55" t="s">
        <v>9840</v>
      </c>
      <c r="B6674" s="55" t="s">
        <v>41</v>
      </c>
      <c r="C6674" s="55" t="s">
        <v>12507</v>
      </c>
      <c r="D6674" s="55" t="s">
        <v>9583</v>
      </c>
    </row>
    <row r="6675" ht="14.25" customHeight="1">
      <c r="A6675" s="55" t="s">
        <v>9840</v>
      </c>
      <c r="B6675" s="55" t="s">
        <v>41</v>
      </c>
      <c r="C6675" s="55" t="s">
        <v>9691</v>
      </c>
      <c r="D6675" s="55" t="s">
        <v>9055</v>
      </c>
    </row>
    <row r="6676" ht="14.25" customHeight="1">
      <c r="A6676" s="55" t="s">
        <v>9840</v>
      </c>
      <c r="B6676" s="55" t="s">
        <v>41</v>
      </c>
      <c r="C6676" s="55" t="s">
        <v>11267</v>
      </c>
      <c r="D6676" s="55" t="s">
        <v>9028</v>
      </c>
    </row>
    <row r="6677" ht="14.25" customHeight="1">
      <c r="A6677" s="55" t="s">
        <v>9840</v>
      </c>
      <c r="B6677" s="55" t="s">
        <v>41</v>
      </c>
      <c r="C6677" s="55" t="s">
        <v>10640</v>
      </c>
      <c r="D6677" s="55" t="s">
        <v>9131</v>
      </c>
    </row>
    <row r="6678" ht="14.25" customHeight="1">
      <c r="A6678" s="55" t="s">
        <v>9840</v>
      </c>
      <c r="B6678" s="55" t="s">
        <v>41</v>
      </c>
      <c r="C6678" s="55" t="s">
        <v>10640</v>
      </c>
      <c r="D6678" s="55" t="s">
        <v>9583</v>
      </c>
    </row>
    <row r="6679" ht="14.25" customHeight="1">
      <c r="A6679" s="55" t="s">
        <v>9840</v>
      </c>
      <c r="B6679" s="55" t="s">
        <v>41</v>
      </c>
      <c r="C6679" s="55" t="s">
        <v>10640</v>
      </c>
      <c r="D6679" s="55" t="s">
        <v>9028</v>
      </c>
    </row>
    <row r="6680" ht="14.25" customHeight="1">
      <c r="A6680" s="55" t="s">
        <v>9840</v>
      </c>
      <c r="B6680" s="55" t="s">
        <v>41</v>
      </c>
      <c r="C6680" s="55" t="s">
        <v>244</v>
      </c>
      <c r="D6680" s="55" t="s">
        <v>8968</v>
      </c>
    </row>
    <row r="6681" ht="14.25" customHeight="1">
      <c r="A6681" s="55" t="s">
        <v>9840</v>
      </c>
      <c r="B6681" s="55" t="s">
        <v>41</v>
      </c>
      <c r="C6681" s="55" t="s">
        <v>9215</v>
      </c>
      <c r="D6681" s="55" t="s">
        <v>8968</v>
      </c>
    </row>
    <row r="6682" ht="14.25" customHeight="1">
      <c r="A6682" s="55" t="s">
        <v>9840</v>
      </c>
      <c r="B6682" s="55" t="s">
        <v>41</v>
      </c>
      <c r="C6682" s="55" t="s">
        <v>9215</v>
      </c>
      <c r="D6682" s="55" t="s">
        <v>13982</v>
      </c>
    </row>
    <row r="6683" ht="14.25" customHeight="1">
      <c r="A6683" s="55" t="s">
        <v>9840</v>
      </c>
      <c r="B6683" s="55" t="s">
        <v>41</v>
      </c>
      <c r="C6683" s="55" t="s">
        <v>9215</v>
      </c>
      <c r="D6683" s="55" t="s">
        <v>11366</v>
      </c>
    </row>
    <row r="6684" ht="14.25" customHeight="1">
      <c r="A6684" s="55" t="s">
        <v>9840</v>
      </c>
      <c r="B6684" s="55" t="s">
        <v>41</v>
      </c>
      <c r="C6684" s="55" t="s">
        <v>321</v>
      </c>
      <c r="D6684" s="55" t="s">
        <v>9236</v>
      </c>
    </row>
    <row r="6685" ht="14.25" customHeight="1">
      <c r="A6685" s="55" t="s">
        <v>9840</v>
      </c>
      <c r="B6685" s="55" t="s">
        <v>41</v>
      </c>
      <c r="C6685" s="55" t="s">
        <v>12206</v>
      </c>
      <c r="D6685" s="55" t="s">
        <v>8968</v>
      </c>
    </row>
    <row r="6686" ht="14.25" customHeight="1">
      <c r="A6686" s="55" t="s">
        <v>9840</v>
      </c>
      <c r="B6686" s="55" t="s">
        <v>41</v>
      </c>
      <c r="C6686" s="55" t="s">
        <v>14495</v>
      </c>
      <c r="D6686" s="55" t="s">
        <v>14496</v>
      </c>
    </row>
    <row r="6687" ht="14.25" customHeight="1">
      <c r="A6687" s="55" t="s">
        <v>9840</v>
      </c>
      <c r="B6687" s="55" t="s">
        <v>41</v>
      </c>
      <c r="C6687" s="55" t="s">
        <v>11268</v>
      </c>
      <c r="D6687" s="55" t="s">
        <v>10219</v>
      </c>
    </row>
    <row r="6688" ht="14.25" customHeight="1">
      <c r="A6688" s="55" t="s">
        <v>9840</v>
      </c>
      <c r="B6688" s="55" t="s">
        <v>41</v>
      </c>
      <c r="C6688" s="55" t="s">
        <v>14497</v>
      </c>
      <c r="D6688" s="55" t="s">
        <v>13980</v>
      </c>
    </row>
    <row r="6689" ht="14.25" customHeight="1">
      <c r="A6689" s="55" t="s">
        <v>9840</v>
      </c>
      <c r="B6689" s="55" t="s">
        <v>41</v>
      </c>
      <c r="C6689" s="55" t="s">
        <v>9434</v>
      </c>
      <c r="D6689" s="55" t="s">
        <v>9109</v>
      </c>
    </row>
    <row r="6690" ht="14.25" customHeight="1">
      <c r="A6690" s="55" t="s">
        <v>9840</v>
      </c>
      <c r="B6690" s="55" t="s">
        <v>41</v>
      </c>
      <c r="C6690" s="55" t="s">
        <v>9434</v>
      </c>
      <c r="D6690" s="55" t="s">
        <v>9927</v>
      </c>
    </row>
    <row r="6691" ht="14.25" customHeight="1">
      <c r="A6691" s="55" t="s">
        <v>9840</v>
      </c>
      <c r="B6691" s="55" t="s">
        <v>41</v>
      </c>
      <c r="C6691" s="55" t="s">
        <v>9434</v>
      </c>
      <c r="D6691" s="55" t="s">
        <v>12508</v>
      </c>
    </row>
    <row r="6692" ht="14.25" customHeight="1">
      <c r="A6692" s="55" t="s">
        <v>9840</v>
      </c>
      <c r="B6692" s="55" t="s">
        <v>41</v>
      </c>
      <c r="C6692" s="55" t="s">
        <v>9434</v>
      </c>
      <c r="D6692" s="55" t="s">
        <v>9131</v>
      </c>
    </row>
    <row r="6693" ht="14.25" customHeight="1">
      <c r="A6693" s="55" t="s">
        <v>9840</v>
      </c>
      <c r="B6693" s="55" t="s">
        <v>41</v>
      </c>
      <c r="C6693" s="55" t="s">
        <v>9434</v>
      </c>
      <c r="D6693" s="55" t="s">
        <v>9583</v>
      </c>
    </row>
    <row r="6694" ht="14.25" customHeight="1">
      <c r="A6694" s="55" t="s">
        <v>9840</v>
      </c>
      <c r="B6694" s="55" t="s">
        <v>41</v>
      </c>
      <c r="C6694" s="55" t="s">
        <v>9434</v>
      </c>
      <c r="D6694" s="55" t="s">
        <v>9055</v>
      </c>
    </row>
    <row r="6695" ht="14.25" customHeight="1">
      <c r="A6695" s="55" t="s">
        <v>9840</v>
      </c>
      <c r="B6695" s="55" t="s">
        <v>41</v>
      </c>
      <c r="C6695" s="55" t="s">
        <v>10256</v>
      </c>
      <c r="D6695" s="55" t="s">
        <v>9583</v>
      </c>
    </row>
    <row r="6696" ht="14.25" customHeight="1">
      <c r="A6696" s="55" t="s">
        <v>9840</v>
      </c>
      <c r="B6696" s="55" t="s">
        <v>41</v>
      </c>
      <c r="C6696" s="55" t="s">
        <v>12731</v>
      </c>
      <c r="D6696" s="55" t="s">
        <v>13980</v>
      </c>
    </row>
    <row r="6697" ht="14.25" customHeight="1">
      <c r="A6697" s="55" t="s">
        <v>9840</v>
      </c>
      <c r="B6697" s="55" t="s">
        <v>41</v>
      </c>
      <c r="C6697" s="55" t="s">
        <v>12731</v>
      </c>
      <c r="D6697" s="55" t="s">
        <v>9071</v>
      </c>
    </row>
    <row r="6698" ht="14.25" customHeight="1">
      <c r="A6698" s="55" t="s">
        <v>9840</v>
      </c>
      <c r="B6698" s="55" t="s">
        <v>41</v>
      </c>
      <c r="C6698" s="55" t="s">
        <v>9928</v>
      </c>
      <c r="D6698" s="55" t="s">
        <v>9249</v>
      </c>
    </row>
    <row r="6699" ht="14.25" customHeight="1">
      <c r="A6699" s="55" t="s">
        <v>9840</v>
      </c>
      <c r="B6699" s="55" t="s">
        <v>41</v>
      </c>
      <c r="C6699" s="55" t="s">
        <v>4281</v>
      </c>
      <c r="D6699" s="55" t="s">
        <v>9526</v>
      </c>
    </row>
    <row r="6700" ht="14.25" customHeight="1">
      <c r="A6700" s="55" t="s">
        <v>9840</v>
      </c>
      <c r="B6700" s="55" t="s">
        <v>41</v>
      </c>
      <c r="C6700" s="55" t="s">
        <v>4294</v>
      </c>
      <c r="D6700" s="55" t="s">
        <v>11269</v>
      </c>
    </row>
    <row r="6701" ht="14.25" customHeight="1">
      <c r="A6701" s="55" t="s">
        <v>9840</v>
      </c>
      <c r="B6701" s="55" t="s">
        <v>41</v>
      </c>
      <c r="C6701" s="55" t="s">
        <v>4354</v>
      </c>
      <c r="D6701" s="55" t="s">
        <v>8968</v>
      </c>
    </row>
    <row r="6702" ht="14.25" customHeight="1">
      <c r="A6702" s="55" t="s">
        <v>9840</v>
      </c>
      <c r="B6702" s="55" t="s">
        <v>41</v>
      </c>
      <c r="C6702" s="55" t="s">
        <v>4354</v>
      </c>
      <c r="D6702" s="55" t="s">
        <v>9817</v>
      </c>
    </row>
    <row r="6703" ht="14.25" customHeight="1">
      <c r="A6703" s="55" t="s">
        <v>9840</v>
      </c>
      <c r="B6703" s="55" t="s">
        <v>41</v>
      </c>
      <c r="C6703" s="55" t="s">
        <v>12509</v>
      </c>
      <c r="D6703" s="55" t="s">
        <v>9118</v>
      </c>
    </row>
    <row r="6704" ht="14.25" customHeight="1">
      <c r="A6704" s="55" t="s">
        <v>9840</v>
      </c>
      <c r="B6704" s="55" t="s">
        <v>41</v>
      </c>
      <c r="C6704" s="55" t="s">
        <v>11270</v>
      </c>
      <c r="D6704" s="55" t="s">
        <v>9028</v>
      </c>
    </row>
    <row r="6705" ht="14.25" customHeight="1">
      <c r="A6705" s="55" t="s">
        <v>9840</v>
      </c>
      <c r="B6705" s="55" t="s">
        <v>41</v>
      </c>
      <c r="C6705" s="55" t="s">
        <v>324</v>
      </c>
      <c r="D6705" s="55" t="s">
        <v>9181</v>
      </c>
    </row>
    <row r="6706" ht="14.25" customHeight="1">
      <c r="A6706" s="55" t="s">
        <v>9840</v>
      </c>
      <c r="B6706" s="55" t="s">
        <v>41</v>
      </c>
      <c r="C6706" s="55" t="s">
        <v>11271</v>
      </c>
      <c r="D6706" s="55" t="s">
        <v>10219</v>
      </c>
    </row>
    <row r="6707" ht="14.25" customHeight="1">
      <c r="A6707" s="55" t="s">
        <v>9840</v>
      </c>
      <c r="B6707" s="55" t="s">
        <v>41</v>
      </c>
      <c r="C6707" s="55" t="s">
        <v>12510</v>
      </c>
      <c r="D6707" s="55" t="s">
        <v>12411</v>
      </c>
    </row>
    <row r="6708" ht="14.25" customHeight="1">
      <c r="A6708" s="55" t="s">
        <v>9840</v>
      </c>
      <c r="B6708" s="55" t="s">
        <v>41</v>
      </c>
      <c r="C6708" s="55" t="s">
        <v>9929</v>
      </c>
      <c r="D6708" s="55" t="s">
        <v>405</v>
      </c>
    </row>
    <row r="6709" ht="14.25" customHeight="1">
      <c r="A6709" s="55" t="s">
        <v>9840</v>
      </c>
      <c r="B6709" s="55" t="s">
        <v>41</v>
      </c>
      <c r="C6709" s="55" t="s">
        <v>8954</v>
      </c>
      <c r="D6709" s="55" t="s">
        <v>14498</v>
      </c>
    </row>
    <row r="6710" ht="14.25" customHeight="1">
      <c r="A6710" s="55" t="s">
        <v>9840</v>
      </c>
      <c r="B6710" s="55" t="s">
        <v>13</v>
      </c>
      <c r="C6710" s="55" t="s">
        <v>10083</v>
      </c>
      <c r="D6710" s="55" t="s">
        <v>14499</v>
      </c>
    </row>
    <row r="6711" ht="14.25" customHeight="1">
      <c r="A6711" s="55" t="s">
        <v>9840</v>
      </c>
      <c r="B6711" s="55" t="s">
        <v>13</v>
      </c>
      <c r="C6711" s="55" t="s">
        <v>11390</v>
      </c>
      <c r="D6711" s="55" t="s">
        <v>11824</v>
      </c>
    </row>
    <row r="6712" ht="14.25" customHeight="1">
      <c r="A6712" s="55" t="s">
        <v>9840</v>
      </c>
      <c r="B6712" s="55" t="s">
        <v>13</v>
      </c>
      <c r="C6712" s="55" t="s">
        <v>9930</v>
      </c>
      <c r="D6712" s="55" t="s">
        <v>9931</v>
      </c>
    </row>
    <row r="6713" ht="14.25" customHeight="1">
      <c r="A6713" s="55" t="s">
        <v>9840</v>
      </c>
      <c r="B6713" s="55" t="s">
        <v>13</v>
      </c>
      <c r="C6713" s="55" t="s">
        <v>11825</v>
      </c>
      <c r="D6713" s="55" t="s">
        <v>10080</v>
      </c>
    </row>
    <row r="6714" ht="14.25" customHeight="1">
      <c r="A6714" s="55" t="s">
        <v>9840</v>
      </c>
      <c r="B6714" s="55" t="s">
        <v>13</v>
      </c>
      <c r="C6714" s="55" t="s">
        <v>12511</v>
      </c>
      <c r="D6714" s="55" t="s">
        <v>10653</v>
      </c>
    </row>
    <row r="6715" ht="14.25" customHeight="1">
      <c r="A6715" s="55" t="s">
        <v>9840</v>
      </c>
      <c r="B6715" s="55" t="s">
        <v>13</v>
      </c>
      <c r="C6715" s="55" t="s">
        <v>8969</v>
      </c>
      <c r="D6715" s="55" t="s">
        <v>11233</v>
      </c>
    </row>
    <row r="6716" ht="14.25" customHeight="1">
      <c r="A6716" s="55" t="s">
        <v>9840</v>
      </c>
      <c r="B6716" s="55" t="s">
        <v>13</v>
      </c>
      <c r="C6716" s="55" t="s">
        <v>13387</v>
      </c>
      <c r="D6716" s="55" t="s">
        <v>9176</v>
      </c>
    </row>
    <row r="6717" ht="14.25" customHeight="1">
      <c r="A6717" s="55" t="s">
        <v>9840</v>
      </c>
      <c r="B6717" s="55" t="s">
        <v>13</v>
      </c>
      <c r="C6717" s="55" t="s">
        <v>12512</v>
      </c>
      <c r="D6717" s="55" t="s">
        <v>10111</v>
      </c>
    </row>
    <row r="6718" ht="14.25" customHeight="1">
      <c r="A6718" s="55" t="s">
        <v>9840</v>
      </c>
      <c r="B6718" s="55" t="s">
        <v>13</v>
      </c>
      <c r="C6718" s="55" t="s">
        <v>9313</v>
      </c>
      <c r="D6718" s="55" t="s">
        <v>11826</v>
      </c>
    </row>
    <row r="6719" ht="14.25" customHeight="1">
      <c r="A6719" s="55" t="s">
        <v>9840</v>
      </c>
      <c r="B6719" s="55" t="s">
        <v>13</v>
      </c>
      <c r="C6719" s="55" t="s">
        <v>9313</v>
      </c>
      <c r="D6719" s="55" t="s">
        <v>13983</v>
      </c>
    </row>
    <row r="6720" ht="14.25" customHeight="1">
      <c r="A6720" s="55" t="s">
        <v>9840</v>
      </c>
      <c r="B6720" s="55" t="s">
        <v>13</v>
      </c>
      <c r="C6720" s="55" t="s">
        <v>9313</v>
      </c>
      <c r="D6720" s="55" t="s">
        <v>13388</v>
      </c>
    </row>
    <row r="6721" ht="14.25" customHeight="1">
      <c r="A6721" s="55" t="s">
        <v>9840</v>
      </c>
      <c r="B6721" s="55" t="s">
        <v>13</v>
      </c>
      <c r="C6721" s="55" t="s">
        <v>2408</v>
      </c>
      <c r="D6721" s="55" t="s">
        <v>11272</v>
      </c>
    </row>
    <row r="6722" ht="14.25" customHeight="1">
      <c r="A6722" s="55" t="s">
        <v>9840</v>
      </c>
      <c r="B6722" s="55" t="s">
        <v>13</v>
      </c>
      <c r="C6722" s="55" t="s">
        <v>2408</v>
      </c>
      <c r="D6722" s="55" t="s">
        <v>13984</v>
      </c>
    </row>
    <row r="6723" ht="14.25" customHeight="1">
      <c r="A6723" s="55" t="s">
        <v>9840</v>
      </c>
      <c r="B6723" s="55" t="s">
        <v>13</v>
      </c>
      <c r="C6723" s="55" t="s">
        <v>2408</v>
      </c>
      <c r="D6723" s="55" t="s">
        <v>11538</v>
      </c>
    </row>
    <row r="6724" ht="14.25" customHeight="1">
      <c r="A6724" s="55" t="s">
        <v>9840</v>
      </c>
      <c r="B6724" s="55" t="s">
        <v>13</v>
      </c>
      <c r="C6724" s="55" t="s">
        <v>9932</v>
      </c>
      <c r="D6724" s="55" t="s">
        <v>9176</v>
      </c>
    </row>
    <row r="6725" ht="14.25" customHeight="1">
      <c r="A6725" s="55" t="s">
        <v>9840</v>
      </c>
      <c r="B6725" s="55" t="s">
        <v>13</v>
      </c>
      <c r="C6725" s="55" t="s">
        <v>1889</v>
      </c>
      <c r="D6725" s="55" t="s">
        <v>13985</v>
      </c>
    </row>
    <row r="6726" ht="14.25" customHeight="1">
      <c r="A6726" s="55" t="s">
        <v>9840</v>
      </c>
      <c r="B6726" s="55" t="s">
        <v>13</v>
      </c>
      <c r="C6726" s="55" t="s">
        <v>13986</v>
      </c>
      <c r="D6726" s="55" t="s">
        <v>13987</v>
      </c>
    </row>
    <row r="6727" ht="14.25" customHeight="1">
      <c r="A6727" s="55" t="s">
        <v>9840</v>
      </c>
      <c r="B6727" s="55" t="s">
        <v>13</v>
      </c>
      <c r="C6727" s="55" t="s">
        <v>10501</v>
      </c>
      <c r="D6727" s="55" t="s">
        <v>10502</v>
      </c>
    </row>
    <row r="6728" ht="14.25" customHeight="1">
      <c r="A6728" s="55" t="s">
        <v>9840</v>
      </c>
      <c r="B6728" s="55" t="s">
        <v>13</v>
      </c>
      <c r="C6728" s="55" t="s">
        <v>11827</v>
      </c>
      <c r="D6728" s="55" t="s">
        <v>11828</v>
      </c>
    </row>
    <row r="6729" ht="14.25" customHeight="1">
      <c r="A6729" s="55" t="s">
        <v>9840</v>
      </c>
      <c r="B6729" s="55" t="s">
        <v>13</v>
      </c>
      <c r="C6729" s="55" t="s">
        <v>10503</v>
      </c>
      <c r="D6729" s="55" t="s">
        <v>9176</v>
      </c>
    </row>
    <row r="6730" ht="14.25" customHeight="1">
      <c r="A6730" s="55" t="s">
        <v>9840</v>
      </c>
      <c r="B6730" s="55" t="s">
        <v>13</v>
      </c>
      <c r="C6730" s="55" t="s">
        <v>9424</v>
      </c>
      <c r="D6730" s="55" t="s">
        <v>9933</v>
      </c>
    </row>
    <row r="6731" ht="14.25" customHeight="1">
      <c r="A6731" s="55" t="s">
        <v>9840</v>
      </c>
      <c r="B6731" s="55" t="s">
        <v>13</v>
      </c>
      <c r="C6731" s="55" t="s">
        <v>9934</v>
      </c>
      <c r="D6731" s="55" t="s">
        <v>8968</v>
      </c>
    </row>
    <row r="6732" ht="14.25" customHeight="1">
      <c r="A6732" s="55" t="s">
        <v>9840</v>
      </c>
      <c r="B6732" s="55" t="s">
        <v>13</v>
      </c>
      <c r="C6732" s="55" t="s">
        <v>3081</v>
      </c>
      <c r="D6732" s="55" t="s">
        <v>11444</v>
      </c>
    </row>
    <row r="6733" ht="14.25" customHeight="1">
      <c r="A6733" s="55" t="s">
        <v>9840</v>
      </c>
      <c r="B6733" s="55" t="s">
        <v>13</v>
      </c>
      <c r="C6733" s="55" t="s">
        <v>13988</v>
      </c>
      <c r="D6733" s="55" t="s">
        <v>11444</v>
      </c>
    </row>
    <row r="6734" ht="14.25" customHeight="1">
      <c r="A6734" s="55" t="s">
        <v>9840</v>
      </c>
      <c r="B6734" s="55" t="s">
        <v>13</v>
      </c>
      <c r="C6734" s="55" t="s">
        <v>9541</v>
      </c>
      <c r="D6734" s="55" t="s">
        <v>8968</v>
      </c>
    </row>
    <row r="6735" ht="14.25" customHeight="1">
      <c r="A6735" s="55" t="s">
        <v>9840</v>
      </c>
      <c r="B6735" s="55" t="s">
        <v>13</v>
      </c>
      <c r="C6735" s="55" t="s">
        <v>10504</v>
      </c>
      <c r="D6735" s="55" t="s">
        <v>10505</v>
      </c>
    </row>
    <row r="6736" ht="14.25" customHeight="1">
      <c r="A6736" s="55" t="s">
        <v>9840</v>
      </c>
      <c r="B6736" s="55" t="s">
        <v>13</v>
      </c>
      <c r="C6736" s="55" t="s">
        <v>9329</v>
      </c>
      <c r="D6736" s="55" t="s">
        <v>9034</v>
      </c>
    </row>
    <row r="6737" ht="14.25" customHeight="1">
      <c r="A6737" s="55" t="s">
        <v>9840</v>
      </c>
      <c r="B6737" s="55" t="s">
        <v>13</v>
      </c>
      <c r="C6737" s="55" t="s">
        <v>9329</v>
      </c>
      <c r="D6737" s="55" t="s">
        <v>9073</v>
      </c>
    </row>
    <row r="6738" ht="14.25" customHeight="1">
      <c r="A6738" s="55" t="s">
        <v>9840</v>
      </c>
      <c r="B6738" s="55" t="s">
        <v>13</v>
      </c>
      <c r="C6738" s="55" t="s">
        <v>13389</v>
      </c>
      <c r="D6738" s="55" t="s">
        <v>9440</v>
      </c>
    </row>
    <row r="6739" ht="14.25" customHeight="1">
      <c r="A6739" s="55" t="s">
        <v>9840</v>
      </c>
      <c r="B6739" s="55" t="s">
        <v>13</v>
      </c>
      <c r="C6739" s="55" t="s">
        <v>13989</v>
      </c>
      <c r="D6739" s="55" t="s">
        <v>9073</v>
      </c>
    </row>
    <row r="6740" ht="14.25" customHeight="1">
      <c r="A6740" s="55" t="s">
        <v>9840</v>
      </c>
      <c r="B6740" s="55" t="s">
        <v>13</v>
      </c>
      <c r="C6740" s="55" t="s">
        <v>13390</v>
      </c>
      <c r="D6740" s="55" t="s">
        <v>9073</v>
      </c>
    </row>
    <row r="6741" ht="14.25" customHeight="1">
      <c r="A6741" s="55" t="s">
        <v>9840</v>
      </c>
      <c r="B6741" s="55" t="s">
        <v>13</v>
      </c>
      <c r="C6741" s="55" t="s">
        <v>8249</v>
      </c>
      <c r="D6741" s="55" t="s">
        <v>9440</v>
      </c>
    </row>
    <row r="6742" ht="14.25" customHeight="1">
      <c r="A6742" s="55" t="s">
        <v>9840</v>
      </c>
      <c r="B6742" s="55" t="s">
        <v>13</v>
      </c>
      <c r="C6742" s="55" t="s">
        <v>11273</v>
      </c>
      <c r="D6742" s="55" t="s">
        <v>10222</v>
      </c>
    </row>
    <row r="6743" ht="14.25" customHeight="1">
      <c r="A6743" s="55" t="s">
        <v>9840</v>
      </c>
      <c r="B6743" s="55" t="s">
        <v>13</v>
      </c>
      <c r="C6743" s="55" t="s">
        <v>3566</v>
      </c>
      <c r="D6743" s="55" t="s">
        <v>9168</v>
      </c>
    </row>
    <row r="6744" ht="14.25" customHeight="1">
      <c r="A6744" s="55" t="s">
        <v>9840</v>
      </c>
      <c r="B6744" s="55" t="s">
        <v>13</v>
      </c>
      <c r="C6744" s="55" t="s">
        <v>3596</v>
      </c>
      <c r="D6744" s="55" t="s">
        <v>12052</v>
      </c>
    </row>
    <row r="6745" ht="14.25" customHeight="1">
      <c r="A6745" s="55" t="s">
        <v>9840</v>
      </c>
      <c r="B6745" s="55" t="s">
        <v>13</v>
      </c>
      <c r="C6745" s="55" t="s">
        <v>13990</v>
      </c>
      <c r="D6745" s="55" t="s">
        <v>9174</v>
      </c>
    </row>
    <row r="6746" ht="14.25" customHeight="1">
      <c r="A6746" s="55" t="s">
        <v>9840</v>
      </c>
      <c r="B6746" s="55" t="s">
        <v>13</v>
      </c>
      <c r="C6746" s="55" t="s">
        <v>13991</v>
      </c>
      <c r="D6746" s="55" t="s">
        <v>13992</v>
      </c>
    </row>
    <row r="6747" ht="14.25" customHeight="1">
      <c r="A6747" s="55" t="s">
        <v>9840</v>
      </c>
      <c r="B6747" s="55" t="s">
        <v>13</v>
      </c>
      <c r="C6747" s="55" t="s">
        <v>13391</v>
      </c>
      <c r="D6747" s="55" t="s">
        <v>13392</v>
      </c>
    </row>
    <row r="6748" ht="14.25" customHeight="1">
      <c r="A6748" s="55" t="s">
        <v>9840</v>
      </c>
      <c r="B6748" s="55" t="s">
        <v>13</v>
      </c>
      <c r="C6748" s="55" t="s">
        <v>12084</v>
      </c>
      <c r="D6748" s="55" t="s">
        <v>8968</v>
      </c>
    </row>
    <row r="6749" ht="14.25" customHeight="1">
      <c r="A6749" s="55" t="s">
        <v>9840</v>
      </c>
      <c r="B6749" s="55" t="s">
        <v>13</v>
      </c>
      <c r="C6749" s="55" t="s">
        <v>12084</v>
      </c>
      <c r="D6749" s="55" t="s">
        <v>9326</v>
      </c>
    </row>
    <row r="6750" ht="14.25" customHeight="1">
      <c r="A6750" s="55" t="s">
        <v>9840</v>
      </c>
      <c r="B6750" s="55" t="s">
        <v>13</v>
      </c>
      <c r="C6750" s="55" t="s">
        <v>10766</v>
      </c>
      <c r="D6750" s="55" t="s">
        <v>9440</v>
      </c>
    </row>
    <row r="6751" ht="14.25" customHeight="1">
      <c r="A6751" s="55" t="s">
        <v>9840</v>
      </c>
      <c r="B6751" s="55" t="s">
        <v>13</v>
      </c>
      <c r="C6751" s="55" t="s">
        <v>13993</v>
      </c>
      <c r="D6751" s="55" t="s">
        <v>13994</v>
      </c>
    </row>
    <row r="6752" ht="14.25" customHeight="1">
      <c r="A6752" s="55" t="s">
        <v>9840</v>
      </c>
      <c r="B6752" s="55" t="s">
        <v>13</v>
      </c>
      <c r="C6752" s="55" t="s">
        <v>13393</v>
      </c>
      <c r="D6752" s="55" t="s">
        <v>10788</v>
      </c>
    </row>
    <row r="6753" ht="14.25" customHeight="1">
      <c r="A6753" s="55" t="s">
        <v>9840</v>
      </c>
      <c r="B6753" s="55" t="s">
        <v>13</v>
      </c>
      <c r="C6753" s="55" t="s">
        <v>202</v>
      </c>
      <c r="D6753" s="55" t="s">
        <v>10506</v>
      </c>
    </row>
    <row r="6754" ht="14.25" customHeight="1">
      <c r="A6754" s="55" t="s">
        <v>9840</v>
      </c>
      <c r="B6754" s="55" t="s">
        <v>13</v>
      </c>
      <c r="C6754" s="55" t="s">
        <v>11274</v>
      </c>
      <c r="D6754" s="55" t="s">
        <v>11171</v>
      </c>
    </row>
    <row r="6755" ht="14.25" customHeight="1">
      <c r="A6755" s="55" t="s">
        <v>9840</v>
      </c>
      <c r="B6755" s="55" t="s">
        <v>13</v>
      </c>
      <c r="C6755" s="55" t="s">
        <v>11275</v>
      </c>
      <c r="D6755" s="55" t="s">
        <v>9540</v>
      </c>
    </row>
    <row r="6756" ht="14.25" customHeight="1">
      <c r="A6756" s="55" t="s">
        <v>9840</v>
      </c>
      <c r="B6756" s="55" t="s">
        <v>13</v>
      </c>
      <c r="C6756" s="55" t="s">
        <v>11829</v>
      </c>
      <c r="D6756" s="55" t="s">
        <v>11386</v>
      </c>
    </row>
    <row r="6757" ht="14.25" customHeight="1">
      <c r="A6757" s="55" t="s">
        <v>9840</v>
      </c>
      <c r="B6757" s="55" t="s">
        <v>13</v>
      </c>
      <c r="C6757" s="55" t="s">
        <v>10507</v>
      </c>
      <c r="D6757" s="55" t="s">
        <v>8968</v>
      </c>
    </row>
    <row r="6758" ht="14.25" customHeight="1">
      <c r="A6758" s="55" t="s">
        <v>9840</v>
      </c>
      <c r="B6758" s="55" t="s">
        <v>13</v>
      </c>
      <c r="C6758" s="55" t="s">
        <v>11820</v>
      </c>
      <c r="D6758" s="55" t="s">
        <v>9034</v>
      </c>
    </row>
    <row r="6759" ht="14.25" customHeight="1">
      <c r="A6759" s="55" t="s">
        <v>9840</v>
      </c>
      <c r="B6759" s="55" t="s">
        <v>13</v>
      </c>
      <c r="C6759" s="55" t="s">
        <v>11820</v>
      </c>
      <c r="D6759" s="55" t="s">
        <v>10729</v>
      </c>
    </row>
    <row r="6760" ht="14.25" customHeight="1">
      <c r="A6760" s="55" t="s">
        <v>9840</v>
      </c>
      <c r="B6760" s="55" t="s">
        <v>13</v>
      </c>
      <c r="C6760" s="55" t="s">
        <v>13394</v>
      </c>
      <c r="D6760" s="55" t="s">
        <v>9174</v>
      </c>
    </row>
    <row r="6761" ht="14.25" customHeight="1">
      <c r="A6761" s="55" t="s">
        <v>9840</v>
      </c>
      <c r="B6761" s="55" t="s">
        <v>13</v>
      </c>
      <c r="C6761" s="55" t="s">
        <v>14500</v>
      </c>
      <c r="D6761" s="55" t="s">
        <v>9176</v>
      </c>
    </row>
    <row r="6762" ht="14.25" customHeight="1">
      <c r="A6762" s="55" t="s">
        <v>9840</v>
      </c>
      <c r="B6762" s="55" t="s">
        <v>13</v>
      </c>
      <c r="C6762" s="55" t="s">
        <v>12513</v>
      </c>
      <c r="D6762" s="55" t="s">
        <v>12514</v>
      </c>
    </row>
    <row r="6763" ht="14.25" customHeight="1">
      <c r="A6763" s="55" t="s">
        <v>9840</v>
      </c>
      <c r="B6763" s="55" t="s">
        <v>13</v>
      </c>
      <c r="C6763" s="55" t="s">
        <v>1702</v>
      </c>
      <c r="D6763" s="55" t="s">
        <v>9176</v>
      </c>
    </row>
    <row r="6764" ht="14.25" customHeight="1">
      <c r="A6764" s="55" t="s">
        <v>9840</v>
      </c>
      <c r="B6764" s="55" t="s">
        <v>13</v>
      </c>
      <c r="C6764" s="55" t="s">
        <v>1702</v>
      </c>
      <c r="D6764" s="55" t="s">
        <v>13528</v>
      </c>
    </row>
    <row r="6765" ht="14.25" customHeight="1">
      <c r="A6765" s="55" t="s">
        <v>9840</v>
      </c>
      <c r="B6765" s="55" t="s">
        <v>13</v>
      </c>
      <c r="C6765" s="55" t="s">
        <v>13995</v>
      </c>
      <c r="D6765" s="55" t="s">
        <v>9174</v>
      </c>
    </row>
    <row r="6766" ht="14.25" customHeight="1">
      <c r="A6766" s="55" t="s">
        <v>9840</v>
      </c>
      <c r="B6766" s="55" t="s">
        <v>13</v>
      </c>
      <c r="C6766" s="55" t="s">
        <v>233</v>
      </c>
      <c r="D6766" s="55" t="s">
        <v>10608</v>
      </c>
    </row>
    <row r="6767" ht="14.25" customHeight="1">
      <c r="A6767" s="55" t="s">
        <v>9840</v>
      </c>
      <c r="B6767" s="55" t="s">
        <v>13</v>
      </c>
      <c r="C6767" s="55" t="s">
        <v>13996</v>
      </c>
      <c r="D6767" s="55" t="s">
        <v>9332</v>
      </c>
    </row>
    <row r="6768" ht="14.25" customHeight="1">
      <c r="A6768" s="55" t="s">
        <v>9840</v>
      </c>
      <c r="B6768" s="55" t="s">
        <v>13</v>
      </c>
      <c r="C6768" s="55" t="s">
        <v>13477</v>
      </c>
      <c r="D6768" s="55" t="s">
        <v>8968</v>
      </c>
    </row>
    <row r="6769" ht="14.25" customHeight="1">
      <c r="A6769" s="55" t="s">
        <v>9840</v>
      </c>
      <c r="B6769" s="55" t="s">
        <v>13</v>
      </c>
      <c r="C6769" s="55" t="s">
        <v>244</v>
      </c>
      <c r="D6769" s="55" t="s">
        <v>9249</v>
      </c>
    </row>
    <row r="6770" ht="14.25" customHeight="1">
      <c r="A6770" s="55" t="s">
        <v>9840</v>
      </c>
      <c r="B6770" s="55" t="s">
        <v>13</v>
      </c>
      <c r="C6770" s="55" t="s">
        <v>321</v>
      </c>
      <c r="D6770" s="55" t="s">
        <v>9050</v>
      </c>
    </row>
    <row r="6771" ht="14.25" customHeight="1">
      <c r="A6771" s="55" t="s">
        <v>9840</v>
      </c>
      <c r="B6771" s="55" t="s">
        <v>13</v>
      </c>
      <c r="C6771" s="55" t="s">
        <v>13395</v>
      </c>
      <c r="D6771" s="55" t="s">
        <v>13396</v>
      </c>
    </row>
    <row r="6772" ht="14.25" customHeight="1">
      <c r="A6772" s="55" t="s">
        <v>9840</v>
      </c>
      <c r="B6772" s="55" t="s">
        <v>13</v>
      </c>
      <c r="C6772" s="55" t="s">
        <v>10508</v>
      </c>
      <c r="D6772" s="55" t="s">
        <v>10073</v>
      </c>
    </row>
    <row r="6773" ht="14.25" customHeight="1">
      <c r="A6773" s="55" t="s">
        <v>9840</v>
      </c>
      <c r="B6773" s="55" t="s">
        <v>13</v>
      </c>
      <c r="C6773" s="55" t="s">
        <v>9090</v>
      </c>
      <c r="D6773" s="55" t="s">
        <v>9174</v>
      </c>
    </row>
    <row r="6774" ht="14.25" customHeight="1">
      <c r="A6774" s="55" t="s">
        <v>9840</v>
      </c>
      <c r="B6774" s="55" t="s">
        <v>13</v>
      </c>
      <c r="C6774" s="55" t="s">
        <v>9090</v>
      </c>
      <c r="D6774" s="55" t="s">
        <v>9176</v>
      </c>
    </row>
    <row r="6775" ht="14.25" customHeight="1">
      <c r="A6775" s="55" t="s">
        <v>9840</v>
      </c>
      <c r="B6775" s="55" t="s">
        <v>13</v>
      </c>
      <c r="C6775" s="55" t="s">
        <v>9090</v>
      </c>
      <c r="D6775" s="55" t="s">
        <v>11386</v>
      </c>
    </row>
    <row r="6776" ht="14.25" customHeight="1">
      <c r="A6776" s="55" t="s">
        <v>9840</v>
      </c>
      <c r="B6776" s="55" t="s">
        <v>13</v>
      </c>
      <c r="C6776" s="55" t="s">
        <v>9090</v>
      </c>
      <c r="D6776" s="55" t="s">
        <v>13528</v>
      </c>
    </row>
    <row r="6777" ht="14.25" customHeight="1">
      <c r="A6777" s="55" t="s">
        <v>9840</v>
      </c>
      <c r="B6777" s="55" t="s">
        <v>13</v>
      </c>
      <c r="C6777" s="55" t="s">
        <v>9090</v>
      </c>
      <c r="D6777" s="55" t="s">
        <v>10608</v>
      </c>
    </row>
    <row r="6778" ht="14.25" customHeight="1">
      <c r="A6778" s="55" t="s">
        <v>9840</v>
      </c>
      <c r="B6778" s="55" t="s">
        <v>13</v>
      </c>
      <c r="C6778" s="55" t="s">
        <v>10509</v>
      </c>
      <c r="D6778" s="55" t="s">
        <v>9176</v>
      </c>
    </row>
    <row r="6779" ht="14.25" customHeight="1">
      <c r="A6779" s="55" t="s">
        <v>9840</v>
      </c>
      <c r="B6779" s="55" t="s">
        <v>13</v>
      </c>
      <c r="C6779" s="55" t="s">
        <v>8861</v>
      </c>
      <c r="D6779" s="55" t="s">
        <v>9034</v>
      </c>
    </row>
    <row r="6780" ht="14.25" customHeight="1">
      <c r="A6780" s="55" t="s">
        <v>9840</v>
      </c>
      <c r="B6780" s="55" t="s">
        <v>13</v>
      </c>
      <c r="C6780" s="55" t="s">
        <v>13997</v>
      </c>
      <c r="D6780" s="55" t="s">
        <v>13528</v>
      </c>
    </row>
    <row r="6781" ht="14.25" customHeight="1">
      <c r="A6781" s="55" t="s">
        <v>9840</v>
      </c>
      <c r="B6781" s="55" t="s">
        <v>13</v>
      </c>
      <c r="C6781" s="55" t="s">
        <v>13397</v>
      </c>
      <c r="D6781" s="55" t="s">
        <v>9176</v>
      </c>
    </row>
    <row r="6782" ht="14.25" customHeight="1">
      <c r="A6782" s="55" t="s">
        <v>9840</v>
      </c>
      <c r="B6782" s="55" t="s">
        <v>13</v>
      </c>
      <c r="C6782" s="55" t="s">
        <v>11830</v>
      </c>
      <c r="D6782" s="55" t="s">
        <v>9249</v>
      </c>
    </row>
    <row r="6783" ht="14.25" customHeight="1">
      <c r="A6783" s="55" t="s">
        <v>9935</v>
      </c>
      <c r="B6783" s="55" t="s">
        <v>40</v>
      </c>
      <c r="C6783" s="55" t="s">
        <v>9597</v>
      </c>
      <c r="D6783" s="55" t="s">
        <v>8968</v>
      </c>
    </row>
    <row r="6784" ht="14.25" customHeight="1">
      <c r="A6784" s="55" t="s">
        <v>9935</v>
      </c>
      <c r="B6784" s="55" t="s">
        <v>40</v>
      </c>
      <c r="C6784" s="55" t="s">
        <v>13398</v>
      </c>
      <c r="D6784" s="55" t="s">
        <v>13399</v>
      </c>
    </row>
    <row r="6785" ht="14.25" customHeight="1">
      <c r="A6785" s="55" t="s">
        <v>9935</v>
      </c>
      <c r="B6785" s="55" t="s">
        <v>40</v>
      </c>
      <c r="C6785" s="55" t="s">
        <v>9936</v>
      </c>
      <c r="D6785" s="55" t="s">
        <v>9937</v>
      </c>
    </row>
    <row r="6786" ht="14.25" customHeight="1">
      <c r="A6786" s="55" t="s">
        <v>9935</v>
      </c>
      <c r="B6786" s="55" t="s">
        <v>40</v>
      </c>
      <c r="C6786" s="55" t="s">
        <v>2342</v>
      </c>
      <c r="D6786" s="55" t="s">
        <v>9071</v>
      </c>
    </row>
    <row r="6787" ht="14.25" customHeight="1">
      <c r="A6787" s="55" t="s">
        <v>9935</v>
      </c>
      <c r="B6787" s="55" t="s">
        <v>40</v>
      </c>
      <c r="C6787" s="55" t="s">
        <v>9257</v>
      </c>
      <c r="D6787" s="55" t="s">
        <v>10027</v>
      </c>
    </row>
    <row r="6788" ht="14.25" customHeight="1">
      <c r="A6788" s="55" t="s">
        <v>9935</v>
      </c>
      <c r="B6788" s="55" t="s">
        <v>40</v>
      </c>
      <c r="C6788" s="55" t="s">
        <v>13400</v>
      </c>
      <c r="D6788" s="55" t="s">
        <v>9055</v>
      </c>
    </row>
    <row r="6789" ht="14.25" customHeight="1">
      <c r="A6789" s="55" t="s">
        <v>9935</v>
      </c>
      <c r="B6789" s="55" t="s">
        <v>40</v>
      </c>
      <c r="C6789" s="55" t="s">
        <v>13998</v>
      </c>
      <c r="D6789" s="55" t="s">
        <v>10222</v>
      </c>
    </row>
    <row r="6790" ht="14.25" customHeight="1">
      <c r="A6790" s="55" t="s">
        <v>9935</v>
      </c>
      <c r="B6790" s="55" t="s">
        <v>40</v>
      </c>
      <c r="C6790" s="55" t="s">
        <v>9938</v>
      </c>
      <c r="D6790" s="55" t="s">
        <v>8970</v>
      </c>
    </row>
    <row r="6791" ht="14.25" customHeight="1">
      <c r="A6791" s="55" t="s">
        <v>9935</v>
      </c>
      <c r="B6791" s="55" t="s">
        <v>40</v>
      </c>
      <c r="C6791" s="55" t="s">
        <v>12932</v>
      </c>
      <c r="D6791" s="55" t="s">
        <v>9755</v>
      </c>
    </row>
    <row r="6792" ht="14.25" customHeight="1">
      <c r="A6792" s="55" t="s">
        <v>9935</v>
      </c>
      <c r="B6792" s="55" t="s">
        <v>40</v>
      </c>
      <c r="C6792" s="55" t="s">
        <v>7471</v>
      </c>
      <c r="D6792" s="55" t="s">
        <v>13999</v>
      </c>
    </row>
    <row r="6793" ht="14.25" customHeight="1">
      <c r="A6793" s="55" t="s">
        <v>9935</v>
      </c>
      <c r="B6793" s="55" t="s">
        <v>40</v>
      </c>
      <c r="C6793" s="55" t="s">
        <v>14501</v>
      </c>
      <c r="D6793" s="55" t="s">
        <v>8976</v>
      </c>
    </row>
    <row r="6794" ht="14.25" customHeight="1">
      <c r="A6794" s="55" t="s">
        <v>9935</v>
      </c>
      <c r="B6794" s="55" t="s">
        <v>40</v>
      </c>
      <c r="C6794" s="55" t="s">
        <v>9355</v>
      </c>
      <c r="D6794" s="55" t="s">
        <v>8978</v>
      </c>
    </row>
    <row r="6795" ht="14.25" customHeight="1">
      <c r="A6795" s="55" t="s">
        <v>9935</v>
      </c>
      <c r="B6795" s="55" t="s">
        <v>40</v>
      </c>
      <c r="C6795" s="55" t="s">
        <v>5909</v>
      </c>
      <c r="D6795" s="55" t="s">
        <v>9168</v>
      </c>
    </row>
    <row r="6796" ht="14.25" customHeight="1">
      <c r="A6796" s="55" t="s">
        <v>9935</v>
      </c>
      <c r="B6796" s="55" t="s">
        <v>40</v>
      </c>
      <c r="C6796" s="55" t="s">
        <v>78</v>
      </c>
      <c r="D6796" s="55" t="s">
        <v>9911</v>
      </c>
    </row>
    <row r="6797" ht="14.25" customHeight="1">
      <c r="A6797" s="55" t="s">
        <v>9935</v>
      </c>
      <c r="B6797" s="55" t="s">
        <v>40</v>
      </c>
      <c r="C6797" s="55" t="s">
        <v>78</v>
      </c>
      <c r="D6797" s="55" t="s">
        <v>13401</v>
      </c>
    </row>
    <row r="6798" ht="14.25" customHeight="1">
      <c r="A6798" s="55" t="s">
        <v>9935</v>
      </c>
      <c r="B6798" s="55" t="s">
        <v>40</v>
      </c>
      <c r="C6798" s="55" t="s">
        <v>13402</v>
      </c>
      <c r="D6798" s="55" t="s">
        <v>9026</v>
      </c>
    </row>
    <row r="6799" ht="14.25" customHeight="1">
      <c r="A6799" s="55" t="s">
        <v>9935</v>
      </c>
      <c r="B6799" s="55" t="s">
        <v>40</v>
      </c>
      <c r="C6799" s="55" t="s">
        <v>1889</v>
      </c>
      <c r="D6799" s="55" t="s">
        <v>9867</v>
      </c>
    </row>
    <row r="6800" ht="14.25" customHeight="1">
      <c r="A6800" s="55" t="s">
        <v>9935</v>
      </c>
      <c r="B6800" s="55" t="s">
        <v>40</v>
      </c>
      <c r="C6800" s="55" t="s">
        <v>87</v>
      </c>
      <c r="D6800" s="55" t="s">
        <v>11568</v>
      </c>
    </row>
    <row r="6801" ht="14.25" customHeight="1">
      <c r="A6801" s="55" t="s">
        <v>9935</v>
      </c>
      <c r="B6801" s="55" t="s">
        <v>40</v>
      </c>
      <c r="C6801" s="55" t="s">
        <v>14000</v>
      </c>
      <c r="D6801" s="55" t="s">
        <v>13066</v>
      </c>
    </row>
    <row r="6802" ht="14.25" customHeight="1">
      <c r="A6802" s="55" t="s">
        <v>9935</v>
      </c>
      <c r="B6802" s="55" t="s">
        <v>40</v>
      </c>
      <c r="C6802" s="55" t="s">
        <v>11831</v>
      </c>
      <c r="D6802" s="55" t="s">
        <v>9265</v>
      </c>
    </row>
    <row r="6803" ht="14.25" customHeight="1">
      <c r="A6803" s="55" t="s">
        <v>9935</v>
      </c>
      <c r="B6803" s="55" t="s">
        <v>40</v>
      </c>
      <c r="C6803" s="55" t="s">
        <v>776</v>
      </c>
      <c r="D6803" s="55" t="s">
        <v>9075</v>
      </c>
    </row>
    <row r="6804" ht="14.25" customHeight="1">
      <c r="A6804" s="55" t="s">
        <v>9935</v>
      </c>
      <c r="B6804" s="55" t="s">
        <v>40</v>
      </c>
      <c r="C6804" s="55" t="s">
        <v>776</v>
      </c>
      <c r="D6804" s="55" t="s">
        <v>12515</v>
      </c>
    </row>
    <row r="6805" ht="14.25" customHeight="1">
      <c r="A6805" s="55" t="s">
        <v>9935</v>
      </c>
      <c r="B6805" s="55" t="s">
        <v>40</v>
      </c>
      <c r="C6805" s="55" t="s">
        <v>294</v>
      </c>
      <c r="D6805" s="55" t="s">
        <v>9911</v>
      </c>
    </row>
    <row r="6806" ht="14.25" customHeight="1">
      <c r="A6806" s="55" t="s">
        <v>9935</v>
      </c>
      <c r="B6806" s="55" t="s">
        <v>40</v>
      </c>
      <c r="C6806" s="55" t="s">
        <v>6057</v>
      </c>
      <c r="D6806" s="55" t="s">
        <v>9028</v>
      </c>
    </row>
    <row r="6807" ht="14.25" customHeight="1">
      <c r="A6807" s="55" t="s">
        <v>9935</v>
      </c>
      <c r="B6807" s="55" t="s">
        <v>40</v>
      </c>
      <c r="C6807" s="55" t="s">
        <v>6057</v>
      </c>
      <c r="D6807" s="55" t="s">
        <v>8978</v>
      </c>
    </row>
    <row r="6808" ht="14.25" customHeight="1">
      <c r="A6808" s="55" t="s">
        <v>9935</v>
      </c>
      <c r="B6808" s="55" t="s">
        <v>40</v>
      </c>
      <c r="C6808" s="55" t="s">
        <v>10737</v>
      </c>
      <c r="D6808" s="55" t="s">
        <v>14001</v>
      </c>
    </row>
    <row r="6809" ht="14.25" customHeight="1">
      <c r="A6809" s="55" t="s">
        <v>9935</v>
      </c>
      <c r="B6809" s="55" t="s">
        <v>40</v>
      </c>
      <c r="C6809" s="55" t="s">
        <v>13403</v>
      </c>
      <c r="D6809" s="55" t="s">
        <v>13404</v>
      </c>
    </row>
    <row r="6810" ht="14.25" customHeight="1">
      <c r="A6810" s="55" t="s">
        <v>9935</v>
      </c>
      <c r="B6810" s="55" t="s">
        <v>40</v>
      </c>
      <c r="C6810" s="55" t="s">
        <v>13405</v>
      </c>
      <c r="D6810" s="55" t="s">
        <v>9168</v>
      </c>
    </row>
    <row r="6811" ht="14.25" customHeight="1">
      <c r="A6811" s="55" t="s">
        <v>9935</v>
      </c>
      <c r="B6811" s="55" t="s">
        <v>40</v>
      </c>
      <c r="C6811" s="55" t="s">
        <v>916</v>
      </c>
      <c r="D6811" s="55" t="s">
        <v>9602</v>
      </c>
    </row>
    <row r="6812" ht="14.25" customHeight="1">
      <c r="A6812" s="55" t="s">
        <v>9935</v>
      </c>
      <c r="B6812" s="55" t="s">
        <v>40</v>
      </c>
      <c r="C6812" s="55" t="s">
        <v>12108</v>
      </c>
      <c r="D6812" s="55" t="s">
        <v>12252</v>
      </c>
    </row>
    <row r="6813" ht="14.25" customHeight="1">
      <c r="A6813" s="55" t="s">
        <v>9935</v>
      </c>
      <c r="B6813" s="55" t="s">
        <v>40</v>
      </c>
      <c r="C6813" s="55" t="s">
        <v>297</v>
      </c>
      <c r="D6813" s="55" t="s">
        <v>9034</v>
      </c>
    </row>
    <row r="6814" ht="14.25" customHeight="1">
      <c r="A6814" s="55" t="s">
        <v>9935</v>
      </c>
      <c r="B6814" s="55" t="s">
        <v>40</v>
      </c>
      <c r="C6814" s="55" t="s">
        <v>297</v>
      </c>
      <c r="D6814" s="55" t="s">
        <v>8976</v>
      </c>
    </row>
    <row r="6815" ht="14.25" customHeight="1">
      <c r="A6815" s="55" t="s">
        <v>9935</v>
      </c>
      <c r="B6815" s="55" t="s">
        <v>40</v>
      </c>
      <c r="C6815" s="55" t="s">
        <v>12516</v>
      </c>
      <c r="D6815" s="55" t="s">
        <v>9034</v>
      </c>
    </row>
    <row r="6816" ht="14.25" customHeight="1">
      <c r="A6816" s="55" t="s">
        <v>9935</v>
      </c>
      <c r="B6816" s="55" t="s">
        <v>40</v>
      </c>
      <c r="C6816" s="55" t="s">
        <v>10510</v>
      </c>
      <c r="D6816" s="55" t="s">
        <v>10511</v>
      </c>
    </row>
    <row r="6817" ht="14.25" customHeight="1">
      <c r="A6817" s="55" t="s">
        <v>9935</v>
      </c>
      <c r="B6817" s="55" t="s">
        <v>40</v>
      </c>
      <c r="C6817" s="55" t="s">
        <v>124</v>
      </c>
      <c r="D6817" s="55" t="s">
        <v>8982</v>
      </c>
    </row>
    <row r="6818" ht="14.25" customHeight="1">
      <c r="A6818" s="55" t="s">
        <v>9935</v>
      </c>
      <c r="B6818" s="55" t="s">
        <v>40</v>
      </c>
      <c r="C6818" s="55" t="s">
        <v>8981</v>
      </c>
      <c r="D6818" s="55" t="s">
        <v>10512</v>
      </c>
    </row>
    <row r="6819" ht="14.25" customHeight="1">
      <c r="A6819" s="55" t="s">
        <v>9935</v>
      </c>
      <c r="B6819" s="55" t="s">
        <v>40</v>
      </c>
      <c r="C6819" s="55" t="s">
        <v>11832</v>
      </c>
      <c r="D6819" s="55" t="s">
        <v>11833</v>
      </c>
    </row>
    <row r="6820" ht="14.25" customHeight="1">
      <c r="A6820" s="55" t="s">
        <v>9935</v>
      </c>
      <c r="B6820" s="55" t="s">
        <v>40</v>
      </c>
      <c r="C6820" s="55" t="s">
        <v>13406</v>
      </c>
      <c r="D6820" s="55" t="s">
        <v>13407</v>
      </c>
    </row>
    <row r="6821" ht="14.25" customHeight="1">
      <c r="A6821" s="55" t="s">
        <v>9935</v>
      </c>
      <c r="B6821" s="55" t="s">
        <v>40</v>
      </c>
      <c r="C6821" s="55" t="s">
        <v>9641</v>
      </c>
      <c r="D6821" s="55" t="s">
        <v>13943</v>
      </c>
    </row>
    <row r="6822" ht="14.25" customHeight="1">
      <c r="A6822" s="55" t="s">
        <v>9935</v>
      </c>
      <c r="B6822" s="55" t="s">
        <v>40</v>
      </c>
      <c r="C6822" s="55" t="s">
        <v>9939</v>
      </c>
      <c r="D6822" s="55" t="s">
        <v>9755</v>
      </c>
    </row>
    <row r="6823" ht="14.25" customHeight="1">
      <c r="A6823" s="55" t="s">
        <v>9935</v>
      </c>
      <c r="B6823" s="55" t="s">
        <v>40</v>
      </c>
      <c r="C6823" s="55" t="s">
        <v>11276</v>
      </c>
      <c r="D6823" s="55" t="s">
        <v>9118</v>
      </c>
    </row>
    <row r="6824" ht="14.25" customHeight="1">
      <c r="A6824" s="55" t="s">
        <v>9935</v>
      </c>
      <c r="B6824" s="55" t="s">
        <v>40</v>
      </c>
      <c r="C6824" s="55" t="s">
        <v>12034</v>
      </c>
      <c r="D6824" s="55" t="s">
        <v>12517</v>
      </c>
    </row>
    <row r="6825" ht="14.25" customHeight="1">
      <c r="A6825" s="55" t="s">
        <v>9935</v>
      </c>
      <c r="B6825" s="55" t="s">
        <v>40</v>
      </c>
      <c r="C6825" s="55" t="s">
        <v>11277</v>
      </c>
      <c r="D6825" s="55" t="s">
        <v>11278</v>
      </c>
    </row>
    <row r="6826" ht="14.25" customHeight="1">
      <c r="A6826" s="55" t="s">
        <v>9935</v>
      </c>
      <c r="B6826" s="55" t="s">
        <v>40</v>
      </c>
      <c r="C6826" s="55" t="s">
        <v>3138</v>
      </c>
      <c r="D6826" s="55" t="s">
        <v>14502</v>
      </c>
    </row>
    <row r="6827" ht="14.25" customHeight="1">
      <c r="A6827" s="55" t="s">
        <v>9935</v>
      </c>
      <c r="B6827" s="55" t="s">
        <v>40</v>
      </c>
      <c r="C6827" s="55" t="s">
        <v>3144</v>
      </c>
      <c r="D6827" s="55" t="s">
        <v>9071</v>
      </c>
    </row>
    <row r="6828" ht="14.25" customHeight="1">
      <c r="A6828" s="55" t="s">
        <v>9935</v>
      </c>
      <c r="B6828" s="55" t="s">
        <v>40</v>
      </c>
      <c r="C6828" s="55" t="s">
        <v>11383</v>
      </c>
      <c r="D6828" s="55" t="s">
        <v>11834</v>
      </c>
    </row>
    <row r="6829" ht="14.25" customHeight="1">
      <c r="A6829" s="55" t="s">
        <v>9935</v>
      </c>
      <c r="B6829" s="55" t="s">
        <v>40</v>
      </c>
      <c r="C6829" s="55" t="s">
        <v>14503</v>
      </c>
      <c r="D6829" s="55" t="s">
        <v>14504</v>
      </c>
    </row>
    <row r="6830" ht="14.25" customHeight="1">
      <c r="A6830" s="55" t="s">
        <v>9935</v>
      </c>
      <c r="B6830" s="55" t="s">
        <v>40</v>
      </c>
      <c r="C6830" s="55" t="s">
        <v>9940</v>
      </c>
      <c r="D6830" s="55" t="s">
        <v>9941</v>
      </c>
    </row>
    <row r="6831" ht="14.25" customHeight="1">
      <c r="A6831" s="55" t="s">
        <v>9935</v>
      </c>
      <c r="B6831" s="55" t="s">
        <v>40</v>
      </c>
      <c r="C6831" s="55" t="s">
        <v>141</v>
      </c>
      <c r="D6831" s="55" t="s">
        <v>9942</v>
      </c>
    </row>
    <row r="6832" ht="14.25" customHeight="1">
      <c r="A6832" s="55" t="s">
        <v>9935</v>
      </c>
      <c r="B6832" s="55" t="s">
        <v>40</v>
      </c>
      <c r="C6832" s="55" t="s">
        <v>141</v>
      </c>
      <c r="D6832" s="55" t="s">
        <v>9151</v>
      </c>
    </row>
    <row r="6833" ht="14.25" customHeight="1">
      <c r="A6833" s="55" t="s">
        <v>9935</v>
      </c>
      <c r="B6833" s="55" t="s">
        <v>40</v>
      </c>
      <c r="C6833" s="55" t="s">
        <v>10513</v>
      </c>
      <c r="D6833" s="55" t="s">
        <v>10514</v>
      </c>
    </row>
    <row r="6834" ht="14.25" customHeight="1">
      <c r="A6834" s="55" t="s">
        <v>9935</v>
      </c>
      <c r="B6834" s="55" t="s">
        <v>40</v>
      </c>
      <c r="C6834" s="55" t="s">
        <v>153</v>
      </c>
      <c r="D6834" s="55" t="s">
        <v>9855</v>
      </c>
    </row>
    <row r="6835" ht="14.25" customHeight="1">
      <c r="A6835" s="55" t="s">
        <v>9935</v>
      </c>
      <c r="B6835" s="55" t="s">
        <v>40</v>
      </c>
      <c r="C6835" s="55" t="s">
        <v>3411</v>
      </c>
      <c r="D6835" s="55" t="s">
        <v>9943</v>
      </c>
    </row>
    <row r="6836" ht="14.25" customHeight="1">
      <c r="A6836" s="55" t="s">
        <v>9935</v>
      </c>
      <c r="B6836" s="55" t="s">
        <v>40</v>
      </c>
      <c r="C6836" s="55" t="s">
        <v>14002</v>
      </c>
      <c r="D6836" s="55" t="s">
        <v>14003</v>
      </c>
    </row>
    <row r="6837" ht="14.25" customHeight="1">
      <c r="A6837" s="55" t="s">
        <v>9935</v>
      </c>
      <c r="B6837" s="55" t="s">
        <v>40</v>
      </c>
      <c r="C6837" s="55" t="s">
        <v>13408</v>
      </c>
      <c r="D6837" s="55" t="s">
        <v>8976</v>
      </c>
    </row>
    <row r="6838" ht="14.25" customHeight="1">
      <c r="A6838" s="55" t="s">
        <v>9935</v>
      </c>
      <c r="B6838" s="55" t="s">
        <v>40</v>
      </c>
      <c r="C6838" s="55" t="s">
        <v>10515</v>
      </c>
      <c r="D6838" s="55" t="s">
        <v>10516</v>
      </c>
    </row>
    <row r="6839" ht="14.25" customHeight="1">
      <c r="A6839" s="55" t="s">
        <v>9935</v>
      </c>
      <c r="B6839" s="55" t="s">
        <v>40</v>
      </c>
      <c r="C6839" s="55" t="s">
        <v>10335</v>
      </c>
      <c r="D6839" s="55" t="s">
        <v>9649</v>
      </c>
    </row>
    <row r="6840" ht="14.25" customHeight="1">
      <c r="A6840" s="55" t="s">
        <v>9935</v>
      </c>
      <c r="B6840" s="55" t="s">
        <v>40</v>
      </c>
      <c r="C6840" s="55" t="s">
        <v>12518</v>
      </c>
      <c r="D6840" s="55" t="s">
        <v>12173</v>
      </c>
    </row>
    <row r="6841" ht="14.25" customHeight="1">
      <c r="A6841" s="55" t="s">
        <v>9935</v>
      </c>
      <c r="B6841" s="55" t="s">
        <v>40</v>
      </c>
      <c r="C6841" s="55" t="s">
        <v>9385</v>
      </c>
      <c r="D6841" s="55" t="s">
        <v>9369</v>
      </c>
    </row>
    <row r="6842" ht="14.25" customHeight="1">
      <c r="A6842" s="55" t="s">
        <v>9935</v>
      </c>
      <c r="B6842" s="55" t="s">
        <v>40</v>
      </c>
      <c r="C6842" s="55" t="s">
        <v>9385</v>
      </c>
      <c r="D6842" s="55" t="s">
        <v>13409</v>
      </c>
    </row>
    <row r="6843" ht="14.25" customHeight="1">
      <c r="A6843" s="55" t="s">
        <v>9935</v>
      </c>
      <c r="B6843" s="55" t="s">
        <v>40</v>
      </c>
      <c r="C6843" s="55" t="s">
        <v>312</v>
      </c>
      <c r="D6843" s="55" t="s">
        <v>12519</v>
      </c>
    </row>
    <row r="6844" ht="14.25" customHeight="1">
      <c r="A6844" s="55" t="s">
        <v>9935</v>
      </c>
      <c r="B6844" s="55" t="s">
        <v>40</v>
      </c>
      <c r="C6844" s="55" t="s">
        <v>3566</v>
      </c>
      <c r="D6844" s="55" t="s">
        <v>9265</v>
      </c>
    </row>
    <row r="6845" ht="14.25" customHeight="1">
      <c r="A6845" s="55" t="s">
        <v>9935</v>
      </c>
      <c r="B6845" s="55" t="s">
        <v>40</v>
      </c>
      <c r="C6845" s="55" t="s">
        <v>3566</v>
      </c>
      <c r="D6845" s="55" t="s">
        <v>8976</v>
      </c>
    </row>
    <row r="6846" ht="14.25" customHeight="1">
      <c r="A6846" s="55" t="s">
        <v>9935</v>
      </c>
      <c r="B6846" s="55" t="s">
        <v>40</v>
      </c>
      <c r="C6846" s="55" t="s">
        <v>9804</v>
      </c>
      <c r="D6846" s="55" t="s">
        <v>405</v>
      </c>
    </row>
    <row r="6847" ht="14.25" customHeight="1">
      <c r="A6847" s="55" t="s">
        <v>9935</v>
      </c>
      <c r="B6847" s="55" t="s">
        <v>40</v>
      </c>
      <c r="C6847" s="55" t="s">
        <v>3596</v>
      </c>
      <c r="D6847" s="55" t="s">
        <v>12468</v>
      </c>
    </row>
    <row r="6848" ht="14.25" customHeight="1">
      <c r="A6848" s="55" t="s">
        <v>9935</v>
      </c>
      <c r="B6848" s="55" t="s">
        <v>40</v>
      </c>
      <c r="C6848" s="55" t="s">
        <v>6654</v>
      </c>
      <c r="D6848" s="55" t="s">
        <v>9962</v>
      </c>
    </row>
    <row r="6849" ht="14.25" customHeight="1">
      <c r="A6849" s="55" t="s">
        <v>9935</v>
      </c>
      <c r="B6849" s="55" t="s">
        <v>40</v>
      </c>
      <c r="C6849" s="55" t="s">
        <v>9088</v>
      </c>
      <c r="D6849" s="55" t="s">
        <v>9873</v>
      </c>
    </row>
    <row r="6850" ht="14.25" customHeight="1">
      <c r="A6850" s="55" t="s">
        <v>9935</v>
      </c>
      <c r="B6850" s="55" t="s">
        <v>40</v>
      </c>
      <c r="C6850" s="55" t="s">
        <v>12520</v>
      </c>
      <c r="D6850" s="55" t="s">
        <v>9755</v>
      </c>
    </row>
    <row r="6851" ht="14.25" customHeight="1">
      <c r="A6851" s="55" t="s">
        <v>9935</v>
      </c>
      <c r="B6851" s="55" t="s">
        <v>40</v>
      </c>
      <c r="C6851" s="55" t="s">
        <v>11279</v>
      </c>
      <c r="D6851" s="55" t="s">
        <v>9827</v>
      </c>
    </row>
    <row r="6852" ht="14.25" customHeight="1">
      <c r="A6852" s="55" t="s">
        <v>9935</v>
      </c>
      <c r="B6852" s="55" t="s">
        <v>40</v>
      </c>
      <c r="C6852" s="55" t="s">
        <v>189</v>
      </c>
      <c r="D6852" s="55" t="s">
        <v>9289</v>
      </c>
    </row>
    <row r="6853" ht="14.25" customHeight="1">
      <c r="A6853" s="55" t="s">
        <v>9935</v>
      </c>
      <c r="B6853" s="55" t="s">
        <v>40</v>
      </c>
      <c r="C6853" s="55" t="s">
        <v>14505</v>
      </c>
      <c r="D6853" s="55" t="s">
        <v>14506</v>
      </c>
    </row>
    <row r="6854" ht="14.25" customHeight="1">
      <c r="A6854" s="55" t="s">
        <v>9935</v>
      </c>
      <c r="B6854" s="55" t="s">
        <v>40</v>
      </c>
      <c r="C6854" s="55" t="s">
        <v>14507</v>
      </c>
      <c r="D6854" s="55" t="s">
        <v>9602</v>
      </c>
    </row>
    <row r="6855" ht="14.25" customHeight="1">
      <c r="A6855" s="55" t="s">
        <v>9935</v>
      </c>
      <c r="B6855" s="55" t="s">
        <v>40</v>
      </c>
      <c r="C6855" s="55" t="s">
        <v>9277</v>
      </c>
      <c r="D6855" s="55" t="s">
        <v>8978</v>
      </c>
    </row>
    <row r="6856" ht="14.25" customHeight="1">
      <c r="A6856" s="55" t="s">
        <v>9935</v>
      </c>
      <c r="B6856" s="55" t="s">
        <v>40</v>
      </c>
      <c r="C6856" s="55" t="s">
        <v>11280</v>
      </c>
      <c r="D6856" s="55" t="s">
        <v>9071</v>
      </c>
    </row>
    <row r="6857" ht="14.25" customHeight="1">
      <c r="A6857" s="55" t="s">
        <v>9935</v>
      </c>
      <c r="B6857" s="55" t="s">
        <v>40</v>
      </c>
      <c r="C6857" s="55" t="s">
        <v>3763</v>
      </c>
      <c r="D6857" s="55" t="s">
        <v>9755</v>
      </c>
    </row>
    <row r="6858" ht="14.25" customHeight="1">
      <c r="A6858" s="55" t="s">
        <v>9935</v>
      </c>
      <c r="B6858" s="55" t="s">
        <v>40</v>
      </c>
      <c r="C6858" s="55" t="s">
        <v>3763</v>
      </c>
      <c r="D6858" s="55" t="s">
        <v>10576</v>
      </c>
    </row>
    <row r="6859" ht="14.25" customHeight="1">
      <c r="A6859" s="55" t="s">
        <v>9935</v>
      </c>
      <c r="B6859" s="55" t="s">
        <v>40</v>
      </c>
      <c r="C6859" s="55" t="s">
        <v>11157</v>
      </c>
      <c r="D6859" s="55" t="s">
        <v>9154</v>
      </c>
    </row>
    <row r="6860" ht="14.25" customHeight="1">
      <c r="A6860" s="55" t="s">
        <v>9935</v>
      </c>
      <c r="B6860" s="55" t="s">
        <v>40</v>
      </c>
      <c r="C6860" s="55" t="s">
        <v>210</v>
      </c>
      <c r="D6860" s="55" t="s">
        <v>9944</v>
      </c>
    </row>
    <row r="6861" ht="14.25" customHeight="1">
      <c r="A6861" s="55" t="s">
        <v>9935</v>
      </c>
      <c r="B6861" s="55" t="s">
        <v>40</v>
      </c>
      <c r="C6861" s="55" t="s">
        <v>12521</v>
      </c>
      <c r="D6861" s="55" t="s">
        <v>9604</v>
      </c>
    </row>
    <row r="6862" ht="14.25" customHeight="1">
      <c r="A6862" s="55" t="s">
        <v>9935</v>
      </c>
      <c r="B6862" s="55" t="s">
        <v>40</v>
      </c>
      <c r="C6862" s="55" t="s">
        <v>9562</v>
      </c>
      <c r="D6862" s="55" t="s">
        <v>9563</v>
      </c>
    </row>
    <row r="6863" ht="14.25" customHeight="1">
      <c r="A6863" s="55" t="s">
        <v>9935</v>
      </c>
      <c r="B6863" s="55" t="s">
        <v>40</v>
      </c>
      <c r="C6863" s="55" t="s">
        <v>9562</v>
      </c>
      <c r="D6863" s="55" t="s">
        <v>10517</v>
      </c>
    </row>
    <row r="6864" ht="14.25" customHeight="1">
      <c r="A6864" s="55" t="s">
        <v>9935</v>
      </c>
      <c r="B6864" s="55" t="s">
        <v>40</v>
      </c>
      <c r="C6864" s="55" t="s">
        <v>9562</v>
      </c>
      <c r="D6864" s="55" t="s">
        <v>9945</v>
      </c>
    </row>
    <row r="6865" ht="14.25" customHeight="1">
      <c r="A6865" s="55" t="s">
        <v>9935</v>
      </c>
      <c r="B6865" s="55" t="s">
        <v>40</v>
      </c>
      <c r="C6865" s="55" t="s">
        <v>10518</v>
      </c>
      <c r="D6865" s="55" t="s">
        <v>10519</v>
      </c>
    </row>
    <row r="6866" ht="14.25" customHeight="1">
      <c r="A6866" s="55" t="s">
        <v>9935</v>
      </c>
      <c r="B6866" s="55" t="s">
        <v>40</v>
      </c>
      <c r="C6866" s="55" t="s">
        <v>215</v>
      </c>
      <c r="D6866" s="55" t="s">
        <v>10517</v>
      </c>
    </row>
    <row r="6867" ht="14.25" customHeight="1">
      <c r="A6867" s="55" t="s">
        <v>9935</v>
      </c>
      <c r="B6867" s="55" t="s">
        <v>40</v>
      </c>
      <c r="C6867" s="55" t="s">
        <v>14224</v>
      </c>
      <c r="D6867" s="55" t="s">
        <v>14508</v>
      </c>
    </row>
    <row r="6868" ht="14.25" customHeight="1">
      <c r="A6868" s="55" t="s">
        <v>9935</v>
      </c>
      <c r="B6868" s="55" t="s">
        <v>40</v>
      </c>
      <c r="C6868" s="55" t="s">
        <v>11835</v>
      </c>
      <c r="D6868" s="55" t="s">
        <v>8968</v>
      </c>
    </row>
    <row r="6869" ht="14.25" customHeight="1">
      <c r="A6869" s="55" t="s">
        <v>9935</v>
      </c>
      <c r="B6869" s="55" t="s">
        <v>40</v>
      </c>
      <c r="C6869" s="55" t="s">
        <v>11836</v>
      </c>
      <c r="D6869" s="55" t="s">
        <v>9028</v>
      </c>
    </row>
    <row r="6870" ht="14.25" customHeight="1">
      <c r="A6870" s="55" t="s">
        <v>9935</v>
      </c>
      <c r="B6870" s="55" t="s">
        <v>40</v>
      </c>
      <c r="C6870" s="55" t="s">
        <v>3810</v>
      </c>
      <c r="D6870" s="55" t="s">
        <v>9827</v>
      </c>
    </row>
    <row r="6871" ht="14.25" customHeight="1">
      <c r="A6871" s="55" t="s">
        <v>9935</v>
      </c>
      <c r="B6871" s="55" t="s">
        <v>40</v>
      </c>
      <c r="C6871" s="55" t="s">
        <v>3810</v>
      </c>
      <c r="D6871" s="55" t="s">
        <v>12522</v>
      </c>
    </row>
    <row r="6872" ht="14.25" customHeight="1">
      <c r="A6872" s="55" t="s">
        <v>9935</v>
      </c>
      <c r="B6872" s="55" t="s">
        <v>40</v>
      </c>
      <c r="C6872" s="55" t="s">
        <v>11281</v>
      </c>
      <c r="D6872" s="55" t="s">
        <v>8976</v>
      </c>
    </row>
    <row r="6873" ht="14.25" customHeight="1">
      <c r="A6873" s="55" t="s">
        <v>9935</v>
      </c>
      <c r="B6873" s="55" t="s">
        <v>40</v>
      </c>
      <c r="C6873" s="55" t="s">
        <v>9946</v>
      </c>
      <c r="D6873" s="55" t="s">
        <v>9947</v>
      </c>
    </row>
    <row r="6874" ht="14.25" customHeight="1">
      <c r="A6874" s="55" t="s">
        <v>9935</v>
      </c>
      <c r="B6874" s="55" t="s">
        <v>40</v>
      </c>
      <c r="C6874" s="55" t="s">
        <v>3861</v>
      </c>
      <c r="D6874" s="55" t="s">
        <v>11568</v>
      </c>
    </row>
    <row r="6875" ht="14.25" customHeight="1">
      <c r="A6875" s="55" t="s">
        <v>9935</v>
      </c>
      <c r="B6875" s="55" t="s">
        <v>40</v>
      </c>
      <c r="C6875" s="55" t="s">
        <v>12523</v>
      </c>
      <c r="D6875" s="55" t="s">
        <v>10622</v>
      </c>
    </row>
    <row r="6876" ht="14.25" customHeight="1">
      <c r="A6876" s="55" t="s">
        <v>9935</v>
      </c>
      <c r="B6876" s="55" t="s">
        <v>40</v>
      </c>
      <c r="C6876" s="55" t="s">
        <v>1743</v>
      </c>
      <c r="D6876" s="55" t="s">
        <v>12190</v>
      </c>
    </row>
    <row r="6877" ht="14.25" customHeight="1">
      <c r="A6877" s="55" t="s">
        <v>9935</v>
      </c>
      <c r="B6877" s="55" t="s">
        <v>40</v>
      </c>
      <c r="C6877" s="55" t="s">
        <v>1743</v>
      </c>
      <c r="D6877" s="55" t="s">
        <v>13410</v>
      </c>
    </row>
    <row r="6878" ht="14.25" customHeight="1">
      <c r="A6878" s="55" t="s">
        <v>9935</v>
      </c>
      <c r="B6878" s="55" t="s">
        <v>40</v>
      </c>
      <c r="C6878" s="55" t="s">
        <v>13411</v>
      </c>
      <c r="D6878" s="55" t="s">
        <v>9875</v>
      </c>
    </row>
    <row r="6879" ht="14.25" customHeight="1">
      <c r="A6879" s="55" t="s">
        <v>9935</v>
      </c>
      <c r="B6879" s="55" t="s">
        <v>40</v>
      </c>
      <c r="C6879" s="55" t="s">
        <v>14004</v>
      </c>
      <c r="D6879" s="55" t="s">
        <v>9028</v>
      </c>
    </row>
    <row r="6880" ht="14.25" customHeight="1">
      <c r="A6880" s="55" t="s">
        <v>9935</v>
      </c>
      <c r="B6880" s="55" t="s">
        <v>40</v>
      </c>
      <c r="C6880" s="55" t="s">
        <v>3984</v>
      </c>
      <c r="D6880" s="55" t="s">
        <v>9729</v>
      </c>
    </row>
    <row r="6881" ht="14.25" customHeight="1">
      <c r="A6881" s="55" t="s">
        <v>9935</v>
      </c>
      <c r="B6881" s="55" t="s">
        <v>40</v>
      </c>
      <c r="C6881" s="55" t="s">
        <v>230</v>
      </c>
      <c r="D6881" s="55" t="s">
        <v>8976</v>
      </c>
    </row>
    <row r="6882" ht="14.25" customHeight="1">
      <c r="A6882" s="55" t="s">
        <v>9935</v>
      </c>
      <c r="B6882" s="55" t="s">
        <v>40</v>
      </c>
      <c r="C6882" s="55" t="s">
        <v>13412</v>
      </c>
      <c r="D6882" s="55" t="s">
        <v>13413</v>
      </c>
    </row>
    <row r="6883" ht="14.25" customHeight="1">
      <c r="A6883" s="55" t="s">
        <v>9935</v>
      </c>
      <c r="B6883" s="55" t="s">
        <v>40</v>
      </c>
      <c r="C6883" s="55" t="s">
        <v>10020</v>
      </c>
      <c r="D6883" s="55" t="s">
        <v>9729</v>
      </c>
    </row>
    <row r="6884" ht="14.25" customHeight="1">
      <c r="A6884" s="55" t="s">
        <v>9935</v>
      </c>
      <c r="B6884" s="55" t="s">
        <v>40</v>
      </c>
      <c r="C6884" s="55" t="s">
        <v>10520</v>
      </c>
      <c r="D6884" s="55" t="s">
        <v>10521</v>
      </c>
    </row>
    <row r="6885" ht="14.25" customHeight="1">
      <c r="A6885" s="55" t="s">
        <v>9935</v>
      </c>
      <c r="B6885" s="55" t="s">
        <v>40</v>
      </c>
      <c r="C6885" s="55" t="s">
        <v>1906</v>
      </c>
      <c r="D6885" s="55" t="s">
        <v>10522</v>
      </c>
    </row>
    <row r="6886" ht="14.25" customHeight="1">
      <c r="A6886" s="55" t="s">
        <v>9935</v>
      </c>
      <c r="B6886" s="55" t="s">
        <v>40</v>
      </c>
      <c r="C6886" s="55" t="s">
        <v>12524</v>
      </c>
      <c r="D6886" s="55" t="s">
        <v>12525</v>
      </c>
    </row>
    <row r="6887" ht="14.25" customHeight="1">
      <c r="A6887" s="55" t="s">
        <v>9935</v>
      </c>
      <c r="B6887" s="55" t="s">
        <v>40</v>
      </c>
      <c r="C6887" s="55" t="s">
        <v>12526</v>
      </c>
      <c r="D6887" s="55" t="s">
        <v>10222</v>
      </c>
    </row>
    <row r="6888" ht="14.25" customHeight="1">
      <c r="A6888" s="55" t="s">
        <v>9935</v>
      </c>
      <c r="B6888" s="55" t="s">
        <v>40</v>
      </c>
      <c r="C6888" s="55" t="s">
        <v>11282</v>
      </c>
      <c r="D6888" s="55" t="s">
        <v>8976</v>
      </c>
    </row>
    <row r="6889" ht="14.25" customHeight="1">
      <c r="A6889" s="55" t="s">
        <v>9935</v>
      </c>
      <c r="B6889" s="55" t="s">
        <v>40</v>
      </c>
      <c r="C6889" s="55" t="s">
        <v>248</v>
      </c>
      <c r="D6889" s="55" t="s">
        <v>9265</v>
      </c>
    </row>
    <row r="6890" ht="14.25" customHeight="1">
      <c r="A6890" s="55" t="s">
        <v>9935</v>
      </c>
      <c r="B6890" s="55" t="s">
        <v>40</v>
      </c>
      <c r="C6890" s="55" t="s">
        <v>255</v>
      </c>
      <c r="D6890" s="55" t="s">
        <v>9075</v>
      </c>
    </row>
    <row r="6891" ht="14.25" customHeight="1">
      <c r="A6891" s="55" t="s">
        <v>9935</v>
      </c>
      <c r="B6891" s="55" t="s">
        <v>40</v>
      </c>
      <c r="C6891" s="55" t="s">
        <v>9434</v>
      </c>
      <c r="D6891" s="55" t="s">
        <v>14005</v>
      </c>
    </row>
    <row r="6892" ht="14.25" customHeight="1">
      <c r="A6892" s="55" t="s">
        <v>9935</v>
      </c>
      <c r="B6892" s="55" t="s">
        <v>40</v>
      </c>
      <c r="C6892" s="55" t="s">
        <v>9434</v>
      </c>
      <c r="D6892" s="55" t="s">
        <v>9583</v>
      </c>
    </row>
    <row r="6893" ht="14.25" customHeight="1">
      <c r="A6893" s="55" t="s">
        <v>9935</v>
      </c>
      <c r="B6893" s="55" t="s">
        <v>40</v>
      </c>
      <c r="C6893" s="55" t="s">
        <v>12527</v>
      </c>
      <c r="D6893" s="55" t="s">
        <v>9109</v>
      </c>
    </row>
    <row r="6894" ht="14.25" customHeight="1">
      <c r="A6894" s="55" t="s">
        <v>9935</v>
      </c>
      <c r="B6894" s="55" t="s">
        <v>40</v>
      </c>
      <c r="C6894" s="55" t="s">
        <v>13414</v>
      </c>
      <c r="D6894" s="55" t="s">
        <v>9118</v>
      </c>
    </row>
    <row r="6895" ht="14.25" customHeight="1">
      <c r="A6895" s="55" t="s">
        <v>9935</v>
      </c>
      <c r="B6895" s="55" t="s">
        <v>40</v>
      </c>
      <c r="C6895" s="55" t="s">
        <v>9090</v>
      </c>
      <c r="D6895" s="55" t="s">
        <v>11834</v>
      </c>
    </row>
    <row r="6896" ht="14.25" customHeight="1">
      <c r="A6896" s="55" t="s">
        <v>9935</v>
      </c>
      <c r="B6896" s="55" t="s">
        <v>40</v>
      </c>
      <c r="C6896" s="55" t="s">
        <v>9160</v>
      </c>
      <c r="D6896" s="55" t="s">
        <v>9034</v>
      </c>
    </row>
    <row r="6897" ht="14.25" customHeight="1">
      <c r="A6897" s="55" t="s">
        <v>9935</v>
      </c>
      <c r="B6897" s="55" t="s">
        <v>40</v>
      </c>
      <c r="C6897" s="55" t="s">
        <v>9160</v>
      </c>
      <c r="D6897" s="55" t="s">
        <v>9265</v>
      </c>
    </row>
    <row r="6898" ht="14.25" customHeight="1">
      <c r="A6898" s="55" t="s">
        <v>9935</v>
      </c>
      <c r="B6898" s="55" t="s">
        <v>40</v>
      </c>
      <c r="C6898" s="55" t="s">
        <v>9160</v>
      </c>
      <c r="D6898" s="55" t="s">
        <v>10523</v>
      </c>
    </row>
    <row r="6899" ht="14.25" customHeight="1">
      <c r="A6899" s="55" t="s">
        <v>9935</v>
      </c>
      <c r="B6899" s="55" t="s">
        <v>40</v>
      </c>
      <c r="C6899" s="55" t="s">
        <v>4281</v>
      </c>
      <c r="D6899" s="55" t="s">
        <v>9265</v>
      </c>
    </row>
    <row r="6900" ht="14.25" customHeight="1">
      <c r="A6900" s="55" t="s">
        <v>9935</v>
      </c>
      <c r="B6900" s="55" t="s">
        <v>40</v>
      </c>
      <c r="C6900" s="55" t="s">
        <v>4294</v>
      </c>
      <c r="D6900" s="55" t="s">
        <v>8976</v>
      </c>
    </row>
    <row r="6901" ht="14.25" customHeight="1">
      <c r="A6901" s="55" t="s">
        <v>9935</v>
      </c>
      <c r="B6901" s="55" t="s">
        <v>40</v>
      </c>
      <c r="C6901" s="55" t="s">
        <v>9005</v>
      </c>
      <c r="D6901" s="55" t="s">
        <v>13415</v>
      </c>
    </row>
    <row r="6902" ht="14.25" customHeight="1">
      <c r="A6902" s="55" t="s">
        <v>9935</v>
      </c>
      <c r="B6902" s="55" t="s">
        <v>40</v>
      </c>
      <c r="C6902" s="55" t="s">
        <v>2163</v>
      </c>
      <c r="D6902" s="55" t="s">
        <v>9021</v>
      </c>
    </row>
    <row r="6903" ht="14.25" customHeight="1">
      <c r="A6903" s="55" t="s">
        <v>9935</v>
      </c>
      <c r="B6903" s="55" t="s">
        <v>40</v>
      </c>
      <c r="C6903" s="55" t="s">
        <v>14509</v>
      </c>
      <c r="D6903" s="55" t="s">
        <v>14510</v>
      </c>
    </row>
    <row r="6904" ht="14.25" customHeight="1">
      <c r="A6904" s="55" t="s">
        <v>9948</v>
      </c>
      <c r="B6904" s="55" t="s">
        <v>40</v>
      </c>
      <c r="C6904" s="55" t="s">
        <v>9034</v>
      </c>
      <c r="D6904" s="55" t="s">
        <v>8968</v>
      </c>
    </row>
    <row r="6905" ht="14.25" customHeight="1">
      <c r="A6905" s="55" t="s">
        <v>9948</v>
      </c>
      <c r="B6905" s="55" t="s">
        <v>40</v>
      </c>
      <c r="C6905" s="55" t="s">
        <v>9034</v>
      </c>
      <c r="D6905" s="55" t="s">
        <v>12528</v>
      </c>
    </row>
    <row r="6906" ht="14.25" customHeight="1">
      <c r="A6906" s="55" t="s">
        <v>9948</v>
      </c>
      <c r="B6906" s="55" t="s">
        <v>40</v>
      </c>
      <c r="C6906" s="55" t="s">
        <v>9034</v>
      </c>
      <c r="D6906" s="55" t="s">
        <v>11283</v>
      </c>
    </row>
    <row r="6907" ht="14.25" customHeight="1">
      <c r="A6907" s="55" t="s">
        <v>9948</v>
      </c>
      <c r="B6907" s="55" t="s">
        <v>40</v>
      </c>
      <c r="C6907" s="55" t="s">
        <v>9034</v>
      </c>
      <c r="D6907" s="55" t="s">
        <v>12529</v>
      </c>
    </row>
    <row r="6908" ht="14.25" customHeight="1">
      <c r="A6908" s="55" t="s">
        <v>9948</v>
      </c>
      <c r="B6908" s="55" t="s">
        <v>40</v>
      </c>
      <c r="C6908" s="55" t="s">
        <v>2295</v>
      </c>
      <c r="D6908" s="55" t="s">
        <v>13416</v>
      </c>
    </row>
    <row r="6909" ht="14.25" customHeight="1">
      <c r="A6909" s="55" t="s">
        <v>9948</v>
      </c>
      <c r="B6909" s="55" t="s">
        <v>40</v>
      </c>
      <c r="C6909" s="55" t="s">
        <v>63</v>
      </c>
      <c r="D6909" s="55" t="s">
        <v>10712</v>
      </c>
    </row>
    <row r="6910" ht="14.25" customHeight="1">
      <c r="A6910" s="55" t="s">
        <v>9948</v>
      </c>
      <c r="B6910" s="55" t="s">
        <v>40</v>
      </c>
      <c r="C6910" s="55" t="s">
        <v>77</v>
      </c>
      <c r="D6910" s="55" t="s">
        <v>13417</v>
      </c>
    </row>
    <row r="6911" ht="14.25" customHeight="1">
      <c r="A6911" s="55" t="s">
        <v>9948</v>
      </c>
      <c r="B6911" s="55" t="s">
        <v>40</v>
      </c>
      <c r="C6911" s="55" t="s">
        <v>10656</v>
      </c>
      <c r="D6911" s="55" t="s">
        <v>9972</v>
      </c>
    </row>
    <row r="6912" ht="14.25" customHeight="1">
      <c r="A6912" s="55" t="s">
        <v>9948</v>
      </c>
      <c r="B6912" s="55" t="s">
        <v>40</v>
      </c>
      <c r="C6912" s="55" t="s">
        <v>9949</v>
      </c>
      <c r="D6912" s="55" t="s">
        <v>8968</v>
      </c>
    </row>
    <row r="6913" ht="14.25" customHeight="1">
      <c r="A6913" s="55" t="s">
        <v>9948</v>
      </c>
      <c r="B6913" s="55" t="s">
        <v>40</v>
      </c>
      <c r="C6913" s="55" t="s">
        <v>11284</v>
      </c>
      <c r="D6913" s="55" t="s">
        <v>10023</v>
      </c>
    </row>
    <row r="6914" ht="14.25" customHeight="1">
      <c r="A6914" s="55" t="s">
        <v>9948</v>
      </c>
      <c r="B6914" s="55" t="s">
        <v>40</v>
      </c>
      <c r="C6914" s="55" t="s">
        <v>11285</v>
      </c>
      <c r="D6914" s="55" t="s">
        <v>9073</v>
      </c>
    </row>
    <row r="6915" ht="14.25" customHeight="1">
      <c r="A6915" s="55" t="s">
        <v>9948</v>
      </c>
      <c r="B6915" s="55" t="s">
        <v>40</v>
      </c>
      <c r="C6915" s="55" t="s">
        <v>14006</v>
      </c>
      <c r="D6915" s="55" t="s">
        <v>14007</v>
      </c>
    </row>
    <row r="6916" ht="14.25" customHeight="1">
      <c r="A6916" s="55" t="s">
        <v>9948</v>
      </c>
      <c r="B6916" s="55" t="s">
        <v>40</v>
      </c>
      <c r="C6916" s="55" t="s">
        <v>9950</v>
      </c>
      <c r="D6916" s="55" t="s">
        <v>9028</v>
      </c>
    </row>
    <row r="6917" ht="14.25" customHeight="1">
      <c r="A6917" s="55" t="s">
        <v>9948</v>
      </c>
      <c r="B6917" s="55" t="s">
        <v>40</v>
      </c>
      <c r="C6917" s="55" t="s">
        <v>9950</v>
      </c>
      <c r="D6917" s="55" t="s">
        <v>9951</v>
      </c>
    </row>
    <row r="6918" ht="14.25" customHeight="1">
      <c r="A6918" s="55" t="s">
        <v>9948</v>
      </c>
      <c r="B6918" s="55" t="s">
        <v>40</v>
      </c>
      <c r="C6918" s="55" t="s">
        <v>9952</v>
      </c>
      <c r="D6918" s="55" t="s">
        <v>9953</v>
      </c>
    </row>
    <row r="6919" ht="14.25" customHeight="1">
      <c r="A6919" s="55" t="s">
        <v>9948</v>
      </c>
      <c r="B6919" s="55" t="s">
        <v>40</v>
      </c>
      <c r="C6919" s="55" t="s">
        <v>9624</v>
      </c>
      <c r="D6919" s="55" t="s">
        <v>9954</v>
      </c>
    </row>
    <row r="6920" ht="14.25" customHeight="1">
      <c r="A6920" s="55" t="s">
        <v>9948</v>
      </c>
      <c r="B6920" s="55" t="s">
        <v>40</v>
      </c>
      <c r="C6920" s="55" t="s">
        <v>6152</v>
      </c>
      <c r="D6920" s="55" t="s">
        <v>12530</v>
      </c>
    </row>
    <row r="6921" ht="14.25" customHeight="1">
      <c r="A6921" s="55" t="s">
        <v>9948</v>
      </c>
      <c r="B6921" s="55" t="s">
        <v>40</v>
      </c>
      <c r="C6921" s="55" t="s">
        <v>8981</v>
      </c>
      <c r="D6921" s="55" t="s">
        <v>9216</v>
      </c>
    </row>
    <row r="6922" ht="14.25" customHeight="1">
      <c r="A6922" s="55" t="s">
        <v>9948</v>
      </c>
      <c r="B6922" s="55" t="s">
        <v>40</v>
      </c>
      <c r="C6922" s="55" t="s">
        <v>9133</v>
      </c>
      <c r="D6922" s="55" t="s">
        <v>9955</v>
      </c>
    </row>
    <row r="6923" ht="14.25" customHeight="1">
      <c r="A6923" s="55" t="s">
        <v>9948</v>
      </c>
      <c r="B6923" s="55" t="s">
        <v>40</v>
      </c>
      <c r="C6923" s="55" t="s">
        <v>12531</v>
      </c>
      <c r="D6923" s="55" t="s">
        <v>9972</v>
      </c>
    </row>
    <row r="6924" ht="14.25" customHeight="1">
      <c r="A6924" s="55" t="s">
        <v>9948</v>
      </c>
      <c r="B6924" s="55" t="s">
        <v>40</v>
      </c>
      <c r="C6924" s="55" t="s">
        <v>3081</v>
      </c>
      <c r="D6924" s="55" t="s">
        <v>11286</v>
      </c>
    </row>
    <row r="6925" ht="14.25" customHeight="1">
      <c r="A6925" s="55" t="s">
        <v>9948</v>
      </c>
      <c r="B6925" s="55" t="s">
        <v>40</v>
      </c>
      <c r="C6925" s="55" t="s">
        <v>9956</v>
      </c>
      <c r="D6925" s="55" t="s">
        <v>9957</v>
      </c>
    </row>
    <row r="6926" ht="14.25" customHeight="1">
      <c r="A6926" s="55" t="s">
        <v>9948</v>
      </c>
      <c r="B6926" s="55" t="s">
        <v>40</v>
      </c>
      <c r="C6926" s="55" t="s">
        <v>9956</v>
      </c>
      <c r="D6926" s="55" t="s">
        <v>14511</v>
      </c>
    </row>
    <row r="6927" ht="14.25" customHeight="1">
      <c r="A6927" s="55" t="s">
        <v>9948</v>
      </c>
      <c r="B6927" s="55" t="s">
        <v>40</v>
      </c>
      <c r="C6927" s="55" t="s">
        <v>14512</v>
      </c>
      <c r="D6927" s="55" t="s">
        <v>9258</v>
      </c>
    </row>
    <row r="6928" ht="14.25" customHeight="1">
      <c r="A6928" s="55" t="s">
        <v>9948</v>
      </c>
      <c r="B6928" s="55" t="s">
        <v>40</v>
      </c>
      <c r="C6928" s="55" t="s">
        <v>12607</v>
      </c>
      <c r="D6928" s="55" t="s">
        <v>9118</v>
      </c>
    </row>
    <row r="6929" ht="14.25" customHeight="1">
      <c r="A6929" s="55" t="s">
        <v>9948</v>
      </c>
      <c r="B6929" s="55" t="s">
        <v>40</v>
      </c>
      <c r="C6929" s="55" t="s">
        <v>12607</v>
      </c>
      <c r="D6929" s="55" t="s">
        <v>13418</v>
      </c>
    </row>
    <row r="6930" ht="14.25" customHeight="1">
      <c r="A6930" s="55" t="s">
        <v>9948</v>
      </c>
      <c r="B6930" s="55" t="s">
        <v>40</v>
      </c>
      <c r="C6930" s="55" t="s">
        <v>9958</v>
      </c>
      <c r="D6930" s="55" t="s">
        <v>9034</v>
      </c>
    </row>
    <row r="6931" ht="14.25" customHeight="1">
      <c r="A6931" s="55" t="s">
        <v>9948</v>
      </c>
      <c r="B6931" s="55" t="s">
        <v>40</v>
      </c>
      <c r="C6931" s="55" t="s">
        <v>9959</v>
      </c>
      <c r="D6931" s="55" t="s">
        <v>405</v>
      </c>
    </row>
    <row r="6932" ht="14.25" customHeight="1">
      <c r="A6932" s="55" t="s">
        <v>9948</v>
      </c>
      <c r="B6932" s="55" t="s">
        <v>40</v>
      </c>
      <c r="C6932" s="55" t="s">
        <v>166</v>
      </c>
      <c r="D6932" s="55" t="s">
        <v>9151</v>
      </c>
    </row>
    <row r="6933" ht="14.25" customHeight="1">
      <c r="A6933" s="55" t="s">
        <v>9948</v>
      </c>
      <c r="B6933" s="55" t="s">
        <v>40</v>
      </c>
      <c r="C6933" s="55" t="s">
        <v>14513</v>
      </c>
      <c r="D6933" s="55" t="s">
        <v>9034</v>
      </c>
    </row>
    <row r="6934" ht="14.25" customHeight="1">
      <c r="A6934" s="55" t="s">
        <v>9948</v>
      </c>
      <c r="B6934" s="55" t="s">
        <v>40</v>
      </c>
      <c r="C6934" s="55" t="s">
        <v>9804</v>
      </c>
      <c r="D6934" s="55" t="s">
        <v>9960</v>
      </c>
    </row>
    <row r="6935" ht="14.25" customHeight="1">
      <c r="A6935" s="55" t="s">
        <v>9948</v>
      </c>
      <c r="B6935" s="55" t="s">
        <v>40</v>
      </c>
      <c r="C6935" s="55" t="s">
        <v>9804</v>
      </c>
      <c r="D6935" s="55" t="s">
        <v>9961</v>
      </c>
    </row>
    <row r="6936" ht="14.25" customHeight="1">
      <c r="A6936" s="55" t="s">
        <v>9948</v>
      </c>
      <c r="B6936" s="55" t="s">
        <v>40</v>
      </c>
      <c r="C6936" s="55" t="s">
        <v>3596</v>
      </c>
      <c r="D6936" s="55" t="s">
        <v>9034</v>
      </c>
    </row>
    <row r="6937" ht="14.25" customHeight="1">
      <c r="A6937" s="55" t="s">
        <v>9948</v>
      </c>
      <c r="B6937" s="55" t="s">
        <v>40</v>
      </c>
      <c r="C6937" s="55" t="s">
        <v>3596</v>
      </c>
      <c r="D6937" s="55" t="s">
        <v>9051</v>
      </c>
    </row>
    <row r="6938" ht="14.25" customHeight="1">
      <c r="A6938" s="55" t="s">
        <v>9948</v>
      </c>
      <c r="B6938" s="55" t="s">
        <v>40</v>
      </c>
      <c r="C6938" s="55" t="s">
        <v>3596</v>
      </c>
      <c r="D6938" s="55" t="s">
        <v>9805</v>
      </c>
    </row>
    <row r="6939" ht="14.25" customHeight="1">
      <c r="A6939" s="55" t="s">
        <v>9948</v>
      </c>
      <c r="B6939" s="55" t="s">
        <v>40</v>
      </c>
      <c r="C6939" s="55" t="s">
        <v>3596</v>
      </c>
      <c r="D6939" s="55" t="s">
        <v>11287</v>
      </c>
    </row>
    <row r="6940" ht="14.25" customHeight="1">
      <c r="A6940" s="55" t="s">
        <v>9948</v>
      </c>
      <c r="B6940" s="55" t="s">
        <v>40</v>
      </c>
      <c r="C6940" s="55" t="s">
        <v>3596</v>
      </c>
      <c r="D6940" s="55" t="s">
        <v>9972</v>
      </c>
    </row>
    <row r="6941" ht="14.25" customHeight="1">
      <c r="A6941" s="55" t="s">
        <v>9948</v>
      </c>
      <c r="B6941" s="55" t="s">
        <v>40</v>
      </c>
      <c r="C6941" s="55" t="s">
        <v>3596</v>
      </c>
      <c r="D6941" s="55" t="s">
        <v>9055</v>
      </c>
    </row>
    <row r="6942" ht="14.25" customHeight="1">
      <c r="A6942" s="55" t="s">
        <v>9948</v>
      </c>
      <c r="B6942" s="55" t="s">
        <v>40</v>
      </c>
      <c r="C6942" s="55" t="s">
        <v>3596</v>
      </c>
      <c r="D6942" s="55" t="s">
        <v>9075</v>
      </c>
    </row>
    <row r="6943" ht="14.25" customHeight="1">
      <c r="A6943" s="55" t="s">
        <v>9948</v>
      </c>
      <c r="B6943" s="55" t="s">
        <v>40</v>
      </c>
      <c r="C6943" s="55" t="s">
        <v>9821</v>
      </c>
      <c r="D6943" s="55" t="s">
        <v>10124</v>
      </c>
    </row>
    <row r="6944" ht="14.25" customHeight="1">
      <c r="A6944" s="55" t="s">
        <v>9948</v>
      </c>
      <c r="B6944" s="55" t="s">
        <v>40</v>
      </c>
      <c r="C6944" s="55" t="s">
        <v>5224</v>
      </c>
      <c r="D6944" s="55" t="s">
        <v>9805</v>
      </c>
    </row>
    <row r="6945" ht="14.25" customHeight="1">
      <c r="A6945" s="55" t="s">
        <v>9948</v>
      </c>
      <c r="B6945" s="55" t="s">
        <v>40</v>
      </c>
      <c r="C6945" s="55" t="s">
        <v>204</v>
      </c>
      <c r="D6945" s="55" t="s">
        <v>9109</v>
      </c>
    </row>
    <row r="6946" ht="14.25" customHeight="1">
      <c r="A6946" s="55" t="s">
        <v>9948</v>
      </c>
      <c r="B6946" s="55" t="s">
        <v>40</v>
      </c>
      <c r="C6946" s="55" t="s">
        <v>204</v>
      </c>
      <c r="D6946" s="55" t="s">
        <v>9965</v>
      </c>
    </row>
    <row r="6947" ht="14.25" customHeight="1">
      <c r="A6947" s="55" t="s">
        <v>9948</v>
      </c>
      <c r="B6947" s="55" t="s">
        <v>40</v>
      </c>
      <c r="C6947" s="55" t="s">
        <v>204</v>
      </c>
      <c r="D6947" s="55" t="s">
        <v>12532</v>
      </c>
    </row>
    <row r="6948" ht="14.25" customHeight="1">
      <c r="A6948" s="55" t="s">
        <v>9948</v>
      </c>
      <c r="B6948" s="55" t="s">
        <v>40</v>
      </c>
      <c r="C6948" s="55" t="s">
        <v>204</v>
      </c>
      <c r="D6948" s="55" t="s">
        <v>9151</v>
      </c>
    </row>
    <row r="6949" ht="14.25" customHeight="1">
      <c r="A6949" s="55" t="s">
        <v>9948</v>
      </c>
      <c r="B6949" s="55" t="s">
        <v>40</v>
      </c>
      <c r="C6949" s="55" t="s">
        <v>204</v>
      </c>
      <c r="D6949" s="55" t="s">
        <v>13419</v>
      </c>
    </row>
    <row r="6950" ht="14.25" customHeight="1">
      <c r="A6950" s="55" t="s">
        <v>9948</v>
      </c>
      <c r="B6950" s="55" t="s">
        <v>40</v>
      </c>
      <c r="C6950" s="55" t="s">
        <v>13420</v>
      </c>
      <c r="D6950" s="55" t="s">
        <v>13421</v>
      </c>
    </row>
    <row r="6951" ht="14.25" customHeight="1">
      <c r="A6951" s="55" t="s">
        <v>9948</v>
      </c>
      <c r="B6951" s="55" t="s">
        <v>40</v>
      </c>
      <c r="C6951" s="55" t="s">
        <v>13422</v>
      </c>
      <c r="D6951" s="55" t="s">
        <v>13423</v>
      </c>
    </row>
    <row r="6952" ht="14.25" customHeight="1">
      <c r="A6952" s="55" t="s">
        <v>9948</v>
      </c>
      <c r="B6952" s="55" t="s">
        <v>40</v>
      </c>
      <c r="C6952" s="55" t="s">
        <v>9993</v>
      </c>
      <c r="D6952" s="55" t="s">
        <v>9972</v>
      </c>
    </row>
    <row r="6953" ht="14.25" customHeight="1">
      <c r="A6953" s="55" t="s">
        <v>9948</v>
      </c>
      <c r="B6953" s="55" t="s">
        <v>40</v>
      </c>
      <c r="C6953" s="55" t="s">
        <v>9993</v>
      </c>
      <c r="D6953" s="55" t="s">
        <v>11288</v>
      </c>
    </row>
    <row r="6954" ht="14.25" customHeight="1">
      <c r="A6954" s="55" t="s">
        <v>9948</v>
      </c>
      <c r="B6954" s="55" t="s">
        <v>40</v>
      </c>
      <c r="C6954" s="55" t="s">
        <v>207</v>
      </c>
      <c r="D6954" s="55" t="s">
        <v>9972</v>
      </c>
    </row>
    <row r="6955" ht="14.25" customHeight="1">
      <c r="A6955" s="55" t="s">
        <v>9948</v>
      </c>
      <c r="B6955" s="55" t="s">
        <v>40</v>
      </c>
      <c r="C6955" s="55" t="s">
        <v>333</v>
      </c>
      <c r="D6955" s="55" t="s">
        <v>9962</v>
      </c>
    </row>
    <row r="6956" ht="14.25" customHeight="1">
      <c r="A6956" s="55" t="s">
        <v>9948</v>
      </c>
      <c r="B6956" s="55" t="s">
        <v>40</v>
      </c>
      <c r="C6956" s="55" t="s">
        <v>11289</v>
      </c>
      <c r="D6956" s="55" t="s">
        <v>9028</v>
      </c>
    </row>
    <row r="6957" ht="14.25" customHeight="1">
      <c r="A6957" s="55" t="s">
        <v>9948</v>
      </c>
      <c r="B6957" s="55" t="s">
        <v>40</v>
      </c>
      <c r="C6957" s="55" t="s">
        <v>14514</v>
      </c>
      <c r="D6957" s="55" t="s">
        <v>9972</v>
      </c>
    </row>
    <row r="6958" ht="14.25" customHeight="1">
      <c r="A6958" s="55" t="s">
        <v>9948</v>
      </c>
      <c r="B6958" s="55" t="s">
        <v>40</v>
      </c>
      <c r="C6958" s="55" t="s">
        <v>9963</v>
      </c>
      <c r="D6958" s="55" t="s">
        <v>9964</v>
      </c>
    </row>
    <row r="6959" ht="14.25" customHeight="1">
      <c r="A6959" s="55" t="s">
        <v>9948</v>
      </c>
      <c r="B6959" s="55" t="s">
        <v>40</v>
      </c>
      <c r="C6959" s="55" t="s">
        <v>233</v>
      </c>
      <c r="D6959" s="55" t="s">
        <v>9805</v>
      </c>
    </row>
    <row r="6960" ht="14.25" customHeight="1">
      <c r="A6960" s="55" t="s">
        <v>9948</v>
      </c>
      <c r="B6960" s="55" t="s">
        <v>40</v>
      </c>
      <c r="C6960" s="55" t="s">
        <v>234</v>
      </c>
      <c r="D6960" s="55" t="s">
        <v>9965</v>
      </c>
    </row>
    <row r="6961" ht="14.25" customHeight="1">
      <c r="A6961" s="55" t="s">
        <v>9948</v>
      </c>
      <c r="B6961" s="55" t="s">
        <v>40</v>
      </c>
      <c r="C6961" s="55" t="s">
        <v>234</v>
      </c>
      <c r="D6961" s="55" t="s">
        <v>9972</v>
      </c>
    </row>
    <row r="6962" ht="14.25" customHeight="1">
      <c r="A6962" s="55" t="s">
        <v>9948</v>
      </c>
      <c r="B6962" s="55" t="s">
        <v>40</v>
      </c>
      <c r="C6962" s="55" t="s">
        <v>4056</v>
      </c>
      <c r="D6962" s="55" t="s">
        <v>9109</v>
      </c>
    </row>
    <row r="6963" ht="14.25" customHeight="1">
      <c r="A6963" s="55" t="s">
        <v>9948</v>
      </c>
      <c r="B6963" s="55" t="s">
        <v>40</v>
      </c>
      <c r="C6963" s="55" t="s">
        <v>6985</v>
      </c>
      <c r="D6963" s="55" t="s">
        <v>11290</v>
      </c>
    </row>
    <row r="6964" ht="14.25" customHeight="1">
      <c r="A6964" s="55" t="s">
        <v>9948</v>
      </c>
      <c r="B6964" s="55" t="s">
        <v>40</v>
      </c>
      <c r="C6964" s="55" t="s">
        <v>4109</v>
      </c>
      <c r="D6964" s="55" t="s">
        <v>8978</v>
      </c>
    </row>
    <row r="6965" ht="14.25" customHeight="1">
      <c r="A6965" s="55" t="s">
        <v>9948</v>
      </c>
      <c r="B6965" s="55" t="s">
        <v>40</v>
      </c>
      <c r="C6965" s="55" t="s">
        <v>9966</v>
      </c>
      <c r="D6965" s="55" t="s">
        <v>9967</v>
      </c>
    </row>
    <row r="6966" ht="14.25" customHeight="1">
      <c r="A6966" s="55" t="s">
        <v>9948</v>
      </c>
      <c r="B6966" s="55" t="s">
        <v>40</v>
      </c>
      <c r="C6966" s="55" t="s">
        <v>9968</v>
      </c>
      <c r="D6966" s="55" t="s">
        <v>8968</v>
      </c>
    </row>
    <row r="6967" ht="14.25" customHeight="1">
      <c r="A6967" s="55" t="s">
        <v>9948</v>
      </c>
      <c r="B6967" s="55" t="s">
        <v>40</v>
      </c>
      <c r="C6967" s="55" t="s">
        <v>11291</v>
      </c>
      <c r="D6967" s="55" t="s">
        <v>9034</v>
      </c>
    </row>
    <row r="6968" ht="14.25" customHeight="1">
      <c r="A6968" s="55" t="s">
        <v>9948</v>
      </c>
      <c r="B6968" s="55" t="s">
        <v>40</v>
      </c>
      <c r="C6968" s="55" t="s">
        <v>248</v>
      </c>
      <c r="D6968" s="55" t="s">
        <v>9969</v>
      </c>
    </row>
    <row r="6969" ht="14.25" customHeight="1">
      <c r="A6969" s="55" t="s">
        <v>9948</v>
      </c>
      <c r="B6969" s="55" t="s">
        <v>40</v>
      </c>
      <c r="C6969" s="55" t="s">
        <v>9090</v>
      </c>
      <c r="D6969" s="55" t="s">
        <v>13424</v>
      </c>
    </row>
    <row r="6970" ht="14.25" customHeight="1">
      <c r="A6970" s="55" t="s">
        <v>9948</v>
      </c>
      <c r="B6970" s="55" t="s">
        <v>40</v>
      </c>
      <c r="C6970" s="55" t="s">
        <v>9090</v>
      </c>
      <c r="D6970" s="55" t="s">
        <v>9964</v>
      </c>
    </row>
    <row r="6971" ht="14.25" customHeight="1">
      <c r="A6971" s="55" t="s">
        <v>9948</v>
      </c>
      <c r="B6971" s="55" t="s">
        <v>40</v>
      </c>
      <c r="C6971" s="55" t="s">
        <v>11292</v>
      </c>
      <c r="D6971" s="55" t="s">
        <v>11293</v>
      </c>
    </row>
    <row r="6972" ht="14.25" customHeight="1">
      <c r="A6972" s="55" t="s">
        <v>9948</v>
      </c>
      <c r="B6972" s="55" t="s">
        <v>40</v>
      </c>
      <c r="C6972" s="55" t="s">
        <v>9005</v>
      </c>
      <c r="D6972" s="55" t="s">
        <v>9006</v>
      </c>
    </row>
    <row r="6973" ht="14.25" customHeight="1">
      <c r="A6973" s="55" t="s">
        <v>9948</v>
      </c>
      <c r="B6973" s="55" t="s">
        <v>40</v>
      </c>
      <c r="C6973" s="55" t="s">
        <v>9529</v>
      </c>
      <c r="D6973" s="55" t="s">
        <v>9006</v>
      </c>
    </row>
    <row r="6974" ht="14.25" customHeight="1">
      <c r="A6974" s="55" t="s">
        <v>9948</v>
      </c>
      <c r="B6974" s="55" t="s">
        <v>40</v>
      </c>
      <c r="C6974" s="55" t="s">
        <v>2163</v>
      </c>
      <c r="D6974" s="55" t="s">
        <v>9021</v>
      </c>
    </row>
    <row r="6975" ht="14.25" customHeight="1">
      <c r="A6975" s="55" t="s">
        <v>9948</v>
      </c>
      <c r="B6975" s="55" t="s">
        <v>40</v>
      </c>
      <c r="C6975" s="55" t="s">
        <v>2163</v>
      </c>
      <c r="D6975" s="55" t="s">
        <v>13425</v>
      </c>
    </row>
    <row r="6976" ht="14.25" customHeight="1">
      <c r="A6976" s="55" t="s">
        <v>9948</v>
      </c>
      <c r="B6976" s="55" t="s">
        <v>40</v>
      </c>
      <c r="C6976" s="55" t="s">
        <v>2163</v>
      </c>
      <c r="D6976" s="55" t="s">
        <v>9970</v>
      </c>
    </row>
    <row r="6977" ht="14.25" customHeight="1">
      <c r="A6977" s="55" t="s">
        <v>9948</v>
      </c>
      <c r="B6977" s="55" t="s">
        <v>40</v>
      </c>
      <c r="C6977" s="55" t="s">
        <v>2163</v>
      </c>
      <c r="D6977" s="55" t="s">
        <v>13135</v>
      </c>
    </row>
    <row r="6978" ht="14.25" customHeight="1">
      <c r="A6978" s="55" t="s">
        <v>9948</v>
      </c>
      <c r="B6978" s="55" t="s">
        <v>40</v>
      </c>
      <c r="C6978" s="55" t="s">
        <v>2163</v>
      </c>
      <c r="D6978" s="55" t="s">
        <v>11294</v>
      </c>
    </row>
    <row r="6979" ht="14.25" customHeight="1">
      <c r="A6979" s="55" t="s">
        <v>9948</v>
      </c>
      <c r="B6979" s="55" t="s">
        <v>40</v>
      </c>
      <c r="C6979" s="55" t="s">
        <v>12533</v>
      </c>
      <c r="D6979" s="55" t="s">
        <v>405</v>
      </c>
    </row>
    <row r="6980" ht="14.25" customHeight="1">
      <c r="A6980" s="55" t="s">
        <v>9948</v>
      </c>
      <c r="B6980" s="55" t="s">
        <v>40</v>
      </c>
      <c r="C6980" s="55" t="s">
        <v>11295</v>
      </c>
      <c r="D6980" s="55" t="s">
        <v>11296</v>
      </c>
    </row>
    <row r="6981" ht="14.25" customHeight="1">
      <c r="A6981" s="55" t="s">
        <v>9948</v>
      </c>
      <c r="B6981" s="55" t="s">
        <v>40</v>
      </c>
      <c r="C6981" s="55" t="s">
        <v>9971</v>
      </c>
      <c r="D6981" s="55" t="s">
        <v>9972</v>
      </c>
    </row>
    <row r="6982" ht="14.25" customHeight="1">
      <c r="A6982" s="55" t="s">
        <v>9948</v>
      </c>
      <c r="B6982" s="55" t="s">
        <v>40</v>
      </c>
      <c r="C6982" s="55" t="s">
        <v>4481</v>
      </c>
      <c r="D6982" s="55" t="s">
        <v>8968</v>
      </c>
    </row>
    <row r="6983" ht="14.25" customHeight="1">
      <c r="A6983" s="55" t="s">
        <v>9948</v>
      </c>
      <c r="B6983" s="55" t="s">
        <v>40</v>
      </c>
      <c r="C6983" s="55" t="s">
        <v>12534</v>
      </c>
      <c r="D6983" s="55" t="s">
        <v>12535</v>
      </c>
    </row>
    <row r="6984" ht="14.25" customHeight="1">
      <c r="A6984" s="55" t="s">
        <v>9948</v>
      </c>
      <c r="B6984" s="55" t="s">
        <v>40</v>
      </c>
      <c r="C6984" s="55" t="s">
        <v>9973</v>
      </c>
      <c r="D6984" s="55" t="s">
        <v>9961</v>
      </c>
    </row>
    <row r="6985" ht="14.25" customHeight="1">
      <c r="A6985" s="55" t="s">
        <v>9948</v>
      </c>
      <c r="B6985" s="55" t="s">
        <v>40</v>
      </c>
      <c r="C6985" s="55" t="s">
        <v>9973</v>
      </c>
      <c r="D6985" s="55" t="s">
        <v>9947</v>
      </c>
    </row>
    <row r="6986" ht="14.25" customHeight="1">
      <c r="A6986" s="55" t="s">
        <v>9948</v>
      </c>
      <c r="B6986" s="55" t="s">
        <v>40</v>
      </c>
      <c r="C6986" s="55" t="s">
        <v>9974</v>
      </c>
      <c r="D6986" s="55" t="s">
        <v>9109</v>
      </c>
    </row>
    <row r="6987" ht="14.25" customHeight="1">
      <c r="A6987" s="55" t="s">
        <v>9948</v>
      </c>
      <c r="B6987" s="55" t="s">
        <v>41</v>
      </c>
      <c r="C6987" s="55" t="s">
        <v>327</v>
      </c>
      <c r="D6987" s="55" t="s">
        <v>9883</v>
      </c>
    </row>
    <row r="6988" ht="14.25" customHeight="1">
      <c r="A6988" s="55" t="s">
        <v>9948</v>
      </c>
      <c r="B6988" s="55" t="s">
        <v>41</v>
      </c>
      <c r="C6988" s="55" t="s">
        <v>9804</v>
      </c>
      <c r="D6988" s="55" t="s">
        <v>9961</v>
      </c>
    </row>
    <row r="6989" ht="14.25" customHeight="1">
      <c r="A6989" s="55" t="s">
        <v>9948</v>
      </c>
      <c r="B6989" s="55" t="s">
        <v>41</v>
      </c>
      <c r="C6989" s="55" t="s">
        <v>9804</v>
      </c>
      <c r="D6989" s="55" t="s">
        <v>11117</v>
      </c>
    </row>
    <row r="6990" ht="14.25" customHeight="1">
      <c r="A6990" s="55" t="s">
        <v>9948</v>
      </c>
      <c r="B6990" s="55" t="s">
        <v>41</v>
      </c>
      <c r="C6990" s="55" t="s">
        <v>9804</v>
      </c>
      <c r="D6990" s="55" t="s">
        <v>13426</v>
      </c>
    </row>
    <row r="6991" ht="14.25" customHeight="1">
      <c r="A6991" s="55" t="s">
        <v>9948</v>
      </c>
      <c r="B6991" s="55" t="s">
        <v>41</v>
      </c>
      <c r="C6991" s="55" t="s">
        <v>3596</v>
      </c>
      <c r="D6991" s="55" t="s">
        <v>14008</v>
      </c>
    </row>
    <row r="6992" ht="14.25" customHeight="1">
      <c r="A6992" s="55" t="s">
        <v>9948</v>
      </c>
      <c r="B6992" s="55" t="s">
        <v>41</v>
      </c>
      <c r="C6992" s="55" t="s">
        <v>3596</v>
      </c>
      <c r="D6992" s="55" t="s">
        <v>11487</v>
      </c>
    </row>
    <row r="6993" ht="14.25" customHeight="1">
      <c r="A6993" s="55" t="s">
        <v>9948</v>
      </c>
      <c r="B6993" s="55" t="s">
        <v>41</v>
      </c>
      <c r="C6993" s="55" t="s">
        <v>3596</v>
      </c>
      <c r="D6993" s="55" t="s">
        <v>14515</v>
      </c>
    </row>
    <row r="6994" ht="14.25" customHeight="1">
      <c r="A6994" s="55" t="s">
        <v>9948</v>
      </c>
      <c r="B6994" s="55" t="s">
        <v>41</v>
      </c>
      <c r="C6994" s="55" t="s">
        <v>3596</v>
      </c>
      <c r="D6994" s="55" t="s">
        <v>9838</v>
      </c>
    </row>
    <row r="6995" ht="14.25" customHeight="1">
      <c r="A6995" s="55" t="s">
        <v>9948</v>
      </c>
      <c r="B6995" s="55" t="s">
        <v>41</v>
      </c>
      <c r="C6995" s="55" t="s">
        <v>12536</v>
      </c>
      <c r="D6995" s="55" t="s">
        <v>9034</v>
      </c>
    </row>
    <row r="6996" ht="14.25" customHeight="1">
      <c r="A6996" s="55" t="s">
        <v>9948</v>
      </c>
      <c r="B6996" s="55" t="s">
        <v>41</v>
      </c>
      <c r="C6996" s="55" t="s">
        <v>5224</v>
      </c>
      <c r="D6996" s="55" t="s">
        <v>12537</v>
      </c>
    </row>
    <row r="6997" ht="14.25" customHeight="1">
      <c r="A6997" s="55" t="s">
        <v>9948</v>
      </c>
      <c r="B6997" s="55" t="s">
        <v>41</v>
      </c>
      <c r="C6997" s="55" t="s">
        <v>8996</v>
      </c>
      <c r="D6997" s="55" t="s">
        <v>8976</v>
      </c>
    </row>
    <row r="6998" ht="14.25" customHeight="1">
      <c r="A6998" s="55" t="s">
        <v>9948</v>
      </c>
      <c r="B6998" s="55" t="s">
        <v>41</v>
      </c>
      <c r="C6998" s="55" t="s">
        <v>1702</v>
      </c>
      <c r="D6998" s="55" t="s">
        <v>14516</v>
      </c>
    </row>
    <row r="6999" ht="14.25" customHeight="1">
      <c r="A6999" s="55" t="s">
        <v>9948</v>
      </c>
      <c r="B6999" s="55" t="s">
        <v>41</v>
      </c>
      <c r="C6999" s="55" t="s">
        <v>9090</v>
      </c>
      <c r="D6999" s="55" t="s">
        <v>9249</v>
      </c>
    </row>
    <row r="7000" ht="14.25" customHeight="1">
      <c r="A7000" s="55" t="s">
        <v>9948</v>
      </c>
      <c r="B7000" s="55" t="s">
        <v>41</v>
      </c>
      <c r="C7000" s="55" t="s">
        <v>9975</v>
      </c>
      <c r="D7000" s="55" t="s">
        <v>9432</v>
      </c>
    </row>
    <row r="7001" ht="14.25" customHeight="1">
      <c r="A7001" s="55" t="s">
        <v>9948</v>
      </c>
      <c r="B7001" s="55" t="s">
        <v>41</v>
      </c>
      <c r="C7001" s="55" t="s">
        <v>14009</v>
      </c>
      <c r="D7001" s="55" t="s">
        <v>14010</v>
      </c>
    </row>
    <row r="7002" ht="14.25" customHeight="1">
      <c r="A7002" s="55" t="s">
        <v>9948</v>
      </c>
      <c r="B7002" s="55" t="s">
        <v>41</v>
      </c>
      <c r="C7002" s="55" t="s">
        <v>9529</v>
      </c>
      <c r="D7002" s="55" t="s">
        <v>9976</v>
      </c>
    </row>
    <row r="7003" ht="14.25" customHeight="1">
      <c r="A7003" s="55" t="s">
        <v>9948</v>
      </c>
      <c r="B7003" s="55" t="s">
        <v>41</v>
      </c>
      <c r="C7003" s="55" t="s">
        <v>9977</v>
      </c>
      <c r="D7003" s="55" t="s">
        <v>9972</v>
      </c>
    </row>
    <row r="7004" ht="14.25" customHeight="1">
      <c r="A7004" s="55" t="s">
        <v>9948</v>
      </c>
      <c r="B7004" s="55" t="s">
        <v>13</v>
      </c>
      <c r="C7004" s="55" t="s">
        <v>13427</v>
      </c>
      <c r="D7004" s="55" t="s">
        <v>13428</v>
      </c>
    </row>
    <row r="7005" ht="14.25" customHeight="1">
      <c r="A7005" s="55" t="s">
        <v>9948</v>
      </c>
      <c r="B7005" s="55" t="s">
        <v>13</v>
      </c>
      <c r="C7005" s="55" t="s">
        <v>11297</v>
      </c>
      <c r="D7005" s="55" t="s">
        <v>11298</v>
      </c>
    </row>
    <row r="7006" ht="14.25" customHeight="1">
      <c r="A7006" s="55" t="s">
        <v>9948</v>
      </c>
      <c r="B7006" s="55" t="s">
        <v>13</v>
      </c>
      <c r="C7006" s="55" t="s">
        <v>3081</v>
      </c>
      <c r="D7006" s="55" t="s">
        <v>11299</v>
      </c>
    </row>
    <row r="7007" ht="14.25" customHeight="1">
      <c r="A7007" s="55" t="s">
        <v>9948</v>
      </c>
      <c r="B7007" s="55" t="s">
        <v>13</v>
      </c>
      <c r="C7007" s="55" t="s">
        <v>9959</v>
      </c>
      <c r="D7007" s="55" t="s">
        <v>9176</v>
      </c>
    </row>
    <row r="7008" ht="14.25" customHeight="1">
      <c r="A7008" s="55" t="s">
        <v>9948</v>
      </c>
      <c r="B7008" s="55" t="s">
        <v>13</v>
      </c>
      <c r="C7008" s="55" t="s">
        <v>13429</v>
      </c>
      <c r="D7008" s="55" t="s">
        <v>13430</v>
      </c>
    </row>
    <row r="7009" ht="14.25" customHeight="1">
      <c r="A7009" s="55" t="s">
        <v>9948</v>
      </c>
      <c r="B7009" s="55" t="s">
        <v>13</v>
      </c>
      <c r="C7009" s="55" t="s">
        <v>11300</v>
      </c>
      <c r="D7009" s="55" t="s">
        <v>9972</v>
      </c>
    </row>
    <row r="7010" ht="14.25" customHeight="1">
      <c r="A7010" s="55" t="s">
        <v>9948</v>
      </c>
      <c r="B7010" s="55" t="s">
        <v>13</v>
      </c>
      <c r="C7010" s="55" t="s">
        <v>3451</v>
      </c>
      <c r="D7010" s="55" t="s">
        <v>8968</v>
      </c>
    </row>
    <row r="7011" ht="14.25" customHeight="1">
      <c r="A7011" s="55" t="s">
        <v>9948</v>
      </c>
      <c r="B7011" s="55" t="s">
        <v>13</v>
      </c>
      <c r="C7011" s="55" t="s">
        <v>13172</v>
      </c>
      <c r="D7011" s="55" t="s">
        <v>9972</v>
      </c>
    </row>
    <row r="7012" ht="14.25" customHeight="1">
      <c r="A7012" s="55" t="s">
        <v>9948</v>
      </c>
      <c r="B7012" s="55" t="s">
        <v>13</v>
      </c>
      <c r="C7012" s="55" t="s">
        <v>9804</v>
      </c>
      <c r="D7012" s="55" t="s">
        <v>10608</v>
      </c>
    </row>
    <row r="7013" ht="14.25" customHeight="1">
      <c r="A7013" s="55" t="s">
        <v>9948</v>
      </c>
      <c r="B7013" s="55" t="s">
        <v>13</v>
      </c>
      <c r="C7013" s="55" t="s">
        <v>10182</v>
      </c>
      <c r="D7013" s="55" t="s">
        <v>9925</v>
      </c>
    </row>
    <row r="7014" ht="14.25" customHeight="1">
      <c r="A7014" s="55" t="s">
        <v>9948</v>
      </c>
      <c r="B7014" s="55" t="s">
        <v>13</v>
      </c>
      <c r="C7014" s="55" t="s">
        <v>14011</v>
      </c>
      <c r="D7014" s="55" t="s">
        <v>9972</v>
      </c>
    </row>
    <row r="7015" ht="14.25" customHeight="1">
      <c r="A7015" s="55" t="s">
        <v>9948</v>
      </c>
      <c r="B7015" s="55" t="s">
        <v>13</v>
      </c>
      <c r="C7015" s="55" t="s">
        <v>233</v>
      </c>
      <c r="D7015" s="55" t="s">
        <v>14012</v>
      </c>
    </row>
    <row r="7016" ht="14.25" customHeight="1">
      <c r="A7016" s="55" t="s">
        <v>9948</v>
      </c>
      <c r="B7016" s="55" t="s">
        <v>13</v>
      </c>
      <c r="C7016" s="55" t="s">
        <v>12813</v>
      </c>
      <c r="D7016" s="55" t="s">
        <v>9249</v>
      </c>
    </row>
    <row r="7017" ht="14.25" customHeight="1">
      <c r="A7017" s="55" t="s">
        <v>9948</v>
      </c>
      <c r="B7017" s="55" t="s">
        <v>13</v>
      </c>
      <c r="C7017" s="55" t="s">
        <v>13930</v>
      </c>
      <c r="D7017" s="55" t="s">
        <v>13528</v>
      </c>
    </row>
    <row r="7018" ht="14.25" customHeight="1">
      <c r="A7018" s="55" t="s">
        <v>9948</v>
      </c>
      <c r="B7018" s="55" t="s">
        <v>13</v>
      </c>
      <c r="C7018" s="55" t="s">
        <v>13377</v>
      </c>
      <c r="D7018" s="55" t="s">
        <v>9972</v>
      </c>
    </row>
    <row r="7019" ht="14.25" customHeight="1">
      <c r="A7019" s="55" t="s">
        <v>9948</v>
      </c>
      <c r="B7019" s="55" t="s">
        <v>13</v>
      </c>
      <c r="C7019" s="55" t="s">
        <v>14517</v>
      </c>
      <c r="D7019" s="55" t="s">
        <v>14518</v>
      </c>
    </row>
    <row r="7020" ht="14.25" customHeight="1">
      <c r="A7020" s="55" t="s">
        <v>9978</v>
      </c>
      <c r="B7020" s="55" t="s">
        <v>40</v>
      </c>
      <c r="C7020" s="55" t="s">
        <v>9034</v>
      </c>
      <c r="D7020" s="55" t="s">
        <v>9180</v>
      </c>
    </row>
    <row r="7021" ht="14.25" customHeight="1">
      <c r="A7021" s="55" t="s">
        <v>9978</v>
      </c>
      <c r="B7021" s="55" t="s">
        <v>40</v>
      </c>
      <c r="C7021" s="55" t="s">
        <v>2301</v>
      </c>
      <c r="D7021" s="55" t="s">
        <v>12538</v>
      </c>
    </row>
    <row r="7022" ht="14.25" customHeight="1">
      <c r="A7022" s="55" t="s">
        <v>9978</v>
      </c>
      <c r="B7022" s="55" t="s">
        <v>40</v>
      </c>
      <c r="C7022" s="55" t="s">
        <v>2301</v>
      </c>
      <c r="D7022" s="55" t="s">
        <v>9075</v>
      </c>
    </row>
    <row r="7023" ht="14.25" customHeight="1">
      <c r="A7023" s="55" t="s">
        <v>9978</v>
      </c>
      <c r="B7023" s="55" t="s">
        <v>40</v>
      </c>
      <c r="C7023" s="55" t="s">
        <v>10950</v>
      </c>
      <c r="D7023" s="55" t="s">
        <v>14013</v>
      </c>
    </row>
    <row r="7024" ht="14.25" customHeight="1">
      <c r="A7024" s="55" t="s">
        <v>9978</v>
      </c>
      <c r="B7024" s="55" t="s">
        <v>40</v>
      </c>
      <c r="C7024" s="55" t="s">
        <v>11764</v>
      </c>
      <c r="D7024" s="55" t="s">
        <v>11765</v>
      </c>
    </row>
    <row r="7025" ht="14.25" customHeight="1">
      <c r="A7025" s="55" t="s">
        <v>9978</v>
      </c>
      <c r="B7025" s="55" t="s">
        <v>40</v>
      </c>
      <c r="C7025" s="55" t="s">
        <v>9458</v>
      </c>
      <c r="D7025" s="55" t="s">
        <v>8968</v>
      </c>
    </row>
    <row r="7026" ht="14.25" customHeight="1">
      <c r="A7026" s="55" t="s">
        <v>9978</v>
      </c>
      <c r="B7026" s="55" t="s">
        <v>40</v>
      </c>
      <c r="C7026" s="55" t="s">
        <v>9458</v>
      </c>
      <c r="D7026" s="55" t="s">
        <v>9075</v>
      </c>
    </row>
    <row r="7027" ht="14.25" customHeight="1">
      <c r="A7027" s="55" t="s">
        <v>9978</v>
      </c>
      <c r="B7027" s="55" t="s">
        <v>40</v>
      </c>
      <c r="C7027" s="55" t="s">
        <v>11046</v>
      </c>
      <c r="D7027" s="55" t="s">
        <v>9075</v>
      </c>
    </row>
    <row r="7028" ht="14.25" customHeight="1">
      <c r="A7028" s="55" t="s">
        <v>9978</v>
      </c>
      <c r="B7028" s="55" t="s">
        <v>40</v>
      </c>
      <c r="C7028" s="55" t="s">
        <v>12539</v>
      </c>
      <c r="D7028" s="55" t="s">
        <v>11765</v>
      </c>
    </row>
    <row r="7029" ht="14.25" customHeight="1">
      <c r="A7029" s="55" t="s">
        <v>9978</v>
      </c>
      <c r="B7029" s="55" t="s">
        <v>40</v>
      </c>
      <c r="C7029" s="55" t="s">
        <v>13431</v>
      </c>
      <c r="D7029" s="55" t="s">
        <v>13432</v>
      </c>
    </row>
    <row r="7030" ht="14.25" customHeight="1">
      <c r="A7030" s="55" t="s">
        <v>9978</v>
      </c>
      <c r="B7030" s="55" t="s">
        <v>40</v>
      </c>
      <c r="C7030" s="55" t="s">
        <v>9979</v>
      </c>
      <c r="D7030" s="55" t="s">
        <v>9980</v>
      </c>
    </row>
    <row r="7031" ht="14.25" customHeight="1">
      <c r="A7031" s="55" t="s">
        <v>9978</v>
      </c>
      <c r="B7031" s="55" t="s">
        <v>40</v>
      </c>
      <c r="C7031" s="55" t="s">
        <v>13433</v>
      </c>
      <c r="D7031" s="55" t="s">
        <v>9026</v>
      </c>
    </row>
    <row r="7032" ht="14.25" customHeight="1">
      <c r="A7032" s="55" t="s">
        <v>9978</v>
      </c>
      <c r="B7032" s="55" t="s">
        <v>40</v>
      </c>
      <c r="C7032" s="55" t="s">
        <v>14519</v>
      </c>
      <c r="D7032" s="55" t="s">
        <v>9055</v>
      </c>
    </row>
    <row r="7033" ht="14.25" customHeight="1">
      <c r="A7033" s="55" t="s">
        <v>9978</v>
      </c>
      <c r="B7033" s="55" t="s">
        <v>40</v>
      </c>
      <c r="C7033" s="55" t="s">
        <v>9981</v>
      </c>
      <c r="D7033" s="55" t="s">
        <v>405</v>
      </c>
    </row>
    <row r="7034" ht="14.25" customHeight="1">
      <c r="A7034" s="55" t="s">
        <v>9978</v>
      </c>
      <c r="B7034" s="55" t="s">
        <v>40</v>
      </c>
      <c r="C7034" s="55" t="s">
        <v>9982</v>
      </c>
      <c r="D7034" s="55" t="s">
        <v>9983</v>
      </c>
    </row>
    <row r="7035" ht="14.25" customHeight="1">
      <c r="A7035" s="55" t="s">
        <v>9978</v>
      </c>
      <c r="B7035" s="55" t="s">
        <v>40</v>
      </c>
      <c r="C7035" s="55" t="s">
        <v>9982</v>
      </c>
      <c r="D7035" s="55" t="s">
        <v>12540</v>
      </c>
    </row>
    <row r="7036" ht="14.25" customHeight="1">
      <c r="A7036" s="55" t="s">
        <v>9978</v>
      </c>
      <c r="B7036" s="55" t="s">
        <v>40</v>
      </c>
      <c r="C7036" s="55" t="s">
        <v>4825</v>
      </c>
      <c r="D7036" s="55" t="s">
        <v>11301</v>
      </c>
    </row>
    <row r="7037" ht="14.25" customHeight="1">
      <c r="A7037" s="55" t="s">
        <v>9978</v>
      </c>
      <c r="B7037" s="55" t="s">
        <v>40</v>
      </c>
      <c r="C7037" s="55" t="s">
        <v>13434</v>
      </c>
      <c r="D7037" s="55" t="s">
        <v>8994</v>
      </c>
    </row>
    <row r="7038" ht="14.25" customHeight="1">
      <c r="A7038" s="55" t="s">
        <v>9978</v>
      </c>
      <c r="B7038" s="55" t="s">
        <v>40</v>
      </c>
      <c r="C7038" s="55" t="s">
        <v>13435</v>
      </c>
      <c r="D7038" s="55" t="s">
        <v>13436</v>
      </c>
    </row>
    <row r="7039" ht="14.25" customHeight="1">
      <c r="A7039" s="55" t="s">
        <v>9978</v>
      </c>
      <c r="B7039" s="55" t="s">
        <v>40</v>
      </c>
      <c r="C7039" s="55" t="s">
        <v>12541</v>
      </c>
      <c r="D7039" s="55" t="s">
        <v>12542</v>
      </c>
    </row>
    <row r="7040" ht="14.25" customHeight="1">
      <c r="A7040" s="55" t="s">
        <v>9978</v>
      </c>
      <c r="B7040" s="55" t="s">
        <v>40</v>
      </c>
      <c r="C7040" s="55" t="s">
        <v>135</v>
      </c>
      <c r="D7040" s="55" t="s">
        <v>8968</v>
      </c>
    </row>
    <row r="7041" ht="14.25" customHeight="1">
      <c r="A7041" s="55" t="s">
        <v>9978</v>
      </c>
      <c r="B7041" s="55" t="s">
        <v>40</v>
      </c>
      <c r="C7041" s="55" t="s">
        <v>135</v>
      </c>
      <c r="D7041" s="55" t="s">
        <v>9028</v>
      </c>
    </row>
    <row r="7042" ht="14.25" customHeight="1">
      <c r="A7042" s="55" t="s">
        <v>9978</v>
      </c>
      <c r="B7042" s="55" t="s">
        <v>40</v>
      </c>
      <c r="C7042" s="55" t="s">
        <v>9590</v>
      </c>
      <c r="D7042" s="55" t="s">
        <v>9213</v>
      </c>
    </row>
    <row r="7043" ht="14.25" customHeight="1">
      <c r="A7043" s="55" t="s">
        <v>9978</v>
      </c>
      <c r="B7043" s="55" t="s">
        <v>40</v>
      </c>
      <c r="C7043" s="55" t="s">
        <v>14520</v>
      </c>
      <c r="D7043" s="55" t="s">
        <v>9916</v>
      </c>
    </row>
    <row r="7044" ht="14.25" customHeight="1">
      <c r="A7044" s="55" t="s">
        <v>9978</v>
      </c>
      <c r="B7044" s="55" t="s">
        <v>40</v>
      </c>
      <c r="C7044" s="55" t="s">
        <v>9984</v>
      </c>
      <c r="D7044" s="55" t="s">
        <v>9151</v>
      </c>
    </row>
    <row r="7045" ht="14.25" customHeight="1">
      <c r="A7045" s="55" t="s">
        <v>9978</v>
      </c>
      <c r="B7045" s="55" t="s">
        <v>40</v>
      </c>
      <c r="C7045" s="55" t="s">
        <v>9984</v>
      </c>
      <c r="D7045" s="55" t="s">
        <v>9916</v>
      </c>
    </row>
    <row r="7046" ht="14.25" customHeight="1">
      <c r="A7046" s="55" t="s">
        <v>9978</v>
      </c>
      <c r="B7046" s="55" t="s">
        <v>40</v>
      </c>
      <c r="C7046" s="55" t="s">
        <v>13437</v>
      </c>
      <c r="D7046" s="55" t="s">
        <v>9034</v>
      </c>
    </row>
    <row r="7047" ht="14.25" customHeight="1">
      <c r="A7047" s="55" t="s">
        <v>9978</v>
      </c>
      <c r="B7047" s="55" t="s">
        <v>40</v>
      </c>
      <c r="C7047" s="55" t="s">
        <v>8013</v>
      </c>
      <c r="D7047" s="55" t="s">
        <v>11302</v>
      </c>
    </row>
    <row r="7048" ht="14.25" customHeight="1">
      <c r="A7048" s="55" t="s">
        <v>9978</v>
      </c>
      <c r="B7048" s="55" t="s">
        <v>40</v>
      </c>
      <c r="C7048" s="55" t="s">
        <v>13438</v>
      </c>
      <c r="D7048" s="55" t="s">
        <v>13439</v>
      </c>
    </row>
    <row r="7049" ht="14.25" customHeight="1">
      <c r="A7049" s="55" t="s">
        <v>9978</v>
      </c>
      <c r="B7049" s="55" t="s">
        <v>40</v>
      </c>
      <c r="C7049" s="55" t="s">
        <v>9985</v>
      </c>
      <c r="D7049" s="55" t="s">
        <v>9986</v>
      </c>
    </row>
    <row r="7050" ht="14.25" customHeight="1">
      <c r="A7050" s="55" t="s">
        <v>9978</v>
      </c>
      <c r="B7050" s="55" t="s">
        <v>40</v>
      </c>
      <c r="C7050" s="55" t="s">
        <v>10524</v>
      </c>
      <c r="D7050" s="55" t="s">
        <v>10525</v>
      </c>
    </row>
    <row r="7051" ht="14.25" customHeight="1">
      <c r="A7051" s="55" t="s">
        <v>9978</v>
      </c>
      <c r="B7051" s="55" t="s">
        <v>40</v>
      </c>
      <c r="C7051" s="55" t="s">
        <v>13440</v>
      </c>
      <c r="D7051" s="55" t="s">
        <v>13441</v>
      </c>
    </row>
    <row r="7052" ht="14.25" customHeight="1">
      <c r="A7052" s="55" t="s">
        <v>9978</v>
      </c>
      <c r="B7052" s="55" t="s">
        <v>40</v>
      </c>
      <c r="C7052" s="55" t="s">
        <v>166</v>
      </c>
      <c r="D7052" s="55" t="s">
        <v>9151</v>
      </c>
    </row>
    <row r="7053" ht="14.25" customHeight="1">
      <c r="A7053" s="55" t="s">
        <v>9978</v>
      </c>
      <c r="B7053" s="55" t="s">
        <v>40</v>
      </c>
      <c r="C7053" s="55" t="s">
        <v>9203</v>
      </c>
      <c r="D7053" s="55" t="s">
        <v>9204</v>
      </c>
    </row>
    <row r="7054" ht="14.25" customHeight="1">
      <c r="A7054" s="55" t="s">
        <v>9978</v>
      </c>
      <c r="B7054" s="55" t="s">
        <v>40</v>
      </c>
      <c r="C7054" s="55" t="s">
        <v>13442</v>
      </c>
      <c r="D7054" s="55" t="s">
        <v>13439</v>
      </c>
    </row>
    <row r="7055" ht="14.25" customHeight="1">
      <c r="A7055" s="55" t="s">
        <v>9978</v>
      </c>
      <c r="B7055" s="55" t="s">
        <v>40</v>
      </c>
      <c r="C7055" s="55" t="s">
        <v>8249</v>
      </c>
      <c r="D7055" s="55" t="s">
        <v>12543</v>
      </c>
    </row>
    <row r="7056" ht="14.25" customHeight="1">
      <c r="A7056" s="55" t="s">
        <v>9978</v>
      </c>
      <c r="B7056" s="55" t="s">
        <v>40</v>
      </c>
      <c r="C7056" s="55" t="s">
        <v>179</v>
      </c>
      <c r="D7056" s="55" t="s">
        <v>9026</v>
      </c>
    </row>
    <row r="7057" ht="14.25" customHeight="1">
      <c r="A7057" s="55" t="s">
        <v>9978</v>
      </c>
      <c r="B7057" s="55" t="s">
        <v>40</v>
      </c>
      <c r="C7057" s="55" t="s">
        <v>12544</v>
      </c>
      <c r="D7057" s="55" t="s">
        <v>9026</v>
      </c>
    </row>
    <row r="7058" ht="14.25" customHeight="1">
      <c r="A7058" s="55" t="s">
        <v>9978</v>
      </c>
      <c r="B7058" s="55" t="s">
        <v>40</v>
      </c>
      <c r="C7058" s="55" t="s">
        <v>186</v>
      </c>
      <c r="D7058" s="55" t="s">
        <v>9055</v>
      </c>
    </row>
    <row r="7059" ht="14.25" customHeight="1">
      <c r="A7059" s="55" t="s">
        <v>9978</v>
      </c>
      <c r="B7059" s="55" t="s">
        <v>40</v>
      </c>
      <c r="C7059" s="55" t="s">
        <v>13443</v>
      </c>
      <c r="D7059" s="55" t="s">
        <v>9055</v>
      </c>
    </row>
    <row r="7060" ht="14.25" customHeight="1">
      <c r="A7060" s="55" t="s">
        <v>9978</v>
      </c>
      <c r="B7060" s="55" t="s">
        <v>40</v>
      </c>
      <c r="C7060" s="55" t="s">
        <v>196</v>
      </c>
      <c r="D7060" s="55" t="s">
        <v>9055</v>
      </c>
    </row>
    <row r="7061" ht="14.25" customHeight="1">
      <c r="A7061" s="55" t="s">
        <v>9978</v>
      </c>
      <c r="B7061" s="55" t="s">
        <v>40</v>
      </c>
      <c r="C7061" s="55" t="s">
        <v>9987</v>
      </c>
      <c r="D7061" s="55" t="s">
        <v>9988</v>
      </c>
    </row>
    <row r="7062" ht="14.25" customHeight="1">
      <c r="A7062" s="55" t="s">
        <v>9978</v>
      </c>
      <c r="B7062" s="55" t="s">
        <v>40</v>
      </c>
      <c r="C7062" s="55" t="s">
        <v>9989</v>
      </c>
      <c r="D7062" s="55" t="s">
        <v>9990</v>
      </c>
    </row>
    <row r="7063" ht="14.25" customHeight="1">
      <c r="A7063" s="55" t="s">
        <v>9978</v>
      </c>
      <c r="B7063" s="55" t="s">
        <v>40</v>
      </c>
      <c r="C7063" s="55" t="s">
        <v>11303</v>
      </c>
      <c r="D7063" s="55" t="s">
        <v>9618</v>
      </c>
    </row>
    <row r="7064" ht="14.25" customHeight="1">
      <c r="A7064" s="55" t="s">
        <v>9978</v>
      </c>
      <c r="B7064" s="55" t="s">
        <v>40</v>
      </c>
      <c r="C7064" s="55" t="s">
        <v>9991</v>
      </c>
      <c r="D7064" s="55" t="s">
        <v>9992</v>
      </c>
    </row>
    <row r="7065" ht="14.25" customHeight="1">
      <c r="A7065" s="55" t="s">
        <v>9978</v>
      </c>
      <c r="B7065" s="55" t="s">
        <v>40</v>
      </c>
      <c r="C7065" s="55" t="s">
        <v>3707</v>
      </c>
      <c r="D7065" s="55" t="s">
        <v>13439</v>
      </c>
    </row>
    <row r="7066" ht="14.25" customHeight="1">
      <c r="A7066" s="55" t="s">
        <v>9978</v>
      </c>
      <c r="B7066" s="55" t="s">
        <v>40</v>
      </c>
      <c r="C7066" s="55" t="s">
        <v>10526</v>
      </c>
      <c r="D7066" s="55" t="s">
        <v>10527</v>
      </c>
    </row>
    <row r="7067" ht="14.25" customHeight="1">
      <c r="A7067" s="55" t="s">
        <v>9978</v>
      </c>
      <c r="B7067" s="55" t="s">
        <v>40</v>
      </c>
      <c r="C7067" s="55" t="s">
        <v>205</v>
      </c>
      <c r="D7067" s="55" t="s">
        <v>9990</v>
      </c>
    </row>
    <row r="7068" ht="14.25" customHeight="1">
      <c r="A7068" s="55" t="s">
        <v>9978</v>
      </c>
      <c r="B7068" s="55" t="s">
        <v>40</v>
      </c>
      <c r="C7068" s="55" t="s">
        <v>6764</v>
      </c>
      <c r="D7068" s="55" t="s">
        <v>9118</v>
      </c>
    </row>
    <row r="7069" ht="14.25" customHeight="1">
      <c r="A7069" s="55" t="s">
        <v>9978</v>
      </c>
      <c r="B7069" s="55" t="s">
        <v>40</v>
      </c>
      <c r="C7069" s="55" t="s">
        <v>11304</v>
      </c>
      <c r="D7069" s="55" t="s">
        <v>11305</v>
      </c>
    </row>
    <row r="7070" ht="14.25" customHeight="1">
      <c r="A7070" s="55" t="s">
        <v>9978</v>
      </c>
      <c r="B7070" s="55" t="s">
        <v>40</v>
      </c>
      <c r="C7070" s="55" t="s">
        <v>10586</v>
      </c>
      <c r="D7070" s="55" t="s">
        <v>8968</v>
      </c>
    </row>
    <row r="7071" ht="14.25" customHeight="1">
      <c r="A7071" s="55" t="s">
        <v>9978</v>
      </c>
      <c r="B7071" s="55" t="s">
        <v>40</v>
      </c>
      <c r="C7071" s="55" t="s">
        <v>11264</v>
      </c>
      <c r="D7071" s="55" t="s">
        <v>8968</v>
      </c>
    </row>
    <row r="7072" ht="14.25" customHeight="1">
      <c r="A7072" s="55" t="s">
        <v>9978</v>
      </c>
      <c r="B7072" s="55" t="s">
        <v>40</v>
      </c>
      <c r="C7072" s="55" t="s">
        <v>11264</v>
      </c>
      <c r="D7072" s="55" t="s">
        <v>11837</v>
      </c>
    </row>
    <row r="7073" ht="14.25" customHeight="1">
      <c r="A7073" s="55" t="s">
        <v>9978</v>
      </c>
      <c r="B7073" s="55" t="s">
        <v>40</v>
      </c>
      <c r="C7073" s="55" t="s">
        <v>11264</v>
      </c>
      <c r="D7073" s="55" t="s">
        <v>9990</v>
      </c>
    </row>
    <row r="7074" ht="14.25" customHeight="1">
      <c r="A7074" s="55" t="s">
        <v>9978</v>
      </c>
      <c r="B7074" s="55" t="s">
        <v>40</v>
      </c>
      <c r="C7074" s="55" t="s">
        <v>9993</v>
      </c>
      <c r="D7074" s="55" t="s">
        <v>9039</v>
      </c>
    </row>
    <row r="7075" ht="14.25" customHeight="1">
      <c r="A7075" s="55" t="s">
        <v>9978</v>
      </c>
      <c r="B7075" s="55" t="s">
        <v>40</v>
      </c>
      <c r="C7075" s="55" t="s">
        <v>9993</v>
      </c>
      <c r="D7075" s="55" t="s">
        <v>8968</v>
      </c>
    </row>
    <row r="7076" ht="14.25" customHeight="1">
      <c r="A7076" s="55" t="s">
        <v>9978</v>
      </c>
      <c r="B7076" s="55" t="s">
        <v>40</v>
      </c>
      <c r="C7076" s="55" t="s">
        <v>9993</v>
      </c>
      <c r="D7076" s="55" t="s">
        <v>9990</v>
      </c>
    </row>
    <row r="7077" ht="14.25" customHeight="1">
      <c r="A7077" s="55" t="s">
        <v>9978</v>
      </c>
      <c r="B7077" s="55" t="s">
        <v>40</v>
      </c>
      <c r="C7077" s="55" t="s">
        <v>12545</v>
      </c>
      <c r="D7077" s="55" t="s">
        <v>9718</v>
      </c>
    </row>
    <row r="7078" ht="14.25" customHeight="1">
      <c r="A7078" s="55" t="s">
        <v>9978</v>
      </c>
      <c r="B7078" s="55" t="s">
        <v>40</v>
      </c>
      <c r="C7078" s="55" t="s">
        <v>13444</v>
      </c>
      <c r="D7078" s="55" t="s">
        <v>9831</v>
      </c>
    </row>
    <row r="7079" ht="14.25" customHeight="1">
      <c r="A7079" s="55" t="s">
        <v>9978</v>
      </c>
      <c r="B7079" s="55" t="s">
        <v>40</v>
      </c>
      <c r="C7079" s="55" t="s">
        <v>8525</v>
      </c>
      <c r="D7079" s="55" t="s">
        <v>11817</v>
      </c>
    </row>
    <row r="7080" ht="14.25" customHeight="1">
      <c r="A7080" s="55" t="s">
        <v>9978</v>
      </c>
      <c r="B7080" s="55" t="s">
        <v>40</v>
      </c>
      <c r="C7080" s="55" t="s">
        <v>225</v>
      </c>
      <c r="D7080" s="55" t="s">
        <v>9219</v>
      </c>
    </row>
    <row r="7081" ht="14.25" customHeight="1">
      <c r="A7081" s="55" t="s">
        <v>9978</v>
      </c>
      <c r="B7081" s="55" t="s">
        <v>40</v>
      </c>
      <c r="C7081" s="55" t="s">
        <v>11306</v>
      </c>
      <c r="D7081" s="55" t="s">
        <v>11307</v>
      </c>
    </row>
    <row r="7082" ht="14.25" customHeight="1">
      <c r="A7082" s="55" t="s">
        <v>9978</v>
      </c>
      <c r="B7082" s="55" t="s">
        <v>40</v>
      </c>
      <c r="C7082" s="55" t="s">
        <v>9994</v>
      </c>
      <c r="D7082" s="55" t="s">
        <v>9990</v>
      </c>
    </row>
    <row r="7083" ht="14.25" customHeight="1">
      <c r="A7083" s="55" t="s">
        <v>9978</v>
      </c>
      <c r="B7083" s="55" t="s">
        <v>40</v>
      </c>
      <c r="C7083" s="55" t="s">
        <v>9593</v>
      </c>
      <c r="D7083" s="55" t="s">
        <v>9221</v>
      </c>
    </row>
    <row r="7084" ht="14.25" customHeight="1">
      <c r="A7084" s="55" t="s">
        <v>9978</v>
      </c>
      <c r="B7084" s="55" t="s">
        <v>40</v>
      </c>
      <c r="C7084" s="55" t="s">
        <v>4187</v>
      </c>
      <c r="D7084" s="55" t="s">
        <v>9034</v>
      </c>
    </row>
    <row r="7085" ht="14.25" customHeight="1">
      <c r="A7085" s="55" t="s">
        <v>9978</v>
      </c>
      <c r="B7085" s="55" t="s">
        <v>40</v>
      </c>
      <c r="C7085" s="55" t="s">
        <v>4187</v>
      </c>
      <c r="D7085" s="55" t="s">
        <v>9026</v>
      </c>
    </row>
    <row r="7086" ht="14.25" customHeight="1">
      <c r="A7086" s="55" t="s">
        <v>9978</v>
      </c>
      <c r="B7086" s="55" t="s">
        <v>40</v>
      </c>
      <c r="C7086" s="55" t="s">
        <v>9995</v>
      </c>
      <c r="D7086" s="55" t="s">
        <v>9996</v>
      </c>
    </row>
    <row r="7087" ht="14.25" customHeight="1">
      <c r="A7087" s="55" t="s">
        <v>9978</v>
      </c>
      <c r="B7087" s="55" t="s">
        <v>40</v>
      </c>
      <c r="C7087" s="55" t="s">
        <v>255</v>
      </c>
      <c r="D7087" s="55" t="s">
        <v>9034</v>
      </c>
    </row>
    <row r="7088" ht="14.25" customHeight="1">
      <c r="A7088" s="55" t="s">
        <v>9978</v>
      </c>
      <c r="B7088" s="55" t="s">
        <v>40</v>
      </c>
      <c r="C7088" s="55" t="s">
        <v>255</v>
      </c>
      <c r="D7088" s="55" t="s">
        <v>9778</v>
      </c>
    </row>
    <row r="7089" ht="14.25" customHeight="1">
      <c r="A7089" s="55" t="s">
        <v>9978</v>
      </c>
      <c r="B7089" s="55" t="s">
        <v>40</v>
      </c>
      <c r="C7089" s="55" t="s">
        <v>255</v>
      </c>
      <c r="D7089" s="55" t="s">
        <v>9075</v>
      </c>
    </row>
    <row r="7090" ht="14.25" customHeight="1">
      <c r="A7090" s="55" t="s">
        <v>9978</v>
      </c>
      <c r="B7090" s="55" t="s">
        <v>40</v>
      </c>
      <c r="C7090" s="55" t="s">
        <v>9005</v>
      </c>
      <c r="D7090" s="55" t="s">
        <v>9004</v>
      </c>
    </row>
    <row r="7091" ht="14.25" customHeight="1">
      <c r="A7091" s="55" t="s">
        <v>9978</v>
      </c>
      <c r="B7091" s="55" t="s">
        <v>40</v>
      </c>
      <c r="C7091" s="55" t="s">
        <v>9005</v>
      </c>
      <c r="D7091" s="55" t="s">
        <v>13445</v>
      </c>
    </row>
    <row r="7092" ht="14.25" customHeight="1">
      <c r="A7092" s="55" t="s">
        <v>9978</v>
      </c>
      <c r="B7092" s="55" t="s">
        <v>40</v>
      </c>
      <c r="C7092" s="55" t="s">
        <v>10528</v>
      </c>
      <c r="D7092" s="55" t="s">
        <v>10529</v>
      </c>
    </row>
    <row r="7093" ht="14.25" customHeight="1">
      <c r="A7093" s="55" t="s">
        <v>9978</v>
      </c>
      <c r="B7093" s="55" t="s">
        <v>40</v>
      </c>
      <c r="C7093" s="55" t="s">
        <v>2163</v>
      </c>
      <c r="D7093" s="55" t="s">
        <v>9034</v>
      </c>
    </row>
    <row r="7094" ht="14.25" customHeight="1">
      <c r="A7094" s="55" t="s">
        <v>9978</v>
      </c>
      <c r="B7094" s="55" t="s">
        <v>40</v>
      </c>
      <c r="C7094" s="55" t="s">
        <v>2163</v>
      </c>
      <c r="D7094" s="55" t="s">
        <v>9021</v>
      </c>
    </row>
    <row r="7095" ht="14.25" customHeight="1">
      <c r="A7095" s="55" t="s">
        <v>9978</v>
      </c>
      <c r="B7095" s="55" t="s">
        <v>40</v>
      </c>
      <c r="C7095" s="55" t="s">
        <v>12809</v>
      </c>
      <c r="D7095" s="55" t="s">
        <v>9055</v>
      </c>
    </row>
    <row r="7096" ht="14.25" customHeight="1">
      <c r="A7096" s="55" t="s">
        <v>9978</v>
      </c>
      <c r="B7096" s="55" t="s">
        <v>40</v>
      </c>
      <c r="C7096" s="55" t="s">
        <v>11808</v>
      </c>
      <c r="D7096" s="55" t="s">
        <v>9151</v>
      </c>
    </row>
    <row r="7097" ht="14.25" customHeight="1">
      <c r="A7097" s="55" t="s">
        <v>9978</v>
      </c>
      <c r="B7097" s="55" t="s">
        <v>40</v>
      </c>
      <c r="C7097" s="55" t="s">
        <v>10530</v>
      </c>
      <c r="D7097" s="55" t="s">
        <v>10457</v>
      </c>
    </row>
    <row r="7098" ht="14.25" customHeight="1">
      <c r="A7098" s="55" t="s">
        <v>9978</v>
      </c>
      <c r="B7098" s="55" t="s">
        <v>40</v>
      </c>
      <c r="C7098" s="55" t="s">
        <v>9929</v>
      </c>
      <c r="D7098" s="55" t="s">
        <v>9026</v>
      </c>
    </row>
    <row r="7099" ht="14.25" customHeight="1">
      <c r="A7099" s="55" t="s">
        <v>9978</v>
      </c>
      <c r="B7099" s="55" t="s">
        <v>41</v>
      </c>
      <c r="C7099" s="55" t="s">
        <v>14014</v>
      </c>
      <c r="D7099" s="55" t="s">
        <v>14015</v>
      </c>
    </row>
    <row r="7100" ht="14.25" customHeight="1">
      <c r="A7100" s="55" t="s">
        <v>9978</v>
      </c>
      <c r="B7100" s="55" t="s">
        <v>41</v>
      </c>
      <c r="C7100" s="55" t="s">
        <v>13446</v>
      </c>
      <c r="D7100" s="55" t="s">
        <v>13447</v>
      </c>
    </row>
    <row r="7101" ht="14.25" customHeight="1">
      <c r="A7101" s="55" t="s">
        <v>9978</v>
      </c>
      <c r="B7101" s="55" t="s">
        <v>41</v>
      </c>
      <c r="C7101" s="55" t="s">
        <v>14016</v>
      </c>
      <c r="D7101" s="55" t="s">
        <v>9180</v>
      </c>
    </row>
    <row r="7102" ht="14.25" customHeight="1">
      <c r="A7102" s="55" t="s">
        <v>9978</v>
      </c>
      <c r="B7102" s="55" t="s">
        <v>41</v>
      </c>
      <c r="C7102" s="55" t="s">
        <v>10528</v>
      </c>
      <c r="D7102" s="55" t="s">
        <v>13448</v>
      </c>
    </row>
    <row r="7103" ht="14.25" customHeight="1">
      <c r="A7103" s="55" t="s">
        <v>9978</v>
      </c>
      <c r="B7103" s="55" t="s">
        <v>13</v>
      </c>
      <c r="C7103" s="55" t="s">
        <v>9997</v>
      </c>
      <c r="D7103" s="55" t="s">
        <v>8968</v>
      </c>
    </row>
    <row r="7104" ht="14.25" customHeight="1">
      <c r="A7104" s="55" t="s">
        <v>9978</v>
      </c>
      <c r="B7104" s="55" t="s">
        <v>13</v>
      </c>
      <c r="C7104" s="55" t="s">
        <v>14521</v>
      </c>
      <c r="D7104" s="55" t="s">
        <v>12543</v>
      </c>
    </row>
    <row r="7105" ht="14.25" customHeight="1">
      <c r="A7105" s="55" t="s">
        <v>9978</v>
      </c>
      <c r="B7105" s="55" t="s">
        <v>13</v>
      </c>
      <c r="C7105" s="55" t="s">
        <v>14017</v>
      </c>
      <c r="D7105" s="55" t="s">
        <v>13528</v>
      </c>
    </row>
    <row r="7106" ht="14.25" customHeight="1">
      <c r="A7106" s="55" t="s">
        <v>9978</v>
      </c>
      <c r="B7106" s="55" t="s">
        <v>13</v>
      </c>
      <c r="C7106" s="55" t="s">
        <v>14018</v>
      </c>
      <c r="D7106" s="55" t="s">
        <v>13528</v>
      </c>
    </row>
    <row r="7107" ht="14.25" customHeight="1">
      <c r="A7107" s="55" t="s">
        <v>9978</v>
      </c>
      <c r="B7107" s="55" t="s">
        <v>13</v>
      </c>
      <c r="C7107" s="55" t="s">
        <v>14019</v>
      </c>
      <c r="D7107" s="55" t="s">
        <v>13528</v>
      </c>
    </row>
    <row r="7108" ht="14.25" customHeight="1">
      <c r="A7108" s="55" t="s">
        <v>9998</v>
      </c>
      <c r="B7108" s="55" t="s">
        <v>40</v>
      </c>
      <c r="C7108" s="55" t="s">
        <v>9034</v>
      </c>
      <c r="D7108" s="55" t="s">
        <v>10001</v>
      </c>
    </row>
    <row r="7109" ht="14.25" customHeight="1">
      <c r="A7109" s="55" t="s">
        <v>9998</v>
      </c>
      <c r="B7109" s="55" t="s">
        <v>40</v>
      </c>
      <c r="C7109" s="55" t="s">
        <v>13449</v>
      </c>
      <c r="D7109" s="55" t="s">
        <v>13450</v>
      </c>
    </row>
    <row r="7110" ht="14.25" customHeight="1">
      <c r="A7110" s="55" t="s">
        <v>9998</v>
      </c>
      <c r="B7110" s="55" t="s">
        <v>40</v>
      </c>
      <c r="C7110" s="55" t="s">
        <v>12546</v>
      </c>
      <c r="D7110" s="55" t="s">
        <v>9151</v>
      </c>
    </row>
    <row r="7111" ht="14.25" customHeight="1">
      <c r="A7111" s="55" t="s">
        <v>9998</v>
      </c>
      <c r="B7111" s="55" t="s">
        <v>40</v>
      </c>
      <c r="C7111" s="55" t="s">
        <v>13451</v>
      </c>
      <c r="D7111" s="55" t="s">
        <v>9043</v>
      </c>
    </row>
    <row r="7112" ht="14.25" customHeight="1">
      <c r="A7112" s="55" t="s">
        <v>9998</v>
      </c>
      <c r="B7112" s="55" t="s">
        <v>40</v>
      </c>
      <c r="C7112" s="55" t="s">
        <v>14522</v>
      </c>
      <c r="D7112" s="55" t="s">
        <v>9152</v>
      </c>
    </row>
    <row r="7113" ht="14.25" customHeight="1">
      <c r="A7113" s="55" t="s">
        <v>9998</v>
      </c>
      <c r="B7113" s="55" t="s">
        <v>40</v>
      </c>
      <c r="C7113" s="55" t="s">
        <v>12547</v>
      </c>
      <c r="D7113" s="55" t="s">
        <v>10001</v>
      </c>
    </row>
    <row r="7114" ht="14.25" customHeight="1">
      <c r="A7114" s="55" t="s">
        <v>9998</v>
      </c>
      <c r="B7114" s="55" t="s">
        <v>40</v>
      </c>
      <c r="C7114" s="55" t="s">
        <v>5795</v>
      </c>
      <c r="D7114" s="55" t="s">
        <v>9999</v>
      </c>
    </row>
    <row r="7115" ht="14.25" customHeight="1">
      <c r="A7115" s="55" t="s">
        <v>9998</v>
      </c>
      <c r="B7115" s="55" t="s">
        <v>40</v>
      </c>
      <c r="C7115" s="55" t="s">
        <v>10000</v>
      </c>
      <c r="D7115" s="55" t="s">
        <v>10001</v>
      </c>
    </row>
    <row r="7116" ht="14.25" customHeight="1">
      <c r="A7116" s="55" t="s">
        <v>9998</v>
      </c>
      <c r="B7116" s="55" t="s">
        <v>40</v>
      </c>
      <c r="C7116" s="55" t="s">
        <v>10000</v>
      </c>
      <c r="D7116" s="55" t="s">
        <v>9002</v>
      </c>
    </row>
    <row r="7117" ht="14.25" customHeight="1">
      <c r="A7117" s="55" t="s">
        <v>9998</v>
      </c>
      <c r="B7117" s="55" t="s">
        <v>40</v>
      </c>
      <c r="C7117" s="55" t="s">
        <v>77</v>
      </c>
      <c r="D7117" s="55" t="s">
        <v>13268</v>
      </c>
    </row>
    <row r="7118" ht="14.25" customHeight="1">
      <c r="A7118" s="55" t="s">
        <v>9998</v>
      </c>
      <c r="B7118" s="55" t="s">
        <v>40</v>
      </c>
      <c r="C7118" s="55" t="s">
        <v>77</v>
      </c>
      <c r="D7118" s="55" t="s">
        <v>13452</v>
      </c>
    </row>
    <row r="7119" ht="14.25" customHeight="1">
      <c r="A7119" s="55" t="s">
        <v>9998</v>
      </c>
      <c r="B7119" s="55" t="s">
        <v>40</v>
      </c>
      <c r="C7119" s="55" t="s">
        <v>77</v>
      </c>
      <c r="D7119" s="55" t="s">
        <v>13456</v>
      </c>
    </row>
    <row r="7120" ht="14.25" customHeight="1">
      <c r="A7120" s="55" t="s">
        <v>9998</v>
      </c>
      <c r="B7120" s="55" t="s">
        <v>40</v>
      </c>
      <c r="C7120" s="55" t="s">
        <v>77</v>
      </c>
      <c r="D7120" s="55" t="s">
        <v>14523</v>
      </c>
    </row>
    <row r="7121" ht="14.25" customHeight="1">
      <c r="A7121" s="55" t="s">
        <v>9998</v>
      </c>
      <c r="B7121" s="55" t="s">
        <v>40</v>
      </c>
      <c r="C7121" s="55" t="s">
        <v>77</v>
      </c>
      <c r="D7121" s="55" t="s">
        <v>11308</v>
      </c>
    </row>
    <row r="7122" ht="14.25" customHeight="1">
      <c r="A7122" s="55" t="s">
        <v>9998</v>
      </c>
      <c r="B7122" s="55" t="s">
        <v>40</v>
      </c>
      <c r="C7122" s="55" t="s">
        <v>11309</v>
      </c>
      <c r="D7122" s="55" t="s">
        <v>10541</v>
      </c>
    </row>
    <row r="7123" ht="14.25" customHeight="1">
      <c r="A7123" s="55" t="s">
        <v>9998</v>
      </c>
      <c r="B7123" s="55" t="s">
        <v>40</v>
      </c>
      <c r="C7123" s="55" t="s">
        <v>9300</v>
      </c>
      <c r="D7123" s="55" t="s">
        <v>10090</v>
      </c>
    </row>
    <row r="7124" ht="14.25" customHeight="1">
      <c r="A7124" s="55" t="s">
        <v>9998</v>
      </c>
      <c r="B7124" s="55" t="s">
        <v>40</v>
      </c>
      <c r="C7124" s="55" t="s">
        <v>10879</v>
      </c>
      <c r="D7124" s="55" t="s">
        <v>9002</v>
      </c>
    </row>
    <row r="7125" ht="14.25" customHeight="1">
      <c r="A7125" s="55" t="s">
        <v>9998</v>
      </c>
      <c r="B7125" s="55" t="s">
        <v>40</v>
      </c>
      <c r="C7125" s="55" t="s">
        <v>10879</v>
      </c>
      <c r="D7125" s="55" t="s">
        <v>9999</v>
      </c>
    </row>
    <row r="7126" ht="14.25" customHeight="1">
      <c r="A7126" s="55" t="s">
        <v>9998</v>
      </c>
      <c r="B7126" s="55" t="s">
        <v>40</v>
      </c>
      <c r="C7126" s="55" t="s">
        <v>11838</v>
      </c>
      <c r="D7126" s="55" t="s">
        <v>11776</v>
      </c>
    </row>
    <row r="7127" ht="14.25" customHeight="1">
      <c r="A7127" s="55" t="s">
        <v>9998</v>
      </c>
      <c r="B7127" s="55" t="s">
        <v>40</v>
      </c>
      <c r="C7127" s="55" t="s">
        <v>11310</v>
      </c>
      <c r="D7127" s="55" t="s">
        <v>9051</v>
      </c>
    </row>
    <row r="7128" ht="14.25" customHeight="1">
      <c r="A7128" s="55" t="s">
        <v>9998</v>
      </c>
      <c r="B7128" s="55" t="s">
        <v>40</v>
      </c>
      <c r="C7128" s="55" t="s">
        <v>14524</v>
      </c>
      <c r="D7128" s="55" t="s">
        <v>14525</v>
      </c>
    </row>
    <row r="7129" ht="14.25" customHeight="1">
      <c r="A7129" s="55" t="s">
        <v>9998</v>
      </c>
      <c r="B7129" s="55" t="s">
        <v>40</v>
      </c>
      <c r="C7129" s="55" t="s">
        <v>13453</v>
      </c>
      <c r="D7129" s="55" t="s">
        <v>13454</v>
      </c>
    </row>
    <row r="7130" ht="14.25" customHeight="1">
      <c r="A7130" s="55" t="s">
        <v>9998</v>
      </c>
      <c r="B7130" s="55" t="s">
        <v>40</v>
      </c>
      <c r="C7130" s="55" t="s">
        <v>10002</v>
      </c>
      <c r="D7130" s="55" t="s">
        <v>9151</v>
      </c>
    </row>
    <row r="7131" ht="14.25" customHeight="1">
      <c r="A7131" s="55" t="s">
        <v>9998</v>
      </c>
      <c r="B7131" s="55" t="s">
        <v>40</v>
      </c>
      <c r="C7131" s="55" t="s">
        <v>6011</v>
      </c>
      <c r="D7131" s="55" t="s">
        <v>8968</v>
      </c>
    </row>
    <row r="7132" ht="14.25" customHeight="1">
      <c r="A7132" s="55" t="s">
        <v>9998</v>
      </c>
      <c r="B7132" s="55" t="s">
        <v>40</v>
      </c>
      <c r="C7132" s="55" t="s">
        <v>9469</v>
      </c>
      <c r="D7132" s="55" t="s">
        <v>10001</v>
      </c>
    </row>
    <row r="7133" ht="14.25" customHeight="1">
      <c r="A7133" s="55" t="s">
        <v>9998</v>
      </c>
      <c r="B7133" s="55" t="s">
        <v>40</v>
      </c>
      <c r="C7133" s="55" t="s">
        <v>10660</v>
      </c>
      <c r="D7133" s="55" t="s">
        <v>14020</v>
      </c>
    </row>
    <row r="7134" ht="14.25" customHeight="1">
      <c r="A7134" s="55" t="s">
        <v>9998</v>
      </c>
      <c r="B7134" s="55" t="s">
        <v>40</v>
      </c>
      <c r="C7134" s="55" t="s">
        <v>10660</v>
      </c>
      <c r="D7134" s="55" t="s">
        <v>10541</v>
      </c>
    </row>
    <row r="7135" ht="14.25" customHeight="1">
      <c r="A7135" s="55" t="s">
        <v>9998</v>
      </c>
      <c r="B7135" s="55" t="s">
        <v>40</v>
      </c>
      <c r="C7135" s="55" t="s">
        <v>10660</v>
      </c>
      <c r="D7135" s="55" t="s">
        <v>9151</v>
      </c>
    </row>
    <row r="7136" ht="14.25" customHeight="1">
      <c r="A7136" s="55" t="s">
        <v>9998</v>
      </c>
      <c r="B7136" s="55" t="s">
        <v>40</v>
      </c>
      <c r="C7136" s="55" t="s">
        <v>14526</v>
      </c>
      <c r="D7136" s="55" t="s">
        <v>9034</v>
      </c>
    </row>
    <row r="7137" ht="14.25" customHeight="1">
      <c r="A7137" s="55" t="s">
        <v>9998</v>
      </c>
      <c r="B7137" s="55" t="s">
        <v>40</v>
      </c>
      <c r="C7137" s="55" t="s">
        <v>11939</v>
      </c>
      <c r="D7137" s="55" t="s">
        <v>8968</v>
      </c>
    </row>
    <row r="7138" ht="14.25" customHeight="1">
      <c r="A7138" s="55" t="s">
        <v>9998</v>
      </c>
      <c r="B7138" s="55" t="s">
        <v>40</v>
      </c>
      <c r="C7138" s="55" t="s">
        <v>9113</v>
      </c>
      <c r="D7138" s="55" t="s">
        <v>8968</v>
      </c>
    </row>
    <row r="7139" ht="14.25" customHeight="1">
      <c r="A7139" s="55" t="s">
        <v>9998</v>
      </c>
      <c r="B7139" s="55" t="s">
        <v>40</v>
      </c>
      <c r="C7139" s="55" t="s">
        <v>9113</v>
      </c>
      <c r="D7139" s="55" t="s">
        <v>9026</v>
      </c>
    </row>
    <row r="7140" ht="14.25" customHeight="1">
      <c r="A7140" s="55" t="s">
        <v>9998</v>
      </c>
      <c r="B7140" s="55" t="s">
        <v>40</v>
      </c>
      <c r="C7140" s="55" t="s">
        <v>9113</v>
      </c>
      <c r="D7140" s="55" t="s">
        <v>14021</v>
      </c>
    </row>
    <row r="7141" ht="14.25" customHeight="1">
      <c r="A7141" s="55" t="s">
        <v>9998</v>
      </c>
      <c r="B7141" s="55" t="s">
        <v>40</v>
      </c>
      <c r="C7141" s="55" t="s">
        <v>9113</v>
      </c>
      <c r="D7141" s="55" t="s">
        <v>9002</v>
      </c>
    </row>
    <row r="7142" ht="14.25" customHeight="1">
      <c r="A7142" s="55" t="s">
        <v>9998</v>
      </c>
      <c r="B7142" s="55" t="s">
        <v>40</v>
      </c>
      <c r="C7142" s="55" t="s">
        <v>6088</v>
      </c>
      <c r="D7142" s="55" t="s">
        <v>8968</v>
      </c>
    </row>
    <row r="7143" ht="14.25" customHeight="1">
      <c r="A7143" s="55" t="s">
        <v>9998</v>
      </c>
      <c r="B7143" s="55" t="s">
        <v>40</v>
      </c>
      <c r="C7143" s="55" t="s">
        <v>13455</v>
      </c>
      <c r="D7143" s="55" t="s">
        <v>13456</v>
      </c>
    </row>
    <row r="7144" ht="14.25" customHeight="1">
      <c r="A7144" s="55" t="s">
        <v>9998</v>
      </c>
      <c r="B7144" s="55" t="s">
        <v>40</v>
      </c>
      <c r="C7144" s="55" t="s">
        <v>6145</v>
      </c>
      <c r="D7144" s="55" t="s">
        <v>13457</v>
      </c>
    </row>
    <row r="7145" ht="14.25" customHeight="1">
      <c r="A7145" s="55" t="s">
        <v>9998</v>
      </c>
      <c r="B7145" s="55" t="s">
        <v>40</v>
      </c>
      <c r="C7145" s="55" t="s">
        <v>6145</v>
      </c>
      <c r="D7145" s="55" t="s">
        <v>10001</v>
      </c>
    </row>
    <row r="7146" ht="14.25" customHeight="1">
      <c r="A7146" s="55" t="s">
        <v>9998</v>
      </c>
      <c r="B7146" s="55" t="s">
        <v>40</v>
      </c>
      <c r="C7146" s="55" t="s">
        <v>10531</v>
      </c>
      <c r="D7146" s="55" t="s">
        <v>10532</v>
      </c>
    </row>
    <row r="7147" ht="14.25" customHeight="1">
      <c r="A7147" s="55" t="s">
        <v>9998</v>
      </c>
      <c r="B7147" s="55" t="s">
        <v>40</v>
      </c>
      <c r="C7147" s="55" t="s">
        <v>11839</v>
      </c>
      <c r="D7147" s="55" t="s">
        <v>10124</v>
      </c>
    </row>
    <row r="7148" ht="14.25" customHeight="1">
      <c r="A7148" s="55" t="s">
        <v>9998</v>
      </c>
      <c r="B7148" s="55" t="s">
        <v>40</v>
      </c>
      <c r="C7148" s="55" t="s">
        <v>13458</v>
      </c>
      <c r="D7148" s="55" t="s">
        <v>13459</v>
      </c>
    </row>
    <row r="7149" ht="14.25" customHeight="1">
      <c r="A7149" s="55" t="s">
        <v>9998</v>
      </c>
      <c r="B7149" s="55" t="s">
        <v>40</v>
      </c>
      <c r="C7149" s="55" t="s">
        <v>13460</v>
      </c>
      <c r="D7149" s="55" t="s">
        <v>13461</v>
      </c>
    </row>
    <row r="7150" ht="14.25" customHeight="1">
      <c r="A7150" s="55" t="s">
        <v>9998</v>
      </c>
      <c r="B7150" s="55" t="s">
        <v>40</v>
      </c>
      <c r="C7150" s="55" t="s">
        <v>14022</v>
      </c>
      <c r="D7150" s="55" t="s">
        <v>9034</v>
      </c>
    </row>
    <row r="7151" ht="14.25" customHeight="1">
      <c r="A7151" s="55" t="s">
        <v>9998</v>
      </c>
      <c r="B7151" s="55" t="s">
        <v>40</v>
      </c>
      <c r="C7151" s="55" t="s">
        <v>9132</v>
      </c>
      <c r="D7151" s="55" t="s">
        <v>9075</v>
      </c>
    </row>
    <row r="7152" ht="14.25" customHeight="1">
      <c r="A7152" s="55" t="s">
        <v>9998</v>
      </c>
      <c r="B7152" s="55" t="s">
        <v>40</v>
      </c>
      <c r="C7152" s="55" t="s">
        <v>9860</v>
      </c>
      <c r="D7152" s="55" t="s">
        <v>10124</v>
      </c>
    </row>
    <row r="7153" ht="14.25" customHeight="1">
      <c r="A7153" s="55" t="s">
        <v>9998</v>
      </c>
      <c r="B7153" s="55" t="s">
        <v>40</v>
      </c>
      <c r="C7153" s="55" t="s">
        <v>9860</v>
      </c>
      <c r="D7153" s="55" t="s">
        <v>9219</v>
      </c>
    </row>
    <row r="7154" ht="14.25" customHeight="1">
      <c r="A7154" s="55" t="s">
        <v>9998</v>
      </c>
      <c r="B7154" s="55" t="s">
        <v>40</v>
      </c>
      <c r="C7154" s="55" t="s">
        <v>14023</v>
      </c>
      <c r="D7154" s="55" t="s">
        <v>10999</v>
      </c>
    </row>
    <row r="7155" ht="14.25" customHeight="1">
      <c r="A7155" s="55" t="s">
        <v>9998</v>
      </c>
      <c r="B7155" s="55" t="s">
        <v>40</v>
      </c>
      <c r="C7155" s="55" t="s">
        <v>9133</v>
      </c>
      <c r="D7155" s="55" t="s">
        <v>9999</v>
      </c>
    </row>
    <row r="7156" ht="14.25" customHeight="1">
      <c r="A7156" s="55" t="s">
        <v>9998</v>
      </c>
      <c r="B7156" s="55" t="s">
        <v>40</v>
      </c>
      <c r="C7156" s="55" t="s">
        <v>10533</v>
      </c>
      <c r="D7156" s="55" t="s">
        <v>10534</v>
      </c>
    </row>
    <row r="7157" ht="14.25" customHeight="1">
      <c r="A7157" s="55" t="s">
        <v>9998</v>
      </c>
      <c r="B7157" s="55" t="s">
        <v>40</v>
      </c>
      <c r="C7157" s="55" t="s">
        <v>10535</v>
      </c>
      <c r="D7157" s="55" t="s">
        <v>9034</v>
      </c>
    </row>
    <row r="7158" ht="14.25" customHeight="1">
      <c r="A7158" s="55" t="s">
        <v>9998</v>
      </c>
      <c r="B7158" s="55" t="s">
        <v>40</v>
      </c>
      <c r="C7158" s="55" t="s">
        <v>13462</v>
      </c>
      <c r="D7158" s="55" t="s">
        <v>12610</v>
      </c>
    </row>
    <row r="7159" ht="14.25" customHeight="1">
      <c r="A7159" s="55" t="s">
        <v>9998</v>
      </c>
      <c r="B7159" s="55" t="s">
        <v>40</v>
      </c>
      <c r="C7159" s="55" t="s">
        <v>141</v>
      </c>
      <c r="D7159" s="55" t="s">
        <v>10098</v>
      </c>
    </row>
    <row r="7160" ht="14.25" customHeight="1">
      <c r="A7160" s="55" t="s">
        <v>9998</v>
      </c>
      <c r="B7160" s="55" t="s">
        <v>40</v>
      </c>
      <c r="C7160" s="55" t="s">
        <v>141</v>
      </c>
      <c r="D7160" s="55" t="s">
        <v>10006</v>
      </c>
    </row>
    <row r="7161" ht="14.25" customHeight="1">
      <c r="A7161" s="55" t="s">
        <v>9998</v>
      </c>
      <c r="B7161" s="55" t="s">
        <v>40</v>
      </c>
      <c r="C7161" s="55" t="s">
        <v>141</v>
      </c>
      <c r="D7161" s="55" t="s">
        <v>9151</v>
      </c>
    </row>
    <row r="7162" ht="14.25" customHeight="1">
      <c r="A7162" s="55" t="s">
        <v>9998</v>
      </c>
      <c r="B7162" s="55" t="s">
        <v>40</v>
      </c>
      <c r="C7162" s="55" t="s">
        <v>141</v>
      </c>
      <c r="D7162" s="55" t="s">
        <v>13463</v>
      </c>
    </row>
    <row r="7163" ht="14.25" customHeight="1">
      <c r="A7163" s="55" t="s">
        <v>9998</v>
      </c>
      <c r="B7163" s="55" t="s">
        <v>40</v>
      </c>
      <c r="C7163" s="55" t="s">
        <v>3281</v>
      </c>
      <c r="D7163" s="55" t="s">
        <v>9034</v>
      </c>
    </row>
    <row r="7164" ht="14.25" customHeight="1">
      <c r="A7164" s="55" t="s">
        <v>9998</v>
      </c>
      <c r="B7164" s="55" t="s">
        <v>40</v>
      </c>
      <c r="C7164" s="55" t="s">
        <v>3281</v>
      </c>
      <c r="D7164" s="55" t="s">
        <v>10003</v>
      </c>
    </row>
    <row r="7165" ht="14.25" customHeight="1">
      <c r="A7165" s="55" t="s">
        <v>9998</v>
      </c>
      <c r="B7165" s="55" t="s">
        <v>40</v>
      </c>
      <c r="C7165" s="55" t="s">
        <v>3281</v>
      </c>
      <c r="D7165" s="55" t="s">
        <v>10001</v>
      </c>
    </row>
    <row r="7166" ht="14.25" customHeight="1">
      <c r="A7166" s="55" t="s">
        <v>9998</v>
      </c>
      <c r="B7166" s="55" t="s">
        <v>40</v>
      </c>
      <c r="C7166" s="55" t="s">
        <v>10004</v>
      </c>
      <c r="D7166" s="55" t="s">
        <v>10001</v>
      </c>
    </row>
    <row r="7167" ht="14.25" customHeight="1">
      <c r="A7167" s="55" t="s">
        <v>9998</v>
      </c>
      <c r="B7167" s="55" t="s">
        <v>40</v>
      </c>
      <c r="C7167" s="55" t="s">
        <v>10004</v>
      </c>
      <c r="D7167" s="55" t="s">
        <v>9999</v>
      </c>
    </row>
    <row r="7168" ht="14.25" customHeight="1">
      <c r="A7168" s="55" t="s">
        <v>9998</v>
      </c>
      <c r="B7168" s="55" t="s">
        <v>40</v>
      </c>
      <c r="C7168" s="55" t="s">
        <v>11840</v>
      </c>
      <c r="D7168" s="55" t="s">
        <v>9151</v>
      </c>
    </row>
    <row r="7169" ht="14.25" customHeight="1">
      <c r="A7169" s="55" t="s">
        <v>9998</v>
      </c>
      <c r="B7169" s="55" t="s">
        <v>40</v>
      </c>
      <c r="C7169" s="55" t="s">
        <v>11841</v>
      </c>
      <c r="D7169" s="55" t="s">
        <v>9236</v>
      </c>
    </row>
    <row r="7170" ht="14.25" customHeight="1">
      <c r="A7170" s="55" t="s">
        <v>9998</v>
      </c>
      <c r="B7170" s="55" t="s">
        <v>40</v>
      </c>
      <c r="C7170" s="55" t="s">
        <v>10536</v>
      </c>
      <c r="D7170" s="55" t="s">
        <v>10537</v>
      </c>
    </row>
    <row r="7171" ht="14.25" customHeight="1">
      <c r="A7171" s="55" t="s">
        <v>9998</v>
      </c>
      <c r="B7171" s="55" t="s">
        <v>40</v>
      </c>
      <c r="C7171" s="55" t="s">
        <v>13464</v>
      </c>
      <c r="D7171" s="55" t="s">
        <v>13465</v>
      </c>
    </row>
    <row r="7172" ht="14.25" customHeight="1">
      <c r="A7172" s="55" t="s">
        <v>9998</v>
      </c>
      <c r="B7172" s="55" t="s">
        <v>40</v>
      </c>
      <c r="C7172" s="55" t="s">
        <v>8185</v>
      </c>
      <c r="D7172" s="55" t="s">
        <v>13466</v>
      </c>
    </row>
    <row r="7173" ht="14.25" customHeight="1">
      <c r="A7173" s="55" t="s">
        <v>9998</v>
      </c>
      <c r="B7173" s="55" t="s">
        <v>40</v>
      </c>
      <c r="C7173" s="55" t="s">
        <v>3499</v>
      </c>
      <c r="D7173" s="55" t="s">
        <v>10538</v>
      </c>
    </row>
    <row r="7174" ht="14.25" customHeight="1">
      <c r="A7174" s="55" t="s">
        <v>9998</v>
      </c>
      <c r="B7174" s="55" t="s">
        <v>40</v>
      </c>
      <c r="C7174" s="55" t="s">
        <v>3499</v>
      </c>
      <c r="D7174" s="55" t="s">
        <v>9002</v>
      </c>
    </row>
    <row r="7175" ht="14.25" customHeight="1">
      <c r="A7175" s="55" t="s">
        <v>9998</v>
      </c>
      <c r="B7175" s="55" t="s">
        <v>40</v>
      </c>
      <c r="C7175" s="55" t="s">
        <v>9150</v>
      </c>
      <c r="D7175" s="55" t="s">
        <v>9034</v>
      </c>
    </row>
    <row r="7176" ht="14.25" customHeight="1">
      <c r="A7176" s="55" t="s">
        <v>9998</v>
      </c>
      <c r="B7176" s="55" t="s">
        <v>40</v>
      </c>
      <c r="C7176" s="55" t="s">
        <v>9150</v>
      </c>
      <c r="D7176" s="55" t="s">
        <v>9151</v>
      </c>
    </row>
    <row r="7177" ht="14.25" customHeight="1">
      <c r="A7177" s="55" t="s">
        <v>9998</v>
      </c>
      <c r="B7177" s="55" t="s">
        <v>40</v>
      </c>
      <c r="C7177" s="55" t="s">
        <v>9150</v>
      </c>
      <c r="D7177" s="55" t="s">
        <v>10005</v>
      </c>
    </row>
    <row r="7178" ht="14.25" customHeight="1">
      <c r="A7178" s="55" t="s">
        <v>9998</v>
      </c>
      <c r="B7178" s="55" t="s">
        <v>40</v>
      </c>
      <c r="C7178" s="55" t="s">
        <v>11134</v>
      </c>
      <c r="D7178" s="55" t="s">
        <v>9151</v>
      </c>
    </row>
    <row r="7179" ht="14.25" customHeight="1">
      <c r="A7179" s="55" t="s">
        <v>9998</v>
      </c>
      <c r="B7179" s="55" t="s">
        <v>40</v>
      </c>
      <c r="C7179" s="55" t="s">
        <v>11134</v>
      </c>
      <c r="D7179" s="55" t="s">
        <v>14024</v>
      </c>
    </row>
    <row r="7180" ht="14.25" customHeight="1">
      <c r="A7180" s="55" t="s">
        <v>9998</v>
      </c>
      <c r="B7180" s="55" t="s">
        <v>40</v>
      </c>
      <c r="C7180" s="55" t="s">
        <v>12548</v>
      </c>
      <c r="D7180" s="55" t="s">
        <v>10001</v>
      </c>
    </row>
    <row r="7181" ht="14.25" customHeight="1">
      <c r="A7181" s="55" t="s">
        <v>9998</v>
      </c>
      <c r="B7181" s="55" t="s">
        <v>40</v>
      </c>
      <c r="C7181" s="55" t="s">
        <v>12549</v>
      </c>
      <c r="D7181" s="55" t="s">
        <v>10001</v>
      </c>
    </row>
    <row r="7182" ht="14.25" customHeight="1">
      <c r="A7182" s="55" t="s">
        <v>9998</v>
      </c>
      <c r="B7182" s="55" t="s">
        <v>40</v>
      </c>
      <c r="C7182" s="55" t="s">
        <v>193</v>
      </c>
      <c r="D7182" s="55" t="s">
        <v>9152</v>
      </c>
    </row>
    <row r="7183" ht="14.25" customHeight="1">
      <c r="A7183" s="55" t="s">
        <v>9998</v>
      </c>
      <c r="B7183" s="55" t="s">
        <v>40</v>
      </c>
      <c r="C7183" s="55" t="s">
        <v>193</v>
      </c>
      <c r="D7183" s="55" t="s">
        <v>9999</v>
      </c>
    </row>
    <row r="7184" ht="14.25" customHeight="1">
      <c r="A7184" s="55" t="s">
        <v>9998</v>
      </c>
      <c r="B7184" s="55" t="s">
        <v>40</v>
      </c>
      <c r="C7184" s="55" t="s">
        <v>10539</v>
      </c>
      <c r="D7184" s="55" t="s">
        <v>10540</v>
      </c>
    </row>
    <row r="7185" ht="14.25" customHeight="1">
      <c r="A7185" s="55" t="s">
        <v>9998</v>
      </c>
      <c r="B7185" s="55" t="s">
        <v>40</v>
      </c>
      <c r="C7185" s="55" t="s">
        <v>6698</v>
      </c>
      <c r="D7185" s="55" t="s">
        <v>10001</v>
      </c>
    </row>
    <row r="7186" ht="14.25" customHeight="1">
      <c r="A7186" s="55" t="s">
        <v>9998</v>
      </c>
      <c r="B7186" s="55" t="s">
        <v>40</v>
      </c>
      <c r="C7186" s="55" t="s">
        <v>6698</v>
      </c>
      <c r="D7186" s="55" t="s">
        <v>9002</v>
      </c>
    </row>
    <row r="7187" ht="14.25" customHeight="1">
      <c r="A7187" s="55" t="s">
        <v>9998</v>
      </c>
      <c r="B7187" s="55" t="s">
        <v>40</v>
      </c>
      <c r="C7187" s="55" t="s">
        <v>11311</v>
      </c>
      <c r="D7187" s="55" t="s">
        <v>8968</v>
      </c>
    </row>
    <row r="7188" ht="14.25" customHeight="1">
      <c r="A7188" s="55" t="s">
        <v>9998</v>
      </c>
      <c r="B7188" s="55" t="s">
        <v>40</v>
      </c>
      <c r="C7188" s="55" t="s">
        <v>14527</v>
      </c>
      <c r="D7188" s="55" t="s">
        <v>9151</v>
      </c>
    </row>
    <row r="7189" ht="14.25" customHeight="1">
      <c r="A7189" s="55" t="s">
        <v>9998</v>
      </c>
      <c r="B7189" s="55" t="s">
        <v>40</v>
      </c>
      <c r="C7189" s="55" t="s">
        <v>11312</v>
      </c>
      <c r="D7189" s="55" t="s">
        <v>9151</v>
      </c>
    </row>
    <row r="7190" ht="14.25" customHeight="1">
      <c r="A7190" s="55" t="s">
        <v>9998</v>
      </c>
      <c r="B7190" s="55" t="s">
        <v>40</v>
      </c>
      <c r="C7190" s="55" t="s">
        <v>11312</v>
      </c>
      <c r="D7190" s="55" t="s">
        <v>13450</v>
      </c>
    </row>
    <row r="7191" ht="14.25" customHeight="1">
      <c r="A7191" s="55" t="s">
        <v>9998</v>
      </c>
      <c r="B7191" s="55" t="s">
        <v>40</v>
      </c>
      <c r="C7191" s="55" t="s">
        <v>11421</v>
      </c>
      <c r="D7191" s="55" t="s">
        <v>9002</v>
      </c>
    </row>
    <row r="7192" ht="14.25" customHeight="1">
      <c r="A7192" s="55" t="s">
        <v>9998</v>
      </c>
      <c r="B7192" s="55" t="s">
        <v>40</v>
      </c>
      <c r="C7192" s="55" t="s">
        <v>14528</v>
      </c>
      <c r="D7192" s="55" t="s">
        <v>8968</v>
      </c>
    </row>
    <row r="7193" ht="14.25" customHeight="1">
      <c r="A7193" s="55" t="s">
        <v>9998</v>
      </c>
      <c r="B7193" s="55" t="s">
        <v>40</v>
      </c>
      <c r="C7193" s="55" t="s">
        <v>3804</v>
      </c>
      <c r="D7193" s="55" t="s">
        <v>9151</v>
      </c>
    </row>
    <row r="7194" ht="14.25" customHeight="1">
      <c r="A7194" s="55" t="s">
        <v>9998</v>
      </c>
      <c r="B7194" s="55" t="s">
        <v>40</v>
      </c>
      <c r="C7194" s="55" t="s">
        <v>3814</v>
      </c>
      <c r="D7194" s="55" t="s">
        <v>10006</v>
      </c>
    </row>
    <row r="7195" ht="14.25" customHeight="1">
      <c r="A7195" s="55" t="s">
        <v>9998</v>
      </c>
      <c r="B7195" s="55" t="s">
        <v>40</v>
      </c>
      <c r="C7195" s="55" t="s">
        <v>3814</v>
      </c>
      <c r="D7195" s="55" t="s">
        <v>11313</v>
      </c>
    </row>
    <row r="7196" ht="14.25" customHeight="1">
      <c r="A7196" s="55" t="s">
        <v>9998</v>
      </c>
      <c r="B7196" s="55" t="s">
        <v>40</v>
      </c>
      <c r="C7196" s="55" t="s">
        <v>3814</v>
      </c>
      <c r="D7196" s="55" t="s">
        <v>12550</v>
      </c>
    </row>
    <row r="7197" ht="14.25" customHeight="1">
      <c r="A7197" s="55" t="s">
        <v>9998</v>
      </c>
      <c r="B7197" s="55" t="s">
        <v>40</v>
      </c>
      <c r="C7197" s="55" t="s">
        <v>3814</v>
      </c>
      <c r="D7197" s="55" t="s">
        <v>9002</v>
      </c>
    </row>
    <row r="7198" ht="14.25" customHeight="1">
      <c r="A7198" s="55" t="s">
        <v>9998</v>
      </c>
      <c r="B7198" s="55" t="s">
        <v>40</v>
      </c>
      <c r="C7198" s="55" t="s">
        <v>13467</v>
      </c>
      <c r="D7198" s="55" t="s">
        <v>9152</v>
      </c>
    </row>
    <row r="7199" ht="14.25" customHeight="1">
      <c r="A7199" s="55" t="s">
        <v>9998</v>
      </c>
      <c r="B7199" s="55" t="s">
        <v>40</v>
      </c>
      <c r="C7199" s="55" t="s">
        <v>149</v>
      </c>
      <c r="D7199" s="55" t="s">
        <v>10541</v>
      </c>
    </row>
    <row r="7200" ht="14.25" customHeight="1">
      <c r="A7200" s="55" t="s">
        <v>9998</v>
      </c>
      <c r="B7200" s="55" t="s">
        <v>40</v>
      </c>
      <c r="C7200" s="55" t="s">
        <v>149</v>
      </c>
      <c r="D7200" s="55" t="s">
        <v>13468</v>
      </c>
    </row>
    <row r="7201" ht="14.25" customHeight="1">
      <c r="A7201" s="55" t="s">
        <v>9998</v>
      </c>
      <c r="B7201" s="55" t="s">
        <v>40</v>
      </c>
      <c r="C7201" s="55" t="s">
        <v>1722</v>
      </c>
      <c r="D7201" s="55" t="s">
        <v>11231</v>
      </c>
    </row>
    <row r="7202" ht="14.25" customHeight="1">
      <c r="A7202" s="55" t="s">
        <v>9998</v>
      </c>
      <c r="B7202" s="55" t="s">
        <v>40</v>
      </c>
      <c r="C7202" s="55" t="s">
        <v>5327</v>
      </c>
      <c r="D7202" s="55" t="s">
        <v>9151</v>
      </c>
    </row>
    <row r="7203" ht="14.25" customHeight="1">
      <c r="A7203" s="55" t="s">
        <v>9998</v>
      </c>
      <c r="B7203" s="55" t="s">
        <v>40</v>
      </c>
      <c r="C7203" s="55" t="s">
        <v>6877</v>
      </c>
      <c r="D7203" s="55" t="s">
        <v>10006</v>
      </c>
    </row>
    <row r="7204" ht="14.25" customHeight="1">
      <c r="A7204" s="55" t="s">
        <v>9998</v>
      </c>
      <c r="B7204" s="55" t="s">
        <v>40</v>
      </c>
      <c r="C7204" s="55" t="s">
        <v>11314</v>
      </c>
      <c r="D7204" s="55" t="s">
        <v>10541</v>
      </c>
    </row>
    <row r="7205" ht="14.25" customHeight="1">
      <c r="A7205" s="55" t="s">
        <v>9998</v>
      </c>
      <c r="B7205" s="55" t="s">
        <v>40</v>
      </c>
      <c r="C7205" s="55" t="s">
        <v>14529</v>
      </c>
      <c r="D7205" s="55" t="s">
        <v>10005</v>
      </c>
    </row>
    <row r="7206" ht="14.25" customHeight="1">
      <c r="A7206" s="55" t="s">
        <v>9998</v>
      </c>
      <c r="B7206" s="55" t="s">
        <v>40</v>
      </c>
      <c r="C7206" s="55" t="s">
        <v>9002</v>
      </c>
      <c r="D7206" s="55" t="s">
        <v>9034</v>
      </c>
    </row>
    <row r="7207" ht="14.25" customHeight="1">
      <c r="A7207" s="55" t="s">
        <v>9998</v>
      </c>
      <c r="B7207" s="55" t="s">
        <v>40</v>
      </c>
      <c r="C7207" s="55" t="s">
        <v>11842</v>
      </c>
      <c r="D7207" s="55" t="s">
        <v>8968</v>
      </c>
    </row>
    <row r="7208" ht="14.25" customHeight="1">
      <c r="A7208" s="55" t="s">
        <v>9998</v>
      </c>
      <c r="B7208" s="55" t="s">
        <v>40</v>
      </c>
      <c r="C7208" s="55" t="s">
        <v>13469</v>
      </c>
      <c r="D7208" s="55" t="s">
        <v>9999</v>
      </c>
    </row>
    <row r="7209" ht="14.25" customHeight="1">
      <c r="A7209" s="55" t="s">
        <v>9998</v>
      </c>
      <c r="B7209" s="55" t="s">
        <v>40</v>
      </c>
      <c r="C7209" s="55" t="s">
        <v>9584</v>
      </c>
      <c r="D7209" s="55" t="s">
        <v>13470</v>
      </c>
    </row>
    <row r="7210" ht="14.25" customHeight="1">
      <c r="A7210" s="55" t="s">
        <v>9998</v>
      </c>
      <c r="B7210" s="55" t="s">
        <v>40</v>
      </c>
      <c r="C7210" s="55" t="s">
        <v>10007</v>
      </c>
      <c r="D7210" s="55" t="s">
        <v>9034</v>
      </c>
    </row>
    <row r="7211" ht="14.25" customHeight="1">
      <c r="A7211" s="55" t="s">
        <v>9998</v>
      </c>
      <c r="B7211" s="55" t="s">
        <v>40</v>
      </c>
      <c r="C7211" s="55" t="s">
        <v>10007</v>
      </c>
      <c r="D7211" s="55" t="s">
        <v>10008</v>
      </c>
    </row>
    <row r="7212" ht="14.25" customHeight="1">
      <c r="A7212" s="55" t="s">
        <v>9998</v>
      </c>
      <c r="B7212" s="55" t="s">
        <v>40</v>
      </c>
      <c r="C7212" s="55" t="s">
        <v>10007</v>
      </c>
      <c r="D7212" s="55" t="s">
        <v>8968</v>
      </c>
    </row>
    <row r="7213" ht="14.25" customHeight="1">
      <c r="A7213" s="55" t="s">
        <v>9998</v>
      </c>
      <c r="B7213" s="55" t="s">
        <v>40</v>
      </c>
      <c r="C7213" s="55" t="s">
        <v>10007</v>
      </c>
      <c r="D7213" s="55" t="s">
        <v>10001</v>
      </c>
    </row>
    <row r="7214" ht="14.25" customHeight="1">
      <c r="A7214" s="55" t="s">
        <v>9998</v>
      </c>
      <c r="B7214" s="55" t="s">
        <v>40</v>
      </c>
      <c r="C7214" s="55" t="s">
        <v>10007</v>
      </c>
      <c r="D7214" s="55" t="s">
        <v>9002</v>
      </c>
    </row>
    <row r="7215" ht="14.25" customHeight="1">
      <c r="A7215" s="55" t="s">
        <v>9998</v>
      </c>
      <c r="B7215" s="55" t="s">
        <v>40</v>
      </c>
      <c r="C7215" s="55" t="s">
        <v>10007</v>
      </c>
      <c r="D7215" s="55" t="s">
        <v>9999</v>
      </c>
    </row>
    <row r="7216" ht="14.25" customHeight="1">
      <c r="A7216" s="55" t="s">
        <v>9998</v>
      </c>
      <c r="B7216" s="55" t="s">
        <v>40</v>
      </c>
      <c r="C7216" s="55" t="s">
        <v>10007</v>
      </c>
      <c r="D7216" s="55" t="s">
        <v>11315</v>
      </c>
    </row>
    <row r="7217" ht="14.25" customHeight="1">
      <c r="A7217" s="55" t="s">
        <v>9998</v>
      </c>
      <c r="B7217" s="55" t="s">
        <v>40</v>
      </c>
      <c r="C7217" s="55" t="s">
        <v>13471</v>
      </c>
      <c r="D7217" s="55" t="s">
        <v>10130</v>
      </c>
    </row>
    <row r="7218" ht="14.25" customHeight="1">
      <c r="A7218" s="55" t="s">
        <v>9998</v>
      </c>
      <c r="B7218" s="55" t="s">
        <v>40</v>
      </c>
      <c r="C7218" s="55" t="s">
        <v>10290</v>
      </c>
      <c r="D7218" s="55" t="s">
        <v>9151</v>
      </c>
    </row>
    <row r="7219" ht="14.25" customHeight="1">
      <c r="A7219" s="55" t="s">
        <v>9998</v>
      </c>
      <c r="B7219" s="55" t="s">
        <v>40</v>
      </c>
      <c r="C7219" s="55" t="s">
        <v>10290</v>
      </c>
      <c r="D7219" s="55" t="s">
        <v>13472</v>
      </c>
    </row>
    <row r="7220" ht="14.25" customHeight="1">
      <c r="A7220" s="55" t="s">
        <v>9998</v>
      </c>
      <c r="B7220" s="55" t="s">
        <v>40</v>
      </c>
      <c r="C7220" s="55" t="s">
        <v>10290</v>
      </c>
      <c r="D7220" s="55" t="s">
        <v>13473</v>
      </c>
    </row>
    <row r="7221" ht="14.25" customHeight="1">
      <c r="A7221" s="55" t="s">
        <v>9998</v>
      </c>
      <c r="B7221" s="55" t="s">
        <v>40</v>
      </c>
      <c r="C7221" s="55" t="s">
        <v>10290</v>
      </c>
      <c r="D7221" s="55" t="s">
        <v>13474</v>
      </c>
    </row>
    <row r="7222" ht="14.25" customHeight="1">
      <c r="A7222" s="55" t="s">
        <v>9998</v>
      </c>
      <c r="B7222" s="55" t="s">
        <v>40</v>
      </c>
      <c r="C7222" s="55" t="s">
        <v>10290</v>
      </c>
      <c r="D7222" s="55" t="s">
        <v>13475</v>
      </c>
    </row>
    <row r="7223" ht="14.25" customHeight="1">
      <c r="A7223" s="55" t="s">
        <v>9998</v>
      </c>
      <c r="B7223" s="55" t="s">
        <v>40</v>
      </c>
      <c r="C7223" s="55" t="s">
        <v>14025</v>
      </c>
      <c r="D7223" s="55" t="s">
        <v>14026</v>
      </c>
    </row>
    <row r="7224" ht="14.25" customHeight="1">
      <c r="A7224" s="55" t="s">
        <v>9998</v>
      </c>
      <c r="B7224" s="55" t="s">
        <v>40</v>
      </c>
      <c r="C7224" s="55" t="s">
        <v>11843</v>
      </c>
      <c r="D7224" s="55" t="s">
        <v>9152</v>
      </c>
    </row>
    <row r="7225" ht="14.25" customHeight="1">
      <c r="A7225" s="55" t="s">
        <v>9998</v>
      </c>
      <c r="B7225" s="55" t="s">
        <v>40</v>
      </c>
      <c r="C7225" s="55" t="s">
        <v>10542</v>
      </c>
      <c r="D7225" s="55" t="s">
        <v>10543</v>
      </c>
    </row>
    <row r="7226" ht="14.25" customHeight="1">
      <c r="A7226" s="55" t="s">
        <v>9998</v>
      </c>
      <c r="B7226" s="55" t="s">
        <v>40</v>
      </c>
      <c r="C7226" s="55" t="s">
        <v>11844</v>
      </c>
      <c r="D7226" s="55" t="s">
        <v>9034</v>
      </c>
    </row>
    <row r="7227" ht="14.25" customHeight="1">
      <c r="A7227" s="55" t="s">
        <v>9998</v>
      </c>
      <c r="B7227" s="55" t="s">
        <v>40</v>
      </c>
      <c r="C7227" s="55" t="s">
        <v>11844</v>
      </c>
      <c r="D7227" s="55" t="s">
        <v>9151</v>
      </c>
    </row>
    <row r="7228" ht="14.25" customHeight="1">
      <c r="A7228" s="55" t="s">
        <v>9998</v>
      </c>
      <c r="B7228" s="55" t="s">
        <v>40</v>
      </c>
      <c r="C7228" s="55" t="s">
        <v>11844</v>
      </c>
      <c r="D7228" s="55" t="s">
        <v>14027</v>
      </c>
    </row>
    <row r="7229" ht="14.25" customHeight="1">
      <c r="A7229" s="55" t="s">
        <v>9998</v>
      </c>
      <c r="B7229" s="55" t="s">
        <v>40</v>
      </c>
      <c r="C7229" s="55" t="s">
        <v>10544</v>
      </c>
      <c r="D7229" s="55" t="s">
        <v>10457</v>
      </c>
    </row>
    <row r="7230" ht="14.25" customHeight="1">
      <c r="A7230" s="55" t="s">
        <v>9998</v>
      </c>
      <c r="B7230" s="55" t="s">
        <v>40</v>
      </c>
      <c r="C7230" s="55" t="s">
        <v>10252</v>
      </c>
      <c r="D7230" s="55" t="s">
        <v>11845</v>
      </c>
    </row>
    <row r="7231" ht="14.25" customHeight="1">
      <c r="A7231" s="55" t="s">
        <v>9998</v>
      </c>
      <c r="B7231" s="55" t="s">
        <v>40</v>
      </c>
      <c r="C7231" s="55" t="s">
        <v>12551</v>
      </c>
      <c r="D7231" s="55" t="s">
        <v>12552</v>
      </c>
    </row>
    <row r="7232" ht="14.25" customHeight="1">
      <c r="A7232" s="55" t="s">
        <v>9998</v>
      </c>
      <c r="B7232" s="55" t="s">
        <v>40</v>
      </c>
      <c r="C7232" s="55" t="s">
        <v>10640</v>
      </c>
      <c r="D7232" s="55" t="s">
        <v>9151</v>
      </c>
    </row>
    <row r="7233" ht="14.25" customHeight="1">
      <c r="A7233" s="55" t="s">
        <v>9998</v>
      </c>
      <c r="B7233" s="55" t="s">
        <v>40</v>
      </c>
      <c r="C7233" s="55" t="s">
        <v>10640</v>
      </c>
      <c r="D7233" s="55" t="s">
        <v>12553</v>
      </c>
    </row>
    <row r="7234" ht="14.25" customHeight="1">
      <c r="A7234" s="55" t="s">
        <v>9998</v>
      </c>
      <c r="B7234" s="55" t="s">
        <v>40</v>
      </c>
      <c r="C7234" s="55" t="s">
        <v>10640</v>
      </c>
      <c r="D7234" s="55" t="s">
        <v>10001</v>
      </c>
    </row>
    <row r="7235" ht="14.25" customHeight="1">
      <c r="A7235" s="55" t="s">
        <v>9998</v>
      </c>
      <c r="B7235" s="55" t="s">
        <v>40</v>
      </c>
      <c r="C7235" s="55" t="s">
        <v>10640</v>
      </c>
      <c r="D7235" s="55" t="s">
        <v>12554</v>
      </c>
    </row>
    <row r="7236" ht="14.25" customHeight="1">
      <c r="A7236" s="55" t="s">
        <v>9998</v>
      </c>
      <c r="B7236" s="55" t="s">
        <v>40</v>
      </c>
      <c r="C7236" s="55" t="s">
        <v>10640</v>
      </c>
      <c r="D7236" s="55" t="s">
        <v>12555</v>
      </c>
    </row>
    <row r="7237" ht="14.25" customHeight="1">
      <c r="A7237" s="55" t="s">
        <v>9998</v>
      </c>
      <c r="B7237" s="55" t="s">
        <v>40</v>
      </c>
      <c r="C7237" s="55" t="s">
        <v>10640</v>
      </c>
      <c r="D7237" s="55" t="s">
        <v>9999</v>
      </c>
    </row>
    <row r="7238" ht="14.25" customHeight="1">
      <c r="A7238" s="55" t="s">
        <v>9998</v>
      </c>
      <c r="B7238" s="55" t="s">
        <v>40</v>
      </c>
      <c r="C7238" s="55" t="s">
        <v>10640</v>
      </c>
      <c r="D7238" s="55" t="s">
        <v>10641</v>
      </c>
    </row>
    <row r="7239" ht="14.25" customHeight="1">
      <c r="A7239" s="55" t="s">
        <v>9998</v>
      </c>
      <c r="B7239" s="55" t="s">
        <v>40</v>
      </c>
      <c r="C7239" s="55" t="s">
        <v>4139</v>
      </c>
      <c r="D7239" s="55" t="s">
        <v>8968</v>
      </c>
    </row>
    <row r="7240" ht="14.25" customHeight="1">
      <c r="A7240" s="55" t="s">
        <v>9998</v>
      </c>
      <c r="B7240" s="55" t="s">
        <v>40</v>
      </c>
      <c r="C7240" s="55" t="s">
        <v>4139</v>
      </c>
      <c r="D7240" s="55" t="s">
        <v>11846</v>
      </c>
    </row>
    <row r="7241" ht="14.25" customHeight="1">
      <c r="A7241" s="55" t="s">
        <v>9998</v>
      </c>
      <c r="B7241" s="55" t="s">
        <v>40</v>
      </c>
      <c r="C7241" s="55" t="s">
        <v>4139</v>
      </c>
      <c r="D7241" s="55" t="s">
        <v>13476</v>
      </c>
    </row>
    <row r="7242" ht="14.25" customHeight="1">
      <c r="A7242" s="55" t="s">
        <v>9998</v>
      </c>
      <c r="B7242" s="55" t="s">
        <v>40</v>
      </c>
      <c r="C7242" s="55" t="s">
        <v>13477</v>
      </c>
      <c r="D7242" s="55" t="s">
        <v>13478</v>
      </c>
    </row>
    <row r="7243" ht="14.25" customHeight="1">
      <c r="A7243" s="55" t="s">
        <v>9998</v>
      </c>
      <c r="B7243" s="55" t="s">
        <v>40</v>
      </c>
      <c r="C7243" s="55" t="s">
        <v>9215</v>
      </c>
      <c r="D7243" s="55" t="s">
        <v>11847</v>
      </c>
    </row>
    <row r="7244" ht="14.25" customHeight="1">
      <c r="A7244" s="55" t="s">
        <v>9998</v>
      </c>
      <c r="B7244" s="55" t="s">
        <v>40</v>
      </c>
      <c r="C7244" s="55" t="s">
        <v>4225</v>
      </c>
      <c r="D7244" s="55" t="s">
        <v>9073</v>
      </c>
    </row>
    <row r="7245" ht="14.25" customHeight="1">
      <c r="A7245" s="55" t="s">
        <v>9998</v>
      </c>
      <c r="B7245" s="55" t="s">
        <v>40</v>
      </c>
      <c r="C7245" s="55" t="s">
        <v>4231</v>
      </c>
      <c r="D7245" s="55" t="s">
        <v>14028</v>
      </c>
    </row>
    <row r="7246" ht="14.25" customHeight="1">
      <c r="A7246" s="55" t="s">
        <v>9998</v>
      </c>
      <c r="B7246" s="55" t="s">
        <v>40</v>
      </c>
      <c r="C7246" s="55" t="s">
        <v>10009</v>
      </c>
      <c r="D7246" s="55" t="s">
        <v>9034</v>
      </c>
    </row>
    <row r="7247" ht="14.25" customHeight="1">
      <c r="A7247" s="55" t="s">
        <v>9998</v>
      </c>
      <c r="B7247" s="55" t="s">
        <v>40</v>
      </c>
      <c r="C7247" s="55" t="s">
        <v>11316</v>
      </c>
      <c r="D7247" s="55" t="s">
        <v>11317</v>
      </c>
    </row>
    <row r="7248" ht="14.25" customHeight="1">
      <c r="A7248" s="55" t="s">
        <v>9998</v>
      </c>
      <c r="B7248" s="55" t="s">
        <v>40</v>
      </c>
      <c r="C7248" s="55" t="s">
        <v>14530</v>
      </c>
      <c r="D7248" s="55" t="s">
        <v>14531</v>
      </c>
    </row>
    <row r="7249" ht="14.25" customHeight="1">
      <c r="A7249" s="55" t="s">
        <v>9998</v>
      </c>
      <c r="B7249" s="55" t="s">
        <v>40</v>
      </c>
      <c r="C7249" s="55" t="s">
        <v>13479</v>
      </c>
      <c r="D7249" s="55" t="s">
        <v>9151</v>
      </c>
    </row>
    <row r="7250" ht="14.25" customHeight="1">
      <c r="A7250" s="55" t="s">
        <v>9998</v>
      </c>
      <c r="B7250" s="55" t="s">
        <v>40</v>
      </c>
      <c r="C7250" s="55" t="s">
        <v>13480</v>
      </c>
      <c r="D7250" s="55" t="s">
        <v>8968</v>
      </c>
    </row>
    <row r="7251" ht="14.25" customHeight="1">
      <c r="A7251" s="55" t="s">
        <v>9998</v>
      </c>
      <c r="B7251" s="55" t="s">
        <v>40</v>
      </c>
      <c r="C7251" s="55" t="s">
        <v>11318</v>
      </c>
      <c r="D7251" s="55" t="s">
        <v>11319</v>
      </c>
    </row>
    <row r="7252" ht="14.25" customHeight="1">
      <c r="A7252" s="55" t="s">
        <v>9998</v>
      </c>
      <c r="B7252" s="55" t="s">
        <v>40</v>
      </c>
      <c r="C7252" s="55" t="s">
        <v>9005</v>
      </c>
      <c r="D7252" s="55" t="s">
        <v>9006</v>
      </c>
    </row>
    <row r="7253" ht="14.25" customHeight="1">
      <c r="A7253" s="55" t="s">
        <v>9998</v>
      </c>
      <c r="B7253" s="55" t="s">
        <v>40</v>
      </c>
      <c r="C7253" s="55" t="s">
        <v>10010</v>
      </c>
      <c r="D7253" s="55" t="s">
        <v>9152</v>
      </c>
    </row>
    <row r="7254" ht="14.25" customHeight="1">
      <c r="A7254" s="55" t="s">
        <v>9998</v>
      </c>
      <c r="B7254" s="55" t="s">
        <v>40</v>
      </c>
      <c r="C7254" s="55" t="s">
        <v>9007</v>
      </c>
      <c r="D7254" s="55" t="s">
        <v>13481</v>
      </c>
    </row>
    <row r="7255" ht="14.25" customHeight="1">
      <c r="A7255" s="55" t="s">
        <v>9998</v>
      </c>
      <c r="B7255" s="55" t="s">
        <v>40</v>
      </c>
      <c r="C7255" s="55" t="s">
        <v>11320</v>
      </c>
      <c r="D7255" s="55" t="s">
        <v>9002</v>
      </c>
    </row>
    <row r="7256" ht="14.25" customHeight="1">
      <c r="A7256" s="55" t="s">
        <v>9998</v>
      </c>
      <c r="B7256" s="55" t="s">
        <v>40</v>
      </c>
      <c r="C7256" s="55" t="s">
        <v>13482</v>
      </c>
      <c r="D7256" s="55" t="s">
        <v>10001</v>
      </c>
    </row>
    <row r="7257" ht="14.25" customHeight="1">
      <c r="A7257" s="55" t="s">
        <v>9998</v>
      </c>
      <c r="B7257" s="55" t="s">
        <v>40</v>
      </c>
      <c r="C7257" s="55" t="s">
        <v>10545</v>
      </c>
      <c r="D7257" s="55" t="s">
        <v>9034</v>
      </c>
    </row>
    <row r="7258" ht="14.25" customHeight="1">
      <c r="A7258" s="55" t="s">
        <v>9998</v>
      </c>
      <c r="B7258" s="55" t="s">
        <v>40</v>
      </c>
      <c r="C7258" s="55" t="s">
        <v>10545</v>
      </c>
      <c r="D7258" s="55" t="s">
        <v>13456</v>
      </c>
    </row>
    <row r="7259" ht="14.25" customHeight="1">
      <c r="A7259" s="55" t="s">
        <v>9998</v>
      </c>
      <c r="B7259" s="55" t="s">
        <v>40</v>
      </c>
      <c r="C7259" s="55" t="s">
        <v>7317</v>
      </c>
      <c r="D7259" s="55" t="s">
        <v>9151</v>
      </c>
    </row>
    <row r="7260" ht="14.25" customHeight="1">
      <c r="A7260" s="55" t="s">
        <v>9998</v>
      </c>
      <c r="B7260" s="55" t="s">
        <v>40</v>
      </c>
      <c r="C7260" s="55" t="s">
        <v>7317</v>
      </c>
      <c r="D7260" s="55" t="s">
        <v>14029</v>
      </c>
    </row>
    <row r="7261" ht="14.25" customHeight="1">
      <c r="A7261" s="55" t="s">
        <v>9998</v>
      </c>
      <c r="B7261" s="55" t="s">
        <v>40</v>
      </c>
      <c r="C7261" s="55" t="s">
        <v>7317</v>
      </c>
      <c r="D7261" s="55" t="s">
        <v>12556</v>
      </c>
    </row>
    <row r="7262" ht="14.25" customHeight="1">
      <c r="A7262" s="55" t="s">
        <v>9998</v>
      </c>
      <c r="B7262" s="55" t="s">
        <v>40</v>
      </c>
      <c r="C7262" s="55" t="s">
        <v>7317</v>
      </c>
      <c r="D7262" s="55" t="s">
        <v>14030</v>
      </c>
    </row>
    <row r="7263" ht="14.25" customHeight="1">
      <c r="A7263" s="55" t="s">
        <v>9998</v>
      </c>
      <c r="B7263" s="55" t="s">
        <v>40</v>
      </c>
      <c r="C7263" s="55" t="s">
        <v>12557</v>
      </c>
      <c r="D7263" s="55" t="s">
        <v>9151</v>
      </c>
    </row>
    <row r="7264" ht="14.25" customHeight="1">
      <c r="A7264" s="55" t="s">
        <v>9998</v>
      </c>
      <c r="B7264" s="55" t="s">
        <v>40</v>
      </c>
      <c r="C7264" s="55" t="s">
        <v>12558</v>
      </c>
      <c r="D7264" s="55" t="s">
        <v>12559</v>
      </c>
    </row>
    <row r="7265" ht="14.25" customHeight="1">
      <c r="A7265" s="55" t="s">
        <v>9998</v>
      </c>
      <c r="B7265" s="55" t="s">
        <v>40</v>
      </c>
      <c r="C7265" s="55" t="s">
        <v>7351</v>
      </c>
      <c r="D7265" s="55" t="s">
        <v>8968</v>
      </c>
    </row>
    <row r="7266" ht="14.25" customHeight="1">
      <c r="A7266" s="55" t="s">
        <v>9998</v>
      </c>
      <c r="B7266" s="55" t="s">
        <v>41</v>
      </c>
      <c r="C7266" s="55" t="s">
        <v>5795</v>
      </c>
      <c r="D7266" s="55" t="s">
        <v>14031</v>
      </c>
    </row>
    <row r="7267" ht="14.25" customHeight="1">
      <c r="A7267" s="55" t="s">
        <v>9998</v>
      </c>
      <c r="B7267" s="55" t="s">
        <v>41</v>
      </c>
      <c r="C7267" s="55" t="s">
        <v>77</v>
      </c>
      <c r="D7267" s="55" t="s">
        <v>9151</v>
      </c>
    </row>
    <row r="7268" ht="14.25" customHeight="1">
      <c r="A7268" s="55" t="s">
        <v>9998</v>
      </c>
      <c r="B7268" s="55" t="s">
        <v>41</v>
      </c>
      <c r="C7268" s="55" t="s">
        <v>10660</v>
      </c>
      <c r="D7268" s="55" t="s">
        <v>12560</v>
      </c>
    </row>
    <row r="7269" ht="14.25" customHeight="1">
      <c r="A7269" s="55" t="s">
        <v>9998</v>
      </c>
      <c r="B7269" s="55" t="s">
        <v>41</v>
      </c>
      <c r="C7269" s="55" t="s">
        <v>11939</v>
      </c>
      <c r="D7269" s="55" t="s">
        <v>11522</v>
      </c>
    </row>
    <row r="7270" ht="14.25" customHeight="1">
      <c r="A7270" s="55" t="s">
        <v>9998</v>
      </c>
      <c r="B7270" s="55" t="s">
        <v>41</v>
      </c>
      <c r="C7270" s="55" t="s">
        <v>10546</v>
      </c>
      <c r="D7270" s="55" t="s">
        <v>9034</v>
      </c>
    </row>
    <row r="7271" ht="14.25" customHeight="1">
      <c r="A7271" s="55" t="s">
        <v>9998</v>
      </c>
      <c r="B7271" s="55" t="s">
        <v>41</v>
      </c>
      <c r="C7271" s="55" t="s">
        <v>14532</v>
      </c>
      <c r="D7271" s="55" t="s">
        <v>9152</v>
      </c>
    </row>
    <row r="7272" ht="14.25" customHeight="1">
      <c r="A7272" s="55" t="s">
        <v>9998</v>
      </c>
      <c r="B7272" s="55" t="s">
        <v>41</v>
      </c>
      <c r="C7272" s="55" t="s">
        <v>9133</v>
      </c>
      <c r="D7272" s="55" t="s">
        <v>10011</v>
      </c>
    </row>
    <row r="7273" ht="14.25" customHeight="1">
      <c r="A7273" s="55" t="s">
        <v>9998</v>
      </c>
      <c r="B7273" s="55" t="s">
        <v>41</v>
      </c>
      <c r="C7273" s="55" t="s">
        <v>141</v>
      </c>
      <c r="D7273" s="55" t="s">
        <v>9034</v>
      </c>
    </row>
    <row r="7274" ht="14.25" customHeight="1">
      <c r="A7274" s="55" t="s">
        <v>9998</v>
      </c>
      <c r="B7274" s="55" t="s">
        <v>41</v>
      </c>
      <c r="C7274" s="55" t="s">
        <v>141</v>
      </c>
      <c r="D7274" s="55" t="s">
        <v>9999</v>
      </c>
    </row>
    <row r="7275" ht="14.25" customHeight="1">
      <c r="A7275" s="55" t="s">
        <v>9998</v>
      </c>
      <c r="B7275" s="55" t="s">
        <v>41</v>
      </c>
      <c r="C7275" s="55" t="s">
        <v>141</v>
      </c>
      <c r="D7275" s="55" t="s">
        <v>10999</v>
      </c>
    </row>
    <row r="7276" ht="14.25" customHeight="1">
      <c r="A7276" s="55" t="s">
        <v>9998</v>
      </c>
      <c r="B7276" s="55" t="s">
        <v>41</v>
      </c>
      <c r="C7276" s="55" t="s">
        <v>12721</v>
      </c>
      <c r="D7276" s="55" t="s">
        <v>14533</v>
      </c>
    </row>
    <row r="7277" ht="14.25" customHeight="1">
      <c r="A7277" s="55" t="s">
        <v>9998</v>
      </c>
      <c r="B7277" s="55" t="s">
        <v>41</v>
      </c>
      <c r="C7277" s="55" t="s">
        <v>14032</v>
      </c>
      <c r="D7277" s="55" t="s">
        <v>8968</v>
      </c>
    </row>
    <row r="7278" ht="14.25" customHeight="1">
      <c r="A7278" s="55" t="s">
        <v>9998</v>
      </c>
      <c r="B7278" s="55" t="s">
        <v>41</v>
      </c>
      <c r="C7278" s="55" t="s">
        <v>11312</v>
      </c>
      <c r="D7278" s="55" t="s">
        <v>10005</v>
      </c>
    </row>
    <row r="7279" ht="14.25" customHeight="1">
      <c r="A7279" s="55" t="s">
        <v>9998</v>
      </c>
      <c r="B7279" s="55" t="s">
        <v>41</v>
      </c>
      <c r="C7279" s="55" t="s">
        <v>11421</v>
      </c>
      <c r="D7279" s="55" t="s">
        <v>9999</v>
      </c>
    </row>
    <row r="7280" ht="14.25" customHeight="1">
      <c r="A7280" s="55" t="s">
        <v>9998</v>
      </c>
      <c r="B7280" s="55" t="s">
        <v>41</v>
      </c>
      <c r="C7280" s="55" t="s">
        <v>3814</v>
      </c>
      <c r="D7280" s="55" t="s">
        <v>10541</v>
      </c>
    </row>
    <row r="7281" ht="14.25" customHeight="1">
      <c r="A7281" s="55" t="s">
        <v>9998</v>
      </c>
      <c r="B7281" s="55" t="s">
        <v>41</v>
      </c>
      <c r="C7281" s="55" t="s">
        <v>3814</v>
      </c>
      <c r="D7281" s="55" t="s">
        <v>9028</v>
      </c>
    </row>
    <row r="7282" ht="14.25" customHeight="1">
      <c r="A7282" s="55" t="s">
        <v>9998</v>
      </c>
      <c r="B7282" s="55" t="s">
        <v>41</v>
      </c>
      <c r="C7282" s="55" t="s">
        <v>3814</v>
      </c>
      <c r="D7282" s="55" t="s">
        <v>14033</v>
      </c>
    </row>
    <row r="7283" ht="14.25" customHeight="1">
      <c r="A7283" s="55" t="s">
        <v>9998</v>
      </c>
      <c r="B7283" s="55" t="s">
        <v>41</v>
      </c>
      <c r="C7283" s="55" t="s">
        <v>3814</v>
      </c>
      <c r="D7283" s="55" t="s">
        <v>12561</v>
      </c>
    </row>
    <row r="7284" ht="14.25" customHeight="1">
      <c r="A7284" s="55" t="s">
        <v>9998</v>
      </c>
      <c r="B7284" s="55" t="s">
        <v>41</v>
      </c>
      <c r="C7284" s="55" t="s">
        <v>10012</v>
      </c>
      <c r="D7284" s="55" t="s">
        <v>9999</v>
      </c>
    </row>
    <row r="7285" ht="14.25" customHeight="1">
      <c r="A7285" s="55" t="s">
        <v>9998</v>
      </c>
      <c r="B7285" s="55" t="s">
        <v>41</v>
      </c>
      <c r="C7285" s="55" t="s">
        <v>12562</v>
      </c>
      <c r="D7285" s="55" t="s">
        <v>8968</v>
      </c>
    </row>
    <row r="7286" ht="14.25" customHeight="1">
      <c r="A7286" s="55" t="s">
        <v>9998</v>
      </c>
      <c r="B7286" s="55" t="s">
        <v>41</v>
      </c>
      <c r="C7286" s="55" t="s">
        <v>9286</v>
      </c>
      <c r="D7286" s="55" t="s">
        <v>9273</v>
      </c>
    </row>
    <row r="7287" ht="14.25" customHeight="1">
      <c r="A7287" s="55" t="s">
        <v>9998</v>
      </c>
      <c r="B7287" s="55" t="s">
        <v>41</v>
      </c>
      <c r="C7287" s="55" t="s">
        <v>10013</v>
      </c>
      <c r="D7287" s="55" t="s">
        <v>9999</v>
      </c>
    </row>
    <row r="7288" ht="14.25" customHeight="1">
      <c r="A7288" s="55" t="s">
        <v>9998</v>
      </c>
      <c r="B7288" s="55" t="s">
        <v>41</v>
      </c>
      <c r="C7288" s="55" t="s">
        <v>10290</v>
      </c>
      <c r="D7288" s="55" t="s">
        <v>9999</v>
      </c>
    </row>
    <row r="7289" ht="14.25" customHeight="1">
      <c r="A7289" s="55" t="s">
        <v>9998</v>
      </c>
      <c r="B7289" s="55" t="s">
        <v>41</v>
      </c>
      <c r="C7289" s="55" t="s">
        <v>4139</v>
      </c>
      <c r="D7289" s="55" t="s">
        <v>13476</v>
      </c>
    </row>
    <row r="7290" ht="14.25" customHeight="1">
      <c r="A7290" s="55" t="s">
        <v>9998</v>
      </c>
      <c r="B7290" s="55" t="s">
        <v>41</v>
      </c>
      <c r="C7290" s="55" t="s">
        <v>255</v>
      </c>
      <c r="D7290" s="55" t="s">
        <v>13483</v>
      </c>
    </row>
    <row r="7291" ht="14.25" customHeight="1">
      <c r="A7291" s="55" t="s">
        <v>9998</v>
      </c>
      <c r="B7291" s="55" t="s">
        <v>41</v>
      </c>
      <c r="C7291" s="55" t="s">
        <v>14534</v>
      </c>
      <c r="D7291" s="55" t="s">
        <v>9034</v>
      </c>
    </row>
    <row r="7292" ht="14.25" customHeight="1">
      <c r="A7292" s="55" t="s">
        <v>9998</v>
      </c>
      <c r="B7292" s="55" t="s">
        <v>41</v>
      </c>
      <c r="C7292" s="55" t="s">
        <v>11848</v>
      </c>
      <c r="D7292" s="55" t="s">
        <v>11849</v>
      </c>
    </row>
    <row r="7293" ht="14.25" customHeight="1">
      <c r="A7293" s="55" t="s">
        <v>9998</v>
      </c>
      <c r="B7293" s="55" t="s">
        <v>41</v>
      </c>
      <c r="C7293" s="55" t="s">
        <v>10547</v>
      </c>
      <c r="D7293" s="55" t="s">
        <v>10548</v>
      </c>
    </row>
    <row r="7294" ht="14.25" customHeight="1">
      <c r="A7294" s="55" t="s">
        <v>9998</v>
      </c>
      <c r="B7294" s="55" t="s">
        <v>41</v>
      </c>
      <c r="C7294" s="55" t="s">
        <v>13484</v>
      </c>
      <c r="D7294" s="55" t="s">
        <v>9579</v>
      </c>
    </row>
    <row r="7295" ht="14.25" customHeight="1">
      <c r="A7295" s="55" t="s">
        <v>9998</v>
      </c>
      <c r="B7295" s="55" t="s">
        <v>13</v>
      </c>
      <c r="C7295" s="55" t="s">
        <v>9469</v>
      </c>
      <c r="D7295" s="55" t="s">
        <v>9380</v>
      </c>
    </row>
    <row r="7296" ht="14.25" customHeight="1">
      <c r="A7296" s="55" t="s">
        <v>9998</v>
      </c>
      <c r="B7296" s="55" t="s">
        <v>13</v>
      </c>
      <c r="C7296" s="55" t="s">
        <v>9469</v>
      </c>
      <c r="D7296" s="55" t="s">
        <v>9999</v>
      </c>
    </row>
    <row r="7297" ht="14.25" customHeight="1">
      <c r="A7297" s="55" t="s">
        <v>9998</v>
      </c>
      <c r="B7297" s="55" t="s">
        <v>13</v>
      </c>
      <c r="C7297" s="55" t="s">
        <v>10660</v>
      </c>
      <c r="D7297" s="55" t="s">
        <v>9034</v>
      </c>
    </row>
    <row r="7298" ht="14.25" customHeight="1">
      <c r="A7298" s="55" t="s">
        <v>9998</v>
      </c>
      <c r="B7298" s="55" t="s">
        <v>13</v>
      </c>
      <c r="C7298" s="55" t="s">
        <v>10549</v>
      </c>
      <c r="D7298" s="55" t="s">
        <v>9999</v>
      </c>
    </row>
    <row r="7299" ht="14.25" customHeight="1">
      <c r="A7299" s="55" t="s">
        <v>9998</v>
      </c>
      <c r="B7299" s="55" t="s">
        <v>13</v>
      </c>
      <c r="C7299" s="55" t="s">
        <v>9133</v>
      </c>
      <c r="D7299" s="55" t="s">
        <v>9380</v>
      </c>
    </row>
    <row r="7300" ht="14.25" customHeight="1">
      <c r="A7300" s="55" t="s">
        <v>9998</v>
      </c>
      <c r="B7300" s="55" t="s">
        <v>13</v>
      </c>
      <c r="C7300" s="55" t="s">
        <v>9133</v>
      </c>
      <c r="D7300" s="55" t="s">
        <v>9002</v>
      </c>
    </row>
    <row r="7301" ht="14.25" customHeight="1">
      <c r="A7301" s="55" t="s">
        <v>9998</v>
      </c>
      <c r="B7301" s="55" t="s">
        <v>13</v>
      </c>
      <c r="C7301" s="55" t="s">
        <v>141</v>
      </c>
      <c r="D7301" s="55" t="s">
        <v>14034</v>
      </c>
    </row>
    <row r="7302" ht="14.25" customHeight="1">
      <c r="A7302" s="55" t="s">
        <v>9998</v>
      </c>
      <c r="B7302" s="55" t="s">
        <v>13</v>
      </c>
      <c r="C7302" s="55" t="s">
        <v>141</v>
      </c>
      <c r="D7302" s="55" t="s">
        <v>13485</v>
      </c>
    </row>
    <row r="7303" ht="14.25" customHeight="1">
      <c r="A7303" s="55" t="s">
        <v>9998</v>
      </c>
      <c r="B7303" s="55" t="s">
        <v>13</v>
      </c>
      <c r="C7303" s="55" t="s">
        <v>8249</v>
      </c>
      <c r="D7303" s="55" t="s">
        <v>13486</v>
      </c>
    </row>
    <row r="7304" ht="14.25" customHeight="1">
      <c r="A7304" s="55" t="s">
        <v>9998</v>
      </c>
      <c r="B7304" s="55" t="s">
        <v>13</v>
      </c>
      <c r="C7304" s="55" t="s">
        <v>11314</v>
      </c>
      <c r="D7304" s="55" t="s">
        <v>9999</v>
      </c>
    </row>
    <row r="7305" ht="14.25" customHeight="1">
      <c r="A7305" s="55" t="s">
        <v>9998</v>
      </c>
      <c r="B7305" s="55" t="s">
        <v>13</v>
      </c>
      <c r="C7305" s="55" t="s">
        <v>12563</v>
      </c>
      <c r="D7305" s="55" t="s">
        <v>9034</v>
      </c>
    </row>
    <row r="7306" ht="14.25" customHeight="1">
      <c r="A7306" s="55" t="s">
        <v>9998</v>
      </c>
      <c r="B7306" s="55" t="s">
        <v>13</v>
      </c>
      <c r="C7306" s="55" t="s">
        <v>4016</v>
      </c>
      <c r="D7306" s="55" t="s">
        <v>11850</v>
      </c>
    </row>
    <row r="7307" ht="14.25" customHeight="1">
      <c r="A7307" s="55" t="s">
        <v>9998</v>
      </c>
      <c r="B7307" s="55" t="s">
        <v>13</v>
      </c>
      <c r="C7307" s="55" t="s">
        <v>9090</v>
      </c>
      <c r="D7307" s="55" t="s">
        <v>9176</v>
      </c>
    </row>
    <row r="7308" ht="14.25" customHeight="1">
      <c r="A7308" s="55" t="s">
        <v>9998</v>
      </c>
      <c r="B7308" s="55" t="s">
        <v>13</v>
      </c>
      <c r="C7308" s="55" t="s">
        <v>10063</v>
      </c>
      <c r="D7308" s="55" t="s">
        <v>9180</v>
      </c>
    </row>
    <row r="7309" ht="14.25" customHeight="1">
      <c r="A7309" s="55" t="s">
        <v>10014</v>
      </c>
      <c r="B7309" s="55" t="s">
        <v>41</v>
      </c>
      <c r="C7309" s="55" t="s">
        <v>10000</v>
      </c>
      <c r="D7309" s="55" t="s">
        <v>9073</v>
      </c>
    </row>
    <row r="7310" ht="14.25" customHeight="1">
      <c r="A7310" s="55" t="s">
        <v>10014</v>
      </c>
      <c r="B7310" s="55" t="s">
        <v>41</v>
      </c>
      <c r="C7310" s="55" t="s">
        <v>14035</v>
      </c>
      <c r="D7310" s="55" t="s">
        <v>14036</v>
      </c>
    </row>
    <row r="7311" ht="14.25" customHeight="1">
      <c r="A7311" s="55" t="s">
        <v>10014</v>
      </c>
      <c r="B7311" s="55" t="s">
        <v>41</v>
      </c>
      <c r="C7311" s="55" t="s">
        <v>11321</v>
      </c>
      <c r="D7311" s="55" t="s">
        <v>10099</v>
      </c>
    </row>
    <row r="7312" ht="14.25" customHeight="1">
      <c r="A7312" s="55" t="s">
        <v>10014</v>
      </c>
      <c r="B7312" s="55" t="s">
        <v>41</v>
      </c>
      <c r="C7312" s="55" t="s">
        <v>11322</v>
      </c>
      <c r="D7312" s="55" t="s">
        <v>11323</v>
      </c>
    </row>
    <row r="7313" ht="14.25" customHeight="1">
      <c r="A7313" s="55" t="s">
        <v>10014</v>
      </c>
      <c r="B7313" s="55" t="s">
        <v>41</v>
      </c>
      <c r="C7313" s="55" t="s">
        <v>9747</v>
      </c>
      <c r="D7313" s="55" t="s">
        <v>10015</v>
      </c>
    </row>
    <row r="7314" ht="14.25" customHeight="1">
      <c r="A7314" s="55" t="s">
        <v>10014</v>
      </c>
      <c r="B7314" s="55" t="s">
        <v>41</v>
      </c>
      <c r="C7314" s="55" t="s">
        <v>14535</v>
      </c>
      <c r="D7314" s="55" t="s">
        <v>14536</v>
      </c>
    </row>
    <row r="7315" ht="14.25" customHeight="1">
      <c r="A7315" s="55" t="s">
        <v>10014</v>
      </c>
      <c r="B7315" s="55" t="s">
        <v>41</v>
      </c>
      <c r="C7315" s="55" t="s">
        <v>11324</v>
      </c>
      <c r="D7315" s="55" t="s">
        <v>9445</v>
      </c>
    </row>
    <row r="7316" ht="14.25" customHeight="1">
      <c r="A7316" s="55" t="s">
        <v>10014</v>
      </c>
      <c r="B7316" s="55" t="s">
        <v>41</v>
      </c>
      <c r="C7316" s="55" t="s">
        <v>14037</v>
      </c>
      <c r="D7316" s="55" t="s">
        <v>9947</v>
      </c>
    </row>
    <row r="7317" ht="14.25" customHeight="1">
      <c r="A7317" s="55" t="s">
        <v>10014</v>
      </c>
      <c r="B7317" s="55" t="s">
        <v>41</v>
      </c>
      <c r="C7317" s="55" t="s">
        <v>314</v>
      </c>
      <c r="D7317" s="55" t="s">
        <v>11851</v>
      </c>
    </row>
    <row r="7318" ht="14.25" customHeight="1">
      <c r="A7318" s="55" t="s">
        <v>10014</v>
      </c>
      <c r="B7318" s="55" t="s">
        <v>41</v>
      </c>
      <c r="C7318" s="55" t="s">
        <v>13487</v>
      </c>
      <c r="D7318" s="55" t="s">
        <v>9947</v>
      </c>
    </row>
    <row r="7319" ht="14.25" customHeight="1">
      <c r="A7319" s="55" t="s">
        <v>10014</v>
      </c>
      <c r="B7319" s="55" t="s">
        <v>41</v>
      </c>
      <c r="C7319" s="55" t="s">
        <v>8576</v>
      </c>
      <c r="D7319" s="55" t="s">
        <v>14038</v>
      </c>
    </row>
    <row r="7320" ht="14.25" customHeight="1">
      <c r="A7320" s="55" t="s">
        <v>10014</v>
      </c>
      <c r="B7320" s="55" t="s">
        <v>41</v>
      </c>
      <c r="C7320" s="55" t="s">
        <v>4035</v>
      </c>
      <c r="D7320" s="55" t="s">
        <v>10124</v>
      </c>
    </row>
    <row r="7321" ht="14.25" customHeight="1">
      <c r="A7321" s="55" t="s">
        <v>10014</v>
      </c>
      <c r="B7321" s="55" t="s">
        <v>41</v>
      </c>
      <c r="C7321" s="55" t="s">
        <v>254</v>
      </c>
      <c r="D7321" s="55" t="s">
        <v>11325</v>
      </c>
    </row>
    <row r="7322" ht="14.25" customHeight="1">
      <c r="A7322" s="55" t="s">
        <v>10014</v>
      </c>
      <c r="B7322" s="55" t="s">
        <v>41</v>
      </c>
      <c r="C7322" s="55" t="s">
        <v>11326</v>
      </c>
      <c r="D7322" s="55" t="s">
        <v>11327</v>
      </c>
    </row>
    <row r="7323" ht="14.25" customHeight="1">
      <c r="A7323" s="55" t="s">
        <v>10016</v>
      </c>
      <c r="B7323" s="55" t="s">
        <v>41</v>
      </c>
      <c r="C7323" s="55" t="s">
        <v>9034</v>
      </c>
      <c r="D7323" s="55" t="s">
        <v>9726</v>
      </c>
    </row>
    <row r="7324" ht="14.25" customHeight="1">
      <c r="A7324" s="55" t="s">
        <v>10016</v>
      </c>
      <c r="B7324" s="55" t="s">
        <v>41</v>
      </c>
      <c r="C7324" s="55" t="s">
        <v>13257</v>
      </c>
      <c r="D7324" s="55" t="s">
        <v>13488</v>
      </c>
    </row>
    <row r="7325" ht="14.25" customHeight="1">
      <c r="A7325" s="55" t="s">
        <v>10016</v>
      </c>
      <c r="B7325" s="55" t="s">
        <v>41</v>
      </c>
      <c r="C7325" s="55" t="s">
        <v>8969</v>
      </c>
      <c r="D7325" s="55" t="s">
        <v>12573</v>
      </c>
    </row>
    <row r="7326" ht="14.25" customHeight="1">
      <c r="A7326" s="55" t="s">
        <v>10016</v>
      </c>
      <c r="B7326" s="55" t="s">
        <v>41</v>
      </c>
      <c r="C7326" s="55" t="s">
        <v>12564</v>
      </c>
      <c r="D7326" s="55" t="s">
        <v>9649</v>
      </c>
    </row>
    <row r="7327" ht="14.25" customHeight="1">
      <c r="A7327" s="55" t="s">
        <v>10016</v>
      </c>
      <c r="B7327" s="55" t="s">
        <v>41</v>
      </c>
      <c r="C7327" s="55" t="s">
        <v>77</v>
      </c>
      <c r="D7327" s="55" t="s">
        <v>13489</v>
      </c>
    </row>
    <row r="7328" ht="14.25" customHeight="1">
      <c r="A7328" s="55" t="s">
        <v>10016</v>
      </c>
      <c r="B7328" s="55" t="s">
        <v>41</v>
      </c>
      <c r="C7328" s="55" t="s">
        <v>12565</v>
      </c>
      <c r="D7328" s="55" t="s">
        <v>12566</v>
      </c>
    </row>
    <row r="7329" ht="14.25" customHeight="1">
      <c r="A7329" s="55" t="s">
        <v>10016</v>
      </c>
      <c r="B7329" s="55" t="s">
        <v>41</v>
      </c>
      <c r="C7329" s="55" t="s">
        <v>12567</v>
      </c>
      <c r="D7329" s="55" t="s">
        <v>12568</v>
      </c>
    </row>
    <row r="7330" ht="14.25" customHeight="1">
      <c r="A7330" s="55" t="s">
        <v>10016</v>
      </c>
      <c r="B7330" s="55" t="s">
        <v>41</v>
      </c>
      <c r="C7330" s="55" t="s">
        <v>9826</v>
      </c>
      <c r="D7330" s="55" t="s">
        <v>11328</v>
      </c>
    </row>
    <row r="7331" ht="14.25" customHeight="1">
      <c r="A7331" s="55" t="s">
        <v>10016</v>
      </c>
      <c r="B7331" s="55" t="s">
        <v>41</v>
      </c>
      <c r="C7331" s="55" t="s">
        <v>11329</v>
      </c>
      <c r="D7331" s="55" t="s">
        <v>11330</v>
      </c>
    </row>
    <row r="7332" ht="14.25" customHeight="1">
      <c r="A7332" s="55" t="s">
        <v>10016</v>
      </c>
      <c r="B7332" s="55" t="s">
        <v>41</v>
      </c>
      <c r="C7332" s="55" t="s">
        <v>6057</v>
      </c>
      <c r="D7332" s="55" t="s">
        <v>9216</v>
      </c>
    </row>
    <row r="7333" ht="14.25" customHeight="1">
      <c r="A7333" s="55" t="s">
        <v>10016</v>
      </c>
      <c r="B7333" s="55" t="s">
        <v>41</v>
      </c>
      <c r="C7333" s="55" t="s">
        <v>12706</v>
      </c>
      <c r="D7333" s="55" t="s">
        <v>9216</v>
      </c>
    </row>
    <row r="7334" ht="14.25" customHeight="1">
      <c r="A7334" s="55" t="s">
        <v>10016</v>
      </c>
      <c r="B7334" s="55" t="s">
        <v>41</v>
      </c>
      <c r="C7334" s="55" t="s">
        <v>13490</v>
      </c>
      <c r="D7334" s="55" t="s">
        <v>13491</v>
      </c>
    </row>
    <row r="7335" ht="14.25" customHeight="1">
      <c r="A7335" s="55" t="s">
        <v>10016</v>
      </c>
      <c r="B7335" s="55" t="s">
        <v>41</v>
      </c>
      <c r="C7335" s="55" t="s">
        <v>9982</v>
      </c>
      <c r="D7335" s="55" t="s">
        <v>9055</v>
      </c>
    </row>
    <row r="7336" ht="14.25" customHeight="1">
      <c r="A7336" s="55" t="s">
        <v>10016</v>
      </c>
      <c r="B7336" s="55" t="s">
        <v>41</v>
      </c>
      <c r="C7336" s="55" t="s">
        <v>11331</v>
      </c>
      <c r="D7336" s="55" t="s">
        <v>11332</v>
      </c>
    </row>
    <row r="7337" ht="14.25" customHeight="1">
      <c r="A7337" s="55" t="s">
        <v>10016</v>
      </c>
      <c r="B7337" s="55" t="s">
        <v>41</v>
      </c>
      <c r="C7337" s="55" t="s">
        <v>13492</v>
      </c>
      <c r="D7337" s="55" t="s">
        <v>13493</v>
      </c>
    </row>
    <row r="7338" ht="14.25" customHeight="1">
      <c r="A7338" s="55" t="s">
        <v>10016</v>
      </c>
      <c r="B7338" s="55" t="s">
        <v>41</v>
      </c>
      <c r="C7338" s="55" t="s">
        <v>10017</v>
      </c>
      <c r="D7338" s="55" t="s">
        <v>9404</v>
      </c>
    </row>
    <row r="7339" ht="14.25" customHeight="1">
      <c r="A7339" s="55" t="s">
        <v>10016</v>
      </c>
      <c r="B7339" s="55" t="s">
        <v>41</v>
      </c>
      <c r="C7339" s="55" t="s">
        <v>9133</v>
      </c>
      <c r="D7339" s="55" t="s">
        <v>11333</v>
      </c>
    </row>
    <row r="7340" ht="14.25" customHeight="1">
      <c r="A7340" s="55" t="s">
        <v>10016</v>
      </c>
      <c r="B7340" s="55" t="s">
        <v>41</v>
      </c>
      <c r="C7340" s="55" t="s">
        <v>12569</v>
      </c>
      <c r="D7340" s="55" t="s">
        <v>12570</v>
      </c>
    </row>
    <row r="7341" ht="14.25" customHeight="1">
      <c r="A7341" s="55" t="s">
        <v>10016</v>
      </c>
      <c r="B7341" s="55" t="s">
        <v>41</v>
      </c>
      <c r="C7341" s="55" t="s">
        <v>13494</v>
      </c>
      <c r="D7341" s="55" t="s">
        <v>9055</v>
      </c>
    </row>
    <row r="7342" ht="14.25" customHeight="1">
      <c r="A7342" s="55" t="s">
        <v>10016</v>
      </c>
      <c r="B7342" s="55" t="s">
        <v>41</v>
      </c>
      <c r="C7342" s="55" t="s">
        <v>3313</v>
      </c>
      <c r="D7342" s="55" t="s">
        <v>9055</v>
      </c>
    </row>
    <row r="7343" ht="14.25" customHeight="1">
      <c r="A7343" s="55" t="s">
        <v>10016</v>
      </c>
      <c r="B7343" s="55" t="s">
        <v>41</v>
      </c>
      <c r="C7343" s="55" t="s">
        <v>9575</v>
      </c>
      <c r="D7343" s="55" t="s">
        <v>12571</v>
      </c>
    </row>
    <row r="7344" ht="14.25" customHeight="1">
      <c r="A7344" s="55" t="s">
        <v>10016</v>
      </c>
      <c r="B7344" s="55" t="s">
        <v>41</v>
      </c>
      <c r="C7344" s="55" t="s">
        <v>12607</v>
      </c>
      <c r="D7344" s="55" t="s">
        <v>9526</v>
      </c>
    </row>
    <row r="7345" ht="14.25" customHeight="1">
      <c r="A7345" s="55" t="s">
        <v>10016</v>
      </c>
      <c r="B7345" s="55" t="s">
        <v>41</v>
      </c>
      <c r="C7345" s="55" t="s">
        <v>153</v>
      </c>
      <c r="D7345" s="55" t="s">
        <v>12572</v>
      </c>
    </row>
    <row r="7346" ht="14.25" customHeight="1">
      <c r="A7346" s="55" t="s">
        <v>10016</v>
      </c>
      <c r="B7346" s="55" t="s">
        <v>41</v>
      </c>
      <c r="C7346" s="55" t="s">
        <v>13495</v>
      </c>
      <c r="D7346" s="55" t="s">
        <v>9875</v>
      </c>
    </row>
    <row r="7347" ht="14.25" customHeight="1">
      <c r="A7347" s="55" t="s">
        <v>10016</v>
      </c>
      <c r="B7347" s="55" t="s">
        <v>41</v>
      </c>
      <c r="C7347" s="55" t="s">
        <v>3517</v>
      </c>
      <c r="D7347" s="55" t="s">
        <v>9445</v>
      </c>
    </row>
    <row r="7348" ht="14.25" customHeight="1">
      <c r="A7348" s="55" t="s">
        <v>10016</v>
      </c>
      <c r="B7348" s="55" t="s">
        <v>41</v>
      </c>
      <c r="C7348" s="55" t="s">
        <v>312</v>
      </c>
      <c r="D7348" s="55" t="s">
        <v>11334</v>
      </c>
    </row>
    <row r="7349" ht="14.25" customHeight="1">
      <c r="A7349" s="55" t="s">
        <v>10016</v>
      </c>
      <c r="B7349" s="55" t="s">
        <v>41</v>
      </c>
      <c r="C7349" s="55" t="s">
        <v>3566</v>
      </c>
      <c r="D7349" s="55" t="s">
        <v>11530</v>
      </c>
    </row>
    <row r="7350" ht="14.25" customHeight="1">
      <c r="A7350" s="55" t="s">
        <v>10016</v>
      </c>
      <c r="B7350" s="55" t="s">
        <v>41</v>
      </c>
      <c r="C7350" s="55" t="s">
        <v>3566</v>
      </c>
      <c r="D7350" s="55" t="s">
        <v>8968</v>
      </c>
    </row>
    <row r="7351" ht="14.25" customHeight="1">
      <c r="A7351" s="55" t="s">
        <v>10016</v>
      </c>
      <c r="B7351" s="55" t="s">
        <v>41</v>
      </c>
      <c r="C7351" s="55" t="s">
        <v>3566</v>
      </c>
      <c r="D7351" s="55" t="s">
        <v>11335</v>
      </c>
    </row>
    <row r="7352" ht="14.25" customHeight="1">
      <c r="A7352" s="55" t="s">
        <v>10016</v>
      </c>
      <c r="B7352" s="55" t="s">
        <v>41</v>
      </c>
      <c r="C7352" s="55" t="s">
        <v>3566</v>
      </c>
      <c r="D7352" s="55" t="s">
        <v>12570</v>
      </c>
    </row>
    <row r="7353" ht="14.25" customHeight="1">
      <c r="A7353" s="55" t="s">
        <v>10016</v>
      </c>
      <c r="B7353" s="55" t="s">
        <v>41</v>
      </c>
      <c r="C7353" s="55" t="s">
        <v>3566</v>
      </c>
      <c r="D7353" s="55" t="s">
        <v>9540</v>
      </c>
    </row>
    <row r="7354" ht="14.25" customHeight="1">
      <c r="A7354" s="55" t="s">
        <v>10016</v>
      </c>
      <c r="B7354" s="55" t="s">
        <v>41</v>
      </c>
      <c r="C7354" s="55" t="s">
        <v>12634</v>
      </c>
      <c r="D7354" s="55" t="s">
        <v>13496</v>
      </c>
    </row>
    <row r="7355" ht="14.25" customHeight="1">
      <c r="A7355" s="55" t="s">
        <v>10016</v>
      </c>
      <c r="B7355" s="55" t="s">
        <v>41</v>
      </c>
      <c r="C7355" s="55" t="s">
        <v>9804</v>
      </c>
      <c r="D7355" s="55" t="s">
        <v>13497</v>
      </c>
    </row>
    <row r="7356" ht="14.25" customHeight="1">
      <c r="A7356" s="55" t="s">
        <v>10016</v>
      </c>
      <c r="B7356" s="55" t="s">
        <v>41</v>
      </c>
      <c r="C7356" s="55" t="s">
        <v>9804</v>
      </c>
      <c r="D7356" s="55" t="s">
        <v>13498</v>
      </c>
    </row>
    <row r="7357" ht="14.25" customHeight="1">
      <c r="A7357" s="55" t="s">
        <v>10016</v>
      </c>
      <c r="B7357" s="55" t="s">
        <v>41</v>
      </c>
      <c r="C7357" s="55" t="s">
        <v>9804</v>
      </c>
      <c r="D7357" s="55" t="s">
        <v>8968</v>
      </c>
    </row>
    <row r="7358" ht="14.25" customHeight="1">
      <c r="A7358" s="55" t="s">
        <v>10016</v>
      </c>
      <c r="B7358" s="55" t="s">
        <v>41</v>
      </c>
      <c r="C7358" s="55" t="s">
        <v>9804</v>
      </c>
      <c r="D7358" s="55" t="s">
        <v>10018</v>
      </c>
    </row>
    <row r="7359" ht="14.25" customHeight="1">
      <c r="A7359" s="55" t="s">
        <v>10016</v>
      </c>
      <c r="B7359" s="55" t="s">
        <v>41</v>
      </c>
      <c r="C7359" s="55" t="s">
        <v>9804</v>
      </c>
      <c r="D7359" s="55" t="s">
        <v>10019</v>
      </c>
    </row>
    <row r="7360" ht="14.25" customHeight="1">
      <c r="A7360" s="55" t="s">
        <v>10016</v>
      </c>
      <c r="B7360" s="55" t="s">
        <v>41</v>
      </c>
      <c r="C7360" s="55" t="s">
        <v>9804</v>
      </c>
      <c r="D7360" s="55" t="s">
        <v>9526</v>
      </c>
    </row>
    <row r="7361" ht="14.25" customHeight="1">
      <c r="A7361" s="55" t="s">
        <v>10016</v>
      </c>
      <c r="B7361" s="55" t="s">
        <v>41</v>
      </c>
      <c r="C7361" s="55" t="s">
        <v>9804</v>
      </c>
      <c r="D7361" s="55" t="s">
        <v>9216</v>
      </c>
    </row>
    <row r="7362" ht="14.25" customHeight="1">
      <c r="A7362" s="55" t="s">
        <v>10016</v>
      </c>
      <c r="B7362" s="55" t="s">
        <v>41</v>
      </c>
      <c r="C7362" s="55" t="s">
        <v>3596</v>
      </c>
      <c r="D7362" s="55" t="s">
        <v>11336</v>
      </c>
    </row>
    <row r="7363" ht="14.25" customHeight="1">
      <c r="A7363" s="55" t="s">
        <v>10016</v>
      </c>
      <c r="B7363" s="55" t="s">
        <v>41</v>
      </c>
      <c r="C7363" s="55" t="s">
        <v>3596</v>
      </c>
      <c r="D7363" s="55" t="s">
        <v>11337</v>
      </c>
    </row>
    <row r="7364" ht="14.25" customHeight="1">
      <c r="A7364" s="55" t="s">
        <v>10016</v>
      </c>
      <c r="B7364" s="55" t="s">
        <v>41</v>
      </c>
      <c r="C7364" s="55" t="s">
        <v>3596</v>
      </c>
      <c r="D7364" s="55" t="s">
        <v>8968</v>
      </c>
    </row>
    <row r="7365" ht="14.25" customHeight="1">
      <c r="A7365" s="55" t="s">
        <v>10016</v>
      </c>
      <c r="B7365" s="55" t="s">
        <v>41</v>
      </c>
      <c r="C7365" s="55" t="s">
        <v>3596</v>
      </c>
      <c r="D7365" s="55" t="s">
        <v>11338</v>
      </c>
    </row>
    <row r="7366" ht="14.25" customHeight="1">
      <c r="A7366" s="55" t="s">
        <v>10016</v>
      </c>
      <c r="B7366" s="55" t="s">
        <v>41</v>
      </c>
      <c r="C7366" s="55" t="s">
        <v>3596</v>
      </c>
      <c r="D7366" s="55" t="s">
        <v>11339</v>
      </c>
    </row>
    <row r="7367" ht="14.25" customHeight="1">
      <c r="A7367" s="55" t="s">
        <v>10016</v>
      </c>
      <c r="B7367" s="55" t="s">
        <v>41</v>
      </c>
      <c r="C7367" s="55" t="s">
        <v>3596</v>
      </c>
      <c r="D7367" s="55" t="s">
        <v>11340</v>
      </c>
    </row>
    <row r="7368" ht="14.25" customHeight="1">
      <c r="A7368" s="55" t="s">
        <v>10016</v>
      </c>
      <c r="B7368" s="55" t="s">
        <v>41</v>
      </c>
      <c r="C7368" s="55" t="s">
        <v>3596</v>
      </c>
      <c r="D7368" s="55" t="s">
        <v>12573</v>
      </c>
    </row>
    <row r="7369" ht="14.25" customHeight="1">
      <c r="A7369" s="55" t="s">
        <v>10016</v>
      </c>
      <c r="B7369" s="55" t="s">
        <v>41</v>
      </c>
      <c r="C7369" s="55" t="s">
        <v>3596</v>
      </c>
      <c r="D7369" s="55" t="s">
        <v>11341</v>
      </c>
    </row>
    <row r="7370" ht="14.25" customHeight="1">
      <c r="A7370" s="55" t="s">
        <v>10016</v>
      </c>
      <c r="B7370" s="55" t="s">
        <v>41</v>
      </c>
      <c r="C7370" s="55" t="s">
        <v>3596</v>
      </c>
      <c r="D7370" s="55" t="s">
        <v>11342</v>
      </c>
    </row>
    <row r="7371" ht="14.25" customHeight="1">
      <c r="A7371" s="55" t="s">
        <v>10016</v>
      </c>
      <c r="B7371" s="55" t="s">
        <v>41</v>
      </c>
      <c r="C7371" s="55" t="s">
        <v>3596</v>
      </c>
      <c r="D7371" s="55" t="s">
        <v>12574</v>
      </c>
    </row>
    <row r="7372" ht="14.25" customHeight="1">
      <c r="A7372" s="55" t="s">
        <v>10016</v>
      </c>
      <c r="B7372" s="55" t="s">
        <v>41</v>
      </c>
      <c r="C7372" s="55" t="s">
        <v>3596</v>
      </c>
      <c r="D7372" s="55" t="s">
        <v>9526</v>
      </c>
    </row>
    <row r="7373" ht="14.25" customHeight="1">
      <c r="A7373" s="55" t="s">
        <v>10016</v>
      </c>
      <c r="B7373" s="55" t="s">
        <v>41</v>
      </c>
      <c r="C7373" s="55" t="s">
        <v>3596</v>
      </c>
      <c r="D7373" s="55" t="s">
        <v>9216</v>
      </c>
    </row>
    <row r="7374" ht="14.25" customHeight="1">
      <c r="A7374" s="55" t="s">
        <v>10016</v>
      </c>
      <c r="B7374" s="55" t="s">
        <v>41</v>
      </c>
      <c r="C7374" s="55" t="s">
        <v>3596</v>
      </c>
      <c r="D7374" s="55" t="s">
        <v>10576</v>
      </c>
    </row>
    <row r="7375" ht="14.25" customHeight="1">
      <c r="A7375" s="55" t="s">
        <v>10016</v>
      </c>
      <c r="B7375" s="55" t="s">
        <v>41</v>
      </c>
      <c r="C7375" s="55" t="s">
        <v>3596</v>
      </c>
      <c r="D7375" s="55" t="s">
        <v>11343</v>
      </c>
    </row>
    <row r="7376" ht="14.25" customHeight="1">
      <c r="A7376" s="55" t="s">
        <v>10016</v>
      </c>
      <c r="B7376" s="55" t="s">
        <v>41</v>
      </c>
      <c r="C7376" s="55" t="s">
        <v>3596</v>
      </c>
      <c r="D7376" s="55" t="s">
        <v>11344</v>
      </c>
    </row>
    <row r="7377" ht="14.25" customHeight="1">
      <c r="A7377" s="55" t="s">
        <v>10016</v>
      </c>
      <c r="B7377" s="55" t="s">
        <v>41</v>
      </c>
      <c r="C7377" s="55" t="s">
        <v>10766</v>
      </c>
      <c r="D7377" s="55" t="s">
        <v>12575</v>
      </c>
    </row>
    <row r="7378" ht="14.25" customHeight="1">
      <c r="A7378" s="55" t="s">
        <v>10016</v>
      </c>
      <c r="B7378" s="55" t="s">
        <v>41</v>
      </c>
      <c r="C7378" s="55" t="s">
        <v>13499</v>
      </c>
      <c r="D7378" s="55" t="s">
        <v>11596</v>
      </c>
    </row>
    <row r="7379" ht="14.25" customHeight="1">
      <c r="A7379" s="55" t="s">
        <v>10016</v>
      </c>
      <c r="B7379" s="55" t="s">
        <v>41</v>
      </c>
      <c r="C7379" s="55" t="s">
        <v>9562</v>
      </c>
      <c r="D7379" s="55" t="s">
        <v>13500</v>
      </c>
    </row>
    <row r="7380" ht="14.25" customHeight="1">
      <c r="A7380" s="55" t="s">
        <v>10016</v>
      </c>
      <c r="B7380" s="55" t="s">
        <v>41</v>
      </c>
      <c r="C7380" s="55" t="s">
        <v>9562</v>
      </c>
      <c r="D7380" s="55" t="s">
        <v>13501</v>
      </c>
    </row>
    <row r="7381" ht="14.25" customHeight="1">
      <c r="A7381" s="55" t="s">
        <v>10016</v>
      </c>
      <c r="B7381" s="55" t="s">
        <v>41</v>
      </c>
      <c r="C7381" s="55" t="s">
        <v>11601</v>
      </c>
      <c r="D7381" s="55" t="s">
        <v>12286</v>
      </c>
    </row>
    <row r="7382" ht="14.25" customHeight="1">
      <c r="A7382" s="55" t="s">
        <v>10016</v>
      </c>
      <c r="B7382" s="55" t="s">
        <v>41</v>
      </c>
      <c r="C7382" s="55" t="s">
        <v>13502</v>
      </c>
      <c r="D7382" s="55" t="s">
        <v>9073</v>
      </c>
    </row>
    <row r="7383" ht="14.25" customHeight="1">
      <c r="A7383" s="55" t="s">
        <v>10016</v>
      </c>
      <c r="B7383" s="55" t="s">
        <v>41</v>
      </c>
      <c r="C7383" s="55" t="s">
        <v>9896</v>
      </c>
      <c r="D7383" s="55" t="s">
        <v>13503</v>
      </c>
    </row>
    <row r="7384" ht="14.25" customHeight="1">
      <c r="A7384" s="55" t="s">
        <v>10016</v>
      </c>
      <c r="B7384" s="55" t="s">
        <v>41</v>
      </c>
      <c r="C7384" s="55" t="s">
        <v>8576</v>
      </c>
      <c r="D7384" s="55" t="s">
        <v>11345</v>
      </c>
    </row>
    <row r="7385" ht="14.25" customHeight="1">
      <c r="A7385" s="55" t="s">
        <v>10016</v>
      </c>
      <c r="B7385" s="55" t="s">
        <v>41</v>
      </c>
      <c r="C7385" s="55" t="s">
        <v>8576</v>
      </c>
      <c r="D7385" s="55" t="s">
        <v>12570</v>
      </c>
    </row>
    <row r="7386" ht="14.25" customHeight="1">
      <c r="A7386" s="55" t="s">
        <v>10016</v>
      </c>
      <c r="B7386" s="55" t="s">
        <v>41</v>
      </c>
      <c r="C7386" s="55" t="s">
        <v>8576</v>
      </c>
      <c r="D7386" s="55" t="s">
        <v>11346</v>
      </c>
    </row>
    <row r="7387" ht="14.25" customHeight="1">
      <c r="A7387" s="55" t="s">
        <v>10016</v>
      </c>
      <c r="B7387" s="55" t="s">
        <v>41</v>
      </c>
      <c r="C7387" s="55" t="s">
        <v>13504</v>
      </c>
      <c r="D7387" s="55" t="s">
        <v>13505</v>
      </c>
    </row>
    <row r="7388" ht="14.25" customHeight="1">
      <c r="A7388" s="55" t="s">
        <v>10016</v>
      </c>
      <c r="B7388" s="55" t="s">
        <v>41</v>
      </c>
      <c r="C7388" s="55" t="s">
        <v>316</v>
      </c>
      <c r="D7388" s="55" t="s">
        <v>8968</v>
      </c>
    </row>
    <row r="7389" ht="14.25" customHeight="1">
      <c r="A7389" s="55" t="s">
        <v>10016</v>
      </c>
      <c r="B7389" s="55" t="s">
        <v>41</v>
      </c>
      <c r="C7389" s="55" t="s">
        <v>10020</v>
      </c>
      <c r="D7389" s="55" t="s">
        <v>9216</v>
      </c>
    </row>
    <row r="7390" ht="14.25" customHeight="1">
      <c r="A7390" s="55" t="s">
        <v>10016</v>
      </c>
      <c r="B7390" s="55" t="s">
        <v>41</v>
      </c>
      <c r="C7390" s="55" t="s">
        <v>6985</v>
      </c>
      <c r="D7390" s="55" t="s">
        <v>11059</v>
      </c>
    </row>
    <row r="7391" ht="14.25" customHeight="1">
      <c r="A7391" s="55" t="s">
        <v>10016</v>
      </c>
      <c r="B7391" s="55" t="s">
        <v>41</v>
      </c>
      <c r="C7391" s="55" t="s">
        <v>11306</v>
      </c>
      <c r="D7391" s="55" t="s">
        <v>10451</v>
      </c>
    </row>
    <row r="7392" ht="14.25" customHeight="1">
      <c r="A7392" s="55" t="s">
        <v>10016</v>
      </c>
      <c r="B7392" s="55" t="s">
        <v>41</v>
      </c>
      <c r="C7392" s="55" t="s">
        <v>11347</v>
      </c>
      <c r="D7392" s="55" t="s">
        <v>11348</v>
      </c>
    </row>
    <row r="7393" ht="14.25" customHeight="1">
      <c r="A7393" s="55" t="s">
        <v>10016</v>
      </c>
      <c r="B7393" s="55" t="s">
        <v>41</v>
      </c>
      <c r="C7393" s="55" t="s">
        <v>9405</v>
      </c>
      <c r="D7393" s="55" t="s">
        <v>11349</v>
      </c>
    </row>
    <row r="7394" ht="14.25" customHeight="1">
      <c r="A7394" s="55" t="s">
        <v>10016</v>
      </c>
      <c r="B7394" s="55" t="s">
        <v>41</v>
      </c>
      <c r="C7394" s="55" t="s">
        <v>13506</v>
      </c>
      <c r="D7394" s="55" t="s">
        <v>13507</v>
      </c>
    </row>
    <row r="7395" ht="14.25" customHeight="1">
      <c r="A7395" s="55" t="s">
        <v>10016</v>
      </c>
      <c r="B7395" s="55" t="s">
        <v>41</v>
      </c>
      <c r="C7395" s="55" t="s">
        <v>7074</v>
      </c>
      <c r="D7395" s="55" t="s">
        <v>12576</v>
      </c>
    </row>
    <row r="7396" ht="14.25" customHeight="1">
      <c r="A7396" s="55" t="s">
        <v>10016</v>
      </c>
      <c r="B7396" s="55" t="s">
        <v>41</v>
      </c>
      <c r="C7396" s="55" t="s">
        <v>10021</v>
      </c>
      <c r="D7396" s="55" t="s">
        <v>9526</v>
      </c>
    </row>
    <row r="7397" ht="14.25" customHeight="1">
      <c r="A7397" s="55" t="s">
        <v>10016</v>
      </c>
      <c r="B7397" s="55" t="s">
        <v>41</v>
      </c>
      <c r="C7397" s="55" t="s">
        <v>13508</v>
      </c>
      <c r="D7397" s="55" t="s">
        <v>9216</v>
      </c>
    </row>
    <row r="7398" ht="14.25" customHeight="1">
      <c r="A7398" s="55" t="s">
        <v>10016</v>
      </c>
      <c r="B7398" s="55" t="s">
        <v>41</v>
      </c>
      <c r="C7398" s="55" t="s">
        <v>255</v>
      </c>
      <c r="D7398" s="55" t="s">
        <v>9034</v>
      </c>
    </row>
    <row r="7399" ht="14.25" customHeight="1">
      <c r="A7399" s="55" t="s">
        <v>10016</v>
      </c>
      <c r="B7399" s="55" t="s">
        <v>41</v>
      </c>
      <c r="C7399" s="55" t="s">
        <v>10022</v>
      </c>
      <c r="D7399" s="55" t="s">
        <v>10023</v>
      </c>
    </row>
    <row r="7400" ht="14.25" customHeight="1">
      <c r="A7400" s="55" t="s">
        <v>10016</v>
      </c>
      <c r="B7400" s="55" t="s">
        <v>41</v>
      </c>
      <c r="C7400" s="55" t="s">
        <v>11042</v>
      </c>
      <c r="D7400" s="55" t="s">
        <v>12570</v>
      </c>
    </row>
    <row r="7401" ht="14.25" customHeight="1">
      <c r="A7401" s="55" t="s">
        <v>10016</v>
      </c>
      <c r="B7401" s="55" t="s">
        <v>41</v>
      </c>
      <c r="C7401" s="55" t="s">
        <v>274</v>
      </c>
      <c r="D7401" s="55" t="s">
        <v>12577</v>
      </c>
    </row>
    <row r="7402" ht="14.25" customHeight="1">
      <c r="A7402" s="55" t="s">
        <v>10016</v>
      </c>
      <c r="B7402" s="55" t="s">
        <v>41</v>
      </c>
      <c r="C7402" s="55" t="s">
        <v>9165</v>
      </c>
      <c r="D7402" s="55" t="s">
        <v>11350</v>
      </c>
    </row>
    <row r="7403" ht="14.25" customHeight="1">
      <c r="A7403" s="55" t="s">
        <v>10016</v>
      </c>
      <c r="B7403" s="55" t="s">
        <v>41</v>
      </c>
      <c r="C7403" s="55" t="s">
        <v>285</v>
      </c>
      <c r="D7403" s="55" t="s">
        <v>12578</v>
      </c>
    </row>
    <row r="7404" ht="14.25" customHeight="1">
      <c r="A7404" s="55" t="s">
        <v>10024</v>
      </c>
      <c r="B7404" s="55" t="s">
        <v>40</v>
      </c>
      <c r="C7404" s="55" t="s">
        <v>9034</v>
      </c>
      <c r="D7404" s="55" t="s">
        <v>12579</v>
      </c>
    </row>
    <row r="7405" ht="14.25" customHeight="1">
      <c r="A7405" s="55" t="s">
        <v>10024</v>
      </c>
      <c r="B7405" s="55" t="s">
        <v>40</v>
      </c>
      <c r="C7405" s="55" t="s">
        <v>9034</v>
      </c>
      <c r="D7405" s="55" t="s">
        <v>11852</v>
      </c>
    </row>
    <row r="7406" ht="14.25" customHeight="1">
      <c r="A7406" s="55" t="s">
        <v>10024</v>
      </c>
      <c r="B7406" s="55" t="s">
        <v>40</v>
      </c>
      <c r="C7406" s="55" t="s">
        <v>9034</v>
      </c>
      <c r="D7406" s="55" t="s">
        <v>9352</v>
      </c>
    </row>
    <row r="7407" ht="14.25" customHeight="1">
      <c r="A7407" s="55" t="s">
        <v>10024</v>
      </c>
      <c r="B7407" s="55" t="s">
        <v>40</v>
      </c>
      <c r="C7407" s="55" t="s">
        <v>11351</v>
      </c>
      <c r="D7407" s="55" t="s">
        <v>9034</v>
      </c>
    </row>
    <row r="7408" ht="14.25" customHeight="1">
      <c r="A7408" s="55" t="s">
        <v>10024</v>
      </c>
      <c r="B7408" s="55" t="s">
        <v>40</v>
      </c>
      <c r="C7408" s="55" t="s">
        <v>10025</v>
      </c>
      <c r="D7408" s="55" t="s">
        <v>10026</v>
      </c>
    </row>
    <row r="7409" ht="14.25" customHeight="1">
      <c r="A7409" s="55" t="s">
        <v>10024</v>
      </c>
      <c r="B7409" s="55" t="s">
        <v>40</v>
      </c>
      <c r="C7409" s="55" t="s">
        <v>9257</v>
      </c>
      <c r="D7409" s="55" t="s">
        <v>10027</v>
      </c>
    </row>
    <row r="7410" ht="14.25" customHeight="1">
      <c r="A7410" s="55" t="s">
        <v>10024</v>
      </c>
      <c r="B7410" s="55" t="s">
        <v>40</v>
      </c>
      <c r="C7410" s="55" t="s">
        <v>9257</v>
      </c>
      <c r="D7410" s="55" t="s">
        <v>10028</v>
      </c>
    </row>
    <row r="7411" ht="14.25" customHeight="1">
      <c r="A7411" s="55" t="s">
        <v>10024</v>
      </c>
      <c r="B7411" s="55" t="s">
        <v>40</v>
      </c>
      <c r="C7411" s="55" t="s">
        <v>10550</v>
      </c>
      <c r="D7411" s="55" t="s">
        <v>10551</v>
      </c>
    </row>
    <row r="7412" ht="14.25" customHeight="1">
      <c r="A7412" s="55" t="s">
        <v>10024</v>
      </c>
      <c r="B7412" s="55" t="s">
        <v>40</v>
      </c>
      <c r="C7412" s="55" t="s">
        <v>11684</v>
      </c>
      <c r="D7412" s="55" t="s">
        <v>11853</v>
      </c>
    </row>
    <row r="7413" ht="14.25" customHeight="1">
      <c r="A7413" s="55" t="s">
        <v>10024</v>
      </c>
      <c r="B7413" s="55" t="s">
        <v>40</v>
      </c>
      <c r="C7413" s="55" t="s">
        <v>9313</v>
      </c>
      <c r="D7413" s="55" t="s">
        <v>10552</v>
      </c>
    </row>
    <row r="7414" ht="14.25" customHeight="1">
      <c r="A7414" s="55" t="s">
        <v>10024</v>
      </c>
      <c r="B7414" s="55" t="s">
        <v>40</v>
      </c>
      <c r="C7414" s="55" t="s">
        <v>10000</v>
      </c>
      <c r="D7414" s="55" t="s">
        <v>9345</v>
      </c>
    </row>
    <row r="7415" ht="14.25" customHeight="1">
      <c r="A7415" s="55" t="s">
        <v>10024</v>
      </c>
      <c r="B7415" s="55" t="s">
        <v>40</v>
      </c>
      <c r="C7415" s="55" t="s">
        <v>14039</v>
      </c>
      <c r="D7415" s="55" t="s">
        <v>12119</v>
      </c>
    </row>
    <row r="7416" ht="14.25" customHeight="1">
      <c r="A7416" s="55" t="s">
        <v>10024</v>
      </c>
      <c r="B7416" s="55" t="s">
        <v>40</v>
      </c>
      <c r="C7416" s="55" t="s">
        <v>11854</v>
      </c>
      <c r="D7416" s="55" t="s">
        <v>11855</v>
      </c>
    </row>
    <row r="7417" ht="14.25" customHeight="1">
      <c r="A7417" s="55" t="s">
        <v>10024</v>
      </c>
      <c r="B7417" s="55" t="s">
        <v>40</v>
      </c>
      <c r="C7417" s="55" t="s">
        <v>2669</v>
      </c>
      <c r="D7417" s="55" t="s">
        <v>10029</v>
      </c>
    </row>
    <row r="7418" ht="14.25" customHeight="1">
      <c r="A7418" s="55" t="s">
        <v>10024</v>
      </c>
      <c r="B7418" s="55" t="s">
        <v>40</v>
      </c>
      <c r="C7418" s="55" t="s">
        <v>10030</v>
      </c>
      <c r="D7418" s="55" t="s">
        <v>11856</v>
      </c>
    </row>
    <row r="7419" ht="14.25" customHeight="1">
      <c r="A7419" s="55" t="s">
        <v>10024</v>
      </c>
      <c r="B7419" s="55" t="s">
        <v>40</v>
      </c>
      <c r="C7419" s="55" t="s">
        <v>10030</v>
      </c>
      <c r="D7419" s="55" t="s">
        <v>10031</v>
      </c>
    </row>
    <row r="7420" ht="14.25" customHeight="1">
      <c r="A7420" s="55" t="s">
        <v>10024</v>
      </c>
      <c r="B7420" s="55" t="s">
        <v>40</v>
      </c>
      <c r="C7420" s="55" t="s">
        <v>11857</v>
      </c>
      <c r="D7420" s="55" t="s">
        <v>10863</v>
      </c>
    </row>
    <row r="7421" ht="14.25" customHeight="1">
      <c r="A7421" s="55" t="s">
        <v>10024</v>
      </c>
      <c r="B7421" s="55" t="s">
        <v>40</v>
      </c>
      <c r="C7421" s="55" t="s">
        <v>10553</v>
      </c>
      <c r="D7421" s="55" t="s">
        <v>10554</v>
      </c>
    </row>
    <row r="7422" ht="14.25" customHeight="1">
      <c r="A7422" s="55" t="s">
        <v>10024</v>
      </c>
      <c r="B7422" s="55" t="s">
        <v>40</v>
      </c>
      <c r="C7422" s="55" t="s">
        <v>10555</v>
      </c>
      <c r="D7422" s="55" t="s">
        <v>10556</v>
      </c>
    </row>
    <row r="7423" ht="14.25" customHeight="1">
      <c r="A7423" s="55" t="s">
        <v>10024</v>
      </c>
      <c r="B7423" s="55" t="s">
        <v>40</v>
      </c>
      <c r="C7423" s="55" t="s">
        <v>12580</v>
      </c>
      <c r="D7423" s="55" t="s">
        <v>12581</v>
      </c>
    </row>
    <row r="7424" ht="14.25" customHeight="1">
      <c r="A7424" s="55" t="s">
        <v>10024</v>
      </c>
      <c r="B7424" s="55" t="s">
        <v>40</v>
      </c>
      <c r="C7424" s="55" t="s">
        <v>916</v>
      </c>
      <c r="D7424" s="55" t="s">
        <v>9236</v>
      </c>
    </row>
    <row r="7425" ht="14.25" customHeight="1">
      <c r="A7425" s="55" t="s">
        <v>10024</v>
      </c>
      <c r="B7425" s="55" t="s">
        <v>40</v>
      </c>
      <c r="C7425" s="55" t="s">
        <v>9630</v>
      </c>
      <c r="D7425" s="55" t="s">
        <v>9034</v>
      </c>
    </row>
    <row r="7426" ht="14.25" customHeight="1">
      <c r="A7426" s="55" t="s">
        <v>10024</v>
      </c>
      <c r="B7426" s="55" t="s">
        <v>40</v>
      </c>
      <c r="C7426" s="55" t="s">
        <v>9630</v>
      </c>
      <c r="D7426" s="55" t="s">
        <v>9631</v>
      </c>
    </row>
    <row r="7427" ht="14.25" customHeight="1">
      <c r="A7427" s="55" t="s">
        <v>10024</v>
      </c>
      <c r="B7427" s="55" t="s">
        <v>40</v>
      </c>
      <c r="C7427" s="55" t="s">
        <v>12582</v>
      </c>
      <c r="D7427" s="55" t="s">
        <v>12583</v>
      </c>
    </row>
    <row r="7428" ht="14.25" customHeight="1">
      <c r="A7428" s="55" t="s">
        <v>10024</v>
      </c>
      <c r="B7428" s="55" t="s">
        <v>40</v>
      </c>
      <c r="C7428" s="55" t="s">
        <v>10557</v>
      </c>
      <c r="D7428" s="55" t="s">
        <v>10558</v>
      </c>
    </row>
    <row r="7429" ht="14.25" customHeight="1">
      <c r="A7429" s="55" t="s">
        <v>10024</v>
      </c>
      <c r="B7429" s="55" t="s">
        <v>40</v>
      </c>
      <c r="C7429" s="55" t="s">
        <v>10032</v>
      </c>
      <c r="D7429" s="55" t="s">
        <v>10033</v>
      </c>
    </row>
    <row r="7430" ht="14.25" customHeight="1">
      <c r="A7430" s="55" t="s">
        <v>10024</v>
      </c>
      <c r="B7430" s="55" t="s">
        <v>40</v>
      </c>
      <c r="C7430" s="55" t="s">
        <v>10034</v>
      </c>
      <c r="D7430" s="55" t="s">
        <v>10035</v>
      </c>
    </row>
    <row r="7431" ht="14.25" customHeight="1">
      <c r="A7431" s="55" t="s">
        <v>10024</v>
      </c>
      <c r="B7431" s="55" t="s">
        <v>40</v>
      </c>
      <c r="C7431" s="55" t="s">
        <v>130</v>
      </c>
      <c r="D7431" s="55" t="s">
        <v>11858</v>
      </c>
    </row>
    <row r="7432" ht="14.25" customHeight="1">
      <c r="A7432" s="55" t="s">
        <v>10024</v>
      </c>
      <c r="B7432" s="55" t="s">
        <v>40</v>
      </c>
      <c r="C7432" s="55" t="s">
        <v>11352</v>
      </c>
      <c r="D7432" s="55" t="s">
        <v>11353</v>
      </c>
    </row>
    <row r="7433" ht="14.25" customHeight="1">
      <c r="A7433" s="55" t="s">
        <v>10024</v>
      </c>
      <c r="B7433" s="55" t="s">
        <v>40</v>
      </c>
      <c r="C7433" s="55" t="s">
        <v>9374</v>
      </c>
      <c r="D7433" s="55" t="s">
        <v>10036</v>
      </c>
    </row>
    <row r="7434" ht="14.25" customHeight="1">
      <c r="A7434" s="55" t="s">
        <v>10024</v>
      </c>
      <c r="B7434" s="55" t="s">
        <v>40</v>
      </c>
      <c r="C7434" s="55" t="s">
        <v>153</v>
      </c>
      <c r="D7434" s="55" t="s">
        <v>9654</v>
      </c>
    </row>
    <row r="7435" ht="14.25" customHeight="1">
      <c r="A7435" s="55" t="s">
        <v>10024</v>
      </c>
      <c r="B7435" s="55" t="s">
        <v>40</v>
      </c>
      <c r="C7435" s="55" t="s">
        <v>12584</v>
      </c>
      <c r="D7435" s="55" t="s">
        <v>8968</v>
      </c>
    </row>
    <row r="7436" ht="14.25" customHeight="1">
      <c r="A7436" s="55" t="s">
        <v>10024</v>
      </c>
      <c r="B7436" s="55" t="s">
        <v>40</v>
      </c>
      <c r="C7436" s="55" t="s">
        <v>11354</v>
      </c>
      <c r="D7436" s="55" t="s">
        <v>8968</v>
      </c>
    </row>
    <row r="7437" ht="14.25" customHeight="1">
      <c r="A7437" s="55" t="s">
        <v>10024</v>
      </c>
      <c r="B7437" s="55" t="s">
        <v>40</v>
      </c>
      <c r="C7437" s="55" t="s">
        <v>10037</v>
      </c>
      <c r="D7437" s="55" t="s">
        <v>10038</v>
      </c>
    </row>
    <row r="7438" ht="14.25" customHeight="1">
      <c r="A7438" s="55" t="s">
        <v>10024</v>
      </c>
      <c r="B7438" s="55" t="s">
        <v>40</v>
      </c>
      <c r="C7438" s="55" t="s">
        <v>10039</v>
      </c>
      <c r="D7438" s="55" t="s">
        <v>9034</v>
      </c>
    </row>
    <row r="7439" ht="14.25" customHeight="1">
      <c r="A7439" s="55" t="s">
        <v>10024</v>
      </c>
      <c r="B7439" s="55" t="s">
        <v>40</v>
      </c>
      <c r="C7439" s="55" t="s">
        <v>12585</v>
      </c>
      <c r="D7439" s="55" t="s">
        <v>10806</v>
      </c>
    </row>
    <row r="7440" ht="14.25" customHeight="1">
      <c r="A7440" s="55" t="s">
        <v>10024</v>
      </c>
      <c r="B7440" s="55" t="s">
        <v>40</v>
      </c>
      <c r="C7440" s="55" t="s">
        <v>6628</v>
      </c>
      <c r="D7440" s="55" t="s">
        <v>10040</v>
      </c>
    </row>
    <row r="7441" ht="14.25" customHeight="1">
      <c r="A7441" s="55" t="s">
        <v>10024</v>
      </c>
      <c r="B7441" s="55" t="s">
        <v>40</v>
      </c>
      <c r="C7441" s="55" t="s">
        <v>10559</v>
      </c>
      <c r="D7441" s="55" t="s">
        <v>10560</v>
      </c>
    </row>
    <row r="7442" ht="14.25" customHeight="1">
      <c r="A7442" s="55" t="s">
        <v>10024</v>
      </c>
      <c r="B7442" s="55" t="s">
        <v>40</v>
      </c>
      <c r="C7442" s="55" t="s">
        <v>11355</v>
      </c>
      <c r="D7442" s="55" t="s">
        <v>11356</v>
      </c>
    </row>
    <row r="7443" ht="14.25" customHeight="1">
      <c r="A7443" s="55" t="s">
        <v>10024</v>
      </c>
      <c r="B7443" s="55" t="s">
        <v>40</v>
      </c>
      <c r="C7443" s="55" t="s">
        <v>10041</v>
      </c>
      <c r="D7443" s="55" t="s">
        <v>9216</v>
      </c>
    </row>
    <row r="7444" ht="14.25" customHeight="1">
      <c r="A7444" s="55" t="s">
        <v>10024</v>
      </c>
      <c r="B7444" s="55" t="s">
        <v>40</v>
      </c>
      <c r="C7444" s="55" t="s">
        <v>10561</v>
      </c>
      <c r="D7444" s="55" t="s">
        <v>9345</v>
      </c>
    </row>
    <row r="7445" ht="14.25" customHeight="1">
      <c r="A7445" s="55" t="s">
        <v>10024</v>
      </c>
      <c r="B7445" s="55" t="s">
        <v>40</v>
      </c>
      <c r="C7445" s="55" t="s">
        <v>11357</v>
      </c>
      <c r="D7445" s="55" t="s">
        <v>11358</v>
      </c>
    </row>
    <row r="7446" ht="14.25" customHeight="1">
      <c r="A7446" s="55" t="s">
        <v>10024</v>
      </c>
      <c r="B7446" s="55" t="s">
        <v>40</v>
      </c>
      <c r="C7446" s="55" t="s">
        <v>9562</v>
      </c>
      <c r="D7446" s="55" t="s">
        <v>10562</v>
      </c>
    </row>
    <row r="7447" ht="14.25" customHeight="1">
      <c r="A7447" s="55" t="s">
        <v>10024</v>
      </c>
      <c r="B7447" s="55" t="s">
        <v>40</v>
      </c>
      <c r="C7447" s="55" t="s">
        <v>11359</v>
      </c>
      <c r="D7447" s="55" t="s">
        <v>11360</v>
      </c>
    </row>
    <row r="7448" ht="14.25" customHeight="1">
      <c r="A7448" s="55" t="s">
        <v>10024</v>
      </c>
      <c r="B7448" s="55" t="s">
        <v>40</v>
      </c>
      <c r="C7448" s="55" t="s">
        <v>10042</v>
      </c>
      <c r="D7448" s="55" t="s">
        <v>9034</v>
      </c>
    </row>
    <row r="7449" ht="14.25" customHeight="1">
      <c r="A7449" s="55" t="s">
        <v>10024</v>
      </c>
      <c r="B7449" s="55" t="s">
        <v>40</v>
      </c>
      <c r="C7449" s="55" t="s">
        <v>11281</v>
      </c>
      <c r="D7449" s="55" t="s">
        <v>8976</v>
      </c>
    </row>
    <row r="7450" ht="14.25" customHeight="1">
      <c r="A7450" s="55" t="s">
        <v>10024</v>
      </c>
      <c r="B7450" s="55" t="s">
        <v>40</v>
      </c>
      <c r="C7450" s="55" t="s">
        <v>220</v>
      </c>
      <c r="D7450" s="55" t="s">
        <v>9034</v>
      </c>
    </row>
    <row r="7451" ht="14.25" customHeight="1">
      <c r="A7451" s="55" t="s">
        <v>10024</v>
      </c>
      <c r="B7451" s="55" t="s">
        <v>40</v>
      </c>
      <c r="C7451" s="55" t="s">
        <v>12586</v>
      </c>
      <c r="D7451" s="55" t="s">
        <v>9216</v>
      </c>
    </row>
    <row r="7452" ht="14.25" customHeight="1">
      <c r="A7452" s="55" t="s">
        <v>10024</v>
      </c>
      <c r="B7452" s="55" t="s">
        <v>40</v>
      </c>
      <c r="C7452" s="55" t="s">
        <v>11859</v>
      </c>
      <c r="D7452" s="55" t="s">
        <v>9216</v>
      </c>
    </row>
    <row r="7453" ht="14.25" customHeight="1">
      <c r="A7453" s="55" t="s">
        <v>10024</v>
      </c>
      <c r="B7453" s="55" t="s">
        <v>40</v>
      </c>
      <c r="C7453" s="55" t="s">
        <v>316</v>
      </c>
      <c r="D7453" s="55" t="s">
        <v>10043</v>
      </c>
    </row>
    <row r="7454" ht="14.25" customHeight="1">
      <c r="A7454" s="55" t="s">
        <v>10024</v>
      </c>
      <c r="B7454" s="55" t="s">
        <v>40</v>
      </c>
      <c r="C7454" s="55" t="s">
        <v>10044</v>
      </c>
      <c r="D7454" s="55" t="s">
        <v>10045</v>
      </c>
    </row>
    <row r="7455" ht="14.25" customHeight="1">
      <c r="A7455" s="55" t="s">
        <v>10024</v>
      </c>
      <c r="B7455" s="55" t="s">
        <v>40</v>
      </c>
      <c r="C7455" s="55" t="s">
        <v>12587</v>
      </c>
      <c r="D7455" s="55" t="s">
        <v>12588</v>
      </c>
    </row>
    <row r="7456" ht="14.25" customHeight="1">
      <c r="A7456" s="55" t="s">
        <v>10024</v>
      </c>
      <c r="B7456" s="55" t="s">
        <v>40</v>
      </c>
      <c r="C7456" s="55" t="s">
        <v>12589</v>
      </c>
      <c r="D7456" s="55" t="s">
        <v>9771</v>
      </c>
    </row>
    <row r="7457" ht="14.25" customHeight="1">
      <c r="A7457" s="55" t="s">
        <v>10024</v>
      </c>
      <c r="B7457" s="55" t="s">
        <v>40</v>
      </c>
      <c r="C7457" s="55" t="s">
        <v>11860</v>
      </c>
      <c r="D7457" s="55" t="s">
        <v>11861</v>
      </c>
    </row>
    <row r="7458" ht="14.25" customHeight="1">
      <c r="A7458" s="55" t="s">
        <v>10024</v>
      </c>
      <c r="B7458" s="55" t="s">
        <v>40</v>
      </c>
      <c r="C7458" s="55" t="s">
        <v>9215</v>
      </c>
      <c r="D7458" s="55" t="s">
        <v>10046</v>
      </c>
    </row>
    <row r="7459" ht="14.25" customHeight="1">
      <c r="A7459" s="55" t="s">
        <v>10024</v>
      </c>
      <c r="B7459" s="55" t="s">
        <v>40</v>
      </c>
      <c r="C7459" s="55" t="s">
        <v>10563</v>
      </c>
      <c r="D7459" s="55" t="s">
        <v>10564</v>
      </c>
    </row>
    <row r="7460" ht="14.25" customHeight="1">
      <c r="A7460" s="55" t="s">
        <v>10024</v>
      </c>
      <c r="B7460" s="55" t="s">
        <v>40</v>
      </c>
      <c r="C7460" s="55" t="s">
        <v>10565</v>
      </c>
      <c r="D7460" s="55" t="s">
        <v>405</v>
      </c>
    </row>
    <row r="7461" ht="14.25" customHeight="1">
      <c r="A7461" s="55" t="s">
        <v>10024</v>
      </c>
      <c r="B7461" s="55" t="s">
        <v>40</v>
      </c>
      <c r="C7461" s="55" t="s">
        <v>10566</v>
      </c>
      <c r="D7461" s="55" t="s">
        <v>9034</v>
      </c>
    </row>
    <row r="7462" ht="14.25" customHeight="1">
      <c r="A7462" s="55" t="s">
        <v>10024</v>
      </c>
      <c r="B7462" s="55" t="s">
        <v>40</v>
      </c>
      <c r="C7462" s="55" t="s">
        <v>9408</v>
      </c>
      <c r="D7462" s="55" t="s">
        <v>9236</v>
      </c>
    </row>
    <row r="7463" ht="14.25" customHeight="1">
      <c r="A7463" s="55" t="s">
        <v>10024</v>
      </c>
      <c r="B7463" s="55" t="s">
        <v>40</v>
      </c>
      <c r="C7463" s="55" t="s">
        <v>4225</v>
      </c>
      <c r="D7463" s="55" t="s">
        <v>10047</v>
      </c>
    </row>
    <row r="7464" ht="14.25" customHeight="1">
      <c r="A7464" s="55" t="s">
        <v>10024</v>
      </c>
      <c r="B7464" s="55" t="s">
        <v>40</v>
      </c>
      <c r="C7464" s="55" t="s">
        <v>9090</v>
      </c>
      <c r="D7464" s="55" t="s">
        <v>9034</v>
      </c>
    </row>
    <row r="7465" ht="14.25" customHeight="1">
      <c r="A7465" s="55" t="s">
        <v>10024</v>
      </c>
      <c r="B7465" s="55" t="s">
        <v>40</v>
      </c>
      <c r="C7465" s="55" t="s">
        <v>9090</v>
      </c>
      <c r="D7465" s="55" t="s">
        <v>10185</v>
      </c>
    </row>
    <row r="7466" ht="14.25" customHeight="1">
      <c r="A7466" s="55" t="s">
        <v>10024</v>
      </c>
      <c r="B7466" s="55" t="s">
        <v>40</v>
      </c>
      <c r="C7466" s="55" t="s">
        <v>9090</v>
      </c>
      <c r="D7466" s="55" t="s">
        <v>10614</v>
      </c>
    </row>
    <row r="7467" ht="14.25" customHeight="1">
      <c r="A7467" s="55" t="s">
        <v>10024</v>
      </c>
      <c r="B7467" s="55" t="s">
        <v>40</v>
      </c>
      <c r="C7467" s="55" t="s">
        <v>9090</v>
      </c>
      <c r="D7467" s="55" t="s">
        <v>11361</v>
      </c>
    </row>
    <row r="7468" ht="14.25" customHeight="1">
      <c r="A7468" s="55" t="s">
        <v>10024</v>
      </c>
      <c r="B7468" s="55" t="s">
        <v>40</v>
      </c>
      <c r="C7468" s="55" t="s">
        <v>9090</v>
      </c>
      <c r="D7468" s="55" t="s">
        <v>10567</v>
      </c>
    </row>
    <row r="7469" ht="14.25" customHeight="1">
      <c r="A7469" s="55" t="s">
        <v>10024</v>
      </c>
      <c r="B7469" s="55" t="s">
        <v>40</v>
      </c>
      <c r="C7469" s="55" t="s">
        <v>9090</v>
      </c>
      <c r="D7469" s="55" t="s">
        <v>10875</v>
      </c>
    </row>
    <row r="7470" ht="14.25" customHeight="1">
      <c r="A7470" s="55" t="s">
        <v>10024</v>
      </c>
      <c r="B7470" s="55" t="s">
        <v>40</v>
      </c>
      <c r="C7470" s="55" t="s">
        <v>9090</v>
      </c>
      <c r="D7470" s="55" t="s">
        <v>10048</v>
      </c>
    </row>
    <row r="7471" ht="14.25" customHeight="1">
      <c r="A7471" s="55" t="s">
        <v>10024</v>
      </c>
      <c r="B7471" s="55" t="s">
        <v>40</v>
      </c>
      <c r="C7471" s="55" t="s">
        <v>9090</v>
      </c>
      <c r="D7471" s="55" t="s">
        <v>9435</v>
      </c>
    </row>
    <row r="7472" ht="14.25" customHeight="1">
      <c r="A7472" s="55" t="s">
        <v>10024</v>
      </c>
      <c r="B7472" s="55" t="s">
        <v>40</v>
      </c>
      <c r="C7472" s="55" t="s">
        <v>9090</v>
      </c>
      <c r="D7472" s="55" t="s">
        <v>11362</v>
      </c>
    </row>
    <row r="7473" ht="14.25" customHeight="1">
      <c r="A7473" s="55" t="s">
        <v>10024</v>
      </c>
      <c r="B7473" s="55" t="s">
        <v>40</v>
      </c>
      <c r="C7473" s="55" t="s">
        <v>11862</v>
      </c>
      <c r="D7473" s="55" t="s">
        <v>11863</v>
      </c>
    </row>
    <row r="7474" ht="14.25" customHeight="1">
      <c r="A7474" s="55" t="s">
        <v>10024</v>
      </c>
      <c r="B7474" s="55" t="s">
        <v>40</v>
      </c>
      <c r="C7474" s="55" t="s">
        <v>12590</v>
      </c>
      <c r="D7474" s="55" t="s">
        <v>12591</v>
      </c>
    </row>
    <row r="7475" ht="14.25" customHeight="1">
      <c r="A7475" s="55" t="s">
        <v>10024</v>
      </c>
      <c r="B7475" s="55" t="s">
        <v>40</v>
      </c>
      <c r="C7475" s="55" t="s">
        <v>14040</v>
      </c>
      <c r="D7475" s="55" t="s">
        <v>14041</v>
      </c>
    </row>
    <row r="7476" ht="14.25" customHeight="1">
      <c r="A7476" s="55" t="s">
        <v>10024</v>
      </c>
      <c r="B7476" s="55" t="s">
        <v>40</v>
      </c>
      <c r="C7476" s="55" t="s">
        <v>10874</v>
      </c>
      <c r="D7476" s="55" t="s">
        <v>11852</v>
      </c>
    </row>
    <row r="7477" ht="14.25" customHeight="1">
      <c r="A7477" s="55" t="s">
        <v>10024</v>
      </c>
      <c r="B7477" s="55" t="s">
        <v>40</v>
      </c>
      <c r="C7477" s="55" t="s">
        <v>10874</v>
      </c>
      <c r="D7477" s="55" t="s">
        <v>12592</v>
      </c>
    </row>
    <row r="7478" ht="14.25" customHeight="1">
      <c r="A7478" s="55" t="s">
        <v>10024</v>
      </c>
      <c r="B7478" s="55" t="s">
        <v>40</v>
      </c>
      <c r="C7478" s="55" t="s">
        <v>12593</v>
      </c>
      <c r="D7478" s="55" t="s">
        <v>12594</v>
      </c>
    </row>
    <row r="7479" ht="14.25" customHeight="1">
      <c r="A7479" s="55" t="s">
        <v>10024</v>
      </c>
      <c r="B7479" s="55" t="s">
        <v>40</v>
      </c>
      <c r="C7479" s="55" t="s">
        <v>14042</v>
      </c>
      <c r="D7479" s="55" t="s">
        <v>11852</v>
      </c>
    </row>
    <row r="7480" ht="14.25" customHeight="1">
      <c r="A7480" s="55" t="s">
        <v>10024</v>
      </c>
      <c r="B7480" s="55" t="s">
        <v>40</v>
      </c>
      <c r="C7480" s="55" t="s">
        <v>11864</v>
      </c>
      <c r="D7480" s="55" t="s">
        <v>11865</v>
      </c>
    </row>
    <row r="7481" ht="14.25" customHeight="1">
      <c r="A7481" s="55" t="s">
        <v>10024</v>
      </c>
      <c r="B7481" s="55" t="s">
        <v>40</v>
      </c>
      <c r="C7481" s="55" t="s">
        <v>10110</v>
      </c>
      <c r="D7481" s="55" t="s">
        <v>9352</v>
      </c>
    </row>
    <row r="7482" ht="14.25" customHeight="1">
      <c r="A7482" s="55" t="s">
        <v>10024</v>
      </c>
      <c r="B7482" s="55" t="s">
        <v>40</v>
      </c>
      <c r="C7482" s="55" t="s">
        <v>11363</v>
      </c>
      <c r="D7482" s="55" t="s">
        <v>9368</v>
      </c>
    </row>
    <row r="7483" ht="14.25" customHeight="1">
      <c r="A7483" s="55" t="s">
        <v>10024</v>
      </c>
      <c r="B7483" s="55" t="s">
        <v>40</v>
      </c>
      <c r="C7483" s="55" t="s">
        <v>10049</v>
      </c>
      <c r="D7483" s="55" t="s">
        <v>10050</v>
      </c>
    </row>
    <row r="7484" ht="14.25" customHeight="1">
      <c r="A7484" s="55" t="s">
        <v>10024</v>
      </c>
      <c r="B7484" s="55" t="s">
        <v>40</v>
      </c>
      <c r="C7484" s="55" t="s">
        <v>10568</v>
      </c>
      <c r="D7484" s="55" t="s">
        <v>10569</v>
      </c>
    </row>
    <row r="7485" ht="14.25" customHeight="1">
      <c r="A7485" s="55" t="s">
        <v>10024</v>
      </c>
      <c r="B7485" s="55" t="s">
        <v>40</v>
      </c>
      <c r="C7485" s="55" t="s">
        <v>9005</v>
      </c>
      <c r="D7485" s="55" t="s">
        <v>9006</v>
      </c>
    </row>
    <row r="7486" ht="14.25" customHeight="1">
      <c r="A7486" s="55" t="s">
        <v>10024</v>
      </c>
      <c r="B7486" s="55" t="s">
        <v>40</v>
      </c>
      <c r="C7486" s="55" t="s">
        <v>274</v>
      </c>
      <c r="D7486" s="55" t="s">
        <v>9319</v>
      </c>
    </row>
    <row r="7487" ht="14.25" customHeight="1">
      <c r="A7487" s="55" t="s">
        <v>10024</v>
      </c>
      <c r="B7487" s="55" t="s">
        <v>40</v>
      </c>
      <c r="C7487" s="55" t="s">
        <v>10051</v>
      </c>
      <c r="D7487" s="55" t="s">
        <v>10052</v>
      </c>
    </row>
    <row r="7488" ht="14.25" customHeight="1">
      <c r="A7488" s="55" t="s">
        <v>10024</v>
      </c>
      <c r="B7488" s="55" t="s">
        <v>40</v>
      </c>
      <c r="C7488" s="55" t="s">
        <v>10570</v>
      </c>
      <c r="D7488" s="55" t="s">
        <v>10571</v>
      </c>
    </row>
    <row r="7489" ht="14.25" customHeight="1">
      <c r="A7489" s="55" t="s">
        <v>10572</v>
      </c>
      <c r="B7489" s="55" t="s">
        <v>13</v>
      </c>
      <c r="C7489" s="55" t="s">
        <v>10573</v>
      </c>
      <c r="D7489" s="55" t="s">
        <v>10574</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2026-04-06T12:06:23Z</dcterms:created>
  <dc:creator>Oubre, Kyle Antoine</dc:creator>
</cp:coreProperties>
</file>